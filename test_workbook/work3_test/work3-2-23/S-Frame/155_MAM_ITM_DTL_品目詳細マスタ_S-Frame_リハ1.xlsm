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\\c2-080-047\熱交共通\HERP\01_リプラン\002_業務要件定義（ToBe）\02_PLM_Obbligato\02_BOM\02_検討資料\E-BOMマスター\00_マスタ作業用\品目詳細\00_サマリ済\リハ1\マスタ完成\"/>
    </mc:Choice>
  </mc:AlternateContent>
  <xr:revisionPtr revIDLastSave="0" documentId="13_ncr:1_{0E355288-C60D-4248-840C-A5BC1B1DC3D4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Sheet0" sheetId="1" r:id="rId1"/>
    <sheet name="Sheet1" sheetId="2" r:id="rId2"/>
  </sheets>
  <externalReferences>
    <externalReference r:id="rId3"/>
  </externalReferences>
  <definedNames>
    <definedName name="_xlnm._FilterDatabase" localSheetId="0" hidden="1">Sheet0!$A$2:$BJ$1857</definedName>
    <definedName name="_xleta.AND" hidden="1" xlm="1">#NAME?</definedName>
    <definedName name="_xleta.IF" hidden="1" xlm="1">#NAME?</definedName>
    <definedName name="_xleta.LEF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857" i="1" l="1" a="1"/>
  <c r="S1857" i="1" s="1"/>
  <c r="R1857" i="1"/>
  <c r="S1856" i="1" a="1"/>
  <c r="S1856" i="1" s="1"/>
  <c r="S1855" i="1" a="1"/>
  <c r="S1855" i="1" s="1"/>
  <c r="S1854" i="1" a="1"/>
  <c r="S1854" i="1" s="1"/>
  <c r="S1853" i="1" a="1"/>
  <c r="S1853" i="1" s="1"/>
  <c r="S1852" i="1" a="1"/>
  <c r="S1852" i="1" s="1"/>
  <c r="S1851" i="1" a="1"/>
  <c r="S1851" i="1" s="1"/>
  <c r="S1850" i="1" a="1"/>
  <c r="S1850" i="1" s="1"/>
  <c r="S1849" i="1" a="1"/>
  <c r="S1849" i="1" s="1"/>
  <c r="S1848" i="1" a="1"/>
  <c r="S1848" i="1" s="1"/>
  <c r="S1847" i="1" a="1"/>
  <c r="S1847" i="1" s="1"/>
  <c r="S1846" i="1" a="1"/>
  <c r="S1846" i="1" s="1"/>
  <c r="S1845" i="1" a="1"/>
  <c r="S1845" i="1" s="1"/>
  <c r="S1844" i="1" a="1"/>
  <c r="S1844" i="1" s="1"/>
  <c r="S1843" i="1" a="1"/>
  <c r="S1843" i="1" s="1"/>
  <c r="S1842" i="1" a="1"/>
  <c r="S1842" i="1" s="1"/>
  <c r="S1841" i="1" a="1"/>
  <c r="S1841" i="1" s="1"/>
  <c r="S1840" i="1" a="1"/>
  <c r="S1840" i="1" s="1"/>
  <c r="S1839" i="1" a="1"/>
  <c r="S1839" i="1" s="1"/>
  <c r="S1838" i="1" a="1"/>
  <c r="S1838" i="1" s="1"/>
  <c r="S1837" i="1" a="1"/>
  <c r="S1837" i="1" s="1"/>
  <c r="S1811" i="1" a="1"/>
  <c r="S1811" i="1" s="1"/>
  <c r="S1810" i="1" a="1"/>
  <c r="S1810" i="1" s="1"/>
  <c r="S1809" i="1" a="1"/>
  <c r="S1809" i="1" s="1"/>
  <c r="S1808" i="1" a="1"/>
  <c r="S1808" i="1" s="1"/>
  <c r="S1807" i="1" a="1"/>
  <c r="S1807" i="1" s="1"/>
  <c r="S1806" i="1" a="1"/>
  <c r="S1806" i="1" s="1"/>
  <c r="S1805" i="1" a="1"/>
  <c r="S1805" i="1" s="1"/>
  <c r="S1804" i="1" a="1"/>
  <c r="S1804" i="1" s="1"/>
  <c r="S1803" i="1" a="1"/>
  <c r="S1803" i="1" s="1"/>
  <c r="S1802" i="1" a="1"/>
  <c r="S1802" i="1" s="1"/>
  <c r="S1801" i="1" a="1"/>
  <c r="S1801" i="1" s="1"/>
  <c r="S1800" i="1" a="1"/>
  <c r="S1800" i="1" s="1"/>
  <c r="S1799" i="1" a="1"/>
  <c r="S1799" i="1" s="1"/>
  <c r="S1798" i="1" a="1"/>
  <c r="S1798" i="1" s="1"/>
  <c r="S1797" i="1" a="1"/>
  <c r="S1797" i="1" s="1"/>
  <c r="S1796" i="1" a="1"/>
  <c r="S1796" i="1" s="1"/>
  <c r="S1759" i="1" a="1"/>
  <c r="S1759" i="1" s="1"/>
  <c r="S1758" i="1" a="1"/>
  <c r="S1758" i="1" s="1"/>
  <c r="S1757" i="1" a="1"/>
  <c r="S1757" i="1" s="1"/>
  <c r="S1756" i="1" a="1"/>
  <c r="S1756" i="1" s="1"/>
  <c r="S1755" i="1" a="1"/>
  <c r="S1755" i="1" s="1"/>
  <c r="S1754" i="1" a="1"/>
  <c r="S1754" i="1" s="1"/>
  <c r="S1753" i="1" a="1"/>
  <c r="S1753" i="1" s="1"/>
  <c r="S1752" i="1" a="1"/>
  <c r="S1752" i="1" s="1"/>
  <c r="S1733" i="1" a="1"/>
  <c r="S1733" i="1" s="1"/>
  <c r="S1732" i="1" a="1"/>
  <c r="S1732" i="1" s="1"/>
  <c r="S1731" i="1" a="1"/>
  <c r="S1731" i="1" s="1"/>
  <c r="S1730" i="1" a="1"/>
  <c r="S1730" i="1" s="1"/>
  <c r="S1711" i="1" a="1"/>
  <c r="S1711" i="1" s="1"/>
  <c r="S1710" i="1" a="1"/>
  <c r="S1710" i="1" s="1"/>
  <c r="S1709" i="1" a="1"/>
  <c r="S1709" i="1" s="1"/>
  <c r="S1708" i="1" a="1"/>
  <c r="S1708" i="1" s="1"/>
  <c r="S1707" i="1" a="1"/>
  <c r="S1707" i="1" s="1"/>
  <c r="S1706" i="1" a="1"/>
  <c r="S1706" i="1" s="1"/>
  <c r="S1705" i="1" a="1"/>
  <c r="S1705" i="1" s="1"/>
  <c r="S1704" i="1" a="1"/>
  <c r="S1704" i="1" s="1"/>
  <c r="S1703" i="1" a="1"/>
  <c r="S1703" i="1" s="1"/>
  <c r="S1702" i="1" a="1"/>
  <c r="S1702" i="1" s="1"/>
  <c r="S1701" i="1" a="1"/>
  <c r="S1701" i="1" s="1"/>
  <c r="S1700" i="1" a="1"/>
  <c r="S1700" i="1" s="1"/>
  <c r="S1699" i="1" a="1"/>
  <c r="S1699" i="1" s="1"/>
  <c r="S1698" i="1" a="1"/>
  <c r="S1698" i="1" s="1"/>
  <c r="S1697" i="1" a="1"/>
  <c r="S1697" i="1" s="1"/>
  <c r="S1696" i="1" a="1"/>
  <c r="S1696" i="1" s="1"/>
  <c r="S1695" i="1" a="1"/>
  <c r="S1695" i="1" s="1"/>
  <c r="S1694" i="1" a="1"/>
  <c r="S1694" i="1" s="1"/>
  <c r="S1693" i="1" a="1"/>
  <c r="S1693" i="1" s="1"/>
  <c r="S1692" i="1" a="1"/>
  <c r="S1692" i="1" s="1"/>
  <c r="S1666" i="1" a="1"/>
  <c r="S1666" i="1" s="1"/>
  <c r="S1665" i="1" a="1"/>
  <c r="S1665" i="1" s="1"/>
  <c r="S1664" i="1" a="1"/>
  <c r="S1664" i="1" s="1"/>
  <c r="S1663" i="1" a="1"/>
  <c r="S1663" i="1" s="1"/>
  <c r="S1662" i="1" a="1"/>
  <c r="S1662" i="1" s="1"/>
  <c r="S1661" i="1" a="1"/>
  <c r="S1661" i="1" s="1"/>
  <c r="S1660" i="1" a="1"/>
  <c r="S1660" i="1" s="1"/>
  <c r="S1659" i="1" a="1"/>
  <c r="S1659" i="1" s="1"/>
  <c r="S1658" i="1" a="1"/>
  <c r="S1658" i="1" s="1"/>
  <c r="S1657" i="1" a="1"/>
  <c r="S1657" i="1" s="1"/>
  <c r="S1656" i="1" a="1"/>
  <c r="S1656" i="1" s="1"/>
  <c r="S1655" i="1" a="1"/>
  <c r="S1655" i="1" s="1"/>
  <c r="S1654" i="1" a="1"/>
  <c r="S1654" i="1" s="1"/>
  <c r="S1653" i="1" a="1"/>
  <c r="S1653" i="1" s="1"/>
  <c r="S1652" i="1" a="1"/>
  <c r="S1652" i="1" s="1"/>
  <c r="S1651" i="1" a="1"/>
  <c r="S1651" i="1" s="1"/>
  <c r="S1650" i="1" a="1"/>
  <c r="S1650" i="1" s="1"/>
  <c r="S1649" i="1" a="1"/>
  <c r="S1649" i="1" s="1"/>
  <c r="S1648" i="1" a="1"/>
  <c r="S1648" i="1" s="1"/>
  <c r="S1647" i="1" a="1"/>
  <c r="S1647" i="1" s="1"/>
  <c r="S1610" i="1" a="1"/>
  <c r="S1610" i="1" s="1"/>
  <c r="S1609" i="1" a="1"/>
  <c r="S1609" i="1" s="1"/>
  <c r="S1608" i="1" a="1"/>
  <c r="S1608" i="1" s="1"/>
  <c r="S1607" i="1" a="1"/>
  <c r="S1607" i="1" s="1"/>
  <c r="S1606" i="1" a="1"/>
  <c r="S1606" i="1" s="1"/>
  <c r="S1605" i="1" a="1"/>
  <c r="S1605" i="1" s="1"/>
  <c r="S1604" i="1" a="1"/>
  <c r="S1604" i="1" s="1"/>
  <c r="S1603" i="1" a="1"/>
  <c r="S1603" i="1" s="1"/>
  <c r="S1584" i="1" a="1"/>
  <c r="S1584" i="1" s="1"/>
  <c r="S1583" i="1" a="1"/>
  <c r="S1583" i="1" s="1"/>
  <c r="S1582" i="1" a="1"/>
  <c r="S1582" i="1" s="1"/>
  <c r="S1581" i="1" a="1"/>
  <c r="S1581" i="1" s="1"/>
  <c r="S1580" i="1" a="1"/>
  <c r="S1580" i="1" s="1"/>
  <c r="S1579" i="1" a="1"/>
  <c r="S1579" i="1" s="1"/>
  <c r="S1578" i="1" a="1"/>
  <c r="S1578" i="1" s="1"/>
  <c r="S1577" i="1" a="1"/>
  <c r="S1577" i="1" s="1"/>
  <c r="S1558" i="1" a="1"/>
  <c r="S1558" i="1" s="1"/>
  <c r="S1557" i="1" a="1"/>
  <c r="S1557" i="1" s="1"/>
  <c r="S1556" i="1" a="1"/>
  <c r="S1556" i="1" s="1"/>
  <c r="S1555" i="1" a="1"/>
  <c r="S1555" i="1" s="1"/>
  <c r="S1554" i="1" a="1"/>
  <c r="S1554" i="1" s="1"/>
  <c r="S1553" i="1" a="1"/>
  <c r="S1553" i="1" s="1"/>
  <c r="S1552" i="1" a="1"/>
  <c r="S1552" i="1" s="1"/>
  <c r="S1551" i="1" a="1"/>
  <c r="S1551" i="1" s="1"/>
  <c r="S1550" i="1" a="1"/>
  <c r="S1550" i="1" s="1"/>
  <c r="S1549" i="1" a="1"/>
  <c r="S1549" i="1" s="1"/>
  <c r="S1548" i="1" a="1"/>
  <c r="S1548" i="1" s="1"/>
  <c r="S1547" i="1" a="1"/>
  <c r="S1547" i="1" s="1"/>
  <c r="S1546" i="1" a="1"/>
  <c r="S1546" i="1" s="1"/>
  <c r="S1545" i="1" a="1"/>
  <c r="S1545" i="1" s="1"/>
  <c r="S1544" i="1" a="1"/>
  <c r="S1544" i="1" s="1"/>
  <c r="S1543" i="1" a="1"/>
  <c r="S1543" i="1" s="1"/>
  <c r="S1542" i="1" a="1"/>
  <c r="S1542" i="1" s="1"/>
  <c r="S1541" i="1" a="1"/>
  <c r="S1541" i="1" s="1"/>
  <c r="S1540" i="1" a="1"/>
  <c r="S1540" i="1" s="1"/>
  <c r="S1539" i="1" a="1"/>
  <c r="S1539" i="1" s="1"/>
  <c r="S1489" i="1" a="1"/>
  <c r="S1489" i="1" s="1"/>
  <c r="S1488" i="1" a="1"/>
  <c r="S1488" i="1" s="1"/>
  <c r="S1487" i="1" a="1"/>
  <c r="S1487" i="1" s="1"/>
  <c r="S1486" i="1" a="1"/>
  <c r="S1486" i="1" s="1"/>
  <c r="S1485" i="1" a="1"/>
  <c r="S1485" i="1" s="1"/>
  <c r="S1484" i="1" a="1"/>
  <c r="S1484" i="1" s="1"/>
  <c r="S1483" i="1" a="1"/>
  <c r="S1483" i="1" s="1"/>
  <c r="S1482" i="1" a="1"/>
  <c r="S1482" i="1" s="1"/>
  <c r="S1481" i="1" a="1"/>
  <c r="S1481" i="1" s="1"/>
  <c r="S1480" i="1" a="1"/>
  <c r="S1480" i="1" s="1"/>
  <c r="S1479" i="1" a="1"/>
  <c r="S1479" i="1" s="1"/>
  <c r="S1478" i="1" a="1"/>
  <c r="S1478" i="1" s="1"/>
  <c r="S1477" i="1" a="1"/>
  <c r="S1477" i="1" s="1"/>
  <c r="S1476" i="1" a="1"/>
  <c r="S1476" i="1" s="1"/>
  <c r="S1475" i="1" a="1"/>
  <c r="S1475" i="1" s="1"/>
  <c r="S1474" i="1" a="1"/>
  <c r="S1474" i="1" s="1"/>
  <c r="S1473" i="1" a="1"/>
  <c r="S1473" i="1" s="1"/>
  <c r="S1472" i="1" a="1"/>
  <c r="S1472" i="1" s="1"/>
  <c r="S1471" i="1" a="1"/>
  <c r="S1471" i="1" s="1"/>
  <c r="S1470" i="1" a="1"/>
  <c r="S1470" i="1" s="1"/>
  <c r="S1453" i="1" a="1"/>
  <c r="S1453" i="1" s="1"/>
  <c r="S1452" i="1" a="1"/>
  <c r="S1452" i="1" s="1"/>
  <c r="S1451" i="1" a="1"/>
  <c r="S1451" i="1" s="1"/>
  <c r="S1450" i="1" a="1"/>
  <c r="S1450" i="1" s="1"/>
  <c r="S1449" i="1" a="1"/>
  <c r="S1449" i="1" s="1"/>
  <c r="S1448" i="1" a="1"/>
  <c r="S1448" i="1" s="1"/>
  <c r="S1447" i="1" a="1"/>
  <c r="S1447" i="1" s="1"/>
  <c r="S1446" i="1" a="1"/>
  <c r="S1446" i="1" s="1"/>
  <c r="S1427" i="1" a="1"/>
  <c r="S1427" i="1" s="1"/>
  <c r="S1426" i="1" a="1"/>
  <c r="S1426" i="1" s="1"/>
  <c r="S1425" i="1" a="1"/>
  <c r="S1425" i="1" s="1"/>
  <c r="S1424" i="1" a="1"/>
  <c r="S1424" i="1" s="1"/>
  <c r="S1423" i="1" a="1"/>
  <c r="S1423" i="1" s="1"/>
  <c r="S1422" i="1" a="1"/>
  <c r="S1422" i="1" s="1"/>
  <c r="S1421" i="1" a="1"/>
  <c r="S1421" i="1" s="1"/>
  <c r="S1420" i="1" a="1"/>
  <c r="S1420" i="1" s="1"/>
  <c r="S1401" i="1" a="1"/>
  <c r="S1401" i="1" s="1"/>
  <c r="S1400" i="1" a="1"/>
  <c r="S1400" i="1" s="1"/>
  <c r="S1399" i="1" a="1"/>
  <c r="S1399" i="1" s="1"/>
  <c r="S1398" i="1" a="1"/>
  <c r="S1398" i="1" s="1"/>
  <c r="S1397" i="1" a="1"/>
  <c r="S1397" i="1" s="1"/>
  <c r="S1396" i="1" a="1"/>
  <c r="S1396" i="1" s="1"/>
  <c r="S1395" i="1" a="1"/>
  <c r="S1395" i="1" s="1"/>
  <c r="S1394" i="1" a="1"/>
  <c r="S1394" i="1" s="1"/>
  <c r="S1393" i="1" a="1"/>
  <c r="S1393" i="1" s="1"/>
  <c r="S1392" i="1" a="1"/>
  <c r="S1392" i="1" s="1"/>
  <c r="S1391" i="1" a="1"/>
  <c r="S1391" i="1" s="1"/>
  <c r="S1390" i="1" a="1"/>
  <c r="S1390" i="1" s="1"/>
  <c r="S1389" i="1" a="1"/>
  <c r="S1389" i="1" s="1"/>
  <c r="S1388" i="1" a="1"/>
  <c r="S1388" i="1" s="1"/>
  <c r="S1387" i="1" a="1"/>
  <c r="S1387" i="1" s="1"/>
  <c r="S1386" i="1" a="1"/>
  <c r="S1386" i="1" s="1"/>
  <c r="S1385" i="1" a="1"/>
  <c r="S1385" i="1" s="1"/>
  <c r="S1384" i="1" a="1"/>
  <c r="S1384" i="1" s="1"/>
  <c r="S1383" i="1" a="1"/>
  <c r="S1383" i="1" s="1"/>
  <c r="S1382" i="1" a="1"/>
  <c r="S1382" i="1" s="1"/>
  <c r="S1361" i="1" a="1"/>
  <c r="S1361" i="1" s="1"/>
  <c r="S1360" i="1" a="1"/>
  <c r="S1360" i="1" s="1"/>
  <c r="S1359" i="1" a="1"/>
  <c r="S1359" i="1" s="1"/>
  <c r="S1358" i="1" a="1"/>
  <c r="S1358" i="1" s="1"/>
  <c r="S1357" i="1" a="1"/>
  <c r="S1357" i="1" s="1"/>
  <c r="S1356" i="1" a="1"/>
  <c r="S1356" i="1" s="1"/>
  <c r="S1355" i="1" a="1"/>
  <c r="S1355" i="1" s="1"/>
  <c r="S1354" i="1" a="1"/>
  <c r="S1354" i="1" s="1"/>
  <c r="S1353" i="1" a="1"/>
  <c r="S1353" i="1" s="1"/>
  <c r="S1352" i="1" a="1"/>
  <c r="S1352" i="1" s="1"/>
  <c r="S1351" i="1" a="1"/>
  <c r="S1351" i="1" s="1"/>
  <c r="S1350" i="1" a="1"/>
  <c r="S1350" i="1" s="1"/>
  <c r="S1349" i="1" a="1"/>
  <c r="S1349" i="1" s="1"/>
  <c r="S1348" i="1" a="1"/>
  <c r="S1348" i="1" s="1"/>
  <c r="S1347" i="1" a="1"/>
  <c r="S1347" i="1" s="1"/>
  <c r="S1346" i="1" a="1"/>
  <c r="S1346" i="1" s="1"/>
  <c r="S1308" i="1" a="1"/>
  <c r="S1308" i="1" s="1"/>
  <c r="S1307" i="1" a="1"/>
  <c r="S1307" i="1" s="1"/>
  <c r="S1306" i="1" a="1"/>
  <c r="S1306" i="1" s="1"/>
  <c r="S1305" i="1" a="1"/>
  <c r="S1305" i="1" s="1"/>
  <c r="S1286" i="1" a="1"/>
  <c r="S1286" i="1" s="1"/>
  <c r="S1285" i="1" a="1"/>
  <c r="S1285" i="1" s="1"/>
  <c r="S1284" i="1" a="1"/>
  <c r="S1284" i="1" s="1"/>
  <c r="S1283" i="1" a="1"/>
  <c r="S1283" i="1" s="1"/>
  <c r="S1257" i="1" a="1"/>
  <c r="S1257" i="1" s="1"/>
  <c r="S1256" i="1" a="1"/>
  <c r="S1256" i="1" s="1"/>
  <c r="S1255" i="1" a="1"/>
  <c r="S1255" i="1" s="1"/>
  <c r="S1254" i="1" a="1"/>
  <c r="S1254" i="1" s="1"/>
  <c r="S1221" i="1" a="1"/>
  <c r="S1221" i="1" s="1"/>
  <c r="S1220" i="1" a="1"/>
  <c r="S1220" i="1" s="1"/>
  <c r="S1219" i="1" a="1"/>
  <c r="S1219" i="1" s="1"/>
  <c r="S1218" i="1" a="1"/>
  <c r="S1218" i="1" s="1"/>
  <c r="S1201" i="1" a="1"/>
  <c r="S1201" i="1" s="1"/>
  <c r="S1200" i="1" a="1"/>
  <c r="S1200" i="1" s="1"/>
  <c r="S1199" i="1" a="1"/>
  <c r="S1199" i="1" s="1"/>
  <c r="S1198" i="1" a="1"/>
  <c r="S1198" i="1" s="1"/>
  <c r="S1053" i="1" a="1"/>
  <c r="S1053" i="1" s="1"/>
  <c r="S1052" i="1" a="1"/>
  <c r="S1052" i="1" s="1"/>
  <c r="S1051" i="1" a="1"/>
  <c r="S1051" i="1" s="1"/>
  <c r="S1050" i="1" a="1"/>
  <c r="S1050" i="1" s="1"/>
  <c r="S905" i="1" a="1"/>
  <c r="S905" i="1" s="1"/>
  <c r="S904" i="1" a="1"/>
  <c r="S904" i="1" s="1"/>
  <c r="S903" i="1" a="1"/>
  <c r="S903" i="1" s="1"/>
  <c r="S902" i="1" a="1"/>
  <c r="S902" i="1" s="1"/>
  <c r="S837" i="1" a="1"/>
  <c r="S837" i="1" s="1"/>
  <c r="S836" i="1" a="1"/>
  <c r="S836" i="1" s="1"/>
  <c r="S835" i="1" a="1"/>
  <c r="S835" i="1" s="1"/>
  <c r="S834" i="1" a="1"/>
  <c r="S834" i="1" s="1"/>
  <c r="S765" i="1" a="1"/>
  <c r="S765" i="1" s="1"/>
  <c r="S764" i="1" a="1"/>
  <c r="S764" i="1" s="1"/>
  <c r="S763" i="1" a="1"/>
  <c r="S763" i="1" s="1"/>
  <c r="S762" i="1" a="1"/>
  <c r="S762" i="1" s="1"/>
  <c r="S661" i="1" a="1"/>
  <c r="S661" i="1" s="1"/>
  <c r="S660" i="1" a="1"/>
  <c r="S660" i="1" s="1"/>
  <c r="S659" i="1" a="1"/>
  <c r="S659" i="1" s="1"/>
  <c r="S658" i="1" a="1"/>
  <c r="S658" i="1" s="1"/>
  <c r="S557" i="1" a="1"/>
  <c r="S557" i="1" s="1"/>
  <c r="S556" i="1" a="1"/>
  <c r="S556" i="1" s="1"/>
  <c r="S555" i="1" a="1"/>
  <c r="S555" i="1" s="1"/>
  <c r="S554" i="1" a="1"/>
  <c r="S554" i="1" s="1"/>
  <c r="S508" i="1" a="1"/>
  <c r="S508" i="1" s="1"/>
  <c r="S507" i="1" a="1"/>
  <c r="S507" i="1" s="1"/>
  <c r="S506" i="1" a="1"/>
  <c r="S506" i="1" s="1"/>
  <c r="S505" i="1" a="1"/>
  <c r="S505" i="1" s="1"/>
  <c r="S459" i="1" a="1"/>
  <c r="S459" i="1" s="1"/>
  <c r="S458" i="1" a="1"/>
  <c r="S458" i="1" s="1"/>
  <c r="S457" i="1" a="1"/>
  <c r="S457" i="1" s="1"/>
  <c r="S456" i="1" a="1"/>
  <c r="S456" i="1" s="1"/>
  <c r="S419" i="1" a="1"/>
  <c r="S419" i="1" s="1"/>
  <c r="S418" i="1" a="1"/>
  <c r="S418" i="1" s="1"/>
  <c r="S417" i="1" a="1"/>
  <c r="S417" i="1" s="1"/>
  <c r="S416" i="1" a="1"/>
  <c r="S416" i="1" s="1"/>
  <c r="S379" i="1" a="1"/>
  <c r="S379" i="1" s="1"/>
  <c r="S378" i="1" a="1"/>
  <c r="S378" i="1" s="1"/>
  <c r="S377" i="1" a="1"/>
  <c r="S377" i="1" s="1"/>
  <c r="S376" i="1" a="1"/>
  <c r="S376" i="1" s="1"/>
  <c r="S375" i="1" a="1"/>
  <c r="S375" i="1" s="1"/>
  <c r="S374" i="1" a="1"/>
  <c r="S374" i="1" s="1"/>
  <c r="S373" i="1" a="1"/>
  <c r="S373" i="1" s="1"/>
  <c r="S372" i="1" a="1"/>
  <c r="S372" i="1" s="1"/>
  <c r="S339" i="1" a="1"/>
  <c r="S339" i="1" s="1"/>
  <c r="S338" i="1" a="1"/>
  <c r="S338" i="1" s="1"/>
  <c r="S337" i="1" a="1"/>
  <c r="S337" i="1" s="1"/>
  <c r="S336" i="1" a="1"/>
  <c r="S336" i="1" s="1"/>
  <c r="S335" i="1" a="1"/>
  <c r="S335" i="1" s="1"/>
  <c r="S334" i="1" a="1"/>
  <c r="S334" i="1" s="1"/>
  <c r="S333" i="1" a="1"/>
  <c r="S333" i="1" s="1"/>
  <c r="S332" i="1" a="1"/>
  <c r="S332" i="1" s="1"/>
  <c r="S299" i="1" a="1"/>
  <c r="S299" i="1" s="1"/>
  <c r="S298" i="1" a="1"/>
  <c r="S298" i="1" s="1"/>
  <c r="S297" i="1" a="1"/>
  <c r="S297" i="1" s="1"/>
  <c r="S296" i="1" a="1"/>
  <c r="S296" i="1" s="1"/>
  <c r="S295" i="1" a="1"/>
  <c r="S295" i="1" s="1"/>
  <c r="S186" i="1" a="1"/>
  <c r="S186" i="1" s="1"/>
  <c r="S185" i="1" a="1"/>
  <c r="S185" i="1" s="1"/>
  <c r="S184" i="1" a="1"/>
  <c r="S184" i="1" s="1"/>
  <c r="S183" i="1" a="1"/>
  <c r="S183" i="1" s="1"/>
  <c r="S182" i="1" a="1"/>
  <c r="S182" i="1" s="1"/>
  <c r="S181" i="1" a="1"/>
  <c r="S181" i="1" s="1"/>
  <c r="S180" i="1" a="1"/>
  <c r="S180" i="1" s="1"/>
  <c r="S179" i="1" a="1"/>
  <c r="S179" i="1" s="1"/>
  <c r="S146" i="1" a="1"/>
  <c r="S146" i="1" s="1"/>
  <c r="S145" i="1" a="1"/>
  <c r="S145" i="1" s="1"/>
  <c r="S144" i="1" a="1"/>
  <c r="S144" i="1" s="1"/>
  <c r="S143" i="1" a="1"/>
  <c r="S143" i="1" s="1"/>
  <c r="S110" i="1" a="1"/>
  <c r="S110" i="1" s="1"/>
  <c r="S109" i="1" a="1"/>
  <c r="S109" i="1" s="1"/>
  <c r="S108" i="1" a="1"/>
  <c r="S108" i="1" s="1"/>
  <c r="S107" i="1" a="1"/>
  <c r="S107" i="1" s="1"/>
  <c r="S74" i="1" a="1"/>
  <c r="S74" i="1" s="1"/>
  <c r="S73" i="1" a="1"/>
  <c r="S73" i="1" s="1"/>
  <c r="S72" i="1" a="1"/>
  <c r="S72" i="1" s="1"/>
  <c r="S71" i="1" a="1"/>
  <c r="S71" i="1" s="1"/>
  <c r="S38" i="1" a="1"/>
  <c r="S38" i="1" s="1"/>
  <c r="S37" i="1" a="1"/>
  <c r="S37" i="1" s="1"/>
  <c r="S36" i="1" a="1"/>
  <c r="S36" i="1" s="1"/>
  <c r="S35" i="1" a="1"/>
  <c r="S35" i="1" s="1"/>
  <c r="AB1854" i="1"/>
  <c r="AB1853" i="1"/>
  <c r="AB1855" i="1"/>
  <c r="AB1856" i="1"/>
  <c r="AB1850" i="1"/>
  <c r="AB1849" i="1"/>
  <c r="AB1851" i="1"/>
  <c r="AB1852" i="1"/>
  <c r="AB1846" i="1"/>
  <c r="AB1845" i="1"/>
  <c r="AB1847" i="1"/>
  <c r="AB1848" i="1"/>
  <c r="AB1842" i="1"/>
  <c r="AB1841" i="1"/>
  <c r="AB1843" i="1"/>
  <c r="AB1844" i="1"/>
  <c r="AB1838" i="1"/>
  <c r="AB1837" i="1"/>
  <c r="AB1839" i="1"/>
  <c r="AB1840" i="1"/>
  <c r="AB1809" i="1"/>
  <c r="AB1808" i="1"/>
  <c r="AB1810" i="1"/>
  <c r="AB1811" i="1"/>
  <c r="AB1805" i="1"/>
  <c r="AB1804" i="1"/>
  <c r="AB1806" i="1"/>
  <c r="AB1807" i="1"/>
  <c r="AB1801" i="1"/>
  <c r="AB1800" i="1"/>
  <c r="AB1802" i="1"/>
  <c r="AB1803" i="1"/>
  <c r="AB1797" i="1"/>
  <c r="AB1796" i="1"/>
  <c r="AB1798" i="1"/>
  <c r="AB1799" i="1"/>
  <c r="AB1757" i="1"/>
  <c r="AB1756" i="1"/>
  <c r="AB1758" i="1"/>
  <c r="AB1759" i="1"/>
  <c r="AB1753" i="1"/>
  <c r="AB1752" i="1"/>
  <c r="AB1754" i="1"/>
  <c r="AB1755" i="1"/>
  <c r="AB1731" i="1"/>
  <c r="AB1730" i="1"/>
  <c r="AB1732" i="1"/>
  <c r="AB1733" i="1"/>
  <c r="AB1709" i="1"/>
  <c r="AB1708" i="1"/>
  <c r="AB1710" i="1"/>
  <c r="AB1711" i="1"/>
  <c r="AB1705" i="1"/>
  <c r="AB1704" i="1"/>
  <c r="AB1706" i="1"/>
  <c r="AB1707" i="1"/>
  <c r="AB1701" i="1"/>
  <c r="AB1700" i="1"/>
  <c r="AB1702" i="1"/>
  <c r="AB1703" i="1"/>
  <c r="AB1697" i="1"/>
  <c r="AB1696" i="1"/>
  <c r="AB1698" i="1"/>
  <c r="AB1699" i="1"/>
  <c r="AB1693" i="1"/>
  <c r="AB1692" i="1"/>
  <c r="AB1694" i="1"/>
  <c r="AB1695" i="1"/>
  <c r="AB1664" i="1"/>
  <c r="AB1663" i="1"/>
  <c r="AB1665" i="1"/>
  <c r="AB1666" i="1"/>
  <c r="AB1660" i="1"/>
  <c r="AB1659" i="1"/>
  <c r="AB1661" i="1"/>
  <c r="AB1662" i="1"/>
  <c r="AB1656" i="1"/>
  <c r="AB1655" i="1"/>
  <c r="AB1657" i="1"/>
  <c r="AB1658" i="1"/>
  <c r="AB1652" i="1"/>
  <c r="AB1651" i="1"/>
  <c r="AB1653" i="1"/>
  <c r="AB1654" i="1"/>
  <c r="AB1648" i="1"/>
  <c r="AB1647" i="1"/>
  <c r="AB1649" i="1"/>
  <c r="AB1650" i="1"/>
  <c r="AB1608" i="1"/>
  <c r="AB1607" i="1"/>
  <c r="AB1609" i="1"/>
  <c r="AB1610" i="1"/>
  <c r="AB1604" i="1"/>
  <c r="AB1603" i="1"/>
  <c r="AB1605" i="1"/>
  <c r="AB1606" i="1"/>
  <c r="AB1582" i="1"/>
  <c r="AB1581" i="1"/>
  <c r="AB1583" i="1"/>
  <c r="AB1584" i="1"/>
  <c r="AB1578" i="1"/>
  <c r="AB1577" i="1"/>
  <c r="AB1579" i="1"/>
  <c r="AB1580" i="1"/>
  <c r="AB1556" i="1"/>
  <c r="AB1555" i="1"/>
  <c r="AB1557" i="1"/>
  <c r="AB1558" i="1"/>
  <c r="AB1552" i="1"/>
  <c r="AB1551" i="1"/>
  <c r="AB1553" i="1"/>
  <c r="AB1554" i="1"/>
  <c r="AB1548" i="1"/>
  <c r="AB1547" i="1"/>
  <c r="AB1549" i="1"/>
  <c r="AB1550" i="1"/>
  <c r="AB1544" i="1"/>
  <c r="AB1543" i="1"/>
  <c r="AB1545" i="1"/>
  <c r="AB1546" i="1"/>
  <c r="AB1540" i="1"/>
  <c r="AB1539" i="1"/>
  <c r="AB1541" i="1"/>
  <c r="AB1542" i="1"/>
  <c r="AB1487" i="1"/>
  <c r="AB1486" i="1"/>
  <c r="AB1488" i="1"/>
  <c r="AB1489" i="1"/>
  <c r="AB1483" i="1"/>
  <c r="AB1482" i="1"/>
  <c r="AB1484" i="1"/>
  <c r="AB1485" i="1"/>
  <c r="AB1479" i="1"/>
  <c r="AB1478" i="1"/>
  <c r="AB1480" i="1"/>
  <c r="AB1481" i="1"/>
  <c r="AB1475" i="1"/>
  <c r="AB1474" i="1"/>
  <c r="AB1476" i="1"/>
  <c r="AB1477" i="1"/>
  <c r="AB1471" i="1"/>
  <c r="AB1470" i="1"/>
  <c r="AB1472" i="1"/>
  <c r="AB1473" i="1"/>
  <c r="AB1451" i="1"/>
  <c r="AB1450" i="1"/>
  <c r="AB1452" i="1"/>
  <c r="AB1453" i="1"/>
  <c r="AB1447" i="1"/>
  <c r="AB1446" i="1"/>
  <c r="AB1448" i="1"/>
  <c r="AB1449" i="1"/>
  <c r="AB1425" i="1"/>
  <c r="AB1424" i="1"/>
  <c r="AB1426" i="1"/>
  <c r="AB1427" i="1"/>
  <c r="AB1421" i="1"/>
  <c r="AB1420" i="1"/>
  <c r="AB1422" i="1"/>
  <c r="AB1423" i="1"/>
  <c r="AB1399" i="1"/>
  <c r="AB1398" i="1"/>
  <c r="AB1400" i="1"/>
  <c r="AB1401" i="1"/>
  <c r="AB1395" i="1"/>
  <c r="AB1394" i="1"/>
  <c r="AB1396" i="1"/>
  <c r="AB1397" i="1"/>
  <c r="AB1391" i="1"/>
  <c r="AB1390" i="1"/>
  <c r="AB1392" i="1"/>
  <c r="AB1393" i="1"/>
  <c r="AB1387" i="1"/>
  <c r="AB1386" i="1"/>
  <c r="AB1388" i="1"/>
  <c r="AB1389" i="1"/>
  <c r="AB1383" i="1"/>
  <c r="AB1382" i="1"/>
  <c r="AB1384" i="1"/>
  <c r="AB1385" i="1"/>
  <c r="AB1359" i="1"/>
  <c r="AB1358" i="1"/>
  <c r="AB1360" i="1"/>
  <c r="AB1361" i="1"/>
  <c r="AB1355" i="1"/>
  <c r="AB1354" i="1"/>
  <c r="AB1356" i="1"/>
  <c r="AB1357" i="1"/>
  <c r="AB1351" i="1"/>
  <c r="AB1350" i="1"/>
  <c r="AB1352" i="1"/>
  <c r="AB1353" i="1"/>
  <c r="AB1347" i="1"/>
  <c r="AB1346" i="1"/>
  <c r="AB1348" i="1"/>
  <c r="AB1349" i="1"/>
  <c r="AB1306" i="1"/>
  <c r="AB1305" i="1"/>
  <c r="AB1307" i="1"/>
  <c r="AB1308" i="1"/>
  <c r="AB1284" i="1"/>
  <c r="AB1283" i="1"/>
  <c r="AB1285" i="1"/>
  <c r="AB1286" i="1"/>
  <c r="AB1255" i="1"/>
  <c r="AB1254" i="1"/>
  <c r="AB1256" i="1"/>
  <c r="AB1257" i="1"/>
  <c r="AB1219" i="1"/>
  <c r="AB1218" i="1"/>
  <c r="AB1220" i="1"/>
  <c r="AB1221" i="1"/>
  <c r="AB1199" i="1"/>
  <c r="AB1198" i="1"/>
  <c r="AB1200" i="1"/>
  <c r="AB1201" i="1"/>
  <c r="AB1051" i="1"/>
  <c r="AB1050" i="1"/>
  <c r="AB1052" i="1"/>
  <c r="AB1053" i="1"/>
  <c r="AB903" i="1"/>
  <c r="AB902" i="1"/>
  <c r="AB904" i="1"/>
  <c r="AB905" i="1"/>
  <c r="AB835" i="1"/>
  <c r="AB834" i="1"/>
  <c r="AB836" i="1"/>
  <c r="AB837" i="1"/>
  <c r="AB763" i="1"/>
  <c r="AB762" i="1"/>
  <c r="AB764" i="1"/>
  <c r="AB765" i="1"/>
  <c r="AB659" i="1"/>
  <c r="AB658" i="1"/>
  <c r="AB660" i="1"/>
  <c r="AB661" i="1"/>
  <c r="AB555" i="1"/>
  <c r="AB554" i="1"/>
  <c r="AB556" i="1"/>
  <c r="AB557" i="1"/>
  <c r="AB506" i="1"/>
  <c r="AB505" i="1"/>
  <c r="AB507" i="1"/>
  <c r="AB508" i="1"/>
  <c r="AB457" i="1"/>
  <c r="AB456" i="1"/>
  <c r="AB458" i="1"/>
  <c r="AB459" i="1"/>
  <c r="AB417" i="1"/>
  <c r="AB416" i="1"/>
  <c r="AB418" i="1"/>
  <c r="AB419" i="1"/>
  <c r="AB377" i="1"/>
  <c r="AB376" i="1"/>
  <c r="AB378" i="1"/>
  <c r="AB379" i="1"/>
  <c r="AB373" i="1"/>
  <c r="AB372" i="1"/>
  <c r="AB374" i="1"/>
  <c r="AB375" i="1"/>
  <c r="AB337" i="1"/>
  <c r="AB336" i="1"/>
  <c r="AB338" i="1"/>
  <c r="AB339" i="1"/>
  <c r="AB333" i="1"/>
  <c r="AB332" i="1"/>
  <c r="AB334" i="1"/>
  <c r="AB335" i="1"/>
  <c r="AB297" i="1"/>
  <c r="AB296" i="1"/>
  <c r="AB298" i="1"/>
  <c r="AB299" i="1"/>
  <c r="AB295" i="1"/>
  <c r="AB184" i="1"/>
  <c r="AB183" i="1"/>
  <c r="AB185" i="1"/>
  <c r="AB186" i="1"/>
  <c r="AB180" i="1"/>
  <c r="AB179" i="1"/>
  <c r="AB181" i="1"/>
  <c r="AB182" i="1"/>
  <c r="AB144" i="1"/>
  <c r="AB143" i="1"/>
  <c r="AB145" i="1"/>
  <c r="AB146" i="1"/>
  <c r="AB108" i="1"/>
  <c r="AB107" i="1"/>
  <c r="AB109" i="1"/>
  <c r="AB110" i="1"/>
  <c r="AB72" i="1"/>
  <c r="AB71" i="1"/>
  <c r="AB73" i="1"/>
  <c r="AB74" i="1"/>
  <c r="AB37" i="1"/>
  <c r="AB35" i="1"/>
  <c r="AB36" i="1"/>
  <c r="AB38" i="1"/>
  <c r="AB1836" i="1"/>
  <c r="AB1835" i="1"/>
  <c r="AB1834" i="1"/>
  <c r="AB1833" i="1"/>
  <c r="AB1832" i="1"/>
  <c r="AB1831" i="1"/>
  <c r="AB1830" i="1"/>
  <c r="AB1829" i="1"/>
  <c r="AB1828" i="1"/>
  <c r="AB1827" i="1"/>
  <c r="AB1826" i="1"/>
  <c r="AB1825" i="1"/>
  <c r="AB1824" i="1"/>
  <c r="AB1823" i="1"/>
  <c r="AB1822" i="1"/>
  <c r="AB1821" i="1"/>
  <c r="AB1820" i="1"/>
  <c r="AB1819" i="1"/>
  <c r="AB1818" i="1"/>
  <c r="AB1817" i="1"/>
  <c r="AB1816" i="1"/>
  <c r="AB1815" i="1"/>
  <c r="AB1814" i="1"/>
  <c r="AB1813" i="1"/>
  <c r="AB1812" i="1"/>
  <c r="AB1795" i="1"/>
  <c r="AB1794" i="1"/>
  <c r="AB1793" i="1"/>
  <c r="AB1792" i="1"/>
  <c r="AB1791" i="1"/>
  <c r="AB1790" i="1"/>
  <c r="AB1789" i="1"/>
  <c r="AB1788" i="1"/>
  <c r="AB1787" i="1"/>
  <c r="AB1786" i="1"/>
  <c r="AB1785" i="1"/>
  <c r="AB1784" i="1"/>
  <c r="AB1783" i="1"/>
  <c r="AB1782" i="1"/>
  <c r="AB1781" i="1"/>
  <c r="AB1780" i="1"/>
  <c r="AB1779" i="1"/>
  <c r="AB1778" i="1"/>
  <c r="AB1777" i="1"/>
  <c r="AB1776" i="1"/>
  <c r="AB1775" i="1"/>
  <c r="AB1774" i="1"/>
  <c r="AB1773" i="1"/>
  <c r="AB1772" i="1"/>
  <c r="AB1771" i="1"/>
  <c r="AB1770" i="1"/>
  <c r="AB1769" i="1"/>
  <c r="AB1768" i="1"/>
  <c r="AB1767" i="1"/>
  <c r="AB1766" i="1"/>
  <c r="AB1765" i="1"/>
  <c r="AB1764" i="1"/>
  <c r="AB1763" i="1"/>
  <c r="AB1762" i="1"/>
  <c r="AB1761" i="1"/>
  <c r="AB1760" i="1"/>
  <c r="AB1751" i="1"/>
  <c r="AB1750" i="1"/>
  <c r="AB1749" i="1"/>
  <c r="AB1748" i="1"/>
  <c r="AB1747" i="1"/>
  <c r="AB1746" i="1"/>
  <c r="AB1745" i="1"/>
  <c r="AB1744" i="1"/>
  <c r="AB1743" i="1"/>
  <c r="AB1742" i="1"/>
  <c r="AB1741" i="1"/>
  <c r="AB1740" i="1"/>
  <c r="AB1739" i="1"/>
  <c r="AB1738" i="1"/>
  <c r="AB1737" i="1"/>
  <c r="AB1736" i="1"/>
  <c r="AB1735" i="1"/>
  <c r="AB1734" i="1"/>
  <c r="AB1729" i="1"/>
  <c r="AB1728" i="1"/>
  <c r="AB1727" i="1"/>
  <c r="AB1726" i="1"/>
  <c r="AB1725" i="1"/>
  <c r="AB1724" i="1"/>
  <c r="AB1723" i="1"/>
  <c r="AB1722" i="1"/>
  <c r="AB1721" i="1"/>
  <c r="AB1720" i="1"/>
  <c r="AB1719" i="1"/>
  <c r="AB1718" i="1"/>
  <c r="AB1717" i="1"/>
  <c r="AB1716" i="1"/>
  <c r="AB1715" i="1"/>
  <c r="AB1714" i="1"/>
  <c r="AB1713" i="1"/>
  <c r="AB1712" i="1"/>
  <c r="AB1691" i="1"/>
  <c r="AB1690" i="1"/>
  <c r="AB1689" i="1"/>
  <c r="AB1688" i="1"/>
  <c r="AB1687" i="1"/>
  <c r="AB1686" i="1"/>
  <c r="AB1685" i="1"/>
  <c r="AB1684" i="1"/>
  <c r="AB1683" i="1"/>
  <c r="AB1682" i="1"/>
  <c r="AB1681" i="1"/>
  <c r="AB1680" i="1"/>
  <c r="AB1679" i="1"/>
  <c r="AB1678" i="1"/>
  <c r="AB1677" i="1"/>
  <c r="AB1676" i="1"/>
  <c r="AB1675" i="1"/>
  <c r="AB1674" i="1"/>
  <c r="AB1673" i="1"/>
  <c r="AB1672" i="1"/>
  <c r="AB1671" i="1"/>
  <c r="AB1670" i="1"/>
  <c r="AB1669" i="1"/>
  <c r="AB1668" i="1"/>
  <c r="AB1667" i="1"/>
  <c r="AB1646" i="1"/>
  <c r="AB1645" i="1"/>
  <c r="AB1644" i="1"/>
  <c r="AB1643" i="1"/>
  <c r="AB1642" i="1"/>
  <c r="AB1641" i="1"/>
  <c r="AB1640" i="1"/>
  <c r="AB1639" i="1"/>
  <c r="AB1638" i="1"/>
  <c r="AB1637" i="1"/>
  <c r="AB1636" i="1"/>
  <c r="AB1635" i="1"/>
  <c r="AB1634" i="1"/>
  <c r="AB1633" i="1"/>
  <c r="AB1632" i="1"/>
  <c r="AB1631" i="1"/>
  <c r="AB1630" i="1"/>
  <c r="AB1629" i="1"/>
  <c r="AB1628" i="1"/>
  <c r="AB1627" i="1"/>
  <c r="AB1626" i="1"/>
  <c r="AB1625" i="1"/>
  <c r="AB1624" i="1"/>
  <c r="AB1623" i="1"/>
  <c r="AB1622" i="1"/>
  <c r="AB1621" i="1"/>
  <c r="AB1620" i="1"/>
  <c r="AB1619" i="1"/>
  <c r="AB1618" i="1"/>
  <c r="AB1617" i="1"/>
  <c r="AB1616" i="1"/>
  <c r="AB1615" i="1"/>
  <c r="AB1614" i="1"/>
  <c r="AB1613" i="1"/>
  <c r="AB1612" i="1"/>
  <c r="AB1611" i="1"/>
  <c r="AB1602" i="1"/>
  <c r="AB1601" i="1"/>
  <c r="AB1600" i="1"/>
  <c r="AB1599" i="1"/>
  <c r="AB1598" i="1"/>
  <c r="AB1597" i="1"/>
  <c r="AB1596" i="1"/>
  <c r="AB1595" i="1"/>
  <c r="AB1594" i="1"/>
  <c r="AB1593" i="1"/>
  <c r="AB1592" i="1"/>
  <c r="AB1591" i="1"/>
  <c r="AB1590" i="1"/>
  <c r="AB1589" i="1"/>
  <c r="AB1588" i="1"/>
  <c r="AB1587" i="1"/>
  <c r="AB1586" i="1"/>
  <c r="AB1585" i="1"/>
  <c r="AB1576" i="1"/>
  <c r="AB1575" i="1"/>
  <c r="AB1574" i="1"/>
  <c r="AB1573" i="1"/>
  <c r="AB1572" i="1"/>
  <c r="AB1571" i="1"/>
  <c r="AB1570" i="1"/>
  <c r="AB1569" i="1"/>
  <c r="AB1568" i="1"/>
  <c r="AB1567" i="1"/>
  <c r="AB1566" i="1"/>
  <c r="AB1565" i="1"/>
  <c r="AB1564" i="1"/>
  <c r="AB1563" i="1"/>
  <c r="AB1562" i="1"/>
  <c r="AB1561" i="1"/>
  <c r="AB1560" i="1"/>
  <c r="AB1559" i="1"/>
  <c r="AB1538" i="1"/>
  <c r="AB1537" i="1"/>
  <c r="AB1536" i="1"/>
  <c r="AB1535" i="1"/>
  <c r="AB1534" i="1"/>
  <c r="AB1533" i="1"/>
  <c r="AB1532" i="1"/>
  <c r="AB1531" i="1"/>
  <c r="AB1530" i="1"/>
  <c r="AB1529" i="1"/>
  <c r="AB1528" i="1"/>
  <c r="AB1527" i="1"/>
  <c r="AB1526" i="1"/>
  <c r="AB1525" i="1"/>
  <c r="AB1524" i="1"/>
  <c r="AB1523" i="1"/>
  <c r="AB1522" i="1"/>
  <c r="AB1521" i="1"/>
  <c r="AB1520" i="1"/>
  <c r="AB1519" i="1"/>
  <c r="AB1518" i="1"/>
  <c r="AB1517" i="1"/>
  <c r="AB1516" i="1"/>
  <c r="AB1515" i="1"/>
  <c r="AB1514" i="1"/>
  <c r="AB1513" i="1"/>
  <c r="AB1512" i="1"/>
  <c r="AB1511" i="1"/>
  <c r="AB1510" i="1"/>
  <c r="AB1509" i="1"/>
  <c r="AB1508" i="1"/>
  <c r="AB1507" i="1"/>
  <c r="AB1506" i="1"/>
  <c r="AB1505" i="1"/>
  <c r="AB1504" i="1"/>
  <c r="AB1503" i="1"/>
  <c r="AB1502" i="1"/>
  <c r="AB1501" i="1"/>
  <c r="AB1500" i="1"/>
  <c r="AB1499" i="1"/>
  <c r="AB1498" i="1"/>
  <c r="AB1497" i="1"/>
  <c r="AB1496" i="1"/>
  <c r="AB1495" i="1"/>
  <c r="AB1494" i="1"/>
  <c r="AB1493" i="1"/>
  <c r="AB1492" i="1"/>
  <c r="AB1491" i="1"/>
  <c r="AB1490" i="1"/>
  <c r="AB1469" i="1"/>
  <c r="AB1468" i="1"/>
  <c r="AB1467" i="1"/>
  <c r="AB1466" i="1"/>
  <c r="AB1465" i="1"/>
  <c r="AB1464" i="1"/>
  <c r="AB1463" i="1"/>
  <c r="AB1462" i="1"/>
  <c r="AB1461" i="1"/>
  <c r="AB1460" i="1"/>
  <c r="AB1459" i="1"/>
  <c r="AB1458" i="1"/>
  <c r="AB1457" i="1"/>
  <c r="AB1456" i="1"/>
  <c r="AB1455" i="1"/>
  <c r="AB1454" i="1"/>
  <c r="AB1445" i="1"/>
  <c r="AB1444" i="1"/>
  <c r="AB1443" i="1"/>
  <c r="AB1442" i="1"/>
  <c r="AB1441" i="1"/>
  <c r="AB1440" i="1"/>
  <c r="AB1439" i="1"/>
  <c r="AB1438" i="1"/>
  <c r="AB1437" i="1"/>
  <c r="AB1436" i="1"/>
  <c r="AB1435" i="1"/>
  <c r="AB1434" i="1"/>
  <c r="AB1433" i="1"/>
  <c r="AB1432" i="1"/>
  <c r="AB1431" i="1"/>
  <c r="AB1430" i="1"/>
  <c r="AB1429" i="1"/>
  <c r="AB1428" i="1"/>
  <c r="AB1419" i="1"/>
  <c r="AB1418" i="1"/>
  <c r="AB1417" i="1"/>
  <c r="AB1416" i="1"/>
  <c r="AB1415" i="1"/>
  <c r="AB1414" i="1"/>
  <c r="AB1413" i="1"/>
  <c r="AB1412" i="1"/>
  <c r="AB1411" i="1"/>
  <c r="AB1410" i="1"/>
  <c r="AB1409" i="1"/>
  <c r="AB1408" i="1"/>
  <c r="AB1407" i="1"/>
  <c r="AB1406" i="1"/>
  <c r="AB1405" i="1"/>
  <c r="AB1404" i="1"/>
  <c r="AB1403" i="1"/>
  <c r="AB1402" i="1"/>
  <c r="AB1381" i="1"/>
  <c r="AB1380" i="1"/>
  <c r="AB1379" i="1"/>
  <c r="AB1378" i="1"/>
  <c r="AB1377" i="1"/>
  <c r="AB1376" i="1"/>
  <c r="AB1375" i="1"/>
  <c r="AB1374" i="1"/>
  <c r="AB1373" i="1"/>
  <c r="AB1372" i="1"/>
  <c r="AB1371" i="1"/>
  <c r="AB1370" i="1"/>
  <c r="AB1369" i="1"/>
  <c r="AB1368" i="1"/>
  <c r="AB1367" i="1"/>
  <c r="AB1366" i="1"/>
  <c r="AB1365" i="1"/>
  <c r="AB1364" i="1"/>
  <c r="AB1363" i="1"/>
  <c r="AB1362" i="1"/>
  <c r="AB1345" i="1"/>
  <c r="AB1344" i="1"/>
  <c r="AB1343" i="1"/>
  <c r="AB1342" i="1"/>
  <c r="AB1341" i="1"/>
  <c r="AB1340" i="1"/>
  <c r="AB1339" i="1"/>
  <c r="AB1338" i="1"/>
  <c r="AB1337" i="1"/>
  <c r="AB1336" i="1"/>
  <c r="AB1335" i="1"/>
  <c r="AB1334" i="1"/>
  <c r="AB1333" i="1"/>
  <c r="AB1332" i="1"/>
  <c r="AB1331" i="1"/>
  <c r="AB1330" i="1"/>
  <c r="AB1329" i="1"/>
  <c r="AB1328" i="1"/>
  <c r="AB1327" i="1"/>
  <c r="AB1326" i="1"/>
  <c r="AB1325" i="1"/>
  <c r="AB1324" i="1"/>
  <c r="AB1323" i="1"/>
  <c r="AB1322" i="1"/>
  <c r="AB1321" i="1"/>
  <c r="AB1320" i="1"/>
  <c r="AB1319" i="1"/>
  <c r="AB1318" i="1"/>
  <c r="AB1317" i="1"/>
  <c r="AB1316" i="1"/>
  <c r="AB1315" i="1"/>
  <c r="AB1314" i="1"/>
  <c r="AB1313" i="1"/>
  <c r="AB1312" i="1"/>
  <c r="AB1311" i="1"/>
  <c r="AB1310" i="1"/>
  <c r="AB1309" i="1"/>
  <c r="AB1304" i="1"/>
  <c r="AB1303" i="1"/>
  <c r="AB1302" i="1"/>
  <c r="AB1301" i="1"/>
  <c r="AB1300" i="1"/>
  <c r="AB1299" i="1"/>
  <c r="AB1298" i="1"/>
  <c r="AB1297" i="1"/>
  <c r="AB1296" i="1"/>
  <c r="AB1295" i="1"/>
  <c r="AB1294" i="1"/>
  <c r="AB1293" i="1"/>
  <c r="AB1292" i="1"/>
  <c r="AB1291" i="1"/>
  <c r="AB1290" i="1"/>
  <c r="AB1289" i="1"/>
  <c r="AB1288" i="1"/>
  <c r="AB1287" i="1"/>
  <c r="AB1282" i="1"/>
  <c r="AB1281" i="1"/>
  <c r="AB1280" i="1"/>
  <c r="AB1279" i="1"/>
  <c r="AB1278" i="1"/>
  <c r="AB1277" i="1"/>
  <c r="AB1276" i="1"/>
  <c r="AB1275" i="1"/>
  <c r="AB1274" i="1"/>
  <c r="AB1273" i="1"/>
  <c r="AB1272" i="1"/>
  <c r="AB1271" i="1"/>
  <c r="AB1270" i="1"/>
  <c r="AB1269" i="1"/>
  <c r="AB1268" i="1"/>
  <c r="AB1267" i="1"/>
  <c r="AB1266" i="1"/>
  <c r="AB1265" i="1"/>
  <c r="AB1264" i="1"/>
  <c r="AB1263" i="1"/>
  <c r="AB1262" i="1"/>
  <c r="AB1261" i="1"/>
  <c r="AB1260" i="1"/>
  <c r="AB1259" i="1"/>
  <c r="AB1258" i="1"/>
  <c r="AB1253" i="1"/>
  <c r="AB1252" i="1"/>
  <c r="AB1251" i="1"/>
  <c r="AB1250" i="1"/>
  <c r="AB1249" i="1"/>
  <c r="AB1248" i="1"/>
  <c r="AB1247" i="1"/>
  <c r="AB1246" i="1"/>
  <c r="AB1245" i="1"/>
  <c r="AB1244" i="1"/>
  <c r="AB1243" i="1"/>
  <c r="AB1242" i="1"/>
  <c r="AB1241" i="1"/>
  <c r="AB1240" i="1"/>
  <c r="AB1239" i="1"/>
  <c r="AB1238" i="1"/>
  <c r="AB1237" i="1"/>
  <c r="AB1236" i="1"/>
  <c r="AB1235" i="1"/>
  <c r="AB1234" i="1"/>
  <c r="AB1233" i="1"/>
  <c r="AB1232" i="1"/>
  <c r="AB1231" i="1"/>
  <c r="AB1230" i="1"/>
  <c r="AB1229" i="1"/>
  <c r="AB1228" i="1"/>
  <c r="AB1227" i="1"/>
  <c r="AB1226" i="1"/>
  <c r="AB1225" i="1"/>
  <c r="AB1224" i="1"/>
  <c r="AB1223" i="1"/>
  <c r="AB1222" i="1"/>
  <c r="AB1217" i="1"/>
  <c r="AB1216" i="1"/>
  <c r="AB1215" i="1"/>
  <c r="AB1214" i="1"/>
  <c r="AB1213" i="1"/>
  <c r="AB1212" i="1"/>
  <c r="AB1211" i="1"/>
  <c r="AB1210" i="1"/>
  <c r="AB1209" i="1"/>
  <c r="AB1208" i="1"/>
  <c r="AB1207" i="1"/>
  <c r="AB1206" i="1"/>
  <c r="AB1205" i="1"/>
  <c r="AB1204" i="1"/>
  <c r="AB1203" i="1"/>
  <c r="AB1202" i="1"/>
  <c r="AB1197" i="1"/>
  <c r="AB1196" i="1"/>
  <c r="AB1195" i="1"/>
  <c r="AB1194" i="1"/>
  <c r="AB1193" i="1"/>
  <c r="AB1192" i="1"/>
  <c r="AB1191" i="1"/>
  <c r="AB1190" i="1"/>
  <c r="AB1189" i="1"/>
  <c r="AB1188" i="1"/>
  <c r="AB1187" i="1"/>
  <c r="AB1186" i="1"/>
  <c r="AB1185" i="1"/>
  <c r="AB1184" i="1"/>
  <c r="AB1183" i="1"/>
  <c r="AB1182" i="1"/>
  <c r="AB1181" i="1"/>
  <c r="AB1180" i="1"/>
  <c r="AB1179" i="1"/>
  <c r="AB1178" i="1"/>
  <c r="AB1177" i="1"/>
  <c r="AB1176" i="1"/>
  <c r="AB1175" i="1"/>
  <c r="AB1174" i="1"/>
  <c r="AB1173" i="1"/>
  <c r="AB1172" i="1"/>
  <c r="AB1171" i="1"/>
  <c r="AB1170" i="1"/>
  <c r="AB1169" i="1"/>
  <c r="AB1168" i="1"/>
  <c r="AB1167" i="1"/>
  <c r="AB1166" i="1"/>
  <c r="AB1165" i="1"/>
  <c r="AB1164" i="1"/>
  <c r="AB1163" i="1"/>
  <c r="AB1162" i="1"/>
  <c r="AB1161" i="1"/>
  <c r="AB1160" i="1"/>
  <c r="AB1159" i="1"/>
  <c r="AB1158" i="1"/>
  <c r="AB1157" i="1"/>
  <c r="AB1156" i="1"/>
  <c r="AB1155" i="1"/>
  <c r="AB1154" i="1"/>
  <c r="AB1153" i="1"/>
  <c r="AB1152" i="1"/>
  <c r="AB1151" i="1"/>
  <c r="AB1150" i="1"/>
  <c r="AB1149" i="1"/>
  <c r="AB1148" i="1"/>
  <c r="AB1147" i="1"/>
  <c r="AB1146" i="1"/>
  <c r="AB1145" i="1"/>
  <c r="AB1144" i="1"/>
  <c r="AB1143" i="1"/>
  <c r="AB1142" i="1"/>
  <c r="AB1141" i="1"/>
  <c r="AB1140" i="1"/>
  <c r="AB1139" i="1"/>
  <c r="AB1138" i="1"/>
  <c r="AB1137" i="1"/>
  <c r="AB1136" i="1"/>
  <c r="AB1135" i="1"/>
  <c r="AB1134" i="1"/>
  <c r="AB1133" i="1"/>
  <c r="AB1132" i="1"/>
  <c r="AB1131" i="1"/>
  <c r="AB1130" i="1"/>
  <c r="AB1129" i="1"/>
  <c r="AB1128" i="1"/>
  <c r="AB1127" i="1"/>
  <c r="AB1126" i="1"/>
  <c r="AB1125" i="1"/>
  <c r="AB1124" i="1"/>
  <c r="AB1123" i="1"/>
  <c r="AB1122" i="1"/>
  <c r="AB1121" i="1"/>
  <c r="AB1120" i="1"/>
  <c r="AB1119" i="1"/>
  <c r="AB1118" i="1"/>
  <c r="AB1117" i="1"/>
  <c r="AB1116" i="1"/>
  <c r="AB1115" i="1"/>
  <c r="AB1114" i="1"/>
  <c r="AB1113" i="1"/>
  <c r="AB1112" i="1"/>
  <c r="AB1111" i="1"/>
  <c r="AB1110" i="1"/>
  <c r="AB1109" i="1"/>
  <c r="AB1108" i="1"/>
  <c r="AB1107" i="1"/>
  <c r="AB1106" i="1"/>
  <c r="AB1105" i="1"/>
  <c r="AB1104" i="1"/>
  <c r="AB1103" i="1"/>
  <c r="AB1102" i="1"/>
  <c r="AB1101" i="1"/>
  <c r="AB1100" i="1"/>
  <c r="AB1099" i="1"/>
  <c r="AB1098" i="1"/>
  <c r="AB1097" i="1"/>
  <c r="AB1096" i="1"/>
  <c r="AB1095" i="1"/>
  <c r="AB1094" i="1"/>
  <c r="AB1093" i="1"/>
  <c r="AB1092" i="1"/>
  <c r="AB1091" i="1"/>
  <c r="AB1090" i="1"/>
  <c r="AB1089" i="1"/>
  <c r="AB1088" i="1"/>
  <c r="AB1087" i="1"/>
  <c r="AB1086" i="1"/>
  <c r="AB1085" i="1"/>
  <c r="AB1084" i="1"/>
  <c r="AB1083" i="1"/>
  <c r="AB1082" i="1"/>
  <c r="AB1081" i="1"/>
  <c r="AB1080" i="1"/>
  <c r="AB1079" i="1"/>
  <c r="AB1078" i="1"/>
  <c r="AB1077" i="1"/>
  <c r="AB1076" i="1"/>
  <c r="AB1075" i="1"/>
  <c r="AB1074" i="1"/>
  <c r="AB1073" i="1"/>
  <c r="AB1072" i="1"/>
  <c r="AB1071" i="1"/>
  <c r="AB1070" i="1"/>
  <c r="AB1069" i="1"/>
  <c r="AB1068" i="1"/>
  <c r="AB1067" i="1"/>
  <c r="AB1066" i="1"/>
  <c r="AB1065" i="1"/>
  <c r="AB1064" i="1"/>
  <c r="AB1063" i="1"/>
  <c r="AB1062" i="1"/>
  <c r="AB1061" i="1"/>
  <c r="AB1060" i="1"/>
  <c r="AB1059" i="1"/>
  <c r="AB1058" i="1"/>
  <c r="AB1057" i="1"/>
  <c r="AB1056" i="1"/>
  <c r="AB1055" i="1"/>
  <c r="AB1054" i="1"/>
  <c r="AB1049" i="1"/>
  <c r="AB1048" i="1"/>
  <c r="AB1047" i="1"/>
  <c r="AB1046" i="1"/>
  <c r="AB1045" i="1"/>
  <c r="AB1044" i="1"/>
  <c r="AB1043" i="1"/>
  <c r="AB1042" i="1"/>
  <c r="AB1041" i="1"/>
  <c r="AB1040" i="1"/>
  <c r="AB1039" i="1"/>
  <c r="AB1038" i="1"/>
  <c r="AB1037" i="1"/>
  <c r="AB1036" i="1"/>
  <c r="AB1035" i="1"/>
  <c r="AB1034" i="1"/>
  <c r="AB1033" i="1"/>
  <c r="AB1032" i="1"/>
  <c r="AB1031" i="1"/>
  <c r="AB1030" i="1"/>
  <c r="AB1029" i="1"/>
  <c r="AB1028" i="1"/>
  <c r="AB1027" i="1"/>
  <c r="AB1026" i="1"/>
  <c r="AB1025" i="1"/>
  <c r="AB1024" i="1"/>
  <c r="AB1023" i="1"/>
  <c r="AB1022" i="1"/>
  <c r="AB1021" i="1"/>
  <c r="AB1020" i="1"/>
  <c r="AB1019" i="1"/>
  <c r="AB1018" i="1"/>
  <c r="AB1017" i="1"/>
  <c r="AB1016" i="1"/>
  <c r="AB1015" i="1"/>
  <c r="AB1014" i="1"/>
  <c r="AB1013" i="1"/>
  <c r="AB1012" i="1"/>
  <c r="AB1011" i="1"/>
  <c r="AB1010" i="1"/>
  <c r="AB1009" i="1"/>
  <c r="AB1008" i="1"/>
  <c r="AB1007" i="1"/>
  <c r="AB1006" i="1"/>
  <c r="AB1005" i="1"/>
  <c r="AB1004" i="1"/>
  <c r="AB1003" i="1"/>
  <c r="AB1002" i="1"/>
  <c r="AB1001" i="1"/>
  <c r="AB1000" i="1"/>
  <c r="AB999" i="1"/>
  <c r="AB998" i="1"/>
  <c r="AB997" i="1"/>
  <c r="AB996" i="1"/>
  <c r="AB995" i="1"/>
  <c r="AB994" i="1"/>
  <c r="AB993" i="1"/>
  <c r="AB992" i="1"/>
  <c r="AB991" i="1"/>
  <c r="AB990" i="1"/>
  <c r="AB989" i="1"/>
  <c r="AB988" i="1"/>
  <c r="AB987" i="1"/>
  <c r="AB986" i="1"/>
  <c r="AB985" i="1"/>
  <c r="AB984" i="1"/>
  <c r="AB983" i="1"/>
  <c r="AB982" i="1"/>
  <c r="AB981" i="1"/>
  <c r="AB980" i="1"/>
  <c r="AB979" i="1"/>
  <c r="AB978" i="1"/>
  <c r="AB977" i="1"/>
  <c r="AB976" i="1"/>
  <c r="AB975" i="1"/>
  <c r="AB974" i="1"/>
  <c r="AB973" i="1"/>
  <c r="AB972" i="1"/>
  <c r="AB971" i="1"/>
  <c r="AB970" i="1"/>
  <c r="AB969" i="1"/>
  <c r="AB968" i="1"/>
  <c r="AB967" i="1"/>
  <c r="AB966" i="1"/>
  <c r="AB965" i="1"/>
  <c r="AB964" i="1"/>
  <c r="AB963" i="1"/>
  <c r="AB962" i="1"/>
  <c r="AB961" i="1"/>
  <c r="AB960" i="1"/>
  <c r="AB959" i="1"/>
  <c r="AB958" i="1"/>
  <c r="AB957" i="1"/>
  <c r="AB956" i="1"/>
  <c r="AB955" i="1"/>
  <c r="AB954" i="1"/>
  <c r="AB953" i="1"/>
  <c r="AB952" i="1"/>
  <c r="AB951" i="1"/>
  <c r="AB950" i="1"/>
  <c r="AB949" i="1"/>
  <c r="AB948" i="1"/>
  <c r="AB947" i="1"/>
  <c r="AB946" i="1"/>
  <c r="AB945" i="1"/>
  <c r="AB944" i="1"/>
  <c r="AB943" i="1"/>
  <c r="AB942" i="1"/>
  <c r="AB941" i="1"/>
  <c r="AB940" i="1"/>
  <c r="AB939" i="1"/>
  <c r="AB938" i="1"/>
  <c r="AB937" i="1"/>
  <c r="AB936" i="1"/>
  <c r="AB935" i="1"/>
  <c r="AB934" i="1"/>
  <c r="AB933" i="1"/>
  <c r="AB932" i="1"/>
  <c r="AB931" i="1"/>
  <c r="AB930" i="1"/>
  <c r="AB929" i="1"/>
  <c r="AB928" i="1"/>
  <c r="AB927" i="1"/>
  <c r="AB926" i="1"/>
  <c r="AB925" i="1"/>
  <c r="AB924" i="1"/>
  <c r="AB923" i="1"/>
  <c r="AB922" i="1"/>
  <c r="AB921" i="1"/>
  <c r="AB920" i="1"/>
  <c r="AB919" i="1"/>
  <c r="AB918" i="1"/>
  <c r="AB917" i="1"/>
  <c r="AB916" i="1"/>
  <c r="AB915" i="1"/>
  <c r="AB914" i="1"/>
  <c r="AB913" i="1"/>
  <c r="AB912" i="1"/>
  <c r="AB911" i="1"/>
  <c r="AB910" i="1"/>
  <c r="AB909" i="1"/>
  <c r="AB908" i="1"/>
  <c r="AB907" i="1"/>
  <c r="AB906" i="1"/>
  <c r="AB901" i="1"/>
  <c r="AB900" i="1"/>
  <c r="AB899" i="1"/>
  <c r="AB898" i="1"/>
  <c r="AB897" i="1"/>
  <c r="AB896" i="1"/>
  <c r="AB895" i="1"/>
  <c r="AB894" i="1"/>
  <c r="AB893" i="1"/>
  <c r="AB892" i="1"/>
  <c r="AB891" i="1"/>
  <c r="AB890" i="1"/>
  <c r="AB889" i="1"/>
  <c r="AB888" i="1"/>
  <c r="AB887" i="1"/>
  <c r="AB886" i="1"/>
  <c r="AB885" i="1"/>
  <c r="AB884" i="1"/>
  <c r="AB883" i="1"/>
  <c r="AB882" i="1"/>
  <c r="AB881" i="1"/>
  <c r="AB880" i="1"/>
  <c r="AB879" i="1"/>
  <c r="AB878" i="1"/>
  <c r="AB877" i="1"/>
  <c r="AB876" i="1"/>
  <c r="AB875" i="1"/>
  <c r="AB874" i="1"/>
  <c r="AB873" i="1"/>
  <c r="AB872" i="1"/>
  <c r="AB871" i="1"/>
  <c r="AB870" i="1"/>
  <c r="AB869" i="1"/>
  <c r="AB868" i="1"/>
  <c r="AB867" i="1"/>
  <c r="AB866" i="1"/>
  <c r="AB865" i="1"/>
  <c r="AB864" i="1"/>
  <c r="AB863" i="1"/>
  <c r="AB862" i="1"/>
  <c r="AB861" i="1"/>
  <c r="AB860" i="1"/>
  <c r="AB859" i="1"/>
  <c r="AB858" i="1"/>
  <c r="AB857" i="1"/>
  <c r="AB856" i="1"/>
  <c r="AB855" i="1"/>
  <c r="AB854" i="1"/>
  <c r="AB853" i="1"/>
  <c r="AB852" i="1"/>
  <c r="AB851" i="1"/>
  <c r="AB850" i="1"/>
  <c r="AB849" i="1"/>
  <c r="AB848" i="1"/>
  <c r="AB847" i="1"/>
  <c r="AB846" i="1"/>
  <c r="AB845" i="1"/>
  <c r="AB844" i="1"/>
  <c r="AB843" i="1"/>
  <c r="AB842" i="1"/>
  <c r="AB841" i="1"/>
  <c r="AB840" i="1"/>
  <c r="AB839" i="1"/>
  <c r="AB838" i="1"/>
  <c r="AB833" i="1"/>
  <c r="AB832" i="1"/>
  <c r="AB831" i="1"/>
  <c r="AB830" i="1"/>
  <c r="AB829" i="1"/>
  <c r="AB828" i="1"/>
  <c r="AB827" i="1"/>
  <c r="AB826" i="1"/>
  <c r="AB825" i="1"/>
  <c r="AB824" i="1"/>
  <c r="AB823" i="1"/>
  <c r="AB822" i="1"/>
  <c r="AB821" i="1"/>
  <c r="AB820" i="1"/>
  <c r="AB819" i="1"/>
  <c r="AB818" i="1"/>
  <c r="AB817" i="1"/>
  <c r="AB816" i="1"/>
  <c r="AB815" i="1"/>
  <c r="AB814" i="1"/>
  <c r="AB813" i="1"/>
  <c r="AB812" i="1"/>
  <c r="AB811" i="1"/>
  <c r="AB810" i="1"/>
  <c r="AB809" i="1"/>
  <c r="AB808" i="1"/>
  <c r="AB807" i="1"/>
  <c r="AB806" i="1"/>
  <c r="AB805" i="1"/>
  <c r="AB804" i="1"/>
  <c r="AB803" i="1"/>
  <c r="AB802" i="1"/>
  <c r="AB801" i="1"/>
  <c r="AB800" i="1"/>
  <c r="AB799" i="1"/>
  <c r="AB798" i="1"/>
  <c r="AB797" i="1"/>
  <c r="AB796" i="1"/>
  <c r="AB795" i="1"/>
  <c r="AB794" i="1"/>
  <c r="AB793" i="1"/>
  <c r="AB792" i="1"/>
  <c r="AB791" i="1"/>
  <c r="AB790" i="1"/>
  <c r="AB789" i="1"/>
  <c r="AB788" i="1"/>
  <c r="AB787" i="1"/>
  <c r="AB786" i="1"/>
  <c r="AB785" i="1"/>
  <c r="AB784" i="1"/>
  <c r="AB783" i="1"/>
  <c r="AB782" i="1"/>
  <c r="AB781" i="1"/>
  <c r="AB780" i="1"/>
  <c r="AB779" i="1"/>
  <c r="AB778" i="1"/>
  <c r="AB777" i="1"/>
  <c r="AB776" i="1"/>
  <c r="AB775" i="1"/>
  <c r="AB774" i="1"/>
  <c r="AB773" i="1"/>
  <c r="AB772" i="1"/>
  <c r="AB771" i="1"/>
  <c r="AB770" i="1"/>
  <c r="AB769" i="1"/>
  <c r="AB768" i="1"/>
  <c r="AB767" i="1"/>
  <c r="AB766" i="1"/>
  <c r="AB761" i="1"/>
  <c r="AB760" i="1"/>
  <c r="AB759" i="1"/>
  <c r="AB758" i="1"/>
  <c r="AB757" i="1"/>
  <c r="AB756" i="1"/>
  <c r="AB755" i="1"/>
  <c r="AB754" i="1"/>
  <c r="AB753" i="1"/>
  <c r="AB752" i="1"/>
  <c r="AB751" i="1"/>
  <c r="AB750" i="1"/>
  <c r="AB749" i="1"/>
  <c r="AB748" i="1"/>
  <c r="AB747" i="1"/>
  <c r="AB746" i="1"/>
  <c r="AB745" i="1"/>
  <c r="AB744" i="1"/>
  <c r="AB743" i="1"/>
  <c r="AB742" i="1"/>
  <c r="AB741" i="1"/>
  <c r="AB740" i="1"/>
  <c r="AB739" i="1"/>
  <c r="AB738" i="1"/>
  <c r="AB737" i="1"/>
  <c r="AB736" i="1"/>
  <c r="AB735" i="1"/>
  <c r="AB734" i="1"/>
  <c r="AB733" i="1"/>
  <c r="AB732" i="1"/>
  <c r="AB731" i="1"/>
  <c r="AB730" i="1"/>
  <c r="AB729" i="1"/>
  <c r="AB728" i="1"/>
  <c r="AB727" i="1"/>
  <c r="AB726" i="1"/>
  <c r="AB725" i="1"/>
  <c r="AB724" i="1"/>
  <c r="AB723" i="1"/>
  <c r="AB722" i="1"/>
  <c r="AB721" i="1"/>
  <c r="AB720" i="1"/>
  <c r="AB719" i="1"/>
  <c r="AB718" i="1"/>
  <c r="AB717" i="1"/>
  <c r="AB716" i="1"/>
  <c r="AB715" i="1"/>
  <c r="AB714" i="1"/>
  <c r="AB713" i="1"/>
  <c r="AB712" i="1"/>
  <c r="AB711" i="1"/>
  <c r="AB710" i="1"/>
  <c r="AB709" i="1"/>
  <c r="AB708" i="1"/>
  <c r="AB707" i="1"/>
  <c r="AB706" i="1"/>
  <c r="AB705" i="1"/>
  <c r="AB704" i="1"/>
  <c r="AB703" i="1"/>
  <c r="AB702" i="1"/>
  <c r="AB701" i="1"/>
  <c r="AB700" i="1"/>
  <c r="AB699" i="1"/>
  <c r="AB698" i="1"/>
  <c r="AB697" i="1"/>
  <c r="AB696" i="1"/>
  <c r="AB695" i="1"/>
  <c r="AB694" i="1"/>
  <c r="AB693" i="1"/>
  <c r="AB692" i="1"/>
  <c r="AB691" i="1"/>
  <c r="AB690" i="1"/>
  <c r="AB689" i="1"/>
  <c r="AB688" i="1"/>
  <c r="AB687" i="1"/>
  <c r="AB686" i="1"/>
  <c r="AB685" i="1"/>
  <c r="AB684" i="1"/>
  <c r="AB683" i="1"/>
  <c r="AB682" i="1"/>
  <c r="AB681" i="1"/>
  <c r="AB680" i="1"/>
  <c r="AB679" i="1"/>
  <c r="AB678" i="1"/>
  <c r="AB677" i="1"/>
  <c r="AB676" i="1"/>
  <c r="AB675" i="1"/>
  <c r="AB674" i="1"/>
  <c r="AB673" i="1"/>
  <c r="AB672" i="1"/>
  <c r="AB671" i="1"/>
  <c r="AB670" i="1"/>
  <c r="AB669" i="1"/>
  <c r="AB668" i="1"/>
  <c r="AB667" i="1"/>
  <c r="AB666" i="1"/>
  <c r="AB665" i="1"/>
  <c r="AB664" i="1"/>
  <c r="AB663" i="1"/>
  <c r="AB662" i="1"/>
  <c r="AB657" i="1"/>
  <c r="AB656" i="1"/>
  <c r="AB655" i="1"/>
  <c r="AB654" i="1"/>
  <c r="AB653" i="1"/>
  <c r="AB652" i="1"/>
  <c r="AB651" i="1"/>
  <c r="AB650" i="1"/>
  <c r="AB649" i="1"/>
  <c r="AB648" i="1"/>
  <c r="AB647" i="1"/>
  <c r="AB646" i="1"/>
  <c r="AB645" i="1"/>
  <c r="AB644" i="1"/>
  <c r="AB643" i="1"/>
  <c r="AB642" i="1"/>
  <c r="AB641" i="1"/>
  <c r="AB640" i="1"/>
  <c r="AB639" i="1"/>
  <c r="AB638" i="1"/>
  <c r="AB637" i="1"/>
  <c r="AB636" i="1"/>
  <c r="AB635" i="1"/>
  <c r="AB634" i="1"/>
  <c r="AB633" i="1"/>
  <c r="AB632" i="1"/>
  <c r="AB631" i="1"/>
  <c r="AB630" i="1"/>
  <c r="AB629" i="1"/>
  <c r="AB628" i="1"/>
  <c r="AB627" i="1"/>
  <c r="AB626" i="1"/>
  <c r="AB625" i="1"/>
  <c r="AB624" i="1"/>
  <c r="AB623" i="1"/>
  <c r="AB622" i="1"/>
  <c r="AB621" i="1"/>
  <c r="AB620" i="1"/>
  <c r="AB619" i="1"/>
  <c r="AB618" i="1"/>
  <c r="AB617" i="1"/>
  <c r="AB616" i="1"/>
  <c r="AB615" i="1"/>
  <c r="AB614" i="1"/>
  <c r="AB613" i="1"/>
  <c r="AB612" i="1"/>
  <c r="AB611" i="1"/>
  <c r="AB610" i="1"/>
  <c r="AB609" i="1"/>
  <c r="AB608" i="1"/>
  <c r="AB607" i="1"/>
  <c r="AB606" i="1"/>
  <c r="AB605" i="1"/>
  <c r="AB604" i="1"/>
  <c r="AB603" i="1"/>
  <c r="AB602" i="1"/>
  <c r="AB601" i="1"/>
  <c r="AB600" i="1"/>
  <c r="AB599" i="1"/>
  <c r="AB598" i="1"/>
  <c r="AB597" i="1"/>
  <c r="AB596" i="1"/>
  <c r="AB595" i="1"/>
  <c r="AB594" i="1"/>
  <c r="AB593" i="1"/>
  <c r="AB592" i="1"/>
  <c r="AB591" i="1"/>
  <c r="AB590" i="1"/>
  <c r="AB589" i="1"/>
  <c r="AB588" i="1"/>
  <c r="AB587" i="1"/>
  <c r="AB586" i="1"/>
  <c r="AB585" i="1"/>
  <c r="AB584" i="1"/>
  <c r="AB583" i="1"/>
  <c r="AB582" i="1"/>
  <c r="AB581" i="1"/>
  <c r="AB580" i="1"/>
  <c r="AB579" i="1"/>
  <c r="AB578" i="1"/>
  <c r="AB577" i="1"/>
  <c r="AB576" i="1"/>
  <c r="AB575" i="1"/>
  <c r="AB574" i="1"/>
  <c r="AB573" i="1"/>
  <c r="AB572" i="1"/>
  <c r="AB571" i="1"/>
  <c r="AB570" i="1"/>
  <c r="AB569" i="1"/>
  <c r="AB568" i="1"/>
  <c r="AB567" i="1"/>
  <c r="AB566" i="1"/>
  <c r="AB565" i="1"/>
  <c r="AB564" i="1"/>
  <c r="AB563" i="1"/>
  <c r="AB562" i="1"/>
  <c r="AB561" i="1"/>
  <c r="AB560" i="1"/>
  <c r="AB559" i="1"/>
  <c r="AB558" i="1"/>
  <c r="AB553" i="1"/>
  <c r="AB552" i="1"/>
  <c r="AB551" i="1"/>
  <c r="AB550" i="1"/>
  <c r="AB549" i="1"/>
  <c r="AB548" i="1"/>
  <c r="AB547" i="1"/>
  <c r="AB546" i="1"/>
  <c r="AB545" i="1"/>
  <c r="AB544" i="1"/>
  <c r="AB543" i="1"/>
  <c r="AB542" i="1"/>
  <c r="AB541" i="1"/>
  <c r="AB540" i="1"/>
  <c r="AB539" i="1"/>
  <c r="AB538" i="1"/>
  <c r="AB537" i="1"/>
  <c r="AB536" i="1"/>
  <c r="AB535" i="1"/>
  <c r="AB534" i="1"/>
  <c r="AB533" i="1"/>
  <c r="AB532" i="1"/>
  <c r="AB531" i="1"/>
  <c r="AB530" i="1"/>
  <c r="AB529" i="1"/>
  <c r="AB528" i="1"/>
  <c r="AB527" i="1"/>
  <c r="AB526" i="1"/>
  <c r="AB525" i="1"/>
  <c r="AB524" i="1"/>
  <c r="AB523" i="1"/>
  <c r="AB522" i="1"/>
  <c r="AB521" i="1"/>
  <c r="AB520" i="1"/>
  <c r="AB519" i="1"/>
  <c r="AB518" i="1"/>
  <c r="AB517" i="1"/>
  <c r="AB516" i="1"/>
  <c r="AB515" i="1"/>
  <c r="AB514" i="1"/>
  <c r="AB513" i="1"/>
  <c r="AB512" i="1"/>
  <c r="AB511" i="1"/>
  <c r="AB510" i="1"/>
  <c r="AB509" i="1"/>
  <c r="AB504" i="1"/>
  <c r="AB503" i="1"/>
  <c r="AB502" i="1"/>
  <c r="AB501" i="1"/>
  <c r="AB500" i="1"/>
  <c r="AB499" i="1"/>
  <c r="AB498" i="1"/>
  <c r="AB497" i="1"/>
  <c r="AB496" i="1"/>
  <c r="AB495" i="1"/>
  <c r="AB494" i="1"/>
  <c r="AB493" i="1"/>
  <c r="AB492" i="1"/>
  <c r="AB491" i="1"/>
  <c r="AB490" i="1"/>
  <c r="AB489" i="1"/>
  <c r="AB488" i="1"/>
  <c r="AB487" i="1"/>
  <c r="AB486" i="1"/>
  <c r="AB485" i="1"/>
  <c r="AB484" i="1"/>
  <c r="AB483" i="1"/>
  <c r="AB482" i="1"/>
  <c r="AB481" i="1"/>
  <c r="AB480" i="1"/>
  <c r="AB479" i="1"/>
  <c r="AB478" i="1"/>
  <c r="AB477" i="1"/>
  <c r="AB476" i="1"/>
  <c r="AB475" i="1"/>
  <c r="AB474" i="1"/>
  <c r="AB473" i="1"/>
  <c r="AB472" i="1"/>
  <c r="AB471" i="1"/>
  <c r="AB470" i="1"/>
  <c r="AB469" i="1"/>
  <c r="AB468" i="1"/>
  <c r="AB467" i="1"/>
  <c r="AB466" i="1"/>
  <c r="AB465" i="1"/>
  <c r="AB464" i="1"/>
  <c r="AB463" i="1"/>
  <c r="AB462" i="1"/>
  <c r="AB461" i="1"/>
  <c r="AB460" i="1"/>
  <c r="AB455" i="1"/>
  <c r="AB454" i="1"/>
  <c r="AB453" i="1"/>
  <c r="AB452" i="1"/>
  <c r="AB451" i="1"/>
  <c r="AB450" i="1"/>
  <c r="AB449" i="1"/>
  <c r="AB448" i="1"/>
  <c r="AB447" i="1"/>
  <c r="AB446" i="1"/>
  <c r="AB445" i="1"/>
  <c r="AB444" i="1"/>
  <c r="AB443" i="1"/>
  <c r="AB442" i="1"/>
  <c r="AB441" i="1"/>
  <c r="AB440" i="1"/>
  <c r="AB439" i="1"/>
  <c r="AB438" i="1"/>
  <c r="AB437" i="1"/>
  <c r="AB436" i="1"/>
  <c r="AB435" i="1"/>
  <c r="AB434" i="1"/>
  <c r="AB433" i="1"/>
  <c r="AB432" i="1"/>
  <c r="AB431" i="1"/>
  <c r="AB430" i="1"/>
  <c r="AB429" i="1"/>
  <c r="AB428" i="1"/>
  <c r="AB427" i="1"/>
  <c r="AB426" i="1"/>
  <c r="AB425" i="1"/>
  <c r="AB424" i="1"/>
  <c r="AB423" i="1"/>
  <c r="AB422" i="1"/>
  <c r="AB421" i="1"/>
  <c r="AB420" i="1"/>
  <c r="AB415" i="1"/>
  <c r="AB414" i="1"/>
  <c r="AB413" i="1"/>
  <c r="AB412" i="1"/>
  <c r="AB411" i="1"/>
  <c r="AB410" i="1"/>
  <c r="AB409" i="1"/>
  <c r="AB408" i="1"/>
  <c r="AB407" i="1"/>
  <c r="AB406" i="1"/>
  <c r="AB405" i="1"/>
  <c r="AB404" i="1"/>
  <c r="AB403" i="1"/>
  <c r="AB402" i="1"/>
  <c r="AB401" i="1"/>
  <c r="AB400" i="1"/>
  <c r="AB399" i="1"/>
  <c r="AB398" i="1"/>
  <c r="AB397" i="1"/>
  <c r="AB396" i="1"/>
  <c r="AB395" i="1"/>
  <c r="AB394" i="1"/>
  <c r="AB393" i="1"/>
  <c r="AB392" i="1"/>
  <c r="AB391" i="1"/>
  <c r="AB390" i="1"/>
  <c r="AB389" i="1"/>
  <c r="AB388" i="1"/>
  <c r="AB387" i="1"/>
  <c r="AB386" i="1"/>
  <c r="AB385" i="1"/>
  <c r="AB384" i="1"/>
  <c r="AB383" i="1"/>
  <c r="AB382" i="1"/>
  <c r="AB381" i="1"/>
  <c r="AB380" i="1"/>
  <c r="AB371" i="1"/>
  <c r="AB370" i="1"/>
  <c r="AB369" i="1"/>
  <c r="AB368" i="1"/>
  <c r="AB367" i="1"/>
  <c r="AB366" i="1"/>
  <c r="AB365" i="1"/>
  <c r="AB364" i="1"/>
  <c r="AB363" i="1"/>
  <c r="AB362" i="1"/>
  <c r="AB361" i="1"/>
  <c r="AB360" i="1"/>
  <c r="AB359" i="1"/>
  <c r="AB358" i="1"/>
  <c r="AB357" i="1"/>
  <c r="AB356" i="1"/>
  <c r="AB355" i="1"/>
  <c r="AB354" i="1"/>
  <c r="AB353" i="1"/>
  <c r="AB352" i="1"/>
  <c r="AB351" i="1"/>
  <c r="AB350" i="1"/>
  <c r="AB349" i="1"/>
  <c r="AB348" i="1"/>
  <c r="AB347" i="1"/>
  <c r="AB346" i="1"/>
  <c r="AB345" i="1"/>
  <c r="AB344" i="1"/>
  <c r="AB343" i="1"/>
  <c r="AB342" i="1"/>
  <c r="AB341" i="1"/>
  <c r="AB340" i="1"/>
  <c r="AB331" i="1"/>
  <c r="AB330" i="1"/>
  <c r="AB329" i="1"/>
  <c r="AB328" i="1"/>
  <c r="AB327" i="1"/>
  <c r="AB326" i="1"/>
  <c r="AB325" i="1"/>
  <c r="AB324" i="1"/>
  <c r="AB323" i="1"/>
  <c r="AB322" i="1"/>
  <c r="AB321" i="1"/>
  <c r="AB320" i="1"/>
  <c r="AB319" i="1"/>
  <c r="AB318" i="1"/>
  <c r="AB317" i="1"/>
  <c r="AB316" i="1"/>
  <c r="AB315" i="1"/>
  <c r="AB314" i="1"/>
  <c r="AB313" i="1"/>
  <c r="AB312" i="1"/>
  <c r="AB311" i="1"/>
  <c r="AB310" i="1"/>
  <c r="AB309" i="1"/>
  <c r="AB308" i="1"/>
  <c r="AB307" i="1"/>
  <c r="AB306" i="1"/>
  <c r="AB305" i="1"/>
  <c r="AB304" i="1"/>
  <c r="AB303" i="1"/>
  <c r="AB302" i="1"/>
  <c r="AB301" i="1"/>
  <c r="AB300" i="1"/>
  <c r="AB294" i="1"/>
  <c r="AB293" i="1"/>
  <c r="AB292" i="1"/>
  <c r="AB291" i="1"/>
  <c r="AB290" i="1"/>
  <c r="AB289" i="1"/>
  <c r="AB288" i="1"/>
  <c r="AB287" i="1"/>
  <c r="AB286" i="1"/>
  <c r="AB285" i="1"/>
  <c r="AB284" i="1"/>
  <c r="AB283" i="1"/>
  <c r="AB282" i="1"/>
  <c r="AB281" i="1"/>
  <c r="AB280" i="1"/>
  <c r="AB279" i="1"/>
  <c r="AB278" i="1"/>
  <c r="AB277" i="1"/>
  <c r="AB276" i="1"/>
  <c r="AB275" i="1"/>
  <c r="AB274" i="1"/>
  <c r="AB273" i="1"/>
  <c r="AB272" i="1"/>
  <c r="AB271" i="1"/>
  <c r="AB270" i="1"/>
  <c r="AB269" i="1"/>
  <c r="AB268" i="1"/>
  <c r="AB267" i="1"/>
  <c r="AB266" i="1"/>
  <c r="AB265" i="1"/>
  <c r="AB264" i="1"/>
  <c r="AB263" i="1"/>
  <c r="AB262" i="1"/>
  <c r="AB261" i="1"/>
  <c r="AB260" i="1"/>
  <c r="AB259" i="1"/>
  <c r="AB258" i="1"/>
  <c r="AB257" i="1"/>
  <c r="AB256" i="1"/>
  <c r="AB255" i="1"/>
  <c r="AB254" i="1"/>
  <c r="AB253" i="1"/>
  <c r="AB252" i="1"/>
  <c r="AB251" i="1"/>
  <c r="AB250" i="1"/>
  <c r="AB249" i="1"/>
  <c r="AB248" i="1"/>
  <c r="AB247" i="1"/>
  <c r="AB246" i="1"/>
  <c r="AB245" i="1"/>
  <c r="AB244" i="1"/>
  <c r="AB243" i="1"/>
  <c r="AB242" i="1"/>
  <c r="AB241" i="1"/>
  <c r="AB240" i="1"/>
  <c r="AB239" i="1"/>
  <c r="AB238" i="1"/>
  <c r="AB237" i="1"/>
  <c r="AB236" i="1"/>
  <c r="AB235" i="1"/>
  <c r="AB234" i="1"/>
  <c r="AB233" i="1"/>
  <c r="AB232" i="1"/>
  <c r="AB231" i="1"/>
  <c r="AB230" i="1"/>
  <c r="AB229" i="1"/>
  <c r="AB228" i="1"/>
  <c r="AB227" i="1"/>
  <c r="AB226" i="1"/>
  <c r="AB225" i="1"/>
  <c r="AB224" i="1"/>
  <c r="AB223" i="1"/>
  <c r="AB222" i="1"/>
  <c r="AB221" i="1"/>
  <c r="AB220" i="1"/>
  <c r="AB219" i="1"/>
  <c r="AB218" i="1"/>
  <c r="AB217" i="1"/>
  <c r="AB216" i="1"/>
  <c r="AB215" i="1"/>
  <c r="AB214" i="1"/>
  <c r="AB213" i="1"/>
  <c r="AB212" i="1"/>
  <c r="AB211" i="1"/>
  <c r="AB210" i="1"/>
  <c r="AB209" i="1"/>
  <c r="AB208" i="1"/>
  <c r="AB207" i="1"/>
  <c r="AB206" i="1"/>
  <c r="AB205" i="1"/>
  <c r="AB204" i="1"/>
  <c r="AB203" i="1"/>
  <c r="AB202" i="1"/>
  <c r="AB201" i="1"/>
  <c r="AB200" i="1"/>
  <c r="AB199" i="1"/>
  <c r="AB198" i="1"/>
  <c r="AB197" i="1"/>
  <c r="AB196" i="1"/>
  <c r="AB195" i="1"/>
  <c r="AB194" i="1"/>
  <c r="AB193" i="1"/>
  <c r="AB192" i="1"/>
  <c r="AB191" i="1"/>
  <c r="AB190" i="1"/>
  <c r="AB189" i="1"/>
  <c r="AB188" i="1"/>
  <c r="AB187" i="1"/>
  <c r="AB178" i="1"/>
  <c r="AB177" i="1"/>
  <c r="AB176" i="1"/>
  <c r="AB175" i="1"/>
  <c r="AB174" i="1"/>
  <c r="AB173" i="1"/>
  <c r="AB172" i="1"/>
  <c r="AB171" i="1"/>
  <c r="AB170" i="1"/>
  <c r="AB169" i="1"/>
  <c r="AB168" i="1"/>
  <c r="AB167" i="1"/>
  <c r="AB166" i="1"/>
  <c r="AB165" i="1"/>
  <c r="AB164" i="1"/>
  <c r="AB163" i="1"/>
  <c r="AB162" i="1"/>
  <c r="AB161" i="1"/>
  <c r="AB160" i="1"/>
  <c r="AB159" i="1"/>
  <c r="AB158" i="1"/>
  <c r="AB157" i="1"/>
  <c r="AB156" i="1"/>
  <c r="AB155" i="1"/>
  <c r="AB154" i="1"/>
  <c r="AB153" i="1"/>
  <c r="AB152" i="1"/>
  <c r="AB151" i="1"/>
  <c r="AB150" i="1"/>
  <c r="AB149" i="1"/>
  <c r="AB148" i="1"/>
  <c r="AB147" i="1"/>
  <c r="AB142" i="1"/>
  <c r="AB141" i="1"/>
  <c r="AB140" i="1"/>
  <c r="AB139" i="1"/>
  <c r="AB138" i="1"/>
  <c r="AB137" i="1"/>
  <c r="AB136" i="1"/>
  <c r="AB135" i="1"/>
  <c r="AB134" i="1"/>
  <c r="AB133" i="1"/>
  <c r="AB132" i="1"/>
  <c r="AB131" i="1"/>
  <c r="AB130" i="1"/>
  <c r="AB129" i="1"/>
  <c r="AB128" i="1"/>
  <c r="AB127" i="1"/>
  <c r="AB126" i="1"/>
  <c r="AB125" i="1"/>
  <c r="AB124" i="1"/>
  <c r="AB123" i="1"/>
  <c r="AB122" i="1"/>
  <c r="AB121" i="1"/>
  <c r="AB120" i="1"/>
  <c r="AB119" i="1"/>
  <c r="AB118" i="1"/>
  <c r="AB117" i="1"/>
  <c r="AB116" i="1"/>
  <c r="AB115" i="1"/>
  <c r="AB114" i="1"/>
  <c r="AB113" i="1"/>
  <c r="AB112" i="1"/>
  <c r="AB111" i="1"/>
  <c r="AB106" i="1"/>
  <c r="AB105" i="1"/>
  <c r="AB104" i="1"/>
  <c r="AB103" i="1"/>
  <c r="AB102" i="1"/>
  <c r="AB101" i="1"/>
  <c r="AB100" i="1"/>
  <c r="AB99" i="1"/>
  <c r="AB98" i="1"/>
  <c r="AB97" i="1"/>
  <c r="AB96" i="1"/>
  <c r="AB95" i="1"/>
  <c r="AB94" i="1"/>
  <c r="AB93" i="1"/>
  <c r="AB92" i="1"/>
  <c r="AB91" i="1"/>
  <c r="AB90" i="1"/>
  <c r="AB89" i="1"/>
  <c r="AB88" i="1"/>
  <c r="AB87" i="1"/>
  <c r="AB86" i="1"/>
  <c r="AB85" i="1"/>
  <c r="AB84" i="1"/>
  <c r="AB83" i="1"/>
  <c r="AB82" i="1"/>
  <c r="AB81" i="1"/>
  <c r="AB80" i="1"/>
  <c r="AB79" i="1"/>
  <c r="AB78" i="1"/>
  <c r="AB77" i="1"/>
  <c r="AB76" i="1"/>
  <c r="AB75" i="1"/>
  <c r="AB70" i="1"/>
  <c r="AB69" i="1"/>
  <c r="AB68" i="1"/>
  <c r="AB67" i="1"/>
  <c r="AB66" i="1"/>
  <c r="AB65" i="1"/>
  <c r="AB64" i="1"/>
  <c r="AB63" i="1"/>
  <c r="AB62" i="1"/>
  <c r="AB61" i="1"/>
  <c r="AB60" i="1"/>
  <c r="AB59" i="1"/>
  <c r="AB58" i="1"/>
  <c r="AB57" i="1"/>
  <c r="AB56" i="1"/>
  <c r="AB55" i="1"/>
  <c r="AB54" i="1"/>
  <c r="AB53" i="1"/>
  <c r="AB52" i="1"/>
  <c r="AB51" i="1"/>
  <c r="AB50" i="1"/>
  <c r="AB49" i="1"/>
  <c r="AB48" i="1"/>
  <c r="AB47" i="1"/>
  <c r="AB46" i="1"/>
  <c r="AB45" i="1"/>
  <c r="AB44" i="1"/>
  <c r="AB43" i="1"/>
  <c r="AB42" i="1"/>
  <c r="AB41" i="1"/>
  <c r="AB40" i="1"/>
  <c r="AB39" i="1"/>
  <c r="AB34" i="1"/>
  <c r="AB33" i="1"/>
  <c r="AB32" i="1"/>
  <c r="AB31" i="1"/>
  <c r="AB30" i="1"/>
  <c r="AB29" i="1"/>
  <c r="AB28" i="1"/>
  <c r="AB27" i="1"/>
  <c r="AB26" i="1"/>
  <c r="AB25" i="1"/>
  <c r="AB24" i="1"/>
  <c r="AB23" i="1"/>
  <c r="AB22" i="1"/>
  <c r="AB21" i="1"/>
  <c r="AB20" i="1"/>
  <c r="AB19" i="1"/>
  <c r="AB18" i="1"/>
  <c r="AB17" i="1"/>
  <c r="AB16" i="1"/>
  <c r="AB15" i="1"/>
  <c r="AB14" i="1"/>
  <c r="AB13" i="1"/>
  <c r="AB12" i="1"/>
  <c r="AB11" i="1"/>
  <c r="AB10" i="1"/>
  <c r="AB9" i="1"/>
  <c r="AB8" i="1"/>
  <c r="AB7" i="1"/>
  <c r="AB6" i="1"/>
  <c r="AB5" i="1"/>
  <c r="AB4" i="1"/>
  <c r="AB3" i="1"/>
  <c r="AS1400" i="1" l="1"/>
  <c r="AS1426" i="1"/>
  <c r="AS1452" i="1"/>
  <c r="AS1488" i="1"/>
  <c r="AS1557" i="1"/>
  <c r="AS1583" i="1"/>
  <c r="AS1609" i="1"/>
  <c r="AS1665" i="1"/>
  <c r="AS1710" i="1"/>
  <c r="AS1758" i="1"/>
  <c r="AS1855" i="1"/>
  <c r="AS1398" i="1"/>
  <c r="AS1424" i="1"/>
  <c r="AS1450" i="1"/>
  <c r="AS1486" i="1"/>
  <c r="AS1555" i="1"/>
  <c r="AS1581" i="1"/>
  <c r="AS1607" i="1"/>
  <c r="AS1663" i="1"/>
  <c r="AS1708" i="1"/>
  <c r="AS1756" i="1"/>
  <c r="AS1853" i="1"/>
  <c r="AS1399" i="1"/>
  <c r="AS1425" i="1"/>
  <c r="AS1451" i="1"/>
  <c r="AS1487" i="1"/>
  <c r="AS1556" i="1"/>
  <c r="AS1582" i="1"/>
  <c r="AS1608" i="1"/>
  <c r="AS1664" i="1"/>
  <c r="AS1709" i="1"/>
  <c r="AS1757" i="1"/>
  <c r="AS1854" i="1"/>
  <c r="BM46" i="1" a="1"/>
  <c r="BM46" i="1" s="1"/>
  <c r="BL46" i="1"/>
  <c r="BK46" i="1"/>
  <c r="BD1855" i="1"/>
  <c r="AU1855" i="1"/>
  <c r="AK1855" i="1" a="1"/>
  <c r="AK1855" i="1" s="1"/>
  <c r="O1855" i="1"/>
  <c r="N1855" i="1"/>
  <c r="M1855" i="1"/>
  <c r="L1855" i="1"/>
  <c r="K1855" i="1"/>
  <c r="A1855" i="1"/>
  <c r="BM45" i="1" a="1"/>
  <c r="BM45" i="1" s="1"/>
  <c r="BL45" i="1"/>
  <c r="BK45" i="1"/>
  <c r="BD1758" i="1"/>
  <c r="AU1758" i="1"/>
  <c r="AK1758" i="1" a="1"/>
  <c r="AK1758" i="1" s="1"/>
  <c r="O1758" i="1"/>
  <c r="N1758" i="1"/>
  <c r="M1758" i="1"/>
  <c r="L1758" i="1"/>
  <c r="K1758" i="1"/>
  <c r="A1758" i="1"/>
  <c r="BM44" i="1" a="1"/>
  <c r="BM44" i="1" s="1"/>
  <c r="BL44" i="1"/>
  <c r="BK44" i="1"/>
  <c r="BD1710" i="1"/>
  <c r="AU1710" i="1"/>
  <c r="AK1710" i="1" a="1"/>
  <c r="AK1710" i="1" s="1"/>
  <c r="O1710" i="1"/>
  <c r="N1710" i="1"/>
  <c r="M1710" i="1"/>
  <c r="L1710" i="1"/>
  <c r="K1710" i="1"/>
  <c r="A1710" i="1"/>
  <c r="BM43" i="1" a="1"/>
  <c r="BM43" i="1" s="1"/>
  <c r="BL43" i="1"/>
  <c r="BK43" i="1"/>
  <c r="BD1665" i="1"/>
  <c r="AU1665" i="1"/>
  <c r="AK1665" i="1" a="1"/>
  <c r="AK1665" i="1" s="1"/>
  <c r="O1665" i="1"/>
  <c r="N1665" i="1"/>
  <c r="M1665" i="1"/>
  <c r="L1665" i="1"/>
  <c r="K1665" i="1"/>
  <c r="A1665" i="1"/>
  <c r="BM42" i="1" a="1"/>
  <c r="BM42" i="1" s="1"/>
  <c r="BL42" i="1"/>
  <c r="BK42" i="1"/>
  <c r="BD1609" i="1"/>
  <c r="AU1609" i="1"/>
  <c r="AK1609" i="1" a="1"/>
  <c r="AK1609" i="1" s="1"/>
  <c r="O1609" i="1"/>
  <c r="N1609" i="1"/>
  <c r="M1609" i="1"/>
  <c r="L1609" i="1"/>
  <c r="K1609" i="1"/>
  <c r="A1609" i="1"/>
  <c r="BM41" i="1" a="1"/>
  <c r="BM41" i="1" s="1"/>
  <c r="BL41" i="1"/>
  <c r="BK41" i="1"/>
  <c r="BD1583" i="1"/>
  <c r="AU1583" i="1"/>
  <c r="AK1583" i="1" a="1"/>
  <c r="AK1583" i="1" s="1"/>
  <c r="O1583" i="1"/>
  <c r="N1583" i="1"/>
  <c r="M1583" i="1"/>
  <c r="L1583" i="1"/>
  <c r="K1583" i="1"/>
  <c r="A1583" i="1"/>
  <c r="BM40" i="1" a="1"/>
  <c r="BM40" i="1" s="1"/>
  <c r="BL40" i="1"/>
  <c r="BK40" i="1"/>
  <c r="BD1557" i="1"/>
  <c r="AU1557" i="1"/>
  <c r="AK1557" i="1" a="1"/>
  <c r="AK1557" i="1" s="1"/>
  <c r="O1557" i="1"/>
  <c r="N1557" i="1"/>
  <c r="M1557" i="1"/>
  <c r="L1557" i="1"/>
  <c r="K1557" i="1"/>
  <c r="A1557" i="1"/>
  <c r="BM39" i="1" a="1"/>
  <c r="BM39" i="1" s="1"/>
  <c r="BL39" i="1"/>
  <c r="BK39" i="1"/>
  <c r="BD1488" i="1"/>
  <c r="AU1488" i="1"/>
  <c r="AK1488" i="1" a="1"/>
  <c r="AK1488" i="1" s="1"/>
  <c r="O1488" i="1"/>
  <c r="N1488" i="1"/>
  <c r="M1488" i="1"/>
  <c r="L1488" i="1"/>
  <c r="K1488" i="1"/>
  <c r="A1488" i="1"/>
  <c r="BM38" i="1" a="1"/>
  <c r="BM38" i="1" s="1"/>
  <c r="BL38" i="1"/>
  <c r="BK38" i="1"/>
  <c r="BD1452" i="1"/>
  <c r="AU1452" i="1"/>
  <c r="AK1452" i="1" a="1"/>
  <c r="AK1452" i="1" s="1"/>
  <c r="O1452" i="1"/>
  <c r="N1452" i="1"/>
  <c r="M1452" i="1"/>
  <c r="L1452" i="1"/>
  <c r="K1452" i="1"/>
  <c r="A1452" i="1"/>
  <c r="BM37" i="1" a="1"/>
  <c r="BM37" i="1" s="1"/>
  <c r="BL37" i="1"/>
  <c r="BK37" i="1"/>
  <c r="BD1426" i="1"/>
  <c r="AU1426" i="1"/>
  <c r="AK1426" i="1" a="1"/>
  <c r="AK1426" i="1" s="1"/>
  <c r="O1426" i="1"/>
  <c r="N1426" i="1"/>
  <c r="M1426" i="1"/>
  <c r="L1426" i="1"/>
  <c r="K1426" i="1"/>
  <c r="A1426" i="1"/>
  <c r="BM36" i="1" a="1"/>
  <c r="BM36" i="1" s="1"/>
  <c r="BL36" i="1"/>
  <c r="BK36" i="1"/>
  <c r="BD1400" i="1"/>
  <c r="AU1400" i="1"/>
  <c r="AK1400" i="1" a="1"/>
  <c r="AK1400" i="1" s="1"/>
  <c r="O1400" i="1"/>
  <c r="N1400" i="1"/>
  <c r="M1400" i="1"/>
  <c r="L1400" i="1"/>
  <c r="K1400" i="1"/>
  <c r="A1400" i="1"/>
  <c r="BM35" i="1" a="1"/>
  <c r="BM35" i="1" s="1"/>
  <c r="BL35" i="1"/>
  <c r="BK35" i="1"/>
  <c r="BD1853" i="1"/>
  <c r="AU1853" i="1"/>
  <c r="AK1853" i="1" a="1"/>
  <c r="AK1853" i="1" s="1"/>
  <c r="O1853" i="1"/>
  <c r="N1853" i="1"/>
  <c r="M1853" i="1"/>
  <c r="L1853" i="1"/>
  <c r="K1853" i="1"/>
  <c r="A1853" i="1"/>
  <c r="BM34" i="1" a="1"/>
  <c r="BM34" i="1" s="1"/>
  <c r="BL34" i="1"/>
  <c r="BK34" i="1"/>
  <c r="BD1756" i="1"/>
  <c r="AU1756" i="1"/>
  <c r="AK1756" i="1" a="1"/>
  <c r="AK1756" i="1" s="1"/>
  <c r="O1756" i="1"/>
  <c r="N1756" i="1"/>
  <c r="M1756" i="1"/>
  <c r="L1756" i="1"/>
  <c r="K1756" i="1"/>
  <c r="A1756" i="1"/>
  <c r="BM33" i="1" a="1"/>
  <c r="BM33" i="1" s="1"/>
  <c r="BL33" i="1"/>
  <c r="BK33" i="1"/>
  <c r="BD1708" i="1"/>
  <c r="AU1708" i="1"/>
  <c r="AK1708" i="1" a="1"/>
  <c r="AK1708" i="1" s="1"/>
  <c r="O1708" i="1"/>
  <c r="N1708" i="1"/>
  <c r="M1708" i="1"/>
  <c r="L1708" i="1"/>
  <c r="K1708" i="1"/>
  <c r="A1708" i="1"/>
  <c r="BM32" i="1" a="1"/>
  <c r="BM32" i="1" s="1"/>
  <c r="BL32" i="1"/>
  <c r="BK32" i="1"/>
  <c r="BD1663" i="1"/>
  <c r="AU1663" i="1"/>
  <c r="AK1663" i="1" a="1"/>
  <c r="AK1663" i="1" s="1"/>
  <c r="O1663" i="1"/>
  <c r="N1663" i="1"/>
  <c r="M1663" i="1"/>
  <c r="L1663" i="1"/>
  <c r="K1663" i="1"/>
  <c r="A1663" i="1"/>
  <c r="BM31" i="1" a="1"/>
  <c r="BM31" i="1" s="1"/>
  <c r="BL31" i="1"/>
  <c r="BK31" i="1"/>
  <c r="BD1607" i="1"/>
  <c r="AU1607" i="1"/>
  <c r="AK1607" i="1" a="1"/>
  <c r="AK1607" i="1" s="1"/>
  <c r="O1607" i="1"/>
  <c r="N1607" i="1"/>
  <c r="M1607" i="1"/>
  <c r="L1607" i="1"/>
  <c r="K1607" i="1"/>
  <c r="A1607" i="1"/>
  <c r="BM30" i="1" a="1"/>
  <c r="BM30" i="1" s="1"/>
  <c r="BL30" i="1"/>
  <c r="BK30" i="1"/>
  <c r="BD1581" i="1"/>
  <c r="AU1581" i="1"/>
  <c r="AK1581" i="1" a="1"/>
  <c r="AK1581" i="1" s="1"/>
  <c r="O1581" i="1"/>
  <c r="N1581" i="1"/>
  <c r="M1581" i="1"/>
  <c r="L1581" i="1"/>
  <c r="K1581" i="1"/>
  <c r="A1581" i="1"/>
  <c r="BM29" i="1" a="1"/>
  <c r="BM29" i="1" s="1"/>
  <c r="BL29" i="1"/>
  <c r="BK29" i="1"/>
  <c r="BD1555" i="1"/>
  <c r="AU1555" i="1"/>
  <c r="AK1555" i="1" a="1"/>
  <c r="AK1555" i="1" s="1"/>
  <c r="O1555" i="1"/>
  <c r="N1555" i="1"/>
  <c r="M1555" i="1"/>
  <c r="L1555" i="1"/>
  <c r="K1555" i="1"/>
  <c r="A1555" i="1"/>
  <c r="BM28" i="1" a="1"/>
  <c r="BM28" i="1" s="1"/>
  <c r="BL28" i="1"/>
  <c r="BK28" i="1"/>
  <c r="BD1486" i="1"/>
  <c r="AU1486" i="1"/>
  <c r="AK1486" i="1" a="1"/>
  <c r="AK1486" i="1" s="1"/>
  <c r="O1486" i="1"/>
  <c r="N1486" i="1"/>
  <c r="M1486" i="1"/>
  <c r="L1486" i="1"/>
  <c r="K1486" i="1"/>
  <c r="A1486" i="1"/>
  <c r="BM27" i="1" a="1"/>
  <c r="BM27" i="1" s="1"/>
  <c r="BL27" i="1"/>
  <c r="BK27" i="1"/>
  <c r="BD1450" i="1"/>
  <c r="AU1450" i="1"/>
  <c r="AK1450" i="1" a="1"/>
  <c r="AK1450" i="1" s="1"/>
  <c r="O1450" i="1"/>
  <c r="N1450" i="1"/>
  <c r="M1450" i="1"/>
  <c r="L1450" i="1"/>
  <c r="K1450" i="1"/>
  <c r="A1450" i="1"/>
  <c r="BM26" i="1" a="1"/>
  <c r="BM26" i="1" s="1"/>
  <c r="BL26" i="1"/>
  <c r="BK26" i="1"/>
  <c r="BD1424" i="1"/>
  <c r="AU1424" i="1"/>
  <c r="AK1424" i="1" a="1"/>
  <c r="AK1424" i="1" s="1"/>
  <c r="O1424" i="1"/>
  <c r="N1424" i="1"/>
  <c r="M1424" i="1"/>
  <c r="L1424" i="1"/>
  <c r="K1424" i="1"/>
  <c r="A1424" i="1"/>
  <c r="BM25" i="1" a="1"/>
  <c r="BM25" i="1" s="1"/>
  <c r="BL25" i="1"/>
  <c r="BK25" i="1"/>
  <c r="BD1398" i="1"/>
  <c r="AU1398" i="1"/>
  <c r="AK1398" i="1" a="1"/>
  <c r="AK1398" i="1" s="1"/>
  <c r="O1398" i="1"/>
  <c r="N1398" i="1"/>
  <c r="M1398" i="1"/>
  <c r="L1398" i="1"/>
  <c r="K1398" i="1"/>
  <c r="A1398" i="1"/>
  <c r="BM24" i="1" a="1"/>
  <c r="BM24" i="1" s="1"/>
  <c r="BL24" i="1"/>
  <c r="BK24" i="1"/>
  <c r="BD1854" i="1"/>
  <c r="AU1854" i="1"/>
  <c r="AK1854" i="1" a="1"/>
  <c r="AK1854" i="1" s="1"/>
  <c r="O1854" i="1"/>
  <c r="N1854" i="1"/>
  <c r="M1854" i="1"/>
  <c r="L1854" i="1"/>
  <c r="K1854" i="1"/>
  <c r="A1854" i="1"/>
  <c r="BM23" i="1" a="1"/>
  <c r="BM23" i="1" s="1"/>
  <c r="BL23" i="1"/>
  <c r="BK23" i="1"/>
  <c r="BD1757" i="1"/>
  <c r="AU1757" i="1"/>
  <c r="AK1757" i="1" a="1"/>
  <c r="AK1757" i="1" s="1"/>
  <c r="O1757" i="1"/>
  <c r="N1757" i="1"/>
  <c r="M1757" i="1"/>
  <c r="L1757" i="1"/>
  <c r="K1757" i="1"/>
  <c r="A1757" i="1"/>
  <c r="BM22" i="1" a="1"/>
  <c r="BM22" i="1" s="1"/>
  <c r="BL22" i="1"/>
  <c r="BK22" i="1"/>
  <c r="BD1709" i="1"/>
  <c r="AU1709" i="1"/>
  <c r="AK1709" i="1" a="1"/>
  <c r="AK1709" i="1" s="1"/>
  <c r="O1709" i="1"/>
  <c r="N1709" i="1"/>
  <c r="M1709" i="1"/>
  <c r="L1709" i="1"/>
  <c r="K1709" i="1"/>
  <c r="A1709" i="1"/>
  <c r="BM21" i="1" a="1"/>
  <c r="BM21" i="1" s="1"/>
  <c r="BL21" i="1"/>
  <c r="BK21" i="1"/>
  <c r="BD1664" i="1"/>
  <c r="AU1664" i="1"/>
  <c r="AK1664" i="1" a="1"/>
  <c r="AK1664" i="1" s="1"/>
  <c r="O1664" i="1"/>
  <c r="N1664" i="1"/>
  <c r="M1664" i="1"/>
  <c r="L1664" i="1"/>
  <c r="K1664" i="1"/>
  <c r="A1664" i="1"/>
  <c r="BM20" i="1" a="1"/>
  <c r="BM20" i="1" s="1"/>
  <c r="BL20" i="1"/>
  <c r="BK20" i="1"/>
  <c r="BD1608" i="1"/>
  <c r="AU1608" i="1"/>
  <c r="AK1608" i="1" a="1"/>
  <c r="AK1608" i="1" s="1"/>
  <c r="O1608" i="1"/>
  <c r="N1608" i="1"/>
  <c r="M1608" i="1"/>
  <c r="L1608" i="1"/>
  <c r="K1608" i="1"/>
  <c r="A1608" i="1"/>
  <c r="BM19" i="1" a="1"/>
  <c r="BM19" i="1" s="1"/>
  <c r="BL19" i="1"/>
  <c r="BK19" i="1"/>
  <c r="BD1582" i="1"/>
  <c r="AU1582" i="1"/>
  <c r="AK1582" i="1" a="1"/>
  <c r="AK1582" i="1" s="1"/>
  <c r="O1582" i="1"/>
  <c r="N1582" i="1"/>
  <c r="M1582" i="1"/>
  <c r="L1582" i="1"/>
  <c r="K1582" i="1"/>
  <c r="A1582" i="1"/>
  <c r="BM18" i="1" a="1"/>
  <c r="BM18" i="1" s="1"/>
  <c r="BL18" i="1"/>
  <c r="BK18" i="1"/>
  <c r="BD1556" i="1"/>
  <c r="AU1556" i="1"/>
  <c r="AK1556" i="1" a="1"/>
  <c r="AK1556" i="1" s="1"/>
  <c r="O1556" i="1"/>
  <c r="N1556" i="1"/>
  <c r="M1556" i="1"/>
  <c r="L1556" i="1"/>
  <c r="K1556" i="1"/>
  <c r="A1556" i="1"/>
  <c r="BM17" i="1" a="1"/>
  <c r="BM17" i="1" s="1"/>
  <c r="BL17" i="1"/>
  <c r="BK17" i="1"/>
  <c r="BD1487" i="1"/>
  <c r="AU1487" i="1"/>
  <c r="AK1487" i="1" a="1"/>
  <c r="AK1487" i="1" s="1"/>
  <c r="O1487" i="1"/>
  <c r="N1487" i="1"/>
  <c r="M1487" i="1"/>
  <c r="L1487" i="1"/>
  <c r="K1487" i="1"/>
  <c r="A1487" i="1"/>
  <c r="BM16" i="1" a="1"/>
  <c r="BM16" i="1" s="1"/>
  <c r="BL16" i="1"/>
  <c r="BK16" i="1"/>
  <c r="BD1451" i="1"/>
  <c r="AU1451" i="1"/>
  <c r="AK1451" i="1" a="1"/>
  <c r="AK1451" i="1" s="1"/>
  <c r="O1451" i="1"/>
  <c r="N1451" i="1"/>
  <c r="M1451" i="1"/>
  <c r="L1451" i="1"/>
  <c r="K1451" i="1"/>
  <c r="A1451" i="1"/>
  <c r="BM15" i="1" a="1"/>
  <c r="BM15" i="1" s="1"/>
  <c r="BL15" i="1"/>
  <c r="BK15" i="1"/>
  <c r="BD1425" i="1"/>
  <c r="AU1425" i="1"/>
  <c r="AK1425" i="1" a="1"/>
  <c r="AK1425" i="1" s="1"/>
  <c r="O1425" i="1"/>
  <c r="N1425" i="1"/>
  <c r="M1425" i="1"/>
  <c r="L1425" i="1"/>
  <c r="K1425" i="1"/>
  <c r="A1425" i="1"/>
  <c r="BM14" i="1" a="1"/>
  <c r="BM14" i="1" s="1"/>
  <c r="BL14" i="1"/>
  <c r="BK14" i="1"/>
  <c r="BD1399" i="1"/>
  <c r="AU1399" i="1"/>
  <c r="AK1399" i="1" a="1"/>
  <c r="AK1399" i="1" s="1"/>
  <c r="O1399" i="1"/>
  <c r="N1399" i="1"/>
  <c r="M1399" i="1"/>
  <c r="L1399" i="1"/>
  <c r="K1399" i="1"/>
  <c r="A1399" i="1"/>
  <c r="BM287" i="1" l="1" a="1"/>
  <c r="BM287" i="1" s="1"/>
  <c r="BL287" i="1"/>
  <c r="BK287" i="1"/>
  <c r="BD1851" i="1"/>
  <c r="AU1851" i="1"/>
  <c r="AK1851" i="1" a="1"/>
  <c r="AK1851" i="1" s="1"/>
  <c r="AS1851" i="1"/>
  <c r="O1851" i="1"/>
  <c r="N1851" i="1"/>
  <c r="M1851" i="1"/>
  <c r="L1851" i="1"/>
  <c r="K1851" i="1"/>
  <c r="A1851" i="1"/>
  <c r="BM286" i="1" a="1"/>
  <c r="BM286" i="1" s="1"/>
  <c r="BL286" i="1"/>
  <c r="BK286" i="1"/>
  <c r="BD1847" i="1"/>
  <c r="AU1847" i="1"/>
  <c r="AK1847" i="1" a="1"/>
  <c r="AK1847" i="1" s="1"/>
  <c r="AS1847" i="1"/>
  <c r="O1847" i="1"/>
  <c r="N1847" i="1"/>
  <c r="M1847" i="1"/>
  <c r="L1847" i="1"/>
  <c r="K1847" i="1"/>
  <c r="A1847" i="1"/>
  <c r="BM285" i="1" a="1"/>
  <c r="BM285" i="1" s="1"/>
  <c r="BL285" i="1"/>
  <c r="BK285" i="1"/>
  <c r="BD1843" i="1"/>
  <c r="AU1843" i="1"/>
  <c r="AK1843" i="1" a="1"/>
  <c r="AK1843" i="1" s="1"/>
  <c r="AS1843" i="1"/>
  <c r="O1843" i="1"/>
  <c r="N1843" i="1"/>
  <c r="M1843" i="1"/>
  <c r="L1843" i="1"/>
  <c r="K1843" i="1"/>
  <c r="A1843" i="1"/>
  <c r="BM284" i="1" a="1"/>
  <c r="BM284" i="1" s="1"/>
  <c r="BL284" i="1"/>
  <c r="BK284" i="1"/>
  <c r="BD1839" i="1"/>
  <c r="AU1839" i="1"/>
  <c r="AK1839" i="1" a="1"/>
  <c r="AK1839" i="1" s="1"/>
  <c r="AS1839" i="1"/>
  <c r="O1839" i="1"/>
  <c r="N1839" i="1"/>
  <c r="M1839" i="1"/>
  <c r="L1839" i="1"/>
  <c r="K1839" i="1"/>
  <c r="A1839" i="1"/>
  <c r="BM283" i="1" a="1"/>
  <c r="BM283" i="1" s="1"/>
  <c r="BL283" i="1"/>
  <c r="BK283" i="1"/>
  <c r="BD1810" i="1"/>
  <c r="AU1810" i="1"/>
  <c r="AK1810" i="1" a="1"/>
  <c r="AK1810" i="1" s="1"/>
  <c r="AS1810" i="1"/>
  <c r="O1810" i="1"/>
  <c r="N1810" i="1"/>
  <c r="M1810" i="1"/>
  <c r="L1810" i="1"/>
  <c r="K1810" i="1"/>
  <c r="A1810" i="1"/>
  <c r="BM282" i="1" a="1"/>
  <c r="BM282" i="1" s="1"/>
  <c r="BL282" i="1"/>
  <c r="BK282" i="1"/>
  <c r="BD1806" i="1"/>
  <c r="AU1806" i="1"/>
  <c r="AK1806" i="1" a="1"/>
  <c r="AK1806" i="1" s="1"/>
  <c r="AS1806" i="1"/>
  <c r="O1806" i="1"/>
  <c r="N1806" i="1"/>
  <c r="M1806" i="1"/>
  <c r="L1806" i="1"/>
  <c r="K1806" i="1"/>
  <c r="A1806" i="1"/>
  <c r="BM281" i="1" a="1"/>
  <c r="BM281" i="1" s="1"/>
  <c r="BL281" i="1"/>
  <c r="BK281" i="1"/>
  <c r="BD1802" i="1"/>
  <c r="AU1802" i="1"/>
  <c r="AK1802" i="1" a="1"/>
  <c r="AK1802" i="1" s="1"/>
  <c r="AS1802" i="1"/>
  <c r="O1802" i="1"/>
  <c r="N1802" i="1"/>
  <c r="M1802" i="1"/>
  <c r="L1802" i="1"/>
  <c r="K1802" i="1"/>
  <c r="A1802" i="1"/>
  <c r="BM280" i="1" a="1"/>
  <c r="BM280" i="1" s="1"/>
  <c r="BL280" i="1"/>
  <c r="BK280" i="1"/>
  <c r="BD1798" i="1"/>
  <c r="AU1798" i="1"/>
  <c r="AK1798" i="1" a="1"/>
  <c r="AK1798" i="1" s="1"/>
  <c r="AS1798" i="1"/>
  <c r="O1798" i="1"/>
  <c r="N1798" i="1"/>
  <c r="M1798" i="1"/>
  <c r="L1798" i="1"/>
  <c r="K1798" i="1"/>
  <c r="A1798" i="1"/>
  <c r="BM279" i="1" a="1"/>
  <c r="BM279" i="1" s="1"/>
  <c r="BL279" i="1"/>
  <c r="BK279" i="1"/>
  <c r="BD1754" i="1"/>
  <c r="AU1754" i="1"/>
  <c r="AK1754" i="1" a="1"/>
  <c r="AK1754" i="1" s="1"/>
  <c r="AS1754" i="1"/>
  <c r="O1754" i="1"/>
  <c r="N1754" i="1"/>
  <c r="M1754" i="1"/>
  <c r="L1754" i="1"/>
  <c r="K1754" i="1"/>
  <c r="A1754" i="1"/>
  <c r="BM278" i="1" a="1"/>
  <c r="BM278" i="1" s="1"/>
  <c r="BL278" i="1"/>
  <c r="BK278" i="1"/>
  <c r="BD1732" i="1"/>
  <c r="AU1732" i="1"/>
  <c r="AK1732" i="1" a="1"/>
  <c r="AK1732" i="1" s="1"/>
  <c r="AS1732" i="1"/>
  <c r="O1732" i="1"/>
  <c r="N1732" i="1"/>
  <c r="M1732" i="1"/>
  <c r="L1732" i="1"/>
  <c r="K1732" i="1"/>
  <c r="A1732" i="1"/>
  <c r="BM277" i="1" a="1"/>
  <c r="BM277" i="1" s="1"/>
  <c r="BL277" i="1"/>
  <c r="BK277" i="1"/>
  <c r="BD1706" i="1"/>
  <c r="AU1706" i="1"/>
  <c r="AK1706" i="1" a="1"/>
  <c r="AK1706" i="1" s="1"/>
  <c r="AS1706" i="1"/>
  <c r="O1706" i="1"/>
  <c r="N1706" i="1"/>
  <c r="M1706" i="1"/>
  <c r="L1706" i="1"/>
  <c r="K1706" i="1"/>
  <c r="A1706" i="1"/>
  <c r="BM276" i="1" a="1"/>
  <c r="BM276" i="1" s="1"/>
  <c r="BL276" i="1"/>
  <c r="BK276" i="1"/>
  <c r="BD1702" i="1"/>
  <c r="AU1702" i="1"/>
  <c r="AK1702" i="1" a="1"/>
  <c r="AK1702" i="1" s="1"/>
  <c r="AS1702" i="1"/>
  <c r="O1702" i="1"/>
  <c r="N1702" i="1"/>
  <c r="M1702" i="1"/>
  <c r="L1702" i="1"/>
  <c r="K1702" i="1"/>
  <c r="A1702" i="1"/>
  <c r="BM275" i="1" a="1"/>
  <c r="BM275" i="1" s="1"/>
  <c r="BL275" i="1"/>
  <c r="BK275" i="1"/>
  <c r="BD1698" i="1"/>
  <c r="AU1698" i="1"/>
  <c r="AK1698" i="1" a="1"/>
  <c r="AK1698" i="1" s="1"/>
  <c r="AS1698" i="1"/>
  <c r="O1698" i="1"/>
  <c r="N1698" i="1"/>
  <c r="M1698" i="1"/>
  <c r="L1698" i="1"/>
  <c r="K1698" i="1"/>
  <c r="A1698" i="1"/>
  <c r="BM274" i="1" a="1"/>
  <c r="BM274" i="1" s="1"/>
  <c r="BL274" i="1"/>
  <c r="BK274" i="1"/>
  <c r="BD1694" i="1"/>
  <c r="AU1694" i="1"/>
  <c r="AK1694" i="1" a="1"/>
  <c r="AK1694" i="1" s="1"/>
  <c r="AS1694" i="1"/>
  <c r="O1694" i="1"/>
  <c r="N1694" i="1"/>
  <c r="M1694" i="1"/>
  <c r="L1694" i="1"/>
  <c r="K1694" i="1"/>
  <c r="A1694" i="1"/>
  <c r="BM273" i="1" a="1"/>
  <c r="BM273" i="1" s="1"/>
  <c r="BL273" i="1"/>
  <c r="BK273" i="1"/>
  <c r="BD1661" i="1"/>
  <c r="AU1661" i="1"/>
  <c r="AK1661" i="1" a="1"/>
  <c r="AK1661" i="1" s="1"/>
  <c r="AS1661" i="1"/>
  <c r="O1661" i="1"/>
  <c r="N1661" i="1"/>
  <c r="M1661" i="1"/>
  <c r="L1661" i="1"/>
  <c r="K1661" i="1"/>
  <c r="A1661" i="1"/>
  <c r="BM272" i="1" a="1"/>
  <c r="BM272" i="1" s="1"/>
  <c r="BL272" i="1"/>
  <c r="BK272" i="1"/>
  <c r="BD1657" i="1"/>
  <c r="AU1657" i="1"/>
  <c r="AK1657" i="1" a="1"/>
  <c r="AK1657" i="1" s="1"/>
  <c r="AS1657" i="1"/>
  <c r="O1657" i="1"/>
  <c r="N1657" i="1"/>
  <c r="M1657" i="1"/>
  <c r="L1657" i="1"/>
  <c r="K1657" i="1"/>
  <c r="A1657" i="1"/>
  <c r="BM271" i="1" a="1"/>
  <c r="BM271" i="1" s="1"/>
  <c r="BL271" i="1"/>
  <c r="BK271" i="1"/>
  <c r="BD1653" i="1"/>
  <c r="AU1653" i="1"/>
  <c r="AK1653" i="1" a="1"/>
  <c r="AK1653" i="1" s="1"/>
  <c r="AS1653" i="1"/>
  <c r="O1653" i="1"/>
  <c r="N1653" i="1"/>
  <c r="M1653" i="1"/>
  <c r="L1653" i="1"/>
  <c r="K1653" i="1"/>
  <c r="A1653" i="1"/>
  <c r="BM270" i="1" a="1"/>
  <c r="BM270" i="1" s="1"/>
  <c r="BL270" i="1"/>
  <c r="BK270" i="1"/>
  <c r="BD1649" i="1"/>
  <c r="AU1649" i="1"/>
  <c r="AK1649" i="1" a="1"/>
  <c r="AK1649" i="1" s="1"/>
  <c r="AS1649" i="1"/>
  <c r="O1649" i="1"/>
  <c r="N1649" i="1"/>
  <c r="M1649" i="1"/>
  <c r="L1649" i="1"/>
  <c r="K1649" i="1"/>
  <c r="A1649" i="1"/>
  <c r="BM269" i="1" a="1"/>
  <c r="BM269" i="1" s="1"/>
  <c r="BL269" i="1"/>
  <c r="BK269" i="1"/>
  <c r="BD1605" i="1"/>
  <c r="AU1605" i="1"/>
  <c r="AK1605" i="1" a="1"/>
  <c r="AK1605" i="1" s="1"/>
  <c r="AS1605" i="1"/>
  <c r="O1605" i="1"/>
  <c r="N1605" i="1"/>
  <c r="M1605" i="1"/>
  <c r="L1605" i="1"/>
  <c r="K1605" i="1"/>
  <c r="A1605" i="1"/>
  <c r="BM268" i="1" a="1"/>
  <c r="BM268" i="1" s="1"/>
  <c r="BL268" i="1"/>
  <c r="BK268" i="1"/>
  <c r="BD1579" i="1"/>
  <c r="AU1579" i="1"/>
  <c r="AK1579" i="1" a="1"/>
  <c r="AK1579" i="1" s="1"/>
  <c r="AS1579" i="1"/>
  <c r="O1579" i="1"/>
  <c r="N1579" i="1"/>
  <c r="M1579" i="1"/>
  <c r="L1579" i="1"/>
  <c r="K1579" i="1"/>
  <c r="A1579" i="1"/>
  <c r="BM267" i="1" a="1"/>
  <c r="BM267" i="1" s="1"/>
  <c r="BL267" i="1"/>
  <c r="BK267" i="1"/>
  <c r="BD1553" i="1"/>
  <c r="AU1553" i="1"/>
  <c r="AK1553" i="1" a="1"/>
  <c r="AK1553" i="1" s="1"/>
  <c r="AS1553" i="1"/>
  <c r="O1553" i="1"/>
  <c r="N1553" i="1"/>
  <c r="M1553" i="1"/>
  <c r="L1553" i="1"/>
  <c r="K1553" i="1"/>
  <c r="A1553" i="1"/>
  <c r="BM266" i="1" a="1"/>
  <c r="BM266" i="1" s="1"/>
  <c r="BL266" i="1"/>
  <c r="BK266" i="1"/>
  <c r="BD1549" i="1"/>
  <c r="AU1549" i="1"/>
  <c r="AK1549" i="1" a="1"/>
  <c r="AK1549" i="1" s="1"/>
  <c r="AS1549" i="1"/>
  <c r="O1549" i="1"/>
  <c r="N1549" i="1"/>
  <c r="M1549" i="1"/>
  <c r="L1549" i="1"/>
  <c r="K1549" i="1"/>
  <c r="A1549" i="1"/>
  <c r="BM265" i="1" a="1"/>
  <c r="BM265" i="1" s="1"/>
  <c r="BL265" i="1"/>
  <c r="BK265" i="1"/>
  <c r="BD1545" i="1"/>
  <c r="AU1545" i="1"/>
  <c r="AK1545" i="1" a="1"/>
  <c r="AK1545" i="1" s="1"/>
  <c r="AS1545" i="1"/>
  <c r="O1545" i="1"/>
  <c r="N1545" i="1"/>
  <c r="M1545" i="1"/>
  <c r="L1545" i="1"/>
  <c r="K1545" i="1"/>
  <c r="A1545" i="1"/>
  <c r="BM264" i="1" a="1"/>
  <c r="BM264" i="1" s="1"/>
  <c r="BL264" i="1"/>
  <c r="BK264" i="1"/>
  <c r="BD1541" i="1"/>
  <c r="AU1541" i="1"/>
  <c r="AK1541" i="1" a="1"/>
  <c r="AK1541" i="1" s="1"/>
  <c r="AS1541" i="1"/>
  <c r="O1541" i="1"/>
  <c r="N1541" i="1"/>
  <c r="M1541" i="1"/>
  <c r="L1541" i="1"/>
  <c r="K1541" i="1"/>
  <c r="A1541" i="1"/>
  <c r="BM263" i="1" a="1"/>
  <c r="BM263" i="1" s="1"/>
  <c r="BL263" i="1"/>
  <c r="BK263" i="1"/>
  <c r="BD1484" i="1"/>
  <c r="AU1484" i="1"/>
  <c r="AK1484" i="1" a="1"/>
  <c r="AK1484" i="1" s="1"/>
  <c r="AS1484" i="1"/>
  <c r="O1484" i="1"/>
  <c r="N1484" i="1"/>
  <c r="M1484" i="1"/>
  <c r="L1484" i="1"/>
  <c r="K1484" i="1"/>
  <c r="A1484" i="1"/>
  <c r="BM262" i="1" a="1"/>
  <c r="BM262" i="1" s="1"/>
  <c r="BL262" i="1"/>
  <c r="BK262" i="1"/>
  <c r="BD1480" i="1"/>
  <c r="AU1480" i="1"/>
  <c r="AK1480" i="1" a="1"/>
  <c r="AK1480" i="1" s="1"/>
  <c r="AS1480" i="1"/>
  <c r="O1480" i="1"/>
  <c r="N1480" i="1"/>
  <c r="M1480" i="1"/>
  <c r="L1480" i="1"/>
  <c r="K1480" i="1"/>
  <c r="A1480" i="1"/>
  <c r="BM261" i="1" a="1"/>
  <c r="BM261" i="1" s="1"/>
  <c r="BL261" i="1"/>
  <c r="BK261" i="1"/>
  <c r="BD1476" i="1"/>
  <c r="AU1476" i="1"/>
  <c r="AK1476" i="1" a="1"/>
  <c r="AK1476" i="1" s="1"/>
  <c r="AS1476" i="1"/>
  <c r="O1476" i="1"/>
  <c r="N1476" i="1"/>
  <c r="M1476" i="1"/>
  <c r="L1476" i="1"/>
  <c r="K1476" i="1"/>
  <c r="A1476" i="1"/>
  <c r="BM260" i="1" a="1"/>
  <c r="BM260" i="1" s="1"/>
  <c r="BL260" i="1"/>
  <c r="BK260" i="1"/>
  <c r="BD1472" i="1"/>
  <c r="AU1472" i="1"/>
  <c r="AK1472" i="1" a="1"/>
  <c r="AK1472" i="1" s="1"/>
  <c r="AS1472" i="1"/>
  <c r="O1472" i="1"/>
  <c r="N1472" i="1"/>
  <c r="M1472" i="1"/>
  <c r="L1472" i="1"/>
  <c r="K1472" i="1"/>
  <c r="A1472" i="1"/>
  <c r="BM259" i="1" a="1"/>
  <c r="BM259" i="1" s="1"/>
  <c r="BL259" i="1"/>
  <c r="BK259" i="1"/>
  <c r="BD1448" i="1"/>
  <c r="AU1448" i="1"/>
  <c r="AK1448" i="1" a="1"/>
  <c r="AK1448" i="1" s="1"/>
  <c r="AS1448" i="1"/>
  <c r="O1448" i="1"/>
  <c r="N1448" i="1"/>
  <c r="M1448" i="1"/>
  <c r="L1448" i="1"/>
  <c r="K1448" i="1"/>
  <c r="A1448" i="1"/>
  <c r="BM258" i="1" a="1"/>
  <c r="BM258" i="1" s="1"/>
  <c r="BL258" i="1"/>
  <c r="BK258" i="1"/>
  <c r="BD1422" i="1"/>
  <c r="AU1422" i="1"/>
  <c r="AK1422" i="1" a="1"/>
  <c r="AK1422" i="1" s="1"/>
  <c r="AS1422" i="1"/>
  <c r="O1422" i="1"/>
  <c r="N1422" i="1"/>
  <c r="M1422" i="1"/>
  <c r="L1422" i="1"/>
  <c r="K1422" i="1"/>
  <c r="A1422" i="1"/>
  <c r="BM257" i="1" a="1"/>
  <c r="BM257" i="1" s="1"/>
  <c r="BL257" i="1"/>
  <c r="BK257" i="1"/>
  <c r="BD1396" i="1"/>
  <c r="AU1396" i="1"/>
  <c r="AK1396" i="1" a="1"/>
  <c r="AK1396" i="1" s="1"/>
  <c r="AS1396" i="1"/>
  <c r="O1396" i="1"/>
  <c r="N1396" i="1"/>
  <c r="M1396" i="1"/>
  <c r="L1396" i="1"/>
  <c r="K1396" i="1"/>
  <c r="A1396" i="1"/>
  <c r="BM256" i="1" a="1"/>
  <c r="BM256" i="1" s="1"/>
  <c r="BL256" i="1"/>
  <c r="BK256" i="1"/>
  <c r="BD1392" i="1"/>
  <c r="AU1392" i="1"/>
  <c r="AK1392" i="1" a="1"/>
  <c r="AK1392" i="1" s="1"/>
  <c r="AS1392" i="1"/>
  <c r="O1392" i="1"/>
  <c r="N1392" i="1"/>
  <c r="M1392" i="1"/>
  <c r="L1392" i="1"/>
  <c r="K1392" i="1"/>
  <c r="A1392" i="1"/>
  <c r="BM255" i="1" a="1"/>
  <c r="BM255" i="1" s="1"/>
  <c r="BL255" i="1"/>
  <c r="BK255" i="1"/>
  <c r="BD1388" i="1"/>
  <c r="AU1388" i="1"/>
  <c r="AK1388" i="1" a="1"/>
  <c r="AK1388" i="1" s="1"/>
  <c r="AS1388" i="1"/>
  <c r="O1388" i="1"/>
  <c r="N1388" i="1"/>
  <c r="M1388" i="1"/>
  <c r="L1388" i="1"/>
  <c r="K1388" i="1"/>
  <c r="A1388" i="1"/>
  <c r="BM254" i="1" a="1"/>
  <c r="BM254" i="1" s="1"/>
  <c r="BL254" i="1"/>
  <c r="BK254" i="1"/>
  <c r="BD1384" i="1"/>
  <c r="AU1384" i="1"/>
  <c r="AK1384" i="1" a="1"/>
  <c r="AK1384" i="1" s="1"/>
  <c r="AS1384" i="1"/>
  <c r="O1384" i="1"/>
  <c r="N1384" i="1"/>
  <c r="M1384" i="1"/>
  <c r="L1384" i="1"/>
  <c r="K1384" i="1"/>
  <c r="A1384" i="1"/>
  <c r="BM253" i="1" a="1"/>
  <c r="BM253" i="1" s="1"/>
  <c r="BL253" i="1"/>
  <c r="BK253" i="1"/>
  <c r="BD1360" i="1"/>
  <c r="AU1360" i="1"/>
  <c r="AK1360" i="1" a="1"/>
  <c r="AK1360" i="1" s="1"/>
  <c r="AS1360" i="1"/>
  <c r="O1360" i="1"/>
  <c r="N1360" i="1"/>
  <c r="M1360" i="1"/>
  <c r="L1360" i="1"/>
  <c r="K1360" i="1"/>
  <c r="A1360" i="1"/>
  <c r="BM252" i="1" a="1"/>
  <c r="BM252" i="1" s="1"/>
  <c r="BL252" i="1"/>
  <c r="BK252" i="1"/>
  <c r="BD1356" i="1"/>
  <c r="AU1356" i="1"/>
  <c r="AK1356" i="1" a="1"/>
  <c r="AK1356" i="1" s="1"/>
  <c r="AS1356" i="1"/>
  <c r="O1356" i="1"/>
  <c r="N1356" i="1"/>
  <c r="M1356" i="1"/>
  <c r="L1356" i="1"/>
  <c r="K1356" i="1"/>
  <c r="A1356" i="1"/>
  <c r="BM251" i="1" a="1"/>
  <c r="BM251" i="1" s="1"/>
  <c r="BL251" i="1"/>
  <c r="BK251" i="1"/>
  <c r="BD1352" i="1"/>
  <c r="AU1352" i="1"/>
  <c r="AK1352" i="1" a="1"/>
  <c r="AK1352" i="1" s="1"/>
  <c r="AS1352" i="1"/>
  <c r="O1352" i="1"/>
  <c r="N1352" i="1"/>
  <c r="M1352" i="1"/>
  <c r="L1352" i="1"/>
  <c r="K1352" i="1"/>
  <c r="A1352" i="1"/>
  <c r="BM250" i="1" a="1"/>
  <c r="BM250" i="1" s="1"/>
  <c r="BL250" i="1"/>
  <c r="BK250" i="1"/>
  <c r="BD1348" i="1"/>
  <c r="AU1348" i="1"/>
  <c r="AK1348" i="1" a="1"/>
  <c r="AK1348" i="1" s="1"/>
  <c r="AS1348" i="1"/>
  <c r="O1348" i="1"/>
  <c r="N1348" i="1"/>
  <c r="M1348" i="1"/>
  <c r="L1348" i="1"/>
  <c r="K1348" i="1"/>
  <c r="A1348" i="1"/>
  <c r="BM249" i="1" a="1"/>
  <c r="BM249" i="1" s="1"/>
  <c r="BL249" i="1"/>
  <c r="BK249" i="1"/>
  <c r="BD1307" i="1"/>
  <c r="AU1307" i="1"/>
  <c r="AK1307" i="1" a="1"/>
  <c r="AK1307" i="1" s="1"/>
  <c r="AS1307" i="1"/>
  <c r="O1307" i="1"/>
  <c r="N1307" i="1"/>
  <c r="M1307" i="1"/>
  <c r="L1307" i="1"/>
  <c r="K1307" i="1"/>
  <c r="A1307" i="1"/>
  <c r="BM248" i="1" a="1"/>
  <c r="BM248" i="1" s="1"/>
  <c r="BL248" i="1"/>
  <c r="BK248" i="1"/>
  <c r="BD1285" i="1"/>
  <c r="AU1285" i="1"/>
  <c r="AK1285" i="1" a="1"/>
  <c r="AK1285" i="1" s="1"/>
  <c r="AS1285" i="1"/>
  <c r="O1285" i="1"/>
  <c r="N1285" i="1"/>
  <c r="M1285" i="1"/>
  <c r="L1285" i="1"/>
  <c r="K1285" i="1"/>
  <c r="A1285" i="1"/>
  <c r="BM247" i="1" a="1"/>
  <c r="BM247" i="1" s="1"/>
  <c r="BL247" i="1"/>
  <c r="BK247" i="1"/>
  <c r="BD1256" i="1"/>
  <c r="AU1256" i="1"/>
  <c r="AK1256" i="1" a="1"/>
  <c r="AK1256" i="1" s="1"/>
  <c r="AS1256" i="1"/>
  <c r="O1256" i="1"/>
  <c r="N1256" i="1"/>
  <c r="M1256" i="1"/>
  <c r="L1256" i="1"/>
  <c r="K1256" i="1"/>
  <c r="A1256" i="1"/>
  <c r="BM246" i="1" a="1"/>
  <c r="BM246" i="1" s="1"/>
  <c r="BL246" i="1"/>
  <c r="BK246" i="1"/>
  <c r="BD1220" i="1"/>
  <c r="AU1220" i="1"/>
  <c r="AK1220" i="1" a="1"/>
  <c r="AK1220" i="1" s="1"/>
  <c r="AS1220" i="1"/>
  <c r="O1220" i="1"/>
  <c r="N1220" i="1"/>
  <c r="M1220" i="1"/>
  <c r="L1220" i="1"/>
  <c r="K1220" i="1"/>
  <c r="A1220" i="1"/>
  <c r="BM245" i="1" a="1"/>
  <c r="BM245" i="1" s="1"/>
  <c r="BL245" i="1"/>
  <c r="BK245" i="1"/>
  <c r="BD1200" i="1"/>
  <c r="AU1200" i="1"/>
  <c r="AK1200" i="1" a="1"/>
  <c r="AK1200" i="1" s="1"/>
  <c r="AS1200" i="1"/>
  <c r="O1200" i="1"/>
  <c r="N1200" i="1"/>
  <c r="M1200" i="1"/>
  <c r="L1200" i="1"/>
  <c r="K1200" i="1"/>
  <c r="A1200" i="1"/>
  <c r="BM244" i="1" a="1"/>
  <c r="BM244" i="1" s="1"/>
  <c r="BL244" i="1"/>
  <c r="BK244" i="1"/>
  <c r="BD1052" i="1"/>
  <c r="AU1052" i="1"/>
  <c r="AK1052" i="1" a="1"/>
  <c r="AK1052" i="1" s="1"/>
  <c r="AS1052" i="1"/>
  <c r="O1052" i="1"/>
  <c r="N1052" i="1"/>
  <c r="M1052" i="1"/>
  <c r="L1052" i="1"/>
  <c r="K1052" i="1"/>
  <c r="A1052" i="1"/>
  <c r="BM243" i="1" a="1"/>
  <c r="BM243" i="1" s="1"/>
  <c r="BL243" i="1"/>
  <c r="BK243" i="1"/>
  <c r="BD904" i="1"/>
  <c r="AU904" i="1"/>
  <c r="AK904" i="1" a="1"/>
  <c r="AK904" i="1" s="1"/>
  <c r="AS904" i="1"/>
  <c r="O904" i="1"/>
  <c r="N904" i="1"/>
  <c r="M904" i="1"/>
  <c r="L904" i="1"/>
  <c r="K904" i="1"/>
  <c r="A904" i="1"/>
  <c r="BM242" i="1" a="1"/>
  <c r="BM242" i="1" s="1"/>
  <c r="BL242" i="1"/>
  <c r="BK242" i="1"/>
  <c r="BD836" i="1"/>
  <c r="AU836" i="1"/>
  <c r="AK836" i="1" a="1"/>
  <c r="AK836" i="1" s="1"/>
  <c r="AS836" i="1"/>
  <c r="O836" i="1"/>
  <c r="N836" i="1"/>
  <c r="M836" i="1"/>
  <c r="L836" i="1"/>
  <c r="K836" i="1"/>
  <c r="A836" i="1"/>
  <c r="BM241" i="1" a="1"/>
  <c r="BM241" i="1" s="1"/>
  <c r="BL241" i="1"/>
  <c r="BK241" i="1"/>
  <c r="BD764" i="1"/>
  <c r="AU764" i="1"/>
  <c r="AK764" i="1" a="1"/>
  <c r="AK764" i="1" s="1"/>
  <c r="AS764" i="1"/>
  <c r="O764" i="1"/>
  <c r="N764" i="1"/>
  <c r="M764" i="1"/>
  <c r="L764" i="1"/>
  <c r="K764" i="1"/>
  <c r="A764" i="1"/>
  <c r="BM240" i="1" a="1"/>
  <c r="BM240" i="1" s="1"/>
  <c r="BL240" i="1"/>
  <c r="BK240" i="1"/>
  <c r="BD660" i="1"/>
  <c r="AU660" i="1"/>
  <c r="AK660" i="1" a="1"/>
  <c r="AK660" i="1" s="1"/>
  <c r="AS660" i="1"/>
  <c r="O660" i="1"/>
  <c r="N660" i="1"/>
  <c r="M660" i="1"/>
  <c r="L660" i="1"/>
  <c r="K660" i="1"/>
  <c r="A660" i="1"/>
  <c r="BM239" i="1" a="1"/>
  <c r="BM239" i="1" s="1"/>
  <c r="BL239" i="1"/>
  <c r="BK239" i="1"/>
  <c r="BD556" i="1"/>
  <c r="AU556" i="1"/>
  <c r="AK556" i="1" a="1"/>
  <c r="AK556" i="1" s="1"/>
  <c r="AS556" i="1"/>
  <c r="O556" i="1"/>
  <c r="N556" i="1"/>
  <c r="M556" i="1"/>
  <c r="L556" i="1"/>
  <c r="K556" i="1"/>
  <c r="A556" i="1"/>
  <c r="BM238" i="1" a="1"/>
  <c r="BM238" i="1" s="1"/>
  <c r="BL238" i="1"/>
  <c r="BK238" i="1"/>
  <c r="BD507" i="1"/>
  <c r="AU507" i="1"/>
  <c r="AK507" i="1" a="1"/>
  <c r="AK507" i="1" s="1"/>
  <c r="AS507" i="1"/>
  <c r="O507" i="1"/>
  <c r="N507" i="1"/>
  <c r="M507" i="1"/>
  <c r="L507" i="1"/>
  <c r="K507" i="1"/>
  <c r="A507" i="1"/>
  <c r="BM237" i="1" a="1"/>
  <c r="BM237" i="1" s="1"/>
  <c r="BL237" i="1"/>
  <c r="BK237" i="1"/>
  <c r="BD458" i="1"/>
  <c r="AU458" i="1"/>
  <c r="AK458" i="1" a="1"/>
  <c r="AK458" i="1" s="1"/>
  <c r="AS458" i="1"/>
  <c r="O458" i="1"/>
  <c r="N458" i="1"/>
  <c r="M458" i="1"/>
  <c r="L458" i="1"/>
  <c r="K458" i="1"/>
  <c r="A458" i="1"/>
  <c r="BM236" i="1" a="1"/>
  <c r="BM236" i="1" s="1"/>
  <c r="BL236" i="1"/>
  <c r="BK236" i="1"/>
  <c r="BD418" i="1"/>
  <c r="AU418" i="1"/>
  <c r="AK418" i="1" a="1"/>
  <c r="AK418" i="1" s="1"/>
  <c r="AS418" i="1"/>
  <c r="O418" i="1"/>
  <c r="N418" i="1"/>
  <c r="M418" i="1"/>
  <c r="L418" i="1"/>
  <c r="K418" i="1"/>
  <c r="A418" i="1"/>
  <c r="BM235" i="1" a="1"/>
  <c r="BM235" i="1" s="1"/>
  <c r="BL235" i="1"/>
  <c r="BK235" i="1"/>
  <c r="BD378" i="1"/>
  <c r="AU378" i="1"/>
  <c r="AK378" i="1" a="1"/>
  <c r="AK378" i="1" s="1"/>
  <c r="AS378" i="1"/>
  <c r="O378" i="1"/>
  <c r="N378" i="1"/>
  <c r="M378" i="1"/>
  <c r="L378" i="1"/>
  <c r="K378" i="1"/>
  <c r="A378" i="1"/>
  <c r="BM234" i="1" a="1"/>
  <c r="BM234" i="1" s="1"/>
  <c r="BL234" i="1"/>
  <c r="BK234" i="1"/>
  <c r="BD374" i="1"/>
  <c r="AU374" i="1"/>
  <c r="AK374" i="1" a="1"/>
  <c r="AK374" i="1" s="1"/>
  <c r="AS374" i="1"/>
  <c r="O374" i="1"/>
  <c r="N374" i="1"/>
  <c r="M374" i="1"/>
  <c r="L374" i="1"/>
  <c r="K374" i="1"/>
  <c r="A374" i="1"/>
  <c r="BM233" i="1" a="1"/>
  <c r="BM233" i="1" s="1"/>
  <c r="BL233" i="1"/>
  <c r="BK233" i="1"/>
  <c r="BD338" i="1"/>
  <c r="AU338" i="1"/>
  <c r="AK338" i="1" a="1"/>
  <c r="AK338" i="1" s="1"/>
  <c r="AS338" i="1"/>
  <c r="O338" i="1"/>
  <c r="N338" i="1"/>
  <c r="M338" i="1"/>
  <c r="L338" i="1"/>
  <c r="K338" i="1"/>
  <c r="A338" i="1"/>
  <c r="BM232" i="1" a="1"/>
  <c r="BM232" i="1" s="1"/>
  <c r="BL232" i="1"/>
  <c r="BK232" i="1"/>
  <c r="BD334" i="1"/>
  <c r="AU334" i="1"/>
  <c r="AK334" i="1" a="1"/>
  <c r="AK334" i="1" s="1"/>
  <c r="AS334" i="1"/>
  <c r="O334" i="1"/>
  <c r="N334" i="1"/>
  <c r="M334" i="1"/>
  <c r="L334" i="1"/>
  <c r="K334" i="1"/>
  <c r="A334" i="1"/>
  <c r="BM231" i="1" a="1"/>
  <c r="BM231" i="1" s="1"/>
  <c r="BL231" i="1"/>
  <c r="BK231" i="1"/>
  <c r="BD298" i="1"/>
  <c r="AU298" i="1"/>
  <c r="AK298" i="1" a="1"/>
  <c r="AK298" i="1" s="1"/>
  <c r="AS298" i="1"/>
  <c r="O298" i="1"/>
  <c r="N298" i="1"/>
  <c r="M298" i="1"/>
  <c r="L298" i="1"/>
  <c r="K298" i="1"/>
  <c r="A298" i="1"/>
  <c r="BM230" i="1" a="1"/>
  <c r="BM230" i="1" s="1"/>
  <c r="BL230" i="1"/>
  <c r="BK230" i="1"/>
  <c r="BD185" i="1"/>
  <c r="AU185" i="1"/>
  <c r="AK185" i="1" a="1"/>
  <c r="AK185" i="1" s="1"/>
  <c r="AS185" i="1"/>
  <c r="O185" i="1"/>
  <c r="N185" i="1"/>
  <c r="M185" i="1"/>
  <c r="L185" i="1"/>
  <c r="K185" i="1"/>
  <c r="A185" i="1"/>
  <c r="BM229" i="1" a="1"/>
  <c r="BM229" i="1" s="1"/>
  <c r="BL229" i="1"/>
  <c r="BK229" i="1"/>
  <c r="BD181" i="1"/>
  <c r="AU181" i="1"/>
  <c r="AK181" i="1" a="1"/>
  <c r="AK181" i="1" s="1"/>
  <c r="AS181" i="1"/>
  <c r="O181" i="1"/>
  <c r="N181" i="1"/>
  <c r="M181" i="1"/>
  <c r="L181" i="1"/>
  <c r="K181" i="1"/>
  <c r="A181" i="1"/>
  <c r="BM228" i="1" a="1"/>
  <c r="BM228" i="1" s="1"/>
  <c r="BL228" i="1"/>
  <c r="BK228" i="1"/>
  <c r="BD145" i="1"/>
  <c r="AU145" i="1"/>
  <c r="AK145" i="1" a="1"/>
  <c r="AK145" i="1" s="1"/>
  <c r="AS145" i="1"/>
  <c r="O145" i="1"/>
  <c r="N145" i="1"/>
  <c r="M145" i="1"/>
  <c r="L145" i="1"/>
  <c r="K145" i="1"/>
  <c r="A145" i="1"/>
  <c r="BM227" i="1" a="1"/>
  <c r="BM227" i="1" s="1"/>
  <c r="BL227" i="1"/>
  <c r="BK227" i="1"/>
  <c r="BD109" i="1"/>
  <c r="AU109" i="1"/>
  <c r="AK109" i="1" a="1"/>
  <c r="AK109" i="1" s="1"/>
  <c r="AS109" i="1"/>
  <c r="O109" i="1"/>
  <c r="N109" i="1"/>
  <c r="M109" i="1"/>
  <c r="L109" i="1"/>
  <c r="K109" i="1"/>
  <c r="A109" i="1"/>
  <c r="BM226" i="1" a="1"/>
  <c r="BM226" i="1" s="1"/>
  <c r="BL226" i="1"/>
  <c r="BK226" i="1"/>
  <c r="BD73" i="1"/>
  <c r="AU73" i="1"/>
  <c r="AK73" i="1" a="1"/>
  <c r="AK73" i="1" s="1"/>
  <c r="AS73" i="1"/>
  <c r="O73" i="1"/>
  <c r="N73" i="1"/>
  <c r="M73" i="1"/>
  <c r="L73" i="1"/>
  <c r="K73" i="1"/>
  <c r="A73" i="1"/>
  <c r="BM225" i="1" a="1"/>
  <c r="BM225" i="1" s="1"/>
  <c r="BL225" i="1"/>
  <c r="BK225" i="1"/>
  <c r="BD37" i="1"/>
  <c r="AU37" i="1"/>
  <c r="AK37" i="1" a="1"/>
  <c r="AK37" i="1" s="1"/>
  <c r="AS37" i="1"/>
  <c r="O37" i="1"/>
  <c r="N37" i="1"/>
  <c r="M37" i="1"/>
  <c r="L37" i="1"/>
  <c r="K37" i="1"/>
  <c r="A37" i="1"/>
  <c r="BM224" i="1" a="1"/>
  <c r="BM224" i="1" s="1"/>
  <c r="BL224" i="1"/>
  <c r="BK224" i="1"/>
  <c r="BD1850" i="1"/>
  <c r="AU1850" i="1"/>
  <c r="AK1850" i="1" a="1"/>
  <c r="AK1850" i="1" s="1"/>
  <c r="AS1850" i="1"/>
  <c r="O1850" i="1"/>
  <c r="N1850" i="1"/>
  <c r="M1850" i="1"/>
  <c r="L1850" i="1"/>
  <c r="K1850" i="1"/>
  <c r="A1850" i="1"/>
  <c r="BM223" i="1" a="1"/>
  <c r="BM223" i="1" s="1"/>
  <c r="BL223" i="1"/>
  <c r="BK223" i="1"/>
  <c r="BD1846" i="1"/>
  <c r="AU1846" i="1"/>
  <c r="AK1846" i="1" a="1"/>
  <c r="AK1846" i="1" s="1"/>
  <c r="AS1846" i="1"/>
  <c r="O1846" i="1"/>
  <c r="N1846" i="1"/>
  <c r="M1846" i="1"/>
  <c r="L1846" i="1"/>
  <c r="K1846" i="1"/>
  <c r="A1846" i="1"/>
  <c r="BM222" i="1" a="1"/>
  <c r="BM222" i="1" s="1"/>
  <c r="BL222" i="1"/>
  <c r="BK222" i="1"/>
  <c r="BD1842" i="1"/>
  <c r="AU1842" i="1"/>
  <c r="AK1842" i="1" a="1"/>
  <c r="AK1842" i="1" s="1"/>
  <c r="AS1842" i="1"/>
  <c r="O1842" i="1"/>
  <c r="N1842" i="1"/>
  <c r="M1842" i="1"/>
  <c r="L1842" i="1"/>
  <c r="K1842" i="1"/>
  <c r="A1842" i="1"/>
  <c r="BM221" i="1" a="1"/>
  <c r="BM221" i="1" s="1"/>
  <c r="BL221" i="1"/>
  <c r="BK221" i="1"/>
  <c r="BD1838" i="1"/>
  <c r="AU1838" i="1"/>
  <c r="AK1838" i="1" a="1"/>
  <c r="AK1838" i="1" s="1"/>
  <c r="AS1838" i="1"/>
  <c r="O1838" i="1"/>
  <c r="N1838" i="1"/>
  <c r="M1838" i="1"/>
  <c r="L1838" i="1"/>
  <c r="K1838" i="1"/>
  <c r="A1838" i="1"/>
  <c r="BM220" i="1" a="1"/>
  <c r="BM220" i="1" s="1"/>
  <c r="BL220" i="1"/>
  <c r="BK220" i="1"/>
  <c r="BD1809" i="1"/>
  <c r="AU1809" i="1"/>
  <c r="AK1809" i="1" a="1"/>
  <c r="AK1809" i="1" s="1"/>
  <c r="AS1809" i="1"/>
  <c r="O1809" i="1"/>
  <c r="N1809" i="1"/>
  <c r="M1809" i="1"/>
  <c r="L1809" i="1"/>
  <c r="K1809" i="1"/>
  <c r="A1809" i="1"/>
  <c r="BM219" i="1" a="1"/>
  <c r="BM219" i="1" s="1"/>
  <c r="BL219" i="1"/>
  <c r="BK219" i="1"/>
  <c r="BD1805" i="1"/>
  <c r="AU1805" i="1"/>
  <c r="AK1805" i="1" a="1"/>
  <c r="AK1805" i="1" s="1"/>
  <c r="AS1805" i="1"/>
  <c r="O1805" i="1"/>
  <c r="N1805" i="1"/>
  <c r="M1805" i="1"/>
  <c r="L1805" i="1"/>
  <c r="K1805" i="1"/>
  <c r="A1805" i="1"/>
  <c r="BM218" i="1" a="1"/>
  <c r="BM218" i="1" s="1"/>
  <c r="BL218" i="1"/>
  <c r="BK218" i="1"/>
  <c r="BD1801" i="1"/>
  <c r="AU1801" i="1"/>
  <c r="AK1801" i="1" a="1"/>
  <c r="AK1801" i="1" s="1"/>
  <c r="AS1801" i="1"/>
  <c r="O1801" i="1"/>
  <c r="N1801" i="1"/>
  <c r="M1801" i="1"/>
  <c r="L1801" i="1"/>
  <c r="K1801" i="1"/>
  <c r="A1801" i="1"/>
  <c r="BM217" i="1" a="1"/>
  <c r="BM217" i="1" s="1"/>
  <c r="BL217" i="1"/>
  <c r="BK217" i="1"/>
  <c r="BD1797" i="1"/>
  <c r="AU1797" i="1"/>
  <c r="AK1797" i="1" a="1"/>
  <c r="AK1797" i="1" s="1"/>
  <c r="AS1797" i="1"/>
  <c r="O1797" i="1"/>
  <c r="N1797" i="1"/>
  <c r="M1797" i="1"/>
  <c r="L1797" i="1"/>
  <c r="K1797" i="1"/>
  <c r="A1797" i="1"/>
  <c r="BM216" i="1" a="1"/>
  <c r="BM216" i="1" s="1"/>
  <c r="BL216" i="1"/>
  <c r="BK216" i="1"/>
  <c r="BD1753" i="1"/>
  <c r="AU1753" i="1"/>
  <c r="AK1753" i="1" a="1"/>
  <c r="AK1753" i="1" s="1"/>
  <c r="AS1753" i="1"/>
  <c r="O1753" i="1"/>
  <c r="N1753" i="1"/>
  <c r="M1753" i="1"/>
  <c r="L1753" i="1"/>
  <c r="K1753" i="1"/>
  <c r="A1753" i="1"/>
  <c r="BM215" i="1" a="1"/>
  <c r="BM215" i="1" s="1"/>
  <c r="BL215" i="1"/>
  <c r="BK215" i="1"/>
  <c r="BD1731" i="1"/>
  <c r="AU1731" i="1"/>
  <c r="AK1731" i="1" a="1"/>
  <c r="AK1731" i="1" s="1"/>
  <c r="AS1731" i="1"/>
  <c r="O1731" i="1"/>
  <c r="N1731" i="1"/>
  <c r="M1731" i="1"/>
  <c r="L1731" i="1"/>
  <c r="K1731" i="1"/>
  <c r="A1731" i="1"/>
  <c r="BM214" i="1" a="1"/>
  <c r="BM214" i="1" s="1"/>
  <c r="BL214" i="1"/>
  <c r="BK214" i="1"/>
  <c r="BD1705" i="1"/>
  <c r="AU1705" i="1"/>
  <c r="AK1705" i="1" a="1"/>
  <c r="AK1705" i="1" s="1"/>
  <c r="AS1705" i="1"/>
  <c r="O1705" i="1"/>
  <c r="N1705" i="1"/>
  <c r="M1705" i="1"/>
  <c r="L1705" i="1"/>
  <c r="K1705" i="1"/>
  <c r="A1705" i="1"/>
  <c r="BM213" i="1" a="1"/>
  <c r="BM213" i="1" s="1"/>
  <c r="BL213" i="1"/>
  <c r="BK213" i="1"/>
  <c r="BD1701" i="1"/>
  <c r="AU1701" i="1"/>
  <c r="AK1701" i="1" a="1"/>
  <c r="AK1701" i="1" s="1"/>
  <c r="AS1701" i="1"/>
  <c r="O1701" i="1"/>
  <c r="N1701" i="1"/>
  <c r="M1701" i="1"/>
  <c r="L1701" i="1"/>
  <c r="K1701" i="1"/>
  <c r="A1701" i="1"/>
  <c r="BM212" i="1" a="1"/>
  <c r="BM212" i="1" s="1"/>
  <c r="BL212" i="1"/>
  <c r="BK212" i="1"/>
  <c r="BD1697" i="1"/>
  <c r="AU1697" i="1"/>
  <c r="AK1697" i="1" a="1"/>
  <c r="AK1697" i="1" s="1"/>
  <c r="AS1697" i="1"/>
  <c r="O1697" i="1"/>
  <c r="N1697" i="1"/>
  <c r="M1697" i="1"/>
  <c r="L1697" i="1"/>
  <c r="K1697" i="1"/>
  <c r="A1697" i="1"/>
  <c r="BM211" i="1" a="1"/>
  <c r="BM211" i="1" s="1"/>
  <c r="BL211" i="1"/>
  <c r="BK211" i="1"/>
  <c r="BD1693" i="1"/>
  <c r="AU1693" i="1"/>
  <c r="AK1693" i="1" a="1"/>
  <c r="AK1693" i="1" s="1"/>
  <c r="AS1693" i="1"/>
  <c r="O1693" i="1"/>
  <c r="N1693" i="1"/>
  <c r="M1693" i="1"/>
  <c r="L1693" i="1"/>
  <c r="K1693" i="1"/>
  <c r="A1693" i="1"/>
  <c r="BM210" i="1" a="1"/>
  <c r="BM210" i="1" s="1"/>
  <c r="BL210" i="1"/>
  <c r="BK210" i="1"/>
  <c r="BD1660" i="1"/>
  <c r="AU1660" i="1"/>
  <c r="AK1660" i="1" a="1"/>
  <c r="AK1660" i="1" s="1"/>
  <c r="AS1660" i="1"/>
  <c r="O1660" i="1"/>
  <c r="N1660" i="1"/>
  <c r="M1660" i="1"/>
  <c r="L1660" i="1"/>
  <c r="K1660" i="1"/>
  <c r="A1660" i="1"/>
  <c r="BM209" i="1" a="1"/>
  <c r="BM209" i="1" s="1"/>
  <c r="BL209" i="1"/>
  <c r="BK209" i="1"/>
  <c r="BD1656" i="1"/>
  <c r="AU1656" i="1"/>
  <c r="AK1656" i="1" a="1"/>
  <c r="AK1656" i="1" s="1"/>
  <c r="AS1656" i="1"/>
  <c r="O1656" i="1"/>
  <c r="N1656" i="1"/>
  <c r="M1656" i="1"/>
  <c r="L1656" i="1"/>
  <c r="K1656" i="1"/>
  <c r="A1656" i="1"/>
  <c r="BM208" i="1" a="1"/>
  <c r="BM208" i="1" s="1"/>
  <c r="BL208" i="1"/>
  <c r="BK208" i="1"/>
  <c r="BD1652" i="1"/>
  <c r="AU1652" i="1"/>
  <c r="AK1652" i="1" a="1"/>
  <c r="AK1652" i="1" s="1"/>
  <c r="AS1652" i="1"/>
  <c r="O1652" i="1"/>
  <c r="N1652" i="1"/>
  <c r="M1652" i="1"/>
  <c r="L1652" i="1"/>
  <c r="K1652" i="1"/>
  <c r="A1652" i="1"/>
  <c r="BM207" i="1" a="1"/>
  <c r="BM207" i="1" s="1"/>
  <c r="BL207" i="1"/>
  <c r="BK207" i="1"/>
  <c r="BD1648" i="1"/>
  <c r="AU1648" i="1"/>
  <c r="AK1648" i="1" a="1"/>
  <c r="AK1648" i="1" s="1"/>
  <c r="AS1648" i="1"/>
  <c r="O1648" i="1"/>
  <c r="N1648" i="1"/>
  <c r="M1648" i="1"/>
  <c r="L1648" i="1"/>
  <c r="K1648" i="1"/>
  <c r="A1648" i="1"/>
  <c r="BM206" i="1" a="1"/>
  <c r="BM206" i="1" s="1"/>
  <c r="BL206" i="1"/>
  <c r="BK206" i="1"/>
  <c r="BD1604" i="1"/>
  <c r="AU1604" i="1"/>
  <c r="AK1604" i="1" a="1"/>
  <c r="AK1604" i="1" s="1"/>
  <c r="AS1604" i="1"/>
  <c r="O1604" i="1"/>
  <c r="N1604" i="1"/>
  <c r="M1604" i="1"/>
  <c r="L1604" i="1"/>
  <c r="K1604" i="1"/>
  <c r="A1604" i="1"/>
  <c r="BM205" i="1" a="1"/>
  <c r="BM205" i="1" s="1"/>
  <c r="BL205" i="1"/>
  <c r="BK205" i="1"/>
  <c r="BD1578" i="1"/>
  <c r="AU1578" i="1"/>
  <c r="AK1578" i="1" a="1"/>
  <c r="AK1578" i="1" s="1"/>
  <c r="AS1578" i="1"/>
  <c r="O1578" i="1"/>
  <c r="N1578" i="1"/>
  <c r="M1578" i="1"/>
  <c r="L1578" i="1"/>
  <c r="K1578" i="1"/>
  <c r="A1578" i="1"/>
  <c r="BM204" i="1" a="1"/>
  <c r="BM204" i="1" s="1"/>
  <c r="BL204" i="1"/>
  <c r="BK204" i="1"/>
  <c r="BD1552" i="1"/>
  <c r="AU1552" i="1"/>
  <c r="AK1552" i="1" a="1"/>
  <c r="AK1552" i="1" s="1"/>
  <c r="AS1552" i="1"/>
  <c r="O1552" i="1"/>
  <c r="N1552" i="1"/>
  <c r="M1552" i="1"/>
  <c r="L1552" i="1"/>
  <c r="K1552" i="1"/>
  <c r="A1552" i="1"/>
  <c r="BM203" i="1" a="1"/>
  <c r="BM203" i="1" s="1"/>
  <c r="BL203" i="1"/>
  <c r="BK203" i="1"/>
  <c r="BD1548" i="1"/>
  <c r="AU1548" i="1"/>
  <c r="AK1548" i="1" a="1"/>
  <c r="AK1548" i="1" s="1"/>
  <c r="AS1548" i="1"/>
  <c r="O1548" i="1"/>
  <c r="N1548" i="1"/>
  <c r="M1548" i="1"/>
  <c r="L1548" i="1"/>
  <c r="K1548" i="1"/>
  <c r="A1548" i="1"/>
  <c r="BM202" i="1" a="1"/>
  <c r="BM202" i="1" s="1"/>
  <c r="BL202" i="1"/>
  <c r="BK202" i="1"/>
  <c r="BD1544" i="1"/>
  <c r="AU1544" i="1"/>
  <c r="AK1544" i="1" a="1"/>
  <c r="AK1544" i="1" s="1"/>
  <c r="AS1544" i="1"/>
  <c r="O1544" i="1"/>
  <c r="N1544" i="1"/>
  <c r="M1544" i="1"/>
  <c r="L1544" i="1"/>
  <c r="K1544" i="1"/>
  <c r="A1544" i="1"/>
  <c r="BM201" i="1" a="1"/>
  <c r="BM201" i="1" s="1"/>
  <c r="BL201" i="1"/>
  <c r="BK201" i="1"/>
  <c r="BD1540" i="1"/>
  <c r="AU1540" i="1"/>
  <c r="AK1540" i="1" a="1"/>
  <c r="AK1540" i="1" s="1"/>
  <c r="AS1540" i="1"/>
  <c r="O1540" i="1"/>
  <c r="N1540" i="1"/>
  <c r="M1540" i="1"/>
  <c r="L1540" i="1"/>
  <c r="K1540" i="1"/>
  <c r="A1540" i="1"/>
  <c r="BM200" i="1" a="1"/>
  <c r="BM200" i="1" s="1"/>
  <c r="BL200" i="1"/>
  <c r="BK200" i="1"/>
  <c r="BD1483" i="1"/>
  <c r="AU1483" i="1"/>
  <c r="AK1483" i="1" a="1"/>
  <c r="AK1483" i="1" s="1"/>
  <c r="AS1483" i="1"/>
  <c r="O1483" i="1"/>
  <c r="N1483" i="1"/>
  <c r="M1483" i="1"/>
  <c r="L1483" i="1"/>
  <c r="K1483" i="1"/>
  <c r="A1483" i="1"/>
  <c r="BM199" i="1" a="1"/>
  <c r="BM199" i="1" s="1"/>
  <c r="BL199" i="1"/>
  <c r="BK199" i="1"/>
  <c r="BD1479" i="1"/>
  <c r="AU1479" i="1"/>
  <c r="AK1479" i="1" a="1"/>
  <c r="AK1479" i="1" s="1"/>
  <c r="AS1479" i="1"/>
  <c r="O1479" i="1"/>
  <c r="N1479" i="1"/>
  <c r="M1479" i="1"/>
  <c r="L1479" i="1"/>
  <c r="K1479" i="1"/>
  <c r="A1479" i="1"/>
  <c r="BM198" i="1" a="1"/>
  <c r="BM198" i="1" s="1"/>
  <c r="BL198" i="1"/>
  <c r="BK198" i="1"/>
  <c r="BD1475" i="1"/>
  <c r="AU1475" i="1"/>
  <c r="AK1475" i="1" a="1"/>
  <c r="AK1475" i="1" s="1"/>
  <c r="AS1475" i="1"/>
  <c r="O1475" i="1"/>
  <c r="N1475" i="1"/>
  <c r="M1475" i="1"/>
  <c r="L1475" i="1"/>
  <c r="K1475" i="1"/>
  <c r="A1475" i="1"/>
  <c r="BM197" i="1" a="1"/>
  <c r="BM197" i="1" s="1"/>
  <c r="BL197" i="1"/>
  <c r="BK197" i="1"/>
  <c r="BD1471" i="1"/>
  <c r="AU1471" i="1"/>
  <c r="AK1471" i="1" a="1"/>
  <c r="AK1471" i="1" s="1"/>
  <c r="AS1471" i="1"/>
  <c r="O1471" i="1"/>
  <c r="N1471" i="1"/>
  <c r="M1471" i="1"/>
  <c r="L1471" i="1"/>
  <c r="K1471" i="1"/>
  <c r="A1471" i="1"/>
  <c r="BM196" i="1" a="1"/>
  <c r="BM196" i="1" s="1"/>
  <c r="BL196" i="1"/>
  <c r="BK196" i="1"/>
  <c r="BD1447" i="1"/>
  <c r="AU1447" i="1"/>
  <c r="AK1447" i="1" a="1"/>
  <c r="AK1447" i="1" s="1"/>
  <c r="AS1447" i="1"/>
  <c r="O1447" i="1"/>
  <c r="N1447" i="1"/>
  <c r="M1447" i="1"/>
  <c r="L1447" i="1"/>
  <c r="K1447" i="1"/>
  <c r="A1447" i="1"/>
  <c r="BM195" i="1" a="1"/>
  <c r="BM195" i="1" s="1"/>
  <c r="BL195" i="1"/>
  <c r="BK195" i="1"/>
  <c r="BD1421" i="1"/>
  <c r="AU1421" i="1"/>
  <c r="AK1421" i="1" a="1"/>
  <c r="AK1421" i="1" s="1"/>
  <c r="AS1421" i="1"/>
  <c r="O1421" i="1"/>
  <c r="N1421" i="1"/>
  <c r="M1421" i="1"/>
  <c r="L1421" i="1"/>
  <c r="K1421" i="1"/>
  <c r="A1421" i="1"/>
  <c r="BM194" i="1" a="1"/>
  <c r="BM194" i="1" s="1"/>
  <c r="BL194" i="1"/>
  <c r="BK194" i="1"/>
  <c r="BD1395" i="1"/>
  <c r="AU1395" i="1"/>
  <c r="AK1395" i="1" a="1"/>
  <c r="AK1395" i="1" s="1"/>
  <c r="AS1395" i="1"/>
  <c r="O1395" i="1"/>
  <c r="N1395" i="1"/>
  <c r="M1395" i="1"/>
  <c r="L1395" i="1"/>
  <c r="K1395" i="1"/>
  <c r="A1395" i="1"/>
  <c r="BM193" i="1" a="1"/>
  <c r="BM193" i="1" s="1"/>
  <c r="BL193" i="1"/>
  <c r="BK193" i="1"/>
  <c r="BD1391" i="1"/>
  <c r="AU1391" i="1"/>
  <c r="AK1391" i="1" a="1"/>
  <c r="AK1391" i="1" s="1"/>
  <c r="AS1391" i="1"/>
  <c r="O1391" i="1"/>
  <c r="N1391" i="1"/>
  <c r="M1391" i="1"/>
  <c r="L1391" i="1"/>
  <c r="K1391" i="1"/>
  <c r="A1391" i="1"/>
  <c r="BM192" i="1" a="1"/>
  <c r="BM192" i="1" s="1"/>
  <c r="BL192" i="1"/>
  <c r="BK192" i="1"/>
  <c r="BD1387" i="1"/>
  <c r="AU1387" i="1"/>
  <c r="AK1387" i="1" a="1"/>
  <c r="AK1387" i="1" s="1"/>
  <c r="AS1387" i="1"/>
  <c r="O1387" i="1"/>
  <c r="N1387" i="1"/>
  <c r="M1387" i="1"/>
  <c r="L1387" i="1"/>
  <c r="K1387" i="1"/>
  <c r="A1387" i="1"/>
  <c r="BM191" i="1" a="1"/>
  <c r="BM191" i="1" s="1"/>
  <c r="BL191" i="1"/>
  <c r="BK191" i="1"/>
  <c r="BD1383" i="1"/>
  <c r="AU1383" i="1"/>
  <c r="AK1383" i="1" a="1"/>
  <c r="AK1383" i="1" s="1"/>
  <c r="AS1383" i="1"/>
  <c r="O1383" i="1"/>
  <c r="N1383" i="1"/>
  <c r="M1383" i="1"/>
  <c r="L1383" i="1"/>
  <c r="K1383" i="1"/>
  <c r="A1383" i="1"/>
  <c r="BM190" i="1" a="1"/>
  <c r="BM190" i="1" s="1"/>
  <c r="BL190" i="1"/>
  <c r="BK190" i="1"/>
  <c r="BD1359" i="1"/>
  <c r="AU1359" i="1"/>
  <c r="AK1359" i="1" a="1"/>
  <c r="AK1359" i="1" s="1"/>
  <c r="AS1359" i="1"/>
  <c r="O1359" i="1"/>
  <c r="N1359" i="1"/>
  <c r="M1359" i="1"/>
  <c r="L1359" i="1"/>
  <c r="K1359" i="1"/>
  <c r="A1359" i="1"/>
  <c r="BM189" i="1" a="1"/>
  <c r="BM189" i="1" s="1"/>
  <c r="BL189" i="1"/>
  <c r="BK189" i="1"/>
  <c r="BD1355" i="1"/>
  <c r="AU1355" i="1"/>
  <c r="AK1355" i="1" a="1"/>
  <c r="AK1355" i="1" s="1"/>
  <c r="AS1355" i="1"/>
  <c r="O1355" i="1"/>
  <c r="N1355" i="1"/>
  <c r="M1355" i="1"/>
  <c r="L1355" i="1"/>
  <c r="K1355" i="1"/>
  <c r="A1355" i="1"/>
  <c r="BM188" i="1" a="1"/>
  <c r="BM188" i="1" s="1"/>
  <c r="BL188" i="1"/>
  <c r="BK188" i="1"/>
  <c r="BD1351" i="1"/>
  <c r="AU1351" i="1"/>
  <c r="AK1351" i="1" a="1"/>
  <c r="AK1351" i="1" s="1"/>
  <c r="AS1351" i="1"/>
  <c r="O1351" i="1"/>
  <c r="N1351" i="1"/>
  <c r="M1351" i="1"/>
  <c r="L1351" i="1"/>
  <c r="K1351" i="1"/>
  <c r="A1351" i="1"/>
  <c r="BM187" i="1" a="1"/>
  <c r="BM187" i="1" s="1"/>
  <c r="BL187" i="1"/>
  <c r="BK187" i="1"/>
  <c r="BD1347" i="1"/>
  <c r="AU1347" i="1"/>
  <c r="AK1347" i="1" a="1"/>
  <c r="AK1347" i="1" s="1"/>
  <c r="AS1347" i="1"/>
  <c r="O1347" i="1"/>
  <c r="N1347" i="1"/>
  <c r="M1347" i="1"/>
  <c r="L1347" i="1"/>
  <c r="K1347" i="1"/>
  <c r="A1347" i="1"/>
  <c r="BM186" i="1" a="1"/>
  <c r="BM186" i="1" s="1"/>
  <c r="BL186" i="1"/>
  <c r="BK186" i="1"/>
  <c r="BD1306" i="1"/>
  <c r="AU1306" i="1"/>
  <c r="AK1306" i="1" a="1"/>
  <c r="AK1306" i="1" s="1"/>
  <c r="AS1306" i="1"/>
  <c r="O1306" i="1"/>
  <c r="N1306" i="1"/>
  <c r="M1306" i="1"/>
  <c r="L1306" i="1"/>
  <c r="K1306" i="1"/>
  <c r="A1306" i="1"/>
  <c r="BM185" i="1" a="1"/>
  <c r="BM185" i="1" s="1"/>
  <c r="BL185" i="1"/>
  <c r="BK185" i="1"/>
  <c r="BD1284" i="1"/>
  <c r="AU1284" i="1"/>
  <c r="AK1284" i="1" a="1"/>
  <c r="AK1284" i="1" s="1"/>
  <c r="AS1284" i="1"/>
  <c r="O1284" i="1"/>
  <c r="N1284" i="1"/>
  <c r="M1284" i="1"/>
  <c r="L1284" i="1"/>
  <c r="K1284" i="1"/>
  <c r="A1284" i="1"/>
  <c r="BM184" i="1" a="1"/>
  <c r="BM184" i="1" s="1"/>
  <c r="BL184" i="1"/>
  <c r="BK184" i="1"/>
  <c r="BD1255" i="1"/>
  <c r="AU1255" i="1"/>
  <c r="AK1255" i="1" a="1"/>
  <c r="AK1255" i="1" s="1"/>
  <c r="AS1255" i="1"/>
  <c r="O1255" i="1"/>
  <c r="N1255" i="1"/>
  <c r="M1255" i="1"/>
  <c r="L1255" i="1"/>
  <c r="K1255" i="1"/>
  <c r="A1255" i="1"/>
  <c r="BM183" i="1" a="1"/>
  <c r="BM183" i="1" s="1"/>
  <c r="BL183" i="1"/>
  <c r="BK183" i="1"/>
  <c r="BD1219" i="1"/>
  <c r="AU1219" i="1"/>
  <c r="AK1219" i="1" a="1"/>
  <c r="AK1219" i="1" s="1"/>
  <c r="AS1219" i="1"/>
  <c r="O1219" i="1"/>
  <c r="N1219" i="1"/>
  <c r="M1219" i="1"/>
  <c r="L1219" i="1"/>
  <c r="K1219" i="1"/>
  <c r="A1219" i="1"/>
  <c r="BM182" i="1" a="1"/>
  <c r="BM182" i="1" s="1"/>
  <c r="BL182" i="1"/>
  <c r="BK182" i="1"/>
  <c r="BD1199" i="1"/>
  <c r="AU1199" i="1"/>
  <c r="AK1199" i="1" a="1"/>
  <c r="AK1199" i="1" s="1"/>
  <c r="AS1199" i="1"/>
  <c r="O1199" i="1"/>
  <c r="N1199" i="1"/>
  <c r="M1199" i="1"/>
  <c r="L1199" i="1"/>
  <c r="K1199" i="1"/>
  <c r="A1199" i="1"/>
  <c r="BM181" i="1" a="1"/>
  <c r="BM181" i="1" s="1"/>
  <c r="BL181" i="1"/>
  <c r="BK181" i="1"/>
  <c r="BD1051" i="1"/>
  <c r="AU1051" i="1"/>
  <c r="AK1051" i="1" a="1"/>
  <c r="AK1051" i="1" s="1"/>
  <c r="AS1051" i="1"/>
  <c r="O1051" i="1"/>
  <c r="N1051" i="1"/>
  <c r="M1051" i="1"/>
  <c r="L1051" i="1"/>
  <c r="K1051" i="1"/>
  <c r="A1051" i="1"/>
  <c r="BM180" i="1" a="1"/>
  <c r="BM180" i="1" s="1"/>
  <c r="BL180" i="1"/>
  <c r="BK180" i="1"/>
  <c r="BD903" i="1"/>
  <c r="AU903" i="1"/>
  <c r="AK903" i="1" a="1"/>
  <c r="AK903" i="1" s="1"/>
  <c r="AS903" i="1"/>
  <c r="O903" i="1"/>
  <c r="N903" i="1"/>
  <c r="M903" i="1"/>
  <c r="L903" i="1"/>
  <c r="K903" i="1"/>
  <c r="A903" i="1"/>
  <c r="BM179" i="1" a="1"/>
  <c r="BM179" i="1" s="1"/>
  <c r="BL179" i="1"/>
  <c r="BK179" i="1"/>
  <c r="BD835" i="1"/>
  <c r="AU835" i="1"/>
  <c r="AK835" i="1" a="1"/>
  <c r="AK835" i="1" s="1"/>
  <c r="AS835" i="1"/>
  <c r="O835" i="1"/>
  <c r="N835" i="1"/>
  <c r="M835" i="1"/>
  <c r="L835" i="1"/>
  <c r="K835" i="1"/>
  <c r="A835" i="1"/>
  <c r="BM178" i="1" a="1"/>
  <c r="BM178" i="1" s="1"/>
  <c r="BL178" i="1"/>
  <c r="BK178" i="1"/>
  <c r="BD763" i="1"/>
  <c r="AU763" i="1"/>
  <c r="AK763" i="1" a="1"/>
  <c r="AK763" i="1" s="1"/>
  <c r="AS763" i="1"/>
  <c r="O763" i="1"/>
  <c r="N763" i="1"/>
  <c r="M763" i="1"/>
  <c r="L763" i="1"/>
  <c r="K763" i="1"/>
  <c r="A763" i="1"/>
  <c r="BM177" i="1" a="1"/>
  <c r="BM177" i="1" s="1"/>
  <c r="BL177" i="1"/>
  <c r="BK177" i="1"/>
  <c r="BD659" i="1"/>
  <c r="AU659" i="1"/>
  <c r="AK659" i="1" a="1"/>
  <c r="AK659" i="1" s="1"/>
  <c r="AS659" i="1"/>
  <c r="O659" i="1"/>
  <c r="N659" i="1"/>
  <c r="M659" i="1"/>
  <c r="L659" i="1"/>
  <c r="K659" i="1"/>
  <c r="A659" i="1"/>
  <c r="BM176" i="1" a="1"/>
  <c r="BM176" i="1" s="1"/>
  <c r="BL176" i="1"/>
  <c r="BK176" i="1"/>
  <c r="BD555" i="1"/>
  <c r="AU555" i="1"/>
  <c r="AK555" i="1" a="1"/>
  <c r="AK555" i="1" s="1"/>
  <c r="AS555" i="1"/>
  <c r="O555" i="1"/>
  <c r="N555" i="1"/>
  <c r="M555" i="1"/>
  <c r="L555" i="1"/>
  <c r="K555" i="1"/>
  <c r="A555" i="1"/>
  <c r="BM175" i="1" a="1"/>
  <c r="BM175" i="1" s="1"/>
  <c r="BL175" i="1"/>
  <c r="BK175" i="1"/>
  <c r="BD506" i="1"/>
  <c r="AU506" i="1"/>
  <c r="AK506" i="1" a="1"/>
  <c r="AK506" i="1" s="1"/>
  <c r="AS506" i="1"/>
  <c r="O506" i="1"/>
  <c r="N506" i="1"/>
  <c r="M506" i="1"/>
  <c r="L506" i="1"/>
  <c r="K506" i="1"/>
  <c r="A506" i="1"/>
  <c r="BM174" i="1" a="1"/>
  <c r="BM174" i="1" s="1"/>
  <c r="BL174" i="1"/>
  <c r="BK174" i="1"/>
  <c r="BD457" i="1"/>
  <c r="AU457" i="1"/>
  <c r="AK457" i="1" a="1"/>
  <c r="AK457" i="1" s="1"/>
  <c r="AS457" i="1"/>
  <c r="O457" i="1"/>
  <c r="N457" i="1"/>
  <c r="M457" i="1"/>
  <c r="L457" i="1"/>
  <c r="K457" i="1"/>
  <c r="A457" i="1"/>
  <c r="BM173" i="1" a="1"/>
  <c r="BM173" i="1" s="1"/>
  <c r="BL173" i="1"/>
  <c r="BK173" i="1"/>
  <c r="BD417" i="1"/>
  <c r="AU417" i="1"/>
  <c r="AK417" i="1" a="1"/>
  <c r="AK417" i="1" s="1"/>
  <c r="AS417" i="1"/>
  <c r="O417" i="1"/>
  <c r="N417" i="1"/>
  <c r="M417" i="1"/>
  <c r="L417" i="1"/>
  <c r="K417" i="1"/>
  <c r="A417" i="1"/>
  <c r="BM172" i="1" a="1"/>
  <c r="BM172" i="1" s="1"/>
  <c r="BL172" i="1"/>
  <c r="BK172" i="1"/>
  <c r="BD377" i="1"/>
  <c r="AU377" i="1"/>
  <c r="AK377" i="1" a="1"/>
  <c r="AK377" i="1" s="1"/>
  <c r="AS377" i="1"/>
  <c r="O377" i="1"/>
  <c r="N377" i="1"/>
  <c r="M377" i="1"/>
  <c r="L377" i="1"/>
  <c r="K377" i="1"/>
  <c r="A377" i="1"/>
  <c r="BM171" i="1" a="1"/>
  <c r="BM171" i="1" s="1"/>
  <c r="BL171" i="1"/>
  <c r="BK171" i="1"/>
  <c r="BD373" i="1"/>
  <c r="AU373" i="1"/>
  <c r="AK373" i="1" a="1"/>
  <c r="AK373" i="1" s="1"/>
  <c r="AS373" i="1"/>
  <c r="O373" i="1"/>
  <c r="N373" i="1"/>
  <c r="M373" i="1"/>
  <c r="L373" i="1"/>
  <c r="K373" i="1"/>
  <c r="A373" i="1"/>
  <c r="BM170" i="1" a="1"/>
  <c r="BM170" i="1" s="1"/>
  <c r="BL170" i="1"/>
  <c r="BK170" i="1"/>
  <c r="BD337" i="1"/>
  <c r="AU337" i="1"/>
  <c r="AK337" i="1" a="1"/>
  <c r="AK337" i="1" s="1"/>
  <c r="AS337" i="1"/>
  <c r="O337" i="1"/>
  <c r="N337" i="1"/>
  <c r="M337" i="1"/>
  <c r="L337" i="1"/>
  <c r="K337" i="1"/>
  <c r="A337" i="1"/>
  <c r="BM169" i="1" a="1"/>
  <c r="BM169" i="1" s="1"/>
  <c r="BL169" i="1"/>
  <c r="BK169" i="1"/>
  <c r="BD333" i="1"/>
  <c r="AU333" i="1"/>
  <c r="AK333" i="1" a="1"/>
  <c r="AK333" i="1" s="1"/>
  <c r="AS333" i="1"/>
  <c r="O333" i="1"/>
  <c r="N333" i="1"/>
  <c r="M333" i="1"/>
  <c r="L333" i="1"/>
  <c r="K333" i="1"/>
  <c r="A333" i="1"/>
  <c r="BM168" i="1" a="1"/>
  <c r="BM168" i="1" s="1"/>
  <c r="BL168" i="1"/>
  <c r="BK168" i="1"/>
  <c r="BD297" i="1"/>
  <c r="AU297" i="1"/>
  <c r="AK297" i="1" a="1"/>
  <c r="AK297" i="1" s="1"/>
  <c r="AS297" i="1"/>
  <c r="O297" i="1"/>
  <c r="N297" i="1"/>
  <c r="M297" i="1"/>
  <c r="L297" i="1"/>
  <c r="K297" i="1"/>
  <c r="A297" i="1"/>
  <c r="BM167" i="1" a="1"/>
  <c r="BM167" i="1" s="1"/>
  <c r="BL167" i="1"/>
  <c r="BK167" i="1"/>
  <c r="BD184" i="1"/>
  <c r="AU184" i="1"/>
  <c r="AK184" i="1" a="1"/>
  <c r="AK184" i="1" s="1"/>
  <c r="AS184" i="1"/>
  <c r="O184" i="1"/>
  <c r="N184" i="1"/>
  <c r="M184" i="1"/>
  <c r="L184" i="1"/>
  <c r="K184" i="1"/>
  <c r="A184" i="1"/>
  <c r="BM166" i="1" a="1"/>
  <c r="BM166" i="1" s="1"/>
  <c r="BL166" i="1"/>
  <c r="BK166" i="1"/>
  <c r="BD180" i="1"/>
  <c r="AU180" i="1"/>
  <c r="AK180" i="1" a="1"/>
  <c r="AK180" i="1" s="1"/>
  <c r="AS180" i="1"/>
  <c r="O180" i="1"/>
  <c r="N180" i="1"/>
  <c r="M180" i="1"/>
  <c r="L180" i="1"/>
  <c r="K180" i="1"/>
  <c r="A180" i="1"/>
  <c r="BM165" i="1" a="1"/>
  <c r="BM165" i="1" s="1"/>
  <c r="BL165" i="1"/>
  <c r="BK165" i="1"/>
  <c r="BD144" i="1"/>
  <c r="AU144" i="1"/>
  <c r="AK144" i="1" a="1"/>
  <c r="AK144" i="1" s="1"/>
  <c r="AS144" i="1"/>
  <c r="O144" i="1"/>
  <c r="N144" i="1"/>
  <c r="M144" i="1"/>
  <c r="L144" i="1"/>
  <c r="K144" i="1"/>
  <c r="A144" i="1"/>
  <c r="BM164" i="1" a="1"/>
  <c r="BM164" i="1" s="1"/>
  <c r="BL164" i="1"/>
  <c r="BK164" i="1"/>
  <c r="BD108" i="1"/>
  <c r="AU108" i="1"/>
  <c r="AK108" i="1" a="1"/>
  <c r="AK108" i="1" s="1"/>
  <c r="AS108" i="1"/>
  <c r="O108" i="1"/>
  <c r="N108" i="1"/>
  <c r="M108" i="1"/>
  <c r="L108" i="1"/>
  <c r="K108" i="1"/>
  <c r="A108" i="1"/>
  <c r="BM163" i="1" a="1"/>
  <c r="BM163" i="1" s="1"/>
  <c r="BL163" i="1"/>
  <c r="BK163" i="1"/>
  <c r="BD72" i="1"/>
  <c r="AU72" i="1"/>
  <c r="AK72" i="1" a="1"/>
  <c r="AK72" i="1" s="1"/>
  <c r="AS72" i="1"/>
  <c r="O72" i="1"/>
  <c r="N72" i="1"/>
  <c r="M72" i="1"/>
  <c r="L72" i="1"/>
  <c r="K72" i="1"/>
  <c r="A72" i="1"/>
  <c r="BM162" i="1" a="1"/>
  <c r="BM162" i="1" s="1"/>
  <c r="BL162" i="1"/>
  <c r="BK162" i="1"/>
  <c r="BD36" i="1"/>
  <c r="AU36" i="1"/>
  <c r="AK36" i="1" a="1"/>
  <c r="AK36" i="1" s="1"/>
  <c r="AS36" i="1"/>
  <c r="O36" i="1"/>
  <c r="N36" i="1"/>
  <c r="M36" i="1"/>
  <c r="L36" i="1"/>
  <c r="K36" i="1"/>
  <c r="A36" i="1"/>
  <c r="BM161" i="1" a="1"/>
  <c r="BM161" i="1" s="1"/>
  <c r="BL161" i="1"/>
  <c r="BK161" i="1"/>
  <c r="BD1849" i="1"/>
  <c r="AU1849" i="1"/>
  <c r="AK1849" i="1" a="1"/>
  <c r="AK1849" i="1" s="1"/>
  <c r="AS1849" i="1"/>
  <c r="O1849" i="1"/>
  <c r="N1849" i="1"/>
  <c r="M1849" i="1"/>
  <c r="L1849" i="1"/>
  <c r="K1849" i="1"/>
  <c r="A1849" i="1"/>
  <c r="BM160" i="1" a="1"/>
  <c r="BM160" i="1" s="1"/>
  <c r="BL160" i="1"/>
  <c r="BK160" i="1"/>
  <c r="BD1845" i="1"/>
  <c r="AU1845" i="1"/>
  <c r="AK1845" i="1" a="1"/>
  <c r="AK1845" i="1" s="1"/>
  <c r="AS1845" i="1"/>
  <c r="O1845" i="1"/>
  <c r="N1845" i="1"/>
  <c r="M1845" i="1"/>
  <c r="L1845" i="1"/>
  <c r="K1845" i="1"/>
  <c r="A1845" i="1"/>
  <c r="BM159" i="1" a="1"/>
  <c r="BM159" i="1" s="1"/>
  <c r="BL159" i="1"/>
  <c r="BK159" i="1"/>
  <c r="BD1841" i="1"/>
  <c r="AU1841" i="1"/>
  <c r="AK1841" i="1" a="1"/>
  <c r="AK1841" i="1" s="1"/>
  <c r="AS1841" i="1"/>
  <c r="O1841" i="1"/>
  <c r="N1841" i="1"/>
  <c r="M1841" i="1"/>
  <c r="L1841" i="1"/>
  <c r="K1841" i="1"/>
  <c r="A1841" i="1"/>
  <c r="BM158" i="1" a="1"/>
  <c r="BM158" i="1" s="1"/>
  <c r="BL158" i="1"/>
  <c r="BK158" i="1"/>
  <c r="BD1837" i="1"/>
  <c r="AU1837" i="1"/>
  <c r="AK1837" i="1" a="1"/>
  <c r="AK1837" i="1" s="1"/>
  <c r="AS1837" i="1"/>
  <c r="O1837" i="1"/>
  <c r="N1837" i="1"/>
  <c r="M1837" i="1"/>
  <c r="L1837" i="1"/>
  <c r="K1837" i="1"/>
  <c r="A1837" i="1"/>
  <c r="BM157" i="1" a="1"/>
  <c r="BM157" i="1" s="1"/>
  <c r="BL157" i="1"/>
  <c r="BK157" i="1"/>
  <c r="BD1808" i="1"/>
  <c r="AU1808" i="1"/>
  <c r="AK1808" i="1" a="1"/>
  <c r="AK1808" i="1" s="1"/>
  <c r="AS1808" i="1"/>
  <c r="O1808" i="1"/>
  <c r="N1808" i="1"/>
  <c r="M1808" i="1"/>
  <c r="L1808" i="1"/>
  <c r="K1808" i="1"/>
  <c r="A1808" i="1"/>
  <c r="BM156" i="1" a="1"/>
  <c r="BM156" i="1" s="1"/>
  <c r="BL156" i="1"/>
  <c r="BK156" i="1"/>
  <c r="BD1804" i="1"/>
  <c r="AU1804" i="1"/>
  <c r="AK1804" i="1" a="1"/>
  <c r="AK1804" i="1" s="1"/>
  <c r="AS1804" i="1"/>
  <c r="O1804" i="1"/>
  <c r="N1804" i="1"/>
  <c r="M1804" i="1"/>
  <c r="L1804" i="1"/>
  <c r="K1804" i="1"/>
  <c r="A1804" i="1"/>
  <c r="BM155" i="1" a="1"/>
  <c r="BM155" i="1" s="1"/>
  <c r="BL155" i="1"/>
  <c r="BK155" i="1"/>
  <c r="BD1800" i="1"/>
  <c r="AU1800" i="1"/>
  <c r="AK1800" i="1" a="1"/>
  <c r="AK1800" i="1" s="1"/>
  <c r="AS1800" i="1"/>
  <c r="O1800" i="1"/>
  <c r="N1800" i="1"/>
  <c r="M1800" i="1"/>
  <c r="L1800" i="1"/>
  <c r="K1800" i="1"/>
  <c r="A1800" i="1"/>
  <c r="BM154" i="1" a="1"/>
  <c r="BM154" i="1" s="1"/>
  <c r="BL154" i="1"/>
  <c r="BK154" i="1"/>
  <c r="BD1796" i="1"/>
  <c r="AU1796" i="1"/>
  <c r="AK1796" i="1" a="1"/>
  <c r="AK1796" i="1" s="1"/>
  <c r="AS1796" i="1"/>
  <c r="O1796" i="1"/>
  <c r="N1796" i="1"/>
  <c r="M1796" i="1"/>
  <c r="L1796" i="1"/>
  <c r="K1796" i="1"/>
  <c r="A1796" i="1"/>
  <c r="BM153" i="1" a="1"/>
  <c r="BM153" i="1" s="1"/>
  <c r="BL153" i="1"/>
  <c r="BK153" i="1"/>
  <c r="BD1752" i="1"/>
  <c r="AU1752" i="1"/>
  <c r="AK1752" i="1" a="1"/>
  <c r="AK1752" i="1" s="1"/>
  <c r="AS1752" i="1"/>
  <c r="O1752" i="1"/>
  <c r="N1752" i="1"/>
  <c r="M1752" i="1"/>
  <c r="L1752" i="1"/>
  <c r="K1752" i="1"/>
  <c r="A1752" i="1"/>
  <c r="BM152" i="1" a="1"/>
  <c r="BM152" i="1" s="1"/>
  <c r="BL152" i="1"/>
  <c r="BK152" i="1"/>
  <c r="BD1730" i="1"/>
  <c r="AU1730" i="1"/>
  <c r="AK1730" i="1" a="1"/>
  <c r="AK1730" i="1" s="1"/>
  <c r="AS1730" i="1"/>
  <c r="O1730" i="1"/>
  <c r="N1730" i="1"/>
  <c r="M1730" i="1"/>
  <c r="L1730" i="1"/>
  <c r="K1730" i="1"/>
  <c r="A1730" i="1"/>
  <c r="BM151" i="1" a="1"/>
  <c r="BM151" i="1" s="1"/>
  <c r="BL151" i="1"/>
  <c r="BK151" i="1"/>
  <c r="BD1704" i="1"/>
  <c r="AU1704" i="1"/>
  <c r="AK1704" i="1" a="1"/>
  <c r="AK1704" i="1" s="1"/>
  <c r="AS1704" i="1"/>
  <c r="O1704" i="1"/>
  <c r="N1704" i="1"/>
  <c r="M1704" i="1"/>
  <c r="L1704" i="1"/>
  <c r="K1704" i="1"/>
  <c r="A1704" i="1"/>
  <c r="BM150" i="1" a="1"/>
  <c r="BM150" i="1" s="1"/>
  <c r="BL150" i="1"/>
  <c r="BK150" i="1"/>
  <c r="BD1700" i="1"/>
  <c r="AU1700" i="1"/>
  <c r="AK1700" i="1" a="1"/>
  <c r="AK1700" i="1" s="1"/>
  <c r="AS1700" i="1"/>
  <c r="O1700" i="1"/>
  <c r="N1700" i="1"/>
  <c r="M1700" i="1"/>
  <c r="L1700" i="1"/>
  <c r="K1700" i="1"/>
  <c r="A1700" i="1"/>
  <c r="BM149" i="1" a="1"/>
  <c r="BM149" i="1" s="1"/>
  <c r="BL149" i="1"/>
  <c r="BK149" i="1"/>
  <c r="BD1696" i="1"/>
  <c r="AU1696" i="1"/>
  <c r="AK1696" i="1" a="1"/>
  <c r="AK1696" i="1" s="1"/>
  <c r="AS1696" i="1"/>
  <c r="O1696" i="1"/>
  <c r="N1696" i="1"/>
  <c r="M1696" i="1"/>
  <c r="L1696" i="1"/>
  <c r="K1696" i="1"/>
  <c r="A1696" i="1"/>
  <c r="BM148" i="1" a="1"/>
  <c r="BM148" i="1" s="1"/>
  <c r="BL148" i="1"/>
  <c r="BK148" i="1"/>
  <c r="BD1692" i="1"/>
  <c r="AU1692" i="1"/>
  <c r="AK1692" i="1" a="1"/>
  <c r="AK1692" i="1" s="1"/>
  <c r="AS1692" i="1"/>
  <c r="O1692" i="1"/>
  <c r="N1692" i="1"/>
  <c r="M1692" i="1"/>
  <c r="L1692" i="1"/>
  <c r="K1692" i="1"/>
  <c r="A1692" i="1"/>
  <c r="BM147" i="1" a="1"/>
  <c r="BM147" i="1" s="1"/>
  <c r="BL147" i="1"/>
  <c r="BK147" i="1"/>
  <c r="BD1659" i="1"/>
  <c r="AU1659" i="1"/>
  <c r="AK1659" i="1" a="1"/>
  <c r="AK1659" i="1" s="1"/>
  <c r="AS1659" i="1"/>
  <c r="O1659" i="1"/>
  <c r="N1659" i="1"/>
  <c r="M1659" i="1"/>
  <c r="L1659" i="1"/>
  <c r="K1659" i="1"/>
  <c r="A1659" i="1"/>
  <c r="BM146" i="1" a="1"/>
  <c r="BM146" i="1" s="1"/>
  <c r="BL146" i="1"/>
  <c r="BK146" i="1"/>
  <c r="BD1655" i="1"/>
  <c r="AU1655" i="1"/>
  <c r="AK1655" i="1" a="1"/>
  <c r="AK1655" i="1" s="1"/>
  <c r="AS1655" i="1"/>
  <c r="O1655" i="1"/>
  <c r="N1655" i="1"/>
  <c r="M1655" i="1"/>
  <c r="L1655" i="1"/>
  <c r="K1655" i="1"/>
  <c r="A1655" i="1"/>
  <c r="BM145" i="1" a="1"/>
  <c r="BM145" i="1" s="1"/>
  <c r="BL145" i="1"/>
  <c r="BK145" i="1"/>
  <c r="BD1651" i="1"/>
  <c r="AU1651" i="1"/>
  <c r="AK1651" i="1" a="1"/>
  <c r="AK1651" i="1" s="1"/>
  <c r="AS1651" i="1"/>
  <c r="O1651" i="1"/>
  <c r="N1651" i="1"/>
  <c r="M1651" i="1"/>
  <c r="L1651" i="1"/>
  <c r="K1651" i="1"/>
  <c r="A1651" i="1"/>
  <c r="BM144" i="1" a="1"/>
  <c r="BM144" i="1" s="1"/>
  <c r="BL144" i="1"/>
  <c r="BK144" i="1"/>
  <c r="BD1647" i="1"/>
  <c r="AU1647" i="1"/>
  <c r="AK1647" i="1" a="1"/>
  <c r="AK1647" i="1" s="1"/>
  <c r="AS1647" i="1"/>
  <c r="O1647" i="1"/>
  <c r="N1647" i="1"/>
  <c r="M1647" i="1"/>
  <c r="L1647" i="1"/>
  <c r="K1647" i="1"/>
  <c r="A1647" i="1"/>
  <c r="BM143" i="1" a="1"/>
  <c r="BM143" i="1" s="1"/>
  <c r="BL143" i="1"/>
  <c r="BK143" i="1"/>
  <c r="BD1603" i="1"/>
  <c r="AU1603" i="1"/>
  <c r="AK1603" i="1" a="1"/>
  <c r="AK1603" i="1" s="1"/>
  <c r="AS1603" i="1"/>
  <c r="O1603" i="1"/>
  <c r="N1603" i="1"/>
  <c r="M1603" i="1"/>
  <c r="L1603" i="1"/>
  <c r="K1603" i="1"/>
  <c r="A1603" i="1"/>
  <c r="BM142" i="1" a="1"/>
  <c r="BM142" i="1" s="1"/>
  <c r="BL142" i="1"/>
  <c r="BK142" i="1"/>
  <c r="BD1577" i="1"/>
  <c r="AU1577" i="1"/>
  <c r="AK1577" i="1" a="1"/>
  <c r="AK1577" i="1" s="1"/>
  <c r="AS1577" i="1"/>
  <c r="O1577" i="1"/>
  <c r="N1577" i="1"/>
  <c r="M1577" i="1"/>
  <c r="L1577" i="1"/>
  <c r="K1577" i="1"/>
  <c r="A1577" i="1"/>
  <c r="BM141" i="1" a="1"/>
  <c r="BM141" i="1" s="1"/>
  <c r="BL141" i="1"/>
  <c r="BK141" i="1"/>
  <c r="BD1551" i="1"/>
  <c r="AU1551" i="1"/>
  <c r="AK1551" i="1" a="1"/>
  <c r="AK1551" i="1" s="1"/>
  <c r="AS1551" i="1"/>
  <c r="O1551" i="1"/>
  <c r="N1551" i="1"/>
  <c r="M1551" i="1"/>
  <c r="L1551" i="1"/>
  <c r="K1551" i="1"/>
  <c r="A1551" i="1"/>
  <c r="BM140" i="1" a="1"/>
  <c r="BM140" i="1" s="1"/>
  <c r="BL140" i="1"/>
  <c r="BK140" i="1"/>
  <c r="BD1547" i="1"/>
  <c r="AU1547" i="1"/>
  <c r="AK1547" i="1" a="1"/>
  <c r="AK1547" i="1" s="1"/>
  <c r="AS1547" i="1"/>
  <c r="O1547" i="1"/>
  <c r="N1547" i="1"/>
  <c r="M1547" i="1"/>
  <c r="L1547" i="1"/>
  <c r="K1547" i="1"/>
  <c r="A1547" i="1"/>
  <c r="BM139" i="1" a="1"/>
  <c r="BM139" i="1" s="1"/>
  <c r="BL139" i="1"/>
  <c r="BK139" i="1"/>
  <c r="BD1543" i="1"/>
  <c r="AU1543" i="1"/>
  <c r="AK1543" i="1" a="1"/>
  <c r="AK1543" i="1" s="1"/>
  <c r="AS1543" i="1"/>
  <c r="O1543" i="1"/>
  <c r="N1543" i="1"/>
  <c r="M1543" i="1"/>
  <c r="L1543" i="1"/>
  <c r="K1543" i="1"/>
  <c r="A1543" i="1"/>
  <c r="BM138" i="1" a="1"/>
  <c r="BM138" i="1" s="1"/>
  <c r="BL138" i="1"/>
  <c r="BK138" i="1"/>
  <c r="BD1539" i="1"/>
  <c r="AU1539" i="1"/>
  <c r="AK1539" i="1" a="1"/>
  <c r="AK1539" i="1" s="1"/>
  <c r="AS1539" i="1"/>
  <c r="O1539" i="1"/>
  <c r="N1539" i="1"/>
  <c r="M1539" i="1"/>
  <c r="L1539" i="1"/>
  <c r="K1539" i="1"/>
  <c r="A1539" i="1"/>
  <c r="BM137" i="1" a="1"/>
  <c r="BM137" i="1" s="1"/>
  <c r="BL137" i="1"/>
  <c r="BK137" i="1"/>
  <c r="BD1482" i="1"/>
  <c r="AU1482" i="1"/>
  <c r="AK1482" i="1" a="1"/>
  <c r="AK1482" i="1" s="1"/>
  <c r="AS1482" i="1"/>
  <c r="O1482" i="1"/>
  <c r="N1482" i="1"/>
  <c r="M1482" i="1"/>
  <c r="L1482" i="1"/>
  <c r="K1482" i="1"/>
  <c r="A1482" i="1"/>
  <c r="BM136" i="1" a="1"/>
  <c r="BM136" i="1" s="1"/>
  <c r="BL136" i="1"/>
  <c r="BK136" i="1"/>
  <c r="BD1478" i="1"/>
  <c r="AU1478" i="1"/>
  <c r="AK1478" i="1" a="1"/>
  <c r="AK1478" i="1" s="1"/>
  <c r="AS1478" i="1"/>
  <c r="O1478" i="1"/>
  <c r="N1478" i="1"/>
  <c r="M1478" i="1"/>
  <c r="L1478" i="1"/>
  <c r="K1478" i="1"/>
  <c r="A1478" i="1"/>
  <c r="BM135" i="1" a="1"/>
  <c r="BM135" i="1" s="1"/>
  <c r="BL135" i="1"/>
  <c r="BK135" i="1"/>
  <c r="BD1474" i="1"/>
  <c r="AU1474" i="1"/>
  <c r="AK1474" i="1" a="1"/>
  <c r="AK1474" i="1" s="1"/>
  <c r="AS1474" i="1"/>
  <c r="O1474" i="1"/>
  <c r="N1474" i="1"/>
  <c r="M1474" i="1"/>
  <c r="L1474" i="1"/>
  <c r="K1474" i="1"/>
  <c r="A1474" i="1"/>
  <c r="BM134" i="1" a="1"/>
  <c r="BM134" i="1" s="1"/>
  <c r="BL134" i="1"/>
  <c r="BK134" i="1"/>
  <c r="BD1470" i="1"/>
  <c r="AU1470" i="1"/>
  <c r="AK1470" i="1" a="1"/>
  <c r="AK1470" i="1" s="1"/>
  <c r="AS1470" i="1"/>
  <c r="O1470" i="1"/>
  <c r="N1470" i="1"/>
  <c r="M1470" i="1"/>
  <c r="L1470" i="1"/>
  <c r="K1470" i="1"/>
  <c r="A1470" i="1"/>
  <c r="BM133" i="1" a="1"/>
  <c r="BM133" i="1" s="1"/>
  <c r="BL133" i="1"/>
  <c r="BK133" i="1"/>
  <c r="BD1446" i="1"/>
  <c r="AU1446" i="1"/>
  <c r="AK1446" i="1" a="1"/>
  <c r="AK1446" i="1" s="1"/>
  <c r="AS1446" i="1"/>
  <c r="O1446" i="1"/>
  <c r="N1446" i="1"/>
  <c r="M1446" i="1"/>
  <c r="L1446" i="1"/>
  <c r="K1446" i="1"/>
  <c r="A1446" i="1"/>
  <c r="BM132" i="1" a="1"/>
  <c r="BM132" i="1" s="1"/>
  <c r="BL132" i="1"/>
  <c r="BK132" i="1"/>
  <c r="BD1420" i="1"/>
  <c r="AU1420" i="1"/>
  <c r="AK1420" i="1" a="1"/>
  <c r="AK1420" i="1" s="1"/>
  <c r="AS1420" i="1"/>
  <c r="O1420" i="1"/>
  <c r="N1420" i="1"/>
  <c r="M1420" i="1"/>
  <c r="L1420" i="1"/>
  <c r="K1420" i="1"/>
  <c r="A1420" i="1"/>
  <c r="BM131" i="1" a="1"/>
  <c r="BM131" i="1" s="1"/>
  <c r="BL131" i="1"/>
  <c r="BK131" i="1"/>
  <c r="BD1394" i="1"/>
  <c r="AU1394" i="1"/>
  <c r="AK1394" i="1" a="1"/>
  <c r="AK1394" i="1" s="1"/>
  <c r="AS1394" i="1"/>
  <c r="O1394" i="1"/>
  <c r="N1394" i="1"/>
  <c r="M1394" i="1"/>
  <c r="L1394" i="1"/>
  <c r="K1394" i="1"/>
  <c r="A1394" i="1"/>
  <c r="BM130" i="1" a="1"/>
  <c r="BM130" i="1" s="1"/>
  <c r="BL130" i="1"/>
  <c r="BK130" i="1"/>
  <c r="BD1390" i="1"/>
  <c r="AU1390" i="1"/>
  <c r="AK1390" i="1" a="1"/>
  <c r="AK1390" i="1" s="1"/>
  <c r="AS1390" i="1"/>
  <c r="O1390" i="1"/>
  <c r="N1390" i="1"/>
  <c r="M1390" i="1"/>
  <c r="L1390" i="1"/>
  <c r="K1390" i="1"/>
  <c r="A1390" i="1"/>
  <c r="BM129" i="1" a="1"/>
  <c r="BM129" i="1" s="1"/>
  <c r="BL129" i="1"/>
  <c r="BK129" i="1"/>
  <c r="BD1386" i="1"/>
  <c r="AU1386" i="1"/>
  <c r="AK1386" i="1" a="1"/>
  <c r="AK1386" i="1" s="1"/>
  <c r="AS1386" i="1"/>
  <c r="O1386" i="1"/>
  <c r="N1386" i="1"/>
  <c r="M1386" i="1"/>
  <c r="L1386" i="1"/>
  <c r="K1386" i="1"/>
  <c r="A1386" i="1"/>
  <c r="BM128" i="1" a="1"/>
  <c r="BM128" i="1" s="1"/>
  <c r="BL128" i="1"/>
  <c r="BK128" i="1"/>
  <c r="BD1382" i="1"/>
  <c r="AU1382" i="1"/>
  <c r="AK1382" i="1" a="1"/>
  <c r="AK1382" i="1" s="1"/>
  <c r="AS1382" i="1"/>
  <c r="O1382" i="1"/>
  <c r="N1382" i="1"/>
  <c r="M1382" i="1"/>
  <c r="L1382" i="1"/>
  <c r="K1382" i="1"/>
  <c r="A1382" i="1"/>
  <c r="BM127" i="1" a="1"/>
  <c r="BM127" i="1" s="1"/>
  <c r="BL127" i="1"/>
  <c r="BK127" i="1"/>
  <c r="BD1358" i="1"/>
  <c r="AU1358" i="1"/>
  <c r="AK1358" i="1" a="1"/>
  <c r="AK1358" i="1" s="1"/>
  <c r="AS1358" i="1"/>
  <c r="O1358" i="1"/>
  <c r="N1358" i="1"/>
  <c r="M1358" i="1"/>
  <c r="L1358" i="1"/>
  <c r="K1358" i="1"/>
  <c r="A1358" i="1"/>
  <c r="BM126" i="1" a="1"/>
  <c r="BM126" i="1" s="1"/>
  <c r="BL126" i="1"/>
  <c r="BK126" i="1"/>
  <c r="BD1354" i="1"/>
  <c r="AU1354" i="1"/>
  <c r="AK1354" i="1" a="1"/>
  <c r="AK1354" i="1" s="1"/>
  <c r="AS1354" i="1"/>
  <c r="O1354" i="1"/>
  <c r="N1354" i="1"/>
  <c r="M1354" i="1"/>
  <c r="L1354" i="1"/>
  <c r="K1354" i="1"/>
  <c r="A1354" i="1"/>
  <c r="BM125" i="1" a="1"/>
  <c r="BM125" i="1" s="1"/>
  <c r="BL125" i="1"/>
  <c r="BK125" i="1"/>
  <c r="BD1350" i="1"/>
  <c r="AU1350" i="1"/>
  <c r="AK1350" i="1" a="1"/>
  <c r="AK1350" i="1" s="1"/>
  <c r="AS1350" i="1"/>
  <c r="O1350" i="1"/>
  <c r="N1350" i="1"/>
  <c r="M1350" i="1"/>
  <c r="L1350" i="1"/>
  <c r="K1350" i="1"/>
  <c r="A1350" i="1"/>
  <c r="BM124" i="1" a="1"/>
  <c r="BM124" i="1" s="1"/>
  <c r="BL124" i="1"/>
  <c r="BK124" i="1"/>
  <c r="BD1346" i="1"/>
  <c r="AU1346" i="1"/>
  <c r="AK1346" i="1" a="1"/>
  <c r="AK1346" i="1" s="1"/>
  <c r="AS1346" i="1"/>
  <c r="O1346" i="1"/>
  <c r="N1346" i="1"/>
  <c r="M1346" i="1"/>
  <c r="L1346" i="1"/>
  <c r="K1346" i="1"/>
  <c r="A1346" i="1"/>
  <c r="BM123" i="1" a="1"/>
  <c r="BM123" i="1" s="1"/>
  <c r="BL123" i="1"/>
  <c r="BK123" i="1"/>
  <c r="BD1305" i="1"/>
  <c r="AU1305" i="1"/>
  <c r="AK1305" i="1" a="1"/>
  <c r="AK1305" i="1" s="1"/>
  <c r="AS1305" i="1"/>
  <c r="O1305" i="1"/>
  <c r="N1305" i="1"/>
  <c r="M1305" i="1"/>
  <c r="L1305" i="1"/>
  <c r="K1305" i="1"/>
  <c r="A1305" i="1"/>
  <c r="BM122" i="1" a="1"/>
  <c r="BM122" i="1" s="1"/>
  <c r="BL122" i="1"/>
  <c r="BK122" i="1"/>
  <c r="BD1283" i="1"/>
  <c r="AU1283" i="1"/>
  <c r="AK1283" i="1" a="1"/>
  <c r="AK1283" i="1" s="1"/>
  <c r="AS1283" i="1"/>
  <c r="O1283" i="1"/>
  <c r="N1283" i="1"/>
  <c r="M1283" i="1"/>
  <c r="L1283" i="1"/>
  <c r="K1283" i="1"/>
  <c r="A1283" i="1"/>
  <c r="BM121" i="1" a="1"/>
  <c r="BM121" i="1" s="1"/>
  <c r="BL121" i="1"/>
  <c r="BK121" i="1"/>
  <c r="BD1254" i="1"/>
  <c r="AU1254" i="1"/>
  <c r="AK1254" i="1" a="1"/>
  <c r="AK1254" i="1" s="1"/>
  <c r="AS1254" i="1"/>
  <c r="O1254" i="1"/>
  <c r="N1254" i="1"/>
  <c r="M1254" i="1"/>
  <c r="L1254" i="1"/>
  <c r="K1254" i="1"/>
  <c r="A1254" i="1"/>
  <c r="BM120" i="1" a="1"/>
  <c r="BM120" i="1" s="1"/>
  <c r="BL120" i="1"/>
  <c r="BK120" i="1"/>
  <c r="BD1218" i="1"/>
  <c r="AU1218" i="1"/>
  <c r="AK1218" i="1" a="1"/>
  <c r="AK1218" i="1" s="1"/>
  <c r="AS1218" i="1"/>
  <c r="O1218" i="1"/>
  <c r="N1218" i="1"/>
  <c r="M1218" i="1"/>
  <c r="L1218" i="1"/>
  <c r="K1218" i="1"/>
  <c r="A1218" i="1"/>
  <c r="BM119" i="1" a="1"/>
  <c r="BM119" i="1" s="1"/>
  <c r="BL119" i="1"/>
  <c r="BK119" i="1"/>
  <c r="BD1198" i="1"/>
  <c r="AU1198" i="1"/>
  <c r="AK1198" i="1" a="1"/>
  <c r="AK1198" i="1" s="1"/>
  <c r="AS1198" i="1"/>
  <c r="O1198" i="1"/>
  <c r="N1198" i="1"/>
  <c r="M1198" i="1"/>
  <c r="L1198" i="1"/>
  <c r="K1198" i="1"/>
  <c r="A1198" i="1"/>
  <c r="BM118" i="1" a="1"/>
  <c r="BM118" i="1" s="1"/>
  <c r="BL118" i="1"/>
  <c r="BK118" i="1"/>
  <c r="BD1050" i="1"/>
  <c r="AU1050" i="1"/>
  <c r="AK1050" i="1" a="1"/>
  <c r="AK1050" i="1" s="1"/>
  <c r="AS1050" i="1"/>
  <c r="O1050" i="1"/>
  <c r="N1050" i="1"/>
  <c r="M1050" i="1"/>
  <c r="L1050" i="1"/>
  <c r="K1050" i="1"/>
  <c r="A1050" i="1"/>
  <c r="BM117" i="1" a="1"/>
  <c r="BM117" i="1" s="1"/>
  <c r="BL117" i="1"/>
  <c r="BK117" i="1"/>
  <c r="BD902" i="1"/>
  <c r="AU902" i="1"/>
  <c r="AK902" i="1" a="1"/>
  <c r="AK902" i="1" s="1"/>
  <c r="AS902" i="1"/>
  <c r="O902" i="1"/>
  <c r="N902" i="1"/>
  <c r="M902" i="1"/>
  <c r="L902" i="1"/>
  <c r="K902" i="1"/>
  <c r="A902" i="1"/>
  <c r="BM116" i="1" a="1"/>
  <c r="BM116" i="1" s="1"/>
  <c r="BL116" i="1"/>
  <c r="BK116" i="1"/>
  <c r="BD834" i="1"/>
  <c r="AU834" i="1"/>
  <c r="AK834" i="1" a="1"/>
  <c r="AK834" i="1" s="1"/>
  <c r="AS834" i="1"/>
  <c r="O834" i="1"/>
  <c r="N834" i="1"/>
  <c r="M834" i="1"/>
  <c r="L834" i="1"/>
  <c r="K834" i="1"/>
  <c r="A834" i="1"/>
  <c r="BM115" i="1" a="1"/>
  <c r="BM115" i="1" s="1"/>
  <c r="BL115" i="1"/>
  <c r="BK115" i="1"/>
  <c r="BD762" i="1"/>
  <c r="AU762" i="1"/>
  <c r="AK762" i="1" a="1"/>
  <c r="AK762" i="1" s="1"/>
  <c r="AS762" i="1"/>
  <c r="O762" i="1"/>
  <c r="N762" i="1"/>
  <c r="M762" i="1"/>
  <c r="L762" i="1"/>
  <c r="K762" i="1"/>
  <c r="A762" i="1"/>
  <c r="BM114" i="1" a="1"/>
  <c r="BM114" i="1" s="1"/>
  <c r="BL114" i="1"/>
  <c r="BK114" i="1"/>
  <c r="BD658" i="1"/>
  <c r="AU658" i="1"/>
  <c r="AK658" i="1" a="1"/>
  <c r="AK658" i="1" s="1"/>
  <c r="AS658" i="1"/>
  <c r="O658" i="1"/>
  <c r="N658" i="1"/>
  <c r="M658" i="1"/>
  <c r="L658" i="1"/>
  <c r="K658" i="1"/>
  <c r="A658" i="1"/>
  <c r="BM113" i="1" a="1"/>
  <c r="BM113" i="1" s="1"/>
  <c r="BL113" i="1"/>
  <c r="BK113" i="1"/>
  <c r="BD554" i="1"/>
  <c r="AU554" i="1"/>
  <c r="AK554" i="1" a="1"/>
  <c r="AK554" i="1" s="1"/>
  <c r="AS554" i="1"/>
  <c r="O554" i="1"/>
  <c r="N554" i="1"/>
  <c r="M554" i="1"/>
  <c r="L554" i="1"/>
  <c r="K554" i="1"/>
  <c r="A554" i="1"/>
  <c r="BM112" i="1" a="1"/>
  <c r="BM112" i="1" s="1"/>
  <c r="BL112" i="1"/>
  <c r="BK112" i="1"/>
  <c r="BD505" i="1"/>
  <c r="AU505" i="1"/>
  <c r="AK505" i="1" a="1"/>
  <c r="AK505" i="1" s="1"/>
  <c r="AS505" i="1"/>
  <c r="O505" i="1"/>
  <c r="N505" i="1"/>
  <c r="M505" i="1"/>
  <c r="L505" i="1"/>
  <c r="K505" i="1"/>
  <c r="A505" i="1"/>
  <c r="BM111" i="1" a="1"/>
  <c r="BM111" i="1" s="1"/>
  <c r="BL111" i="1"/>
  <c r="BK111" i="1"/>
  <c r="BD456" i="1"/>
  <c r="AU456" i="1"/>
  <c r="AK456" i="1" a="1"/>
  <c r="AK456" i="1" s="1"/>
  <c r="AS456" i="1"/>
  <c r="O456" i="1"/>
  <c r="N456" i="1"/>
  <c r="M456" i="1"/>
  <c r="L456" i="1"/>
  <c r="K456" i="1"/>
  <c r="A456" i="1"/>
  <c r="BM110" i="1" a="1"/>
  <c r="BM110" i="1" s="1"/>
  <c r="BL110" i="1"/>
  <c r="BK110" i="1"/>
  <c r="BD416" i="1"/>
  <c r="AU416" i="1"/>
  <c r="AK416" i="1" a="1"/>
  <c r="AK416" i="1" s="1"/>
  <c r="AS416" i="1"/>
  <c r="O416" i="1"/>
  <c r="N416" i="1"/>
  <c r="M416" i="1"/>
  <c r="L416" i="1"/>
  <c r="K416" i="1"/>
  <c r="A416" i="1"/>
  <c r="BM109" i="1" a="1"/>
  <c r="BM109" i="1" s="1"/>
  <c r="BL109" i="1"/>
  <c r="BK109" i="1"/>
  <c r="BD376" i="1"/>
  <c r="AU376" i="1"/>
  <c r="AK376" i="1" a="1"/>
  <c r="AK376" i="1" s="1"/>
  <c r="AS376" i="1"/>
  <c r="O376" i="1"/>
  <c r="N376" i="1"/>
  <c r="M376" i="1"/>
  <c r="L376" i="1"/>
  <c r="K376" i="1"/>
  <c r="A376" i="1"/>
  <c r="BM108" i="1" a="1"/>
  <c r="BM108" i="1" s="1"/>
  <c r="BL108" i="1"/>
  <c r="BK108" i="1"/>
  <c r="BD372" i="1"/>
  <c r="AU372" i="1"/>
  <c r="AK372" i="1" a="1"/>
  <c r="AK372" i="1" s="1"/>
  <c r="AS372" i="1"/>
  <c r="O372" i="1"/>
  <c r="N372" i="1"/>
  <c r="M372" i="1"/>
  <c r="L372" i="1"/>
  <c r="K372" i="1"/>
  <c r="A372" i="1"/>
  <c r="BM107" i="1" a="1"/>
  <c r="BM107" i="1" s="1"/>
  <c r="BL107" i="1"/>
  <c r="BK107" i="1"/>
  <c r="BD336" i="1"/>
  <c r="AU336" i="1"/>
  <c r="AK336" i="1" a="1"/>
  <c r="AK336" i="1" s="1"/>
  <c r="AS336" i="1"/>
  <c r="O336" i="1"/>
  <c r="N336" i="1"/>
  <c r="M336" i="1"/>
  <c r="L336" i="1"/>
  <c r="K336" i="1"/>
  <c r="A336" i="1"/>
  <c r="BM106" i="1" a="1"/>
  <c r="BM106" i="1" s="1"/>
  <c r="BL106" i="1"/>
  <c r="BK106" i="1"/>
  <c r="BD332" i="1"/>
  <c r="AU332" i="1"/>
  <c r="AK332" i="1" a="1"/>
  <c r="AK332" i="1" s="1"/>
  <c r="AS332" i="1"/>
  <c r="O332" i="1"/>
  <c r="N332" i="1"/>
  <c r="M332" i="1"/>
  <c r="L332" i="1"/>
  <c r="K332" i="1"/>
  <c r="A332" i="1"/>
  <c r="BM105" i="1" a="1"/>
  <c r="BM105" i="1" s="1"/>
  <c r="BL105" i="1"/>
  <c r="BK105" i="1"/>
  <c r="BD296" i="1"/>
  <c r="AU296" i="1"/>
  <c r="AK296" i="1" a="1"/>
  <c r="AK296" i="1" s="1"/>
  <c r="AS296" i="1"/>
  <c r="O296" i="1"/>
  <c r="N296" i="1"/>
  <c r="M296" i="1"/>
  <c r="L296" i="1"/>
  <c r="K296" i="1"/>
  <c r="A296" i="1"/>
  <c r="BM104" i="1" a="1"/>
  <c r="BM104" i="1" s="1"/>
  <c r="BL104" i="1"/>
  <c r="BK104" i="1"/>
  <c r="BD183" i="1"/>
  <c r="AU183" i="1"/>
  <c r="AK183" i="1" a="1"/>
  <c r="AK183" i="1" s="1"/>
  <c r="AS183" i="1"/>
  <c r="O183" i="1"/>
  <c r="N183" i="1"/>
  <c r="M183" i="1"/>
  <c r="L183" i="1"/>
  <c r="K183" i="1"/>
  <c r="A183" i="1"/>
  <c r="BM103" i="1" a="1"/>
  <c r="BM103" i="1" s="1"/>
  <c r="BL103" i="1"/>
  <c r="BK103" i="1"/>
  <c r="BD179" i="1"/>
  <c r="AU179" i="1"/>
  <c r="AK179" i="1" a="1"/>
  <c r="AK179" i="1" s="1"/>
  <c r="AS179" i="1"/>
  <c r="O179" i="1"/>
  <c r="N179" i="1"/>
  <c r="M179" i="1"/>
  <c r="L179" i="1"/>
  <c r="K179" i="1"/>
  <c r="A179" i="1"/>
  <c r="BM102" i="1" a="1"/>
  <c r="BM102" i="1" s="1"/>
  <c r="BL102" i="1"/>
  <c r="BK102" i="1"/>
  <c r="BD143" i="1"/>
  <c r="AU143" i="1"/>
  <c r="AK143" i="1" a="1"/>
  <c r="AK143" i="1" s="1"/>
  <c r="AS143" i="1"/>
  <c r="O143" i="1"/>
  <c r="N143" i="1"/>
  <c r="M143" i="1"/>
  <c r="L143" i="1"/>
  <c r="K143" i="1"/>
  <c r="A143" i="1"/>
  <c r="BM101" i="1" a="1"/>
  <c r="BM101" i="1" s="1"/>
  <c r="BL101" i="1"/>
  <c r="BK101" i="1"/>
  <c r="BD107" i="1"/>
  <c r="AU107" i="1"/>
  <c r="AK107" i="1" a="1"/>
  <c r="AK107" i="1" s="1"/>
  <c r="AS107" i="1"/>
  <c r="O107" i="1"/>
  <c r="N107" i="1"/>
  <c r="M107" i="1"/>
  <c r="L107" i="1"/>
  <c r="K107" i="1"/>
  <c r="A107" i="1"/>
  <c r="BM100" i="1" a="1"/>
  <c r="BM100" i="1" s="1"/>
  <c r="BL100" i="1"/>
  <c r="BK100" i="1"/>
  <c r="BD71" i="1"/>
  <c r="AU71" i="1"/>
  <c r="AK71" i="1" a="1"/>
  <c r="AK71" i="1" s="1"/>
  <c r="AS71" i="1"/>
  <c r="O71" i="1"/>
  <c r="N71" i="1"/>
  <c r="M71" i="1"/>
  <c r="L71" i="1"/>
  <c r="K71" i="1"/>
  <c r="A71" i="1"/>
  <c r="BM99" i="1" a="1"/>
  <c r="BM99" i="1" s="1"/>
  <c r="BL99" i="1"/>
  <c r="BK99" i="1"/>
  <c r="BD35" i="1"/>
  <c r="AU35" i="1"/>
  <c r="AK35" i="1" a="1"/>
  <c r="AK35" i="1" s="1"/>
  <c r="AS35" i="1"/>
  <c r="O35" i="1"/>
  <c r="N35" i="1"/>
  <c r="M35" i="1"/>
  <c r="L35" i="1"/>
  <c r="K35" i="1"/>
  <c r="A35" i="1"/>
  <c r="BM1857" i="1" l="1" a="1"/>
  <c r="BM1857" i="1" s="1"/>
  <c r="BM1856" i="1" a="1"/>
  <c r="BM1856" i="1" s="1"/>
  <c r="BM1855" i="1" a="1"/>
  <c r="BM1855" i="1" s="1"/>
  <c r="BM1854" i="1" a="1"/>
  <c r="BM1854" i="1" s="1"/>
  <c r="BM1853" i="1" a="1"/>
  <c r="BM1853" i="1" s="1"/>
  <c r="BM1852" i="1" a="1"/>
  <c r="BM1852" i="1" s="1"/>
  <c r="BM1851" i="1" a="1"/>
  <c r="BM1851" i="1" s="1"/>
  <c r="BM1850" i="1" a="1"/>
  <c r="BM1850" i="1" s="1"/>
  <c r="BM1849" i="1" a="1"/>
  <c r="BM1849" i="1" s="1"/>
  <c r="BM1848" i="1" a="1"/>
  <c r="BM1848" i="1" s="1"/>
  <c r="BM1847" i="1" a="1"/>
  <c r="BM1847" i="1" s="1"/>
  <c r="BM1846" i="1" a="1"/>
  <c r="BM1846" i="1" s="1"/>
  <c r="BM1845" i="1" a="1"/>
  <c r="BM1845" i="1" s="1"/>
  <c r="BM1844" i="1" a="1"/>
  <c r="BM1844" i="1" s="1"/>
  <c r="BM1843" i="1" a="1"/>
  <c r="BM1843" i="1" s="1"/>
  <c r="BM1842" i="1" a="1"/>
  <c r="BM1842" i="1" s="1"/>
  <c r="BM1841" i="1" a="1"/>
  <c r="BM1841" i="1" s="1"/>
  <c r="BM1840" i="1" a="1"/>
  <c r="BM1840" i="1" s="1"/>
  <c r="BM1839" i="1" a="1"/>
  <c r="BM1839" i="1" s="1"/>
  <c r="BM1838" i="1" a="1"/>
  <c r="BM1838" i="1" s="1"/>
  <c r="BM1837" i="1" a="1"/>
  <c r="BM1837" i="1" s="1"/>
  <c r="BM1836" i="1" a="1"/>
  <c r="BM1836" i="1" s="1"/>
  <c r="BM1835" i="1" a="1"/>
  <c r="BM1835" i="1" s="1"/>
  <c r="BM1834" i="1" a="1"/>
  <c r="BM1834" i="1" s="1"/>
  <c r="BM1833" i="1" a="1"/>
  <c r="BM1833" i="1" s="1"/>
  <c r="BM1832" i="1" a="1"/>
  <c r="BM1832" i="1" s="1"/>
  <c r="BM1831" i="1" a="1"/>
  <c r="BM1831" i="1" s="1"/>
  <c r="BM1830" i="1" a="1"/>
  <c r="BM1830" i="1" s="1"/>
  <c r="BM1829" i="1" a="1"/>
  <c r="BM1829" i="1" s="1"/>
  <c r="BM1828" i="1" a="1"/>
  <c r="BM1828" i="1" s="1"/>
  <c r="BM1827" i="1" a="1"/>
  <c r="BM1827" i="1" s="1"/>
  <c r="BM1826" i="1" a="1"/>
  <c r="BM1826" i="1" s="1"/>
  <c r="BM1825" i="1" a="1"/>
  <c r="BM1825" i="1" s="1"/>
  <c r="BM1824" i="1" a="1"/>
  <c r="BM1824" i="1" s="1"/>
  <c r="BM1823" i="1" a="1"/>
  <c r="BM1823" i="1" s="1"/>
  <c r="BM1822" i="1" a="1"/>
  <c r="BM1822" i="1" s="1"/>
  <c r="BM1821" i="1" a="1"/>
  <c r="BM1821" i="1" s="1"/>
  <c r="BM1820" i="1" a="1"/>
  <c r="BM1820" i="1" s="1"/>
  <c r="BM1819" i="1" a="1"/>
  <c r="BM1819" i="1" s="1"/>
  <c r="BM1818" i="1" a="1"/>
  <c r="BM1818" i="1" s="1"/>
  <c r="BM1817" i="1" a="1"/>
  <c r="BM1817" i="1" s="1"/>
  <c r="BM1816" i="1" a="1"/>
  <c r="BM1816" i="1" s="1"/>
  <c r="BM1815" i="1" a="1"/>
  <c r="BM1815" i="1" s="1"/>
  <c r="BM1814" i="1" a="1"/>
  <c r="BM1814" i="1" s="1"/>
  <c r="BM1813" i="1" a="1"/>
  <c r="BM1813" i="1" s="1"/>
  <c r="BM1812" i="1" a="1"/>
  <c r="BM1812" i="1" s="1"/>
  <c r="BM1811" i="1" a="1"/>
  <c r="BM1811" i="1" s="1"/>
  <c r="BM1810" i="1" a="1"/>
  <c r="BM1810" i="1" s="1"/>
  <c r="BM1809" i="1" a="1"/>
  <c r="BM1809" i="1" s="1"/>
  <c r="BM1808" i="1" a="1"/>
  <c r="BM1808" i="1" s="1"/>
  <c r="BM1807" i="1" a="1"/>
  <c r="BM1807" i="1" s="1"/>
  <c r="BM1806" i="1" a="1"/>
  <c r="BM1806" i="1" s="1"/>
  <c r="BM1805" i="1" a="1"/>
  <c r="BM1805" i="1" s="1"/>
  <c r="BM1804" i="1" a="1"/>
  <c r="BM1804" i="1" s="1"/>
  <c r="BM1803" i="1" a="1"/>
  <c r="BM1803" i="1" s="1"/>
  <c r="BM1802" i="1" a="1"/>
  <c r="BM1802" i="1" s="1"/>
  <c r="BM1801" i="1" a="1"/>
  <c r="BM1801" i="1" s="1"/>
  <c r="BM1800" i="1" a="1"/>
  <c r="BM1800" i="1" s="1"/>
  <c r="BM1799" i="1" a="1"/>
  <c r="BM1799" i="1" s="1"/>
  <c r="BM1798" i="1" a="1"/>
  <c r="BM1798" i="1" s="1"/>
  <c r="BM1797" i="1" a="1"/>
  <c r="BM1797" i="1" s="1"/>
  <c r="BM1796" i="1" a="1"/>
  <c r="BM1796" i="1" s="1"/>
  <c r="BM1795" i="1" a="1"/>
  <c r="BM1795" i="1" s="1"/>
  <c r="BM1794" i="1" a="1"/>
  <c r="BM1794" i="1" s="1"/>
  <c r="BM1793" i="1" a="1"/>
  <c r="BM1793" i="1" s="1"/>
  <c r="BM1792" i="1" a="1"/>
  <c r="BM1792" i="1" s="1"/>
  <c r="BM1791" i="1" a="1"/>
  <c r="BM1791" i="1" s="1"/>
  <c r="BM1790" i="1" a="1"/>
  <c r="BM1790" i="1" s="1"/>
  <c r="BM1789" i="1" a="1"/>
  <c r="BM1789" i="1" s="1"/>
  <c r="BM1788" i="1" a="1"/>
  <c r="BM1788" i="1" s="1"/>
  <c r="BM1787" i="1" a="1"/>
  <c r="BM1787" i="1" s="1"/>
  <c r="BM1786" i="1" a="1"/>
  <c r="BM1786" i="1" s="1"/>
  <c r="BM1785" i="1" a="1"/>
  <c r="BM1785" i="1" s="1"/>
  <c r="BM1784" i="1" a="1"/>
  <c r="BM1784" i="1" s="1"/>
  <c r="BM1783" i="1" a="1"/>
  <c r="BM1783" i="1" s="1"/>
  <c r="BM1782" i="1" a="1"/>
  <c r="BM1782" i="1" s="1"/>
  <c r="BM1781" i="1" a="1"/>
  <c r="BM1781" i="1" s="1"/>
  <c r="BM1780" i="1" a="1"/>
  <c r="BM1780" i="1" s="1"/>
  <c r="BM1779" i="1" a="1"/>
  <c r="BM1779" i="1" s="1"/>
  <c r="BM1778" i="1" a="1"/>
  <c r="BM1778" i="1" s="1"/>
  <c r="BM1777" i="1" a="1"/>
  <c r="BM1777" i="1" s="1"/>
  <c r="BM1776" i="1" a="1"/>
  <c r="BM1776" i="1" s="1"/>
  <c r="BM1775" i="1" a="1"/>
  <c r="BM1775" i="1" s="1"/>
  <c r="BM1774" i="1" a="1"/>
  <c r="BM1774" i="1" s="1"/>
  <c r="BM1773" i="1" a="1"/>
  <c r="BM1773" i="1" s="1"/>
  <c r="BM1772" i="1" a="1"/>
  <c r="BM1772" i="1" s="1"/>
  <c r="BM1771" i="1" a="1"/>
  <c r="BM1771" i="1" s="1"/>
  <c r="BM1770" i="1" a="1"/>
  <c r="BM1770" i="1" s="1"/>
  <c r="BM1769" i="1" a="1"/>
  <c r="BM1769" i="1" s="1"/>
  <c r="BM1768" i="1" a="1"/>
  <c r="BM1768" i="1" s="1"/>
  <c r="BM1767" i="1" a="1"/>
  <c r="BM1767" i="1" s="1"/>
  <c r="BM1766" i="1" a="1"/>
  <c r="BM1766" i="1" s="1"/>
  <c r="BM1765" i="1" a="1"/>
  <c r="BM1765" i="1" s="1"/>
  <c r="BM1764" i="1" a="1"/>
  <c r="BM1764" i="1" s="1"/>
  <c r="BM1763" i="1" a="1"/>
  <c r="BM1763" i="1" s="1"/>
  <c r="BM1762" i="1" a="1"/>
  <c r="BM1762" i="1" s="1"/>
  <c r="BM1761" i="1" a="1"/>
  <c r="BM1761" i="1" s="1"/>
  <c r="BM1760" i="1" a="1"/>
  <c r="BM1760" i="1" s="1"/>
  <c r="BM1759" i="1" a="1"/>
  <c r="BM1759" i="1" s="1"/>
  <c r="BM1758" i="1" a="1"/>
  <c r="BM1758" i="1" s="1"/>
  <c r="BM1757" i="1" a="1"/>
  <c r="BM1757" i="1" s="1"/>
  <c r="BM1756" i="1" a="1"/>
  <c r="BM1756" i="1" s="1"/>
  <c r="BM1755" i="1" a="1"/>
  <c r="BM1755" i="1" s="1"/>
  <c r="BM1754" i="1" a="1"/>
  <c r="BM1754" i="1" s="1"/>
  <c r="BM1753" i="1" a="1"/>
  <c r="BM1753" i="1" s="1"/>
  <c r="BM1752" i="1" a="1"/>
  <c r="BM1752" i="1" s="1"/>
  <c r="BM1751" i="1" a="1"/>
  <c r="BM1751" i="1" s="1"/>
  <c r="BM1750" i="1" a="1"/>
  <c r="BM1750" i="1" s="1"/>
  <c r="BM1749" i="1" a="1"/>
  <c r="BM1749" i="1" s="1"/>
  <c r="BM1748" i="1" a="1"/>
  <c r="BM1748" i="1" s="1"/>
  <c r="BM1747" i="1" a="1"/>
  <c r="BM1747" i="1" s="1"/>
  <c r="BM1746" i="1" a="1"/>
  <c r="BM1746" i="1" s="1"/>
  <c r="BM1745" i="1" a="1"/>
  <c r="BM1745" i="1" s="1"/>
  <c r="BM1744" i="1" a="1"/>
  <c r="BM1744" i="1" s="1"/>
  <c r="BM1743" i="1" a="1"/>
  <c r="BM1743" i="1" s="1"/>
  <c r="BM1742" i="1" a="1"/>
  <c r="BM1742" i="1" s="1"/>
  <c r="BM1741" i="1" a="1"/>
  <c r="BM1741" i="1" s="1"/>
  <c r="BM1740" i="1" a="1"/>
  <c r="BM1740" i="1" s="1"/>
  <c r="BM1739" i="1" a="1"/>
  <c r="BM1739" i="1" s="1"/>
  <c r="BM1738" i="1" a="1"/>
  <c r="BM1738" i="1" s="1"/>
  <c r="BM1737" i="1" a="1"/>
  <c r="BM1737" i="1" s="1"/>
  <c r="BM1736" i="1" a="1"/>
  <c r="BM1736" i="1" s="1"/>
  <c r="BM1735" i="1" a="1"/>
  <c r="BM1735" i="1" s="1"/>
  <c r="BM1734" i="1" a="1"/>
  <c r="BM1734" i="1" s="1"/>
  <c r="BM1733" i="1" a="1"/>
  <c r="BM1733" i="1" s="1"/>
  <c r="BM1732" i="1" a="1"/>
  <c r="BM1732" i="1" s="1"/>
  <c r="BM1731" i="1" a="1"/>
  <c r="BM1731" i="1" s="1"/>
  <c r="BM1730" i="1" a="1"/>
  <c r="BM1730" i="1" s="1"/>
  <c r="BM1729" i="1" a="1"/>
  <c r="BM1729" i="1" s="1"/>
  <c r="BM1728" i="1" a="1"/>
  <c r="BM1728" i="1" s="1"/>
  <c r="BM1727" i="1" a="1"/>
  <c r="BM1727" i="1" s="1"/>
  <c r="BM1726" i="1" a="1"/>
  <c r="BM1726" i="1" s="1"/>
  <c r="BM1725" i="1" a="1"/>
  <c r="BM1725" i="1" s="1"/>
  <c r="BM1724" i="1" a="1"/>
  <c r="BM1724" i="1" s="1"/>
  <c r="BM1723" i="1" a="1"/>
  <c r="BM1723" i="1" s="1"/>
  <c r="BM1722" i="1" a="1"/>
  <c r="BM1722" i="1" s="1"/>
  <c r="BM1721" i="1" a="1"/>
  <c r="BM1721" i="1" s="1"/>
  <c r="BM1720" i="1" a="1"/>
  <c r="BM1720" i="1" s="1"/>
  <c r="BM1719" i="1" a="1"/>
  <c r="BM1719" i="1" s="1"/>
  <c r="BM1718" i="1" a="1"/>
  <c r="BM1718" i="1" s="1"/>
  <c r="BM1717" i="1" a="1"/>
  <c r="BM1717" i="1" s="1"/>
  <c r="BM1716" i="1" a="1"/>
  <c r="BM1716" i="1" s="1"/>
  <c r="BM1715" i="1" a="1"/>
  <c r="BM1715" i="1" s="1"/>
  <c r="BM1714" i="1" a="1"/>
  <c r="BM1714" i="1" s="1"/>
  <c r="BM1713" i="1" a="1"/>
  <c r="BM1713" i="1" s="1"/>
  <c r="BM1712" i="1" a="1"/>
  <c r="BM1712" i="1" s="1"/>
  <c r="BM1711" i="1" a="1"/>
  <c r="BM1711" i="1" s="1"/>
  <c r="BM1710" i="1" a="1"/>
  <c r="BM1710" i="1" s="1"/>
  <c r="BM1709" i="1" a="1"/>
  <c r="BM1709" i="1" s="1"/>
  <c r="BM1708" i="1" a="1"/>
  <c r="BM1708" i="1" s="1"/>
  <c r="BM1707" i="1" a="1"/>
  <c r="BM1707" i="1" s="1"/>
  <c r="BM1706" i="1" a="1"/>
  <c r="BM1706" i="1" s="1"/>
  <c r="BM1705" i="1" a="1"/>
  <c r="BM1705" i="1" s="1"/>
  <c r="BM1704" i="1" a="1"/>
  <c r="BM1704" i="1" s="1"/>
  <c r="BM1703" i="1" a="1"/>
  <c r="BM1703" i="1" s="1"/>
  <c r="BM1702" i="1" a="1"/>
  <c r="BM1702" i="1" s="1"/>
  <c r="BM1701" i="1" a="1"/>
  <c r="BM1701" i="1" s="1"/>
  <c r="BM1700" i="1" a="1"/>
  <c r="BM1700" i="1" s="1"/>
  <c r="BM1699" i="1" a="1"/>
  <c r="BM1699" i="1" s="1"/>
  <c r="BM1698" i="1" a="1"/>
  <c r="BM1698" i="1" s="1"/>
  <c r="BM1697" i="1" a="1"/>
  <c r="BM1697" i="1" s="1"/>
  <c r="BM1696" i="1" a="1"/>
  <c r="BM1696" i="1" s="1"/>
  <c r="BM1695" i="1" a="1"/>
  <c r="BM1695" i="1" s="1"/>
  <c r="BM1694" i="1" a="1"/>
  <c r="BM1694" i="1" s="1"/>
  <c r="BM1693" i="1" a="1"/>
  <c r="BM1693" i="1" s="1"/>
  <c r="BM1692" i="1" a="1"/>
  <c r="BM1692" i="1" s="1"/>
  <c r="BM1691" i="1" a="1"/>
  <c r="BM1691" i="1" s="1"/>
  <c r="BM1690" i="1" a="1"/>
  <c r="BM1690" i="1" s="1"/>
  <c r="BM1689" i="1" a="1"/>
  <c r="BM1689" i="1" s="1"/>
  <c r="BM1688" i="1" a="1"/>
  <c r="BM1688" i="1" s="1"/>
  <c r="BM1687" i="1" a="1"/>
  <c r="BM1687" i="1" s="1"/>
  <c r="BM1686" i="1" a="1"/>
  <c r="BM1686" i="1" s="1"/>
  <c r="BM1685" i="1" a="1"/>
  <c r="BM1685" i="1" s="1"/>
  <c r="BM1684" i="1" a="1"/>
  <c r="BM1684" i="1" s="1"/>
  <c r="BM1683" i="1" a="1"/>
  <c r="BM1683" i="1" s="1"/>
  <c r="BM1682" i="1" a="1"/>
  <c r="BM1682" i="1" s="1"/>
  <c r="BM1681" i="1" a="1"/>
  <c r="BM1681" i="1" s="1"/>
  <c r="BM1680" i="1" a="1"/>
  <c r="BM1680" i="1" s="1"/>
  <c r="BM1679" i="1" a="1"/>
  <c r="BM1679" i="1" s="1"/>
  <c r="BM1678" i="1" a="1"/>
  <c r="BM1678" i="1" s="1"/>
  <c r="BM1677" i="1" a="1"/>
  <c r="BM1677" i="1" s="1"/>
  <c r="BM1676" i="1" a="1"/>
  <c r="BM1676" i="1" s="1"/>
  <c r="BM1675" i="1" a="1"/>
  <c r="BM1675" i="1" s="1"/>
  <c r="BM1674" i="1" a="1"/>
  <c r="BM1674" i="1" s="1"/>
  <c r="BM1673" i="1" a="1"/>
  <c r="BM1673" i="1" s="1"/>
  <c r="BM1672" i="1" a="1"/>
  <c r="BM1672" i="1" s="1"/>
  <c r="BM1671" i="1" a="1"/>
  <c r="BM1671" i="1" s="1"/>
  <c r="BM1670" i="1" a="1"/>
  <c r="BM1670" i="1" s="1"/>
  <c r="BM1669" i="1" a="1"/>
  <c r="BM1669" i="1" s="1"/>
  <c r="BM1668" i="1" a="1"/>
  <c r="BM1668" i="1" s="1"/>
  <c r="BM1667" i="1" a="1"/>
  <c r="BM1667" i="1" s="1"/>
  <c r="BM1666" i="1" a="1"/>
  <c r="BM1666" i="1" s="1"/>
  <c r="BM1665" i="1" a="1"/>
  <c r="BM1665" i="1" s="1"/>
  <c r="BM1664" i="1" a="1"/>
  <c r="BM1664" i="1" s="1"/>
  <c r="BM1663" i="1" a="1"/>
  <c r="BM1663" i="1" s="1"/>
  <c r="BM1662" i="1" a="1"/>
  <c r="BM1662" i="1" s="1"/>
  <c r="BM1661" i="1" a="1"/>
  <c r="BM1661" i="1" s="1"/>
  <c r="BM1660" i="1" a="1"/>
  <c r="BM1660" i="1" s="1"/>
  <c r="BM1659" i="1" a="1"/>
  <c r="BM1659" i="1" s="1"/>
  <c r="BM1658" i="1" a="1"/>
  <c r="BM1658" i="1" s="1"/>
  <c r="BM1657" i="1" a="1"/>
  <c r="BM1657" i="1" s="1"/>
  <c r="BM1656" i="1" a="1"/>
  <c r="BM1656" i="1" s="1"/>
  <c r="BM1655" i="1" a="1"/>
  <c r="BM1655" i="1" s="1"/>
  <c r="BM1654" i="1" a="1"/>
  <c r="BM1654" i="1" s="1"/>
  <c r="BM1653" i="1" a="1"/>
  <c r="BM1653" i="1" s="1"/>
  <c r="BM1652" i="1" a="1"/>
  <c r="BM1652" i="1" s="1"/>
  <c r="BM1651" i="1" a="1"/>
  <c r="BM1651" i="1" s="1"/>
  <c r="BM1650" i="1" a="1"/>
  <c r="BM1650" i="1" s="1"/>
  <c r="BM1649" i="1" a="1"/>
  <c r="BM1649" i="1" s="1"/>
  <c r="BM1648" i="1" a="1"/>
  <c r="BM1648" i="1" s="1"/>
  <c r="BM1647" i="1" a="1"/>
  <c r="BM1647" i="1" s="1"/>
  <c r="BM1646" i="1" a="1"/>
  <c r="BM1646" i="1" s="1"/>
  <c r="BM1645" i="1" a="1"/>
  <c r="BM1645" i="1" s="1"/>
  <c r="BM1644" i="1" a="1"/>
  <c r="BM1644" i="1" s="1"/>
  <c r="BM1643" i="1" a="1"/>
  <c r="BM1643" i="1" s="1"/>
  <c r="BM1642" i="1" a="1"/>
  <c r="BM1642" i="1" s="1"/>
  <c r="BM1641" i="1" a="1"/>
  <c r="BM1641" i="1" s="1"/>
  <c r="BM1640" i="1" a="1"/>
  <c r="BM1640" i="1" s="1"/>
  <c r="BM1639" i="1" a="1"/>
  <c r="BM1639" i="1" s="1"/>
  <c r="BM1638" i="1" a="1"/>
  <c r="BM1638" i="1" s="1"/>
  <c r="BM1637" i="1" a="1"/>
  <c r="BM1637" i="1" s="1"/>
  <c r="BM1636" i="1" a="1"/>
  <c r="BM1636" i="1" s="1"/>
  <c r="BM1635" i="1" a="1"/>
  <c r="BM1635" i="1" s="1"/>
  <c r="BM1634" i="1" a="1"/>
  <c r="BM1634" i="1" s="1"/>
  <c r="BM1633" i="1" a="1"/>
  <c r="BM1633" i="1" s="1"/>
  <c r="BM1632" i="1" a="1"/>
  <c r="BM1632" i="1" s="1"/>
  <c r="BM1631" i="1" a="1"/>
  <c r="BM1631" i="1" s="1"/>
  <c r="BM1630" i="1" a="1"/>
  <c r="BM1630" i="1" s="1"/>
  <c r="BM1629" i="1" a="1"/>
  <c r="BM1629" i="1" s="1"/>
  <c r="BM1628" i="1" a="1"/>
  <c r="BM1628" i="1" s="1"/>
  <c r="BM1627" i="1" a="1"/>
  <c r="BM1627" i="1" s="1"/>
  <c r="BM1626" i="1" a="1"/>
  <c r="BM1626" i="1" s="1"/>
  <c r="BM1625" i="1" a="1"/>
  <c r="BM1625" i="1" s="1"/>
  <c r="BM1624" i="1" a="1"/>
  <c r="BM1624" i="1" s="1"/>
  <c r="BM1623" i="1" a="1"/>
  <c r="BM1623" i="1" s="1"/>
  <c r="BM1622" i="1" a="1"/>
  <c r="BM1622" i="1" s="1"/>
  <c r="BM1621" i="1" a="1"/>
  <c r="BM1621" i="1" s="1"/>
  <c r="BM1620" i="1" a="1"/>
  <c r="BM1620" i="1" s="1"/>
  <c r="BM1619" i="1" a="1"/>
  <c r="BM1619" i="1" s="1"/>
  <c r="BM1618" i="1" a="1"/>
  <c r="BM1618" i="1" s="1"/>
  <c r="BM1617" i="1" a="1"/>
  <c r="BM1617" i="1" s="1"/>
  <c r="BM1616" i="1" a="1"/>
  <c r="BM1616" i="1" s="1"/>
  <c r="BM1615" i="1" a="1"/>
  <c r="BM1615" i="1" s="1"/>
  <c r="BM1614" i="1" a="1"/>
  <c r="BM1614" i="1" s="1"/>
  <c r="BM1613" i="1" a="1"/>
  <c r="BM1613" i="1" s="1"/>
  <c r="BM1612" i="1" a="1"/>
  <c r="BM1612" i="1" s="1"/>
  <c r="BM1611" i="1" a="1"/>
  <c r="BM1611" i="1" s="1"/>
  <c r="BM1610" i="1" a="1"/>
  <c r="BM1610" i="1" s="1"/>
  <c r="BM1609" i="1" a="1"/>
  <c r="BM1609" i="1" s="1"/>
  <c r="BM1608" i="1" a="1"/>
  <c r="BM1608" i="1" s="1"/>
  <c r="BM1607" i="1" a="1"/>
  <c r="BM1607" i="1" s="1"/>
  <c r="BM1606" i="1" a="1"/>
  <c r="BM1606" i="1" s="1"/>
  <c r="BM1605" i="1" a="1"/>
  <c r="BM1605" i="1" s="1"/>
  <c r="BM1604" i="1" a="1"/>
  <c r="BM1604" i="1" s="1"/>
  <c r="BM1603" i="1" a="1"/>
  <c r="BM1603" i="1" s="1"/>
  <c r="BM1602" i="1" a="1"/>
  <c r="BM1602" i="1" s="1"/>
  <c r="BM1601" i="1" a="1"/>
  <c r="BM1601" i="1" s="1"/>
  <c r="BM1600" i="1" a="1"/>
  <c r="BM1600" i="1" s="1"/>
  <c r="BM1599" i="1" a="1"/>
  <c r="BM1599" i="1" s="1"/>
  <c r="BM1598" i="1" a="1"/>
  <c r="BM1598" i="1" s="1"/>
  <c r="BM1597" i="1" a="1"/>
  <c r="BM1597" i="1" s="1"/>
  <c r="BM1596" i="1" a="1"/>
  <c r="BM1596" i="1" s="1"/>
  <c r="BM1595" i="1" a="1"/>
  <c r="BM1595" i="1" s="1"/>
  <c r="BM1594" i="1" a="1"/>
  <c r="BM1594" i="1" s="1"/>
  <c r="BM1593" i="1" a="1"/>
  <c r="BM1593" i="1" s="1"/>
  <c r="BM1592" i="1" a="1"/>
  <c r="BM1592" i="1" s="1"/>
  <c r="BM1591" i="1" a="1"/>
  <c r="BM1591" i="1" s="1"/>
  <c r="BM1590" i="1" a="1"/>
  <c r="BM1590" i="1" s="1"/>
  <c r="BM1589" i="1" a="1"/>
  <c r="BM1589" i="1" s="1"/>
  <c r="BM1588" i="1" a="1"/>
  <c r="BM1588" i="1" s="1"/>
  <c r="BM1587" i="1" a="1"/>
  <c r="BM1587" i="1" s="1"/>
  <c r="BM1586" i="1" a="1"/>
  <c r="BM1586" i="1" s="1"/>
  <c r="BM1585" i="1" a="1"/>
  <c r="BM1585" i="1" s="1"/>
  <c r="BM1584" i="1" a="1"/>
  <c r="BM1584" i="1" s="1"/>
  <c r="BM1583" i="1" a="1"/>
  <c r="BM1583" i="1" s="1"/>
  <c r="BM1582" i="1" a="1"/>
  <c r="BM1582" i="1" s="1"/>
  <c r="BM1581" i="1" a="1"/>
  <c r="BM1581" i="1" s="1"/>
  <c r="BM1580" i="1" a="1"/>
  <c r="BM1580" i="1" s="1"/>
  <c r="BM1579" i="1" a="1"/>
  <c r="BM1579" i="1" s="1"/>
  <c r="BM1578" i="1" a="1"/>
  <c r="BM1578" i="1" s="1"/>
  <c r="BM1577" i="1" a="1"/>
  <c r="BM1577" i="1" s="1"/>
  <c r="BM1576" i="1" a="1"/>
  <c r="BM1576" i="1" s="1"/>
  <c r="BM1575" i="1" a="1"/>
  <c r="BM1575" i="1" s="1"/>
  <c r="BM1574" i="1" a="1"/>
  <c r="BM1574" i="1" s="1"/>
  <c r="BM1573" i="1" a="1"/>
  <c r="BM1573" i="1" s="1"/>
  <c r="BM1572" i="1" a="1"/>
  <c r="BM1572" i="1" s="1"/>
  <c r="BM1571" i="1" a="1"/>
  <c r="BM1571" i="1" s="1"/>
  <c r="BM1570" i="1" a="1"/>
  <c r="BM1570" i="1" s="1"/>
  <c r="BM1569" i="1" a="1"/>
  <c r="BM1569" i="1" s="1"/>
  <c r="BM1568" i="1" a="1"/>
  <c r="BM1568" i="1" s="1"/>
  <c r="BM1567" i="1" a="1"/>
  <c r="BM1567" i="1" s="1"/>
  <c r="BM1566" i="1" a="1"/>
  <c r="BM1566" i="1" s="1"/>
  <c r="BM1565" i="1" a="1"/>
  <c r="BM1565" i="1" s="1"/>
  <c r="BM1564" i="1" a="1"/>
  <c r="BM1564" i="1" s="1"/>
  <c r="BM1563" i="1" a="1"/>
  <c r="BM1563" i="1" s="1"/>
  <c r="BM1562" i="1" a="1"/>
  <c r="BM1562" i="1" s="1"/>
  <c r="BM1561" i="1" a="1"/>
  <c r="BM1561" i="1" s="1"/>
  <c r="BM1560" i="1" a="1"/>
  <c r="BM1560" i="1" s="1"/>
  <c r="BM1559" i="1" a="1"/>
  <c r="BM1559" i="1" s="1"/>
  <c r="BM1558" i="1" a="1"/>
  <c r="BM1558" i="1" s="1"/>
  <c r="BM1557" i="1" a="1"/>
  <c r="BM1557" i="1" s="1"/>
  <c r="BM1556" i="1" a="1"/>
  <c r="BM1556" i="1" s="1"/>
  <c r="BM1555" i="1" a="1"/>
  <c r="BM1555" i="1" s="1"/>
  <c r="BM1554" i="1" a="1"/>
  <c r="BM1554" i="1" s="1"/>
  <c r="BM1553" i="1" a="1"/>
  <c r="BM1553" i="1" s="1"/>
  <c r="BM1552" i="1" a="1"/>
  <c r="BM1552" i="1" s="1"/>
  <c r="BM1551" i="1" a="1"/>
  <c r="BM1551" i="1" s="1"/>
  <c r="BM1550" i="1" a="1"/>
  <c r="BM1550" i="1" s="1"/>
  <c r="BM1549" i="1" a="1"/>
  <c r="BM1549" i="1" s="1"/>
  <c r="BM1548" i="1" a="1"/>
  <c r="BM1548" i="1" s="1"/>
  <c r="BM1547" i="1" a="1"/>
  <c r="BM1547" i="1" s="1"/>
  <c r="BM1546" i="1" a="1"/>
  <c r="BM1546" i="1" s="1"/>
  <c r="BM1545" i="1" a="1"/>
  <c r="BM1545" i="1" s="1"/>
  <c r="BM1544" i="1" a="1"/>
  <c r="BM1544" i="1" s="1"/>
  <c r="BM1543" i="1" a="1"/>
  <c r="BM1543" i="1" s="1"/>
  <c r="BM1542" i="1" a="1"/>
  <c r="BM1542" i="1" s="1"/>
  <c r="BM1541" i="1" a="1"/>
  <c r="BM1541" i="1" s="1"/>
  <c r="BM1540" i="1" a="1"/>
  <c r="BM1540" i="1" s="1"/>
  <c r="BM1539" i="1" a="1"/>
  <c r="BM1539" i="1" s="1"/>
  <c r="BM1538" i="1" a="1"/>
  <c r="BM1538" i="1" s="1"/>
  <c r="BM1537" i="1" a="1"/>
  <c r="BM1537" i="1" s="1"/>
  <c r="BM1536" i="1" a="1"/>
  <c r="BM1536" i="1" s="1"/>
  <c r="BM1535" i="1" a="1"/>
  <c r="BM1535" i="1" s="1"/>
  <c r="BM1534" i="1" a="1"/>
  <c r="BM1534" i="1" s="1"/>
  <c r="BM1533" i="1" a="1"/>
  <c r="BM1533" i="1" s="1"/>
  <c r="BM1532" i="1" a="1"/>
  <c r="BM1532" i="1" s="1"/>
  <c r="BM1531" i="1" a="1"/>
  <c r="BM1531" i="1" s="1"/>
  <c r="BM1530" i="1" a="1"/>
  <c r="BM1530" i="1" s="1"/>
  <c r="BM1529" i="1" a="1"/>
  <c r="BM1529" i="1" s="1"/>
  <c r="BM1528" i="1" a="1"/>
  <c r="BM1528" i="1" s="1"/>
  <c r="BM1527" i="1" a="1"/>
  <c r="BM1527" i="1" s="1"/>
  <c r="BM1526" i="1" a="1"/>
  <c r="BM1526" i="1" s="1"/>
  <c r="BM1525" i="1" a="1"/>
  <c r="BM1525" i="1" s="1"/>
  <c r="BM1524" i="1" a="1"/>
  <c r="BM1524" i="1" s="1"/>
  <c r="BM1523" i="1" a="1"/>
  <c r="BM1523" i="1" s="1"/>
  <c r="BM1522" i="1" a="1"/>
  <c r="BM1522" i="1" s="1"/>
  <c r="BM1521" i="1" a="1"/>
  <c r="BM1521" i="1" s="1"/>
  <c r="BM1520" i="1" a="1"/>
  <c r="BM1520" i="1" s="1"/>
  <c r="BM1519" i="1" a="1"/>
  <c r="BM1519" i="1" s="1"/>
  <c r="BM1518" i="1" a="1"/>
  <c r="BM1518" i="1" s="1"/>
  <c r="BM1517" i="1" a="1"/>
  <c r="BM1517" i="1" s="1"/>
  <c r="BM1516" i="1" a="1"/>
  <c r="BM1516" i="1" s="1"/>
  <c r="BM1515" i="1" a="1"/>
  <c r="BM1515" i="1" s="1"/>
  <c r="BM1514" i="1" a="1"/>
  <c r="BM1514" i="1" s="1"/>
  <c r="BM1513" i="1" a="1"/>
  <c r="BM1513" i="1" s="1"/>
  <c r="BM1512" i="1" a="1"/>
  <c r="BM1512" i="1" s="1"/>
  <c r="BM1511" i="1" a="1"/>
  <c r="BM1511" i="1" s="1"/>
  <c r="BM1510" i="1" a="1"/>
  <c r="BM1510" i="1" s="1"/>
  <c r="BM1509" i="1" a="1"/>
  <c r="BM1509" i="1" s="1"/>
  <c r="BM1508" i="1" a="1"/>
  <c r="BM1508" i="1" s="1"/>
  <c r="BM1507" i="1" a="1"/>
  <c r="BM1507" i="1" s="1"/>
  <c r="BM1506" i="1" a="1"/>
  <c r="BM1506" i="1" s="1"/>
  <c r="BM1505" i="1" a="1"/>
  <c r="BM1505" i="1" s="1"/>
  <c r="BM1504" i="1" a="1"/>
  <c r="BM1504" i="1" s="1"/>
  <c r="BM1503" i="1" a="1"/>
  <c r="BM1503" i="1" s="1"/>
  <c r="BM1502" i="1" a="1"/>
  <c r="BM1502" i="1" s="1"/>
  <c r="BM1501" i="1" a="1"/>
  <c r="BM1501" i="1" s="1"/>
  <c r="BM1500" i="1" a="1"/>
  <c r="BM1500" i="1" s="1"/>
  <c r="BM1499" i="1" a="1"/>
  <c r="BM1499" i="1" s="1"/>
  <c r="BM1498" i="1" a="1"/>
  <c r="BM1498" i="1" s="1"/>
  <c r="BM1497" i="1" a="1"/>
  <c r="BM1497" i="1" s="1"/>
  <c r="BM1496" i="1" a="1"/>
  <c r="BM1496" i="1" s="1"/>
  <c r="BM1495" i="1" a="1"/>
  <c r="BM1495" i="1" s="1"/>
  <c r="BM1494" i="1" a="1"/>
  <c r="BM1494" i="1" s="1"/>
  <c r="BM1493" i="1" a="1"/>
  <c r="BM1493" i="1" s="1"/>
  <c r="BM1492" i="1" a="1"/>
  <c r="BM1492" i="1" s="1"/>
  <c r="BM1491" i="1" a="1"/>
  <c r="BM1491" i="1" s="1"/>
  <c r="BM1490" i="1" a="1"/>
  <c r="BM1490" i="1" s="1"/>
  <c r="BM1489" i="1" a="1"/>
  <c r="BM1489" i="1" s="1"/>
  <c r="BM1488" i="1" a="1"/>
  <c r="BM1488" i="1" s="1"/>
  <c r="BM1487" i="1" a="1"/>
  <c r="BM1487" i="1" s="1"/>
  <c r="BM1486" i="1" a="1"/>
  <c r="BM1486" i="1" s="1"/>
  <c r="BM1485" i="1" a="1"/>
  <c r="BM1485" i="1" s="1"/>
  <c r="BM1484" i="1" a="1"/>
  <c r="BM1484" i="1" s="1"/>
  <c r="BM1483" i="1" a="1"/>
  <c r="BM1483" i="1" s="1"/>
  <c r="BM1482" i="1" a="1"/>
  <c r="BM1482" i="1" s="1"/>
  <c r="BM1481" i="1" a="1"/>
  <c r="BM1481" i="1" s="1"/>
  <c r="BM1480" i="1" a="1"/>
  <c r="BM1480" i="1" s="1"/>
  <c r="BM1479" i="1" a="1"/>
  <c r="BM1479" i="1" s="1"/>
  <c r="BM1478" i="1" a="1"/>
  <c r="BM1478" i="1" s="1"/>
  <c r="BM1477" i="1" a="1"/>
  <c r="BM1477" i="1" s="1"/>
  <c r="BM1476" i="1" a="1"/>
  <c r="BM1476" i="1" s="1"/>
  <c r="BM1475" i="1" a="1"/>
  <c r="BM1475" i="1" s="1"/>
  <c r="BM1474" i="1" a="1"/>
  <c r="BM1474" i="1" s="1"/>
  <c r="BM1473" i="1" a="1"/>
  <c r="BM1473" i="1" s="1"/>
  <c r="BM1472" i="1" a="1"/>
  <c r="BM1472" i="1" s="1"/>
  <c r="BM1471" i="1" a="1"/>
  <c r="BM1471" i="1" s="1"/>
  <c r="BM1470" i="1" a="1"/>
  <c r="BM1470" i="1" s="1"/>
  <c r="BM1469" i="1" a="1"/>
  <c r="BM1469" i="1" s="1"/>
  <c r="BM1468" i="1" a="1"/>
  <c r="BM1468" i="1" s="1"/>
  <c r="BM1467" i="1" a="1"/>
  <c r="BM1467" i="1" s="1"/>
  <c r="BM1466" i="1" a="1"/>
  <c r="BM1466" i="1" s="1"/>
  <c r="BM1465" i="1" a="1"/>
  <c r="BM1465" i="1" s="1"/>
  <c r="BM1464" i="1" a="1"/>
  <c r="BM1464" i="1" s="1"/>
  <c r="BM1463" i="1" a="1"/>
  <c r="BM1463" i="1" s="1"/>
  <c r="BM1462" i="1" a="1"/>
  <c r="BM1462" i="1" s="1"/>
  <c r="BM1461" i="1" a="1"/>
  <c r="BM1461" i="1" s="1"/>
  <c r="BM1460" i="1" a="1"/>
  <c r="BM1460" i="1" s="1"/>
  <c r="BM1459" i="1" a="1"/>
  <c r="BM1459" i="1" s="1"/>
  <c r="BM1458" i="1" a="1"/>
  <c r="BM1458" i="1" s="1"/>
  <c r="BM1457" i="1" a="1"/>
  <c r="BM1457" i="1" s="1"/>
  <c r="BM1456" i="1" a="1"/>
  <c r="BM1456" i="1" s="1"/>
  <c r="BM1455" i="1" a="1"/>
  <c r="BM1455" i="1" s="1"/>
  <c r="BM1454" i="1" a="1"/>
  <c r="BM1454" i="1" s="1"/>
  <c r="BM1453" i="1" a="1"/>
  <c r="BM1453" i="1" s="1"/>
  <c r="BM1452" i="1" a="1"/>
  <c r="BM1452" i="1" s="1"/>
  <c r="BM1451" i="1" a="1"/>
  <c r="BM1451" i="1" s="1"/>
  <c r="BM1450" i="1" a="1"/>
  <c r="BM1450" i="1" s="1"/>
  <c r="BM1449" i="1" a="1"/>
  <c r="BM1449" i="1" s="1"/>
  <c r="BM1448" i="1" a="1"/>
  <c r="BM1448" i="1" s="1"/>
  <c r="BM1447" i="1" a="1"/>
  <c r="BM1447" i="1" s="1"/>
  <c r="BM1446" i="1" a="1"/>
  <c r="BM1446" i="1" s="1"/>
  <c r="BM1445" i="1" a="1"/>
  <c r="BM1445" i="1" s="1"/>
  <c r="BM1444" i="1" a="1"/>
  <c r="BM1444" i="1" s="1"/>
  <c r="BM1443" i="1" a="1"/>
  <c r="BM1443" i="1" s="1"/>
  <c r="BM1442" i="1" a="1"/>
  <c r="BM1442" i="1" s="1"/>
  <c r="BM1441" i="1" a="1"/>
  <c r="BM1441" i="1" s="1"/>
  <c r="BM1440" i="1" a="1"/>
  <c r="BM1440" i="1" s="1"/>
  <c r="BM1439" i="1" a="1"/>
  <c r="BM1439" i="1" s="1"/>
  <c r="BM1438" i="1" a="1"/>
  <c r="BM1438" i="1" s="1"/>
  <c r="BM1437" i="1" a="1"/>
  <c r="BM1437" i="1" s="1"/>
  <c r="BM1436" i="1" a="1"/>
  <c r="BM1436" i="1" s="1"/>
  <c r="BM1435" i="1" a="1"/>
  <c r="BM1435" i="1" s="1"/>
  <c r="BM1434" i="1" a="1"/>
  <c r="BM1434" i="1" s="1"/>
  <c r="BM1433" i="1" a="1"/>
  <c r="BM1433" i="1" s="1"/>
  <c r="BM1432" i="1" a="1"/>
  <c r="BM1432" i="1" s="1"/>
  <c r="BM1431" i="1" a="1"/>
  <c r="BM1431" i="1" s="1"/>
  <c r="BM1430" i="1" a="1"/>
  <c r="BM1430" i="1" s="1"/>
  <c r="BM1429" i="1" a="1"/>
  <c r="BM1429" i="1" s="1"/>
  <c r="BM1428" i="1" a="1"/>
  <c r="BM1428" i="1" s="1"/>
  <c r="BM1427" i="1" a="1"/>
  <c r="BM1427" i="1" s="1"/>
  <c r="BM1426" i="1" a="1"/>
  <c r="BM1426" i="1" s="1"/>
  <c r="BM1425" i="1" a="1"/>
  <c r="BM1425" i="1" s="1"/>
  <c r="BM1424" i="1" a="1"/>
  <c r="BM1424" i="1" s="1"/>
  <c r="BM1423" i="1" a="1"/>
  <c r="BM1423" i="1" s="1"/>
  <c r="BM1422" i="1" a="1"/>
  <c r="BM1422" i="1" s="1"/>
  <c r="BM1421" i="1" a="1"/>
  <c r="BM1421" i="1" s="1"/>
  <c r="BM1420" i="1" a="1"/>
  <c r="BM1420" i="1" s="1"/>
  <c r="BM1419" i="1" a="1"/>
  <c r="BM1419" i="1" s="1"/>
  <c r="BM1418" i="1" a="1"/>
  <c r="BM1418" i="1" s="1"/>
  <c r="BM1417" i="1" a="1"/>
  <c r="BM1417" i="1" s="1"/>
  <c r="BM1416" i="1" a="1"/>
  <c r="BM1416" i="1" s="1"/>
  <c r="BM1415" i="1" a="1"/>
  <c r="BM1415" i="1" s="1"/>
  <c r="BM1414" i="1" a="1"/>
  <c r="BM1414" i="1" s="1"/>
  <c r="BM1413" i="1" a="1"/>
  <c r="BM1413" i="1" s="1"/>
  <c r="BM1412" i="1" a="1"/>
  <c r="BM1412" i="1" s="1"/>
  <c r="BM1411" i="1" a="1"/>
  <c r="BM1411" i="1" s="1"/>
  <c r="BM1410" i="1" a="1"/>
  <c r="BM1410" i="1" s="1"/>
  <c r="BM1409" i="1" a="1"/>
  <c r="BM1409" i="1" s="1"/>
  <c r="BM1408" i="1" a="1"/>
  <c r="BM1408" i="1" s="1"/>
  <c r="BM1407" i="1" a="1"/>
  <c r="BM1407" i="1" s="1"/>
  <c r="BM1406" i="1" a="1"/>
  <c r="BM1406" i="1" s="1"/>
  <c r="BM1405" i="1" a="1"/>
  <c r="BM1405" i="1" s="1"/>
  <c r="BM1404" i="1" a="1"/>
  <c r="BM1404" i="1" s="1"/>
  <c r="BM1403" i="1" a="1"/>
  <c r="BM1403" i="1" s="1"/>
  <c r="BM1402" i="1" a="1"/>
  <c r="BM1402" i="1" s="1"/>
  <c r="BM1401" i="1" a="1"/>
  <c r="BM1401" i="1" s="1"/>
  <c r="BM1400" i="1" a="1"/>
  <c r="BM1400" i="1" s="1"/>
  <c r="BM1399" i="1" a="1"/>
  <c r="BM1399" i="1" s="1"/>
  <c r="BM1398" i="1" a="1"/>
  <c r="BM1398" i="1" s="1"/>
  <c r="BM1397" i="1" a="1"/>
  <c r="BM1397" i="1" s="1"/>
  <c r="BM1396" i="1" a="1"/>
  <c r="BM1396" i="1" s="1"/>
  <c r="BM1395" i="1" a="1"/>
  <c r="BM1395" i="1" s="1"/>
  <c r="BM1394" i="1" a="1"/>
  <c r="BM1394" i="1" s="1"/>
  <c r="BM1393" i="1" a="1"/>
  <c r="BM1393" i="1" s="1"/>
  <c r="BM1392" i="1" a="1"/>
  <c r="BM1392" i="1" s="1"/>
  <c r="BM1391" i="1" a="1"/>
  <c r="BM1391" i="1" s="1"/>
  <c r="BM1390" i="1" a="1"/>
  <c r="BM1390" i="1" s="1"/>
  <c r="BM1389" i="1" a="1"/>
  <c r="BM1389" i="1" s="1"/>
  <c r="BM1388" i="1" a="1"/>
  <c r="BM1388" i="1" s="1"/>
  <c r="BM1387" i="1" a="1"/>
  <c r="BM1387" i="1" s="1"/>
  <c r="BM1386" i="1" a="1"/>
  <c r="BM1386" i="1" s="1"/>
  <c r="BM1385" i="1" a="1"/>
  <c r="BM1385" i="1" s="1"/>
  <c r="BM1384" i="1" a="1"/>
  <c r="BM1384" i="1" s="1"/>
  <c r="BM1383" i="1" a="1"/>
  <c r="BM1383" i="1" s="1"/>
  <c r="BM1382" i="1" a="1"/>
  <c r="BM1382" i="1" s="1"/>
  <c r="BM1381" i="1" a="1"/>
  <c r="BM1381" i="1" s="1"/>
  <c r="BM1380" i="1" a="1"/>
  <c r="BM1380" i="1" s="1"/>
  <c r="BM1379" i="1" a="1"/>
  <c r="BM1379" i="1" s="1"/>
  <c r="BM1378" i="1" a="1"/>
  <c r="BM1378" i="1" s="1"/>
  <c r="BM1377" i="1" a="1"/>
  <c r="BM1377" i="1" s="1"/>
  <c r="BM1376" i="1" a="1"/>
  <c r="BM1376" i="1" s="1"/>
  <c r="BM1375" i="1" a="1"/>
  <c r="BM1375" i="1" s="1"/>
  <c r="BM1374" i="1" a="1"/>
  <c r="BM1374" i="1" s="1"/>
  <c r="BM1373" i="1" a="1"/>
  <c r="BM1373" i="1" s="1"/>
  <c r="BM1372" i="1" a="1"/>
  <c r="BM1372" i="1" s="1"/>
  <c r="BM1371" i="1" a="1"/>
  <c r="BM1371" i="1" s="1"/>
  <c r="BM1370" i="1" a="1"/>
  <c r="BM1370" i="1" s="1"/>
  <c r="BM1369" i="1" a="1"/>
  <c r="BM1369" i="1" s="1"/>
  <c r="BM1368" i="1" a="1"/>
  <c r="BM1368" i="1" s="1"/>
  <c r="BM1367" i="1" a="1"/>
  <c r="BM1367" i="1" s="1"/>
  <c r="BM1366" i="1" a="1"/>
  <c r="BM1366" i="1" s="1"/>
  <c r="BM1365" i="1" a="1"/>
  <c r="BM1365" i="1" s="1"/>
  <c r="BM1364" i="1" a="1"/>
  <c r="BM1364" i="1" s="1"/>
  <c r="BM1363" i="1" a="1"/>
  <c r="BM1363" i="1" s="1"/>
  <c r="BM1362" i="1" a="1"/>
  <c r="BM1362" i="1" s="1"/>
  <c r="BM1361" i="1" a="1"/>
  <c r="BM1361" i="1" s="1"/>
  <c r="BM1360" i="1" a="1"/>
  <c r="BM1360" i="1" s="1"/>
  <c r="BM1359" i="1" a="1"/>
  <c r="BM1359" i="1" s="1"/>
  <c r="BM1358" i="1" a="1"/>
  <c r="BM1358" i="1" s="1"/>
  <c r="BM1357" i="1" a="1"/>
  <c r="BM1357" i="1" s="1"/>
  <c r="BM1356" i="1" a="1"/>
  <c r="BM1356" i="1" s="1"/>
  <c r="BM1355" i="1" a="1"/>
  <c r="BM1355" i="1" s="1"/>
  <c r="BM1354" i="1" a="1"/>
  <c r="BM1354" i="1" s="1"/>
  <c r="BM1353" i="1" a="1"/>
  <c r="BM1353" i="1" s="1"/>
  <c r="BM1352" i="1" a="1"/>
  <c r="BM1352" i="1" s="1"/>
  <c r="BM1351" i="1" a="1"/>
  <c r="BM1351" i="1" s="1"/>
  <c r="BM1350" i="1" a="1"/>
  <c r="BM1350" i="1" s="1"/>
  <c r="BM1349" i="1" a="1"/>
  <c r="BM1349" i="1" s="1"/>
  <c r="BM1348" i="1" a="1"/>
  <c r="BM1348" i="1" s="1"/>
  <c r="BM1347" i="1" a="1"/>
  <c r="BM1347" i="1" s="1"/>
  <c r="BM1346" i="1" a="1"/>
  <c r="BM1346" i="1" s="1"/>
  <c r="BM1345" i="1" a="1"/>
  <c r="BM1345" i="1" s="1"/>
  <c r="BM1344" i="1" a="1"/>
  <c r="BM1344" i="1" s="1"/>
  <c r="BM1343" i="1" a="1"/>
  <c r="BM1343" i="1" s="1"/>
  <c r="BM1342" i="1" a="1"/>
  <c r="BM1342" i="1" s="1"/>
  <c r="BM1341" i="1" a="1"/>
  <c r="BM1341" i="1" s="1"/>
  <c r="BM1340" i="1" a="1"/>
  <c r="BM1340" i="1" s="1"/>
  <c r="BM1339" i="1" a="1"/>
  <c r="BM1339" i="1" s="1"/>
  <c r="BM1338" i="1" a="1"/>
  <c r="BM1338" i="1" s="1"/>
  <c r="BM1337" i="1" a="1"/>
  <c r="BM1337" i="1" s="1"/>
  <c r="BM1336" i="1" a="1"/>
  <c r="BM1336" i="1" s="1"/>
  <c r="BM1335" i="1" a="1"/>
  <c r="BM1335" i="1" s="1"/>
  <c r="BM1334" i="1" a="1"/>
  <c r="BM1334" i="1" s="1"/>
  <c r="BM1333" i="1" a="1"/>
  <c r="BM1333" i="1" s="1"/>
  <c r="BM1332" i="1" a="1"/>
  <c r="BM1332" i="1" s="1"/>
  <c r="BM1331" i="1" a="1"/>
  <c r="BM1331" i="1" s="1"/>
  <c r="BM1330" i="1" a="1"/>
  <c r="BM1330" i="1" s="1"/>
  <c r="BM1329" i="1" a="1"/>
  <c r="BM1329" i="1" s="1"/>
  <c r="BM1328" i="1" a="1"/>
  <c r="BM1328" i="1" s="1"/>
  <c r="BM1327" i="1" a="1"/>
  <c r="BM1327" i="1" s="1"/>
  <c r="BM1326" i="1" a="1"/>
  <c r="BM1326" i="1" s="1"/>
  <c r="BM1325" i="1" a="1"/>
  <c r="BM1325" i="1" s="1"/>
  <c r="BM1324" i="1" a="1"/>
  <c r="BM1324" i="1" s="1"/>
  <c r="BM1323" i="1" a="1"/>
  <c r="BM1323" i="1" s="1"/>
  <c r="BM1322" i="1" a="1"/>
  <c r="BM1322" i="1" s="1"/>
  <c r="BM1321" i="1" a="1"/>
  <c r="BM1321" i="1" s="1"/>
  <c r="BM1320" i="1" a="1"/>
  <c r="BM1320" i="1" s="1"/>
  <c r="BM1319" i="1" a="1"/>
  <c r="BM1319" i="1" s="1"/>
  <c r="BM1318" i="1" a="1"/>
  <c r="BM1318" i="1" s="1"/>
  <c r="BM1317" i="1" a="1"/>
  <c r="BM1317" i="1" s="1"/>
  <c r="BM1316" i="1" a="1"/>
  <c r="BM1316" i="1" s="1"/>
  <c r="BM1315" i="1" a="1"/>
  <c r="BM1315" i="1" s="1"/>
  <c r="BM1314" i="1" a="1"/>
  <c r="BM1314" i="1" s="1"/>
  <c r="BM1313" i="1" a="1"/>
  <c r="BM1313" i="1" s="1"/>
  <c r="BM1312" i="1" a="1"/>
  <c r="BM1312" i="1" s="1"/>
  <c r="BM1311" i="1" a="1"/>
  <c r="BM1311" i="1" s="1"/>
  <c r="BM1310" i="1" a="1"/>
  <c r="BM1310" i="1" s="1"/>
  <c r="BM1309" i="1" a="1"/>
  <c r="BM1309" i="1" s="1"/>
  <c r="BM1308" i="1" a="1"/>
  <c r="BM1308" i="1" s="1"/>
  <c r="BM1307" i="1" a="1"/>
  <c r="BM1307" i="1" s="1"/>
  <c r="BM1306" i="1" a="1"/>
  <c r="BM1306" i="1" s="1"/>
  <c r="BM1305" i="1" a="1"/>
  <c r="BM1305" i="1" s="1"/>
  <c r="BM1304" i="1" a="1"/>
  <c r="BM1304" i="1" s="1"/>
  <c r="BM1303" i="1" a="1"/>
  <c r="BM1303" i="1" s="1"/>
  <c r="BM1302" i="1" a="1"/>
  <c r="BM1302" i="1" s="1"/>
  <c r="BM1301" i="1" a="1"/>
  <c r="BM1301" i="1" s="1"/>
  <c r="BM1300" i="1" a="1"/>
  <c r="BM1300" i="1" s="1"/>
  <c r="BM1299" i="1" a="1"/>
  <c r="BM1299" i="1" s="1"/>
  <c r="BM1298" i="1" a="1"/>
  <c r="BM1298" i="1" s="1"/>
  <c r="BM1297" i="1" a="1"/>
  <c r="BM1297" i="1" s="1"/>
  <c r="BM1296" i="1" a="1"/>
  <c r="BM1296" i="1" s="1"/>
  <c r="BM1295" i="1" a="1"/>
  <c r="BM1295" i="1" s="1"/>
  <c r="BM1294" i="1" a="1"/>
  <c r="BM1294" i="1" s="1"/>
  <c r="BM1293" i="1" a="1"/>
  <c r="BM1293" i="1" s="1"/>
  <c r="BM1292" i="1" a="1"/>
  <c r="BM1292" i="1" s="1"/>
  <c r="BM1291" i="1" a="1"/>
  <c r="BM1291" i="1" s="1"/>
  <c r="BM1290" i="1" a="1"/>
  <c r="BM1290" i="1" s="1"/>
  <c r="BM1289" i="1" a="1"/>
  <c r="BM1289" i="1" s="1"/>
  <c r="BM1288" i="1" a="1"/>
  <c r="BM1288" i="1" s="1"/>
  <c r="BM1287" i="1" a="1"/>
  <c r="BM1287" i="1" s="1"/>
  <c r="BM1286" i="1" a="1"/>
  <c r="BM1286" i="1" s="1"/>
  <c r="BM1285" i="1" a="1"/>
  <c r="BM1285" i="1" s="1"/>
  <c r="BM1284" i="1" a="1"/>
  <c r="BM1284" i="1" s="1"/>
  <c r="BM1283" i="1" a="1"/>
  <c r="BM1283" i="1" s="1"/>
  <c r="BM1282" i="1" a="1"/>
  <c r="BM1282" i="1" s="1"/>
  <c r="BM1281" i="1" a="1"/>
  <c r="BM1281" i="1" s="1"/>
  <c r="BM1280" i="1" a="1"/>
  <c r="BM1280" i="1" s="1"/>
  <c r="BM1279" i="1" a="1"/>
  <c r="BM1279" i="1" s="1"/>
  <c r="BM1278" i="1" a="1"/>
  <c r="BM1278" i="1" s="1"/>
  <c r="BM1277" i="1" a="1"/>
  <c r="BM1277" i="1" s="1"/>
  <c r="BM1276" i="1" a="1"/>
  <c r="BM1276" i="1" s="1"/>
  <c r="BM1275" i="1" a="1"/>
  <c r="BM1275" i="1" s="1"/>
  <c r="BM1274" i="1" a="1"/>
  <c r="BM1274" i="1" s="1"/>
  <c r="BM1273" i="1" a="1"/>
  <c r="BM1273" i="1" s="1"/>
  <c r="BM1272" i="1" a="1"/>
  <c r="BM1272" i="1" s="1"/>
  <c r="BM1271" i="1" a="1"/>
  <c r="BM1271" i="1" s="1"/>
  <c r="BM1270" i="1" a="1"/>
  <c r="BM1270" i="1" s="1"/>
  <c r="BM1269" i="1" a="1"/>
  <c r="BM1269" i="1" s="1"/>
  <c r="BM1268" i="1" a="1"/>
  <c r="BM1268" i="1" s="1"/>
  <c r="BM1267" i="1" a="1"/>
  <c r="BM1267" i="1" s="1"/>
  <c r="BM1266" i="1" a="1"/>
  <c r="BM1266" i="1" s="1"/>
  <c r="BM1265" i="1" a="1"/>
  <c r="BM1265" i="1" s="1"/>
  <c r="BM1264" i="1" a="1"/>
  <c r="BM1264" i="1" s="1"/>
  <c r="BM1263" i="1" a="1"/>
  <c r="BM1263" i="1" s="1"/>
  <c r="BM1262" i="1" a="1"/>
  <c r="BM1262" i="1" s="1"/>
  <c r="BM1261" i="1" a="1"/>
  <c r="BM1261" i="1" s="1"/>
  <c r="BM1260" i="1" a="1"/>
  <c r="BM1260" i="1" s="1"/>
  <c r="BM1259" i="1" a="1"/>
  <c r="BM1259" i="1" s="1"/>
  <c r="BM1258" i="1" a="1"/>
  <c r="BM1258" i="1" s="1"/>
  <c r="BM1257" i="1" a="1"/>
  <c r="BM1257" i="1" s="1"/>
  <c r="BM1256" i="1" a="1"/>
  <c r="BM1256" i="1" s="1"/>
  <c r="BM1255" i="1" a="1"/>
  <c r="BM1255" i="1" s="1"/>
  <c r="BM1254" i="1" a="1"/>
  <c r="BM1254" i="1" s="1"/>
  <c r="BM1253" i="1" a="1"/>
  <c r="BM1253" i="1" s="1"/>
  <c r="BM1252" i="1" a="1"/>
  <c r="BM1252" i="1" s="1"/>
  <c r="BM1251" i="1" a="1"/>
  <c r="BM1251" i="1" s="1"/>
  <c r="BM1250" i="1" a="1"/>
  <c r="BM1250" i="1" s="1"/>
  <c r="BM1249" i="1" a="1"/>
  <c r="BM1249" i="1" s="1"/>
  <c r="BM1248" i="1" a="1"/>
  <c r="BM1248" i="1" s="1"/>
  <c r="BM1247" i="1" a="1"/>
  <c r="BM1247" i="1" s="1"/>
  <c r="BM1246" i="1" a="1"/>
  <c r="BM1246" i="1" s="1"/>
  <c r="BM1245" i="1" a="1"/>
  <c r="BM1245" i="1" s="1"/>
  <c r="BM1244" i="1" a="1"/>
  <c r="BM1244" i="1" s="1"/>
  <c r="BM1243" i="1" a="1"/>
  <c r="BM1243" i="1" s="1"/>
  <c r="BM1242" i="1" a="1"/>
  <c r="BM1242" i="1" s="1"/>
  <c r="BM1241" i="1" a="1"/>
  <c r="BM1241" i="1" s="1"/>
  <c r="BM1240" i="1" a="1"/>
  <c r="BM1240" i="1" s="1"/>
  <c r="BM1239" i="1" a="1"/>
  <c r="BM1239" i="1" s="1"/>
  <c r="BM1238" i="1" a="1"/>
  <c r="BM1238" i="1" s="1"/>
  <c r="BM1237" i="1" a="1"/>
  <c r="BM1237" i="1" s="1"/>
  <c r="BM1236" i="1" a="1"/>
  <c r="BM1236" i="1" s="1"/>
  <c r="BM1235" i="1" a="1"/>
  <c r="BM1235" i="1" s="1"/>
  <c r="BM1234" i="1" a="1"/>
  <c r="BM1234" i="1" s="1"/>
  <c r="BM1233" i="1" a="1"/>
  <c r="BM1233" i="1" s="1"/>
  <c r="BM1232" i="1" a="1"/>
  <c r="BM1232" i="1" s="1"/>
  <c r="BM1231" i="1" a="1"/>
  <c r="BM1231" i="1" s="1"/>
  <c r="BM1230" i="1" a="1"/>
  <c r="BM1230" i="1" s="1"/>
  <c r="BM1229" i="1" a="1"/>
  <c r="BM1229" i="1" s="1"/>
  <c r="BM1228" i="1" a="1"/>
  <c r="BM1228" i="1" s="1"/>
  <c r="BM1227" i="1" a="1"/>
  <c r="BM1227" i="1" s="1"/>
  <c r="BM1226" i="1" a="1"/>
  <c r="BM1226" i="1" s="1"/>
  <c r="BM1225" i="1" a="1"/>
  <c r="BM1225" i="1" s="1"/>
  <c r="BM1224" i="1" a="1"/>
  <c r="BM1224" i="1" s="1"/>
  <c r="BM1223" i="1" a="1"/>
  <c r="BM1223" i="1" s="1"/>
  <c r="BM1222" i="1" a="1"/>
  <c r="BM1222" i="1" s="1"/>
  <c r="BM1221" i="1" a="1"/>
  <c r="BM1221" i="1" s="1"/>
  <c r="BM1220" i="1" a="1"/>
  <c r="BM1220" i="1" s="1"/>
  <c r="BM1219" i="1" a="1"/>
  <c r="BM1219" i="1" s="1"/>
  <c r="BM1218" i="1" a="1"/>
  <c r="BM1218" i="1" s="1"/>
  <c r="BM1217" i="1" a="1"/>
  <c r="BM1217" i="1" s="1"/>
  <c r="BM1216" i="1" a="1"/>
  <c r="BM1216" i="1" s="1"/>
  <c r="BM1215" i="1" a="1"/>
  <c r="BM1215" i="1" s="1"/>
  <c r="BM1214" i="1" a="1"/>
  <c r="BM1214" i="1" s="1"/>
  <c r="BM1213" i="1" a="1"/>
  <c r="BM1213" i="1" s="1"/>
  <c r="BM1212" i="1" a="1"/>
  <c r="BM1212" i="1" s="1"/>
  <c r="BM1211" i="1" a="1"/>
  <c r="BM1211" i="1" s="1"/>
  <c r="BM1210" i="1" a="1"/>
  <c r="BM1210" i="1" s="1"/>
  <c r="BM1209" i="1" a="1"/>
  <c r="BM1209" i="1" s="1"/>
  <c r="BM1208" i="1" a="1"/>
  <c r="BM1208" i="1" s="1"/>
  <c r="BM1207" i="1" a="1"/>
  <c r="BM1207" i="1" s="1"/>
  <c r="BM1206" i="1" a="1"/>
  <c r="BM1206" i="1" s="1"/>
  <c r="BM1205" i="1" a="1"/>
  <c r="BM1205" i="1" s="1"/>
  <c r="BM1204" i="1" a="1"/>
  <c r="BM1204" i="1" s="1"/>
  <c r="BM1203" i="1" a="1"/>
  <c r="BM1203" i="1" s="1"/>
  <c r="BM1202" i="1" a="1"/>
  <c r="BM1202" i="1" s="1"/>
  <c r="BM1201" i="1" a="1"/>
  <c r="BM1201" i="1" s="1"/>
  <c r="BM1200" i="1" a="1"/>
  <c r="BM1200" i="1" s="1"/>
  <c r="BM1199" i="1" a="1"/>
  <c r="BM1199" i="1" s="1"/>
  <c r="BM1198" i="1" a="1"/>
  <c r="BM1198" i="1" s="1"/>
  <c r="BM1197" i="1" a="1"/>
  <c r="BM1197" i="1" s="1"/>
  <c r="BM1196" i="1" a="1"/>
  <c r="BM1196" i="1" s="1"/>
  <c r="BM1195" i="1" a="1"/>
  <c r="BM1195" i="1" s="1"/>
  <c r="BM1194" i="1" a="1"/>
  <c r="BM1194" i="1" s="1"/>
  <c r="BM1193" i="1" a="1"/>
  <c r="BM1193" i="1" s="1"/>
  <c r="BM1192" i="1" a="1"/>
  <c r="BM1192" i="1" s="1"/>
  <c r="BM1191" i="1" a="1"/>
  <c r="BM1191" i="1" s="1"/>
  <c r="BM1190" i="1" a="1"/>
  <c r="BM1190" i="1" s="1"/>
  <c r="BM1189" i="1" a="1"/>
  <c r="BM1189" i="1" s="1"/>
  <c r="BM1188" i="1" a="1"/>
  <c r="BM1188" i="1" s="1"/>
  <c r="BM1187" i="1" a="1"/>
  <c r="BM1187" i="1" s="1"/>
  <c r="BM1186" i="1" a="1"/>
  <c r="BM1186" i="1" s="1"/>
  <c r="BM1185" i="1" a="1"/>
  <c r="BM1185" i="1" s="1"/>
  <c r="BM1184" i="1" a="1"/>
  <c r="BM1184" i="1" s="1"/>
  <c r="BM1183" i="1" a="1"/>
  <c r="BM1183" i="1" s="1"/>
  <c r="BM1182" i="1" a="1"/>
  <c r="BM1182" i="1" s="1"/>
  <c r="BM1181" i="1" a="1"/>
  <c r="BM1181" i="1" s="1"/>
  <c r="BM1180" i="1" a="1"/>
  <c r="BM1180" i="1" s="1"/>
  <c r="BM1179" i="1" a="1"/>
  <c r="BM1179" i="1" s="1"/>
  <c r="BM1178" i="1" a="1"/>
  <c r="BM1178" i="1" s="1"/>
  <c r="BM1177" i="1" a="1"/>
  <c r="BM1177" i="1" s="1"/>
  <c r="BM1176" i="1" a="1"/>
  <c r="BM1176" i="1" s="1"/>
  <c r="BM1175" i="1" a="1"/>
  <c r="BM1175" i="1" s="1"/>
  <c r="BM1174" i="1" a="1"/>
  <c r="BM1174" i="1" s="1"/>
  <c r="BM1173" i="1" a="1"/>
  <c r="BM1173" i="1" s="1"/>
  <c r="BM1172" i="1" a="1"/>
  <c r="BM1172" i="1" s="1"/>
  <c r="BM1171" i="1" a="1"/>
  <c r="BM1171" i="1" s="1"/>
  <c r="BM1170" i="1" a="1"/>
  <c r="BM1170" i="1" s="1"/>
  <c r="BM1169" i="1" a="1"/>
  <c r="BM1169" i="1" s="1"/>
  <c r="BM1168" i="1" a="1"/>
  <c r="BM1168" i="1" s="1"/>
  <c r="BM1167" i="1" a="1"/>
  <c r="BM1167" i="1" s="1"/>
  <c r="BM1166" i="1" a="1"/>
  <c r="BM1166" i="1" s="1"/>
  <c r="BM1165" i="1" a="1"/>
  <c r="BM1165" i="1" s="1"/>
  <c r="BM1164" i="1" a="1"/>
  <c r="BM1164" i="1" s="1"/>
  <c r="BM1163" i="1" a="1"/>
  <c r="BM1163" i="1" s="1"/>
  <c r="BM1162" i="1" a="1"/>
  <c r="BM1162" i="1" s="1"/>
  <c r="BM1161" i="1" a="1"/>
  <c r="BM1161" i="1" s="1"/>
  <c r="BM1160" i="1" a="1"/>
  <c r="BM1160" i="1" s="1"/>
  <c r="BM1159" i="1" a="1"/>
  <c r="BM1159" i="1" s="1"/>
  <c r="BM1158" i="1" a="1"/>
  <c r="BM1158" i="1" s="1"/>
  <c r="BM1157" i="1" a="1"/>
  <c r="BM1157" i="1" s="1"/>
  <c r="BM1156" i="1" a="1"/>
  <c r="BM1156" i="1" s="1"/>
  <c r="BM1155" i="1" a="1"/>
  <c r="BM1155" i="1" s="1"/>
  <c r="BM1154" i="1" a="1"/>
  <c r="BM1154" i="1" s="1"/>
  <c r="BM1153" i="1" a="1"/>
  <c r="BM1153" i="1" s="1"/>
  <c r="BM1152" i="1" a="1"/>
  <c r="BM1152" i="1" s="1"/>
  <c r="BM1151" i="1" a="1"/>
  <c r="BM1151" i="1" s="1"/>
  <c r="BM1150" i="1" a="1"/>
  <c r="BM1150" i="1" s="1"/>
  <c r="BM1149" i="1" a="1"/>
  <c r="BM1149" i="1" s="1"/>
  <c r="BM1148" i="1" a="1"/>
  <c r="BM1148" i="1" s="1"/>
  <c r="BM1147" i="1" a="1"/>
  <c r="BM1147" i="1" s="1"/>
  <c r="BM1146" i="1" a="1"/>
  <c r="BM1146" i="1" s="1"/>
  <c r="BM1145" i="1" a="1"/>
  <c r="BM1145" i="1" s="1"/>
  <c r="BM1144" i="1" a="1"/>
  <c r="BM1144" i="1" s="1"/>
  <c r="BM1143" i="1" a="1"/>
  <c r="BM1143" i="1" s="1"/>
  <c r="BM1142" i="1" a="1"/>
  <c r="BM1142" i="1" s="1"/>
  <c r="BM1141" i="1" a="1"/>
  <c r="BM1141" i="1" s="1"/>
  <c r="BM1140" i="1" a="1"/>
  <c r="BM1140" i="1" s="1"/>
  <c r="BM1139" i="1" a="1"/>
  <c r="BM1139" i="1" s="1"/>
  <c r="BM1138" i="1" a="1"/>
  <c r="BM1138" i="1" s="1"/>
  <c r="BM1137" i="1" a="1"/>
  <c r="BM1137" i="1" s="1"/>
  <c r="BM1136" i="1" a="1"/>
  <c r="BM1136" i="1" s="1"/>
  <c r="BM1135" i="1" a="1"/>
  <c r="BM1135" i="1" s="1"/>
  <c r="BM1134" i="1" a="1"/>
  <c r="BM1134" i="1" s="1"/>
  <c r="BM1133" i="1" a="1"/>
  <c r="BM1133" i="1" s="1"/>
  <c r="BM1132" i="1" a="1"/>
  <c r="BM1132" i="1" s="1"/>
  <c r="BM1131" i="1" a="1"/>
  <c r="BM1131" i="1" s="1"/>
  <c r="BM1130" i="1" a="1"/>
  <c r="BM1130" i="1" s="1"/>
  <c r="BM1129" i="1" a="1"/>
  <c r="BM1129" i="1" s="1"/>
  <c r="BM1128" i="1" a="1"/>
  <c r="BM1128" i="1" s="1"/>
  <c r="BM1127" i="1" a="1"/>
  <c r="BM1127" i="1" s="1"/>
  <c r="BM1126" i="1" a="1"/>
  <c r="BM1126" i="1" s="1"/>
  <c r="BM1125" i="1" a="1"/>
  <c r="BM1125" i="1" s="1"/>
  <c r="BM1124" i="1" a="1"/>
  <c r="BM1124" i="1" s="1"/>
  <c r="BM1123" i="1" a="1"/>
  <c r="BM1123" i="1" s="1"/>
  <c r="BM1122" i="1" a="1"/>
  <c r="BM1122" i="1" s="1"/>
  <c r="BM1121" i="1" a="1"/>
  <c r="BM1121" i="1" s="1"/>
  <c r="BM1120" i="1" a="1"/>
  <c r="BM1120" i="1" s="1"/>
  <c r="BM1119" i="1" a="1"/>
  <c r="BM1119" i="1" s="1"/>
  <c r="BM1118" i="1" a="1"/>
  <c r="BM1118" i="1" s="1"/>
  <c r="BM1117" i="1" a="1"/>
  <c r="BM1117" i="1" s="1"/>
  <c r="BM1116" i="1" a="1"/>
  <c r="BM1116" i="1" s="1"/>
  <c r="BM1115" i="1" a="1"/>
  <c r="BM1115" i="1" s="1"/>
  <c r="BM1114" i="1" a="1"/>
  <c r="BM1114" i="1" s="1"/>
  <c r="BM1113" i="1" a="1"/>
  <c r="BM1113" i="1" s="1"/>
  <c r="BM1112" i="1" a="1"/>
  <c r="BM1112" i="1" s="1"/>
  <c r="BM1111" i="1" a="1"/>
  <c r="BM1111" i="1" s="1"/>
  <c r="BM1110" i="1" a="1"/>
  <c r="BM1110" i="1" s="1"/>
  <c r="BM1109" i="1" a="1"/>
  <c r="BM1109" i="1" s="1"/>
  <c r="BM1108" i="1" a="1"/>
  <c r="BM1108" i="1" s="1"/>
  <c r="BM1107" i="1" a="1"/>
  <c r="BM1107" i="1" s="1"/>
  <c r="BM1106" i="1" a="1"/>
  <c r="BM1106" i="1" s="1"/>
  <c r="BM1105" i="1" a="1"/>
  <c r="BM1105" i="1" s="1"/>
  <c r="BM1104" i="1" a="1"/>
  <c r="BM1104" i="1" s="1"/>
  <c r="BM1103" i="1" a="1"/>
  <c r="BM1103" i="1" s="1"/>
  <c r="BM1102" i="1" a="1"/>
  <c r="BM1102" i="1" s="1"/>
  <c r="BM1101" i="1" a="1"/>
  <c r="BM1101" i="1" s="1"/>
  <c r="BM1100" i="1" a="1"/>
  <c r="BM1100" i="1" s="1"/>
  <c r="BM1099" i="1" a="1"/>
  <c r="BM1099" i="1" s="1"/>
  <c r="BM1098" i="1" a="1"/>
  <c r="BM1098" i="1" s="1"/>
  <c r="BM1097" i="1" a="1"/>
  <c r="BM1097" i="1" s="1"/>
  <c r="BM1096" i="1" a="1"/>
  <c r="BM1096" i="1" s="1"/>
  <c r="BM1095" i="1" a="1"/>
  <c r="BM1095" i="1" s="1"/>
  <c r="BM1094" i="1" a="1"/>
  <c r="BM1094" i="1" s="1"/>
  <c r="BM1093" i="1" a="1"/>
  <c r="BM1093" i="1" s="1"/>
  <c r="BM1092" i="1" a="1"/>
  <c r="BM1092" i="1" s="1"/>
  <c r="BM1091" i="1" a="1"/>
  <c r="BM1091" i="1" s="1"/>
  <c r="BM1090" i="1" a="1"/>
  <c r="BM1090" i="1" s="1"/>
  <c r="BM1089" i="1" a="1"/>
  <c r="BM1089" i="1" s="1"/>
  <c r="BM1088" i="1" a="1"/>
  <c r="BM1088" i="1" s="1"/>
  <c r="BM1087" i="1" a="1"/>
  <c r="BM1087" i="1" s="1"/>
  <c r="BM1086" i="1" a="1"/>
  <c r="BM1086" i="1" s="1"/>
  <c r="BM1085" i="1" a="1"/>
  <c r="BM1085" i="1" s="1"/>
  <c r="BM1084" i="1" a="1"/>
  <c r="BM1084" i="1" s="1"/>
  <c r="BM1083" i="1" a="1"/>
  <c r="BM1083" i="1" s="1"/>
  <c r="BM1082" i="1" a="1"/>
  <c r="BM1082" i="1" s="1"/>
  <c r="BM1081" i="1" a="1"/>
  <c r="BM1081" i="1" s="1"/>
  <c r="BM1080" i="1" a="1"/>
  <c r="BM1080" i="1" s="1"/>
  <c r="BM1079" i="1" a="1"/>
  <c r="BM1079" i="1" s="1"/>
  <c r="BM1078" i="1" a="1"/>
  <c r="BM1078" i="1" s="1"/>
  <c r="BM1077" i="1" a="1"/>
  <c r="BM1077" i="1" s="1"/>
  <c r="BM1076" i="1" a="1"/>
  <c r="BM1076" i="1" s="1"/>
  <c r="BM1075" i="1" a="1"/>
  <c r="BM1075" i="1" s="1"/>
  <c r="BM1074" i="1" a="1"/>
  <c r="BM1074" i="1" s="1"/>
  <c r="BM1073" i="1" a="1"/>
  <c r="BM1073" i="1" s="1"/>
  <c r="BM1072" i="1" a="1"/>
  <c r="BM1072" i="1" s="1"/>
  <c r="BM1071" i="1" a="1"/>
  <c r="BM1071" i="1" s="1"/>
  <c r="BM1070" i="1" a="1"/>
  <c r="BM1070" i="1" s="1"/>
  <c r="BM1069" i="1" a="1"/>
  <c r="BM1069" i="1" s="1"/>
  <c r="BM1068" i="1" a="1"/>
  <c r="BM1068" i="1" s="1"/>
  <c r="BM1067" i="1" a="1"/>
  <c r="BM1067" i="1" s="1"/>
  <c r="BM1066" i="1" a="1"/>
  <c r="BM1066" i="1" s="1"/>
  <c r="BM1065" i="1" a="1"/>
  <c r="BM1065" i="1" s="1"/>
  <c r="BM1064" i="1" a="1"/>
  <c r="BM1064" i="1" s="1"/>
  <c r="BM1063" i="1" a="1"/>
  <c r="BM1063" i="1" s="1"/>
  <c r="BM1062" i="1" a="1"/>
  <c r="BM1062" i="1" s="1"/>
  <c r="BM1061" i="1" a="1"/>
  <c r="BM1061" i="1" s="1"/>
  <c r="BM1060" i="1" a="1"/>
  <c r="BM1060" i="1" s="1"/>
  <c r="BM1059" i="1" a="1"/>
  <c r="BM1059" i="1" s="1"/>
  <c r="BM1058" i="1" a="1"/>
  <c r="BM1058" i="1" s="1"/>
  <c r="BM1057" i="1" a="1"/>
  <c r="BM1057" i="1" s="1"/>
  <c r="BM1056" i="1" a="1"/>
  <c r="BM1056" i="1" s="1"/>
  <c r="BM1055" i="1" a="1"/>
  <c r="BM1055" i="1" s="1"/>
  <c r="BM1054" i="1" a="1"/>
  <c r="BM1054" i="1" s="1"/>
  <c r="BM1053" i="1" a="1"/>
  <c r="BM1053" i="1" s="1"/>
  <c r="BM1052" i="1" a="1"/>
  <c r="BM1052" i="1" s="1"/>
  <c r="BM1051" i="1" a="1"/>
  <c r="BM1051" i="1" s="1"/>
  <c r="BM1050" i="1" a="1"/>
  <c r="BM1050" i="1" s="1"/>
  <c r="BM1049" i="1" a="1"/>
  <c r="BM1049" i="1" s="1"/>
  <c r="BM1048" i="1" a="1"/>
  <c r="BM1048" i="1" s="1"/>
  <c r="BM1047" i="1" a="1"/>
  <c r="BM1047" i="1" s="1"/>
  <c r="BM1046" i="1" a="1"/>
  <c r="BM1046" i="1" s="1"/>
  <c r="BM1045" i="1" a="1"/>
  <c r="BM1045" i="1" s="1"/>
  <c r="BM1044" i="1" a="1"/>
  <c r="BM1044" i="1" s="1"/>
  <c r="BM1043" i="1" a="1"/>
  <c r="BM1043" i="1" s="1"/>
  <c r="BM1042" i="1" a="1"/>
  <c r="BM1042" i="1" s="1"/>
  <c r="BM1041" i="1" a="1"/>
  <c r="BM1041" i="1" s="1"/>
  <c r="BM1040" i="1" a="1"/>
  <c r="BM1040" i="1" s="1"/>
  <c r="BM1039" i="1" a="1"/>
  <c r="BM1039" i="1" s="1"/>
  <c r="BM1038" i="1" a="1"/>
  <c r="BM1038" i="1" s="1"/>
  <c r="BM1037" i="1" a="1"/>
  <c r="BM1037" i="1" s="1"/>
  <c r="BM1036" i="1" a="1"/>
  <c r="BM1036" i="1" s="1"/>
  <c r="BM1035" i="1" a="1"/>
  <c r="BM1035" i="1" s="1"/>
  <c r="BM1034" i="1" a="1"/>
  <c r="BM1034" i="1" s="1"/>
  <c r="BM1033" i="1" a="1"/>
  <c r="BM1033" i="1" s="1"/>
  <c r="BM1032" i="1" a="1"/>
  <c r="BM1032" i="1" s="1"/>
  <c r="BM1031" i="1" a="1"/>
  <c r="BM1031" i="1" s="1"/>
  <c r="BM1030" i="1" a="1"/>
  <c r="BM1030" i="1" s="1"/>
  <c r="BM1029" i="1" a="1"/>
  <c r="BM1029" i="1" s="1"/>
  <c r="BM1028" i="1" a="1"/>
  <c r="BM1028" i="1" s="1"/>
  <c r="BM1027" i="1" a="1"/>
  <c r="BM1027" i="1" s="1"/>
  <c r="BM1026" i="1" a="1"/>
  <c r="BM1026" i="1" s="1"/>
  <c r="BM1025" i="1" a="1"/>
  <c r="BM1025" i="1" s="1"/>
  <c r="BM1024" i="1" a="1"/>
  <c r="BM1024" i="1" s="1"/>
  <c r="BM1023" i="1" a="1"/>
  <c r="BM1023" i="1" s="1"/>
  <c r="BM1022" i="1" a="1"/>
  <c r="BM1022" i="1" s="1"/>
  <c r="BM1021" i="1" a="1"/>
  <c r="BM1021" i="1" s="1"/>
  <c r="BM1020" i="1" a="1"/>
  <c r="BM1020" i="1" s="1"/>
  <c r="BM1019" i="1" a="1"/>
  <c r="BM1019" i="1" s="1"/>
  <c r="BM1018" i="1" a="1"/>
  <c r="BM1018" i="1" s="1"/>
  <c r="BM1017" i="1" a="1"/>
  <c r="BM1017" i="1" s="1"/>
  <c r="BM1016" i="1" a="1"/>
  <c r="BM1016" i="1" s="1"/>
  <c r="BM1015" i="1" a="1"/>
  <c r="BM1015" i="1" s="1"/>
  <c r="BM1014" i="1" a="1"/>
  <c r="BM1014" i="1" s="1"/>
  <c r="BM1013" i="1" a="1"/>
  <c r="BM1013" i="1" s="1"/>
  <c r="BM1012" i="1" a="1"/>
  <c r="BM1012" i="1" s="1"/>
  <c r="BM1011" i="1" a="1"/>
  <c r="BM1011" i="1" s="1"/>
  <c r="BM1010" i="1" a="1"/>
  <c r="BM1010" i="1" s="1"/>
  <c r="BM1009" i="1" a="1"/>
  <c r="BM1009" i="1" s="1"/>
  <c r="BM1008" i="1" a="1"/>
  <c r="BM1008" i="1" s="1"/>
  <c r="BM1007" i="1" a="1"/>
  <c r="BM1007" i="1" s="1"/>
  <c r="BM1006" i="1" a="1"/>
  <c r="BM1006" i="1" s="1"/>
  <c r="BM1005" i="1" a="1"/>
  <c r="BM1005" i="1" s="1"/>
  <c r="BM1004" i="1" a="1"/>
  <c r="BM1004" i="1" s="1"/>
  <c r="BM1003" i="1" a="1"/>
  <c r="BM1003" i="1" s="1"/>
  <c r="BM1002" i="1" a="1"/>
  <c r="BM1002" i="1" s="1"/>
  <c r="BM1001" i="1" a="1"/>
  <c r="BM1001" i="1" s="1"/>
  <c r="BM1000" i="1" a="1"/>
  <c r="BM1000" i="1" s="1"/>
  <c r="BM999" i="1" a="1"/>
  <c r="BM999" i="1" s="1"/>
  <c r="BM998" i="1" a="1"/>
  <c r="BM998" i="1" s="1"/>
  <c r="BM997" i="1" a="1"/>
  <c r="BM997" i="1" s="1"/>
  <c r="BM996" i="1" a="1"/>
  <c r="BM996" i="1" s="1"/>
  <c r="BM995" i="1" a="1"/>
  <c r="BM995" i="1" s="1"/>
  <c r="BM994" i="1" a="1"/>
  <c r="BM994" i="1" s="1"/>
  <c r="BM993" i="1" a="1"/>
  <c r="BM993" i="1" s="1"/>
  <c r="BM992" i="1" a="1"/>
  <c r="BM992" i="1" s="1"/>
  <c r="BM991" i="1" a="1"/>
  <c r="BM991" i="1" s="1"/>
  <c r="BM990" i="1" a="1"/>
  <c r="BM990" i="1" s="1"/>
  <c r="BM989" i="1" a="1"/>
  <c r="BM989" i="1" s="1"/>
  <c r="BM988" i="1" a="1"/>
  <c r="BM988" i="1" s="1"/>
  <c r="BM987" i="1" a="1"/>
  <c r="BM987" i="1" s="1"/>
  <c r="BM986" i="1" a="1"/>
  <c r="BM986" i="1" s="1"/>
  <c r="BM985" i="1" a="1"/>
  <c r="BM985" i="1" s="1"/>
  <c r="BM984" i="1" a="1"/>
  <c r="BM984" i="1" s="1"/>
  <c r="BM983" i="1" a="1"/>
  <c r="BM983" i="1" s="1"/>
  <c r="BM982" i="1" a="1"/>
  <c r="BM982" i="1" s="1"/>
  <c r="BM981" i="1" a="1"/>
  <c r="BM981" i="1" s="1"/>
  <c r="BM980" i="1" a="1"/>
  <c r="BM980" i="1" s="1"/>
  <c r="BM979" i="1" a="1"/>
  <c r="BM979" i="1" s="1"/>
  <c r="BM978" i="1" a="1"/>
  <c r="BM978" i="1" s="1"/>
  <c r="BM977" i="1" a="1"/>
  <c r="BM977" i="1" s="1"/>
  <c r="BM976" i="1" a="1"/>
  <c r="BM976" i="1" s="1"/>
  <c r="BM975" i="1" a="1"/>
  <c r="BM975" i="1" s="1"/>
  <c r="BM974" i="1" a="1"/>
  <c r="BM974" i="1" s="1"/>
  <c r="BM973" i="1" a="1"/>
  <c r="BM973" i="1" s="1"/>
  <c r="BM972" i="1" a="1"/>
  <c r="BM972" i="1" s="1"/>
  <c r="BM971" i="1" a="1"/>
  <c r="BM971" i="1" s="1"/>
  <c r="BM970" i="1" a="1"/>
  <c r="BM970" i="1" s="1"/>
  <c r="BM969" i="1" a="1"/>
  <c r="BM969" i="1" s="1"/>
  <c r="BM968" i="1" a="1"/>
  <c r="BM968" i="1" s="1"/>
  <c r="BM967" i="1" a="1"/>
  <c r="BM967" i="1" s="1"/>
  <c r="BM966" i="1" a="1"/>
  <c r="BM966" i="1" s="1"/>
  <c r="BM965" i="1" a="1"/>
  <c r="BM965" i="1" s="1"/>
  <c r="BM964" i="1" a="1"/>
  <c r="BM964" i="1" s="1"/>
  <c r="BM963" i="1" a="1"/>
  <c r="BM963" i="1" s="1"/>
  <c r="BM962" i="1" a="1"/>
  <c r="BM962" i="1" s="1"/>
  <c r="BM961" i="1" a="1"/>
  <c r="BM961" i="1" s="1"/>
  <c r="BM960" i="1" a="1"/>
  <c r="BM960" i="1" s="1"/>
  <c r="BM959" i="1" a="1"/>
  <c r="BM959" i="1" s="1"/>
  <c r="BM958" i="1" a="1"/>
  <c r="BM958" i="1" s="1"/>
  <c r="BM957" i="1" a="1"/>
  <c r="BM957" i="1" s="1"/>
  <c r="BM956" i="1" a="1"/>
  <c r="BM956" i="1" s="1"/>
  <c r="BM955" i="1" a="1"/>
  <c r="BM955" i="1" s="1"/>
  <c r="BM954" i="1" a="1"/>
  <c r="BM954" i="1" s="1"/>
  <c r="BM953" i="1" a="1"/>
  <c r="BM953" i="1" s="1"/>
  <c r="BM952" i="1" a="1"/>
  <c r="BM952" i="1" s="1"/>
  <c r="BM951" i="1" a="1"/>
  <c r="BM951" i="1" s="1"/>
  <c r="BM950" i="1" a="1"/>
  <c r="BM950" i="1" s="1"/>
  <c r="BM949" i="1" a="1"/>
  <c r="BM949" i="1" s="1"/>
  <c r="BM948" i="1" a="1"/>
  <c r="BM948" i="1" s="1"/>
  <c r="BM947" i="1" a="1"/>
  <c r="BM947" i="1" s="1"/>
  <c r="BM946" i="1" a="1"/>
  <c r="BM946" i="1" s="1"/>
  <c r="BM945" i="1" a="1"/>
  <c r="BM945" i="1" s="1"/>
  <c r="BM944" i="1" a="1"/>
  <c r="BM944" i="1" s="1"/>
  <c r="BM943" i="1" a="1"/>
  <c r="BM943" i="1" s="1"/>
  <c r="BM942" i="1" a="1"/>
  <c r="BM942" i="1" s="1"/>
  <c r="BM941" i="1" a="1"/>
  <c r="BM941" i="1" s="1"/>
  <c r="BM940" i="1" a="1"/>
  <c r="BM940" i="1" s="1"/>
  <c r="BM939" i="1" a="1"/>
  <c r="BM939" i="1" s="1"/>
  <c r="BM938" i="1" a="1"/>
  <c r="BM938" i="1" s="1"/>
  <c r="BM937" i="1" a="1"/>
  <c r="BM937" i="1" s="1"/>
  <c r="BM936" i="1" a="1"/>
  <c r="BM936" i="1" s="1"/>
  <c r="BM935" i="1" a="1"/>
  <c r="BM935" i="1" s="1"/>
  <c r="BM934" i="1" a="1"/>
  <c r="BM934" i="1" s="1"/>
  <c r="BM933" i="1" a="1"/>
  <c r="BM933" i="1" s="1"/>
  <c r="BM932" i="1" a="1"/>
  <c r="BM932" i="1" s="1"/>
  <c r="BM931" i="1" a="1"/>
  <c r="BM931" i="1" s="1"/>
  <c r="BM930" i="1" a="1"/>
  <c r="BM930" i="1" s="1"/>
  <c r="BM929" i="1" a="1"/>
  <c r="BM929" i="1" s="1"/>
  <c r="BM928" i="1" a="1"/>
  <c r="BM928" i="1" s="1"/>
  <c r="BM927" i="1" a="1"/>
  <c r="BM927" i="1" s="1"/>
  <c r="BM926" i="1" a="1"/>
  <c r="BM926" i="1" s="1"/>
  <c r="BM925" i="1" a="1"/>
  <c r="BM925" i="1" s="1"/>
  <c r="BM924" i="1" a="1"/>
  <c r="BM924" i="1" s="1"/>
  <c r="BM923" i="1" a="1"/>
  <c r="BM923" i="1" s="1"/>
  <c r="BM922" i="1" a="1"/>
  <c r="BM922" i="1" s="1"/>
  <c r="BM921" i="1" a="1"/>
  <c r="BM921" i="1" s="1"/>
  <c r="BM920" i="1" a="1"/>
  <c r="BM920" i="1" s="1"/>
  <c r="BM919" i="1" a="1"/>
  <c r="BM919" i="1" s="1"/>
  <c r="BM918" i="1" a="1"/>
  <c r="BM918" i="1" s="1"/>
  <c r="BM917" i="1" a="1"/>
  <c r="BM917" i="1" s="1"/>
  <c r="BM916" i="1" a="1"/>
  <c r="BM916" i="1" s="1"/>
  <c r="BM915" i="1" a="1"/>
  <c r="BM915" i="1" s="1"/>
  <c r="BM914" i="1" a="1"/>
  <c r="BM914" i="1" s="1"/>
  <c r="BM913" i="1" a="1"/>
  <c r="BM913" i="1" s="1"/>
  <c r="BM912" i="1" a="1"/>
  <c r="BM912" i="1" s="1"/>
  <c r="BM911" i="1" a="1"/>
  <c r="BM911" i="1" s="1"/>
  <c r="BM910" i="1" a="1"/>
  <c r="BM910" i="1" s="1"/>
  <c r="BM909" i="1" a="1"/>
  <c r="BM909" i="1" s="1"/>
  <c r="BM908" i="1" a="1"/>
  <c r="BM908" i="1" s="1"/>
  <c r="BM907" i="1" a="1"/>
  <c r="BM907" i="1" s="1"/>
  <c r="BM906" i="1" a="1"/>
  <c r="BM906" i="1" s="1"/>
  <c r="BM905" i="1" a="1"/>
  <c r="BM905" i="1" s="1"/>
  <c r="BM904" i="1" a="1"/>
  <c r="BM904" i="1" s="1"/>
  <c r="BM903" i="1" a="1"/>
  <c r="BM903" i="1" s="1"/>
  <c r="BM902" i="1" a="1"/>
  <c r="BM902" i="1" s="1"/>
  <c r="BM901" i="1" a="1"/>
  <c r="BM901" i="1" s="1"/>
  <c r="BM900" i="1" a="1"/>
  <c r="BM900" i="1" s="1"/>
  <c r="BM899" i="1" a="1"/>
  <c r="BM899" i="1" s="1"/>
  <c r="BM898" i="1" a="1"/>
  <c r="BM898" i="1" s="1"/>
  <c r="BM897" i="1" a="1"/>
  <c r="BM897" i="1" s="1"/>
  <c r="BM896" i="1" a="1"/>
  <c r="BM896" i="1" s="1"/>
  <c r="BM895" i="1" a="1"/>
  <c r="BM895" i="1" s="1"/>
  <c r="BM894" i="1" a="1"/>
  <c r="BM894" i="1" s="1"/>
  <c r="BM893" i="1" a="1"/>
  <c r="BM893" i="1" s="1"/>
  <c r="BM892" i="1" a="1"/>
  <c r="BM892" i="1" s="1"/>
  <c r="BM891" i="1" a="1"/>
  <c r="BM891" i="1" s="1"/>
  <c r="BM890" i="1" a="1"/>
  <c r="BM890" i="1" s="1"/>
  <c r="BM889" i="1" a="1"/>
  <c r="BM889" i="1" s="1"/>
  <c r="BM888" i="1" a="1"/>
  <c r="BM888" i="1" s="1"/>
  <c r="BM887" i="1" a="1"/>
  <c r="BM887" i="1" s="1"/>
  <c r="BM886" i="1" a="1"/>
  <c r="BM886" i="1" s="1"/>
  <c r="BM885" i="1" a="1"/>
  <c r="BM885" i="1" s="1"/>
  <c r="BM884" i="1" a="1"/>
  <c r="BM884" i="1" s="1"/>
  <c r="BM883" i="1" a="1"/>
  <c r="BM883" i="1" s="1"/>
  <c r="BM882" i="1" a="1"/>
  <c r="BM882" i="1" s="1"/>
  <c r="BM881" i="1" a="1"/>
  <c r="BM881" i="1" s="1"/>
  <c r="BM880" i="1" a="1"/>
  <c r="BM880" i="1" s="1"/>
  <c r="BM879" i="1" a="1"/>
  <c r="BM879" i="1" s="1"/>
  <c r="BM878" i="1" a="1"/>
  <c r="BM878" i="1" s="1"/>
  <c r="BM877" i="1" a="1"/>
  <c r="BM877" i="1" s="1"/>
  <c r="BM876" i="1" a="1"/>
  <c r="BM876" i="1" s="1"/>
  <c r="BM875" i="1" a="1"/>
  <c r="BM875" i="1" s="1"/>
  <c r="BM874" i="1" a="1"/>
  <c r="BM874" i="1" s="1"/>
  <c r="BM873" i="1" a="1"/>
  <c r="BM873" i="1" s="1"/>
  <c r="BM872" i="1" a="1"/>
  <c r="BM872" i="1" s="1"/>
  <c r="BM871" i="1" a="1"/>
  <c r="BM871" i="1" s="1"/>
  <c r="BM870" i="1" a="1"/>
  <c r="BM870" i="1" s="1"/>
  <c r="BM869" i="1" a="1"/>
  <c r="BM869" i="1" s="1"/>
  <c r="BM868" i="1" a="1"/>
  <c r="BM868" i="1" s="1"/>
  <c r="BM867" i="1" a="1"/>
  <c r="BM867" i="1" s="1"/>
  <c r="BM866" i="1" a="1"/>
  <c r="BM866" i="1" s="1"/>
  <c r="BM865" i="1" a="1"/>
  <c r="BM865" i="1" s="1"/>
  <c r="BM864" i="1" a="1"/>
  <c r="BM864" i="1" s="1"/>
  <c r="BM863" i="1" a="1"/>
  <c r="BM863" i="1" s="1"/>
  <c r="BM862" i="1" a="1"/>
  <c r="BM862" i="1" s="1"/>
  <c r="BM861" i="1" a="1"/>
  <c r="BM861" i="1" s="1"/>
  <c r="BM860" i="1" a="1"/>
  <c r="BM860" i="1" s="1"/>
  <c r="BM859" i="1" a="1"/>
  <c r="BM859" i="1" s="1"/>
  <c r="BM858" i="1" a="1"/>
  <c r="BM858" i="1" s="1"/>
  <c r="BM857" i="1" a="1"/>
  <c r="BM857" i="1" s="1"/>
  <c r="BM856" i="1" a="1"/>
  <c r="BM856" i="1" s="1"/>
  <c r="BM855" i="1" a="1"/>
  <c r="BM855" i="1" s="1"/>
  <c r="BM854" i="1" a="1"/>
  <c r="BM854" i="1" s="1"/>
  <c r="BM853" i="1" a="1"/>
  <c r="BM853" i="1" s="1"/>
  <c r="BM852" i="1" a="1"/>
  <c r="BM852" i="1" s="1"/>
  <c r="BM851" i="1" a="1"/>
  <c r="BM851" i="1" s="1"/>
  <c r="BM850" i="1" a="1"/>
  <c r="BM850" i="1" s="1"/>
  <c r="BM849" i="1" a="1"/>
  <c r="BM849" i="1" s="1"/>
  <c r="BM848" i="1" a="1"/>
  <c r="BM848" i="1" s="1"/>
  <c r="BM847" i="1" a="1"/>
  <c r="BM847" i="1" s="1"/>
  <c r="BM846" i="1" a="1"/>
  <c r="BM846" i="1" s="1"/>
  <c r="BM845" i="1" a="1"/>
  <c r="BM845" i="1" s="1"/>
  <c r="BM844" i="1" a="1"/>
  <c r="BM844" i="1" s="1"/>
  <c r="BM843" i="1" a="1"/>
  <c r="BM843" i="1" s="1"/>
  <c r="BM842" i="1" a="1"/>
  <c r="BM842" i="1" s="1"/>
  <c r="BM841" i="1" a="1"/>
  <c r="BM841" i="1" s="1"/>
  <c r="BM840" i="1" a="1"/>
  <c r="BM840" i="1" s="1"/>
  <c r="BM839" i="1" a="1"/>
  <c r="BM839" i="1" s="1"/>
  <c r="BM838" i="1" a="1"/>
  <c r="BM838" i="1" s="1"/>
  <c r="BM837" i="1" a="1"/>
  <c r="BM837" i="1" s="1"/>
  <c r="BM836" i="1" a="1"/>
  <c r="BM836" i="1" s="1"/>
  <c r="BM835" i="1" a="1"/>
  <c r="BM835" i="1" s="1"/>
  <c r="BM834" i="1" a="1"/>
  <c r="BM834" i="1" s="1"/>
  <c r="BM833" i="1" a="1"/>
  <c r="BM833" i="1" s="1"/>
  <c r="BM832" i="1" a="1"/>
  <c r="BM832" i="1" s="1"/>
  <c r="BM831" i="1" a="1"/>
  <c r="BM831" i="1" s="1"/>
  <c r="BM830" i="1" a="1"/>
  <c r="BM830" i="1" s="1"/>
  <c r="BM829" i="1" a="1"/>
  <c r="BM829" i="1" s="1"/>
  <c r="BM828" i="1" a="1"/>
  <c r="BM828" i="1" s="1"/>
  <c r="BM827" i="1" a="1"/>
  <c r="BM827" i="1" s="1"/>
  <c r="BM826" i="1" a="1"/>
  <c r="BM826" i="1" s="1"/>
  <c r="BM825" i="1" a="1"/>
  <c r="BM825" i="1" s="1"/>
  <c r="BM824" i="1" a="1"/>
  <c r="BM824" i="1" s="1"/>
  <c r="BM823" i="1" a="1"/>
  <c r="BM823" i="1" s="1"/>
  <c r="BM822" i="1" a="1"/>
  <c r="BM822" i="1" s="1"/>
  <c r="BM821" i="1" a="1"/>
  <c r="BM821" i="1" s="1"/>
  <c r="BM820" i="1" a="1"/>
  <c r="BM820" i="1" s="1"/>
  <c r="BM819" i="1" a="1"/>
  <c r="BM819" i="1" s="1"/>
  <c r="BM818" i="1" a="1"/>
  <c r="BM818" i="1" s="1"/>
  <c r="BM817" i="1" a="1"/>
  <c r="BM817" i="1" s="1"/>
  <c r="BM816" i="1" a="1"/>
  <c r="BM816" i="1" s="1"/>
  <c r="BM815" i="1" a="1"/>
  <c r="BM815" i="1" s="1"/>
  <c r="BM814" i="1" a="1"/>
  <c r="BM814" i="1" s="1"/>
  <c r="BM813" i="1" a="1"/>
  <c r="BM813" i="1" s="1"/>
  <c r="BM812" i="1" a="1"/>
  <c r="BM812" i="1" s="1"/>
  <c r="BM811" i="1" a="1"/>
  <c r="BM811" i="1" s="1"/>
  <c r="BM810" i="1" a="1"/>
  <c r="BM810" i="1" s="1"/>
  <c r="BM809" i="1" a="1"/>
  <c r="BM809" i="1" s="1"/>
  <c r="BM808" i="1" a="1"/>
  <c r="BM808" i="1" s="1"/>
  <c r="BM807" i="1" a="1"/>
  <c r="BM807" i="1" s="1"/>
  <c r="BM806" i="1" a="1"/>
  <c r="BM806" i="1" s="1"/>
  <c r="BM805" i="1" a="1"/>
  <c r="BM805" i="1" s="1"/>
  <c r="BM804" i="1" a="1"/>
  <c r="BM804" i="1" s="1"/>
  <c r="BM803" i="1" a="1"/>
  <c r="BM803" i="1" s="1"/>
  <c r="BM802" i="1" a="1"/>
  <c r="BM802" i="1" s="1"/>
  <c r="BM801" i="1" a="1"/>
  <c r="BM801" i="1" s="1"/>
  <c r="BM800" i="1" a="1"/>
  <c r="BM800" i="1" s="1"/>
  <c r="BM799" i="1" a="1"/>
  <c r="BM799" i="1" s="1"/>
  <c r="BM798" i="1" a="1"/>
  <c r="BM798" i="1" s="1"/>
  <c r="BM797" i="1" a="1"/>
  <c r="BM797" i="1" s="1"/>
  <c r="BM796" i="1" a="1"/>
  <c r="BM796" i="1" s="1"/>
  <c r="BM795" i="1" a="1"/>
  <c r="BM795" i="1" s="1"/>
  <c r="BM794" i="1" a="1"/>
  <c r="BM794" i="1" s="1"/>
  <c r="BM793" i="1" a="1"/>
  <c r="BM793" i="1" s="1"/>
  <c r="BM792" i="1" a="1"/>
  <c r="BM792" i="1" s="1"/>
  <c r="BM791" i="1" a="1"/>
  <c r="BM791" i="1" s="1"/>
  <c r="BM790" i="1" a="1"/>
  <c r="BM790" i="1" s="1"/>
  <c r="BM789" i="1" a="1"/>
  <c r="BM789" i="1" s="1"/>
  <c r="BM788" i="1" a="1"/>
  <c r="BM788" i="1" s="1"/>
  <c r="BM787" i="1" a="1"/>
  <c r="BM787" i="1" s="1"/>
  <c r="BM786" i="1" a="1"/>
  <c r="BM786" i="1" s="1"/>
  <c r="BM785" i="1" a="1"/>
  <c r="BM785" i="1" s="1"/>
  <c r="BM784" i="1" a="1"/>
  <c r="BM784" i="1" s="1"/>
  <c r="BM783" i="1" a="1"/>
  <c r="BM783" i="1" s="1"/>
  <c r="BM782" i="1" a="1"/>
  <c r="BM782" i="1" s="1"/>
  <c r="BM781" i="1" a="1"/>
  <c r="BM781" i="1" s="1"/>
  <c r="BM780" i="1" a="1"/>
  <c r="BM780" i="1" s="1"/>
  <c r="BM779" i="1" a="1"/>
  <c r="BM779" i="1" s="1"/>
  <c r="BM778" i="1" a="1"/>
  <c r="BM778" i="1" s="1"/>
  <c r="BM777" i="1" a="1"/>
  <c r="BM777" i="1" s="1"/>
  <c r="BM776" i="1" a="1"/>
  <c r="BM776" i="1" s="1"/>
  <c r="BM775" i="1" a="1"/>
  <c r="BM775" i="1" s="1"/>
  <c r="BM774" i="1" a="1"/>
  <c r="BM774" i="1" s="1"/>
  <c r="BM773" i="1" a="1"/>
  <c r="BM773" i="1" s="1"/>
  <c r="BM772" i="1" a="1"/>
  <c r="BM772" i="1" s="1"/>
  <c r="BM771" i="1" a="1"/>
  <c r="BM771" i="1" s="1"/>
  <c r="BM770" i="1" a="1"/>
  <c r="BM770" i="1" s="1"/>
  <c r="BM769" i="1" a="1"/>
  <c r="BM769" i="1" s="1"/>
  <c r="BM768" i="1" a="1"/>
  <c r="BM768" i="1" s="1"/>
  <c r="BM767" i="1" a="1"/>
  <c r="BM767" i="1" s="1"/>
  <c r="BM766" i="1" a="1"/>
  <c r="BM766" i="1" s="1"/>
  <c r="BM765" i="1" a="1"/>
  <c r="BM765" i="1" s="1"/>
  <c r="BM764" i="1" a="1"/>
  <c r="BM764" i="1" s="1"/>
  <c r="BM763" i="1" a="1"/>
  <c r="BM763" i="1" s="1"/>
  <c r="BM762" i="1" a="1"/>
  <c r="BM762" i="1" s="1"/>
  <c r="BM761" i="1" a="1"/>
  <c r="BM761" i="1" s="1"/>
  <c r="BM760" i="1" a="1"/>
  <c r="BM760" i="1" s="1"/>
  <c r="BM759" i="1" a="1"/>
  <c r="BM759" i="1" s="1"/>
  <c r="BM758" i="1" a="1"/>
  <c r="BM758" i="1" s="1"/>
  <c r="BM757" i="1" a="1"/>
  <c r="BM757" i="1" s="1"/>
  <c r="BM756" i="1" a="1"/>
  <c r="BM756" i="1" s="1"/>
  <c r="BM755" i="1" a="1"/>
  <c r="BM755" i="1" s="1"/>
  <c r="BM754" i="1" a="1"/>
  <c r="BM754" i="1" s="1"/>
  <c r="BM753" i="1" a="1"/>
  <c r="BM753" i="1" s="1"/>
  <c r="BM752" i="1" a="1"/>
  <c r="BM752" i="1" s="1"/>
  <c r="BM751" i="1" a="1"/>
  <c r="BM751" i="1" s="1"/>
  <c r="BM750" i="1" a="1"/>
  <c r="BM750" i="1" s="1"/>
  <c r="BM749" i="1" a="1"/>
  <c r="BM749" i="1" s="1"/>
  <c r="BM748" i="1" a="1"/>
  <c r="BM748" i="1" s="1"/>
  <c r="BM747" i="1" a="1"/>
  <c r="BM747" i="1" s="1"/>
  <c r="BM746" i="1" a="1"/>
  <c r="BM746" i="1" s="1"/>
  <c r="BM745" i="1" a="1"/>
  <c r="BM745" i="1" s="1"/>
  <c r="BM744" i="1" a="1"/>
  <c r="BM744" i="1" s="1"/>
  <c r="BM743" i="1" a="1"/>
  <c r="BM743" i="1" s="1"/>
  <c r="BM742" i="1" a="1"/>
  <c r="BM742" i="1" s="1"/>
  <c r="BM741" i="1" a="1"/>
  <c r="BM741" i="1" s="1"/>
  <c r="BM740" i="1" a="1"/>
  <c r="BM740" i="1" s="1"/>
  <c r="BM739" i="1" a="1"/>
  <c r="BM739" i="1" s="1"/>
  <c r="BM738" i="1" a="1"/>
  <c r="BM738" i="1" s="1"/>
  <c r="BM737" i="1" a="1"/>
  <c r="BM737" i="1" s="1"/>
  <c r="BM736" i="1" a="1"/>
  <c r="BM736" i="1" s="1"/>
  <c r="BM735" i="1" a="1"/>
  <c r="BM735" i="1" s="1"/>
  <c r="BM734" i="1" a="1"/>
  <c r="BM734" i="1" s="1"/>
  <c r="BM733" i="1" a="1"/>
  <c r="BM733" i="1" s="1"/>
  <c r="BM732" i="1" a="1"/>
  <c r="BM732" i="1" s="1"/>
  <c r="BM731" i="1" a="1"/>
  <c r="BM731" i="1" s="1"/>
  <c r="BM730" i="1" a="1"/>
  <c r="BM730" i="1" s="1"/>
  <c r="BM729" i="1" a="1"/>
  <c r="BM729" i="1" s="1"/>
  <c r="BM728" i="1" a="1"/>
  <c r="BM728" i="1" s="1"/>
  <c r="BM727" i="1" a="1"/>
  <c r="BM727" i="1" s="1"/>
  <c r="BM726" i="1" a="1"/>
  <c r="BM726" i="1" s="1"/>
  <c r="BM725" i="1" a="1"/>
  <c r="BM725" i="1" s="1"/>
  <c r="BM724" i="1" a="1"/>
  <c r="BM724" i="1" s="1"/>
  <c r="BM723" i="1" a="1"/>
  <c r="BM723" i="1" s="1"/>
  <c r="BM722" i="1" a="1"/>
  <c r="BM722" i="1" s="1"/>
  <c r="BM721" i="1" a="1"/>
  <c r="BM721" i="1" s="1"/>
  <c r="BM720" i="1" a="1"/>
  <c r="BM720" i="1" s="1"/>
  <c r="BM719" i="1" a="1"/>
  <c r="BM719" i="1" s="1"/>
  <c r="BM718" i="1" a="1"/>
  <c r="BM718" i="1" s="1"/>
  <c r="BM717" i="1" a="1"/>
  <c r="BM717" i="1" s="1"/>
  <c r="BM716" i="1" a="1"/>
  <c r="BM716" i="1" s="1"/>
  <c r="BM715" i="1" a="1"/>
  <c r="BM715" i="1" s="1"/>
  <c r="BM714" i="1" a="1"/>
  <c r="BM714" i="1" s="1"/>
  <c r="BM713" i="1" a="1"/>
  <c r="BM713" i="1" s="1"/>
  <c r="BM712" i="1" a="1"/>
  <c r="BM712" i="1" s="1"/>
  <c r="BM711" i="1" a="1"/>
  <c r="BM711" i="1" s="1"/>
  <c r="BM710" i="1" a="1"/>
  <c r="BM710" i="1" s="1"/>
  <c r="BM709" i="1" a="1"/>
  <c r="BM709" i="1" s="1"/>
  <c r="BM708" i="1" a="1"/>
  <c r="BM708" i="1" s="1"/>
  <c r="BM707" i="1" a="1"/>
  <c r="BM707" i="1" s="1"/>
  <c r="BM706" i="1" a="1"/>
  <c r="BM706" i="1" s="1"/>
  <c r="BM705" i="1" a="1"/>
  <c r="BM705" i="1" s="1"/>
  <c r="BM704" i="1" a="1"/>
  <c r="BM704" i="1" s="1"/>
  <c r="BM703" i="1" a="1"/>
  <c r="BM703" i="1" s="1"/>
  <c r="BM702" i="1" a="1"/>
  <c r="BM702" i="1" s="1"/>
  <c r="BM701" i="1" a="1"/>
  <c r="BM701" i="1" s="1"/>
  <c r="BM700" i="1" a="1"/>
  <c r="BM700" i="1" s="1"/>
  <c r="BM699" i="1" a="1"/>
  <c r="BM699" i="1" s="1"/>
  <c r="BM698" i="1" a="1"/>
  <c r="BM698" i="1" s="1"/>
  <c r="BM697" i="1" a="1"/>
  <c r="BM697" i="1" s="1"/>
  <c r="BM696" i="1" a="1"/>
  <c r="BM696" i="1" s="1"/>
  <c r="BM695" i="1" a="1"/>
  <c r="BM695" i="1" s="1"/>
  <c r="BM694" i="1" a="1"/>
  <c r="BM694" i="1" s="1"/>
  <c r="BM693" i="1" a="1"/>
  <c r="BM693" i="1" s="1"/>
  <c r="BM692" i="1" a="1"/>
  <c r="BM692" i="1" s="1"/>
  <c r="BM691" i="1" a="1"/>
  <c r="BM691" i="1" s="1"/>
  <c r="BM690" i="1" a="1"/>
  <c r="BM690" i="1" s="1"/>
  <c r="BM689" i="1" a="1"/>
  <c r="BM689" i="1" s="1"/>
  <c r="BM688" i="1" a="1"/>
  <c r="BM688" i="1" s="1"/>
  <c r="BM687" i="1" a="1"/>
  <c r="BM687" i="1" s="1"/>
  <c r="BM686" i="1" a="1"/>
  <c r="BM686" i="1" s="1"/>
  <c r="BM685" i="1" a="1"/>
  <c r="BM685" i="1" s="1"/>
  <c r="BM684" i="1" a="1"/>
  <c r="BM684" i="1" s="1"/>
  <c r="BM683" i="1" a="1"/>
  <c r="BM683" i="1" s="1"/>
  <c r="BM682" i="1" a="1"/>
  <c r="BM682" i="1" s="1"/>
  <c r="BM681" i="1" a="1"/>
  <c r="BM681" i="1" s="1"/>
  <c r="BM680" i="1" a="1"/>
  <c r="BM680" i="1" s="1"/>
  <c r="BM679" i="1" a="1"/>
  <c r="BM679" i="1" s="1"/>
  <c r="BM678" i="1" a="1"/>
  <c r="BM678" i="1" s="1"/>
  <c r="BM677" i="1" a="1"/>
  <c r="BM677" i="1" s="1"/>
  <c r="BM676" i="1" a="1"/>
  <c r="BM676" i="1" s="1"/>
  <c r="BM675" i="1" a="1"/>
  <c r="BM675" i="1" s="1"/>
  <c r="BM674" i="1" a="1"/>
  <c r="BM674" i="1" s="1"/>
  <c r="BM673" i="1" a="1"/>
  <c r="BM673" i="1" s="1"/>
  <c r="BM672" i="1" a="1"/>
  <c r="BM672" i="1" s="1"/>
  <c r="BM671" i="1" a="1"/>
  <c r="BM671" i="1" s="1"/>
  <c r="BM670" i="1" a="1"/>
  <c r="BM670" i="1" s="1"/>
  <c r="BM669" i="1" a="1"/>
  <c r="BM669" i="1" s="1"/>
  <c r="BM668" i="1" a="1"/>
  <c r="BM668" i="1" s="1"/>
  <c r="BM667" i="1" a="1"/>
  <c r="BM667" i="1" s="1"/>
  <c r="BM666" i="1" a="1"/>
  <c r="BM666" i="1" s="1"/>
  <c r="BM665" i="1" a="1"/>
  <c r="BM665" i="1" s="1"/>
  <c r="BM664" i="1" a="1"/>
  <c r="BM664" i="1" s="1"/>
  <c r="BM663" i="1" a="1"/>
  <c r="BM663" i="1" s="1"/>
  <c r="BM662" i="1" a="1"/>
  <c r="BM662" i="1" s="1"/>
  <c r="BM661" i="1" a="1"/>
  <c r="BM661" i="1" s="1"/>
  <c r="BM660" i="1" a="1"/>
  <c r="BM660" i="1" s="1"/>
  <c r="BM659" i="1" a="1"/>
  <c r="BM659" i="1" s="1"/>
  <c r="BM658" i="1" a="1"/>
  <c r="BM658" i="1" s="1"/>
  <c r="BM657" i="1" a="1"/>
  <c r="BM657" i="1" s="1"/>
  <c r="BM656" i="1" a="1"/>
  <c r="BM656" i="1" s="1"/>
  <c r="BM655" i="1" a="1"/>
  <c r="BM655" i="1" s="1"/>
  <c r="BM654" i="1" a="1"/>
  <c r="BM654" i="1" s="1"/>
  <c r="BM653" i="1" a="1"/>
  <c r="BM653" i="1" s="1"/>
  <c r="BM652" i="1" a="1"/>
  <c r="BM652" i="1" s="1"/>
  <c r="BM651" i="1" a="1"/>
  <c r="BM651" i="1" s="1"/>
  <c r="BM650" i="1" a="1"/>
  <c r="BM650" i="1" s="1"/>
  <c r="BM649" i="1" a="1"/>
  <c r="BM649" i="1" s="1"/>
  <c r="BM648" i="1" a="1"/>
  <c r="BM648" i="1" s="1"/>
  <c r="BM647" i="1" a="1"/>
  <c r="BM647" i="1" s="1"/>
  <c r="BM646" i="1" a="1"/>
  <c r="BM646" i="1" s="1"/>
  <c r="BM645" i="1" a="1"/>
  <c r="BM645" i="1" s="1"/>
  <c r="BM644" i="1" a="1"/>
  <c r="BM644" i="1" s="1"/>
  <c r="BM643" i="1" a="1"/>
  <c r="BM643" i="1" s="1"/>
  <c r="BM642" i="1" a="1"/>
  <c r="BM642" i="1" s="1"/>
  <c r="BM641" i="1" a="1"/>
  <c r="BM641" i="1" s="1"/>
  <c r="BM640" i="1" a="1"/>
  <c r="BM640" i="1" s="1"/>
  <c r="BM639" i="1" a="1"/>
  <c r="BM639" i="1" s="1"/>
  <c r="BM638" i="1" a="1"/>
  <c r="BM638" i="1" s="1"/>
  <c r="BM637" i="1" a="1"/>
  <c r="BM637" i="1" s="1"/>
  <c r="BM636" i="1" a="1"/>
  <c r="BM636" i="1" s="1"/>
  <c r="BM635" i="1" a="1"/>
  <c r="BM635" i="1" s="1"/>
  <c r="BM634" i="1" a="1"/>
  <c r="BM634" i="1" s="1"/>
  <c r="BM633" i="1" a="1"/>
  <c r="BM633" i="1" s="1"/>
  <c r="BM632" i="1" a="1"/>
  <c r="BM632" i="1" s="1"/>
  <c r="BM631" i="1" a="1"/>
  <c r="BM631" i="1" s="1"/>
  <c r="BM630" i="1" a="1"/>
  <c r="BM630" i="1" s="1"/>
  <c r="BM629" i="1" a="1"/>
  <c r="BM629" i="1" s="1"/>
  <c r="BM628" i="1" a="1"/>
  <c r="BM628" i="1" s="1"/>
  <c r="BM627" i="1" a="1"/>
  <c r="BM627" i="1" s="1"/>
  <c r="BM626" i="1" a="1"/>
  <c r="BM626" i="1" s="1"/>
  <c r="BM625" i="1" a="1"/>
  <c r="BM625" i="1" s="1"/>
  <c r="BM624" i="1" a="1"/>
  <c r="BM624" i="1" s="1"/>
  <c r="BM623" i="1" a="1"/>
  <c r="BM623" i="1" s="1"/>
  <c r="BM622" i="1" a="1"/>
  <c r="BM622" i="1" s="1"/>
  <c r="BM621" i="1" a="1"/>
  <c r="BM621" i="1" s="1"/>
  <c r="BM620" i="1" a="1"/>
  <c r="BM620" i="1" s="1"/>
  <c r="BM619" i="1" a="1"/>
  <c r="BM619" i="1" s="1"/>
  <c r="BM618" i="1" a="1"/>
  <c r="BM618" i="1" s="1"/>
  <c r="BM617" i="1" a="1"/>
  <c r="BM617" i="1" s="1"/>
  <c r="BM616" i="1" a="1"/>
  <c r="BM616" i="1" s="1"/>
  <c r="BM615" i="1" a="1"/>
  <c r="BM615" i="1" s="1"/>
  <c r="BM614" i="1" a="1"/>
  <c r="BM614" i="1" s="1"/>
  <c r="BM613" i="1" a="1"/>
  <c r="BM613" i="1" s="1"/>
  <c r="BM612" i="1" a="1"/>
  <c r="BM612" i="1" s="1"/>
  <c r="BM611" i="1" a="1"/>
  <c r="BM611" i="1" s="1"/>
  <c r="BM610" i="1" a="1"/>
  <c r="BM610" i="1" s="1"/>
  <c r="BM609" i="1" a="1"/>
  <c r="BM609" i="1" s="1"/>
  <c r="BM608" i="1" a="1"/>
  <c r="BM608" i="1" s="1"/>
  <c r="BM607" i="1" a="1"/>
  <c r="BM607" i="1" s="1"/>
  <c r="BM606" i="1" a="1"/>
  <c r="BM606" i="1" s="1"/>
  <c r="BM605" i="1" a="1"/>
  <c r="BM605" i="1" s="1"/>
  <c r="BM604" i="1" a="1"/>
  <c r="BM604" i="1" s="1"/>
  <c r="BM603" i="1" a="1"/>
  <c r="BM603" i="1" s="1"/>
  <c r="BM602" i="1" a="1"/>
  <c r="BM602" i="1" s="1"/>
  <c r="BM601" i="1" a="1"/>
  <c r="BM601" i="1" s="1"/>
  <c r="BM600" i="1" a="1"/>
  <c r="BM600" i="1" s="1"/>
  <c r="BM599" i="1" a="1"/>
  <c r="BM599" i="1" s="1"/>
  <c r="BM598" i="1" a="1"/>
  <c r="BM598" i="1" s="1"/>
  <c r="BM597" i="1" a="1"/>
  <c r="BM597" i="1" s="1"/>
  <c r="BM596" i="1" a="1"/>
  <c r="BM596" i="1" s="1"/>
  <c r="BM595" i="1" a="1"/>
  <c r="BM595" i="1" s="1"/>
  <c r="BM594" i="1" a="1"/>
  <c r="BM594" i="1" s="1"/>
  <c r="BM593" i="1" a="1"/>
  <c r="BM593" i="1" s="1"/>
  <c r="BM592" i="1" a="1"/>
  <c r="BM592" i="1" s="1"/>
  <c r="BM591" i="1" a="1"/>
  <c r="BM591" i="1" s="1"/>
  <c r="BM590" i="1" a="1"/>
  <c r="BM590" i="1" s="1"/>
  <c r="BM589" i="1" a="1"/>
  <c r="BM589" i="1" s="1"/>
  <c r="BM588" i="1" a="1"/>
  <c r="BM588" i="1" s="1"/>
  <c r="BM587" i="1" a="1"/>
  <c r="BM587" i="1" s="1"/>
  <c r="BM586" i="1" a="1"/>
  <c r="BM586" i="1" s="1"/>
  <c r="BM585" i="1" a="1"/>
  <c r="BM585" i="1" s="1"/>
  <c r="BM584" i="1" a="1"/>
  <c r="BM584" i="1" s="1"/>
  <c r="BM583" i="1" a="1"/>
  <c r="BM583" i="1" s="1"/>
  <c r="BM582" i="1" a="1"/>
  <c r="BM582" i="1" s="1"/>
  <c r="BM581" i="1" a="1"/>
  <c r="BM581" i="1" s="1"/>
  <c r="BM580" i="1" a="1"/>
  <c r="BM580" i="1" s="1"/>
  <c r="BM579" i="1" a="1"/>
  <c r="BM579" i="1" s="1"/>
  <c r="BM578" i="1" a="1"/>
  <c r="BM578" i="1" s="1"/>
  <c r="BM577" i="1" a="1"/>
  <c r="BM577" i="1" s="1"/>
  <c r="BM576" i="1" a="1"/>
  <c r="BM576" i="1" s="1"/>
  <c r="BM575" i="1" a="1"/>
  <c r="BM575" i="1" s="1"/>
  <c r="BM574" i="1" a="1"/>
  <c r="BM574" i="1" s="1"/>
  <c r="BM573" i="1" a="1"/>
  <c r="BM573" i="1" s="1"/>
  <c r="BM572" i="1" a="1"/>
  <c r="BM572" i="1" s="1"/>
  <c r="BM571" i="1" a="1"/>
  <c r="BM571" i="1" s="1"/>
  <c r="BM570" i="1" a="1"/>
  <c r="BM570" i="1" s="1"/>
  <c r="BM569" i="1" a="1"/>
  <c r="BM569" i="1" s="1"/>
  <c r="BM568" i="1" a="1"/>
  <c r="BM568" i="1" s="1"/>
  <c r="BM567" i="1" a="1"/>
  <c r="BM567" i="1" s="1"/>
  <c r="BM566" i="1" a="1"/>
  <c r="BM566" i="1" s="1"/>
  <c r="BM565" i="1" a="1"/>
  <c r="BM565" i="1" s="1"/>
  <c r="BM564" i="1" a="1"/>
  <c r="BM564" i="1" s="1"/>
  <c r="BM563" i="1" a="1"/>
  <c r="BM563" i="1" s="1"/>
  <c r="BM562" i="1" a="1"/>
  <c r="BM562" i="1" s="1"/>
  <c r="BM561" i="1" a="1"/>
  <c r="BM561" i="1" s="1"/>
  <c r="BM560" i="1" a="1"/>
  <c r="BM560" i="1" s="1"/>
  <c r="BM559" i="1" a="1"/>
  <c r="BM559" i="1" s="1"/>
  <c r="BM558" i="1" a="1"/>
  <c r="BM558" i="1" s="1"/>
  <c r="BM557" i="1" a="1"/>
  <c r="BM557" i="1" s="1"/>
  <c r="BM556" i="1" a="1"/>
  <c r="BM556" i="1" s="1"/>
  <c r="BM555" i="1" a="1"/>
  <c r="BM555" i="1" s="1"/>
  <c r="BM554" i="1" a="1"/>
  <c r="BM554" i="1" s="1"/>
  <c r="BM553" i="1" a="1"/>
  <c r="BM553" i="1" s="1"/>
  <c r="BM552" i="1" a="1"/>
  <c r="BM552" i="1" s="1"/>
  <c r="BM551" i="1" a="1"/>
  <c r="BM551" i="1" s="1"/>
  <c r="BM550" i="1" a="1"/>
  <c r="BM550" i="1" s="1"/>
  <c r="BM549" i="1" a="1"/>
  <c r="BM549" i="1" s="1"/>
  <c r="BM548" i="1" a="1"/>
  <c r="BM548" i="1" s="1"/>
  <c r="BM547" i="1" a="1"/>
  <c r="BM547" i="1" s="1"/>
  <c r="BM546" i="1" a="1"/>
  <c r="BM546" i="1" s="1"/>
  <c r="BM545" i="1" a="1"/>
  <c r="BM545" i="1" s="1"/>
  <c r="BM544" i="1" a="1"/>
  <c r="BM544" i="1" s="1"/>
  <c r="BM543" i="1" a="1"/>
  <c r="BM543" i="1" s="1"/>
  <c r="BM542" i="1" a="1"/>
  <c r="BM542" i="1" s="1"/>
  <c r="BM541" i="1" a="1"/>
  <c r="BM541" i="1" s="1"/>
  <c r="BM540" i="1" a="1"/>
  <c r="BM540" i="1" s="1"/>
  <c r="BM539" i="1" a="1"/>
  <c r="BM539" i="1" s="1"/>
  <c r="BM538" i="1" a="1"/>
  <c r="BM538" i="1" s="1"/>
  <c r="BM537" i="1" a="1"/>
  <c r="BM537" i="1" s="1"/>
  <c r="BM536" i="1" a="1"/>
  <c r="BM536" i="1" s="1"/>
  <c r="BM535" i="1" a="1"/>
  <c r="BM535" i="1" s="1"/>
  <c r="BM534" i="1" a="1"/>
  <c r="BM534" i="1" s="1"/>
  <c r="BM533" i="1" a="1"/>
  <c r="BM533" i="1" s="1"/>
  <c r="BM532" i="1" a="1"/>
  <c r="BM532" i="1" s="1"/>
  <c r="BM531" i="1" a="1"/>
  <c r="BM531" i="1" s="1"/>
  <c r="BM530" i="1" a="1"/>
  <c r="BM530" i="1" s="1"/>
  <c r="BM529" i="1" a="1"/>
  <c r="BM529" i="1" s="1"/>
  <c r="BM528" i="1" a="1"/>
  <c r="BM528" i="1" s="1"/>
  <c r="BM527" i="1" a="1"/>
  <c r="BM527" i="1" s="1"/>
  <c r="BM526" i="1" a="1"/>
  <c r="BM526" i="1" s="1"/>
  <c r="BM525" i="1" a="1"/>
  <c r="BM525" i="1" s="1"/>
  <c r="BM524" i="1" a="1"/>
  <c r="BM524" i="1" s="1"/>
  <c r="BM523" i="1" a="1"/>
  <c r="BM523" i="1" s="1"/>
  <c r="BM522" i="1" a="1"/>
  <c r="BM522" i="1" s="1"/>
  <c r="BM521" i="1" a="1"/>
  <c r="BM521" i="1" s="1"/>
  <c r="BM520" i="1" a="1"/>
  <c r="BM520" i="1" s="1"/>
  <c r="BM519" i="1" a="1"/>
  <c r="BM519" i="1" s="1"/>
  <c r="BM518" i="1" a="1"/>
  <c r="BM518" i="1" s="1"/>
  <c r="BM517" i="1" a="1"/>
  <c r="BM517" i="1" s="1"/>
  <c r="BM516" i="1" a="1"/>
  <c r="BM516" i="1" s="1"/>
  <c r="BM515" i="1" a="1"/>
  <c r="BM515" i="1" s="1"/>
  <c r="BM514" i="1" a="1"/>
  <c r="BM514" i="1" s="1"/>
  <c r="BM513" i="1" a="1"/>
  <c r="BM513" i="1" s="1"/>
  <c r="BM512" i="1" a="1"/>
  <c r="BM512" i="1" s="1"/>
  <c r="BM511" i="1" a="1"/>
  <c r="BM511" i="1" s="1"/>
  <c r="BM510" i="1" a="1"/>
  <c r="BM510" i="1" s="1"/>
  <c r="BM509" i="1" a="1"/>
  <c r="BM509" i="1" s="1"/>
  <c r="BM508" i="1" a="1"/>
  <c r="BM508" i="1" s="1"/>
  <c r="BM507" i="1" a="1"/>
  <c r="BM507" i="1" s="1"/>
  <c r="BM506" i="1" a="1"/>
  <c r="BM506" i="1" s="1"/>
  <c r="BM505" i="1" a="1"/>
  <c r="BM505" i="1" s="1"/>
  <c r="BM504" i="1" a="1"/>
  <c r="BM504" i="1" s="1"/>
  <c r="BM503" i="1" a="1"/>
  <c r="BM503" i="1" s="1"/>
  <c r="BM502" i="1" a="1"/>
  <c r="BM502" i="1" s="1"/>
  <c r="BM501" i="1" a="1"/>
  <c r="BM501" i="1" s="1"/>
  <c r="BM500" i="1" a="1"/>
  <c r="BM500" i="1" s="1"/>
  <c r="BM499" i="1" a="1"/>
  <c r="BM499" i="1" s="1"/>
  <c r="BM498" i="1" a="1"/>
  <c r="BM498" i="1" s="1"/>
  <c r="BM497" i="1" a="1"/>
  <c r="BM497" i="1" s="1"/>
  <c r="BM496" i="1" a="1"/>
  <c r="BM496" i="1" s="1"/>
  <c r="BM495" i="1" a="1"/>
  <c r="BM495" i="1" s="1"/>
  <c r="BM494" i="1" a="1"/>
  <c r="BM494" i="1" s="1"/>
  <c r="BM493" i="1" a="1"/>
  <c r="BM493" i="1" s="1"/>
  <c r="BM492" i="1" a="1"/>
  <c r="BM492" i="1" s="1"/>
  <c r="BM491" i="1" a="1"/>
  <c r="BM491" i="1" s="1"/>
  <c r="BM490" i="1" a="1"/>
  <c r="BM490" i="1" s="1"/>
  <c r="BM489" i="1" a="1"/>
  <c r="BM489" i="1" s="1"/>
  <c r="BM488" i="1" a="1"/>
  <c r="BM488" i="1" s="1"/>
  <c r="BM487" i="1" a="1"/>
  <c r="BM487" i="1" s="1"/>
  <c r="BM486" i="1" a="1"/>
  <c r="BM486" i="1" s="1"/>
  <c r="BM485" i="1" a="1"/>
  <c r="BM485" i="1" s="1"/>
  <c r="BM484" i="1" a="1"/>
  <c r="BM484" i="1" s="1"/>
  <c r="BM483" i="1" a="1"/>
  <c r="BM483" i="1" s="1"/>
  <c r="BM482" i="1" a="1"/>
  <c r="BM482" i="1" s="1"/>
  <c r="BM481" i="1" a="1"/>
  <c r="BM481" i="1" s="1"/>
  <c r="BM480" i="1" a="1"/>
  <c r="BM480" i="1" s="1"/>
  <c r="BM479" i="1" a="1"/>
  <c r="BM479" i="1" s="1"/>
  <c r="BM478" i="1" a="1"/>
  <c r="BM478" i="1" s="1"/>
  <c r="BM477" i="1" a="1"/>
  <c r="BM477" i="1" s="1"/>
  <c r="BM476" i="1" a="1"/>
  <c r="BM476" i="1" s="1"/>
  <c r="BM475" i="1" a="1"/>
  <c r="BM475" i="1" s="1"/>
  <c r="BM474" i="1" a="1"/>
  <c r="BM474" i="1" s="1"/>
  <c r="BM473" i="1" a="1"/>
  <c r="BM473" i="1" s="1"/>
  <c r="BM472" i="1" a="1"/>
  <c r="BM472" i="1" s="1"/>
  <c r="BM471" i="1" a="1"/>
  <c r="BM471" i="1" s="1"/>
  <c r="BM470" i="1" a="1"/>
  <c r="BM470" i="1" s="1"/>
  <c r="BM469" i="1" a="1"/>
  <c r="BM469" i="1" s="1"/>
  <c r="BM468" i="1" a="1"/>
  <c r="BM468" i="1" s="1"/>
  <c r="BM467" i="1" a="1"/>
  <c r="BM467" i="1" s="1"/>
  <c r="BM466" i="1" a="1"/>
  <c r="BM466" i="1" s="1"/>
  <c r="BM465" i="1" a="1"/>
  <c r="BM465" i="1" s="1"/>
  <c r="BM464" i="1" a="1"/>
  <c r="BM464" i="1" s="1"/>
  <c r="BM463" i="1" a="1"/>
  <c r="BM463" i="1" s="1"/>
  <c r="BM462" i="1" a="1"/>
  <c r="BM462" i="1" s="1"/>
  <c r="BM461" i="1" a="1"/>
  <c r="BM461" i="1" s="1"/>
  <c r="BM460" i="1" a="1"/>
  <c r="BM460" i="1" s="1"/>
  <c r="BM459" i="1" a="1"/>
  <c r="BM459" i="1" s="1"/>
  <c r="BM458" i="1" a="1"/>
  <c r="BM458" i="1" s="1"/>
  <c r="BM457" i="1" a="1"/>
  <c r="BM457" i="1" s="1"/>
  <c r="BM456" i="1" a="1"/>
  <c r="BM456" i="1" s="1"/>
  <c r="BM455" i="1" a="1"/>
  <c r="BM455" i="1" s="1"/>
  <c r="BM454" i="1" a="1"/>
  <c r="BM454" i="1" s="1"/>
  <c r="BM453" i="1" a="1"/>
  <c r="BM453" i="1" s="1"/>
  <c r="BM452" i="1" a="1"/>
  <c r="BM452" i="1" s="1"/>
  <c r="BM451" i="1" a="1"/>
  <c r="BM451" i="1" s="1"/>
  <c r="BM450" i="1" a="1"/>
  <c r="BM450" i="1" s="1"/>
  <c r="BM449" i="1" a="1"/>
  <c r="BM449" i="1" s="1"/>
  <c r="BM448" i="1" a="1"/>
  <c r="BM448" i="1" s="1"/>
  <c r="BM447" i="1" a="1"/>
  <c r="BM447" i="1" s="1"/>
  <c r="BM446" i="1" a="1"/>
  <c r="BM446" i="1" s="1"/>
  <c r="BM445" i="1" a="1"/>
  <c r="BM445" i="1" s="1"/>
  <c r="BM444" i="1" a="1"/>
  <c r="BM444" i="1" s="1"/>
  <c r="BM443" i="1" a="1"/>
  <c r="BM443" i="1" s="1"/>
  <c r="BM442" i="1" a="1"/>
  <c r="BM442" i="1" s="1"/>
  <c r="BM441" i="1" a="1"/>
  <c r="BM441" i="1" s="1"/>
  <c r="BM440" i="1" a="1"/>
  <c r="BM440" i="1" s="1"/>
  <c r="BM439" i="1" a="1"/>
  <c r="BM439" i="1" s="1"/>
  <c r="BM438" i="1" a="1"/>
  <c r="BM438" i="1" s="1"/>
  <c r="BM437" i="1" a="1"/>
  <c r="BM437" i="1" s="1"/>
  <c r="BM436" i="1" a="1"/>
  <c r="BM436" i="1" s="1"/>
  <c r="BM435" i="1" a="1"/>
  <c r="BM435" i="1" s="1"/>
  <c r="BM434" i="1" a="1"/>
  <c r="BM434" i="1" s="1"/>
  <c r="BM433" i="1" a="1"/>
  <c r="BM433" i="1" s="1"/>
  <c r="BM432" i="1" a="1"/>
  <c r="BM432" i="1" s="1"/>
  <c r="BM431" i="1" a="1"/>
  <c r="BM431" i="1" s="1"/>
  <c r="BM430" i="1" a="1"/>
  <c r="BM430" i="1" s="1"/>
  <c r="BM429" i="1" a="1"/>
  <c r="BM429" i="1" s="1"/>
  <c r="BM428" i="1" a="1"/>
  <c r="BM428" i="1" s="1"/>
  <c r="BM427" i="1" a="1"/>
  <c r="BM427" i="1" s="1"/>
  <c r="BM426" i="1" a="1"/>
  <c r="BM426" i="1" s="1"/>
  <c r="BM425" i="1" a="1"/>
  <c r="BM425" i="1" s="1"/>
  <c r="BM424" i="1" a="1"/>
  <c r="BM424" i="1" s="1"/>
  <c r="BM423" i="1" a="1"/>
  <c r="BM423" i="1" s="1"/>
  <c r="BM422" i="1" a="1"/>
  <c r="BM422" i="1" s="1"/>
  <c r="BM421" i="1" a="1"/>
  <c r="BM421" i="1" s="1"/>
  <c r="BM420" i="1" a="1"/>
  <c r="BM420" i="1" s="1"/>
  <c r="BM419" i="1" a="1"/>
  <c r="BM419" i="1" s="1"/>
  <c r="BM418" i="1" a="1"/>
  <c r="BM418" i="1" s="1"/>
  <c r="BM417" i="1" a="1"/>
  <c r="BM417" i="1" s="1"/>
  <c r="BM416" i="1" a="1"/>
  <c r="BM416" i="1" s="1"/>
  <c r="BM415" i="1" a="1"/>
  <c r="BM415" i="1" s="1"/>
  <c r="BM414" i="1" a="1"/>
  <c r="BM414" i="1" s="1"/>
  <c r="BM413" i="1" a="1"/>
  <c r="BM413" i="1" s="1"/>
  <c r="BM412" i="1" a="1"/>
  <c r="BM412" i="1" s="1"/>
  <c r="BM411" i="1" a="1"/>
  <c r="BM411" i="1" s="1"/>
  <c r="BM410" i="1" a="1"/>
  <c r="BM410" i="1" s="1"/>
  <c r="BM409" i="1" a="1"/>
  <c r="BM409" i="1" s="1"/>
  <c r="BM408" i="1" a="1"/>
  <c r="BM408" i="1" s="1"/>
  <c r="BM407" i="1" a="1"/>
  <c r="BM407" i="1" s="1"/>
  <c r="BM406" i="1" a="1"/>
  <c r="BM406" i="1" s="1"/>
  <c r="BM405" i="1" a="1"/>
  <c r="BM405" i="1" s="1"/>
  <c r="BM404" i="1" a="1"/>
  <c r="BM404" i="1" s="1"/>
  <c r="BM403" i="1" a="1"/>
  <c r="BM403" i="1" s="1"/>
  <c r="BM402" i="1" a="1"/>
  <c r="BM402" i="1" s="1"/>
  <c r="BM401" i="1" a="1"/>
  <c r="BM401" i="1" s="1"/>
  <c r="BM400" i="1" a="1"/>
  <c r="BM400" i="1" s="1"/>
  <c r="BM399" i="1" a="1"/>
  <c r="BM399" i="1" s="1"/>
  <c r="BM398" i="1" a="1"/>
  <c r="BM398" i="1" s="1"/>
  <c r="BM397" i="1" a="1"/>
  <c r="BM397" i="1" s="1"/>
  <c r="BM396" i="1" a="1"/>
  <c r="BM396" i="1" s="1"/>
  <c r="BM395" i="1" a="1"/>
  <c r="BM395" i="1" s="1"/>
  <c r="BM394" i="1" a="1"/>
  <c r="BM394" i="1" s="1"/>
  <c r="BM393" i="1" a="1"/>
  <c r="BM393" i="1" s="1"/>
  <c r="BM392" i="1" a="1"/>
  <c r="BM392" i="1" s="1"/>
  <c r="BM391" i="1" a="1"/>
  <c r="BM391" i="1" s="1"/>
  <c r="BM390" i="1" a="1"/>
  <c r="BM390" i="1" s="1"/>
  <c r="BM389" i="1" a="1"/>
  <c r="BM389" i="1" s="1"/>
  <c r="BM388" i="1" a="1"/>
  <c r="BM388" i="1" s="1"/>
  <c r="BM387" i="1" a="1"/>
  <c r="BM387" i="1" s="1"/>
  <c r="BM386" i="1" a="1"/>
  <c r="BM386" i="1" s="1"/>
  <c r="BM385" i="1" a="1"/>
  <c r="BM385" i="1" s="1"/>
  <c r="BM384" i="1" a="1"/>
  <c r="BM384" i="1" s="1"/>
  <c r="BM383" i="1" a="1"/>
  <c r="BM383" i="1" s="1"/>
  <c r="BM382" i="1" a="1"/>
  <c r="BM382" i="1" s="1"/>
  <c r="BM381" i="1" a="1"/>
  <c r="BM381" i="1" s="1"/>
  <c r="BM380" i="1" a="1"/>
  <c r="BM380" i="1" s="1"/>
  <c r="BM379" i="1" a="1"/>
  <c r="BM379" i="1" s="1"/>
  <c r="BM378" i="1" a="1"/>
  <c r="BM378" i="1" s="1"/>
  <c r="BM377" i="1" a="1"/>
  <c r="BM377" i="1" s="1"/>
  <c r="BM376" i="1" a="1"/>
  <c r="BM376" i="1" s="1"/>
  <c r="BM375" i="1" a="1"/>
  <c r="BM375" i="1" s="1"/>
  <c r="BM374" i="1" a="1"/>
  <c r="BM374" i="1" s="1"/>
  <c r="BM373" i="1" a="1"/>
  <c r="BM373" i="1" s="1"/>
  <c r="BM372" i="1" a="1"/>
  <c r="BM372" i="1" s="1"/>
  <c r="BM371" i="1" a="1"/>
  <c r="BM371" i="1" s="1"/>
  <c r="BM370" i="1" a="1"/>
  <c r="BM370" i="1" s="1"/>
  <c r="BM369" i="1" a="1"/>
  <c r="BM369" i="1" s="1"/>
  <c r="BM368" i="1" a="1"/>
  <c r="BM368" i="1" s="1"/>
  <c r="BM367" i="1" a="1"/>
  <c r="BM367" i="1" s="1"/>
  <c r="BM366" i="1" a="1"/>
  <c r="BM366" i="1" s="1"/>
  <c r="BM365" i="1" a="1"/>
  <c r="BM365" i="1" s="1"/>
  <c r="BM364" i="1" a="1"/>
  <c r="BM364" i="1" s="1"/>
  <c r="BM363" i="1" a="1"/>
  <c r="BM363" i="1" s="1"/>
  <c r="BM362" i="1" a="1"/>
  <c r="BM362" i="1" s="1"/>
  <c r="BM361" i="1" a="1"/>
  <c r="BM361" i="1" s="1"/>
  <c r="BM360" i="1" a="1"/>
  <c r="BM360" i="1" s="1"/>
  <c r="BM359" i="1" a="1"/>
  <c r="BM359" i="1" s="1"/>
  <c r="BM358" i="1" a="1"/>
  <c r="BM358" i="1" s="1"/>
  <c r="BM357" i="1" a="1"/>
  <c r="BM357" i="1" s="1"/>
  <c r="BM356" i="1" a="1"/>
  <c r="BM356" i="1" s="1"/>
  <c r="BM355" i="1" a="1"/>
  <c r="BM355" i="1" s="1"/>
  <c r="BM354" i="1" a="1"/>
  <c r="BM354" i="1" s="1"/>
  <c r="BM353" i="1" a="1"/>
  <c r="BM353" i="1" s="1"/>
  <c r="BM352" i="1" a="1"/>
  <c r="BM352" i="1" s="1"/>
  <c r="BM351" i="1" a="1"/>
  <c r="BM351" i="1" s="1"/>
  <c r="BM350" i="1" a="1"/>
  <c r="BM350" i="1" s="1"/>
  <c r="BM349" i="1" a="1"/>
  <c r="BM349" i="1" s="1"/>
  <c r="BM348" i="1" a="1"/>
  <c r="BM348" i="1" s="1"/>
  <c r="BM347" i="1" a="1"/>
  <c r="BM347" i="1" s="1"/>
  <c r="BM346" i="1" a="1"/>
  <c r="BM346" i="1" s="1"/>
  <c r="BM345" i="1" a="1"/>
  <c r="BM345" i="1" s="1"/>
  <c r="BM344" i="1" a="1"/>
  <c r="BM344" i="1" s="1"/>
  <c r="BM343" i="1" a="1"/>
  <c r="BM343" i="1" s="1"/>
  <c r="BM342" i="1" a="1"/>
  <c r="BM342" i="1" s="1"/>
  <c r="BM341" i="1" a="1"/>
  <c r="BM341" i="1" s="1"/>
  <c r="BM340" i="1" a="1"/>
  <c r="BM340" i="1" s="1"/>
  <c r="BM339" i="1" a="1"/>
  <c r="BM339" i="1" s="1"/>
  <c r="BM338" i="1" a="1"/>
  <c r="BM338" i="1" s="1"/>
  <c r="BM337" i="1" a="1"/>
  <c r="BM337" i="1" s="1"/>
  <c r="BM336" i="1" a="1"/>
  <c r="BM336" i="1" s="1"/>
  <c r="BM335" i="1" a="1"/>
  <c r="BM335" i="1" s="1"/>
  <c r="BM334" i="1" a="1"/>
  <c r="BM334" i="1" s="1"/>
  <c r="BM333" i="1" a="1"/>
  <c r="BM333" i="1" s="1"/>
  <c r="BM332" i="1" a="1"/>
  <c r="BM332" i="1" s="1"/>
  <c r="BM331" i="1" a="1"/>
  <c r="BM331" i="1" s="1"/>
  <c r="BM330" i="1" a="1"/>
  <c r="BM330" i="1" s="1"/>
  <c r="BM329" i="1" a="1"/>
  <c r="BM329" i="1" s="1"/>
  <c r="BM328" i="1" a="1"/>
  <c r="BM328" i="1" s="1"/>
  <c r="BM327" i="1" a="1"/>
  <c r="BM327" i="1" s="1"/>
  <c r="BM326" i="1" a="1"/>
  <c r="BM326" i="1" s="1"/>
  <c r="BM325" i="1" a="1"/>
  <c r="BM325" i="1" s="1"/>
  <c r="BM324" i="1" a="1"/>
  <c r="BM324" i="1" s="1"/>
  <c r="BM323" i="1" a="1"/>
  <c r="BM323" i="1" s="1"/>
  <c r="BM322" i="1" a="1"/>
  <c r="BM322" i="1" s="1"/>
  <c r="BM321" i="1" a="1"/>
  <c r="BM321" i="1" s="1"/>
  <c r="BM320" i="1" a="1"/>
  <c r="BM320" i="1" s="1"/>
  <c r="BM319" i="1" a="1"/>
  <c r="BM319" i="1" s="1"/>
  <c r="BM318" i="1" a="1"/>
  <c r="BM318" i="1" s="1"/>
  <c r="BM317" i="1" a="1"/>
  <c r="BM317" i="1" s="1"/>
  <c r="BM316" i="1" a="1"/>
  <c r="BM316" i="1" s="1"/>
  <c r="BM315" i="1" a="1"/>
  <c r="BM315" i="1" s="1"/>
  <c r="BM314" i="1" a="1"/>
  <c r="BM314" i="1" s="1"/>
  <c r="BM313" i="1" a="1"/>
  <c r="BM313" i="1" s="1"/>
  <c r="BM312" i="1" a="1"/>
  <c r="BM312" i="1" s="1"/>
  <c r="BM311" i="1" a="1"/>
  <c r="BM311" i="1" s="1"/>
  <c r="BM310" i="1" a="1"/>
  <c r="BM310" i="1" s="1"/>
  <c r="BM309" i="1" a="1"/>
  <c r="BM309" i="1" s="1"/>
  <c r="BM308" i="1" a="1"/>
  <c r="BM308" i="1" s="1"/>
  <c r="BM307" i="1" a="1"/>
  <c r="BM307" i="1" s="1"/>
  <c r="BM306" i="1" a="1"/>
  <c r="BM306" i="1" s="1"/>
  <c r="BM305" i="1" a="1"/>
  <c r="BM305" i="1" s="1"/>
  <c r="BM304" i="1" a="1"/>
  <c r="BM304" i="1" s="1"/>
  <c r="BM303" i="1" a="1"/>
  <c r="BM303" i="1" s="1"/>
  <c r="BM302" i="1" a="1"/>
  <c r="BM302" i="1" s="1"/>
  <c r="BM301" i="1" a="1"/>
  <c r="BM301" i="1" s="1"/>
  <c r="BM300" i="1" a="1"/>
  <c r="BM300" i="1" s="1"/>
  <c r="BM299" i="1" a="1"/>
  <c r="BM299" i="1" s="1"/>
  <c r="BM298" i="1" a="1"/>
  <c r="BM298" i="1" s="1"/>
  <c r="BM297" i="1" a="1"/>
  <c r="BM297" i="1" s="1"/>
  <c r="BM296" i="1" a="1"/>
  <c r="BM296" i="1" s="1"/>
  <c r="BM295" i="1" a="1"/>
  <c r="BM295" i="1" s="1"/>
  <c r="BM294" i="1" a="1"/>
  <c r="BM294" i="1" s="1"/>
  <c r="BM293" i="1" a="1"/>
  <c r="BM293" i="1" s="1"/>
  <c r="BM292" i="1" a="1"/>
  <c r="BM292" i="1" s="1"/>
  <c r="BM291" i="1" a="1"/>
  <c r="BM291" i="1" s="1"/>
  <c r="BM290" i="1" a="1"/>
  <c r="BM290" i="1" s="1"/>
  <c r="BM289" i="1" a="1"/>
  <c r="BM289" i="1" s="1"/>
  <c r="BM288" i="1" a="1"/>
  <c r="BM288" i="1" s="1"/>
  <c r="BM98" i="1" a="1"/>
  <c r="BM98" i="1" s="1"/>
  <c r="BM97" i="1" a="1"/>
  <c r="BM97" i="1" s="1"/>
  <c r="BM96" i="1" a="1"/>
  <c r="BM96" i="1" s="1"/>
  <c r="BM95" i="1" a="1"/>
  <c r="BM95" i="1" s="1"/>
  <c r="BM94" i="1" a="1"/>
  <c r="BM94" i="1" s="1"/>
  <c r="BM93" i="1" a="1"/>
  <c r="BM93" i="1" s="1"/>
  <c r="BM92" i="1" a="1"/>
  <c r="BM92" i="1" s="1"/>
  <c r="BM91" i="1" a="1"/>
  <c r="BM91" i="1" s="1"/>
  <c r="BM90" i="1" a="1"/>
  <c r="BM90" i="1" s="1"/>
  <c r="BM89" i="1" a="1"/>
  <c r="BM89" i="1" s="1"/>
  <c r="BM88" i="1" a="1"/>
  <c r="BM88" i="1" s="1"/>
  <c r="BM87" i="1" a="1"/>
  <c r="BM87" i="1" s="1"/>
  <c r="BM86" i="1" a="1"/>
  <c r="BM86" i="1" s="1"/>
  <c r="BM85" i="1" a="1"/>
  <c r="BM85" i="1" s="1"/>
  <c r="BM84" i="1" a="1"/>
  <c r="BM84" i="1" s="1"/>
  <c r="BM83" i="1" a="1"/>
  <c r="BM83" i="1" s="1"/>
  <c r="BM82" i="1" a="1"/>
  <c r="BM82" i="1" s="1"/>
  <c r="BM81" i="1" a="1"/>
  <c r="BM81" i="1" s="1"/>
  <c r="BM80" i="1" a="1"/>
  <c r="BM80" i="1" s="1"/>
  <c r="BM79" i="1" a="1"/>
  <c r="BM79" i="1" s="1"/>
  <c r="BM78" i="1" a="1"/>
  <c r="BM78" i="1" s="1"/>
  <c r="BM77" i="1" a="1"/>
  <c r="BM77" i="1" s="1"/>
  <c r="BM76" i="1" a="1"/>
  <c r="BM76" i="1" s="1"/>
  <c r="BM75" i="1" a="1"/>
  <c r="BM75" i="1" s="1"/>
  <c r="BM74" i="1" a="1"/>
  <c r="BM74" i="1" s="1"/>
  <c r="BM73" i="1" a="1"/>
  <c r="BM73" i="1" s="1"/>
  <c r="BM72" i="1" a="1"/>
  <c r="BM72" i="1" s="1"/>
  <c r="BM71" i="1" a="1"/>
  <c r="BM71" i="1" s="1"/>
  <c r="BM70" i="1" a="1"/>
  <c r="BM70" i="1" s="1"/>
  <c r="BM69" i="1" a="1"/>
  <c r="BM69" i="1" s="1"/>
  <c r="BM68" i="1" a="1"/>
  <c r="BM68" i="1" s="1"/>
  <c r="BM67" i="1" a="1"/>
  <c r="BM67" i="1" s="1"/>
  <c r="BM66" i="1" a="1"/>
  <c r="BM66" i="1" s="1"/>
  <c r="BM65" i="1" a="1"/>
  <c r="BM65" i="1" s="1"/>
  <c r="BM64" i="1" a="1"/>
  <c r="BM64" i="1" s="1"/>
  <c r="BM63" i="1" a="1"/>
  <c r="BM63" i="1" s="1"/>
  <c r="BM62" i="1" a="1"/>
  <c r="BM62" i="1" s="1"/>
  <c r="BM61" i="1" a="1"/>
  <c r="BM61" i="1" s="1"/>
  <c r="BM60" i="1" a="1"/>
  <c r="BM60" i="1" s="1"/>
  <c r="BM59" i="1" a="1"/>
  <c r="BM59" i="1" s="1"/>
  <c r="BM58" i="1" a="1"/>
  <c r="BM58" i="1" s="1"/>
  <c r="BM57" i="1" a="1"/>
  <c r="BM57" i="1" s="1"/>
  <c r="BM56" i="1" a="1"/>
  <c r="BM56" i="1" s="1"/>
  <c r="BM55" i="1" a="1"/>
  <c r="BM55" i="1" s="1"/>
  <c r="BM54" i="1" a="1"/>
  <c r="BM54" i="1" s="1"/>
  <c r="BM53" i="1" a="1"/>
  <c r="BM53" i="1" s="1"/>
  <c r="BM52" i="1" a="1"/>
  <c r="BM52" i="1" s="1"/>
  <c r="BM51" i="1" a="1"/>
  <c r="BM51" i="1" s="1"/>
  <c r="BM50" i="1" a="1"/>
  <c r="BM50" i="1" s="1"/>
  <c r="BM49" i="1" a="1"/>
  <c r="BM49" i="1" s="1"/>
  <c r="BM48" i="1" a="1"/>
  <c r="BM48" i="1" s="1"/>
  <c r="BM47" i="1" a="1"/>
  <c r="BM47" i="1" s="1"/>
  <c r="BM13" i="1" a="1"/>
  <c r="BM13" i="1" s="1"/>
  <c r="BM12" i="1" a="1"/>
  <c r="BM12" i="1" s="1"/>
  <c r="BM11" i="1" a="1"/>
  <c r="BM11" i="1" s="1"/>
  <c r="BM10" i="1" a="1"/>
  <c r="BM10" i="1" s="1"/>
  <c r="BM9" i="1" a="1"/>
  <c r="BM9" i="1" s="1"/>
  <c r="BM8" i="1" a="1"/>
  <c r="BM8" i="1" s="1"/>
  <c r="BM7" i="1" a="1"/>
  <c r="BM7" i="1" s="1"/>
  <c r="BM6" i="1" a="1"/>
  <c r="BM6" i="1" s="1"/>
  <c r="BM5" i="1" a="1"/>
  <c r="BM5" i="1" s="1"/>
  <c r="BM4" i="1" a="1"/>
  <c r="BM4" i="1" s="1"/>
  <c r="BM3" i="1" a="1"/>
  <c r="BM3" i="1" s="1"/>
  <c r="K1402" i="1"/>
  <c r="N1402" i="1" s="1"/>
  <c r="L1402" i="1"/>
  <c r="M1402" i="1"/>
  <c r="Q1402" i="1" a="1"/>
  <c r="Q1402" i="1" s="1"/>
  <c r="AS1402" i="1" s="1"/>
  <c r="AK1402" i="1" a="1"/>
  <c r="AK1402" i="1" s="1"/>
  <c r="AU1402" i="1"/>
  <c r="BD1402" i="1"/>
  <c r="K1403" i="1"/>
  <c r="N1403" i="1" s="1"/>
  <c r="L1403" i="1"/>
  <c r="M1403" i="1"/>
  <c r="Q1403" i="1" a="1"/>
  <c r="Q1403" i="1" s="1"/>
  <c r="AS1403" i="1" s="1"/>
  <c r="AK1403" i="1" a="1"/>
  <c r="AK1403" i="1" s="1"/>
  <c r="AU1403" i="1"/>
  <c r="BD1403" i="1"/>
  <c r="K1404" i="1"/>
  <c r="N1404" i="1" s="1"/>
  <c r="L1404" i="1"/>
  <c r="M1404" i="1"/>
  <c r="Q1404" i="1" a="1"/>
  <c r="Q1404" i="1" s="1"/>
  <c r="AS1404" i="1" s="1"/>
  <c r="AK1404" i="1" a="1"/>
  <c r="AK1404" i="1" s="1"/>
  <c r="AU1404" i="1"/>
  <c r="BD1404" i="1"/>
  <c r="K1405" i="1"/>
  <c r="N1405" i="1" s="1"/>
  <c r="L1405" i="1"/>
  <c r="M1405" i="1"/>
  <c r="Q1405" i="1" a="1"/>
  <c r="Q1405" i="1" s="1"/>
  <c r="AS1405" i="1" s="1"/>
  <c r="AK1405" i="1" a="1"/>
  <c r="AK1405" i="1" s="1"/>
  <c r="AU1405" i="1"/>
  <c r="BD1405" i="1"/>
  <c r="K1406" i="1"/>
  <c r="N1406" i="1" s="1"/>
  <c r="L1406" i="1"/>
  <c r="M1406" i="1"/>
  <c r="Q1406" i="1" a="1"/>
  <c r="Q1406" i="1" s="1"/>
  <c r="AS1406" i="1" s="1"/>
  <c r="AK1406" i="1" a="1"/>
  <c r="AK1406" i="1" s="1"/>
  <c r="AU1406" i="1"/>
  <c r="BD1406" i="1"/>
  <c r="K1407" i="1"/>
  <c r="N1407" i="1" s="1"/>
  <c r="L1407" i="1"/>
  <c r="M1407" i="1"/>
  <c r="Q1407" i="1" a="1"/>
  <c r="Q1407" i="1" s="1"/>
  <c r="AS1407" i="1" s="1"/>
  <c r="AK1407" i="1" a="1"/>
  <c r="AK1407" i="1" s="1"/>
  <c r="AU1407" i="1"/>
  <c r="BD1407" i="1"/>
  <c r="K1408" i="1"/>
  <c r="N1408" i="1" s="1"/>
  <c r="L1408" i="1"/>
  <c r="M1408" i="1"/>
  <c r="Q1408" i="1" a="1"/>
  <c r="Q1408" i="1" s="1"/>
  <c r="AS1408" i="1" s="1"/>
  <c r="AK1408" i="1" a="1"/>
  <c r="AK1408" i="1" s="1"/>
  <c r="AU1408" i="1"/>
  <c r="BD1408" i="1"/>
  <c r="K1409" i="1"/>
  <c r="N1409" i="1" s="1"/>
  <c r="L1409" i="1"/>
  <c r="M1409" i="1"/>
  <c r="Q1409" i="1" a="1"/>
  <c r="Q1409" i="1" s="1"/>
  <c r="AS1409" i="1" s="1"/>
  <c r="AK1409" i="1" a="1"/>
  <c r="AK1409" i="1" s="1"/>
  <c r="AU1409" i="1"/>
  <c r="BD1409" i="1"/>
  <c r="K1410" i="1"/>
  <c r="N1410" i="1" s="1"/>
  <c r="L1410" i="1"/>
  <c r="M1410" i="1"/>
  <c r="Q1410" i="1" a="1"/>
  <c r="Q1410" i="1" s="1"/>
  <c r="AS1410" i="1" s="1"/>
  <c r="AK1410" i="1" a="1"/>
  <c r="AK1410" i="1" s="1"/>
  <c r="AU1410" i="1"/>
  <c r="BD1410" i="1"/>
  <c r="K1411" i="1"/>
  <c r="N1411" i="1" s="1"/>
  <c r="L1411" i="1"/>
  <c r="M1411" i="1"/>
  <c r="Q1411" i="1" a="1"/>
  <c r="Q1411" i="1" s="1"/>
  <c r="AS1411" i="1" s="1"/>
  <c r="AK1411" i="1" a="1"/>
  <c r="AK1411" i="1" s="1"/>
  <c r="AU1411" i="1"/>
  <c r="BD1411" i="1"/>
  <c r="K1412" i="1"/>
  <c r="N1412" i="1" s="1"/>
  <c r="L1412" i="1"/>
  <c r="M1412" i="1"/>
  <c r="Q1412" i="1" a="1"/>
  <c r="Q1412" i="1" s="1"/>
  <c r="AS1412" i="1" s="1"/>
  <c r="AK1412" i="1" a="1"/>
  <c r="AK1412" i="1" s="1"/>
  <c r="AU1412" i="1"/>
  <c r="BD1412" i="1"/>
  <c r="K1413" i="1"/>
  <c r="N1413" i="1" s="1"/>
  <c r="L1413" i="1"/>
  <c r="M1413" i="1"/>
  <c r="Q1413" i="1" a="1"/>
  <c r="Q1413" i="1" s="1"/>
  <c r="AS1413" i="1" s="1"/>
  <c r="AK1413" i="1" a="1"/>
  <c r="AK1413" i="1" s="1"/>
  <c r="AU1413" i="1"/>
  <c r="BD1413" i="1"/>
  <c r="K1414" i="1"/>
  <c r="N1414" i="1" s="1"/>
  <c r="L1414" i="1"/>
  <c r="M1414" i="1"/>
  <c r="Q1414" i="1" a="1"/>
  <c r="Q1414" i="1" s="1"/>
  <c r="AS1414" i="1" s="1"/>
  <c r="AK1414" i="1" a="1"/>
  <c r="AK1414" i="1" s="1"/>
  <c r="AU1414" i="1"/>
  <c r="BD1414" i="1"/>
  <c r="K1415" i="1"/>
  <c r="N1415" i="1" s="1"/>
  <c r="L1415" i="1"/>
  <c r="M1415" i="1"/>
  <c r="Q1415" i="1" a="1"/>
  <c r="Q1415" i="1" s="1"/>
  <c r="AS1415" i="1" s="1"/>
  <c r="AK1415" i="1" a="1"/>
  <c r="AK1415" i="1" s="1"/>
  <c r="AU1415" i="1"/>
  <c r="BD1415" i="1"/>
  <c r="K1416" i="1"/>
  <c r="N1416" i="1" s="1"/>
  <c r="L1416" i="1"/>
  <c r="M1416" i="1"/>
  <c r="Q1416" i="1" a="1"/>
  <c r="Q1416" i="1" s="1"/>
  <c r="AS1416" i="1" s="1"/>
  <c r="AK1416" i="1" a="1"/>
  <c r="AK1416" i="1" s="1"/>
  <c r="AU1416" i="1"/>
  <c r="BD1416" i="1"/>
  <c r="K1417" i="1"/>
  <c r="N1417" i="1" s="1"/>
  <c r="L1417" i="1"/>
  <c r="M1417" i="1"/>
  <c r="Q1417" i="1" a="1"/>
  <c r="Q1417" i="1" s="1"/>
  <c r="AS1417" i="1" s="1"/>
  <c r="AK1417" i="1" a="1"/>
  <c r="AK1417" i="1" s="1"/>
  <c r="AU1417" i="1"/>
  <c r="BD1417" i="1"/>
  <c r="K1418" i="1"/>
  <c r="N1418" i="1" s="1"/>
  <c r="L1418" i="1"/>
  <c r="M1418" i="1"/>
  <c r="Q1418" i="1" a="1"/>
  <c r="Q1418" i="1" s="1"/>
  <c r="AS1418" i="1" s="1"/>
  <c r="AK1418" i="1" a="1"/>
  <c r="AK1418" i="1" s="1"/>
  <c r="AU1418" i="1"/>
  <c r="BD1418" i="1"/>
  <c r="K1419" i="1"/>
  <c r="N1419" i="1" s="1"/>
  <c r="L1419" i="1"/>
  <c r="M1419" i="1"/>
  <c r="Q1419" i="1" a="1"/>
  <c r="Q1419" i="1" s="1"/>
  <c r="AS1419" i="1" s="1"/>
  <c r="AK1419" i="1" a="1"/>
  <c r="AK1419" i="1" s="1"/>
  <c r="AU1419" i="1"/>
  <c r="BD1419" i="1"/>
  <c r="K1423" i="1"/>
  <c r="L1423" i="1"/>
  <c r="M1423" i="1"/>
  <c r="N1423" i="1"/>
  <c r="O1423" i="1"/>
  <c r="AS1423" i="1"/>
  <c r="AK1423" i="1" a="1"/>
  <c r="AK1423" i="1" s="1"/>
  <c r="AU1423" i="1"/>
  <c r="BD1423" i="1"/>
  <c r="K1427" i="1"/>
  <c r="L1427" i="1"/>
  <c r="M1427" i="1"/>
  <c r="N1427" i="1"/>
  <c r="O1427" i="1"/>
  <c r="AS1427" i="1"/>
  <c r="AK1427" i="1" a="1"/>
  <c r="AK1427" i="1" s="1"/>
  <c r="AU1427" i="1"/>
  <c r="BD1427" i="1"/>
  <c r="K1428" i="1"/>
  <c r="N1428" i="1" s="1"/>
  <c r="L1428" i="1"/>
  <c r="M1428" i="1"/>
  <c r="Q1428" i="1" a="1"/>
  <c r="Q1428" i="1" s="1"/>
  <c r="AS1428" i="1" s="1"/>
  <c r="AK1428" i="1" a="1"/>
  <c r="AK1428" i="1" s="1"/>
  <c r="AU1428" i="1"/>
  <c r="BD1428" i="1"/>
  <c r="K1429" i="1"/>
  <c r="N1429" i="1" s="1"/>
  <c r="L1429" i="1"/>
  <c r="M1429" i="1"/>
  <c r="Q1429" i="1" a="1"/>
  <c r="Q1429" i="1" s="1"/>
  <c r="AS1429" i="1" s="1"/>
  <c r="AK1429" i="1" a="1"/>
  <c r="AK1429" i="1" s="1"/>
  <c r="AU1429" i="1"/>
  <c r="BD1429" i="1"/>
  <c r="K1430" i="1"/>
  <c r="N1430" i="1" s="1"/>
  <c r="L1430" i="1"/>
  <c r="M1430" i="1"/>
  <c r="Q1430" i="1" a="1"/>
  <c r="Q1430" i="1" s="1"/>
  <c r="AS1430" i="1" s="1"/>
  <c r="AK1430" i="1" a="1"/>
  <c r="AK1430" i="1" s="1"/>
  <c r="AU1430" i="1"/>
  <c r="BD1430" i="1"/>
  <c r="K1431" i="1"/>
  <c r="N1431" i="1" s="1"/>
  <c r="L1431" i="1"/>
  <c r="M1431" i="1"/>
  <c r="Q1431" i="1" a="1"/>
  <c r="Q1431" i="1" s="1"/>
  <c r="AS1431" i="1" s="1"/>
  <c r="AK1431" i="1" a="1"/>
  <c r="AK1431" i="1" s="1"/>
  <c r="AU1431" i="1"/>
  <c r="BD1431" i="1"/>
  <c r="K1432" i="1"/>
  <c r="N1432" i="1" s="1"/>
  <c r="L1432" i="1"/>
  <c r="M1432" i="1"/>
  <c r="Q1432" i="1" a="1"/>
  <c r="Q1432" i="1" s="1"/>
  <c r="AS1432" i="1" s="1"/>
  <c r="AK1432" i="1" a="1"/>
  <c r="AK1432" i="1" s="1"/>
  <c r="AU1432" i="1"/>
  <c r="BD1432" i="1"/>
  <c r="K1433" i="1"/>
  <c r="N1433" i="1" s="1"/>
  <c r="L1433" i="1"/>
  <c r="M1433" i="1"/>
  <c r="Q1433" i="1" a="1"/>
  <c r="Q1433" i="1" s="1"/>
  <c r="AS1433" i="1" s="1"/>
  <c r="AK1433" i="1" a="1"/>
  <c r="AK1433" i="1" s="1"/>
  <c r="AU1433" i="1"/>
  <c r="BD1433" i="1"/>
  <c r="K1434" i="1"/>
  <c r="N1434" i="1" s="1"/>
  <c r="L1434" i="1"/>
  <c r="M1434" i="1"/>
  <c r="Q1434" i="1" a="1"/>
  <c r="Q1434" i="1" s="1"/>
  <c r="AS1434" i="1" s="1"/>
  <c r="AK1434" i="1" a="1"/>
  <c r="AK1434" i="1" s="1"/>
  <c r="AU1434" i="1"/>
  <c r="BD1434" i="1"/>
  <c r="K1435" i="1"/>
  <c r="N1435" i="1" s="1"/>
  <c r="L1435" i="1"/>
  <c r="M1435" i="1"/>
  <c r="Q1435" i="1" a="1"/>
  <c r="Q1435" i="1" s="1"/>
  <c r="AS1435" i="1" s="1"/>
  <c r="AK1435" i="1" a="1"/>
  <c r="AK1435" i="1" s="1"/>
  <c r="AU1435" i="1"/>
  <c r="BD1435" i="1"/>
  <c r="K1436" i="1"/>
  <c r="N1436" i="1" s="1"/>
  <c r="L1436" i="1"/>
  <c r="M1436" i="1"/>
  <c r="Q1436" i="1" a="1"/>
  <c r="Q1436" i="1" s="1"/>
  <c r="AS1436" i="1" s="1"/>
  <c r="AK1436" i="1" a="1"/>
  <c r="AK1436" i="1" s="1"/>
  <c r="AU1436" i="1"/>
  <c r="BD1436" i="1"/>
  <c r="K1437" i="1"/>
  <c r="N1437" i="1" s="1"/>
  <c r="L1437" i="1"/>
  <c r="M1437" i="1"/>
  <c r="Q1437" i="1" a="1"/>
  <c r="Q1437" i="1" s="1"/>
  <c r="AS1437" i="1" s="1"/>
  <c r="AK1437" i="1" a="1"/>
  <c r="AK1437" i="1" s="1"/>
  <c r="AU1437" i="1"/>
  <c r="BD1437" i="1"/>
  <c r="K1438" i="1"/>
  <c r="N1438" i="1" s="1"/>
  <c r="L1438" i="1"/>
  <c r="M1438" i="1"/>
  <c r="Q1438" i="1" a="1"/>
  <c r="Q1438" i="1" s="1"/>
  <c r="AS1438" i="1" s="1"/>
  <c r="AK1438" i="1" a="1"/>
  <c r="AK1438" i="1" s="1"/>
  <c r="AU1438" i="1"/>
  <c r="BD1438" i="1"/>
  <c r="K1439" i="1"/>
  <c r="N1439" i="1" s="1"/>
  <c r="L1439" i="1"/>
  <c r="M1439" i="1"/>
  <c r="Q1439" i="1" a="1"/>
  <c r="Q1439" i="1" s="1"/>
  <c r="AS1439" i="1" s="1"/>
  <c r="AK1439" i="1" a="1"/>
  <c r="AK1439" i="1" s="1"/>
  <c r="AU1439" i="1"/>
  <c r="BD1439" i="1"/>
  <c r="K1440" i="1"/>
  <c r="N1440" i="1" s="1"/>
  <c r="L1440" i="1"/>
  <c r="M1440" i="1"/>
  <c r="Q1440" i="1" a="1"/>
  <c r="Q1440" i="1" s="1"/>
  <c r="AS1440" i="1" s="1"/>
  <c r="AK1440" i="1" a="1"/>
  <c r="AK1440" i="1" s="1"/>
  <c r="AU1440" i="1"/>
  <c r="BD1440" i="1"/>
  <c r="K1441" i="1"/>
  <c r="N1441" i="1" s="1"/>
  <c r="L1441" i="1"/>
  <c r="M1441" i="1"/>
  <c r="Q1441" i="1" a="1"/>
  <c r="Q1441" i="1" s="1"/>
  <c r="AS1441" i="1" s="1"/>
  <c r="AK1441" i="1" a="1"/>
  <c r="AK1441" i="1" s="1"/>
  <c r="AU1441" i="1"/>
  <c r="BD1441" i="1"/>
  <c r="K1442" i="1"/>
  <c r="N1442" i="1" s="1"/>
  <c r="L1442" i="1"/>
  <c r="M1442" i="1"/>
  <c r="Q1442" i="1" a="1"/>
  <c r="Q1442" i="1" s="1"/>
  <c r="AS1442" i="1" s="1"/>
  <c r="AK1442" i="1" a="1"/>
  <c r="AK1442" i="1" s="1"/>
  <c r="AU1442" i="1"/>
  <c r="BD1442" i="1"/>
  <c r="K1443" i="1"/>
  <c r="N1443" i="1" s="1"/>
  <c r="L1443" i="1"/>
  <c r="M1443" i="1"/>
  <c r="Q1443" i="1" a="1"/>
  <c r="Q1443" i="1" s="1"/>
  <c r="AS1443" i="1" s="1"/>
  <c r="AK1443" i="1" a="1"/>
  <c r="AK1443" i="1" s="1"/>
  <c r="AU1443" i="1"/>
  <c r="BD1443" i="1"/>
  <c r="K1444" i="1"/>
  <c r="N1444" i="1" s="1"/>
  <c r="L1444" i="1"/>
  <c r="M1444" i="1"/>
  <c r="Q1444" i="1" a="1"/>
  <c r="Q1444" i="1" s="1"/>
  <c r="AS1444" i="1" s="1"/>
  <c r="AK1444" i="1" a="1"/>
  <c r="AK1444" i="1" s="1"/>
  <c r="AU1444" i="1"/>
  <c r="BD1444" i="1"/>
  <c r="K1445" i="1"/>
  <c r="N1445" i="1" s="1"/>
  <c r="L1445" i="1"/>
  <c r="M1445" i="1"/>
  <c r="Q1445" i="1" a="1"/>
  <c r="Q1445" i="1" s="1"/>
  <c r="AS1445" i="1" s="1"/>
  <c r="AK1445" i="1" a="1"/>
  <c r="AK1445" i="1" s="1"/>
  <c r="AU1445" i="1"/>
  <c r="BD1445" i="1"/>
  <c r="K1449" i="1"/>
  <c r="L1449" i="1"/>
  <c r="M1449" i="1"/>
  <c r="N1449" i="1"/>
  <c r="O1449" i="1"/>
  <c r="AS1449" i="1"/>
  <c r="AK1449" i="1" a="1"/>
  <c r="AK1449" i="1" s="1"/>
  <c r="AU1449" i="1"/>
  <c r="BD1449" i="1"/>
  <c r="K1453" i="1"/>
  <c r="L1453" i="1"/>
  <c r="M1453" i="1"/>
  <c r="N1453" i="1"/>
  <c r="O1453" i="1"/>
  <c r="AS1453" i="1"/>
  <c r="AK1453" i="1" a="1"/>
  <c r="AK1453" i="1" s="1"/>
  <c r="AU1453" i="1"/>
  <c r="BD1453" i="1"/>
  <c r="K1454" i="1"/>
  <c r="N1454" i="1" s="1"/>
  <c r="L1454" i="1"/>
  <c r="M1454" i="1"/>
  <c r="Q1454" i="1" a="1"/>
  <c r="Q1454" i="1" s="1"/>
  <c r="AS1454" i="1" s="1"/>
  <c r="AK1454" i="1" a="1"/>
  <c r="AK1454" i="1" s="1"/>
  <c r="AU1454" i="1"/>
  <c r="BD1454" i="1"/>
  <c r="K1455" i="1"/>
  <c r="N1455" i="1" s="1"/>
  <c r="L1455" i="1"/>
  <c r="M1455" i="1"/>
  <c r="Q1455" i="1" a="1"/>
  <c r="Q1455" i="1" s="1"/>
  <c r="AS1455" i="1" s="1"/>
  <c r="AK1455" i="1" a="1"/>
  <c r="AK1455" i="1" s="1"/>
  <c r="AU1455" i="1"/>
  <c r="BD1455" i="1"/>
  <c r="K1456" i="1"/>
  <c r="N1456" i="1" s="1"/>
  <c r="L1456" i="1"/>
  <c r="M1456" i="1"/>
  <c r="Q1456" i="1" a="1"/>
  <c r="Q1456" i="1" s="1"/>
  <c r="AS1456" i="1" s="1"/>
  <c r="AK1456" i="1" a="1"/>
  <c r="AK1456" i="1" s="1"/>
  <c r="AU1456" i="1"/>
  <c r="BD1456" i="1"/>
  <c r="K1457" i="1"/>
  <c r="N1457" i="1" s="1"/>
  <c r="L1457" i="1"/>
  <c r="M1457" i="1"/>
  <c r="Q1457" i="1" a="1"/>
  <c r="Q1457" i="1" s="1"/>
  <c r="AS1457" i="1" s="1"/>
  <c r="AK1457" i="1" a="1"/>
  <c r="AK1457" i="1" s="1"/>
  <c r="AU1457" i="1"/>
  <c r="BD1457" i="1"/>
  <c r="K1458" i="1"/>
  <c r="N1458" i="1" s="1"/>
  <c r="L1458" i="1"/>
  <c r="M1458" i="1"/>
  <c r="Q1458" i="1" a="1"/>
  <c r="Q1458" i="1" s="1"/>
  <c r="AS1458" i="1" s="1"/>
  <c r="AK1458" i="1" a="1"/>
  <c r="AK1458" i="1" s="1"/>
  <c r="AU1458" i="1"/>
  <c r="BD1458" i="1"/>
  <c r="K1459" i="1"/>
  <c r="N1459" i="1" s="1"/>
  <c r="L1459" i="1"/>
  <c r="M1459" i="1"/>
  <c r="Q1459" i="1" a="1"/>
  <c r="Q1459" i="1" s="1"/>
  <c r="AS1459" i="1" s="1"/>
  <c r="AK1459" i="1" a="1"/>
  <c r="AK1459" i="1" s="1"/>
  <c r="AU1459" i="1"/>
  <c r="BD1459" i="1"/>
  <c r="K1460" i="1"/>
  <c r="N1460" i="1" s="1"/>
  <c r="L1460" i="1"/>
  <c r="M1460" i="1"/>
  <c r="Q1460" i="1" a="1"/>
  <c r="Q1460" i="1" s="1"/>
  <c r="AS1460" i="1" s="1"/>
  <c r="AK1460" i="1" a="1"/>
  <c r="AK1460" i="1" s="1"/>
  <c r="AU1460" i="1"/>
  <c r="BD1460" i="1"/>
  <c r="K1461" i="1"/>
  <c r="N1461" i="1" s="1"/>
  <c r="L1461" i="1"/>
  <c r="M1461" i="1"/>
  <c r="Q1461" i="1" a="1"/>
  <c r="Q1461" i="1" s="1"/>
  <c r="AS1461" i="1" s="1"/>
  <c r="AK1461" i="1" a="1"/>
  <c r="AK1461" i="1" s="1"/>
  <c r="AU1461" i="1"/>
  <c r="BD1461" i="1"/>
  <c r="K1462" i="1"/>
  <c r="N1462" i="1" s="1"/>
  <c r="L1462" i="1"/>
  <c r="M1462" i="1"/>
  <c r="Q1462" i="1" a="1"/>
  <c r="Q1462" i="1" s="1"/>
  <c r="AS1462" i="1" s="1"/>
  <c r="AK1462" i="1" a="1"/>
  <c r="AK1462" i="1" s="1"/>
  <c r="AU1462" i="1"/>
  <c r="BD1462" i="1"/>
  <c r="K1463" i="1"/>
  <c r="N1463" i="1" s="1"/>
  <c r="L1463" i="1"/>
  <c r="M1463" i="1"/>
  <c r="Q1463" i="1" a="1"/>
  <c r="Q1463" i="1" s="1"/>
  <c r="AS1463" i="1" s="1"/>
  <c r="AK1463" i="1" a="1"/>
  <c r="AK1463" i="1" s="1"/>
  <c r="AU1463" i="1"/>
  <c r="BD1463" i="1"/>
  <c r="K1464" i="1"/>
  <c r="N1464" i="1" s="1"/>
  <c r="L1464" i="1"/>
  <c r="M1464" i="1"/>
  <c r="Q1464" i="1" a="1"/>
  <c r="Q1464" i="1" s="1"/>
  <c r="AS1464" i="1" s="1"/>
  <c r="AK1464" i="1" a="1"/>
  <c r="AK1464" i="1" s="1"/>
  <c r="AU1464" i="1"/>
  <c r="BD1464" i="1"/>
  <c r="K1465" i="1"/>
  <c r="N1465" i="1" s="1"/>
  <c r="L1465" i="1"/>
  <c r="M1465" i="1"/>
  <c r="Q1465" i="1" a="1"/>
  <c r="Q1465" i="1" s="1"/>
  <c r="AS1465" i="1" s="1"/>
  <c r="AK1465" i="1" a="1"/>
  <c r="AK1465" i="1" s="1"/>
  <c r="AU1465" i="1"/>
  <c r="BD1465" i="1"/>
  <c r="K1466" i="1"/>
  <c r="N1466" i="1" s="1"/>
  <c r="L1466" i="1"/>
  <c r="M1466" i="1"/>
  <c r="Q1466" i="1" a="1"/>
  <c r="Q1466" i="1" s="1"/>
  <c r="AS1466" i="1" s="1"/>
  <c r="AK1466" i="1" a="1"/>
  <c r="AK1466" i="1" s="1"/>
  <c r="AU1466" i="1"/>
  <c r="BD1466" i="1"/>
  <c r="K1467" i="1"/>
  <c r="N1467" i="1" s="1"/>
  <c r="L1467" i="1"/>
  <c r="M1467" i="1"/>
  <c r="Q1467" i="1" a="1"/>
  <c r="Q1467" i="1" s="1"/>
  <c r="AS1467" i="1" s="1"/>
  <c r="AK1467" i="1" a="1"/>
  <c r="AK1467" i="1" s="1"/>
  <c r="AU1467" i="1"/>
  <c r="BD1467" i="1"/>
  <c r="K1468" i="1"/>
  <c r="N1468" i="1" s="1"/>
  <c r="L1468" i="1"/>
  <c r="M1468" i="1"/>
  <c r="Q1468" i="1" a="1"/>
  <c r="Q1468" i="1" s="1"/>
  <c r="AS1468" i="1" s="1"/>
  <c r="AK1468" i="1" a="1"/>
  <c r="AK1468" i="1" s="1"/>
  <c r="AU1468" i="1"/>
  <c r="BD1468" i="1"/>
  <c r="K1469" i="1"/>
  <c r="N1469" i="1" s="1"/>
  <c r="L1469" i="1"/>
  <c r="M1469" i="1"/>
  <c r="Q1469" i="1" a="1"/>
  <c r="Q1469" i="1" s="1"/>
  <c r="AS1469" i="1" s="1"/>
  <c r="AK1469" i="1" a="1"/>
  <c r="AK1469" i="1" s="1"/>
  <c r="AU1469" i="1"/>
  <c r="BD1469" i="1"/>
  <c r="K1473" i="1"/>
  <c r="L1473" i="1"/>
  <c r="M1473" i="1"/>
  <c r="N1473" i="1"/>
  <c r="O1473" i="1"/>
  <c r="AS1473" i="1"/>
  <c r="AK1473" i="1" a="1"/>
  <c r="AK1473" i="1" s="1"/>
  <c r="AU1473" i="1"/>
  <c r="BD1473" i="1"/>
  <c r="K1477" i="1"/>
  <c r="L1477" i="1"/>
  <c r="M1477" i="1"/>
  <c r="N1477" i="1"/>
  <c r="O1477" i="1"/>
  <c r="AS1477" i="1"/>
  <c r="AK1477" i="1" a="1"/>
  <c r="AK1477" i="1" s="1"/>
  <c r="AU1477" i="1"/>
  <c r="BD1477" i="1"/>
  <c r="K1481" i="1"/>
  <c r="L1481" i="1"/>
  <c r="M1481" i="1"/>
  <c r="N1481" i="1"/>
  <c r="O1481" i="1"/>
  <c r="AS1481" i="1"/>
  <c r="AK1481" i="1" a="1"/>
  <c r="AK1481" i="1" s="1"/>
  <c r="AU1481" i="1"/>
  <c r="BD1481" i="1"/>
  <c r="K1485" i="1"/>
  <c r="L1485" i="1"/>
  <c r="M1485" i="1"/>
  <c r="N1485" i="1"/>
  <c r="O1485" i="1"/>
  <c r="AS1485" i="1"/>
  <c r="AK1485" i="1" a="1"/>
  <c r="AK1485" i="1" s="1"/>
  <c r="AU1485" i="1"/>
  <c r="BD1485" i="1"/>
  <c r="K1489" i="1"/>
  <c r="N1489" i="1" s="1"/>
  <c r="L1489" i="1"/>
  <c r="M1489" i="1"/>
  <c r="O1489" i="1"/>
  <c r="AS1489" i="1"/>
  <c r="AK1489" i="1" a="1"/>
  <c r="AK1489" i="1" s="1"/>
  <c r="AU1489" i="1"/>
  <c r="BD1489" i="1"/>
  <c r="K1490" i="1"/>
  <c r="N1490" i="1" s="1"/>
  <c r="L1490" i="1"/>
  <c r="M1490" i="1"/>
  <c r="Q1490" i="1" a="1"/>
  <c r="Q1490" i="1" s="1"/>
  <c r="AS1490" i="1" s="1"/>
  <c r="AK1490" i="1" a="1"/>
  <c r="AK1490" i="1" s="1"/>
  <c r="AU1490" i="1"/>
  <c r="BD1490" i="1"/>
  <c r="K1491" i="1"/>
  <c r="N1491" i="1" s="1"/>
  <c r="L1491" i="1"/>
  <c r="M1491" i="1"/>
  <c r="Q1491" i="1" a="1"/>
  <c r="Q1491" i="1" s="1"/>
  <c r="AS1491" i="1" s="1"/>
  <c r="AK1491" i="1" a="1"/>
  <c r="AK1491" i="1" s="1"/>
  <c r="AU1491" i="1"/>
  <c r="BD1491" i="1"/>
  <c r="K1492" i="1"/>
  <c r="N1492" i="1" s="1"/>
  <c r="L1492" i="1"/>
  <c r="M1492" i="1"/>
  <c r="Q1492" i="1" a="1"/>
  <c r="Q1492" i="1" s="1"/>
  <c r="AS1492" i="1" s="1"/>
  <c r="AK1492" i="1" a="1"/>
  <c r="AK1492" i="1" s="1"/>
  <c r="AU1492" i="1"/>
  <c r="BD1492" i="1"/>
  <c r="K1493" i="1"/>
  <c r="N1493" i="1" s="1"/>
  <c r="L1493" i="1"/>
  <c r="M1493" i="1"/>
  <c r="Q1493" i="1" a="1"/>
  <c r="Q1493" i="1" s="1"/>
  <c r="AS1493" i="1" s="1"/>
  <c r="AK1493" i="1" a="1"/>
  <c r="AK1493" i="1" s="1"/>
  <c r="AU1493" i="1"/>
  <c r="BD1493" i="1"/>
  <c r="K1494" i="1"/>
  <c r="N1494" i="1" s="1"/>
  <c r="L1494" i="1"/>
  <c r="M1494" i="1"/>
  <c r="Q1494" i="1" a="1"/>
  <c r="Q1494" i="1" s="1"/>
  <c r="AS1494" i="1" s="1"/>
  <c r="AK1494" i="1" a="1"/>
  <c r="AK1494" i="1" s="1"/>
  <c r="AU1494" i="1"/>
  <c r="BD1494" i="1"/>
  <c r="K1495" i="1"/>
  <c r="N1495" i="1" s="1"/>
  <c r="L1495" i="1"/>
  <c r="M1495" i="1"/>
  <c r="Q1495" i="1" a="1"/>
  <c r="Q1495" i="1" s="1"/>
  <c r="AS1495" i="1" s="1"/>
  <c r="AK1495" i="1" a="1"/>
  <c r="AK1495" i="1" s="1"/>
  <c r="AU1495" i="1"/>
  <c r="BD1495" i="1"/>
  <c r="K1496" i="1"/>
  <c r="N1496" i="1" s="1"/>
  <c r="L1496" i="1"/>
  <c r="M1496" i="1"/>
  <c r="Q1496" i="1" a="1"/>
  <c r="Q1496" i="1" s="1"/>
  <c r="AS1496" i="1" s="1"/>
  <c r="AK1496" i="1" a="1"/>
  <c r="AK1496" i="1" s="1"/>
  <c r="AU1496" i="1"/>
  <c r="BD1496" i="1"/>
  <c r="K1497" i="1"/>
  <c r="N1497" i="1" s="1"/>
  <c r="L1497" i="1"/>
  <c r="M1497" i="1"/>
  <c r="Q1497" i="1" a="1"/>
  <c r="Q1497" i="1" s="1"/>
  <c r="AS1497" i="1" s="1"/>
  <c r="AK1497" i="1" a="1"/>
  <c r="AK1497" i="1" s="1"/>
  <c r="AU1497" i="1"/>
  <c r="BD1497" i="1"/>
  <c r="K1498" i="1"/>
  <c r="N1498" i="1" s="1"/>
  <c r="L1498" i="1"/>
  <c r="M1498" i="1"/>
  <c r="Q1498" i="1" a="1"/>
  <c r="Q1498" i="1" s="1"/>
  <c r="AS1498" i="1" s="1"/>
  <c r="AK1498" i="1" a="1"/>
  <c r="AK1498" i="1" s="1"/>
  <c r="AU1498" i="1"/>
  <c r="BD1498" i="1"/>
  <c r="K1499" i="1"/>
  <c r="N1499" i="1" s="1"/>
  <c r="L1499" i="1"/>
  <c r="M1499" i="1"/>
  <c r="Q1499" i="1" a="1"/>
  <c r="Q1499" i="1" s="1"/>
  <c r="AS1499" i="1" s="1"/>
  <c r="AK1499" i="1" a="1"/>
  <c r="AK1499" i="1" s="1"/>
  <c r="AU1499" i="1"/>
  <c r="BD1499" i="1"/>
  <c r="K1500" i="1"/>
  <c r="N1500" i="1" s="1"/>
  <c r="L1500" i="1"/>
  <c r="M1500" i="1"/>
  <c r="Q1500" i="1" a="1"/>
  <c r="Q1500" i="1" s="1"/>
  <c r="AS1500" i="1" s="1"/>
  <c r="AK1500" i="1" a="1"/>
  <c r="AK1500" i="1" s="1"/>
  <c r="AU1500" i="1"/>
  <c r="BD1500" i="1"/>
  <c r="K1501" i="1"/>
  <c r="N1501" i="1" s="1"/>
  <c r="L1501" i="1"/>
  <c r="M1501" i="1"/>
  <c r="Q1501" i="1" a="1"/>
  <c r="Q1501" i="1" s="1"/>
  <c r="AS1501" i="1" s="1"/>
  <c r="AK1501" i="1" a="1"/>
  <c r="AK1501" i="1" s="1"/>
  <c r="AU1501" i="1"/>
  <c r="BD1501" i="1"/>
  <c r="K1502" i="1"/>
  <c r="N1502" i="1" s="1"/>
  <c r="L1502" i="1"/>
  <c r="M1502" i="1"/>
  <c r="Q1502" i="1" a="1"/>
  <c r="Q1502" i="1" s="1"/>
  <c r="AS1502" i="1" s="1"/>
  <c r="AK1502" i="1" a="1"/>
  <c r="AK1502" i="1" s="1"/>
  <c r="AU1502" i="1"/>
  <c r="BD1502" i="1"/>
  <c r="K1503" i="1"/>
  <c r="N1503" i="1" s="1"/>
  <c r="L1503" i="1"/>
  <c r="M1503" i="1"/>
  <c r="Q1503" i="1" a="1"/>
  <c r="Q1503" i="1" s="1"/>
  <c r="AS1503" i="1" s="1"/>
  <c r="AK1503" i="1" a="1"/>
  <c r="AK1503" i="1" s="1"/>
  <c r="AU1503" i="1"/>
  <c r="BD1503" i="1"/>
  <c r="K1504" i="1"/>
  <c r="N1504" i="1" s="1"/>
  <c r="L1504" i="1"/>
  <c r="M1504" i="1"/>
  <c r="Q1504" i="1" a="1"/>
  <c r="Q1504" i="1" s="1"/>
  <c r="AS1504" i="1" s="1"/>
  <c r="AK1504" i="1" a="1"/>
  <c r="AK1504" i="1" s="1"/>
  <c r="AU1504" i="1"/>
  <c r="BD1504" i="1"/>
  <c r="K1505" i="1"/>
  <c r="N1505" i="1" s="1"/>
  <c r="L1505" i="1"/>
  <c r="M1505" i="1"/>
  <c r="Q1505" i="1" a="1"/>
  <c r="Q1505" i="1" s="1"/>
  <c r="AS1505" i="1" s="1"/>
  <c r="AK1505" i="1" a="1"/>
  <c r="AK1505" i="1" s="1"/>
  <c r="AU1505" i="1"/>
  <c r="BD1505" i="1"/>
  <c r="K1506" i="1"/>
  <c r="N1506" i="1" s="1"/>
  <c r="L1506" i="1"/>
  <c r="M1506" i="1"/>
  <c r="Q1506" i="1" a="1"/>
  <c r="Q1506" i="1" s="1"/>
  <c r="AS1506" i="1" s="1"/>
  <c r="AK1506" i="1" a="1"/>
  <c r="AK1506" i="1" s="1"/>
  <c r="AU1506" i="1"/>
  <c r="BD1506" i="1"/>
  <c r="K1507" i="1"/>
  <c r="N1507" i="1" s="1"/>
  <c r="L1507" i="1"/>
  <c r="M1507" i="1"/>
  <c r="Q1507" i="1" a="1"/>
  <c r="Q1507" i="1" s="1"/>
  <c r="AS1507" i="1" s="1"/>
  <c r="AK1507" i="1" a="1"/>
  <c r="AK1507" i="1" s="1"/>
  <c r="AU1507" i="1"/>
  <c r="BD1507" i="1"/>
  <c r="K1508" i="1"/>
  <c r="N1508" i="1" s="1"/>
  <c r="L1508" i="1"/>
  <c r="M1508" i="1"/>
  <c r="Q1508" i="1" a="1"/>
  <c r="Q1508" i="1" s="1"/>
  <c r="AS1508" i="1" s="1"/>
  <c r="AK1508" i="1" a="1"/>
  <c r="AK1508" i="1" s="1"/>
  <c r="AU1508" i="1"/>
  <c r="BD1508" i="1"/>
  <c r="K1509" i="1"/>
  <c r="N1509" i="1" s="1"/>
  <c r="L1509" i="1"/>
  <c r="M1509" i="1"/>
  <c r="Q1509" i="1" a="1"/>
  <c r="Q1509" i="1" s="1"/>
  <c r="AS1509" i="1" s="1"/>
  <c r="AK1509" i="1" a="1"/>
  <c r="AK1509" i="1" s="1"/>
  <c r="AU1509" i="1"/>
  <c r="BD1509" i="1"/>
  <c r="K1510" i="1"/>
  <c r="N1510" i="1" s="1"/>
  <c r="L1510" i="1"/>
  <c r="M1510" i="1"/>
  <c r="Q1510" i="1" a="1"/>
  <c r="Q1510" i="1" s="1"/>
  <c r="AS1510" i="1" s="1"/>
  <c r="AK1510" i="1" a="1"/>
  <c r="AK1510" i="1" s="1"/>
  <c r="AU1510" i="1"/>
  <c r="BD1510" i="1"/>
  <c r="K1511" i="1"/>
  <c r="N1511" i="1" s="1"/>
  <c r="L1511" i="1"/>
  <c r="M1511" i="1"/>
  <c r="Q1511" i="1" a="1"/>
  <c r="Q1511" i="1" s="1"/>
  <c r="AS1511" i="1" s="1"/>
  <c r="AK1511" i="1" a="1"/>
  <c r="AK1511" i="1" s="1"/>
  <c r="AU1511" i="1"/>
  <c r="BD1511" i="1"/>
  <c r="K1512" i="1"/>
  <c r="N1512" i="1" s="1"/>
  <c r="L1512" i="1"/>
  <c r="M1512" i="1"/>
  <c r="Q1512" i="1" a="1"/>
  <c r="Q1512" i="1" s="1"/>
  <c r="AS1512" i="1" s="1"/>
  <c r="AK1512" i="1" a="1"/>
  <c r="AK1512" i="1" s="1"/>
  <c r="AU1512" i="1"/>
  <c r="BD1512" i="1"/>
  <c r="K1513" i="1"/>
  <c r="N1513" i="1" s="1"/>
  <c r="L1513" i="1"/>
  <c r="M1513" i="1"/>
  <c r="Q1513" i="1" a="1"/>
  <c r="Q1513" i="1" s="1"/>
  <c r="AS1513" i="1" s="1"/>
  <c r="AK1513" i="1" a="1"/>
  <c r="AK1513" i="1" s="1"/>
  <c r="AU1513" i="1"/>
  <c r="BD1513" i="1"/>
  <c r="K1514" i="1"/>
  <c r="N1514" i="1" s="1"/>
  <c r="L1514" i="1"/>
  <c r="M1514" i="1"/>
  <c r="Q1514" i="1" a="1"/>
  <c r="Q1514" i="1" s="1"/>
  <c r="AS1514" i="1" s="1"/>
  <c r="AK1514" i="1" a="1"/>
  <c r="AK1514" i="1" s="1"/>
  <c r="AU1514" i="1"/>
  <c r="BD1514" i="1"/>
  <c r="K1515" i="1"/>
  <c r="N1515" i="1" s="1"/>
  <c r="L1515" i="1"/>
  <c r="M1515" i="1"/>
  <c r="Q1515" i="1" a="1"/>
  <c r="Q1515" i="1" s="1"/>
  <c r="AS1515" i="1" s="1"/>
  <c r="AK1515" i="1" a="1"/>
  <c r="AK1515" i="1" s="1"/>
  <c r="AU1515" i="1"/>
  <c r="BD1515" i="1"/>
  <c r="K1516" i="1"/>
  <c r="N1516" i="1" s="1"/>
  <c r="L1516" i="1"/>
  <c r="M1516" i="1"/>
  <c r="Q1516" i="1" a="1"/>
  <c r="Q1516" i="1" s="1"/>
  <c r="AS1516" i="1" s="1"/>
  <c r="AK1516" i="1" a="1"/>
  <c r="AK1516" i="1" s="1"/>
  <c r="AU1516" i="1"/>
  <c r="BD1516" i="1"/>
  <c r="K1517" i="1"/>
  <c r="N1517" i="1" s="1"/>
  <c r="L1517" i="1"/>
  <c r="M1517" i="1"/>
  <c r="Q1517" i="1" a="1"/>
  <c r="Q1517" i="1" s="1"/>
  <c r="AS1517" i="1" s="1"/>
  <c r="AK1517" i="1" a="1"/>
  <c r="AK1517" i="1" s="1"/>
  <c r="AU1517" i="1"/>
  <c r="BD1517" i="1"/>
  <c r="K1518" i="1"/>
  <c r="N1518" i="1" s="1"/>
  <c r="L1518" i="1"/>
  <c r="M1518" i="1"/>
  <c r="Q1518" i="1" a="1"/>
  <c r="Q1518" i="1" s="1"/>
  <c r="AS1518" i="1" s="1"/>
  <c r="AK1518" i="1" a="1"/>
  <c r="AK1518" i="1" s="1"/>
  <c r="AU1518" i="1"/>
  <c r="BD1518" i="1"/>
  <c r="K1519" i="1"/>
  <c r="N1519" i="1" s="1"/>
  <c r="L1519" i="1"/>
  <c r="M1519" i="1"/>
  <c r="Q1519" i="1" a="1"/>
  <c r="Q1519" i="1" s="1"/>
  <c r="AS1519" i="1" s="1"/>
  <c r="AK1519" i="1" a="1"/>
  <c r="AK1519" i="1" s="1"/>
  <c r="AU1519" i="1"/>
  <c r="BD1519" i="1"/>
  <c r="K1520" i="1"/>
  <c r="N1520" i="1" s="1"/>
  <c r="L1520" i="1"/>
  <c r="M1520" i="1"/>
  <c r="Q1520" i="1" a="1"/>
  <c r="Q1520" i="1" s="1"/>
  <c r="AS1520" i="1" s="1"/>
  <c r="AK1520" i="1" a="1"/>
  <c r="AK1520" i="1" s="1"/>
  <c r="AU1520" i="1"/>
  <c r="BD1520" i="1"/>
  <c r="K1521" i="1"/>
  <c r="N1521" i="1" s="1"/>
  <c r="L1521" i="1"/>
  <c r="M1521" i="1"/>
  <c r="Q1521" i="1" a="1"/>
  <c r="Q1521" i="1" s="1"/>
  <c r="AS1521" i="1" s="1"/>
  <c r="AK1521" i="1" a="1"/>
  <c r="AK1521" i="1" s="1"/>
  <c r="AU1521" i="1"/>
  <c r="BD1521" i="1"/>
  <c r="K1522" i="1"/>
  <c r="N1522" i="1" s="1"/>
  <c r="L1522" i="1"/>
  <c r="M1522" i="1"/>
  <c r="Q1522" i="1" a="1"/>
  <c r="Q1522" i="1" s="1"/>
  <c r="AS1522" i="1" s="1"/>
  <c r="AK1522" i="1" a="1"/>
  <c r="AK1522" i="1" s="1"/>
  <c r="AU1522" i="1"/>
  <c r="BD1522" i="1"/>
  <c r="K1523" i="1"/>
  <c r="N1523" i="1" s="1"/>
  <c r="L1523" i="1"/>
  <c r="M1523" i="1"/>
  <c r="Q1523" i="1" a="1"/>
  <c r="Q1523" i="1" s="1"/>
  <c r="AS1523" i="1" s="1"/>
  <c r="AK1523" i="1" a="1"/>
  <c r="AK1523" i="1" s="1"/>
  <c r="AU1523" i="1"/>
  <c r="BD1523" i="1"/>
  <c r="K1524" i="1"/>
  <c r="N1524" i="1" s="1"/>
  <c r="L1524" i="1"/>
  <c r="M1524" i="1"/>
  <c r="Q1524" i="1" a="1"/>
  <c r="Q1524" i="1" s="1"/>
  <c r="AS1524" i="1" s="1"/>
  <c r="AK1524" i="1" a="1"/>
  <c r="AK1524" i="1" s="1"/>
  <c r="AU1524" i="1"/>
  <c r="BD1524" i="1"/>
  <c r="K1525" i="1"/>
  <c r="N1525" i="1" s="1"/>
  <c r="L1525" i="1"/>
  <c r="M1525" i="1"/>
  <c r="Q1525" i="1" a="1"/>
  <c r="Q1525" i="1" s="1"/>
  <c r="AS1525" i="1" s="1"/>
  <c r="AK1525" i="1" a="1"/>
  <c r="AK1525" i="1" s="1"/>
  <c r="AU1525" i="1"/>
  <c r="BD1525" i="1"/>
  <c r="K1526" i="1"/>
  <c r="N1526" i="1" s="1"/>
  <c r="L1526" i="1"/>
  <c r="M1526" i="1"/>
  <c r="Q1526" i="1" a="1"/>
  <c r="Q1526" i="1" s="1"/>
  <c r="AS1526" i="1" s="1"/>
  <c r="AK1526" i="1" a="1"/>
  <c r="AK1526" i="1" s="1"/>
  <c r="AU1526" i="1"/>
  <c r="BD1526" i="1"/>
  <c r="K1527" i="1"/>
  <c r="N1527" i="1" s="1"/>
  <c r="L1527" i="1"/>
  <c r="M1527" i="1"/>
  <c r="Q1527" i="1" a="1"/>
  <c r="Q1527" i="1" s="1"/>
  <c r="AS1527" i="1" s="1"/>
  <c r="AK1527" i="1" a="1"/>
  <c r="AK1527" i="1" s="1"/>
  <c r="AU1527" i="1"/>
  <c r="BD1527" i="1"/>
  <c r="K1528" i="1"/>
  <c r="N1528" i="1" s="1"/>
  <c r="L1528" i="1"/>
  <c r="M1528" i="1"/>
  <c r="Q1528" i="1" a="1"/>
  <c r="Q1528" i="1" s="1"/>
  <c r="AS1528" i="1" s="1"/>
  <c r="AK1528" i="1" a="1"/>
  <c r="AK1528" i="1" s="1"/>
  <c r="AU1528" i="1"/>
  <c r="BD1528" i="1"/>
  <c r="K1529" i="1"/>
  <c r="N1529" i="1" s="1"/>
  <c r="L1529" i="1"/>
  <c r="M1529" i="1"/>
  <c r="Q1529" i="1" a="1"/>
  <c r="Q1529" i="1" s="1"/>
  <c r="AS1529" i="1" s="1"/>
  <c r="AK1529" i="1" a="1"/>
  <c r="AK1529" i="1" s="1"/>
  <c r="AU1529" i="1"/>
  <c r="BD1529" i="1"/>
  <c r="K1530" i="1"/>
  <c r="N1530" i="1" s="1"/>
  <c r="L1530" i="1"/>
  <c r="M1530" i="1"/>
  <c r="Q1530" i="1" a="1"/>
  <c r="Q1530" i="1" s="1"/>
  <c r="AS1530" i="1" s="1"/>
  <c r="AK1530" i="1" a="1"/>
  <c r="AK1530" i="1" s="1"/>
  <c r="AU1530" i="1"/>
  <c r="BD1530" i="1"/>
  <c r="K1531" i="1"/>
  <c r="N1531" i="1" s="1"/>
  <c r="L1531" i="1"/>
  <c r="M1531" i="1"/>
  <c r="Q1531" i="1" a="1"/>
  <c r="Q1531" i="1" s="1"/>
  <c r="AS1531" i="1" s="1"/>
  <c r="AK1531" i="1" a="1"/>
  <c r="AK1531" i="1" s="1"/>
  <c r="AU1531" i="1"/>
  <c r="BD1531" i="1"/>
  <c r="K1532" i="1"/>
  <c r="N1532" i="1" s="1"/>
  <c r="L1532" i="1"/>
  <c r="M1532" i="1"/>
  <c r="Q1532" i="1" a="1"/>
  <c r="Q1532" i="1" s="1"/>
  <c r="AS1532" i="1" s="1"/>
  <c r="AK1532" i="1" a="1"/>
  <c r="AK1532" i="1" s="1"/>
  <c r="AU1532" i="1"/>
  <c r="BD1532" i="1"/>
  <c r="K1533" i="1"/>
  <c r="N1533" i="1" s="1"/>
  <c r="L1533" i="1"/>
  <c r="M1533" i="1"/>
  <c r="Q1533" i="1" a="1"/>
  <c r="Q1533" i="1" s="1"/>
  <c r="AS1533" i="1" s="1"/>
  <c r="AK1533" i="1" a="1"/>
  <c r="AK1533" i="1" s="1"/>
  <c r="AU1533" i="1"/>
  <c r="BD1533" i="1"/>
  <c r="K1534" i="1"/>
  <c r="N1534" i="1" s="1"/>
  <c r="L1534" i="1"/>
  <c r="M1534" i="1"/>
  <c r="Q1534" i="1" a="1"/>
  <c r="Q1534" i="1" s="1"/>
  <c r="AS1534" i="1" s="1"/>
  <c r="AK1534" i="1" a="1"/>
  <c r="AK1534" i="1" s="1"/>
  <c r="AU1534" i="1"/>
  <c r="BD1534" i="1"/>
  <c r="K1535" i="1"/>
  <c r="N1535" i="1" s="1"/>
  <c r="L1535" i="1"/>
  <c r="M1535" i="1"/>
  <c r="Q1535" i="1" a="1"/>
  <c r="Q1535" i="1" s="1"/>
  <c r="AS1535" i="1" s="1"/>
  <c r="AK1535" i="1" a="1"/>
  <c r="AK1535" i="1" s="1"/>
  <c r="AU1535" i="1"/>
  <c r="BD1535" i="1"/>
  <c r="K1536" i="1"/>
  <c r="N1536" i="1" s="1"/>
  <c r="L1536" i="1"/>
  <c r="M1536" i="1"/>
  <c r="Q1536" i="1" a="1"/>
  <c r="Q1536" i="1" s="1"/>
  <c r="AS1536" i="1" s="1"/>
  <c r="AK1536" i="1" a="1"/>
  <c r="AK1536" i="1" s="1"/>
  <c r="AU1536" i="1"/>
  <c r="BD1536" i="1"/>
  <c r="K1537" i="1"/>
  <c r="N1537" i="1" s="1"/>
  <c r="L1537" i="1"/>
  <c r="M1537" i="1"/>
  <c r="Q1537" i="1" a="1"/>
  <c r="Q1537" i="1" s="1"/>
  <c r="AS1537" i="1" s="1"/>
  <c r="AK1537" i="1" a="1"/>
  <c r="AK1537" i="1" s="1"/>
  <c r="AU1537" i="1"/>
  <c r="BD1537" i="1"/>
  <c r="K1538" i="1"/>
  <c r="N1538" i="1" s="1"/>
  <c r="L1538" i="1"/>
  <c r="M1538" i="1"/>
  <c r="Q1538" i="1" a="1"/>
  <c r="Q1538" i="1" s="1"/>
  <c r="AS1538" i="1" s="1"/>
  <c r="AK1538" i="1" a="1"/>
  <c r="AK1538" i="1" s="1"/>
  <c r="AU1538" i="1"/>
  <c r="BD1538" i="1"/>
  <c r="K1542" i="1"/>
  <c r="L1542" i="1"/>
  <c r="M1542" i="1"/>
  <c r="N1542" i="1"/>
  <c r="O1542" i="1"/>
  <c r="AS1542" i="1"/>
  <c r="AK1542" i="1" a="1"/>
  <c r="AK1542" i="1" s="1"/>
  <c r="AU1542" i="1"/>
  <c r="BD1542" i="1"/>
  <c r="K1546" i="1"/>
  <c r="L1546" i="1"/>
  <c r="M1546" i="1"/>
  <c r="N1546" i="1"/>
  <c r="O1546" i="1"/>
  <c r="AS1546" i="1"/>
  <c r="AK1546" i="1" a="1"/>
  <c r="AK1546" i="1" s="1"/>
  <c r="AU1546" i="1"/>
  <c r="BD1546" i="1"/>
  <c r="K1550" i="1"/>
  <c r="L1550" i="1"/>
  <c r="M1550" i="1"/>
  <c r="N1550" i="1"/>
  <c r="O1550" i="1"/>
  <c r="AS1550" i="1"/>
  <c r="AK1550" i="1" a="1"/>
  <c r="AK1550" i="1" s="1"/>
  <c r="AU1550" i="1"/>
  <c r="BD1550" i="1"/>
  <c r="K1554" i="1"/>
  <c r="L1554" i="1"/>
  <c r="M1554" i="1"/>
  <c r="N1554" i="1"/>
  <c r="O1554" i="1"/>
  <c r="AS1554" i="1"/>
  <c r="AK1554" i="1" a="1"/>
  <c r="AK1554" i="1" s="1"/>
  <c r="AU1554" i="1"/>
  <c r="BD1554" i="1"/>
  <c r="K1558" i="1"/>
  <c r="N1558" i="1" s="1"/>
  <c r="L1558" i="1"/>
  <c r="M1558" i="1"/>
  <c r="O1558" i="1"/>
  <c r="AS1558" i="1"/>
  <c r="AK1558" i="1" a="1"/>
  <c r="AK1558" i="1" s="1"/>
  <c r="AU1558" i="1"/>
  <c r="BD1558" i="1"/>
  <c r="K1559" i="1"/>
  <c r="N1559" i="1" s="1"/>
  <c r="L1559" i="1"/>
  <c r="M1559" i="1"/>
  <c r="Q1559" i="1" a="1"/>
  <c r="Q1559" i="1" s="1"/>
  <c r="AS1559" i="1" s="1"/>
  <c r="AK1559" i="1" a="1"/>
  <c r="AK1559" i="1" s="1"/>
  <c r="AU1559" i="1"/>
  <c r="BD1559" i="1"/>
  <c r="K1560" i="1"/>
  <c r="N1560" i="1" s="1"/>
  <c r="L1560" i="1"/>
  <c r="M1560" i="1"/>
  <c r="Q1560" i="1" a="1"/>
  <c r="Q1560" i="1" s="1"/>
  <c r="AS1560" i="1" s="1"/>
  <c r="AK1560" i="1" a="1"/>
  <c r="AK1560" i="1" s="1"/>
  <c r="AU1560" i="1"/>
  <c r="BD1560" i="1"/>
  <c r="K1561" i="1"/>
  <c r="N1561" i="1" s="1"/>
  <c r="L1561" i="1"/>
  <c r="M1561" i="1"/>
  <c r="Q1561" i="1" a="1"/>
  <c r="Q1561" i="1" s="1"/>
  <c r="AS1561" i="1" s="1"/>
  <c r="AK1561" i="1" a="1"/>
  <c r="AK1561" i="1" s="1"/>
  <c r="AU1561" i="1"/>
  <c r="BD1561" i="1"/>
  <c r="K1562" i="1"/>
  <c r="N1562" i="1" s="1"/>
  <c r="L1562" i="1"/>
  <c r="M1562" i="1"/>
  <c r="Q1562" i="1" a="1"/>
  <c r="Q1562" i="1" s="1"/>
  <c r="AS1562" i="1" s="1"/>
  <c r="AK1562" i="1" a="1"/>
  <c r="AK1562" i="1" s="1"/>
  <c r="AU1562" i="1"/>
  <c r="BD1562" i="1"/>
  <c r="K1563" i="1"/>
  <c r="N1563" i="1" s="1"/>
  <c r="L1563" i="1"/>
  <c r="M1563" i="1"/>
  <c r="Q1563" i="1" a="1"/>
  <c r="Q1563" i="1" s="1"/>
  <c r="AS1563" i="1" s="1"/>
  <c r="AK1563" i="1" a="1"/>
  <c r="AK1563" i="1" s="1"/>
  <c r="AU1563" i="1"/>
  <c r="BD1563" i="1"/>
  <c r="K1564" i="1"/>
  <c r="N1564" i="1" s="1"/>
  <c r="L1564" i="1"/>
  <c r="M1564" i="1"/>
  <c r="Q1564" i="1" a="1"/>
  <c r="Q1564" i="1" s="1"/>
  <c r="AS1564" i="1" s="1"/>
  <c r="AK1564" i="1" a="1"/>
  <c r="AK1564" i="1" s="1"/>
  <c r="AU1564" i="1"/>
  <c r="BD1564" i="1"/>
  <c r="K1565" i="1"/>
  <c r="N1565" i="1" s="1"/>
  <c r="L1565" i="1"/>
  <c r="M1565" i="1"/>
  <c r="Q1565" i="1" a="1"/>
  <c r="Q1565" i="1" s="1"/>
  <c r="AS1565" i="1" s="1"/>
  <c r="AK1565" i="1" a="1"/>
  <c r="AK1565" i="1" s="1"/>
  <c r="AU1565" i="1"/>
  <c r="BD1565" i="1"/>
  <c r="K1566" i="1"/>
  <c r="N1566" i="1" s="1"/>
  <c r="L1566" i="1"/>
  <c r="M1566" i="1"/>
  <c r="Q1566" i="1" a="1"/>
  <c r="Q1566" i="1" s="1"/>
  <c r="AS1566" i="1" s="1"/>
  <c r="AK1566" i="1" a="1"/>
  <c r="AK1566" i="1" s="1"/>
  <c r="AU1566" i="1"/>
  <c r="BD1566" i="1"/>
  <c r="K1567" i="1"/>
  <c r="N1567" i="1" s="1"/>
  <c r="L1567" i="1"/>
  <c r="M1567" i="1"/>
  <c r="Q1567" i="1" a="1"/>
  <c r="Q1567" i="1" s="1"/>
  <c r="AS1567" i="1" s="1"/>
  <c r="AK1567" i="1" a="1"/>
  <c r="AK1567" i="1" s="1"/>
  <c r="AU1567" i="1"/>
  <c r="BD1567" i="1"/>
  <c r="K1568" i="1"/>
  <c r="N1568" i="1" s="1"/>
  <c r="L1568" i="1"/>
  <c r="M1568" i="1"/>
  <c r="Q1568" i="1" a="1"/>
  <c r="Q1568" i="1" s="1"/>
  <c r="AS1568" i="1" s="1"/>
  <c r="AK1568" i="1" a="1"/>
  <c r="AK1568" i="1" s="1"/>
  <c r="AU1568" i="1"/>
  <c r="BD1568" i="1"/>
  <c r="K1569" i="1"/>
  <c r="N1569" i="1" s="1"/>
  <c r="L1569" i="1"/>
  <c r="M1569" i="1"/>
  <c r="Q1569" i="1" a="1"/>
  <c r="Q1569" i="1" s="1"/>
  <c r="AS1569" i="1" s="1"/>
  <c r="AK1569" i="1" a="1"/>
  <c r="AK1569" i="1" s="1"/>
  <c r="AU1569" i="1"/>
  <c r="BD1569" i="1"/>
  <c r="K1570" i="1"/>
  <c r="N1570" i="1" s="1"/>
  <c r="L1570" i="1"/>
  <c r="M1570" i="1"/>
  <c r="Q1570" i="1" a="1"/>
  <c r="Q1570" i="1" s="1"/>
  <c r="AS1570" i="1" s="1"/>
  <c r="AK1570" i="1" a="1"/>
  <c r="AK1570" i="1" s="1"/>
  <c r="AU1570" i="1"/>
  <c r="BD1570" i="1"/>
  <c r="K1571" i="1"/>
  <c r="N1571" i="1" s="1"/>
  <c r="L1571" i="1"/>
  <c r="M1571" i="1"/>
  <c r="Q1571" i="1" a="1"/>
  <c r="Q1571" i="1" s="1"/>
  <c r="AS1571" i="1" s="1"/>
  <c r="AK1571" i="1" a="1"/>
  <c r="AK1571" i="1" s="1"/>
  <c r="AU1571" i="1"/>
  <c r="BD1571" i="1"/>
  <c r="K1572" i="1"/>
  <c r="N1572" i="1" s="1"/>
  <c r="L1572" i="1"/>
  <c r="M1572" i="1"/>
  <c r="Q1572" i="1" a="1"/>
  <c r="Q1572" i="1" s="1"/>
  <c r="AS1572" i="1" s="1"/>
  <c r="AK1572" i="1" a="1"/>
  <c r="AK1572" i="1" s="1"/>
  <c r="AU1572" i="1"/>
  <c r="BD1572" i="1"/>
  <c r="K1573" i="1"/>
  <c r="N1573" i="1" s="1"/>
  <c r="L1573" i="1"/>
  <c r="M1573" i="1"/>
  <c r="Q1573" i="1" a="1"/>
  <c r="Q1573" i="1" s="1"/>
  <c r="AS1573" i="1" s="1"/>
  <c r="AK1573" i="1" a="1"/>
  <c r="AK1573" i="1" s="1"/>
  <c r="AU1573" i="1"/>
  <c r="BD1573" i="1"/>
  <c r="K1574" i="1"/>
  <c r="N1574" i="1" s="1"/>
  <c r="L1574" i="1"/>
  <c r="M1574" i="1"/>
  <c r="Q1574" i="1" a="1"/>
  <c r="Q1574" i="1" s="1"/>
  <c r="AS1574" i="1" s="1"/>
  <c r="AK1574" i="1" a="1"/>
  <c r="AK1574" i="1" s="1"/>
  <c r="AU1574" i="1"/>
  <c r="BD1574" i="1"/>
  <c r="K1575" i="1"/>
  <c r="N1575" i="1" s="1"/>
  <c r="L1575" i="1"/>
  <c r="M1575" i="1"/>
  <c r="Q1575" i="1" a="1"/>
  <c r="Q1575" i="1" s="1"/>
  <c r="AS1575" i="1" s="1"/>
  <c r="AK1575" i="1" a="1"/>
  <c r="AK1575" i="1" s="1"/>
  <c r="AU1575" i="1"/>
  <c r="BD1575" i="1"/>
  <c r="K1576" i="1"/>
  <c r="N1576" i="1" s="1"/>
  <c r="L1576" i="1"/>
  <c r="M1576" i="1"/>
  <c r="Q1576" i="1" a="1"/>
  <c r="Q1576" i="1" s="1"/>
  <c r="AS1576" i="1" s="1"/>
  <c r="AK1576" i="1" a="1"/>
  <c r="AK1576" i="1" s="1"/>
  <c r="AU1576" i="1"/>
  <c r="BD1576" i="1"/>
  <c r="K1580" i="1"/>
  <c r="L1580" i="1"/>
  <c r="M1580" i="1"/>
  <c r="N1580" i="1"/>
  <c r="O1580" i="1"/>
  <c r="AS1580" i="1"/>
  <c r="AK1580" i="1" a="1"/>
  <c r="AK1580" i="1" s="1"/>
  <c r="AU1580" i="1"/>
  <c r="BD1580" i="1"/>
  <c r="K1584" i="1"/>
  <c r="L1584" i="1"/>
  <c r="M1584" i="1"/>
  <c r="N1584" i="1"/>
  <c r="O1584" i="1"/>
  <c r="AS1584" i="1"/>
  <c r="AK1584" i="1" a="1"/>
  <c r="AK1584" i="1" s="1"/>
  <c r="AU1584" i="1"/>
  <c r="BD1584" i="1"/>
  <c r="K1585" i="1"/>
  <c r="N1585" i="1" s="1"/>
  <c r="L1585" i="1"/>
  <c r="M1585" i="1"/>
  <c r="Q1585" i="1" a="1"/>
  <c r="Q1585" i="1" s="1"/>
  <c r="AS1585" i="1" s="1"/>
  <c r="AK1585" i="1" a="1"/>
  <c r="AK1585" i="1" s="1"/>
  <c r="AU1585" i="1"/>
  <c r="BD1585" i="1"/>
  <c r="K1586" i="1"/>
  <c r="N1586" i="1" s="1"/>
  <c r="L1586" i="1"/>
  <c r="M1586" i="1"/>
  <c r="Q1586" i="1" a="1"/>
  <c r="Q1586" i="1" s="1"/>
  <c r="AS1586" i="1" s="1"/>
  <c r="AK1586" i="1" a="1"/>
  <c r="AK1586" i="1" s="1"/>
  <c r="AU1586" i="1"/>
  <c r="BD1586" i="1"/>
  <c r="K1587" i="1"/>
  <c r="N1587" i="1" s="1"/>
  <c r="L1587" i="1"/>
  <c r="M1587" i="1"/>
  <c r="Q1587" i="1" a="1"/>
  <c r="Q1587" i="1" s="1"/>
  <c r="AS1587" i="1" s="1"/>
  <c r="AK1587" i="1" a="1"/>
  <c r="AK1587" i="1" s="1"/>
  <c r="AU1587" i="1"/>
  <c r="BD1587" i="1"/>
  <c r="K1588" i="1"/>
  <c r="N1588" i="1" s="1"/>
  <c r="L1588" i="1"/>
  <c r="M1588" i="1"/>
  <c r="Q1588" i="1" a="1"/>
  <c r="Q1588" i="1" s="1"/>
  <c r="AS1588" i="1" s="1"/>
  <c r="AK1588" i="1" a="1"/>
  <c r="AK1588" i="1" s="1"/>
  <c r="AU1588" i="1"/>
  <c r="BD1588" i="1"/>
  <c r="K1589" i="1"/>
  <c r="N1589" i="1" s="1"/>
  <c r="L1589" i="1"/>
  <c r="M1589" i="1"/>
  <c r="Q1589" i="1" a="1"/>
  <c r="Q1589" i="1" s="1"/>
  <c r="AS1589" i="1" s="1"/>
  <c r="AK1589" i="1" a="1"/>
  <c r="AK1589" i="1" s="1"/>
  <c r="AU1589" i="1"/>
  <c r="BD1589" i="1"/>
  <c r="K1590" i="1"/>
  <c r="N1590" i="1" s="1"/>
  <c r="L1590" i="1"/>
  <c r="M1590" i="1"/>
  <c r="Q1590" i="1" a="1"/>
  <c r="Q1590" i="1" s="1"/>
  <c r="AS1590" i="1" s="1"/>
  <c r="AK1590" i="1" a="1"/>
  <c r="AK1590" i="1" s="1"/>
  <c r="AU1590" i="1"/>
  <c r="BD1590" i="1"/>
  <c r="K1591" i="1"/>
  <c r="N1591" i="1" s="1"/>
  <c r="L1591" i="1"/>
  <c r="M1591" i="1"/>
  <c r="Q1591" i="1" a="1"/>
  <c r="Q1591" i="1" s="1"/>
  <c r="AS1591" i="1" s="1"/>
  <c r="AK1591" i="1" a="1"/>
  <c r="AK1591" i="1" s="1"/>
  <c r="AU1591" i="1"/>
  <c r="BD1591" i="1"/>
  <c r="K1592" i="1"/>
  <c r="N1592" i="1" s="1"/>
  <c r="L1592" i="1"/>
  <c r="M1592" i="1"/>
  <c r="Q1592" i="1" a="1"/>
  <c r="Q1592" i="1" s="1"/>
  <c r="AS1592" i="1" s="1"/>
  <c r="AK1592" i="1" a="1"/>
  <c r="AK1592" i="1" s="1"/>
  <c r="AU1592" i="1"/>
  <c r="BD1592" i="1"/>
  <c r="K1593" i="1"/>
  <c r="N1593" i="1" s="1"/>
  <c r="L1593" i="1"/>
  <c r="M1593" i="1"/>
  <c r="Q1593" i="1" a="1"/>
  <c r="Q1593" i="1" s="1"/>
  <c r="AS1593" i="1" s="1"/>
  <c r="AK1593" i="1" a="1"/>
  <c r="AK1593" i="1" s="1"/>
  <c r="AU1593" i="1"/>
  <c r="BD1593" i="1"/>
  <c r="K1594" i="1"/>
  <c r="N1594" i="1" s="1"/>
  <c r="L1594" i="1"/>
  <c r="M1594" i="1"/>
  <c r="Q1594" i="1" a="1"/>
  <c r="Q1594" i="1" s="1"/>
  <c r="AS1594" i="1" s="1"/>
  <c r="AK1594" i="1" a="1"/>
  <c r="AK1594" i="1" s="1"/>
  <c r="AU1594" i="1"/>
  <c r="BD1594" i="1"/>
  <c r="K1595" i="1"/>
  <c r="N1595" i="1" s="1"/>
  <c r="L1595" i="1"/>
  <c r="M1595" i="1"/>
  <c r="Q1595" i="1" a="1"/>
  <c r="Q1595" i="1" s="1"/>
  <c r="AS1595" i="1" s="1"/>
  <c r="AK1595" i="1" a="1"/>
  <c r="AK1595" i="1" s="1"/>
  <c r="AU1595" i="1"/>
  <c r="BD1595" i="1"/>
  <c r="K1596" i="1"/>
  <c r="N1596" i="1" s="1"/>
  <c r="L1596" i="1"/>
  <c r="M1596" i="1"/>
  <c r="Q1596" i="1" a="1"/>
  <c r="Q1596" i="1" s="1"/>
  <c r="AS1596" i="1" s="1"/>
  <c r="AK1596" i="1" a="1"/>
  <c r="AK1596" i="1" s="1"/>
  <c r="AU1596" i="1"/>
  <c r="BD1596" i="1"/>
  <c r="K1597" i="1"/>
  <c r="N1597" i="1" s="1"/>
  <c r="L1597" i="1"/>
  <c r="M1597" i="1"/>
  <c r="Q1597" i="1" a="1"/>
  <c r="Q1597" i="1" s="1"/>
  <c r="AS1597" i="1" s="1"/>
  <c r="AK1597" i="1" a="1"/>
  <c r="AK1597" i="1" s="1"/>
  <c r="AU1597" i="1"/>
  <c r="BD1597" i="1"/>
  <c r="K1598" i="1"/>
  <c r="N1598" i="1" s="1"/>
  <c r="L1598" i="1"/>
  <c r="M1598" i="1"/>
  <c r="Q1598" i="1" a="1"/>
  <c r="Q1598" i="1" s="1"/>
  <c r="AS1598" i="1" s="1"/>
  <c r="AK1598" i="1" a="1"/>
  <c r="AK1598" i="1" s="1"/>
  <c r="AU1598" i="1"/>
  <c r="BD1598" i="1"/>
  <c r="K1599" i="1"/>
  <c r="N1599" i="1" s="1"/>
  <c r="L1599" i="1"/>
  <c r="M1599" i="1"/>
  <c r="Q1599" i="1" a="1"/>
  <c r="Q1599" i="1" s="1"/>
  <c r="AS1599" i="1" s="1"/>
  <c r="AK1599" i="1" a="1"/>
  <c r="AK1599" i="1" s="1"/>
  <c r="AU1599" i="1"/>
  <c r="BD1599" i="1"/>
  <c r="K1600" i="1"/>
  <c r="N1600" i="1" s="1"/>
  <c r="L1600" i="1"/>
  <c r="M1600" i="1"/>
  <c r="Q1600" i="1" a="1"/>
  <c r="Q1600" i="1" s="1"/>
  <c r="AS1600" i="1" s="1"/>
  <c r="AK1600" i="1" a="1"/>
  <c r="AK1600" i="1" s="1"/>
  <c r="AU1600" i="1"/>
  <c r="BD1600" i="1"/>
  <c r="K1601" i="1"/>
  <c r="N1601" i="1" s="1"/>
  <c r="L1601" i="1"/>
  <c r="M1601" i="1"/>
  <c r="Q1601" i="1" a="1"/>
  <c r="Q1601" i="1" s="1"/>
  <c r="AS1601" i="1" s="1"/>
  <c r="AK1601" i="1" a="1"/>
  <c r="AK1601" i="1" s="1"/>
  <c r="AU1601" i="1"/>
  <c r="BD1601" i="1"/>
  <c r="K1602" i="1"/>
  <c r="N1602" i="1" s="1"/>
  <c r="L1602" i="1"/>
  <c r="M1602" i="1"/>
  <c r="Q1602" i="1" a="1"/>
  <c r="Q1602" i="1" s="1"/>
  <c r="AS1602" i="1" s="1"/>
  <c r="AK1602" i="1" a="1"/>
  <c r="AK1602" i="1" s="1"/>
  <c r="AU1602" i="1"/>
  <c r="BD1602" i="1"/>
  <c r="K1606" i="1"/>
  <c r="L1606" i="1"/>
  <c r="M1606" i="1"/>
  <c r="N1606" i="1"/>
  <c r="O1606" i="1"/>
  <c r="AS1606" i="1"/>
  <c r="AK1606" i="1" a="1"/>
  <c r="AK1606" i="1" s="1"/>
  <c r="AU1606" i="1"/>
  <c r="BD1606" i="1"/>
  <c r="K1610" i="1"/>
  <c r="N1610" i="1" s="1"/>
  <c r="L1610" i="1"/>
  <c r="M1610" i="1"/>
  <c r="O1610" i="1"/>
  <c r="AS1610" i="1"/>
  <c r="AK1610" i="1" a="1"/>
  <c r="AK1610" i="1" s="1"/>
  <c r="AU1610" i="1"/>
  <c r="BD1610" i="1"/>
  <c r="K1611" i="1"/>
  <c r="N1611" i="1" s="1"/>
  <c r="L1611" i="1"/>
  <c r="M1611" i="1"/>
  <c r="Q1611" i="1" a="1"/>
  <c r="Q1611" i="1" s="1"/>
  <c r="AS1611" i="1" s="1"/>
  <c r="AK1611" i="1" a="1"/>
  <c r="AK1611" i="1" s="1"/>
  <c r="AU1611" i="1"/>
  <c r="BD1611" i="1"/>
  <c r="K1612" i="1"/>
  <c r="N1612" i="1" s="1"/>
  <c r="L1612" i="1"/>
  <c r="M1612" i="1"/>
  <c r="Q1612" i="1" a="1"/>
  <c r="Q1612" i="1" s="1"/>
  <c r="AS1612" i="1" s="1"/>
  <c r="AK1612" i="1" a="1"/>
  <c r="AK1612" i="1" s="1"/>
  <c r="AU1612" i="1"/>
  <c r="BD1612" i="1"/>
  <c r="K1613" i="1"/>
  <c r="N1613" i="1" s="1"/>
  <c r="L1613" i="1"/>
  <c r="M1613" i="1"/>
  <c r="Q1613" i="1" a="1"/>
  <c r="Q1613" i="1" s="1"/>
  <c r="AS1613" i="1" s="1"/>
  <c r="AK1613" i="1" a="1"/>
  <c r="AK1613" i="1" s="1"/>
  <c r="AU1613" i="1"/>
  <c r="BD1613" i="1"/>
  <c r="K1614" i="1"/>
  <c r="N1614" i="1" s="1"/>
  <c r="L1614" i="1"/>
  <c r="M1614" i="1"/>
  <c r="Q1614" i="1" a="1"/>
  <c r="Q1614" i="1" s="1"/>
  <c r="AS1614" i="1" s="1"/>
  <c r="AK1614" i="1" a="1"/>
  <c r="AK1614" i="1" s="1"/>
  <c r="AU1614" i="1"/>
  <c r="BD1614" i="1"/>
  <c r="K1615" i="1"/>
  <c r="N1615" i="1" s="1"/>
  <c r="L1615" i="1"/>
  <c r="M1615" i="1"/>
  <c r="Q1615" i="1" a="1"/>
  <c r="Q1615" i="1" s="1"/>
  <c r="AS1615" i="1" s="1"/>
  <c r="AK1615" i="1" a="1"/>
  <c r="AK1615" i="1" s="1"/>
  <c r="AU1615" i="1"/>
  <c r="BD1615" i="1"/>
  <c r="K1616" i="1"/>
  <c r="N1616" i="1" s="1"/>
  <c r="L1616" i="1"/>
  <c r="M1616" i="1"/>
  <c r="Q1616" i="1" a="1"/>
  <c r="Q1616" i="1" s="1"/>
  <c r="AS1616" i="1" s="1"/>
  <c r="AK1616" i="1" a="1"/>
  <c r="AK1616" i="1" s="1"/>
  <c r="AU1616" i="1"/>
  <c r="BD1616" i="1"/>
  <c r="K1617" i="1"/>
  <c r="N1617" i="1" s="1"/>
  <c r="L1617" i="1"/>
  <c r="M1617" i="1"/>
  <c r="Q1617" i="1" a="1"/>
  <c r="Q1617" i="1" s="1"/>
  <c r="AS1617" i="1" s="1"/>
  <c r="AK1617" i="1" a="1"/>
  <c r="AK1617" i="1" s="1"/>
  <c r="AU1617" i="1"/>
  <c r="BD1617" i="1"/>
  <c r="K1618" i="1"/>
  <c r="N1618" i="1" s="1"/>
  <c r="L1618" i="1"/>
  <c r="M1618" i="1"/>
  <c r="Q1618" i="1" a="1"/>
  <c r="Q1618" i="1" s="1"/>
  <c r="AS1618" i="1" s="1"/>
  <c r="AK1618" i="1" a="1"/>
  <c r="AK1618" i="1" s="1"/>
  <c r="AU1618" i="1"/>
  <c r="BD1618" i="1"/>
  <c r="K1619" i="1"/>
  <c r="N1619" i="1" s="1"/>
  <c r="L1619" i="1"/>
  <c r="M1619" i="1"/>
  <c r="Q1619" i="1" a="1"/>
  <c r="Q1619" i="1" s="1"/>
  <c r="AS1619" i="1" s="1"/>
  <c r="AK1619" i="1" a="1"/>
  <c r="AK1619" i="1" s="1"/>
  <c r="AU1619" i="1"/>
  <c r="BD1619" i="1"/>
  <c r="K1620" i="1"/>
  <c r="N1620" i="1" s="1"/>
  <c r="L1620" i="1"/>
  <c r="M1620" i="1"/>
  <c r="Q1620" i="1" a="1"/>
  <c r="Q1620" i="1" s="1"/>
  <c r="AS1620" i="1" s="1"/>
  <c r="AK1620" i="1" a="1"/>
  <c r="AK1620" i="1" s="1"/>
  <c r="AU1620" i="1"/>
  <c r="BD1620" i="1"/>
  <c r="K1621" i="1"/>
  <c r="N1621" i="1" s="1"/>
  <c r="L1621" i="1"/>
  <c r="M1621" i="1"/>
  <c r="Q1621" i="1" a="1"/>
  <c r="Q1621" i="1" s="1"/>
  <c r="AS1621" i="1" s="1"/>
  <c r="AK1621" i="1" a="1"/>
  <c r="AK1621" i="1" s="1"/>
  <c r="AU1621" i="1"/>
  <c r="BD1621" i="1"/>
  <c r="K1622" i="1"/>
  <c r="N1622" i="1" s="1"/>
  <c r="L1622" i="1"/>
  <c r="M1622" i="1"/>
  <c r="Q1622" i="1" a="1"/>
  <c r="Q1622" i="1" s="1"/>
  <c r="AS1622" i="1" s="1"/>
  <c r="AK1622" i="1" a="1"/>
  <c r="AK1622" i="1" s="1"/>
  <c r="AU1622" i="1"/>
  <c r="BD1622" i="1"/>
  <c r="K1623" i="1"/>
  <c r="N1623" i="1" s="1"/>
  <c r="L1623" i="1"/>
  <c r="M1623" i="1"/>
  <c r="Q1623" i="1" a="1"/>
  <c r="Q1623" i="1" s="1"/>
  <c r="AS1623" i="1" s="1"/>
  <c r="AK1623" i="1" a="1"/>
  <c r="AK1623" i="1" s="1"/>
  <c r="AU1623" i="1"/>
  <c r="BD1623" i="1"/>
  <c r="K1624" i="1"/>
  <c r="N1624" i="1" s="1"/>
  <c r="L1624" i="1"/>
  <c r="M1624" i="1"/>
  <c r="Q1624" i="1" a="1"/>
  <c r="Q1624" i="1" s="1"/>
  <c r="AS1624" i="1" s="1"/>
  <c r="AK1624" i="1" a="1"/>
  <c r="AK1624" i="1" s="1"/>
  <c r="AU1624" i="1"/>
  <c r="BD1624" i="1"/>
  <c r="K1625" i="1"/>
  <c r="N1625" i="1" s="1"/>
  <c r="L1625" i="1"/>
  <c r="M1625" i="1"/>
  <c r="Q1625" i="1" a="1"/>
  <c r="Q1625" i="1" s="1"/>
  <c r="AS1625" i="1" s="1"/>
  <c r="AK1625" i="1" a="1"/>
  <c r="AK1625" i="1" s="1"/>
  <c r="AU1625" i="1"/>
  <c r="BD1625" i="1"/>
  <c r="K1626" i="1"/>
  <c r="N1626" i="1" s="1"/>
  <c r="L1626" i="1"/>
  <c r="M1626" i="1"/>
  <c r="Q1626" i="1" a="1"/>
  <c r="Q1626" i="1" s="1"/>
  <c r="AS1626" i="1" s="1"/>
  <c r="AK1626" i="1" a="1"/>
  <c r="AK1626" i="1" s="1"/>
  <c r="AU1626" i="1"/>
  <c r="BD1626" i="1"/>
  <c r="K1627" i="1"/>
  <c r="N1627" i="1" s="1"/>
  <c r="L1627" i="1"/>
  <c r="M1627" i="1"/>
  <c r="Q1627" i="1" a="1"/>
  <c r="Q1627" i="1" s="1"/>
  <c r="AS1627" i="1" s="1"/>
  <c r="AK1627" i="1" a="1"/>
  <c r="AK1627" i="1" s="1"/>
  <c r="AU1627" i="1"/>
  <c r="BD1627" i="1"/>
  <c r="K1628" i="1"/>
  <c r="N1628" i="1" s="1"/>
  <c r="L1628" i="1"/>
  <c r="M1628" i="1"/>
  <c r="Q1628" i="1" a="1"/>
  <c r="Q1628" i="1" s="1"/>
  <c r="AS1628" i="1" s="1"/>
  <c r="AK1628" i="1" a="1"/>
  <c r="AK1628" i="1" s="1"/>
  <c r="AU1628" i="1"/>
  <c r="BD1628" i="1"/>
  <c r="K1629" i="1"/>
  <c r="N1629" i="1" s="1"/>
  <c r="L1629" i="1"/>
  <c r="M1629" i="1"/>
  <c r="Q1629" i="1" a="1"/>
  <c r="Q1629" i="1" s="1"/>
  <c r="AS1629" i="1" s="1"/>
  <c r="AK1629" i="1" a="1"/>
  <c r="AK1629" i="1" s="1"/>
  <c r="AU1629" i="1"/>
  <c r="BD1629" i="1"/>
  <c r="K1630" i="1"/>
  <c r="N1630" i="1" s="1"/>
  <c r="L1630" i="1"/>
  <c r="M1630" i="1"/>
  <c r="Q1630" i="1" a="1"/>
  <c r="Q1630" i="1" s="1"/>
  <c r="AS1630" i="1" s="1"/>
  <c r="AK1630" i="1" a="1"/>
  <c r="AK1630" i="1" s="1"/>
  <c r="AU1630" i="1"/>
  <c r="BD1630" i="1"/>
  <c r="K1631" i="1"/>
  <c r="N1631" i="1" s="1"/>
  <c r="L1631" i="1"/>
  <c r="M1631" i="1"/>
  <c r="Q1631" i="1" a="1"/>
  <c r="Q1631" i="1" s="1"/>
  <c r="AS1631" i="1" s="1"/>
  <c r="AK1631" i="1" a="1"/>
  <c r="AK1631" i="1" s="1"/>
  <c r="AU1631" i="1"/>
  <c r="BD1631" i="1"/>
  <c r="K1632" i="1"/>
  <c r="N1632" i="1" s="1"/>
  <c r="L1632" i="1"/>
  <c r="M1632" i="1"/>
  <c r="Q1632" i="1" a="1"/>
  <c r="Q1632" i="1" s="1"/>
  <c r="AS1632" i="1" s="1"/>
  <c r="AK1632" i="1" a="1"/>
  <c r="AK1632" i="1" s="1"/>
  <c r="AU1632" i="1"/>
  <c r="BD1632" i="1"/>
  <c r="K1633" i="1"/>
  <c r="N1633" i="1" s="1"/>
  <c r="L1633" i="1"/>
  <c r="M1633" i="1"/>
  <c r="Q1633" i="1" a="1"/>
  <c r="Q1633" i="1" s="1"/>
  <c r="AS1633" i="1" s="1"/>
  <c r="AK1633" i="1" a="1"/>
  <c r="AK1633" i="1" s="1"/>
  <c r="AU1633" i="1"/>
  <c r="BD1633" i="1"/>
  <c r="K1634" i="1"/>
  <c r="N1634" i="1" s="1"/>
  <c r="L1634" i="1"/>
  <c r="M1634" i="1"/>
  <c r="Q1634" i="1" a="1"/>
  <c r="Q1634" i="1" s="1"/>
  <c r="AS1634" i="1" s="1"/>
  <c r="AK1634" i="1" a="1"/>
  <c r="AK1634" i="1" s="1"/>
  <c r="AU1634" i="1"/>
  <c r="BD1634" i="1"/>
  <c r="K1635" i="1"/>
  <c r="N1635" i="1" s="1"/>
  <c r="L1635" i="1"/>
  <c r="M1635" i="1"/>
  <c r="Q1635" i="1" a="1"/>
  <c r="Q1635" i="1" s="1"/>
  <c r="AS1635" i="1" s="1"/>
  <c r="AK1635" i="1" a="1"/>
  <c r="AK1635" i="1" s="1"/>
  <c r="AU1635" i="1"/>
  <c r="BD1635" i="1"/>
  <c r="K1636" i="1"/>
  <c r="N1636" i="1" s="1"/>
  <c r="L1636" i="1"/>
  <c r="M1636" i="1"/>
  <c r="Q1636" i="1" a="1"/>
  <c r="Q1636" i="1" s="1"/>
  <c r="AS1636" i="1" s="1"/>
  <c r="AK1636" i="1" a="1"/>
  <c r="AK1636" i="1" s="1"/>
  <c r="AU1636" i="1"/>
  <c r="BD1636" i="1"/>
  <c r="K1637" i="1"/>
  <c r="N1637" i="1" s="1"/>
  <c r="L1637" i="1"/>
  <c r="M1637" i="1"/>
  <c r="Q1637" i="1" a="1"/>
  <c r="Q1637" i="1" s="1"/>
  <c r="AS1637" i="1" s="1"/>
  <c r="AK1637" i="1" a="1"/>
  <c r="AK1637" i="1" s="1"/>
  <c r="AU1637" i="1"/>
  <c r="BD1637" i="1"/>
  <c r="K1638" i="1"/>
  <c r="N1638" i="1" s="1"/>
  <c r="L1638" i="1"/>
  <c r="M1638" i="1"/>
  <c r="Q1638" i="1" a="1"/>
  <c r="Q1638" i="1" s="1"/>
  <c r="AS1638" i="1" s="1"/>
  <c r="AK1638" i="1" a="1"/>
  <c r="AK1638" i="1" s="1"/>
  <c r="AU1638" i="1"/>
  <c r="BD1638" i="1"/>
  <c r="K1639" i="1"/>
  <c r="N1639" i="1" s="1"/>
  <c r="L1639" i="1"/>
  <c r="M1639" i="1"/>
  <c r="Q1639" i="1" a="1"/>
  <c r="Q1639" i="1" s="1"/>
  <c r="AS1639" i="1" s="1"/>
  <c r="AK1639" i="1" a="1"/>
  <c r="AK1639" i="1" s="1"/>
  <c r="AU1639" i="1"/>
  <c r="BD1639" i="1"/>
  <c r="K1640" i="1"/>
  <c r="N1640" i="1" s="1"/>
  <c r="L1640" i="1"/>
  <c r="M1640" i="1"/>
  <c r="Q1640" i="1" a="1"/>
  <c r="Q1640" i="1" s="1"/>
  <c r="AS1640" i="1" s="1"/>
  <c r="AK1640" i="1" a="1"/>
  <c r="AK1640" i="1" s="1"/>
  <c r="AU1640" i="1"/>
  <c r="BD1640" i="1"/>
  <c r="K1641" i="1"/>
  <c r="N1641" i="1" s="1"/>
  <c r="L1641" i="1"/>
  <c r="M1641" i="1"/>
  <c r="Q1641" i="1" a="1"/>
  <c r="Q1641" i="1" s="1"/>
  <c r="AS1641" i="1" s="1"/>
  <c r="AK1641" i="1" a="1"/>
  <c r="AK1641" i="1" s="1"/>
  <c r="AU1641" i="1"/>
  <c r="BD1641" i="1"/>
  <c r="K1642" i="1"/>
  <c r="N1642" i="1" s="1"/>
  <c r="L1642" i="1"/>
  <c r="M1642" i="1"/>
  <c r="Q1642" i="1" a="1"/>
  <c r="Q1642" i="1" s="1"/>
  <c r="AS1642" i="1" s="1"/>
  <c r="AK1642" i="1" a="1"/>
  <c r="AK1642" i="1" s="1"/>
  <c r="AU1642" i="1"/>
  <c r="BD1642" i="1"/>
  <c r="K1643" i="1"/>
  <c r="N1643" i="1" s="1"/>
  <c r="L1643" i="1"/>
  <c r="M1643" i="1"/>
  <c r="Q1643" i="1" a="1"/>
  <c r="Q1643" i="1" s="1"/>
  <c r="AS1643" i="1" s="1"/>
  <c r="AK1643" i="1" a="1"/>
  <c r="AK1643" i="1" s="1"/>
  <c r="AU1643" i="1"/>
  <c r="BD1643" i="1"/>
  <c r="K1644" i="1"/>
  <c r="N1644" i="1" s="1"/>
  <c r="L1644" i="1"/>
  <c r="M1644" i="1"/>
  <c r="Q1644" i="1" a="1"/>
  <c r="Q1644" i="1" s="1"/>
  <c r="AS1644" i="1" s="1"/>
  <c r="AK1644" i="1" a="1"/>
  <c r="AK1644" i="1" s="1"/>
  <c r="AU1644" i="1"/>
  <c r="BD1644" i="1"/>
  <c r="K1645" i="1"/>
  <c r="N1645" i="1" s="1"/>
  <c r="L1645" i="1"/>
  <c r="M1645" i="1"/>
  <c r="Q1645" i="1" a="1"/>
  <c r="Q1645" i="1" s="1"/>
  <c r="AS1645" i="1" s="1"/>
  <c r="AK1645" i="1" a="1"/>
  <c r="AK1645" i="1" s="1"/>
  <c r="AU1645" i="1"/>
  <c r="BD1645" i="1"/>
  <c r="K1646" i="1"/>
  <c r="N1646" i="1" s="1"/>
  <c r="L1646" i="1"/>
  <c r="M1646" i="1"/>
  <c r="Q1646" i="1" a="1"/>
  <c r="Q1646" i="1" s="1"/>
  <c r="AS1646" i="1" s="1"/>
  <c r="AK1646" i="1" a="1"/>
  <c r="AK1646" i="1" s="1"/>
  <c r="AU1646" i="1"/>
  <c r="BD1646" i="1"/>
  <c r="K1650" i="1"/>
  <c r="L1650" i="1"/>
  <c r="M1650" i="1"/>
  <c r="N1650" i="1"/>
  <c r="O1650" i="1"/>
  <c r="AS1650" i="1"/>
  <c r="AK1650" i="1" a="1"/>
  <c r="AK1650" i="1" s="1"/>
  <c r="AU1650" i="1"/>
  <c r="BD1650" i="1"/>
  <c r="K1654" i="1"/>
  <c r="L1654" i="1"/>
  <c r="M1654" i="1"/>
  <c r="N1654" i="1"/>
  <c r="O1654" i="1"/>
  <c r="AS1654" i="1"/>
  <c r="AK1654" i="1" a="1"/>
  <c r="AK1654" i="1" s="1"/>
  <c r="AU1654" i="1"/>
  <c r="BD1654" i="1"/>
  <c r="K1658" i="1"/>
  <c r="L1658" i="1"/>
  <c r="M1658" i="1"/>
  <c r="N1658" i="1"/>
  <c r="O1658" i="1"/>
  <c r="AS1658" i="1"/>
  <c r="AK1658" i="1" a="1"/>
  <c r="AK1658" i="1" s="1"/>
  <c r="AU1658" i="1"/>
  <c r="BD1658" i="1"/>
  <c r="K1662" i="1"/>
  <c r="L1662" i="1"/>
  <c r="M1662" i="1"/>
  <c r="N1662" i="1"/>
  <c r="O1662" i="1"/>
  <c r="AS1662" i="1"/>
  <c r="AK1662" i="1" a="1"/>
  <c r="AK1662" i="1" s="1"/>
  <c r="AU1662" i="1"/>
  <c r="BD1662" i="1"/>
  <c r="K1666" i="1"/>
  <c r="N1666" i="1" s="1"/>
  <c r="L1666" i="1"/>
  <c r="M1666" i="1"/>
  <c r="O1666" i="1"/>
  <c r="AS1666" i="1"/>
  <c r="AK1666" i="1" a="1"/>
  <c r="AK1666" i="1" s="1"/>
  <c r="AU1666" i="1"/>
  <c r="BD1666" i="1"/>
  <c r="K1667" i="1"/>
  <c r="N1667" i="1" s="1"/>
  <c r="L1667" i="1"/>
  <c r="M1667" i="1"/>
  <c r="Q1667" i="1" a="1"/>
  <c r="Q1667" i="1" s="1"/>
  <c r="AS1667" i="1" s="1"/>
  <c r="AK1667" i="1" a="1"/>
  <c r="AK1667" i="1" s="1"/>
  <c r="AU1667" i="1"/>
  <c r="BD1667" i="1"/>
  <c r="K1668" i="1"/>
  <c r="N1668" i="1" s="1"/>
  <c r="L1668" i="1"/>
  <c r="M1668" i="1"/>
  <c r="Q1668" i="1" a="1"/>
  <c r="Q1668" i="1" s="1"/>
  <c r="AS1668" i="1" s="1"/>
  <c r="AK1668" i="1" a="1"/>
  <c r="AK1668" i="1" s="1"/>
  <c r="AU1668" i="1"/>
  <c r="BD1668" i="1"/>
  <c r="K1669" i="1"/>
  <c r="N1669" i="1" s="1"/>
  <c r="L1669" i="1"/>
  <c r="M1669" i="1"/>
  <c r="Q1669" i="1" a="1"/>
  <c r="Q1669" i="1" s="1"/>
  <c r="AS1669" i="1" s="1"/>
  <c r="AK1669" i="1" a="1"/>
  <c r="AK1669" i="1" s="1"/>
  <c r="AU1669" i="1"/>
  <c r="BD1669" i="1"/>
  <c r="K1670" i="1"/>
  <c r="N1670" i="1" s="1"/>
  <c r="L1670" i="1"/>
  <c r="M1670" i="1"/>
  <c r="Q1670" i="1" a="1"/>
  <c r="Q1670" i="1" s="1"/>
  <c r="AS1670" i="1" s="1"/>
  <c r="AK1670" i="1" a="1"/>
  <c r="AK1670" i="1" s="1"/>
  <c r="AU1670" i="1"/>
  <c r="BD1670" i="1"/>
  <c r="K1671" i="1"/>
  <c r="N1671" i="1" s="1"/>
  <c r="L1671" i="1"/>
  <c r="M1671" i="1"/>
  <c r="Q1671" i="1" a="1"/>
  <c r="Q1671" i="1" s="1"/>
  <c r="AS1671" i="1" s="1"/>
  <c r="AK1671" i="1" a="1"/>
  <c r="AK1671" i="1" s="1"/>
  <c r="AU1671" i="1"/>
  <c r="BD1671" i="1"/>
  <c r="K1672" i="1"/>
  <c r="N1672" i="1" s="1"/>
  <c r="L1672" i="1"/>
  <c r="M1672" i="1"/>
  <c r="Q1672" i="1" a="1"/>
  <c r="Q1672" i="1" s="1"/>
  <c r="AS1672" i="1" s="1"/>
  <c r="AK1672" i="1" a="1"/>
  <c r="AK1672" i="1" s="1"/>
  <c r="AU1672" i="1"/>
  <c r="BD1672" i="1"/>
  <c r="K1673" i="1"/>
  <c r="N1673" i="1" s="1"/>
  <c r="L1673" i="1"/>
  <c r="M1673" i="1"/>
  <c r="Q1673" i="1" a="1"/>
  <c r="Q1673" i="1" s="1"/>
  <c r="AS1673" i="1" s="1"/>
  <c r="AK1673" i="1" a="1"/>
  <c r="AK1673" i="1" s="1"/>
  <c r="AU1673" i="1"/>
  <c r="BD1673" i="1"/>
  <c r="K1674" i="1"/>
  <c r="N1674" i="1" s="1"/>
  <c r="L1674" i="1"/>
  <c r="M1674" i="1"/>
  <c r="Q1674" i="1" a="1"/>
  <c r="Q1674" i="1" s="1"/>
  <c r="AS1674" i="1" s="1"/>
  <c r="AK1674" i="1" a="1"/>
  <c r="AK1674" i="1" s="1"/>
  <c r="AU1674" i="1"/>
  <c r="BD1674" i="1"/>
  <c r="K1675" i="1"/>
  <c r="N1675" i="1" s="1"/>
  <c r="L1675" i="1"/>
  <c r="M1675" i="1"/>
  <c r="Q1675" i="1" a="1"/>
  <c r="Q1675" i="1" s="1"/>
  <c r="AS1675" i="1" s="1"/>
  <c r="AK1675" i="1" a="1"/>
  <c r="AK1675" i="1" s="1"/>
  <c r="AU1675" i="1"/>
  <c r="BD1675" i="1"/>
  <c r="K1676" i="1"/>
  <c r="N1676" i="1" s="1"/>
  <c r="L1676" i="1"/>
  <c r="M1676" i="1"/>
  <c r="Q1676" i="1" a="1"/>
  <c r="Q1676" i="1" s="1"/>
  <c r="AS1676" i="1" s="1"/>
  <c r="AK1676" i="1" a="1"/>
  <c r="AK1676" i="1" s="1"/>
  <c r="AU1676" i="1"/>
  <c r="BD1676" i="1"/>
  <c r="K1677" i="1"/>
  <c r="N1677" i="1" s="1"/>
  <c r="L1677" i="1"/>
  <c r="M1677" i="1"/>
  <c r="Q1677" i="1" a="1"/>
  <c r="Q1677" i="1" s="1"/>
  <c r="AS1677" i="1" s="1"/>
  <c r="AK1677" i="1" a="1"/>
  <c r="AK1677" i="1" s="1"/>
  <c r="AU1677" i="1"/>
  <c r="BD1677" i="1"/>
  <c r="K1678" i="1"/>
  <c r="N1678" i="1" s="1"/>
  <c r="L1678" i="1"/>
  <c r="M1678" i="1"/>
  <c r="Q1678" i="1" a="1"/>
  <c r="Q1678" i="1" s="1"/>
  <c r="AS1678" i="1" s="1"/>
  <c r="AK1678" i="1" a="1"/>
  <c r="AK1678" i="1" s="1"/>
  <c r="AU1678" i="1"/>
  <c r="BD1678" i="1"/>
  <c r="K1679" i="1"/>
  <c r="N1679" i="1" s="1"/>
  <c r="L1679" i="1"/>
  <c r="M1679" i="1"/>
  <c r="Q1679" i="1" a="1"/>
  <c r="Q1679" i="1" s="1"/>
  <c r="AS1679" i="1" s="1"/>
  <c r="AK1679" i="1" a="1"/>
  <c r="AK1679" i="1" s="1"/>
  <c r="AU1679" i="1"/>
  <c r="BD1679" i="1"/>
  <c r="K1680" i="1"/>
  <c r="N1680" i="1" s="1"/>
  <c r="L1680" i="1"/>
  <c r="M1680" i="1"/>
  <c r="Q1680" i="1" a="1"/>
  <c r="Q1680" i="1" s="1"/>
  <c r="AS1680" i="1" s="1"/>
  <c r="AK1680" i="1" a="1"/>
  <c r="AK1680" i="1" s="1"/>
  <c r="AU1680" i="1"/>
  <c r="BD1680" i="1"/>
  <c r="K1681" i="1"/>
  <c r="N1681" i="1" s="1"/>
  <c r="L1681" i="1"/>
  <c r="M1681" i="1"/>
  <c r="Q1681" i="1" a="1"/>
  <c r="Q1681" i="1" s="1"/>
  <c r="AS1681" i="1" s="1"/>
  <c r="AK1681" i="1" a="1"/>
  <c r="AK1681" i="1" s="1"/>
  <c r="AU1681" i="1"/>
  <c r="BD1681" i="1"/>
  <c r="K1682" i="1"/>
  <c r="N1682" i="1" s="1"/>
  <c r="L1682" i="1"/>
  <c r="M1682" i="1"/>
  <c r="Q1682" i="1" a="1"/>
  <c r="Q1682" i="1" s="1"/>
  <c r="AS1682" i="1" s="1"/>
  <c r="AK1682" i="1" a="1"/>
  <c r="AK1682" i="1" s="1"/>
  <c r="AU1682" i="1"/>
  <c r="BD1682" i="1"/>
  <c r="K1683" i="1"/>
  <c r="N1683" i="1" s="1"/>
  <c r="L1683" i="1"/>
  <c r="M1683" i="1"/>
  <c r="Q1683" i="1" a="1"/>
  <c r="Q1683" i="1" s="1"/>
  <c r="AS1683" i="1" s="1"/>
  <c r="AK1683" i="1" a="1"/>
  <c r="AK1683" i="1" s="1"/>
  <c r="AU1683" i="1"/>
  <c r="BD1683" i="1"/>
  <c r="K1684" i="1"/>
  <c r="N1684" i="1" s="1"/>
  <c r="L1684" i="1"/>
  <c r="M1684" i="1"/>
  <c r="Q1684" i="1" a="1"/>
  <c r="Q1684" i="1" s="1"/>
  <c r="AS1684" i="1" s="1"/>
  <c r="AK1684" i="1" a="1"/>
  <c r="AK1684" i="1" s="1"/>
  <c r="AU1684" i="1"/>
  <c r="BD1684" i="1"/>
  <c r="K1685" i="1"/>
  <c r="N1685" i="1" s="1"/>
  <c r="L1685" i="1"/>
  <c r="M1685" i="1"/>
  <c r="Q1685" i="1" a="1"/>
  <c r="Q1685" i="1" s="1"/>
  <c r="AS1685" i="1" s="1"/>
  <c r="AK1685" i="1" a="1"/>
  <c r="AK1685" i="1" s="1"/>
  <c r="AU1685" i="1"/>
  <c r="BD1685" i="1"/>
  <c r="K1686" i="1"/>
  <c r="N1686" i="1" s="1"/>
  <c r="L1686" i="1"/>
  <c r="M1686" i="1"/>
  <c r="Q1686" i="1" a="1"/>
  <c r="Q1686" i="1" s="1"/>
  <c r="AS1686" i="1" s="1"/>
  <c r="AK1686" i="1" a="1"/>
  <c r="AK1686" i="1" s="1"/>
  <c r="AU1686" i="1"/>
  <c r="BD1686" i="1"/>
  <c r="K1687" i="1"/>
  <c r="N1687" i="1" s="1"/>
  <c r="L1687" i="1"/>
  <c r="M1687" i="1"/>
  <c r="Q1687" i="1" a="1"/>
  <c r="Q1687" i="1" s="1"/>
  <c r="AS1687" i="1" s="1"/>
  <c r="AK1687" i="1" a="1"/>
  <c r="AK1687" i="1" s="1"/>
  <c r="AU1687" i="1"/>
  <c r="BD1687" i="1"/>
  <c r="K1688" i="1"/>
  <c r="N1688" i="1" s="1"/>
  <c r="L1688" i="1"/>
  <c r="M1688" i="1"/>
  <c r="Q1688" i="1" a="1"/>
  <c r="Q1688" i="1" s="1"/>
  <c r="AS1688" i="1" s="1"/>
  <c r="AK1688" i="1" a="1"/>
  <c r="AK1688" i="1" s="1"/>
  <c r="AU1688" i="1"/>
  <c r="BD1688" i="1"/>
  <c r="K1689" i="1"/>
  <c r="N1689" i="1" s="1"/>
  <c r="L1689" i="1"/>
  <c r="M1689" i="1"/>
  <c r="Q1689" i="1" a="1"/>
  <c r="Q1689" i="1" s="1"/>
  <c r="AS1689" i="1" s="1"/>
  <c r="AK1689" i="1" a="1"/>
  <c r="AK1689" i="1" s="1"/>
  <c r="AU1689" i="1"/>
  <c r="BD1689" i="1"/>
  <c r="K1690" i="1"/>
  <c r="N1690" i="1" s="1"/>
  <c r="L1690" i="1"/>
  <c r="M1690" i="1"/>
  <c r="Q1690" i="1" a="1"/>
  <c r="Q1690" i="1" s="1"/>
  <c r="AS1690" i="1" s="1"/>
  <c r="AK1690" i="1" a="1"/>
  <c r="AK1690" i="1" s="1"/>
  <c r="AU1690" i="1"/>
  <c r="BD1690" i="1"/>
  <c r="K1691" i="1"/>
  <c r="N1691" i="1" s="1"/>
  <c r="L1691" i="1"/>
  <c r="M1691" i="1"/>
  <c r="Q1691" i="1" a="1"/>
  <c r="Q1691" i="1" s="1"/>
  <c r="AS1691" i="1" s="1"/>
  <c r="AK1691" i="1" a="1"/>
  <c r="AK1691" i="1" s="1"/>
  <c r="AU1691" i="1"/>
  <c r="BD1691" i="1"/>
  <c r="K1695" i="1"/>
  <c r="L1695" i="1"/>
  <c r="M1695" i="1"/>
  <c r="N1695" i="1"/>
  <c r="O1695" i="1"/>
  <c r="AS1695" i="1"/>
  <c r="AK1695" i="1" a="1"/>
  <c r="AK1695" i="1" s="1"/>
  <c r="AU1695" i="1"/>
  <c r="BD1695" i="1"/>
  <c r="K1699" i="1"/>
  <c r="L1699" i="1"/>
  <c r="M1699" i="1"/>
  <c r="N1699" i="1"/>
  <c r="O1699" i="1"/>
  <c r="AS1699" i="1"/>
  <c r="AK1699" i="1" a="1"/>
  <c r="AK1699" i="1" s="1"/>
  <c r="AU1699" i="1"/>
  <c r="BD1699" i="1"/>
  <c r="K1703" i="1"/>
  <c r="L1703" i="1"/>
  <c r="M1703" i="1"/>
  <c r="N1703" i="1"/>
  <c r="O1703" i="1"/>
  <c r="AS1703" i="1"/>
  <c r="AK1703" i="1" a="1"/>
  <c r="AK1703" i="1" s="1"/>
  <c r="AU1703" i="1"/>
  <c r="BD1703" i="1"/>
  <c r="K1707" i="1"/>
  <c r="L1707" i="1"/>
  <c r="M1707" i="1"/>
  <c r="N1707" i="1"/>
  <c r="O1707" i="1"/>
  <c r="AS1707" i="1"/>
  <c r="AK1707" i="1" a="1"/>
  <c r="AK1707" i="1" s="1"/>
  <c r="AU1707" i="1"/>
  <c r="BD1707" i="1"/>
  <c r="K1711" i="1"/>
  <c r="L1711" i="1"/>
  <c r="M1711" i="1"/>
  <c r="N1711" i="1"/>
  <c r="O1711" i="1"/>
  <c r="AS1711" i="1"/>
  <c r="AK1711" i="1" a="1"/>
  <c r="AK1711" i="1" s="1"/>
  <c r="AU1711" i="1"/>
  <c r="BD1711" i="1"/>
  <c r="K1712" i="1"/>
  <c r="N1712" i="1" s="1"/>
  <c r="L1712" i="1"/>
  <c r="M1712" i="1"/>
  <c r="Q1712" i="1" a="1"/>
  <c r="Q1712" i="1" s="1"/>
  <c r="AS1712" i="1" s="1"/>
  <c r="AK1712" i="1" a="1"/>
  <c r="AK1712" i="1" s="1"/>
  <c r="AU1712" i="1"/>
  <c r="BD1712" i="1"/>
  <c r="K1713" i="1"/>
  <c r="N1713" i="1" s="1"/>
  <c r="L1713" i="1"/>
  <c r="M1713" i="1"/>
  <c r="Q1713" i="1" a="1"/>
  <c r="Q1713" i="1" s="1"/>
  <c r="AS1713" i="1" s="1"/>
  <c r="AK1713" i="1" a="1"/>
  <c r="AK1713" i="1" s="1"/>
  <c r="AU1713" i="1"/>
  <c r="BD1713" i="1"/>
  <c r="K1714" i="1"/>
  <c r="N1714" i="1" s="1"/>
  <c r="L1714" i="1"/>
  <c r="M1714" i="1"/>
  <c r="Q1714" i="1" a="1"/>
  <c r="Q1714" i="1" s="1"/>
  <c r="AS1714" i="1" s="1"/>
  <c r="AK1714" i="1" a="1"/>
  <c r="AK1714" i="1" s="1"/>
  <c r="AU1714" i="1"/>
  <c r="BD1714" i="1"/>
  <c r="K1715" i="1"/>
  <c r="N1715" i="1" s="1"/>
  <c r="L1715" i="1"/>
  <c r="M1715" i="1"/>
  <c r="Q1715" i="1" a="1"/>
  <c r="Q1715" i="1" s="1"/>
  <c r="AS1715" i="1" s="1"/>
  <c r="AK1715" i="1" a="1"/>
  <c r="AK1715" i="1" s="1"/>
  <c r="AU1715" i="1"/>
  <c r="BD1715" i="1"/>
  <c r="K1716" i="1"/>
  <c r="N1716" i="1" s="1"/>
  <c r="L1716" i="1"/>
  <c r="M1716" i="1"/>
  <c r="Q1716" i="1" a="1"/>
  <c r="Q1716" i="1" s="1"/>
  <c r="AS1716" i="1" s="1"/>
  <c r="AK1716" i="1" a="1"/>
  <c r="AK1716" i="1" s="1"/>
  <c r="AU1716" i="1"/>
  <c r="BD1716" i="1"/>
  <c r="K1717" i="1"/>
  <c r="N1717" i="1" s="1"/>
  <c r="L1717" i="1"/>
  <c r="M1717" i="1"/>
  <c r="Q1717" i="1" a="1"/>
  <c r="Q1717" i="1" s="1"/>
  <c r="AS1717" i="1" s="1"/>
  <c r="AK1717" i="1" a="1"/>
  <c r="AK1717" i="1" s="1"/>
  <c r="AU1717" i="1"/>
  <c r="BD1717" i="1"/>
  <c r="K1718" i="1"/>
  <c r="N1718" i="1" s="1"/>
  <c r="L1718" i="1"/>
  <c r="M1718" i="1"/>
  <c r="Q1718" i="1" a="1"/>
  <c r="Q1718" i="1" s="1"/>
  <c r="AS1718" i="1" s="1"/>
  <c r="AK1718" i="1" a="1"/>
  <c r="AK1718" i="1" s="1"/>
  <c r="AU1718" i="1"/>
  <c r="BD1718" i="1"/>
  <c r="K1719" i="1"/>
  <c r="N1719" i="1" s="1"/>
  <c r="L1719" i="1"/>
  <c r="M1719" i="1"/>
  <c r="Q1719" i="1" a="1"/>
  <c r="Q1719" i="1" s="1"/>
  <c r="AS1719" i="1" s="1"/>
  <c r="AK1719" i="1" a="1"/>
  <c r="AK1719" i="1" s="1"/>
  <c r="AU1719" i="1"/>
  <c r="BD1719" i="1"/>
  <c r="K1720" i="1"/>
  <c r="N1720" i="1" s="1"/>
  <c r="L1720" i="1"/>
  <c r="M1720" i="1"/>
  <c r="Q1720" i="1" a="1"/>
  <c r="Q1720" i="1" s="1"/>
  <c r="AS1720" i="1" s="1"/>
  <c r="AK1720" i="1" a="1"/>
  <c r="AK1720" i="1" s="1"/>
  <c r="AU1720" i="1"/>
  <c r="BD1720" i="1"/>
  <c r="K1721" i="1"/>
  <c r="N1721" i="1" s="1"/>
  <c r="L1721" i="1"/>
  <c r="M1721" i="1"/>
  <c r="Q1721" i="1" a="1"/>
  <c r="Q1721" i="1" s="1"/>
  <c r="AS1721" i="1" s="1"/>
  <c r="AK1721" i="1" a="1"/>
  <c r="AK1721" i="1" s="1"/>
  <c r="AU1721" i="1"/>
  <c r="BD1721" i="1"/>
  <c r="K1722" i="1"/>
  <c r="N1722" i="1" s="1"/>
  <c r="L1722" i="1"/>
  <c r="M1722" i="1"/>
  <c r="Q1722" i="1" a="1"/>
  <c r="Q1722" i="1" s="1"/>
  <c r="AS1722" i="1" s="1"/>
  <c r="AK1722" i="1" a="1"/>
  <c r="AK1722" i="1" s="1"/>
  <c r="AU1722" i="1"/>
  <c r="BD1722" i="1"/>
  <c r="K1723" i="1"/>
  <c r="N1723" i="1" s="1"/>
  <c r="L1723" i="1"/>
  <c r="M1723" i="1"/>
  <c r="Q1723" i="1" a="1"/>
  <c r="Q1723" i="1" s="1"/>
  <c r="AS1723" i="1" s="1"/>
  <c r="AK1723" i="1" a="1"/>
  <c r="AK1723" i="1" s="1"/>
  <c r="AU1723" i="1"/>
  <c r="BD1723" i="1"/>
  <c r="K1724" i="1"/>
  <c r="N1724" i="1" s="1"/>
  <c r="L1724" i="1"/>
  <c r="M1724" i="1"/>
  <c r="Q1724" i="1" a="1"/>
  <c r="Q1724" i="1" s="1"/>
  <c r="AS1724" i="1" s="1"/>
  <c r="AK1724" i="1" a="1"/>
  <c r="AK1724" i="1" s="1"/>
  <c r="AU1724" i="1"/>
  <c r="BD1724" i="1"/>
  <c r="K1725" i="1"/>
  <c r="N1725" i="1" s="1"/>
  <c r="L1725" i="1"/>
  <c r="M1725" i="1"/>
  <c r="Q1725" i="1" a="1"/>
  <c r="Q1725" i="1" s="1"/>
  <c r="AS1725" i="1" s="1"/>
  <c r="AK1725" i="1" a="1"/>
  <c r="AK1725" i="1" s="1"/>
  <c r="AU1725" i="1"/>
  <c r="BD1725" i="1"/>
  <c r="K1726" i="1"/>
  <c r="N1726" i="1" s="1"/>
  <c r="L1726" i="1"/>
  <c r="M1726" i="1"/>
  <c r="Q1726" i="1" a="1"/>
  <c r="Q1726" i="1" s="1"/>
  <c r="AS1726" i="1" s="1"/>
  <c r="AK1726" i="1" a="1"/>
  <c r="AK1726" i="1" s="1"/>
  <c r="AU1726" i="1"/>
  <c r="BD1726" i="1"/>
  <c r="K1727" i="1"/>
  <c r="N1727" i="1" s="1"/>
  <c r="L1727" i="1"/>
  <c r="M1727" i="1"/>
  <c r="Q1727" i="1" a="1"/>
  <c r="Q1727" i="1" s="1"/>
  <c r="AS1727" i="1" s="1"/>
  <c r="AK1727" i="1" a="1"/>
  <c r="AK1727" i="1" s="1"/>
  <c r="AU1727" i="1"/>
  <c r="BD1727" i="1"/>
  <c r="K1728" i="1"/>
  <c r="N1728" i="1" s="1"/>
  <c r="L1728" i="1"/>
  <c r="M1728" i="1"/>
  <c r="Q1728" i="1" a="1"/>
  <c r="Q1728" i="1" s="1"/>
  <c r="AS1728" i="1" s="1"/>
  <c r="AK1728" i="1" a="1"/>
  <c r="AK1728" i="1" s="1"/>
  <c r="AU1728" i="1"/>
  <c r="BD1728" i="1"/>
  <c r="K1729" i="1"/>
  <c r="N1729" i="1" s="1"/>
  <c r="L1729" i="1"/>
  <c r="M1729" i="1"/>
  <c r="Q1729" i="1" a="1"/>
  <c r="Q1729" i="1" s="1"/>
  <c r="AS1729" i="1" s="1"/>
  <c r="AK1729" i="1" a="1"/>
  <c r="AK1729" i="1" s="1"/>
  <c r="AU1729" i="1"/>
  <c r="BD1729" i="1"/>
  <c r="K1733" i="1"/>
  <c r="L1733" i="1"/>
  <c r="M1733" i="1"/>
  <c r="N1733" i="1"/>
  <c r="O1733" i="1"/>
  <c r="AS1733" i="1"/>
  <c r="AK1733" i="1" a="1"/>
  <c r="AK1733" i="1" s="1"/>
  <c r="AU1733" i="1"/>
  <c r="BD1733" i="1"/>
  <c r="K1734" i="1"/>
  <c r="N1734" i="1" s="1"/>
  <c r="L1734" i="1"/>
  <c r="M1734" i="1"/>
  <c r="Q1734" i="1" a="1"/>
  <c r="Q1734" i="1" s="1"/>
  <c r="AS1734" i="1" s="1"/>
  <c r="AK1734" i="1" a="1"/>
  <c r="AK1734" i="1" s="1"/>
  <c r="AU1734" i="1"/>
  <c r="BD1734" i="1"/>
  <c r="K1735" i="1"/>
  <c r="N1735" i="1" s="1"/>
  <c r="L1735" i="1"/>
  <c r="M1735" i="1"/>
  <c r="Q1735" i="1" a="1"/>
  <c r="Q1735" i="1" s="1"/>
  <c r="AS1735" i="1" s="1"/>
  <c r="AK1735" i="1" a="1"/>
  <c r="AK1735" i="1" s="1"/>
  <c r="AU1735" i="1"/>
  <c r="BD1735" i="1"/>
  <c r="K1736" i="1"/>
  <c r="N1736" i="1" s="1"/>
  <c r="L1736" i="1"/>
  <c r="M1736" i="1"/>
  <c r="Q1736" i="1" a="1"/>
  <c r="Q1736" i="1" s="1"/>
  <c r="AS1736" i="1" s="1"/>
  <c r="AK1736" i="1" a="1"/>
  <c r="AK1736" i="1" s="1"/>
  <c r="AU1736" i="1"/>
  <c r="BD1736" i="1"/>
  <c r="K1737" i="1"/>
  <c r="N1737" i="1" s="1"/>
  <c r="L1737" i="1"/>
  <c r="M1737" i="1"/>
  <c r="Q1737" i="1" a="1"/>
  <c r="Q1737" i="1" s="1"/>
  <c r="AS1737" i="1" s="1"/>
  <c r="AK1737" i="1" a="1"/>
  <c r="AK1737" i="1" s="1"/>
  <c r="AU1737" i="1"/>
  <c r="BD1737" i="1"/>
  <c r="K1738" i="1"/>
  <c r="N1738" i="1" s="1"/>
  <c r="L1738" i="1"/>
  <c r="M1738" i="1"/>
  <c r="Q1738" i="1" a="1"/>
  <c r="Q1738" i="1" s="1"/>
  <c r="AS1738" i="1" s="1"/>
  <c r="AK1738" i="1" a="1"/>
  <c r="AK1738" i="1" s="1"/>
  <c r="AU1738" i="1"/>
  <c r="BD1738" i="1"/>
  <c r="K1739" i="1"/>
  <c r="N1739" i="1" s="1"/>
  <c r="L1739" i="1"/>
  <c r="M1739" i="1"/>
  <c r="Q1739" i="1" a="1"/>
  <c r="Q1739" i="1" s="1"/>
  <c r="AS1739" i="1" s="1"/>
  <c r="AK1739" i="1" a="1"/>
  <c r="AK1739" i="1" s="1"/>
  <c r="AU1739" i="1"/>
  <c r="BD1739" i="1"/>
  <c r="K1740" i="1"/>
  <c r="N1740" i="1" s="1"/>
  <c r="L1740" i="1"/>
  <c r="M1740" i="1"/>
  <c r="Q1740" i="1" a="1"/>
  <c r="Q1740" i="1" s="1"/>
  <c r="AS1740" i="1" s="1"/>
  <c r="AK1740" i="1" a="1"/>
  <c r="AK1740" i="1" s="1"/>
  <c r="AU1740" i="1"/>
  <c r="BD1740" i="1"/>
  <c r="K1741" i="1"/>
  <c r="N1741" i="1" s="1"/>
  <c r="L1741" i="1"/>
  <c r="M1741" i="1"/>
  <c r="Q1741" i="1" a="1"/>
  <c r="Q1741" i="1" s="1"/>
  <c r="AS1741" i="1" s="1"/>
  <c r="AK1741" i="1" a="1"/>
  <c r="AK1741" i="1" s="1"/>
  <c r="AU1741" i="1"/>
  <c r="BD1741" i="1"/>
  <c r="K1742" i="1"/>
  <c r="N1742" i="1" s="1"/>
  <c r="L1742" i="1"/>
  <c r="M1742" i="1"/>
  <c r="Q1742" i="1" a="1"/>
  <c r="Q1742" i="1" s="1"/>
  <c r="AS1742" i="1" s="1"/>
  <c r="AK1742" i="1" a="1"/>
  <c r="AK1742" i="1" s="1"/>
  <c r="AU1742" i="1"/>
  <c r="BD1742" i="1"/>
  <c r="K1743" i="1"/>
  <c r="N1743" i="1" s="1"/>
  <c r="L1743" i="1"/>
  <c r="M1743" i="1"/>
  <c r="Q1743" i="1" a="1"/>
  <c r="Q1743" i="1" s="1"/>
  <c r="AS1743" i="1" s="1"/>
  <c r="AK1743" i="1" a="1"/>
  <c r="AK1743" i="1" s="1"/>
  <c r="AU1743" i="1"/>
  <c r="BD1743" i="1"/>
  <c r="K1744" i="1"/>
  <c r="N1744" i="1" s="1"/>
  <c r="L1744" i="1"/>
  <c r="M1744" i="1"/>
  <c r="Q1744" i="1" a="1"/>
  <c r="Q1744" i="1" s="1"/>
  <c r="AS1744" i="1" s="1"/>
  <c r="AK1744" i="1" a="1"/>
  <c r="AK1744" i="1" s="1"/>
  <c r="AU1744" i="1"/>
  <c r="BD1744" i="1"/>
  <c r="K1745" i="1"/>
  <c r="N1745" i="1" s="1"/>
  <c r="L1745" i="1"/>
  <c r="M1745" i="1"/>
  <c r="Q1745" i="1" a="1"/>
  <c r="Q1745" i="1" s="1"/>
  <c r="AS1745" i="1" s="1"/>
  <c r="AK1745" i="1" a="1"/>
  <c r="AK1745" i="1" s="1"/>
  <c r="AU1745" i="1"/>
  <c r="BD1745" i="1"/>
  <c r="K1746" i="1"/>
  <c r="N1746" i="1" s="1"/>
  <c r="L1746" i="1"/>
  <c r="M1746" i="1"/>
  <c r="Q1746" i="1" a="1"/>
  <c r="Q1746" i="1" s="1"/>
  <c r="AS1746" i="1" s="1"/>
  <c r="AK1746" i="1" a="1"/>
  <c r="AK1746" i="1" s="1"/>
  <c r="AU1746" i="1"/>
  <c r="BD1746" i="1"/>
  <c r="K1747" i="1"/>
  <c r="N1747" i="1" s="1"/>
  <c r="L1747" i="1"/>
  <c r="M1747" i="1"/>
  <c r="Q1747" i="1" a="1"/>
  <c r="Q1747" i="1" s="1"/>
  <c r="AS1747" i="1" s="1"/>
  <c r="AK1747" i="1" a="1"/>
  <c r="AK1747" i="1" s="1"/>
  <c r="AU1747" i="1"/>
  <c r="BD1747" i="1"/>
  <c r="K1748" i="1"/>
  <c r="N1748" i="1" s="1"/>
  <c r="L1748" i="1"/>
  <c r="M1748" i="1"/>
  <c r="Q1748" i="1" a="1"/>
  <c r="Q1748" i="1" s="1"/>
  <c r="AS1748" i="1" s="1"/>
  <c r="AK1748" i="1" a="1"/>
  <c r="AK1748" i="1" s="1"/>
  <c r="AU1748" i="1"/>
  <c r="BD1748" i="1"/>
  <c r="K1749" i="1"/>
  <c r="N1749" i="1" s="1"/>
  <c r="L1749" i="1"/>
  <c r="M1749" i="1"/>
  <c r="Q1749" i="1" a="1"/>
  <c r="Q1749" i="1" s="1"/>
  <c r="AS1749" i="1" s="1"/>
  <c r="AK1749" i="1" a="1"/>
  <c r="AK1749" i="1" s="1"/>
  <c r="AU1749" i="1"/>
  <c r="BD1749" i="1"/>
  <c r="K1750" i="1"/>
  <c r="N1750" i="1" s="1"/>
  <c r="L1750" i="1"/>
  <c r="M1750" i="1"/>
  <c r="Q1750" i="1" a="1"/>
  <c r="Q1750" i="1" s="1"/>
  <c r="AS1750" i="1" s="1"/>
  <c r="AK1750" i="1" a="1"/>
  <c r="AK1750" i="1" s="1"/>
  <c r="AU1750" i="1"/>
  <c r="BD1750" i="1"/>
  <c r="K1751" i="1"/>
  <c r="N1751" i="1" s="1"/>
  <c r="L1751" i="1"/>
  <c r="M1751" i="1"/>
  <c r="Q1751" i="1" a="1"/>
  <c r="Q1751" i="1" s="1"/>
  <c r="AS1751" i="1" s="1"/>
  <c r="AK1751" i="1" a="1"/>
  <c r="AK1751" i="1" s="1"/>
  <c r="AU1751" i="1"/>
  <c r="BD1751" i="1"/>
  <c r="K1755" i="1"/>
  <c r="L1755" i="1"/>
  <c r="M1755" i="1"/>
  <c r="N1755" i="1"/>
  <c r="O1755" i="1"/>
  <c r="AS1755" i="1"/>
  <c r="AK1755" i="1" a="1"/>
  <c r="AK1755" i="1" s="1"/>
  <c r="AU1755" i="1"/>
  <c r="BD1755" i="1"/>
  <c r="K1759" i="1"/>
  <c r="L1759" i="1"/>
  <c r="M1759" i="1"/>
  <c r="N1759" i="1"/>
  <c r="O1759" i="1"/>
  <c r="AS1759" i="1"/>
  <c r="AK1759" i="1" a="1"/>
  <c r="AK1759" i="1" s="1"/>
  <c r="AU1759" i="1"/>
  <c r="BD1759" i="1"/>
  <c r="K1760" i="1"/>
  <c r="N1760" i="1" s="1"/>
  <c r="L1760" i="1"/>
  <c r="M1760" i="1"/>
  <c r="Q1760" i="1" a="1"/>
  <c r="Q1760" i="1" s="1"/>
  <c r="AS1760" i="1" s="1"/>
  <c r="AK1760" i="1" a="1"/>
  <c r="AK1760" i="1" s="1"/>
  <c r="AU1760" i="1"/>
  <c r="BD1760" i="1"/>
  <c r="K1761" i="1"/>
  <c r="N1761" i="1" s="1"/>
  <c r="L1761" i="1"/>
  <c r="M1761" i="1"/>
  <c r="Q1761" i="1" a="1"/>
  <c r="Q1761" i="1" s="1"/>
  <c r="AS1761" i="1" s="1"/>
  <c r="AK1761" i="1" a="1"/>
  <c r="AK1761" i="1" s="1"/>
  <c r="AU1761" i="1"/>
  <c r="BD1761" i="1"/>
  <c r="K1762" i="1"/>
  <c r="N1762" i="1" s="1"/>
  <c r="L1762" i="1"/>
  <c r="M1762" i="1"/>
  <c r="Q1762" i="1" a="1"/>
  <c r="Q1762" i="1" s="1"/>
  <c r="AS1762" i="1" s="1"/>
  <c r="AK1762" i="1" a="1"/>
  <c r="AK1762" i="1" s="1"/>
  <c r="AU1762" i="1"/>
  <c r="BD1762" i="1"/>
  <c r="K1763" i="1"/>
  <c r="N1763" i="1" s="1"/>
  <c r="L1763" i="1"/>
  <c r="M1763" i="1"/>
  <c r="Q1763" i="1" a="1"/>
  <c r="Q1763" i="1" s="1"/>
  <c r="AS1763" i="1" s="1"/>
  <c r="AK1763" i="1" a="1"/>
  <c r="AK1763" i="1" s="1"/>
  <c r="AU1763" i="1"/>
  <c r="BD1763" i="1"/>
  <c r="K1764" i="1"/>
  <c r="N1764" i="1" s="1"/>
  <c r="L1764" i="1"/>
  <c r="M1764" i="1"/>
  <c r="Q1764" i="1" a="1"/>
  <c r="Q1764" i="1" s="1"/>
  <c r="AS1764" i="1" s="1"/>
  <c r="AK1764" i="1" a="1"/>
  <c r="AK1764" i="1" s="1"/>
  <c r="AU1764" i="1"/>
  <c r="BD1764" i="1"/>
  <c r="K1765" i="1"/>
  <c r="N1765" i="1" s="1"/>
  <c r="L1765" i="1"/>
  <c r="M1765" i="1"/>
  <c r="Q1765" i="1" a="1"/>
  <c r="Q1765" i="1" s="1"/>
  <c r="AS1765" i="1" s="1"/>
  <c r="AK1765" i="1" a="1"/>
  <c r="AK1765" i="1" s="1"/>
  <c r="AU1765" i="1"/>
  <c r="BD1765" i="1"/>
  <c r="K1766" i="1"/>
  <c r="N1766" i="1" s="1"/>
  <c r="L1766" i="1"/>
  <c r="M1766" i="1"/>
  <c r="Q1766" i="1" a="1"/>
  <c r="Q1766" i="1" s="1"/>
  <c r="AS1766" i="1" s="1"/>
  <c r="AK1766" i="1" a="1"/>
  <c r="AK1766" i="1" s="1"/>
  <c r="AU1766" i="1"/>
  <c r="BD1766" i="1"/>
  <c r="K1767" i="1"/>
  <c r="N1767" i="1" s="1"/>
  <c r="L1767" i="1"/>
  <c r="M1767" i="1"/>
  <c r="Q1767" i="1" a="1"/>
  <c r="Q1767" i="1" s="1"/>
  <c r="AS1767" i="1" s="1"/>
  <c r="AK1767" i="1" a="1"/>
  <c r="AK1767" i="1" s="1"/>
  <c r="AU1767" i="1"/>
  <c r="BD1767" i="1"/>
  <c r="K1768" i="1"/>
  <c r="N1768" i="1" s="1"/>
  <c r="L1768" i="1"/>
  <c r="M1768" i="1"/>
  <c r="Q1768" i="1" a="1"/>
  <c r="Q1768" i="1" s="1"/>
  <c r="AS1768" i="1" s="1"/>
  <c r="AK1768" i="1" a="1"/>
  <c r="AK1768" i="1" s="1"/>
  <c r="AU1768" i="1"/>
  <c r="BD1768" i="1"/>
  <c r="K1769" i="1"/>
  <c r="N1769" i="1" s="1"/>
  <c r="L1769" i="1"/>
  <c r="M1769" i="1"/>
  <c r="Q1769" i="1" a="1"/>
  <c r="Q1769" i="1" s="1"/>
  <c r="AS1769" i="1" s="1"/>
  <c r="AK1769" i="1" a="1"/>
  <c r="AK1769" i="1" s="1"/>
  <c r="AU1769" i="1"/>
  <c r="BD1769" i="1"/>
  <c r="K1770" i="1"/>
  <c r="N1770" i="1" s="1"/>
  <c r="L1770" i="1"/>
  <c r="M1770" i="1"/>
  <c r="Q1770" i="1" a="1"/>
  <c r="Q1770" i="1" s="1"/>
  <c r="AS1770" i="1" s="1"/>
  <c r="AK1770" i="1" a="1"/>
  <c r="AK1770" i="1" s="1"/>
  <c r="AU1770" i="1"/>
  <c r="BD1770" i="1"/>
  <c r="K1771" i="1"/>
  <c r="N1771" i="1" s="1"/>
  <c r="L1771" i="1"/>
  <c r="M1771" i="1"/>
  <c r="Q1771" i="1" a="1"/>
  <c r="Q1771" i="1" s="1"/>
  <c r="AS1771" i="1" s="1"/>
  <c r="AK1771" i="1" a="1"/>
  <c r="AK1771" i="1" s="1"/>
  <c r="AU1771" i="1"/>
  <c r="BD1771" i="1"/>
  <c r="K1772" i="1"/>
  <c r="N1772" i="1" s="1"/>
  <c r="L1772" i="1"/>
  <c r="M1772" i="1"/>
  <c r="Q1772" i="1" a="1"/>
  <c r="Q1772" i="1" s="1"/>
  <c r="AS1772" i="1" s="1"/>
  <c r="AK1772" i="1" a="1"/>
  <c r="AK1772" i="1" s="1"/>
  <c r="AU1772" i="1"/>
  <c r="BD1772" i="1"/>
  <c r="K1773" i="1"/>
  <c r="N1773" i="1" s="1"/>
  <c r="L1773" i="1"/>
  <c r="M1773" i="1"/>
  <c r="Q1773" i="1" a="1"/>
  <c r="Q1773" i="1" s="1"/>
  <c r="AS1773" i="1" s="1"/>
  <c r="AK1773" i="1" a="1"/>
  <c r="AK1773" i="1" s="1"/>
  <c r="AU1773" i="1"/>
  <c r="BD1773" i="1"/>
  <c r="K1774" i="1"/>
  <c r="N1774" i="1" s="1"/>
  <c r="L1774" i="1"/>
  <c r="M1774" i="1"/>
  <c r="Q1774" i="1" a="1"/>
  <c r="Q1774" i="1" s="1"/>
  <c r="AS1774" i="1" s="1"/>
  <c r="AK1774" i="1" a="1"/>
  <c r="AK1774" i="1" s="1"/>
  <c r="AU1774" i="1"/>
  <c r="BD1774" i="1"/>
  <c r="K1775" i="1"/>
  <c r="N1775" i="1" s="1"/>
  <c r="L1775" i="1"/>
  <c r="M1775" i="1"/>
  <c r="Q1775" i="1" a="1"/>
  <c r="Q1775" i="1" s="1"/>
  <c r="AS1775" i="1" s="1"/>
  <c r="AK1775" i="1" a="1"/>
  <c r="AK1775" i="1" s="1"/>
  <c r="AU1775" i="1"/>
  <c r="BD1775" i="1"/>
  <c r="K1776" i="1"/>
  <c r="N1776" i="1" s="1"/>
  <c r="L1776" i="1"/>
  <c r="M1776" i="1"/>
  <c r="Q1776" i="1" a="1"/>
  <c r="Q1776" i="1" s="1"/>
  <c r="AS1776" i="1" s="1"/>
  <c r="AK1776" i="1" a="1"/>
  <c r="AK1776" i="1" s="1"/>
  <c r="AU1776" i="1"/>
  <c r="BD1776" i="1"/>
  <c r="K1777" i="1"/>
  <c r="N1777" i="1" s="1"/>
  <c r="L1777" i="1"/>
  <c r="M1777" i="1"/>
  <c r="Q1777" i="1" a="1"/>
  <c r="Q1777" i="1" s="1"/>
  <c r="AS1777" i="1" s="1"/>
  <c r="AK1777" i="1" a="1"/>
  <c r="AK1777" i="1" s="1"/>
  <c r="AU1777" i="1"/>
  <c r="BD1777" i="1"/>
  <c r="K1778" i="1"/>
  <c r="N1778" i="1" s="1"/>
  <c r="L1778" i="1"/>
  <c r="M1778" i="1"/>
  <c r="Q1778" i="1" a="1"/>
  <c r="Q1778" i="1" s="1"/>
  <c r="AS1778" i="1" s="1"/>
  <c r="AK1778" i="1" a="1"/>
  <c r="AK1778" i="1" s="1"/>
  <c r="AU1778" i="1"/>
  <c r="BD1778" i="1"/>
  <c r="K1779" i="1"/>
  <c r="N1779" i="1" s="1"/>
  <c r="L1779" i="1"/>
  <c r="M1779" i="1"/>
  <c r="Q1779" i="1" a="1"/>
  <c r="Q1779" i="1" s="1"/>
  <c r="AS1779" i="1" s="1"/>
  <c r="AK1779" i="1" a="1"/>
  <c r="AK1779" i="1" s="1"/>
  <c r="AU1779" i="1"/>
  <c r="BD1779" i="1"/>
  <c r="K1780" i="1"/>
  <c r="N1780" i="1" s="1"/>
  <c r="L1780" i="1"/>
  <c r="M1780" i="1"/>
  <c r="Q1780" i="1" a="1"/>
  <c r="Q1780" i="1" s="1"/>
  <c r="AS1780" i="1" s="1"/>
  <c r="AK1780" i="1" a="1"/>
  <c r="AK1780" i="1" s="1"/>
  <c r="AU1780" i="1"/>
  <c r="BD1780" i="1"/>
  <c r="K1781" i="1"/>
  <c r="N1781" i="1" s="1"/>
  <c r="L1781" i="1"/>
  <c r="M1781" i="1"/>
  <c r="Q1781" i="1" a="1"/>
  <c r="Q1781" i="1" s="1"/>
  <c r="AS1781" i="1" s="1"/>
  <c r="AK1781" i="1" a="1"/>
  <c r="AK1781" i="1" s="1"/>
  <c r="AU1781" i="1"/>
  <c r="BD1781" i="1"/>
  <c r="K1782" i="1"/>
  <c r="N1782" i="1" s="1"/>
  <c r="L1782" i="1"/>
  <c r="M1782" i="1"/>
  <c r="Q1782" i="1" a="1"/>
  <c r="Q1782" i="1" s="1"/>
  <c r="AS1782" i="1" s="1"/>
  <c r="AK1782" i="1" a="1"/>
  <c r="AK1782" i="1" s="1"/>
  <c r="AU1782" i="1"/>
  <c r="BD1782" i="1"/>
  <c r="K1783" i="1"/>
  <c r="N1783" i="1" s="1"/>
  <c r="L1783" i="1"/>
  <c r="M1783" i="1"/>
  <c r="Q1783" i="1" a="1"/>
  <c r="Q1783" i="1" s="1"/>
  <c r="AS1783" i="1" s="1"/>
  <c r="AK1783" i="1" a="1"/>
  <c r="AK1783" i="1" s="1"/>
  <c r="AU1783" i="1"/>
  <c r="BD1783" i="1"/>
  <c r="K1784" i="1"/>
  <c r="N1784" i="1" s="1"/>
  <c r="L1784" i="1"/>
  <c r="M1784" i="1"/>
  <c r="Q1784" i="1" a="1"/>
  <c r="Q1784" i="1" s="1"/>
  <c r="AS1784" i="1" s="1"/>
  <c r="AK1784" i="1" a="1"/>
  <c r="AK1784" i="1" s="1"/>
  <c r="AU1784" i="1"/>
  <c r="BD1784" i="1"/>
  <c r="K1785" i="1"/>
  <c r="N1785" i="1" s="1"/>
  <c r="L1785" i="1"/>
  <c r="M1785" i="1"/>
  <c r="Q1785" i="1" a="1"/>
  <c r="Q1785" i="1" s="1"/>
  <c r="AS1785" i="1" s="1"/>
  <c r="AK1785" i="1" a="1"/>
  <c r="AK1785" i="1" s="1"/>
  <c r="AU1785" i="1"/>
  <c r="BD1785" i="1"/>
  <c r="K1786" i="1"/>
  <c r="N1786" i="1" s="1"/>
  <c r="L1786" i="1"/>
  <c r="M1786" i="1"/>
  <c r="Q1786" i="1" a="1"/>
  <c r="Q1786" i="1" s="1"/>
  <c r="AS1786" i="1" s="1"/>
  <c r="AK1786" i="1" a="1"/>
  <c r="AK1786" i="1" s="1"/>
  <c r="AU1786" i="1"/>
  <c r="BD1786" i="1"/>
  <c r="K1787" i="1"/>
  <c r="N1787" i="1" s="1"/>
  <c r="L1787" i="1"/>
  <c r="M1787" i="1"/>
  <c r="Q1787" i="1" a="1"/>
  <c r="Q1787" i="1" s="1"/>
  <c r="AS1787" i="1" s="1"/>
  <c r="AK1787" i="1" a="1"/>
  <c r="AK1787" i="1" s="1"/>
  <c r="AU1787" i="1"/>
  <c r="BD1787" i="1"/>
  <c r="K1788" i="1"/>
  <c r="N1788" i="1" s="1"/>
  <c r="L1788" i="1"/>
  <c r="M1788" i="1"/>
  <c r="Q1788" i="1" a="1"/>
  <c r="Q1788" i="1" s="1"/>
  <c r="AS1788" i="1" s="1"/>
  <c r="AK1788" i="1" a="1"/>
  <c r="AK1788" i="1" s="1"/>
  <c r="AU1788" i="1"/>
  <c r="BD1788" i="1"/>
  <c r="K1789" i="1"/>
  <c r="N1789" i="1" s="1"/>
  <c r="L1789" i="1"/>
  <c r="M1789" i="1"/>
  <c r="Q1789" i="1" a="1"/>
  <c r="Q1789" i="1" s="1"/>
  <c r="AS1789" i="1" s="1"/>
  <c r="AK1789" i="1" a="1"/>
  <c r="AK1789" i="1" s="1"/>
  <c r="AU1789" i="1"/>
  <c r="BD1789" i="1"/>
  <c r="K1790" i="1"/>
  <c r="N1790" i="1" s="1"/>
  <c r="L1790" i="1"/>
  <c r="M1790" i="1"/>
  <c r="Q1790" i="1" a="1"/>
  <c r="Q1790" i="1" s="1"/>
  <c r="AS1790" i="1" s="1"/>
  <c r="AK1790" i="1" a="1"/>
  <c r="AK1790" i="1" s="1"/>
  <c r="AU1790" i="1"/>
  <c r="BD1790" i="1"/>
  <c r="K1791" i="1"/>
  <c r="N1791" i="1" s="1"/>
  <c r="L1791" i="1"/>
  <c r="M1791" i="1"/>
  <c r="Q1791" i="1" a="1"/>
  <c r="Q1791" i="1" s="1"/>
  <c r="AS1791" i="1" s="1"/>
  <c r="AK1791" i="1" a="1"/>
  <c r="AK1791" i="1" s="1"/>
  <c r="AU1791" i="1"/>
  <c r="BD1791" i="1"/>
  <c r="K1792" i="1"/>
  <c r="N1792" i="1" s="1"/>
  <c r="L1792" i="1"/>
  <c r="M1792" i="1"/>
  <c r="Q1792" i="1" a="1"/>
  <c r="Q1792" i="1" s="1"/>
  <c r="AS1792" i="1" s="1"/>
  <c r="AK1792" i="1" a="1"/>
  <c r="AK1792" i="1" s="1"/>
  <c r="AU1792" i="1"/>
  <c r="BD1792" i="1"/>
  <c r="K1793" i="1"/>
  <c r="N1793" i="1" s="1"/>
  <c r="L1793" i="1"/>
  <c r="M1793" i="1"/>
  <c r="Q1793" i="1" a="1"/>
  <c r="Q1793" i="1" s="1"/>
  <c r="AS1793" i="1" s="1"/>
  <c r="AK1793" i="1" a="1"/>
  <c r="AK1793" i="1" s="1"/>
  <c r="AU1793" i="1"/>
  <c r="BD1793" i="1"/>
  <c r="K1794" i="1"/>
  <c r="N1794" i="1" s="1"/>
  <c r="L1794" i="1"/>
  <c r="M1794" i="1"/>
  <c r="Q1794" i="1" a="1"/>
  <c r="Q1794" i="1" s="1"/>
  <c r="AS1794" i="1" s="1"/>
  <c r="AK1794" i="1" a="1"/>
  <c r="AK1794" i="1" s="1"/>
  <c r="AU1794" i="1"/>
  <c r="BD1794" i="1"/>
  <c r="K1795" i="1"/>
  <c r="N1795" i="1" s="1"/>
  <c r="L1795" i="1"/>
  <c r="M1795" i="1"/>
  <c r="Q1795" i="1" a="1"/>
  <c r="Q1795" i="1" s="1"/>
  <c r="AS1795" i="1" s="1"/>
  <c r="AK1795" i="1" a="1"/>
  <c r="AK1795" i="1" s="1"/>
  <c r="AU1795" i="1"/>
  <c r="BD1795" i="1"/>
  <c r="K1799" i="1"/>
  <c r="L1799" i="1"/>
  <c r="M1799" i="1"/>
  <c r="N1799" i="1"/>
  <c r="O1799" i="1"/>
  <c r="AS1799" i="1"/>
  <c r="AK1799" i="1" a="1"/>
  <c r="AK1799" i="1" s="1"/>
  <c r="AU1799" i="1"/>
  <c r="BD1799" i="1"/>
  <c r="K1803" i="1"/>
  <c r="L1803" i="1"/>
  <c r="M1803" i="1"/>
  <c r="N1803" i="1"/>
  <c r="O1803" i="1"/>
  <c r="AS1803" i="1"/>
  <c r="AK1803" i="1" a="1"/>
  <c r="AK1803" i="1" s="1"/>
  <c r="AU1803" i="1"/>
  <c r="BD1803" i="1"/>
  <c r="K1807" i="1"/>
  <c r="L1807" i="1"/>
  <c r="M1807" i="1"/>
  <c r="N1807" i="1"/>
  <c r="O1807" i="1"/>
  <c r="AS1807" i="1"/>
  <c r="AK1807" i="1" a="1"/>
  <c r="AK1807" i="1" s="1"/>
  <c r="AU1807" i="1"/>
  <c r="BD1807" i="1"/>
  <c r="K1811" i="1"/>
  <c r="L1811" i="1"/>
  <c r="M1811" i="1"/>
  <c r="N1811" i="1"/>
  <c r="O1811" i="1"/>
  <c r="AS1811" i="1"/>
  <c r="AK1811" i="1" a="1"/>
  <c r="AK1811" i="1" s="1"/>
  <c r="AU1811" i="1"/>
  <c r="BD1811" i="1"/>
  <c r="K1812" i="1"/>
  <c r="N1812" i="1" s="1"/>
  <c r="L1812" i="1"/>
  <c r="M1812" i="1"/>
  <c r="Q1812" i="1" a="1"/>
  <c r="Q1812" i="1" s="1"/>
  <c r="AS1812" i="1" s="1"/>
  <c r="AK1812" i="1" a="1"/>
  <c r="AK1812" i="1" s="1"/>
  <c r="AU1812" i="1"/>
  <c r="BD1812" i="1"/>
  <c r="K1813" i="1"/>
  <c r="N1813" i="1" s="1"/>
  <c r="L1813" i="1"/>
  <c r="M1813" i="1"/>
  <c r="Q1813" i="1" a="1"/>
  <c r="Q1813" i="1" s="1"/>
  <c r="AS1813" i="1" s="1"/>
  <c r="AK1813" i="1" a="1"/>
  <c r="AK1813" i="1" s="1"/>
  <c r="AU1813" i="1"/>
  <c r="BD1813" i="1"/>
  <c r="K1814" i="1"/>
  <c r="N1814" i="1" s="1"/>
  <c r="L1814" i="1"/>
  <c r="M1814" i="1"/>
  <c r="Q1814" i="1" a="1"/>
  <c r="Q1814" i="1" s="1"/>
  <c r="AS1814" i="1" s="1"/>
  <c r="AK1814" i="1" a="1"/>
  <c r="AK1814" i="1" s="1"/>
  <c r="AU1814" i="1"/>
  <c r="BD1814" i="1"/>
  <c r="K1815" i="1"/>
  <c r="N1815" i="1" s="1"/>
  <c r="L1815" i="1"/>
  <c r="M1815" i="1"/>
  <c r="Q1815" i="1" a="1"/>
  <c r="Q1815" i="1" s="1"/>
  <c r="AS1815" i="1" s="1"/>
  <c r="AK1815" i="1" a="1"/>
  <c r="AK1815" i="1" s="1"/>
  <c r="AU1815" i="1"/>
  <c r="BD1815" i="1"/>
  <c r="K1816" i="1"/>
  <c r="N1816" i="1" s="1"/>
  <c r="L1816" i="1"/>
  <c r="M1816" i="1"/>
  <c r="Q1816" i="1" a="1"/>
  <c r="Q1816" i="1" s="1"/>
  <c r="AS1816" i="1" s="1"/>
  <c r="AK1816" i="1" a="1"/>
  <c r="AK1816" i="1" s="1"/>
  <c r="AU1816" i="1"/>
  <c r="BD1816" i="1"/>
  <c r="K1817" i="1"/>
  <c r="N1817" i="1" s="1"/>
  <c r="L1817" i="1"/>
  <c r="M1817" i="1"/>
  <c r="Q1817" i="1" a="1"/>
  <c r="Q1817" i="1" s="1"/>
  <c r="AS1817" i="1" s="1"/>
  <c r="AK1817" i="1" a="1"/>
  <c r="AK1817" i="1" s="1"/>
  <c r="AU1817" i="1"/>
  <c r="BD1817" i="1"/>
  <c r="K1818" i="1"/>
  <c r="N1818" i="1" s="1"/>
  <c r="L1818" i="1"/>
  <c r="M1818" i="1"/>
  <c r="Q1818" i="1" a="1"/>
  <c r="Q1818" i="1" s="1"/>
  <c r="AS1818" i="1" s="1"/>
  <c r="AK1818" i="1" a="1"/>
  <c r="AK1818" i="1" s="1"/>
  <c r="AU1818" i="1"/>
  <c r="BD1818" i="1"/>
  <c r="K1819" i="1"/>
  <c r="N1819" i="1" s="1"/>
  <c r="L1819" i="1"/>
  <c r="M1819" i="1"/>
  <c r="Q1819" i="1" a="1"/>
  <c r="Q1819" i="1" s="1"/>
  <c r="AS1819" i="1" s="1"/>
  <c r="AK1819" i="1" a="1"/>
  <c r="AK1819" i="1" s="1"/>
  <c r="AU1819" i="1"/>
  <c r="BD1819" i="1"/>
  <c r="K1820" i="1"/>
  <c r="N1820" i="1" s="1"/>
  <c r="L1820" i="1"/>
  <c r="M1820" i="1"/>
  <c r="Q1820" i="1" a="1"/>
  <c r="Q1820" i="1" s="1"/>
  <c r="AS1820" i="1" s="1"/>
  <c r="AK1820" i="1" a="1"/>
  <c r="AK1820" i="1" s="1"/>
  <c r="AU1820" i="1"/>
  <c r="BD1820" i="1"/>
  <c r="K1821" i="1"/>
  <c r="N1821" i="1" s="1"/>
  <c r="L1821" i="1"/>
  <c r="M1821" i="1"/>
  <c r="Q1821" i="1" a="1"/>
  <c r="Q1821" i="1" s="1"/>
  <c r="AS1821" i="1" s="1"/>
  <c r="AK1821" i="1" a="1"/>
  <c r="AK1821" i="1" s="1"/>
  <c r="AU1821" i="1"/>
  <c r="BD1821" i="1"/>
  <c r="K1822" i="1"/>
  <c r="N1822" i="1" s="1"/>
  <c r="L1822" i="1"/>
  <c r="M1822" i="1"/>
  <c r="Q1822" i="1" a="1"/>
  <c r="Q1822" i="1" s="1"/>
  <c r="AS1822" i="1" s="1"/>
  <c r="AK1822" i="1" a="1"/>
  <c r="AK1822" i="1" s="1"/>
  <c r="AU1822" i="1"/>
  <c r="BD1822" i="1"/>
  <c r="K1823" i="1"/>
  <c r="N1823" i="1" s="1"/>
  <c r="L1823" i="1"/>
  <c r="M1823" i="1"/>
  <c r="Q1823" i="1" a="1"/>
  <c r="Q1823" i="1" s="1"/>
  <c r="AS1823" i="1" s="1"/>
  <c r="AK1823" i="1" a="1"/>
  <c r="AK1823" i="1" s="1"/>
  <c r="AU1823" i="1"/>
  <c r="BD1823" i="1"/>
  <c r="K1824" i="1"/>
  <c r="N1824" i="1" s="1"/>
  <c r="L1824" i="1"/>
  <c r="M1824" i="1"/>
  <c r="Q1824" i="1" a="1"/>
  <c r="Q1824" i="1" s="1"/>
  <c r="AS1824" i="1" s="1"/>
  <c r="AK1824" i="1" a="1"/>
  <c r="AK1824" i="1" s="1"/>
  <c r="AU1824" i="1"/>
  <c r="BD1824" i="1"/>
  <c r="K1825" i="1"/>
  <c r="N1825" i="1" s="1"/>
  <c r="L1825" i="1"/>
  <c r="M1825" i="1"/>
  <c r="Q1825" i="1" a="1"/>
  <c r="Q1825" i="1" s="1"/>
  <c r="AS1825" i="1" s="1"/>
  <c r="AK1825" i="1" a="1"/>
  <c r="AK1825" i="1" s="1"/>
  <c r="AU1825" i="1"/>
  <c r="BD1825" i="1"/>
  <c r="K1826" i="1"/>
  <c r="N1826" i="1" s="1"/>
  <c r="L1826" i="1"/>
  <c r="M1826" i="1"/>
  <c r="Q1826" i="1" a="1"/>
  <c r="Q1826" i="1" s="1"/>
  <c r="AS1826" i="1" s="1"/>
  <c r="AK1826" i="1" a="1"/>
  <c r="AK1826" i="1" s="1"/>
  <c r="AU1826" i="1"/>
  <c r="BD1826" i="1"/>
  <c r="K1827" i="1"/>
  <c r="N1827" i="1" s="1"/>
  <c r="L1827" i="1"/>
  <c r="M1827" i="1"/>
  <c r="Q1827" i="1" a="1"/>
  <c r="Q1827" i="1" s="1"/>
  <c r="AS1827" i="1" s="1"/>
  <c r="AK1827" i="1" a="1"/>
  <c r="AK1827" i="1" s="1"/>
  <c r="AU1827" i="1"/>
  <c r="BD1827" i="1"/>
  <c r="K1828" i="1"/>
  <c r="N1828" i="1" s="1"/>
  <c r="L1828" i="1"/>
  <c r="M1828" i="1"/>
  <c r="Q1828" i="1" a="1"/>
  <c r="Q1828" i="1" s="1"/>
  <c r="AS1828" i="1" s="1"/>
  <c r="AK1828" i="1" a="1"/>
  <c r="AK1828" i="1" s="1"/>
  <c r="AU1828" i="1"/>
  <c r="BD1828" i="1"/>
  <c r="K1829" i="1"/>
  <c r="N1829" i="1" s="1"/>
  <c r="L1829" i="1"/>
  <c r="M1829" i="1"/>
  <c r="Q1829" i="1" a="1"/>
  <c r="Q1829" i="1" s="1"/>
  <c r="AS1829" i="1" s="1"/>
  <c r="AK1829" i="1" a="1"/>
  <c r="AK1829" i="1" s="1"/>
  <c r="AU1829" i="1"/>
  <c r="BD1829" i="1"/>
  <c r="K1830" i="1"/>
  <c r="N1830" i="1" s="1"/>
  <c r="L1830" i="1"/>
  <c r="M1830" i="1"/>
  <c r="Q1830" i="1" a="1"/>
  <c r="Q1830" i="1" s="1"/>
  <c r="AS1830" i="1" s="1"/>
  <c r="AK1830" i="1" a="1"/>
  <c r="AK1830" i="1" s="1"/>
  <c r="AU1830" i="1"/>
  <c r="BD1830" i="1"/>
  <c r="K1831" i="1"/>
  <c r="N1831" i="1" s="1"/>
  <c r="L1831" i="1"/>
  <c r="M1831" i="1"/>
  <c r="Q1831" i="1" a="1"/>
  <c r="Q1831" i="1" s="1"/>
  <c r="AS1831" i="1" s="1"/>
  <c r="AK1831" i="1" a="1"/>
  <c r="AK1831" i="1" s="1"/>
  <c r="AU1831" i="1"/>
  <c r="BD1831" i="1"/>
  <c r="K1832" i="1"/>
  <c r="N1832" i="1" s="1"/>
  <c r="L1832" i="1"/>
  <c r="M1832" i="1"/>
  <c r="Q1832" i="1" a="1"/>
  <c r="Q1832" i="1" s="1"/>
  <c r="AS1832" i="1" s="1"/>
  <c r="AK1832" i="1" a="1"/>
  <c r="AK1832" i="1" s="1"/>
  <c r="AU1832" i="1"/>
  <c r="BD1832" i="1"/>
  <c r="K1833" i="1"/>
  <c r="N1833" i="1" s="1"/>
  <c r="L1833" i="1"/>
  <c r="M1833" i="1"/>
  <c r="Q1833" i="1" a="1"/>
  <c r="Q1833" i="1" s="1"/>
  <c r="AS1833" i="1" s="1"/>
  <c r="AK1833" i="1" a="1"/>
  <c r="AK1833" i="1" s="1"/>
  <c r="AU1833" i="1"/>
  <c r="BD1833" i="1"/>
  <c r="K1834" i="1"/>
  <c r="N1834" i="1" s="1"/>
  <c r="L1834" i="1"/>
  <c r="M1834" i="1"/>
  <c r="Q1834" i="1" a="1"/>
  <c r="Q1834" i="1" s="1"/>
  <c r="AS1834" i="1" s="1"/>
  <c r="AK1834" i="1" a="1"/>
  <c r="AK1834" i="1" s="1"/>
  <c r="AU1834" i="1"/>
  <c r="BD1834" i="1"/>
  <c r="K1835" i="1"/>
  <c r="N1835" i="1" s="1"/>
  <c r="L1835" i="1"/>
  <c r="M1835" i="1"/>
  <c r="Q1835" i="1" a="1"/>
  <c r="Q1835" i="1" s="1"/>
  <c r="AS1835" i="1" s="1"/>
  <c r="AK1835" i="1" a="1"/>
  <c r="AK1835" i="1" s="1"/>
  <c r="AU1835" i="1"/>
  <c r="BD1835" i="1"/>
  <c r="K1836" i="1"/>
  <c r="N1836" i="1" s="1"/>
  <c r="L1836" i="1"/>
  <c r="M1836" i="1"/>
  <c r="Q1836" i="1" a="1"/>
  <c r="Q1836" i="1" s="1"/>
  <c r="AS1836" i="1" s="1"/>
  <c r="AK1836" i="1" a="1"/>
  <c r="AK1836" i="1" s="1"/>
  <c r="AU1836" i="1"/>
  <c r="BD1836" i="1"/>
  <c r="K1840" i="1"/>
  <c r="L1840" i="1"/>
  <c r="M1840" i="1"/>
  <c r="N1840" i="1"/>
  <c r="O1840" i="1"/>
  <c r="AS1840" i="1"/>
  <c r="AK1840" i="1" a="1"/>
  <c r="AK1840" i="1" s="1"/>
  <c r="AU1840" i="1"/>
  <c r="BD1840" i="1"/>
  <c r="K1844" i="1"/>
  <c r="L1844" i="1"/>
  <c r="M1844" i="1"/>
  <c r="N1844" i="1"/>
  <c r="O1844" i="1"/>
  <c r="AS1844" i="1"/>
  <c r="AK1844" i="1" a="1"/>
  <c r="AK1844" i="1" s="1"/>
  <c r="AU1844" i="1"/>
  <c r="BD1844" i="1"/>
  <c r="K1848" i="1"/>
  <c r="L1848" i="1"/>
  <c r="M1848" i="1"/>
  <c r="N1848" i="1"/>
  <c r="O1848" i="1"/>
  <c r="AS1848" i="1"/>
  <c r="AK1848" i="1" a="1"/>
  <c r="AK1848" i="1" s="1"/>
  <c r="AU1848" i="1"/>
  <c r="BD1848" i="1"/>
  <c r="K1852" i="1"/>
  <c r="L1852" i="1"/>
  <c r="M1852" i="1"/>
  <c r="N1852" i="1"/>
  <c r="O1852" i="1"/>
  <c r="AS1852" i="1"/>
  <c r="AK1852" i="1" a="1"/>
  <c r="AK1852" i="1" s="1"/>
  <c r="AU1852" i="1"/>
  <c r="BD1852" i="1"/>
  <c r="K1856" i="1"/>
  <c r="N1856" i="1" s="1"/>
  <c r="L1856" i="1"/>
  <c r="M1856" i="1"/>
  <c r="O1856" i="1"/>
  <c r="AS1856" i="1"/>
  <c r="AK1856" i="1" a="1"/>
  <c r="AK1856" i="1" s="1"/>
  <c r="AU1856" i="1"/>
  <c r="BD1856" i="1"/>
  <c r="H1402" i="1" a="1"/>
  <c r="H1402" i="1" s="1"/>
  <c r="R1402" i="1" s="1"/>
  <c r="H1403" i="1" a="1"/>
  <c r="H1403" i="1" s="1"/>
  <c r="R1403" i="1" s="1"/>
  <c r="H1404" i="1" a="1"/>
  <c r="H1404" i="1" s="1"/>
  <c r="R1404" i="1" s="1"/>
  <c r="H1405" i="1" a="1"/>
  <c r="H1405" i="1" s="1"/>
  <c r="R1405" i="1" s="1"/>
  <c r="H1406" i="1" a="1"/>
  <c r="H1406" i="1" s="1"/>
  <c r="R1406" i="1" s="1"/>
  <c r="H1407" i="1" a="1"/>
  <c r="H1407" i="1" s="1"/>
  <c r="R1407" i="1" s="1"/>
  <c r="H1408" i="1" a="1"/>
  <c r="H1408" i="1" s="1"/>
  <c r="R1408" i="1" s="1"/>
  <c r="H1409" i="1" a="1"/>
  <c r="H1409" i="1" s="1"/>
  <c r="R1409" i="1" s="1"/>
  <c r="H1410" i="1" a="1"/>
  <c r="H1410" i="1" s="1"/>
  <c r="R1410" i="1" s="1"/>
  <c r="H1411" i="1" a="1"/>
  <c r="H1411" i="1" s="1"/>
  <c r="R1411" i="1" s="1"/>
  <c r="H1412" i="1" a="1"/>
  <c r="H1412" i="1" s="1"/>
  <c r="R1412" i="1" s="1"/>
  <c r="H1413" i="1" a="1"/>
  <c r="H1413" i="1" s="1"/>
  <c r="R1413" i="1" s="1"/>
  <c r="H1414" i="1" a="1"/>
  <c r="H1414" i="1" s="1"/>
  <c r="R1414" i="1" s="1"/>
  <c r="H1415" i="1" a="1"/>
  <c r="H1415" i="1" s="1"/>
  <c r="R1415" i="1" s="1"/>
  <c r="H1416" i="1" a="1"/>
  <c r="H1416" i="1" s="1"/>
  <c r="R1416" i="1" s="1"/>
  <c r="H1417" i="1" a="1"/>
  <c r="H1417" i="1" s="1"/>
  <c r="R1417" i="1" s="1"/>
  <c r="H1418" i="1" a="1"/>
  <c r="H1418" i="1" s="1"/>
  <c r="R1418" i="1" s="1"/>
  <c r="H1419" i="1" a="1"/>
  <c r="H1419" i="1" s="1"/>
  <c r="R1419" i="1" s="1"/>
  <c r="H1428" i="1" a="1"/>
  <c r="H1428" i="1" s="1"/>
  <c r="R1428" i="1" s="1"/>
  <c r="H1429" i="1" a="1"/>
  <c r="H1429" i="1" s="1"/>
  <c r="R1429" i="1" s="1"/>
  <c r="H1430" i="1" a="1"/>
  <c r="H1430" i="1" s="1"/>
  <c r="R1430" i="1" s="1"/>
  <c r="H1431" i="1" a="1"/>
  <c r="H1431" i="1" s="1"/>
  <c r="R1431" i="1" s="1"/>
  <c r="H1432" i="1" a="1"/>
  <c r="H1432" i="1" s="1"/>
  <c r="R1432" i="1" s="1"/>
  <c r="H1433" i="1" a="1"/>
  <c r="H1433" i="1" s="1"/>
  <c r="R1433" i="1" s="1"/>
  <c r="H1434" i="1" a="1"/>
  <c r="H1434" i="1" s="1"/>
  <c r="R1434" i="1" s="1"/>
  <c r="H1435" i="1" a="1"/>
  <c r="H1435" i="1" s="1"/>
  <c r="R1435" i="1" s="1"/>
  <c r="H1436" i="1" a="1"/>
  <c r="H1436" i="1" s="1"/>
  <c r="R1436" i="1" s="1"/>
  <c r="H1437" i="1" a="1"/>
  <c r="H1437" i="1" s="1"/>
  <c r="R1437" i="1" s="1"/>
  <c r="H1438" i="1" a="1"/>
  <c r="H1438" i="1" s="1"/>
  <c r="R1438" i="1" s="1"/>
  <c r="H1439" i="1" a="1"/>
  <c r="H1439" i="1" s="1"/>
  <c r="R1439" i="1" s="1"/>
  <c r="H1440" i="1" a="1"/>
  <c r="H1440" i="1" s="1"/>
  <c r="R1440" i="1" s="1"/>
  <c r="H1441" i="1" a="1"/>
  <c r="H1441" i="1" s="1"/>
  <c r="R1441" i="1" s="1"/>
  <c r="H1442" i="1" a="1"/>
  <c r="H1442" i="1" s="1"/>
  <c r="R1442" i="1" s="1"/>
  <c r="H1443" i="1" a="1"/>
  <c r="H1443" i="1" s="1"/>
  <c r="R1443" i="1" s="1"/>
  <c r="H1444" i="1" a="1"/>
  <c r="H1444" i="1" s="1"/>
  <c r="R1444" i="1" s="1"/>
  <c r="H1445" i="1" a="1"/>
  <c r="H1445" i="1" s="1"/>
  <c r="R1445" i="1" s="1"/>
  <c r="H1454" i="1" a="1"/>
  <c r="H1454" i="1" s="1"/>
  <c r="R1454" i="1" s="1"/>
  <c r="H1455" i="1" a="1"/>
  <c r="H1455" i="1" s="1"/>
  <c r="R1455" i="1" s="1"/>
  <c r="H1456" i="1" a="1"/>
  <c r="H1456" i="1" s="1"/>
  <c r="R1456" i="1" s="1"/>
  <c r="H1457" i="1" a="1"/>
  <c r="H1457" i="1" s="1"/>
  <c r="R1457" i="1" s="1"/>
  <c r="H1458" i="1" a="1"/>
  <c r="H1458" i="1" s="1"/>
  <c r="R1458" i="1" s="1"/>
  <c r="H1459" i="1" a="1"/>
  <c r="H1459" i="1" s="1"/>
  <c r="R1459" i="1" s="1"/>
  <c r="H1460" i="1" a="1"/>
  <c r="H1460" i="1" s="1"/>
  <c r="R1460" i="1" s="1"/>
  <c r="H1461" i="1" a="1"/>
  <c r="H1461" i="1" s="1"/>
  <c r="R1461" i="1" s="1"/>
  <c r="H1462" i="1" a="1"/>
  <c r="H1462" i="1" s="1"/>
  <c r="R1462" i="1" s="1"/>
  <c r="H1463" i="1" a="1"/>
  <c r="H1463" i="1" s="1"/>
  <c r="R1463" i="1" s="1"/>
  <c r="H1464" i="1" a="1"/>
  <c r="H1464" i="1" s="1"/>
  <c r="R1464" i="1" s="1"/>
  <c r="H1465" i="1" a="1"/>
  <c r="H1465" i="1" s="1"/>
  <c r="R1465" i="1" s="1"/>
  <c r="H1466" i="1" a="1"/>
  <c r="H1466" i="1" s="1"/>
  <c r="R1466" i="1" s="1"/>
  <c r="H1467" i="1" a="1"/>
  <c r="H1467" i="1" s="1"/>
  <c r="R1467" i="1" s="1"/>
  <c r="H1468" i="1" a="1"/>
  <c r="H1468" i="1" s="1"/>
  <c r="R1468" i="1" s="1"/>
  <c r="H1469" i="1" a="1"/>
  <c r="H1469" i="1" s="1"/>
  <c r="R1469" i="1" s="1"/>
  <c r="H1490" i="1" a="1"/>
  <c r="H1490" i="1" s="1"/>
  <c r="R1490" i="1" s="1"/>
  <c r="H1491" i="1" a="1"/>
  <c r="H1491" i="1" s="1"/>
  <c r="R1491" i="1" s="1"/>
  <c r="H1492" i="1" a="1"/>
  <c r="H1492" i="1" s="1"/>
  <c r="R1492" i="1" s="1"/>
  <c r="H1493" i="1" a="1"/>
  <c r="H1493" i="1" s="1"/>
  <c r="R1493" i="1" s="1"/>
  <c r="H1494" i="1" a="1"/>
  <c r="H1494" i="1" s="1"/>
  <c r="R1494" i="1" s="1"/>
  <c r="H1495" i="1" a="1"/>
  <c r="H1495" i="1" s="1"/>
  <c r="R1495" i="1" s="1"/>
  <c r="H1496" i="1" a="1"/>
  <c r="H1496" i="1" s="1"/>
  <c r="R1496" i="1" s="1"/>
  <c r="H1497" i="1" a="1"/>
  <c r="H1497" i="1" s="1"/>
  <c r="R1497" i="1" s="1"/>
  <c r="H1498" i="1" a="1"/>
  <c r="H1498" i="1" s="1"/>
  <c r="R1498" i="1" s="1"/>
  <c r="H1499" i="1" a="1"/>
  <c r="H1499" i="1" s="1"/>
  <c r="R1499" i="1" s="1"/>
  <c r="H1500" i="1" a="1"/>
  <c r="H1500" i="1" s="1"/>
  <c r="R1500" i="1" s="1"/>
  <c r="H1501" i="1" a="1"/>
  <c r="H1501" i="1" s="1"/>
  <c r="R1501" i="1" s="1"/>
  <c r="H1502" i="1" a="1"/>
  <c r="H1502" i="1" s="1"/>
  <c r="R1502" i="1" s="1"/>
  <c r="H1503" i="1" a="1"/>
  <c r="H1503" i="1" s="1"/>
  <c r="R1503" i="1" s="1"/>
  <c r="H1504" i="1" a="1"/>
  <c r="H1504" i="1" s="1"/>
  <c r="R1504" i="1" s="1"/>
  <c r="H1505" i="1" a="1"/>
  <c r="H1505" i="1" s="1"/>
  <c r="R1505" i="1" s="1"/>
  <c r="H1506" i="1" a="1"/>
  <c r="H1506" i="1" s="1"/>
  <c r="R1506" i="1" s="1"/>
  <c r="H1507" i="1" a="1"/>
  <c r="H1507" i="1" s="1"/>
  <c r="R1507" i="1" s="1"/>
  <c r="H1508" i="1" a="1"/>
  <c r="H1508" i="1" s="1"/>
  <c r="R1508" i="1" s="1"/>
  <c r="H1509" i="1" a="1"/>
  <c r="H1509" i="1" s="1"/>
  <c r="R1509" i="1" s="1"/>
  <c r="H1510" i="1" a="1"/>
  <c r="H1510" i="1" s="1"/>
  <c r="R1510" i="1" s="1"/>
  <c r="H1511" i="1" a="1"/>
  <c r="H1511" i="1" s="1"/>
  <c r="R1511" i="1" s="1"/>
  <c r="H1512" i="1" a="1"/>
  <c r="H1512" i="1" s="1"/>
  <c r="R1512" i="1" s="1"/>
  <c r="H1513" i="1" a="1"/>
  <c r="H1513" i="1" s="1"/>
  <c r="R1513" i="1" s="1"/>
  <c r="H1514" i="1" a="1"/>
  <c r="H1514" i="1" s="1"/>
  <c r="R1514" i="1" s="1"/>
  <c r="H1515" i="1" a="1"/>
  <c r="H1515" i="1" s="1"/>
  <c r="R1515" i="1" s="1"/>
  <c r="H1516" i="1" a="1"/>
  <c r="H1516" i="1" s="1"/>
  <c r="R1516" i="1" s="1"/>
  <c r="H1517" i="1" a="1"/>
  <c r="H1517" i="1" s="1"/>
  <c r="R1517" i="1" s="1"/>
  <c r="H1518" i="1" a="1"/>
  <c r="H1518" i="1" s="1"/>
  <c r="R1518" i="1" s="1"/>
  <c r="H1519" i="1" a="1"/>
  <c r="H1519" i="1" s="1"/>
  <c r="R1519" i="1" s="1"/>
  <c r="H1520" i="1" a="1"/>
  <c r="H1520" i="1" s="1"/>
  <c r="R1520" i="1" s="1"/>
  <c r="H1521" i="1" a="1"/>
  <c r="H1521" i="1" s="1"/>
  <c r="R1521" i="1" s="1"/>
  <c r="H1522" i="1" a="1"/>
  <c r="H1522" i="1" s="1"/>
  <c r="R1522" i="1" s="1"/>
  <c r="H1523" i="1" a="1"/>
  <c r="H1523" i="1" s="1"/>
  <c r="R1523" i="1" s="1"/>
  <c r="H1524" i="1" a="1"/>
  <c r="H1524" i="1" s="1"/>
  <c r="R1524" i="1" s="1"/>
  <c r="H1525" i="1" a="1"/>
  <c r="H1525" i="1" s="1"/>
  <c r="R1525" i="1" s="1"/>
  <c r="H1526" i="1" a="1"/>
  <c r="H1526" i="1" s="1"/>
  <c r="R1526" i="1" s="1"/>
  <c r="H1527" i="1" a="1"/>
  <c r="H1527" i="1" s="1"/>
  <c r="R1527" i="1" s="1"/>
  <c r="H1528" i="1" a="1"/>
  <c r="H1528" i="1" s="1"/>
  <c r="R1528" i="1" s="1"/>
  <c r="H1529" i="1" a="1"/>
  <c r="H1529" i="1" s="1"/>
  <c r="R1529" i="1" s="1"/>
  <c r="H1530" i="1" a="1"/>
  <c r="H1530" i="1" s="1"/>
  <c r="R1530" i="1" s="1"/>
  <c r="H1531" i="1" a="1"/>
  <c r="H1531" i="1" s="1"/>
  <c r="R1531" i="1" s="1"/>
  <c r="H1532" i="1" a="1"/>
  <c r="H1532" i="1" s="1"/>
  <c r="R1532" i="1" s="1"/>
  <c r="H1533" i="1" a="1"/>
  <c r="H1533" i="1" s="1"/>
  <c r="R1533" i="1" s="1"/>
  <c r="H1534" i="1" a="1"/>
  <c r="H1534" i="1" s="1"/>
  <c r="R1534" i="1" s="1"/>
  <c r="H1535" i="1" a="1"/>
  <c r="H1535" i="1" s="1"/>
  <c r="R1535" i="1" s="1"/>
  <c r="H1536" i="1" a="1"/>
  <c r="H1536" i="1" s="1"/>
  <c r="R1536" i="1" s="1"/>
  <c r="H1537" i="1" a="1"/>
  <c r="H1537" i="1" s="1"/>
  <c r="R1537" i="1" s="1"/>
  <c r="H1538" i="1" a="1"/>
  <c r="H1538" i="1" s="1"/>
  <c r="R1538" i="1" s="1"/>
  <c r="H1559" i="1" a="1"/>
  <c r="H1559" i="1" s="1"/>
  <c r="R1559" i="1" s="1"/>
  <c r="H1560" i="1" a="1"/>
  <c r="H1560" i="1" s="1"/>
  <c r="R1560" i="1" s="1"/>
  <c r="H1561" i="1" a="1"/>
  <c r="H1561" i="1" s="1"/>
  <c r="R1561" i="1" s="1"/>
  <c r="H1562" i="1" a="1"/>
  <c r="H1562" i="1" s="1"/>
  <c r="R1562" i="1" s="1"/>
  <c r="H1563" i="1" a="1"/>
  <c r="H1563" i="1" s="1"/>
  <c r="R1563" i="1" s="1"/>
  <c r="H1564" i="1" a="1"/>
  <c r="H1564" i="1" s="1"/>
  <c r="R1564" i="1" s="1"/>
  <c r="H1565" i="1" a="1"/>
  <c r="H1565" i="1" s="1"/>
  <c r="R1565" i="1" s="1"/>
  <c r="H1566" i="1" a="1"/>
  <c r="H1566" i="1" s="1"/>
  <c r="R1566" i="1" s="1"/>
  <c r="H1567" i="1" a="1"/>
  <c r="H1567" i="1" s="1"/>
  <c r="R1567" i="1" s="1"/>
  <c r="H1568" i="1" a="1"/>
  <c r="H1568" i="1" s="1"/>
  <c r="R1568" i="1" s="1"/>
  <c r="H1569" i="1" a="1"/>
  <c r="H1569" i="1" s="1"/>
  <c r="R1569" i="1" s="1"/>
  <c r="H1570" i="1" a="1"/>
  <c r="H1570" i="1" s="1"/>
  <c r="R1570" i="1" s="1"/>
  <c r="H1571" i="1" a="1"/>
  <c r="H1571" i="1" s="1"/>
  <c r="R1571" i="1" s="1"/>
  <c r="H1572" i="1" a="1"/>
  <c r="H1572" i="1" s="1"/>
  <c r="R1572" i="1" s="1"/>
  <c r="H1573" i="1" a="1"/>
  <c r="H1573" i="1" s="1"/>
  <c r="R1573" i="1" s="1"/>
  <c r="H1574" i="1" a="1"/>
  <c r="H1574" i="1" s="1"/>
  <c r="R1574" i="1" s="1"/>
  <c r="H1575" i="1" a="1"/>
  <c r="H1575" i="1" s="1"/>
  <c r="R1575" i="1" s="1"/>
  <c r="H1576" i="1" a="1"/>
  <c r="H1576" i="1" s="1"/>
  <c r="R1576" i="1" s="1"/>
  <c r="H1585" i="1" a="1"/>
  <c r="H1585" i="1" s="1"/>
  <c r="R1585" i="1" s="1"/>
  <c r="H1586" i="1" a="1"/>
  <c r="H1586" i="1" s="1"/>
  <c r="R1586" i="1" s="1"/>
  <c r="H1587" i="1" a="1"/>
  <c r="H1587" i="1" s="1"/>
  <c r="R1587" i="1" s="1"/>
  <c r="H1588" i="1" a="1"/>
  <c r="H1588" i="1" s="1"/>
  <c r="R1588" i="1" s="1"/>
  <c r="H1589" i="1" a="1"/>
  <c r="H1589" i="1" s="1"/>
  <c r="R1589" i="1" s="1"/>
  <c r="H1590" i="1" a="1"/>
  <c r="H1590" i="1" s="1"/>
  <c r="R1590" i="1" s="1"/>
  <c r="H1591" i="1" a="1"/>
  <c r="H1591" i="1" s="1"/>
  <c r="R1591" i="1" s="1"/>
  <c r="H1592" i="1" a="1"/>
  <c r="H1592" i="1" s="1"/>
  <c r="R1592" i="1" s="1"/>
  <c r="H1593" i="1" a="1"/>
  <c r="H1593" i="1" s="1"/>
  <c r="R1593" i="1" s="1"/>
  <c r="H1594" i="1" a="1"/>
  <c r="H1594" i="1" s="1"/>
  <c r="R1594" i="1" s="1"/>
  <c r="H1595" i="1" a="1"/>
  <c r="H1595" i="1" s="1"/>
  <c r="R1595" i="1" s="1"/>
  <c r="H1596" i="1" a="1"/>
  <c r="H1596" i="1" s="1"/>
  <c r="R1596" i="1" s="1"/>
  <c r="H1597" i="1" a="1"/>
  <c r="H1597" i="1" s="1"/>
  <c r="R1597" i="1" s="1"/>
  <c r="H1598" i="1" a="1"/>
  <c r="H1598" i="1" s="1"/>
  <c r="R1598" i="1" s="1"/>
  <c r="H1599" i="1" a="1"/>
  <c r="H1599" i="1" s="1"/>
  <c r="R1599" i="1" s="1"/>
  <c r="H1600" i="1" a="1"/>
  <c r="H1600" i="1" s="1"/>
  <c r="R1600" i="1" s="1"/>
  <c r="H1601" i="1" a="1"/>
  <c r="H1601" i="1" s="1"/>
  <c r="R1601" i="1" s="1"/>
  <c r="H1602" i="1" a="1"/>
  <c r="H1602" i="1" s="1"/>
  <c r="R1602" i="1" s="1"/>
  <c r="H1611" i="1" a="1"/>
  <c r="H1611" i="1" s="1"/>
  <c r="R1611" i="1" s="1"/>
  <c r="H1612" i="1" a="1"/>
  <c r="H1612" i="1" s="1"/>
  <c r="R1612" i="1" s="1"/>
  <c r="H1613" i="1" a="1"/>
  <c r="H1613" i="1" s="1"/>
  <c r="R1613" i="1" s="1"/>
  <c r="H1614" i="1" a="1"/>
  <c r="H1614" i="1" s="1"/>
  <c r="R1614" i="1" s="1"/>
  <c r="H1615" i="1" a="1"/>
  <c r="H1615" i="1" s="1"/>
  <c r="R1615" i="1" s="1"/>
  <c r="H1616" i="1" a="1"/>
  <c r="H1616" i="1" s="1"/>
  <c r="R1616" i="1" s="1"/>
  <c r="H1617" i="1" a="1"/>
  <c r="H1617" i="1" s="1"/>
  <c r="R1617" i="1" s="1"/>
  <c r="H1618" i="1" a="1"/>
  <c r="H1618" i="1" s="1"/>
  <c r="R1618" i="1" s="1"/>
  <c r="H1619" i="1" a="1"/>
  <c r="H1619" i="1" s="1"/>
  <c r="R1619" i="1" s="1"/>
  <c r="H1620" i="1" a="1"/>
  <c r="H1620" i="1" s="1"/>
  <c r="R1620" i="1" s="1"/>
  <c r="H1621" i="1" a="1"/>
  <c r="H1621" i="1" s="1"/>
  <c r="R1621" i="1" s="1"/>
  <c r="H1622" i="1" a="1"/>
  <c r="H1622" i="1" s="1"/>
  <c r="R1622" i="1" s="1"/>
  <c r="H1623" i="1" a="1"/>
  <c r="H1623" i="1" s="1"/>
  <c r="R1623" i="1" s="1"/>
  <c r="H1624" i="1" a="1"/>
  <c r="H1624" i="1" s="1"/>
  <c r="R1624" i="1" s="1"/>
  <c r="H1625" i="1" a="1"/>
  <c r="H1625" i="1" s="1"/>
  <c r="R1625" i="1" s="1"/>
  <c r="H1626" i="1" a="1"/>
  <c r="H1626" i="1" s="1"/>
  <c r="R1626" i="1" s="1"/>
  <c r="H1627" i="1" a="1"/>
  <c r="H1627" i="1" s="1"/>
  <c r="R1627" i="1" s="1"/>
  <c r="H1628" i="1" a="1"/>
  <c r="H1628" i="1" s="1"/>
  <c r="R1628" i="1" s="1"/>
  <c r="H1629" i="1" a="1"/>
  <c r="H1629" i="1" s="1"/>
  <c r="R1629" i="1" s="1"/>
  <c r="H1630" i="1" a="1"/>
  <c r="H1630" i="1" s="1"/>
  <c r="R1630" i="1" s="1"/>
  <c r="H1631" i="1" a="1"/>
  <c r="H1631" i="1" s="1"/>
  <c r="R1631" i="1" s="1"/>
  <c r="H1632" i="1" a="1"/>
  <c r="H1632" i="1" s="1"/>
  <c r="R1632" i="1" s="1"/>
  <c r="H1633" i="1" a="1"/>
  <c r="H1633" i="1" s="1"/>
  <c r="R1633" i="1" s="1"/>
  <c r="H1634" i="1" a="1"/>
  <c r="H1634" i="1" s="1"/>
  <c r="R1634" i="1" s="1"/>
  <c r="H1635" i="1" a="1"/>
  <c r="H1635" i="1" s="1"/>
  <c r="R1635" i="1" s="1"/>
  <c r="H1636" i="1" a="1"/>
  <c r="H1636" i="1" s="1"/>
  <c r="R1636" i="1" s="1"/>
  <c r="H1637" i="1" a="1"/>
  <c r="H1637" i="1" s="1"/>
  <c r="R1637" i="1" s="1"/>
  <c r="H1638" i="1" a="1"/>
  <c r="H1638" i="1" s="1"/>
  <c r="R1638" i="1" s="1"/>
  <c r="H1639" i="1" a="1"/>
  <c r="H1639" i="1" s="1"/>
  <c r="R1639" i="1" s="1"/>
  <c r="H1640" i="1" a="1"/>
  <c r="H1640" i="1" s="1"/>
  <c r="R1640" i="1" s="1"/>
  <c r="H1641" i="1" a="1"/>
  <c r="H1641" i="1" s="1"/>
  <c r="R1641" i="1" s="1"/>
  <c r="H1642" i="1" a="1"/>
  <c r="H1642" i="1" s="1"/>
  <c r="R1642" i="1" s="1"/>
  <c r="H1643" i="1" a="1"/>
  <c r="H1643" i="1" s="1"/>
  <c r="R1643" i="1" s="1"/>
  <c r="H1644" i="1" a="1"/>
  <c r="H1644" i="1" s="1"/>
  <c r="R1644" i="1" s="1"/>
  <c r="H1645" i="1" a="1"/>
  <c r="H1645" i="1" s="1"/>
  <c r="R1645" i="1" s="1"/>
  <c r="H1646" i="1" a="1"/>
  <c r="H1646" i="1" s="1"/>
  <c r="R1646" i="1" s="1"/>
  <c r="H1667" i="1" a="1"/>
  <c r="H1667" i="1" s="1"/>
  <c r="R1667" i="1" s="1"/>
  <c r="H1668" i="1" a="1"/>
  <c r="H1668" i="1" s="1"/>
  <c r="R1668" i="1" s="1"/>
  <c r="H1669" i="1" a="1"/>
  <c r="H1669" i="1" s="1"/>
  <c r="R1669" i="1" s="1"/>
  <c r="H1670" i="1" a="1"/>
  <c r="H1670" i="1" s="1"/>
  <c r="R1670" i="1" s="1"/>
  <c r="H1671" i="1" a="1"/>
  <c r="H1671" i="1" s="1"/>
  <c r="R1671" i="1" s="1"/>
  <c r="H1672" i="1" a="1"/>
  <c r="H1672" i="1" s="1"/>
  <c r="R1672" i="1" s="1"/>
  <c r="H1673" i="1" a="1"/>
  <c r="H1673" i="1" s="1"/>
  <c r="R1673" i="1" s="1"/>
  <c r="H1674" i="1" a="1"/>
  <c r="H1674" i="1" s="1"/>
  <c r="R1674" i="1" s="1"/>
  <c r="H1675" i="1" a="1"/>
  <c r="H1675" i="1" s="1"/>
  <c r="R1675" i="1" s="1"/>
  <c r="H1676" i="1" a="1"/>
  <c r="H1676" i="1" s="1"/>
  <c r="R1676" i="1" s="1"/>
  <c r="H1677" i="1" a="1"/>
  <c r="H1677" i="1" s="1"/>
  <c r="R1677" i="1" s="1"/>
  <c r="H1678" i="1" a="1"/>
  <c r="H1678" i="1" s="1"/>
  <c r="R1678" i="1" s="1"/>
  <c r="H1679" i="1" a="1"/>
  <c r="H1679" i="1" s="1"/>
  <c r="R1679" i="1" s="1"/>
  <c r="H1680" i="1" a="1"/>
  <c r="H1680" i="1" s="1"/>
  <c r="R1680" i="1" s="1"/>
  <c r="H1681" i="1" a="1"/>
  <c r="H1681" i="1" s="1"/>
  <c r="R1681" i="1" s="1"/>
  <c r="H1682" i="1" a="1"/>
  <c r="H1682" i="1" s="1"/>
  <c r="R1682" i="1" s="1"/>
  <c r="H1683" i="1" a="1"/>
  <c r="H1683" i="1" s="1"/>
  <c r="R1683" i="1" s="1"/>
  <c r="H1684" i="1" a="1"/>
  <c r="H1684" i="1" s="1"/>
  <c r="R1684" i="1" s="1"/>
  <c r="H1685" i="1" a="1"/>
  <c r="H1685" i="1" s="1"/>
  <c r="R1685" i="1" s="1"/>
  <c r="H1686" i="1" a="1"/>
  <c r="H1686" i="1" s="1"/>
  <c r="R1686" i="1" s="1"/>
  <c r="H1687" i="1" a="1"/>
  <c r="H1687" i="1" s="1"/>
  <c r="R1687" i="1" s="1"/>
  <c r="H1688" i="1" a="1"/>
  <c r="H1688" i="1" s="1"/>
  <c r="R1688" i="1" s="1"/>
  <c r="H1689" i="1" a="1"/>
  <c r="H1689" i="1" s="1"/>
  <c r="R1689" i="1" s="1"/>
  <c r="H1690" i="1" a="1"/>
  <c r="H1690" i="1" s="1"/>
  <c r="R1690" i="1" s="1"/>
  <c r="H1691" i="1" a="1"/>
  <c r="H1691" i="1" s="1"/>
  <c r="R1691" i="1" s="1"/>
  <c r="H1712" i="1" a="1"/>
  <c r="H1712" i="1" s="1"/>
  <c r="R1712" i="1" s="1"/>
  <c r="H1713" i="1" a="1"/>
  <c r="H1713" i="1" s="1"/>
  <c r="R1713" i="1" s="1"/>
  <c r="H1714" i="1" a="1"/>
  <c r="H1714" i="1" s="1"/>
  <c r="R1714" i="1" s="1"/>
  <c r="H1715" i="1" a="1"/>
  <c r="H1715" i="1" s="1"/>
  <c r="R1715" i="1" s="1"/>
  <c r="H1716" i="1" a="1"/>
  <c r="H1716" i="1" s="1"/>
  <c r="R1716" i="1" s="1"/>
  <c r="H1717" i="1" a="1"/>
  <c r="H1717" i="1" s="1"/>
  <c r="R1717" i="1" s="1"/>
  <c r="H1718" i="1" a="1"/>
  <c r="H1718" i="1" s="1"/>
  <c r="R1718" i="1" s="1"/>
  <c r="H1719" i="1" a="1"/>
  <c r="H1719" i="1" s="1"/>
  <c r="R1719" i="1" s="1"/>
  <c r="H1720" i="1" a="1"/>
  <c r="H1720" i="1" s="1"/>
  <c r="R1720" i="1" s="1"/>
  <c r="H1721" i="1" a="1"/>
  <c r="H1721" i="1" s="1"/>
  <c r="R1721" i="1" s="1"/>
  <c r="H1722" i="1" a="1"/>
  <c r="H1722" i="1" s="1"/>
  <c r="R1722" i="1" s="1"/>
  <c r="H1723" i="1" a="1"/>
  <c r="H1723" i="1" s="1"/>
  <c r="R1723" i="1" s="1"/>
  <c r="H1724" i="1" a="1"/>
  <c r="H1724" i="1" s="1"/>
  <c r="R1724" i="1" s="1"/>
  <c r="H1725" i="1" a="1"/>
  <c r="H1725" i="1" s="1"/>
  <c r="R1725" i="1" s="1"/>
  <c r="H1726" i="1" a="1"/>
  <c r="H1726" i="1" s="1"/>
  <c r="R1726" i="1" s="1"/>
  <c r="H1727" i="1" a="1"/>
  <c r="H1727" i="1" s="1"/>
  <c r="R1727" i="1" s="1"/>
  <c r="H1728" i="1" a="1"/>
  <c r="H1728" i="1" s="1"/>
  <c r="R1728" i="1" s="1"/>
  <c r="H1729" i="1" a="1"/>
  <c r="H1729" i="1" s="1"/>
  <c r="R1729" i="1" s="1"/>
  <c r="H1734" i="1" a="1"/>
  <c r="H1734" i="1" s="1"/>
  <c r="R1734" i="1" s="1"/>
  <c r="H1735" i="1" a="1"/>
  <c r="H1735" i="1" s="1"/>
  <c r="R1735" i="1" s="1"/>
  <c r="H1736" i="1" a="1"/>
  <c r="H1736" i="1" s="1"/>
  <c r="R1736" i="1" s="1"/>
  <c r="H1737" i="1" a="1"/>
  <c r="H1737" i="1" s="1"/>
  <c r="R1737" i="1" s="1"/>
  <c r="H1738" i="1" a="1"/>
  <c r="H1738" i="1" s="1"/>
  <c r="R1738" i="1" s="1"/>
  <c r="H1739" i="1" a="1"/>
  <c r="H1739" i="1" s="1"/>
  <c r="R1739" i="1" s="1"/>
  <c r="H1740" i="1" a="1"/>
  <c r="H1740" i="1" s="1"/>
  <c r="R1740" i="1" s="1"/>
  <c r="H1741" i="1" a="1"/>
  <c r="H1741" i="1" s="1"/>
  <c r="R1741" i="1" s="1"/>
  <c r="H1742" i="1" a="1"/>
  <c r="H1742" i="1" s="1"/>
  <c r="R1742" i="1" s="1"/>
  <c r="H1743" i="1" a="1"/>
  <c r="H1743" i="1" s="1"/>
  <c r="R1743" i="1" s="1"/>
  <c r="H1744" i="1" a="1"/>
  <c r="H1744" i="1" s="1"/>
  <c r="R1744" i="1" s="1"/>
  <c r="H1745" i="1" a="1"/>
  <c r="H1745" i="1" s="1"/>
  <c r="R1745" i="1" s="1"/>
  <c r="H1746" i="1" a="1"/>
  <c r="H1746" i="1" s="1"/>
  <c r="R1746" i="1" s="1"/>
  <c r="H1747" i="1" a="1"/>
  <c r="H1747" i="1" s="1"/>
  <c r="R1747" i="1" s="1"/>
  <c r="H1748" i="1" a="1"/>
  <c r="H1748" i="1" s="1"/>
  <c r="R1748" i="1" s="1"/>
  <c r="H1749" i="1" a="1"/>
  <c r="H1749" i="1" s="1"/>
  <c r="R1749" i="1" s="1"/>
  <c r="H1750" i="1" a="1"/>
  <c r="H1750" i="1" s="1"/>
  <c r="R1750" i="1" s="1"/>
  <c r="H1751" i="1" a="1"/>
  <c r="H1751" i="1" s="1"/>
  <c r="R1751" i="1" s="1"/>
  <c r="H1760" i="1" a="1"/>
  <c r="H1760" i="1" s="1"/>
  <c r="R1760" i="1" s="1"/>
  <c r="H1761" i="1" a="1"/>
  <c r="H1761" i="1" s="1"/>
  <c r="R1761" i="1" s="1"/>
  <c r="H1762" i="1" a="1"/>
  <c r="H1762" i="1" s="1"/>
  <c r="R1762" i="1" s="1"/>
  <c r="H1763" i="1" a="1"/>
  <c r="H1763" i="1" s="1"/>
  <c r="R1763" i="1" s="1"/>
  <c r="H1764" i="1" a="1"/>
  <c r="H1764" i="1" s="1"/>
  <c r="R1764" i="1" s="1"/>
  <c r="H1765" i="1" a="1"/>
  <c r="H1765" i="1" s="1"/>
  <c r="R1765" i="1" s="1"/>
  <c r="H1766" i="1" a="1"/>
  <c r="H1766" i="1" s="1"/>
  <c r="R1766" i="1" s="1"/>
  <c r="H1767" i="1" a="1"/>
  <c r="H1767" i="1" s="1"/>
  <c r="R1767" i="1" s="1"/>
  <c r="H1768" i="1" a="1"/>
  <c r="H1768" i="1" s="1"/>
  <c r="R1768" i="1" s="1"/>
  <c r="H1769" i="1" a="1"/>
  <c r="H1769" i="1" s="1"/>
  <c r="R1769" i="1" s="1"/>
  <c r="H1770" i="1" a="1"/>
  <c r="H1770" i="1" s="1"/>
  <c r="R1770" i="1" s="1"/>
  <c r="H1771" i="1" a="1"/>
  <c r="H1771" i="1" s="1"/>
  <c r="R1771" i="1" s="1"/>
  <c r="H1772" i="1" a="1"/>
  <c r="H1772" i="1" s="1"/>
  <c r="R1772" i="1" s="1"/>
  <c r="H1773" i="1" a="1"/>
  <c r="H1773" i="1" s="1"/>
  <c r="R1773" i="1" s="1"/>
  <c r="H1774" i="1" a="1"/>
  <c r="H1774" i="1" s="1"/>
  <c r="R1774" i="1" s="1"/>
  <c r="H1775" i="1" a="1"/>
  <c r="H1775" i="1" s="1"/>
  <c r="R1775" i="1" s="1"/>
  <c r="H1776" i="1" a="1"/>
  <c r="H1776" i="1" s="1"/>
  <c r="R1776" i="1" s="1"/>
  <c r="H1777" i="1" a="1"/>
  <c r="H1777" i="1" s="1"/>
  <c r="R1777" i="1" s="1"/>
  <c r="H1778" i="1" a="1"/>
  <c r="H1778" i="1" s="1"/>
  <c r="R1778" i="1" s="1"/>
  <c r="H1779" i="1" a="1"/>
  <c r="H1779" i="1" s="1"/>
  <c r="R1779" i="1" s="1"/>
  <c r="H1780" i="1" a="1"/>
  <c r="H1780" i="1" s="1"/>
  <c r="R1780" i="1" s="1"/>
  <c r="H1781" i="1" a="1"/>
  <c r="H1781" i="1" s="1"/>
  <c r="R1781" i="1" s="1"/>
  <c r="H1782" i="1" a="1"/>
  <c r="H1782" i="1" s="1"/>
  <c r="R1782" i="1" s="1"/>
  <c r="H1783" i="1" a="1"/>
  <c r="H1783" i="1" s="1"/>
  <c r="R1783" i="1" s="1"/>
  <c r="H1784" i="1" a="1"/>
  <c r="H1784" i="1" s="1"/>
  <c r="R1784" i="1" s="1"/>
  <c r="H1785" i="1" a="1"/>
  <c r="H1785" i="1" s="1"/>
  <c r="R1785" i="1" s="1"/>
  <c r="H1786" i="1" a="1"/>
  <c r="H1786" i="1" s="1"/>
  <c r="R1786" i="1" s="1"/>
  <c r="H1787" i="1" a="1"/>
  <c r="H1787" i="1" s="1"/>
  <c r="R1787" i="1" s="1"/>
  <c r="H1788" i="1" a="1"/>
  <c r="H1788" i="1" s="1"/>
  <c r="R1788" i="1" s="1"/>
  <c r="H1789" i="1" a="1"/>
  <c r="H1789" i="1" s="1"/>
  <c r="R1789" i="1" s="1"/>
  <c r="H1790" i="1" a="1"/>
  <c r="H1790" i="1" s="1"/>
  <c r="R1790" i="1" s="1"/>
  <c r="H1791" i="1" a="1"/>
  <c r="H1791" i="1" s="1"/>
  <c r="R1791" i="1" s="1"/>
  <c r="H1792" i="1" a="1"/>
  <c r="H1792" i="1" s="1"/>
  <c r="R1792" i="1" s="1"/>
  <c r="H1793" i="1" a="1"/>
  <c r="H1793" i="1" s="1"/>
  <c r="R1793" i="1" s="1"/>
  <c r="H1794" i="1" a="1"/>
  <c r="H1794" i="1" s="1"/>
  <c r="R1794" i="1" s="1"/>
  <c r="H1795" i="1" a="1"/>
  <c r="H1795" i="1" s="1"/>
  <c r="R1795" i="1" s="1"/>
  <c r="H1812" i="1" a="1"/>
  <c r="H1812" i="1" s="1"/>
  <c r="R1812" i="1" s="1"/>
  <c r="H1813" i="1" a="1"/>
  <c r="H1813" i="1" s="1"/>
  <c r="R1813" i="1" s="1"/>
  <c r="H1814" i="1" a="1"/>
  <c r="H1814" i="1" s="1"/>
  <c r="R1814" i="1" s="1"/>
  <c r="H1815" i="1" a="1"/>
  <c r="H1815" i="1" s="1"/>
  <c r="R1815" i="1" s="1"/>
  <c r="H1816" i="1" a="1"/>
  <c r="H1816" i="1" s="1"/>
  <c r="R1816" i="1" s="1"/>
  <c r="H1817" i="1" a="1"/>
  <c r="H1817" i="1" s="1"/>
  <c r="R1817" i="1" s="1"/>
  <c r="H1818" i="1" a="1"/>
  <c r="H1818" i="1" s="1"/>
  <c r="R1818" i="1" s="1"/>
  <c r="H1819" i="1" a="1"/>
  <c r="H1819" i="1" s="1"/>
  <c r="R1819" i="1" s="1"/>
  <c r="H1820" i="1" a="1"/>
  <c r="H1820" i="1" s="1"/>
  <c r="R1820" i="1" s="1"/>
  <c r="H1821" i="1" a="1"/>
  <c r="H1821" i="1" s="1"/>
  <c r="R1821" i="1" s="1"/>
  <c r="H1822" i="1" a="1"/>
  <c r="H1822" i="1" s="1"/>
  <c r="R1822" i="1" s="1"/>
  <c r="H1823" i="1" a="1"/>
  <c r="H1823" i="1" s="1"/>
  <c r="R1823" i="1" s="1"/>
  <c r="H1824" i="1" a="1"/>
  <c r="H1824" i="1" s="1"/>
  <c r="R1824" i="1" s="1"/>
  <c r="H1825" i="1" a="1"/>
  <c r="H1825" i="1" s="1"/>
  <c r="R1825" i="1" s="1"/>
  <c r="H1826" i="1" a="1"/>
  <c r="H1826" i="1" s="1"/>
  <c r="R1826" i="1" s="1"/>
  <c r="H1827" i="1" a="1"/>
  <c r="H1827" i="1" s="1"/>
  <c r="R1827" i="1" s="1"/>
  <c r="H1828" i="1" a="1"/>
  <c r="H1828" i="1" s="1"/>
  <c r="R1828" i="1" s="1"/>
  <c r="H1829" i="1" a="1"/>
  <c r="H1829" i="1" s="1"/>
  <c r="R1829" i="1" s="1"/>
  <c r="H1830" i="1" a="1"/>
  <c r="H1830" i="1" s="1"/>
  <c r="R1830" i="1" s="1"/>
  <c r="H1831" i="1" a="1"/>
  <c r="H1831" i="1" s="1"/>
  <c r="R1831" i="1" s="1"/>
  <c r="H1832" i="1" a="1"/>
  <c r="H1832" i="1" s="1"/>
  <c r="R1832" i="1" s="1"/>
  <c r="H1833" i="1" a="1"/>
  <c r="H1833" i="1" s="1"/>
  <c r="R1833" i="1" s="1"/>
  <c r="H1834" i="1" a="1"/>
  <c r="H1834" i="1" s="1"/>
  <c r="R1834" i="1" s="1"/>
  <c r="H1835" i="1" a="1"/>
  <c r="H1835" i="1" s="1"/>
  <c r="R1835" i="1" s="1"/>
  <c r="H1836" i="1" a="1"/>
  <c r="H1836" i="1" s="1"/>
  <c r="R1836" i="1" s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3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9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3" i="1"/>
  <c r="A1477" i="1"/>
  <c r="A1481" i="1"/>
  <c r="A1485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42" i="1"/>
  <c r="A1546" i="1"/>
  <c r="A1550" i="1"/>
  <c r="A1554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80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6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50" i="1"/>
  <c r="A1654" i="1"/>
  <c r="A1658" i="1"/>
  <c r="A1662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5" i="1"/>
  <c r="A1699" i="1"/>
  <c r="A1703" i="1"/>
  <c r="A1707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5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9" i="1"/>
  <c r="A1803" i="1"/>
  <c r="A1807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40" i="1"/>
  <c r="A1844" i="1"/>
  <c r="A1848" i="1"/>
  <c r="A1852" i="1"/>
  <c r="A1856" i="1"/>
  <c r="BL1856" i="1"/>
  <c r="BL1855" i="1"/>
  <c r="BL1854" i="1"/>
  <c r="BL1853" i="1"/>
  <c r="BL1852" i="1"/>
  <c r="BL1851" i="1"/>
  <c r="BL1850" i="1"/>
  <c r="BL1849" i="1"/>
  <c r="BL1848" i="1"/>
  <c r="BL1847" i="1"/>
  <c r="BL1846" i="1"/>
  <c r="BL1845" i="1"/>
  <c r="BL1844" i="1"/>
  <c r="BL1843" i="1"/>
  <c r="BL1842" i="1"/>
  <c r="BL1841" i="1"/>
  <c r="BL1840" i="1"/>
  <c r="BL1839" i="1"/>
  <c r="BL1838" i="1"/>
  <c r="BL1837" i="1"/>
  <c r="BL1836" i="1"/>
  <c r="BL1835" i="1"/>
  <c r="BL1834" i="1"/>
  <c r="BL1833" i="1"/>
  <c r="BL1832" i="1"/>
  <c r="BL1831" i="1"/>
  <c r="BL1830" i="1"/>
  <c r="BL1829" i="1"/>
  <c r="BL1828" i="1"/>
  <c r="BL1827" i="1"/>
  <c r="BL1826" i="1"/>
  <c r="BL1825" i="1"/>
  <c r="BL1824" i="1"/>
  <c r="BL1823" i="1"/>
  <c r="BL1822" i="1"/>
  <c r="BL1821" i="1"/>
  <c r="BL1820" i="1"/>
  <c r="BL1819" i="1"/>
  <c r="BL1818" i="1"/>
  <c r="BL1817" i="1"/>
  <c r="BL1816" i="1"/>
  <c r="BL1815" i="1"/>
  <c r="BL1814" i="1"/>
  <c r="BL1813" i="1"/>
  <c r="BL1812" i="1"/>
  <c r="BL1811" i="1"/>
  <c r="BL1810" i="1"/>
  <c r="BL1809" i="1"/>
  <c r="BL1808" i="1"/>
  <c r="BL1807" i="1"/>
  <c r="BL1806" i="1"/>
  <c r="BL1805" i="1"/>
  <c r="BL1804" i="1"/>
  <c r="BL1803" i="1"/>
  <c r="BL1802" i="1"/>
  <c r="BL1801" i="1"/>
  <c r="BL1800" i="1"/>
  <c r="BL1799" i="1"/>
  <c r="BL1798" i="1"/>
  <c r="BL1797" i="1"/>
  <c r="BL1796" i="1"/>
  <c r="BL1795" i="1"/>
  <c r="BL1794" i="1"/>
  <c r="BL1793" i="1"/>
  <c r="BL1792" i="1"/>
  <c r="BL1791" i="1"/>
  <c r="BL1790" i="1"/>
  <c r="BL1789" i="1"/>
  <c r="BL1788" i="1"/>
  <c r="BL1787" i="1"/>
  <c r="BL1786" i="1"/>
  <c r="BL1785" i="1"/>
  <c r="BL1784" i="1"/>
  <c r="BL1783" i="1"/>
  <c r="BL1782" i="1"/>
  <c r="BL1781" i="1"/>
  <c r="BL1780" i="1"/>
  <c r="BL1779" i="1"/>
  <c r="BL1778" i="1"/>
  <c r="BL1777" i="1"/>
  <c r="BL1776" i="1"/>
  <c r="BL1775" i="1"/>
  <c r="BL1774" i="1"/>
  <c r="BL1773" i="1"/>
  <c r="BL1772" i="1"/>
  <c r="BL1771" i="1"/>
  <c r="BL1770" i="1"/>
  <c r="BL1769" i="1"/>
  <c r="BL1768" i="1"/>
  <c r="BL1767" i="1"/>
  <c r="BL1766" i="1"/>
  <c r="BL1765" i="1"/>
  <c r="BL1764" i="1"/>
  <c r="BL1763" i="1"/>
  <c r="BL1762" i="1"/>
  <c r="BL1761" i="1"/>
  <c r="BL1760" i="1"/>
  <c r="BL1759" i="1"/>
  <c r="BL1758" i="1"/>
  <c r="BL1757" i="1"/>
  <c r="BL1756" i="1"/>
  <c r="BL1755" i="1"/>
  <c r="BL1754" i="1"/>
  <c r="BL1753" i="1"/>
  <c r="BL1752" i="1"/>
  <c r="BL1751" i="1"/>
  <c r="BL1750" i="1"/>
  <c r="BL1749" i="1"/>
  <c r="BL1748" i="1"/>
  <c r="BL1747" i="1"/>
  <c r="BL1746" i="1"/>
  <c r="BL1745" i="1"/>
  <c r="BL1744" i="1"/>
  <c r="BL1743" i="1"/>
  <c r="BL1742" i="1"/>
  <c r="BL1741" i="1"/>
  <c r="BL1740" i="1"/>
  <c r="BL1739" i="1"/>
  <c r="BL1738" i="1"/>
  <c r="BL1737" i="1"/>
  <c r="BL1736" i="1"/>
  <c r="BL1735" i="1"/>
  <c r="BL1734" i="1"/>
  <c r="BL1733" i="1"/>
  <c r="BL1732" i="1"/>
  <c r="BL1731" i="1"/>
  <c r="BL1730" i="1"/>
  <c r="BL1729" i="1"/>
  <c r="BL1728" i="1"/>
  <c r="BL1727" i="1"/>
  <c r="BL1726" i="1"/>
  <c r="BL1725" i="1"/>
  <c r="BL1724" i="1"/>
  <c r="BL1723" i="1"/>
  <c r="BL1722" i="1"/>
  <c r="BL1721" i="1"/>
  <c r="BL1720" i="1"/>
  <c r="BL1719" i="1"/>
  <c r="BL1718" i="1"/>
  <c r="BL1717" i="1"/>
  <c r="BL1716" i="1"/>
  <c r="BL1715" i="1"/>
  <c r="BL1714" i="1"/>
  <c r="BL1713" i="1"/>
  <c r="BL1712" i="1"/>
  <c r="BL1711" i="1"/>
  <c r="BL1710" i="1"/>
  <c r="BL1709" i="1"/>
  <c r="BL1708" i="1"/>
  <c r="BL1707" i="1"/>
  <c r="BL1706" i="1"/>
  <c r="BL1705" i="1"/>
  <c r="BL1704" i="1"/>
  <c r="BL1703" i="1"/>
  <c r="BL1702" i="1"/>
  <c r="BL1701" i="1"/>
  <c r="BL1700" i="1"/>
  <c r="BL1699" i="1"/>
  <c r="BL1698" i="1"/>
  <c r="BL1697" i="1"/>
  <c r="BL1696" i="1"/>
  <c r="BL1695" i="1"/>
  <c r="BL1694" i="1"/>
  <c r="BL1693" i="1"/>
  <c r="BL1692" i="1"/>
  <c r="BL1691" i="1"/>
  <c r="BL1690" i="1"/>
  <c r="BL1689" i="1"/>
  <c r="BL1688" i="1"/>
  <c r="BL1687" i="1"/>
  <c r="BL1686" i="1"/>
  <c r="BL1685" i="1"/>
  <c r="BL1684" i="1"/>
  <c r="BL1683" i="1"/>
  <c r="BL1682" i="1"/>
  <c r="BL1681" i="1"/>
  <c r="BL1680" i="1"/>
  <c r="BL1679" i="1"/>
  <c r="BL1678" i="1"/>
  <c r="BL1677" i="1"/>
  <c r="BL1676" i="1"/>
  <c r="BL1675" i="1"/>
  <c r="BL1674" i="1"/>
  <c r="BL1673" i="1"/>
  <c r="BL1672" i="1"/>
  <c r="BL1671" i="1"/>
  <c r="BL1670" i="1"/>
  <c r="BL1669" i="1"/>
  <c r="BL1668" i="1"/>
  <c r="BL1667" i="1"/>
  <c r="BL1666" i="1"/>
  <c r="BL1665" i="1"/>
  <c r="BL1664" i="1"/>
  <c r="BL1663" i="1"/>
  <c r="BL1662" i="1"/>
  <c r="BL1661" i="1"/>
  <c r="BL1660" i="1"/>
  <c r="BL1659" i="1"/>
  <c r="BL1658" i="1"/>
  <c r="BL1657" i="1"/>
  <c r="BL1656" i="1"/>
  <c r="BL1655" i="1"/>
  <c r="BL1654" i="1"/>
  <c r="BL1653" i="1"/>
  <c r="BL1652" i="1"/>
  <c r="BL1651" i="1"/>
  <c r="BL1650" i="1"/>
  <c r="BL1649" i="1"/>
  <c r="BL1648" i="1"/>
  <c r="BL1647" i="1"/>
  <c r="BL1646" i="1"/>
  <c r="BL1645" i="1"/>
  <c r="BL1644" i="1"/>
  <c r="BL1643" i="1"/>
  <c r="BL1642" i="1"/>
  <c r="BL1641" i="1"/>
  <c r="BL1640" i="1"/>
  <c r="BL1639" i="1"/>
  <c r="BL1638" i="1"/>
  <c r="BL1637" i="1"/>
  <c r="BL1636" i="1"/>
  <c r="BL1635" i="1"/>
  <c r="BL1634" i="1"/>
  <c r="BL1633" i="1"/>
  <c r="BL1632" i="1"/>
  <c r="BL1631" i="1"/>
  <c r="BL1630" i="1"/>
  <c r="BL1629" i="1"/>
  <c r="BL1628" i="1"/>
  <c r="BL1627" i="1"/>
  <c r="BL1626" i="1"/>
  <c r="BL1625" i="1"/>
  <c r="BL1624" i="1"/>
  <c r="BL1623" i="1"/>
  <c r="BL1622" i="1"/>
  <c r="BL1621" i="1"/>
  <c r="BL1620" i="1"/>
  <c r="BL1619" i="1"/>
  <c r="BL1618" i="1"/>
  <c r="BL1617" i="1"/>
  <c r="BL1616" i="1"/>
  <c r="BL1615" i="1"/>
  <c r="BL1614" i="1"/>
  <c r="BL1613" i="1"/>
  <c r="BL1612" i="1"/>
  <c r="BL1611" i="1"/>
  <c r="BL1610" i="1"/>
  <c r="BL1609" i="1"/>
  <c r="BL1608" i="1"/>
  <c r="BL1607" i="1"/>
  <c r="BL1606" i="1"/>
  <c r="BL1605" i="1"/>
  <c r="BL1604" i="1"/>
  <c r="BL1603" i="1"/>
  <c r="BL1602" i="1"/>
  <c r="BL1601" i="1"/>
  <c r="BL1600" i="1"/>
  <c r="BL1599" i="1"/>
  <c r="BL1598" i="1"/>
  <c r="BL1597" i="1"/>
  <c r="BL1596" i="1"/>
  <c r="BL1595" i="1"/>
  <c r="BL1594" i="1"/>
  <c r="BL1593" i="1"/>
  <c r="BL1592" i="1"/>
  <c r="BL1591" i="1"/>
  <c r="BL1590" i="1"/>
  <c r="BL1589" i="1"/>
  <c r="BL1588" i="1"/>
  <c r="BL1587" i="1"/>
  <c r="BL1586" i="1"/>
  <c r="BL1585" i="1"/>
  <c r="BL1584" i="1"/>
  <c r="BL1583" i="1"/>
  <c r="BL1582" i="1"/>
  <c r="BL1581" i="1"/>
  <c r="BL1580" i="1"/>
  <c r="BL1579" i="1"/>
  <c r="BL1578" i="1"/>
  <c r="BL1577" i="1"/>
  <c r="BL1576" i="1"/>
  <c r="BL1575" i="1"/>
  <c r="BL1574" i="1"/>
  <c r="BL1573" i="1"/>
  <c r="BL1572" i="1"/>
  <c r="BL1571" i="1"/>
  <c r="BL1570" i="1"/>
  <c r="BL1569" i="1"/>
  <c r="BL1568" i="1"/>
  <c r="BL1567" i="1"/>
  <c r="BL1566" i="1"/>
  <c r="BL1565" i="1"/>
  <c r="BL1564" i="1"/>
  <c r="BL1563" i="1"/>
  <c r="BL1562" i="1"/>
  <c r="BL1561" i="1"/>
  <c r="BL1560" i="1"/>
  <c r="BL1559" i="1"/>
  <c r="BL1558" i="1"/>
  <c r="BL1557" i="1"/>
  <c r="BL1556" i="1"/>
  <c r="BL1555" i="1"/>
  <c r="BL1554" i="1"/>
  <c r="BL1553" i="1"/>
  <c r="BL1552" i="1"/>
  <c r="BL1551" i="1"/>
  <c r="BL1550" i="1"/>
  <c r="BL1549" i="1"/>
  <c r="BL1548" i="1"/>
  <c r="BL1547" i="1"/>
  <c r="BL1546" i="1"/>
  <c r="BL1545" i="1"/>
  <c r="BL1544" i="1"/>
  <c r="BL1543" i="1"/>
  <c r="BL1542" i="1"/>
  <c r="BL1541" i="1"/>
  <c r="BL1540" i="1"/>
  <c r="BL1539" i="1"/>
  <c r="BL1538" i="1"/>
  <c r="BL1537" i="1"/>
  <c r="BL1536" i="1"/>
  <c r="BL1535" i="1"/>
  <c r="BL1534" i="1"/>
  <c r="BL1533" i="1"/>
  <c r="BL1532" i="1"/>
  <c r="BL1531" i="1"/>
  <c r="BL1530" i="1"/>
  <c r="BL1529" i="1"/>
  <c r="BL1528" i="1"/>
  <c r="BL1527" i="1"/>
  <c r="BL1526" i="1"/>
  <c r="BL1525" i="1"/>
  <c r="BL1524" i="1"/>
  <c r="BL1523" i="1"/>
  <c r="BL1522" i="1"/>
  <c r="BL3" i="1"/>
  <c r="BK1856" i="1"/>
  <c r="BK1855" i="1"/>
  <c r="BK1854" i="1"/>
  <c r="BK1853" i="1"/>
  <c r="BK1852" i="1"/>
  <c r="BK1851" i="1"/>
  <c r="BK1850" i="1"/>
  <c r="BK1849" i="1"/>
  <c r="BK1848" i="1"/>
  <c r="BK1847" i="1"/>
  <c r="BK1846" i="1"/>
  <c r="BK1845" i="1"/>
  <c r="BK1844" i="1"/>
  <c r="BK1843" i="1"/>
  <c r="BK1842" i="1"/>
  <c r="BK1841" i="1"/>
  <c r="BK1840" i="1"/>
  <c r="BK1839" i="1"/>
  <c r="BK1838" i="1"/>
  <c r="BK1837" i="1"/>
  <c r="BK1836" i="1"/>
  <c r="BK1835" i="1"/>
  <c r="BK1834" i="1"/>
  <c r="BK1833" i="1"/>
  <c r="BK1832" i="1"/>
  <c r="BK1831" i="1"/>
  <c r="BK1830" i="1"/>
  <c r="BK1829" i="1"/>
  <c r="BK1828" i="1"/>
  <c r="BK1827" i="1"/>
  <c r="BK1826" i="1"/>
  <c r="BK1825" i="1"/>
  <c r="BK1824" i="1"/>
  <c r="BK1823" i="1"/>
  <c r="BK1822" i="1"/>
  <c r="BK1821" i="1"/>
  <c r="BK1820" i="1"/>
  <c r="BK1819" i="1"/>
  <c r="BK1818" i="1"/>
  <c r="BK1817" i="1"/>
  <c r="BK1816" i="1"/>
  <c r="BK1815" i="1"/>
  <c r="BK1814" i="1"/>
  <c r="BK1813" i="1"/>
  <c r="BK1812" i="1"/>
  <c r="BK1811" i="1"/>
  <c r="BK1810" i="1"/>
  <c r="BK1809" i="1"/>
  <c r="BK1808" i="1"/>
  <c r="BK1807" i="1"/>
  <c r="BK1806" i="1"/>
  <c r="BK1805" i="1"/>
  <c r="BK1804" i="1"/>
  <c r="BK1803" i="1"/>
  <c r="BK1802" i="1"/>
  <c r="BK1801" i="1"/>
  <c r="BK1800" i="1"/>
  <c r="BK1799" i="1"/>
  <c r="BK1798" i="1"/>
  <c r="BK1797" i="1"/>
  <c r="BK1796" i="1"/>
  <c r="BK1795" i="1"/>
  <c r="BK1794" i="1"/>
  <c r="BK1793" i="1"/>
  <c r="BK1792" i="1"/>
  <c r="BK1791" i="1"/>
  <c r="BK1790" i="1"/>
  <c r="BK1789" i="1"/>
  <c r="BK1788" i="1"/>
  <c r="BK1787" i="1"/>
  <c r="BK1786" i="1"/>
  <c r="BK1785" i="1"/>
  <c r="BK1784" i="1"/>
  <c r="BK1783" i="1"/>
  <c r="BK1782" i="1"/>
  <c r="BK1781" i="1"/>
  <c r="BK1780" i="1"/>
  <c r="BK1779" i="1"/>
  <c r="BK1778" i="1"/>
  <c r="BK1777" i="1"/>
  <c r="BK1776" i="1"/>
  <c r="BK1775" i="1"/>
  <c r="BK1774" i="1"/>
  <c r="BK1773" i="1"/>
  <c r="BK1772" i="1"/>
  <c r="BK1771" i="1"/>
  <c r="BK1770" i="1"/>
  <c r="BK1769" i="1"/>
  <c r="BK1768" i="1"/>
  <c r="BK1767" i="1"/>
  <c r="BK1766" i="1"/>
  <c r="BK1765" i="1"/>
  <c r="BK1764" i="1"/>
  <c r="BK1763" i="1"/>
  <c r="BK1762" i="1"/>
  <c r="BK1761" i="1"/>
  <c r="BK1760" i="1"/>
  <c r="BK1759" i="1"/>
  <c r="BK1758" i="1"/>
  <c r="BK1757" i="1"/>
  <c r="BK1756" i="1"/>
  <c r="BK1755" i="1"/>
  <c r="BK1754" i="1"/>
  <c r="BK1753" i="1"/>
  <c r="BK1752" i="1"/>
  <c r="BK1751" i="1"/>
  <c r="BK1750" i="1"/>
  <c r="BK1749" i="1"/>
  <c r="BK1748" i="1"/>
  <c r="BK1747" i="1"/>
  <c r="BK1746" i="1"/>
  <c r="BK1745" i="1"/>
  <c r="BK1744" i="1"/>
  <c r="BK1743" i="1"/>
  <c r="BK1742" i="1"/>
  <c r="BK1741" i="1"/>
  <c r="BK1740" i="1"/>
  <c r="BK1739" i="1"/>
  <c r="BK1738" i="1"/>
  <c r="BK1737" i="1"/>
  <c r="BK1736" i="1"/>
  <c r="BK1735" i="1"/>
  <c r="BK1734" i="1"/>
  <c r="BK1733" i="1"/>
  <c r="BK1732" i="1"/>
  <c r="BK1731" i="1"/>
  <c r="BK1730" i="1"/>
  <c r="BK1729" i="1"/>
  <c r="BK1728" i="1"/>
  <c r="BK1727" i="1"/>
  <c r="BK1726" i="1"/>
  <c r="BK1725" i="1"/>
  <c r="BK1724" i="1"/>
  <c r="BK1723" i="1"/>
  <c r="BK1722" i="1"/>
  <c r="BK1721" i="1"/>
  <c r="BK1720" i="1"/>
  <c r="BK1719" i="1"/>
  <c r="BK1718" i="1"/>
  <c r="BK1717" i="1"/>
  <c r="BK1716" i="1"/>
  <c r="BK1715" i="1"/>
  <c r="BK1714" i="1"/>
  <c r="BK1713" i="1"/>
  <c r="BK1712" i="1"/>
  <c r="BK1711" i="1"/>
  <c r="BK1710" i="1"/>
  <c r="BK1709" i="1"/>
  <c r="BK1708" i="1"/>
  <c r="BK1707" i="1"/>
  <c r="BK1706" i="1"/>
  <c r="BK1705" i="1"/>
  <c r="BK1704" i="1"/>
  <c r="BK1703" i="1"/>
  <c r="BK1702" i="1"/>
  <c r="BK1701" i="1"/>
  <c r="BK1700" i="1"/>
  <c r="BK1699" i="1"/>
  <c r="BK1698" i="1"/>
  <c r="BK1697" i="1"/>
  <c r="BK1696" i="1"/>
  <c r="BK1695" i="1"/>
  <c r="BK1694" i="1"/>
  <c r="BK1693" i="1"/>
  <c r="BK1692" i="1"/>
  <c r="BK1691" i="1"/>
  <c r="BK1690" i="1"/>
  <c r="BK1689" i="1"/>
  <c r="BK1688" i="1"/>
  <c r="BK1687" i="1"/>
  <c r="BK1686" i="1"/>
  <c r="BK1685" i="1"/>
  <c r="BK1684" i="1"/>
  <c r="BK1683" i="1"/>
  <c r="BK1682" i="1"/>
  <c r="BK1681" i="1"/>
  <c r="BK1680" i="1"/>
  <c r="BK1679" i="1"/>
  <c r="BK1678" i="1"/>
  <c r="BK1677" i="1"/>
  <c r="BK1676" i="1"/>
  <c r="BK1675" i="1"/>
  <c r="BK1674" i="1"/>
  <c r="BK1673" i="1"/>
  <c r="BK1672" i="1"/>
  <c r="BK1671" i="1"/>
  <c r="BK1670" i="1"/>
  <c r="BK1669" i="1"/>
  <c r="BK1668" i="1"/>
  <c r="BK1667" i="1"/>
  <c r="BK1666" i="1"/>
  <c r="BK1665" i="1"/>
  <c r="BK1664" i="1"/>
  <c r="BK1663" i="1"/>
  <c r="BK1662" i="1"/>
  <c r="BK1661" i="1"/>
  <c r="BK1660" i="1"/>
  <c r="BK1659" i="1"/>
  <c r="BK1658" i="1"/>
  <c r="BK1657" i="1"/>
  <c r="BK1656" i="1"/>
  <c r="BK1655" i="1"/>
  <c r="BK1654" i="1"/>
  <c r="BK1653" i="1"/>
  <c r="BK1652" i="1"/>
  <c r="BK1651" i="1"/>
  <c r="BK1650" i="1"/>
  <c r="BK1649" i="1"/>
  <c r="BK1648" i="1"/>
  <c r="BK1647" i="1"/>
  <c r="BK1646" i="1"/>
  <c r="BK1645" i="1"/>
  <c r="BK1644" i="1"/>
  <c r="BK1643" i="1"/>
  <c r="BK1642" i="1"/>
  <c r="BK1641" i="1"/>
  <c r="BK1640" i="1"/>
  <c r="BK1639" i="1"/>
  <c r="BK1638" i="1"/>
  <c r="BK1637" i="1"/>
  <c r="BK1636" i="1"/>
  <c r="BK1635" i="1"/>
  <c r="BK1634" i="1"/>
  <c r="BK1633" i="1"/>
  <c r="BK1632" i="1"/>
  <c r="BK1631" i="1"/>
  <c r="BK1630" i="1"/>
  <c r="BK1629" i="1"/>
  <c r="BK1628" i="1"/>
  <c r="BK1627" i="1"/>
  <c r="BK1626" i="1"/>
  <c r="BK1625" i="1"/>
  <c r="BK1624" i="1"/>
  <c r="BK1623" i="1"/>
  <c r="BK1622" i="1"/>
  <c r="BK1621" i="1"/>
  <c r="BK1620" i="1"/>
  <c r="BK1619" i="1"/>
  <c r="BK1618" i="1"/>
  <c r="BK1617" i="1"/>
  <c r="BK1616" i="1"/>
  <c r="BK1615" i="1"/>
  <c r="BK1614" i="1"/>
  <c r="BK1613" i="1"/>
  <c r="BK1612" i="1"/>
  <c r="BK1611" i="1"/>
  <c r="BK1610" i="1"/>
  <c r="BK1609" i="1"/>
  <c r="BK1608" i="1"/>
  <c r="BK1607" i="1"/>
  <c r="BK1606" i="1"/>
  <c r="BK1605" i="1"/>
  <c r="BK1604" i="1"/>
  <c r="BK1603" i="1"/>
  <c r="BK1602" i="1"/>
  <c r="BK1601" i="1"/>
  <c r="BK1600" i="1"/>
  <c r="BK1599" i="1"/>
  <c r="BK1598" i="1"/>
  <c r="BK1597" i="1"/>
  <c r="BK1596" i="1"/>
  <c r="BK1595" i="1"/>
  <c r="BK1594" i="1"/>
  <c r="BK1593" i="1"/>
  <c r="BK1592" i="1"/>
  <c r="BK1591" i="1"/>
  <c r="BK1590" i="1"/>
  <c r="BK1589" i="1"/>
  <c r="BK1588" i="1"/>
  <c r="BK1587" i="1"/>
  <c r="BK1586" i="1"/>
  <c r="BK1585" i="1"/>
  <c r="BK1584" i="1"/>
  <c r="BK1583" i="1"/>
  <c r="BK1582" i="1"/>
  <c r="BK1581" i="1"/>
  <c r="BK1580" i="1"/>
  <c r="BK1579" i="1"/>
  <c r="BK1578" i="1"/>
  <c r="BK1577" i="1"/>
  <c r="BK1576" i="1"/>
  <c r="BK1575" i="1"/>
  <c r="BK1574" i="1"/>
  <c r="BK1573" i="1"/>
  <c r="BK1572" i="1"/>
  <c r="BK1571" i="1"/>
  <c r="BK1570" i="1"/>
  <c r="BK1569" i="1"/>
  <c r="BK1568" i="1"/>
  <c r="BK1567" i="1"/>
  <c r="BK1566" i="1"/>
  <c r="BK1565" i="1"/>
  <c r="BK1564" i="1"/>
  <c r="BK1563" i="1"/>
  <c r="BK1562" i="1"/>
  <c r="BK1561" i="1"/>
  <c r="BK1560" i="1"/>
  <c r="BK1559" i="1"/>
  <c r="BK1558" i="1"/>
  <c r="BK1557" i="1"/>
  <c r="BK1556" i="1"/>
  <c r="BK1555" i="1"/>
  <c r="BK1554" i="1"/>
  <c r="BK1553" i="1"/>
  <c r="BK1552" i="1"/>
  <c r="BK1551" i="1"/>
  <c r="BK1550" i="1"/>
  <c r="BK1549" i="1"/>
  <c r="BK1548" i="1"/>
  <c r="BK1547" i="1"/>
  <c r="BK1546" i="1"/>
  <c r="BK1545" i="1"/>
  <c r="BK1544" i="1"/>
  <c r="BK1543" i="1"/>
  <c r="BK1542" i="1"/>
  <c r="BK1541" i="1"/>
  <c r="BK1540" i="1"/>
  <c r="BK1539" i="1"/>
  <c r="BK1538" i="1"/>
  <c r="BK1537" i="1"/>
  <c r="BK1536" i="1"/>
  <c r="BK1535" i="1"/>
  <c r="BK1534" i="1"/>
  <c r="BK1533" i="1"/>
  <c r="BK1532" i="1"/>
  <c r="BK1531" i="1"/>
  <c r="BK1530" i="1"/>
  <c r="BK1529" i="1"/>
  <c r="BK1528" i="1"/>
  <c r="BK1527" i="1"/>
  <c r="BK1526" i="1"/>
  <c r="BK1525" i="1"/>
  <c r="BK1524" i="1"/>
  <c r="BK1523" i="1"/>
  <c r="BK1522" i="1"/>
  <c r="BK3" i="1"/>
  <c r="L52" i="1"/>
  <c r="M52" i="1"/>
  <c r="L53" i="1"/>
  <c r="M53" i="1"/>
  <c r="L54" i="1"/>
  <c r="M54" i="1"/>
  <c r="L55" i="1"/>
  <c r="M55" i="1"/>
  <c r="L56" i="1"/>
  <c r="M56" i="1"/>
  <c r="L57" i="1"/>
  <c r="M57" i="1"/>
  <c r="L58" i="1"/>
  <c r="M58" i="1"/>
  <c r="L59" i="1"/>
  <c r="M59" i="1"/>
  <c r="L60" i="1"/>
  <c r="M60" i="1"/>
  <c r="L61" i="1"/>
  <c r="M61" i="1"/>
  <c r="L62" i="1"/>
  <c r="M62" i="1"/>
  <c r="L63" i="1"/>
  <c r="M63" i="1"/>
  <c r="L64" i="1"/>
  <c r="M64" i="1"/>
  <c r="L65" i="1"/>
  <c r="M65" i="1"/>
  <c r="L66" i="1"/>
  <c r="M66" i="1"/>
  <c r="L67" i="1"/>
  <c r="M67" i="1"/>
  <c r="L68" i="1"/>
  <c r="M68" i="1"/>
  <c r="L69" i="1"/>
  <c r="M69" i="1"/>
  <c r="L70" i="1"/>
  <c r="M70" i="1"/>
  <c r="L74" i="1"/>
  <c r="M74" i="1"/>
  <c r="L75" i="1"/>
  <c r="M75" i="1"/>
  <c r="L76" i="1"/>
  <c r="M76" i="1"/>
  <c r="L77" i="1"/>
  <c r="M77" i="1"/>
  <c r="L78" i="1"/>
  <c r="M78" i="1"/>
  <c r="L79" i="1"/>
  <c r="M79" i="1"/>
  <c r="L80" i="1"/>
  <c r="M80" i="1"/>
  <c r="L81" i="1"/>
  <c r="M81" i="1"/>
  <c r="L82" i="1"/>
  <c r="M82" i="1"/>
  <c r="L83" i="1"/>
  <c r="M83" i="1"/>
  <c r="L84" i="1"/>
  <c r="M84" i="1"/>
  <c r="L85" i="1"/>
  <c r="M85" i="1"/>
  <c r="L86" i="1"/>
  <c r="M86" i="1"/>
  <c r="L87" i="1"/>
  <c r="M87" i="1"/>
  <c r="L88" i="1"/>
  <c r="M88" i="1"/>
  <c r="L89" i="1"/>
  <c r="M89" i="1"/>
  <c r="L90" i="1"/>
  <c r="M90" i="1"/>
  <c r="L91" i="1"/>
  <c r="M91" i="1"/>
  <c r="L92" i="1"/>
  <c r="M92" i="1"/>
  <c r="L93" i="1"/>
  <c r="M93" i="1"/>
  <c r="L94" i="1"/>
  <c r="M94" i="1"/>
  <c r="L95" i="1"/>
  <c r="M95" i="1"/>
  <c r="L96" i="1"/>
  <c r="M96" i="1"/>
  <c r="L97" i="1"/>
  <c r="M97" i="1"/>
  <c r="L98" i="1"/>
  <c r="M98" i="1"/>
  <c r="L99" i="1"/>
  <c r="M99" i="1"/>
  <c r="L100" i="1"/>
  <c r="M100" i="1"/>
  <c r="L101" i="1"/>
  <c r="M101" i="1"/>
  <c r="L102" i="1"/>
  <c r="M102" i="1"/>
  <c r="L103" i="1"/>
  <c r="M103" i="1"/>
  <c r="L104" i="1"/>
  <c r="M104" i="1"/>
  <c r="L105" i="1"/>
  <c r="M105" i="1"/>
  <c r="L106" i="1"/>
  <c r="M106" i="1"/>
  <c r="L110" i="1"/>
  <c r="M110" i="1"/>
  <c r="L111" i="1"/>
  <c r="M111" i="1"/>
  <c r="L112" i="1"/>
  <c r="M112" i="1"/>
  <c r="L113" i="1"/>
  <c r="M113" i="1"/>
  <c r="L114" i="1"/>
  <c r="M114" i="1"/>
  <c r="L115" i="1"/>
  <c r="M115" i="1"/>
  <c r="L116" i="1"/>
  <c r="M116" i="1"/>
  <c r="L117" i="1"/>
  <c r="M117" i="1"/>
  <c r="L118" i="1"/>
  <c r="M118" i="1"/>
  <c r="L119" i="1"/>
  <c r="M119" i="1"/>
  <c r="L120" i="1"/>
  <c r="M120" i="1"/>
  <c r="L121" i="1"/>
  <c r="M121" i="1"/>
  <c r="L122" i="1"/>
  <c r="M122" i="1"/>
  <c r="L123" i="1"/>
  <c r="M123" i="1"/>
  <c r="L124" i="1"/>
  <c r="M124" i="1"/>
  <c r="L125" i="1"/>
  <c r="M125" i="1"/>
  <c r="L126" i="1"/>
  <c r="M126" i="1"/>
  <c r="L127" i="1"/>
  <c r="M127" i="1"/>
  <c r="L128" i="1"/>
  <c r="M128" i="1"/>
  <c r="L129" i="1"/>
  <c r="M129" i="1"/>
  <c r="L130" i="1"/>
  <c r="M130" i="1"/>
  <c r="L131" i="1"/>
  <c r="M131" i="1"/>
  <c r="L132" i="1"/>
  <c r="M132" i="1"/>
  <c r="L133" i="1"/>
  <c r="M133" i="1"/>
  <c r="L134" i="1"/>
  <c r="M134" i="1"/>
  <c r="L135" i="1"/>
  <c r="M135" i="1"/>
  <c r="L136" i="1"/>
  <c r="M136" i="1"/>
  <c r="L137" i="1"/>
  <c r="M137" i="1"/>
  <c r="L138" i="1"/>
  <c r="M138" i="1"/>
  <c r="L139" i="1"/>
  <c r="M139" i="1"/>
  <c r="L140" i="1"/>
  <c r="M140" i="1"/>
  <c r="L141" i="1"/>
  <c r="M141" i="1"/>
  <c r="L142" i="1"/>
  <c r="M142" i="1"/>
  <c r="L146" i="1"/>
  <c r="M146" i="1"/>
  <c r="L147" i="1"/>
  <c r="M147" i="1"/>
  <c r="L148" i="1"/>
  <c r="M148" i="1"/>
  <c r="L149" i="1"/>
  <c r="M149" i="1"/>
  <c r="L150" i="1"/>
  <c r="M150" i="1"/>
  <c r="L151" i="1"/>
  <c r="M151" i="1"/>
  <c r="L152" i="1"/>
  <c r="M152" i="1"/>
  <c r="L153" i="1"/>
  <c r="M153" i="1"/>
  <c r="L154" i="1"/>
  <c r="M154" i="1"/>
  <c r="L155" i="1"/>
  <c r="M155" i="1"/>
  <c r="L156" i="1"/>
  <c r="M156" i="1"/>
  <c r="L157" i="1"/>
  <c r="M157" i="1"/>
  <c r="L158" i="1"/>
  <c r="M158" i="1"/>
  <c r="L159" i="1"/>
  <c r="M159" i="1"/>
  <c r="L160" i="1"/>
  <c r="M160" i="1"/>
  <c r="L161" i="1"/>
  <c r="M161" i="1"/>
  <c r="L162" i="1"/>
  <c r="M162" i="1"/>
  <c r="L163" i="1"/>
  <c r="M163" i="1"/>
  <c r="L164" i="1"/>
  <c r="M164" i="1"/>
  <c r="L165" i="1"/>
  <c r="M165" i="1"/>
  <c r="L166" i="1"/>
  <c r="M166" i="1"/>
  <c r="L167" i="1"/>
  <c r="M167" i="1"/>
  <c r="L168" i="1"/>
  <c r="M168" i="1"/>
  <c r="L169" i="1"/>
  <c r="M169" i="1"/>
  <c r="L170" i="1"/>
  <c r="M170" i="1"/>
  <c r="L171" i="1"/>
  <c r="M171" i="1"/>
  <c r="L172" i="1"/>
  <c r="M172" i="1"/>
  <c r="L173" i="1"/>
  <c r="M173" i="1"/>
  <c r="L174" i="1"/>
  <c r="M174" i="1"/>
  <c r="L175" i="1"/>
  <c r="M175" i="1"/>
  <c r="L176" i="1"/>
  <c r="M176" i="1"/>
  <c r="L177" i="1"/>
  <c r="M177" i="1"/>
  <c r="L178" i="1"/>
  <c r="M178" i="1"/>
  <c r="L182" i="1"/>
  <c r="M182" i="1"/>
  <c r="L186" i="1"/>
  <c r="M186" i="1"/>
  <c r="L187" i="1"/>
  <c r="M187" i="1"/>
  <c r="L188" i="1"/>
  <c r="M188" i="1"/>
  <c r="L189" i="1"/>
  <c r="M189" i="1"/>
  <c r="L190" i="1"/>
  <c r="M190" i="1"/>
  <c r="L191" i="1"/>
  <c r="M191" i="1"/>
  <c r="L192" i="1"/>
  <c r="M192" i="1"/>
  <c r="L193" i="1"/>
  <c r="M193" i="1"/>
  <c r="L194" i="1"/>
  <c r="M194" i="1"/>
  <c r="L195" i="1"/>
  <c r="M195" i="1"/>
  <c r="L196" i="1"/>
  <c r="M196" i="1"/>
  <c r="L197" i="1"/>
  <c r="M197" i="1"/>
  <c r="L198" i="1"/>
  <c r="M198" i="1"/>
  <c r="L199" i="1"/>
  <c r="M199" i="1"/>
  <c r="L200" i="1"/>
  <c r="M200" i="1"/>
  <c r="L201" i="1"/>
  <c r="M201" i="1"/>
  <c r="L202" i="1"/>
  <c r="M202" i="1"/>
  <c r="L203" i="1"/>
  <c r="M203" i="1"/>
  <c r="L204" i="1"/>
  <c r="M204" i="1"/>
  <c r="L205" i="1"/>
  <c r="M205" i="1"/>
  <c r="L206" i="1"/>
  <c r="M206" i="1"/>
  <c r="L207" i="1"/>
  <c r="M207" i="1"/>
  <c r="L208" i="1"/>
  <c r="M208" i="1"/>
  <c r="L209" i="1"/>
  <c r="M209" i="1"/>
  <c r="L210" i="1"/>
  <c r="M210" i="1"/>
  <c r="L211" i="1"/>
  <c r="M211" i="1"/>
  <c r="L212" i="1"/>
  <c r="M212" i="1"/>
  <c r="L213" i="1"/>
  <c r="M213" i="1"/>
  <c r="L214" i="1"/>
  <c r="M214" i="1"/>
  <c r="L215" i="1"/>
  <c r="M215" i="1"/>
  <c r="L216" i="1"/>
  <c r="M216" i="1"/>
  <c r="L217" i="1"/>
  <c r="M217" i="1"/>
  <c r="L218" i="1"/>
  <c r="M218" i="1"/>
  <c r="L219" i="1"/>
  <c r="M219" i="1"/>
  <c r="L220" i="1"/>
  <c r="M220" i="1"/>
  <c r="L221" i="1"/>
  <c r="M221" i="1"/>
  <c r="L222" i="1"/>
  <c r="M222" i="1"/>
  <c r="L223" i="1"/>
  <c r="M223" i="1"/>
  <c r="L224" i="1"/>
  <c r="M224" i="1"/>
  <c r="L225" i="1"/>
  <c r="M225" i="1"/>
  <c r="L226" i="1"/>
  <c r="M226" i="1"/>
  <c r="L227" i="1"/>
  <c r="M227" i="1"/>
  <c r="L228" i="1"/>
  <c r="M228" i="1"/>
  <c r="L229" i="1"/>
  <c r="M229" i="1"/>
  <c r="L230" i="1"/>
  <c r="M230" i="1"/>
  <c r="L231" i="1"/>
  <c r="M231" i="1"/>
  <c r="L232" i="1"/>
  <c r="M232" i="1"/>
  <c r="L233" i="1"/>
  <c r="M233" i="1"/>
  <c r="L234" i="1"/>
  <c r="M234" i="1"/>
  <c r="L235" i="1"/>
  <c r="M235" i="1"/>
  <c r="L236" i="1"/>
  <c r="M236" i="1"/>
  <c r="L237" i="1"/>
  <c r="M237" i="1"/>
  <c r="L238" i="1"/>
  <c r="M238" i="1"/>
  <c r="L239" i="1"/>
  <c r="M239" i="1"/>
  <c r="L240" i="1"/>
  <c r="M240" i="1"/>
  <c r="L241" i="1"/>
  <c r="M241" i="1"/>
  <c r="L242" i="1"/>
  <c r="M242" i="1"/>
  <c r="L243" i="1"/>
  <c r="M243" i="1"/>
  <c r="L244" i="1"/>
  <c r="M244" i="1"/>
  <c r="L245" i="1"/>
  <c r="M245" i="1"/>
  <c r="L246" i="1"/>
  <c r="M246" i="1"/>
  <c r="L247" i="1"/>
  <c r="M247" i="1"/>
  <c r="L248" i="1"/>
  <c r="M248" i="1"/>
  <c r="L249" i="1"/>
  <c r="M249" i="1"/>
  <c r="L250" i="1"/>
  <c r="M250" i="1"/>
  <c r="L251" i="1"/>
  <c r="M251" i="1"/>
  <c r="L252" i="1"/>
  <c r="M252" i="1"/>
  <c r="L253" i="1"/>
  <c r="M253" i="1"/>
  <c r="L254" i="1"/>
  <c r="M254" i="1"/>
  <c r="L255" i="1"/>
  <c r="M255" i="1"/>
  <c r="L256" i="1"/>
  <c r="M256" i="1"/>
  <c r="L257" i="1"/>
  <c r="M257" i="1"/>
  <c r="L258" i="1"/>
  <c r="M258" i="1"/>
  <c r="L259" i="1"/>
  <c r="M259" i="1"/>
  <c r="L260" i="1"/>
  <c r="M260" i="1"/>
  <c r="L261" i="1"/>
  <c r="M261" i="1"/>
  <c r="L262" i="1"/>
  <c r="M262" i="1"/>
  <c r="L263" i="1"/>
  <c r="M263" i="1"/>
  <c r="L264" i="1"/>
  <c r="M264" i="1"/>
  <c r="L265" i="1"/>
  <c r="M265" i="1"/>
  <c r="L266" i="1"/>
  <c r="M266" i="1"/>
  <c r="L267" i="1"/>
  <c r="M267" i="1"/>
  <c r="L268" i="1"/>
  <c r="M268" i="1"/>
  <c r="L269" i="1"/>
  <c r="M269" i="1"/>
  <c r="L270" i="1"/>
  <c r="M270" i="1"/>
  <c r="L271" i="1"/>
  <c r="M271" i="1"/>
  <c r="L272" i="1"/>
  <c r="M272" i="1"/>
  <c r="L273" i="1"/>
  <c r="M273" i="1"/>
  <c r="L274" i="1"/>
  <c r="M274" i="1"/>
  <c r="L275" i="1"/>
  <c r="M275" i="1"/>
  <c r="L276" i="1"/>
  <c r="M276" i="1"/>
  <c r="L277" i="1"/>
  <c r="M277" i="1"/>
  <c r="L278" i="1"/>
  <c r="M278" i="1"/>
  <c r="L279" i="1"/>
  <c r="M279" i="1"/>
  <c r="L280" i="1"/>
  <c r="M280" i="1"/>
  <c r="L281" i="1"/>
  <c r="M281" i="1"/>
  <c r="L282" i="1"/>
  <c r="M282" i="1"/>
  <c r="L283" i="1"/>
  <c r="M283" i="1"/>
  <c r="L284" i="1"/>
  <c r="M284" i="1"/>
  <c r="L285" i="1"/>
  <c r="M285" i="1"/>
  <c r="L286" i="1"/>
  <c r="M286" i="1"/>
  <c r="L287" i="1"/>
  <c r="M287" i="1"/>
  <c r="L288" i="1"/>
  <c r="M288" i="1"/>
  <c r="L289" i="1"/>
  <c r="M289" i="1"/>
  <c r="L290" i="1"/>
  <c r="M290" i="1"/>
  <c r="L291" i="1"/>
  <c r="M291" i="1"/>
  <c r="L292" i="1"/>
  <c r="M292" i="1"/>
  <c r="L293" i="1"/>
  <c r="M293" i="1"/>
  <c r="L294" i="1"/>
  <c r="M294" i="1"/>
  <c r="L295" i="1"/>
  <c r="M295" i="1"/>
  <c r="L299" i="1"/>
  <c r="M299" i="1"/>
  <c r="L300" i="1"/>
  <c r="M300" i="1"/>
  <c r="L301" i="1"/>
  <c r="M301" i="1"/>
  <c r="L302" i="1"/>
  <c r="M302" i="1"/>
  <c r="L303" i="1"/>
  <c r="M303" i="1"/>
  <c r="L304" i="1"/>
  <c r="M304" i="1"/>
  <c r="L305" i="1"/>
  <c r="M305" i="1"/>
  <c r="L306" i="1"/>
  <c r="M306" i="1"/>
  <c r="L307" i="1"/>
  <c r="M307" i="1"/>
  <c r="L308" i="1"/>
  <c r="M308" i="1"/>
  <c r="L309" i="1"/>
  <c r="M309" i="1"/>
  <c r="L310" i="1"/>
  <c r="M310" i="1"/>
  <c r="L311" i="1"/>
  <c r="M311" i="1"/>
  <c r="L312" i="1"/>
  <c r="M312" i="1"/>
  <c r="L313" i="1"/>
  <c r="M313" i="1"/>
  <c r="L314" i="1"/>
  <c r="M314" i="1"/>
  <c r="L315" i="1"/>
  <c r="M315" i="1"/>
  <c r="L316" i="1"/>
  <c r="M316" i="1"/>
  <c r="L317" i="1"/>
  <c r="M317" i="1"/>
  <c r="L318" i="1"/>
  <c r="M318" i="1"/>
  <c r="L319" i="1"/>
  <c r="M319" i="1"/>
  <c r="L320" i="1"/>
  <c r="M320" i="1"/>
  <c r="L321" i="1"/>
  <c r="M321" i="1"/>
  <c r="L322" i="1"/>
  <c r="M322" i="1"/>
  <c r="L323" i="1"/>
  <c r="M323" i="1"/>
  <c r="L324" i="1"/>
  <c r="M324" i="1"/>
  <c r="L325" i="1"/>
  <c r="M325" i="1"/>
  <c r="L326" i="1"/>
  <c r="M326" i="1"/>
  <c r="L327" i="1"/>
  <c r="M327" i="1"/>
  <c r="L328" i="1"/>
  <c r="M328" i="1"/>
  <c r="L329" i="1"/>
  <c r="M329" i="1"/>
  <c r="L330" i="1"/>
  <c r="M330" i="1"/>
  <c r="L331" i="1"/>
  <c r="M331" i="1"/>
  <c r="L335" i="1"/>
  <c r="M335" i="1"/>
  <c r="L339" i="1"/>
  <c r="M339" i="1"/>
  <c r="L340" i="1"/>
  <c r="M340" i="1"/>
  <c r="L341" i="1"/>
  <c r="M341" i="1"/>
  <c r="L342" i="1"/>
  <c r="M342" i="1"/>
  <c r="L343" i="1"/>
  <c r="M343" i="1"/>
  <c r="L344" i="1"/>
  <c r="M344" i="1"/>
  <c r="L345" i="1"/>
  <c r="M345" i="1"/>
  <c r="L346" i="1"/>
  <c r="M346" i="1"/>
  <c r="L347" i="1"/>
  <c r="M347" i="1"/>
  <c r="L348" i="1"/>
  <c r="M348" i="1"/>
  <c r="L349" i="1"/>
  <c r="M349" i="1"/>
  <c r="L350" i="1"/>
  <c r="M350" i="1"/>
  <c r="L351" i="1"/>
  <c r="M351" i="1"/>
  <c r="L352" i="1"/>
  <c r="M352" i="1"/>
  <c r="L353" i="1"/>
  <c r="M353" i="1"/>
  <c r="L354" i="1"/>
  <c r="M354" i="1"/>
  <c r="L355" i="1"/>
  <c r="M355" i="1"/>
  <c r="L356" i="1"/>
  <c r="M356" i="1"/>
  <c r="L357" i="1"/>
  <c r="M357" i="1"/>
  <c r="L358" i="1"/>
  <c r="M358" i="1"/>
  <c r="L359" i="1"/>
  <c r="M359" i="1"/>
  <c r="L360" i="1"/>
  <c r="M360" i="1"/>
  <c r="L361" i="1"/>
  <c r="M361" i="1"/>
  <c r="L362" i="1"/>
  <c r="M362" i="1"/>
  <c r="L363" i="1"/>
  <c r="M363" i="1"/>
  <c r="L364" i="1"/>
  <c r="M364" i="1"/>
  <c r="L365" i="1"/>
  <c r="M365" i="1"/>
  <c r="L366" i="1"/>
  <c r="M366" i="1"/>
  <c r="L367" i="1"/>
  <c r="M367" i="1"/>
  <c r="L368" i="1"/>
  <c r="M368" i="1"/>
  <c r="L369" i="1"/>
  <c r="M369" i="1"/>
  <c r="L370" i="1"/>
  <c r="M370" i="1"/>
  <c r="L371" i="1"/>
  <c r="M371" i="1"/>
  <c r="L375" i="1"/>
  <c r="M375" i="1"/>
  <c r="L379" i="1"/>
  <c r="M379" i="1"/>
  <c r="L380" i="1"/>
  <c r="M380" i="1"/>
  <c r="L381" i="1"/>
  <c r="M381" i="1"/>
  <c r="L382" i="1"/>
  <c r="M382" i="1"/>
  <c r="L383" i="1"/>
  <c r="M383" i="1"/>
  <c r="L384" i="1"/>
  <c r="M384" i="1"/>
  <c r="L385" i="1"/>
  <c r="M385" i="1"/>
  <c r="L386" i="1"/>
  <c r="M386" i="1"/>
  <c r="L387" i="1"/>
  <c r="M387" i="1"/>
  <c r="L388" i="1"/>
  <c r="M388" i="1"/>
  <c r="L389" i="1"/>
  <c r="M389" i="1"/>
  <c r="L390" i="1"/>
  <c r="M390" i="1"/>
  <c r="L391" i="1"/>
  <c r="M391" i="1"/>
  <c r="L392" i="1"/>
  <c r="M392" i="1"/>
  <c r="L393" i="1"/>
  <c r="M393" i="1"/>
  <c r="L394" i="1"/>
  <c r="M394" i="1"/>
  <c r="L395" i="1"/>
  <c r="M395" i="1"/>
  <c r="L396" i="1"/>
  <c r="M396" i="1"/>
  <c r="L397" i="1"/>
  <c r="M397" i="1"/>
  <c r="L398" i="1"/>
  <c r="M398" i="1"/>
  <c r="L399" i="1"/>
  <c r="M399" i="1"/>
  <c r="L400" i="1"/>
  <c r="M400" i="1"/>
  <c r="L401" i="1"/>
  <c r="M401" i="1"/>
  <c r="L402" i="1"/>
  <c r="M402" i="1"/>
  <c r="L403" i="1"/>
  <c r="M403" i="1"/>
  <c r="L404" i="1"/>
  <c r="M404" i="1"/>
  <c r="L405" i="1"/>
  <c r="M405" i="1"/>
  <c r="L406" i="1"/>
  <c r="M406" i="1"/>
  <c r="L407" i="1"/>
  <c r="M407" i="1"/>
  <c r="L408" i="1"/>
  <c r="M408" i="1"/>
  <c r="L409" i="1"/>
  <c r="M409" i="1"/>
  <c r="L410" i="1"/>
  <c r="M410" i="1"/>
  <c r="L411" i="1"/>
  <c r="M411" i="1"/>
  <c r="L412" i="1"/>
  <c r="M412" i="1"/>
  <c r="L413" i="1"/>
  <c r="M413" i="1"/>
  <c r="L414" i="1"/>
  <c r="M414" i="1"/>
  <c r="L415" i="1"/>
  <c r="M415" i="1"/>
  <c r="L419" i="1"/>
  <c r="M419" i="1"/>
  <c r="L420" i="1"/>
  <c r="M420" i="1"/>
  <c r="L421" i="1"/>
  <c r="M421" i="1"/>
  <c r="L422" i="1"/>
  <c r="M422" i="1"/>
  <c r="L423" i="1"/>
  <c r="M423" i="1"/>
  <c r="L424" i="1"/>
  <c r="M424" i="1"/>
  <c r="L425" i="1"/>
  <c r="M425" i="1"/>
  <c r="L426" i="1"/>
  <c r="M426" i="1"/>
  <c r="L427" i="1"/>
  <c r="M427" i="1"/>
  <c r="L428" i="1"/>
  <c r="M428" i="1"/>
  <c r="L429" i="1"/>
  <c r="M429" i="1"/>
  <c r="L430" i="1"/>
  <c r="M430" i="1"/>
  <c r="L431" i="1"/>
  <c r="M431" i="1"/>
  <c r="L432" i="1"/>
  <c r="M432" i="1"/>
  <c r="L433" i="1"/>
  <c r="M433" i="1"/>
  <c r="L434" i="1"/>
  <c r="M434" i="1"/>
  <c r="L435" i="1"/>
  <c r="M435" i="1"/>
  <c r="L436" i="1"/>
  <c r="M436" i="1"/>
  <c r="L437" i="1"/>
  <c r="M437" i="1"/>
  <c r="L438" i="1"/>
  <c r="M438" i="1"/>
  <c r="L439" i="1"/>
  <c r="M439" i="1"/>
  <c r="L440" i="1"/>
  <c r="M440" i="1"/>
  <c r="L441" i="1"/>
  <c r="M441" i="1"/>
  <c r="L442" i="1"/>
  <c r="M442" i="1"/>
  <c r="L443" i="1"/>
  <c r="M443" i="1"/>
  <c r="L444" i="1"/>
  <c r="M444" i="1"/>
  <c r="L445" i="1"/>
  <c r="M445" i="1"/>
  <c r="L446" i="1"/>
  <c r="M446" i="1"/>
  <c r="L447" i="1"/>
  <c r="M447" i="1"/>
  <c r="L448" i="1"/>
  <c r="M448" i="1"/>
  <c r="L449" i="1"/>
  <c r="M449" i="1"/>
  <c r="L450" i="1"/>
  <c r="M450" i="1"/>
  <c r="L451" i="1"/>
  <c r="M451" i="1"/>
  <c r="L452" i="1"/>
  <c r="M452" i="1"/>
  <c r="L453" i="1"/>
  <c r="M453" i="1"/>
  <c r="L454" i="1"/>
  <c r="M454" i="1"/>
  <c r="L455" i="1"/>
  <c r="M455" i="1"/>
  <c r="L459" i="1"/>
  <c r="M459" i="1"/>
  <c r="L460" i="1"/>
  <c r="M460" i="1"/>
  <c r="L461" i="1"/>
  <c r="M461" i="1"/>
  <c r="L462" i="1"/>
  <c r="M462" i="1"/>
  <c r="L463" i="1"/>
  <c r="M463" i="1"/>
  <c r="L464" i="1"/>
  <c r="M464" i="1"/>
  <c r="L465" i="1"/>
  <c r="M465" i="1"/>
  <c r="L466" i="1"/>
  <c r="M466" i="1"/>
  <c r="L467" i="1"/>
  <c r="M467" i="1"/>
  <c r="L468" i="1"/>
  <c r="M468" i="1"/>
  <c r="L469" i="1"/>
  <c r="M469" i="1"/>
  <c r="L470" i="1"/>
  <c r="M470" i="1"/>
  <c r="L471" i="1"/>
  <c r="M471" i="1"/>
  <c r="L472" i="1"/>
  <c r="M472" i="1"/>
  <c r="L473" i="1"/>
  <c r="M473" i="1"/>
  <c r="L474" i="1"/>
  <c r="M474" i="1"/>
  <c r="L475" i="1"/>
  <c r="M475" i="1"/>
  <c r="L476" i="1"/>
  <c r="M476" i="1"/>
  <c r="L477" i="1"/>
  <c r="M477" i="1"/>
  <c r="L478" i="1"/>
  <c r="M478" i="1"/>
  <c r="L479" i="1"/>
  <c r="M479" i="1"/>
  <c r="L480" i="1"/>
  <c r="M480" i="1"/>
  <c r="L481" i="1"/>
  <c r="M481" i="1"/>
  <c r="L482" i="1"/>
  <c r="M482" i="1"/>
  <c r="L483" i="1"/>
  <c r="M483" i="1"/>
  <c r="L484" i="1"/>
  <c r="M484" i="1"/>
  <c r="L485" i="1"/>
  <c r="M485" i="1"/>
  <c r="L486" i="1"/>
  <c r="M486" i="1"/>
  <c r="L487" i="1"/>
  <c r="M487" i="1"/>
  <c r="L488" i="1"/>
  <c r="M488" i="1"/>
  <c r="L489" i="1"/>
  <c r="M489" i="1"/>
  <c r="L490" i="1"/>
  <c r="M490" i="1"/>
  <c r="L491" i="1"/>
  <c r="M491" i="1"/>
  <c r="L492" i="1"/>
  <c r="M492" i="1"/>
  <c r="L493" i="1"/>
  <c r="M493" i="1"/>
  <c r="L494" i="1"/>
  <c r="M494" i="1"/>
  <c r="L495" i="1"/>
  <c r="M495" i="1"/>
  <c r="L496" i="1"/>
  <c r="M496" i="1"/>
  <c r="L497" i="1"/>
  <c r="M497" i="1"/>
  <c r="L498" i="1"/>
  <c r="M498" i="1"/>
  <c r="L499" i="1"/>
  <c r="M499" i="1"/>
  <c r="L500" i="1"/>
  <c r="M500" i="1"/>
  <c r="L501" i="1"/>
  <c r="M501" i="1"/>
  <c r="L502" i="1"/>
  <c r="M502" i="1"/>
  <c r="L503" i="1"/>
  <c r="M503" i="1"/>
  <c r="L504" i="1"/>
  <c r="M504" i="1"/>
  <c r="L508" i="1"/>
  <c r="M508" i="1"/>
  <c r="L509" i="1"/>
  <c r="M509" i="1"/>
  <c r="L510" i="1"/>
  <c r="M510" i="1"/>
  <c r="L511" i="1"/>
  <c r="M511" i="1"/>
  <c r="L512" i="1"/>
  <c r="M512" i="1"/>
  <c r="L513" i="1"/>
  <c r="M513" i="1"/>
  <c r="L514" i="1"/>
  <c r="M514" i="1"/>
  <c r="L515" i="1"/>
  <c r="M515" i="1"/>
  <c r="L516" i="1"/>
  <c r="M516" i="1"/>
  <c r="L517" i="1"/>
  <c r="M517" i="1"/>
  <c r="L518" i="1"/>
  <c r="M518" i="1"/>
  <c r="L519" i="1"/>
  <c r="M519" i="1"/>
  <c r="L520" i="1"/>
  <c r="M520" i="1"/>
  <c r="L521" i="1"/>
  <c r="M521" i="1"/>
  <c r="L522" i="1"/>
  <c r="M522" i="1"/>
  <c r="L523" i="1"/>
  <c r="M523" i="1"/>
  <c r="L524" i="1"/>
  <c r="M524" i="1"/>
  <c r="L525" i="1"/>
  <c r="M525" i="1"/>
  <c r="L526" i="1"/>
  <c r="M526" i="1"/>
  <c r="L527" i="1"/>
  <c r="M527" i="1"/>
  <c r="L528" i="1"/>
  <c r="M528" i="1"/>
  <c r="L529" i="1"/>
  <c r="M529" i="1"/>
  <c r="L530" i="1"/>
  <c r="M530" i="1"/>
  <c r="L531" i="1"/>
  <c r="M531" i="1"/>
  <c r="L532" i="1"/>
  <c r="M532" i="1"/>
  <c r="L533" i="1"/>
  <c r="M533" i="1"/>
  <c r="L534" i="1"/>
  <c r="M534" i="1"/>
  <c r="L535" i="1"/>
  <c r="M535" i="1"/>
  <c r="L536" i="1"/>
  <c r="M536" i="1"/>
  <c r="L537" i="1"/>
  <c r="M537" i="1"/>
  <c r="L538" i="1"/>
  <c r="M538" i="1"/>
  <c r="L539" i="1"/>
  <c r="M539" i="1"/>
  <c r="L540" i="1"/>
  <c r="M540" i="1"/>
  <c r="L541" i="1"/>
  <c r="M541" i="1"/>
  <c r="L542" i="1"/>
  <c r="M542" i="1"/>
  <c r="L543" i="1"/>
  <c r="M543" i="1"/>
  <c r="L544" i="1"/>
  <c r="M544" i="1"/>
  <c r="L545" i="1"/>
  <c r="M545" i="1"/>
  <c r="L546" i="1"/>
  <c r="M546" i="1"/>
  <c r="L547" i="1"/>
  <c r="M547" i="1"/>
  <c r="L548" i="1"/>
  <c r="M548" i="1"/>
  <c r="L549" i="1"/>
  <c r="M549" i="1"/>
  <c r="L550" i="1"/>
  <c r="M550" i="1"/>
  <c r="L551" i="1"/>
  <c r="M551" i="1"/>
  <c r="L552" i="1"/>
  <c r="M552" i="1"/>
  <c r="L553" i="1"/>
  <c r="M553" i="1"/>
  <c r="L557" i="1"/>
  <c r="M557" i="1"/>
  <c r="L558" i="1"/>
  <c r="M558" i="1"/>
  <c r="L559" i="1"/>
  <c r="M559" i="1"/>
  <c r="L560" i="1"/>
  <c r="M560" i="1"/>
  <c r="L561" i="1"/>
  <c r="M561" i="1"/>
  <c r="L562" i="1"/>
  <c r="M562" i="1"/>
  <c r="L563" i="1"/>
  <c r="M563" i="1"/>
  <c r="L564" i="1"/>
  <c r="M564" i="1"/>
  <c r="L565" i="1"/>
  <c r="M565" i="1"/>
  <c r="L566" i="1"/>
  <c r="M566" i="1"/>
  <c r="L567" i="1"/>
  <c r="M567" i="1"/>
  <c r="L568" i="1"/>
  <c r="M568" i="1"/>
  <c r="L569" i="1"/>
  <c r="M569" i="1"/>
  <c r="L570" i="1"/>
  <c r="M570" i="1"/>
  <c r="L571" i="1"/>
  <c r="M571" i="1"/>
  <c r="L572" i="1"/>
  <c r="M572" i="1"/>
  <c r="L573" i="1"/>
  <c r="M573" i="1"/>
  <c r="L574" i="1"/>
  <c r="M574" i="1"/>
  <c r="L575" i="1"/>
  <c r="M575" i="1"/>
  <c r="L576" i="1"/>
  <c r="M576" i="1"/>
  <c r="L577" i="1"/>
  <c r="M577" i="1"/>
  <c r="L578" i="1"/>
  <c r="M578" i="1"/>
  <c r="L579" i="1"/>
  <c r="M579" i="1"/>
  <c r="L580" i="1"/>
  <c r="M580" i="1"/>
  <c r="L581" i="1"/>
  <c r="M581" i="1"/>
  <c r="L582" i="1"/>
  <c r="M582" i="1"/>
  <c r="L583" i="1"/>
  <c r="M583" i="1"/>
  <c r="L584" i="1"/>
  <c r="M584" i="1"/>
  <c r="L585" i="1"/>
  <c r="M585" i="1"/>
  <c r="L586" i="1"/>
  <c r="M586" i="1"/>
  <c r="L587" i="1"/>
  <c r="M587" i="1"/>
  <c r="L588" i="1"/>
  <c r="M588" i="1"/>
  <c r="L589" i="1"/>
  <c r="M589" i="1"/>
  <c r="L590" i="1"/>
  <c r="M590" i="1"/>
  <c r="L591" i="1"/>
  <c r="M591" i="1"/>
  <c r="L592" i="1"/>
  <c r="M592" i="1"/>
  <c r="L593" i="1"/>
  <c r="M593" i="1"/>
  <c r="L594" i="1"/>
  <c r="M594" i="1"/>
  <c r="L595" i="1"/>
  <c r="M595" i="1"/>
  <c r="L596" i="1"/>
  <c r="M596" i="1"/>
  <c r="L597" i="1"/>
  <c r="M597" i="1"/>
  <c r="L598" i="1"/>
  <c r="M598" i="1"/>
  <c r="L599" i="1"/>
  <c r="M599" i="1"/>
  <c r="L600" i="1"/>
  <c r="M600" i="1"/>
  <c r="L601" i="1"/>
  <c r="M601" i="1"/>
  <c r="L602" i="1"/>
  <c r="M602" i="1"/>
  <c r="L603" i="1"/>
  <c r="M603" i="1"/>
  <c r="L604" i="1"/>
  <c r="M604" i="1"/>
  <c r="L605" i="1"/>
  <c r="M605" i="1"/>
  <c r="L606" i="1"/>
  <c r="M606" i="1"/>
  <c r="L607" i="1"/>
  <c r="M607" i="1"/>
  <c r="L608" i="1"/>
  <c r="M608" i="1"/>
  <c r="L609" i="1"/>
  <c r="M609" i="1"/>
  <c r="L610" i="1"/>
  <c r="M610" i="1"/>
  <c r="L611" i="1"/>
  <c r="M611" i="1"/>
  <c r="L612" i="1"/>
  <c r="M612" i="1"/>
  <c r="L613" i="1"/>
  <c r="M613" i="1"/>
  <c r="L614" i="1"/>
  <c r="M614" i="1"/>
  <c r="L615" i="1"/>
  <c r="M615" i="1"/>
  <c r="L616" i="1"/>
  <c r="M616" i="1"/>
  <c r="L617" i="1"/>
  <c r="M617" i="1"/>
  <c r="L618" i="1"/>
  <c r="M618" i="1"/>
  <c r="L619" i="1"/>
  <c r="M619" i="1"/>
  <c r="L620" i="1"/>
  <c r="M620" i="1"/>
  <c r="L621" i="1"/>
  <c r="M621" i="1"/>
  <c r="L622" i="1"/>
  <c r="M622" i="1"/>
  <c r="L623" i="1"/>
  <c r="M623" i="1"/>
  <c r="L624" i="1"/>
  <c r="M624" i="1"/>
  <c r="L625" i="1"/>
  <c r="M625" i="1"/>
  <c r="L626" i="1"/>
  <c r="M626" i="1"/>
  <c r="L627" i="1"/>
  <c r="M627" i="1"/>
  <c r="L628" i="1"/>
  <c r="M628" i="1"/>
  <c r="L629" i="1"/>
  <c r="M629" i="1"/>
  <c r="L630" i="1"/>
  <c r="M630" i="1"/>
  <c r="L631" i="1"/>
  <c r="M631" i="1"/>
  <c r="L632" i="1"/>
  <c r="M632" i="1"/>
  <c r="L633" i="1"/>
  <c r="M633" i="1"/>
  <c r="L634" i="1"/>
  <c r="M634" i="1"/>
  <c r="L635" i="1"/>
  <c r="M635" i="1"/>
  <c r="L636" i="1"/>
  <c r="M636" i="1"/>
  <c r="L637" i="1"/>
  <c r="M637" i="1"/>
  <c r="L638" i="1"/>
  <c r="M638" i="1"/>
  <c r="L639" i="1"/>
  <c r="M639" i="1"/>
  <c r="L640" i="1"/>
  <c r="M640" i="1"/>
  <c r="L641" i="1"/>
  <c r="M641" i="1"/>
  <c r="L642" i="1"/>
  <c r="M642" i="1"/>
  <c r="L643" i="1"/>
  <c r="M643" i="1"/>
  <c r="L644" i="1"/>
  <c r="M644" i="1"/>
  <c r="L645" i="1"/>
  <c r="M645" i="1"/>
  <c r="L646" i="1"/>
  <c r="M646" i="1"/>
  <c r="L647" i="1"/>
  <c r="M647" i="1"/>
  <c r="L648" i="1"/>
  <c r="M648" i="1"/>
  <c r="L649" i="1"/>
  <c r="M649" i="1"/>
  <c r="L650" i="1"/>
  <c r="M650" i="1"/>
  <c r="L651" i="1"/>
  <c r="M651" i="1"/>
  <c r="L652" i="1"/>
  <c r="M652" i="1"/>
  <c r="L653" i="1"/>
  <c r="M653" i="1"/>
  <c r="L654" i="1"/>
  <c r="M654" i="1"/>
  <c r="L655" i="1"/>
  <c r="M655" i="1"/>
  <c r="L656" i="1"/>
  <c r="M656" i="1"/>
  <c r="L657" i="1"/>
  <c r="M657" i="1"/>
  <c r="L661" i="1"/>
  <c r="M661" i="1"/>
  <c r="L662" i="1"/>
  <c r="M662" i="1"/>
  <c r="L663" i="1"/>
  <c r="M663" i="1"/>
  <c r="L664" i="1"/>
  <c r="M664" i="1"/>
  <c r="L665" i="1"/>
  <c r="M665" i="1"/>
  <c r="L666" i="1"/>
  <c r="M666" i="1"/>
  <c r="L667" i="1"/>
  <c r="M667" i="1"/>
  <c r="L668" i="1"/>
  <c r="M668" i="1"/>
  <c r="L669" i="1"/>
  <c r="M669" i="1"/>
  <c r="L670" i="1"/>
  <c r="M670" i="1"/>
  <c r="L671" i="1"/>
  <c r="M671" i="1"/>
  <c r="L672" i="1"/>
  <c r="M672" i="1"/>
  <c r="L673" i="1"/>
  <c r="M673" i="1"/>
  <c r="L674" i="1"/>
  <c r="M674" i="1"/>
  <c r="L675" i="1"/>
  <c r="M675" i="1"/>
  <c r="L676" i="1"/>
  <c r="M676" i="1"/>
  <c r="L677" i="1"/>
  <c r="M677" i="1"/>
  <c r="L678" i="1"/>
  <c r="M678" i="1"/>
  <c r="L679" i="1"/>
  <c r="M679" i="1"/>
  <c r="L680" i="1"/>
  <c r="M680" i="1"/>
  <c r="L681" i="1"/>
  <c r="M681" i="1"/>
  <c r="L682" i="1"/>
  <c r="M682" i="1"/>
  <c r="L683" i="1"/>
  <c r="M683" i="1"/>
  <c r="L684" i="1"/>
  <c r="M684" i="1"/>
  <c r="L685" i="1"/>
  <c r="M685" i="1"/>
  <c r="L686" i="1"/>
  <c r="M686" i="1"/>
  <c r="L687" i="1"/>
  <c r="M687" i="1"/>
  <c r="L688" i="1"/>
  <c r="M688" i="1"/>
  <c r="L689" i="1"/>
  <c r="M689" i="1"/>
  <c r="L690" i="1"/>
  <c r="M690" i="1"/>
  <c r="L691" i="1"/>
  <c r="M691" i="1"/>
  <c r="L692" i="1"/>
  <c r="M692" i="1"/>
  <c r="L693" i="1"/>
  <c r="M693" i="1"/>
  <c r="L694" i="1"/>
  <c r="M694" i="1"/>
  <c r="L695" i="1"/>
  <c r="M695" i="1"/>
  <c r="L696" i="1"/>
  <c r="M696" i="1"/>
  <c r="L697" i="1"/>
  <c r="M697" i="1"/>
  <c r="L698" i="1"/>
  <c r="M698" i="1"/>
  <c r="L699" i="1"/>
  <c r="M699" i="1"/>
  <c r="L700" i="1"/>
  <c r="M700" i="1"/>
  <c r="L701" i="1"/>
  <c r="M701" i="1"/>
  <c r="L702" i="1"/>
  <c r="M702" i="1"/>
  <c r="L703" i="1"/>
  <c r="M703" i="1"/>
  <c r="L704" i="1"/>
  <c r="M704" i="1"/>
  <c r="L705" i="1"/>
  <c r="M705" i="1"/>
  <c r="L706" i="1"/>
  <c r="M706" i="1"/>
  <c r="L707" i="1"/>
  <c r="M707" i="1"/>
  <c r="L708" i="1"/>
  <c r="M708" i="1"/>
  <c r="L709" i="1"/>
  <c r="M709" i="1"/>
  <c r="L710" i="1"/>
  <c r="M710" i="1"/>
  <c r="L711" i="1"/>
  <c r="M711" i="1"/>
  <c r="L712" i="1"/>
  <c r="M712" i="1"/>
  <c r="L713" i="1"/>
  <c r="M713" i="1"/>
  <c r="L714" i="1"/>
  <c r="M714" i="1"/>
  <c r="L715" i="1"/>
  <c r="M715" i="1"/>
  <c r="L716" i="1"/>
  <c r="M716" i="1"/>
  <c r="L717" i="1"/>
  <c r="M717" i="1"/>
  <c r="L718" i="1"/>
  <c r="M718" i="1"/>
  <c r="L719" i="1"/>
  <c r="M719" i="1"/>
  <c r="L720" i="1"/>
  <c r="M720" i="1"/>
  <c r="L721" i="1"/>
  <c r="M721" i="1"/>
  <c r="L722" i="1"/>
  <c r="M722" i="1"/>
  <c r="L723" i="1"/>
  <c r="M723" i="1"/>
  <c r="L724" i="1"/>
  <c r="M724" i="1"/>
  <c r="L725" i="1"/>
  <c r="M725" i="1"/>
  <c r="L726" i="1"/>
  <c r="M726" i="1"/>
  <c r="L727" i="1"/>
  <c r="M727" i="1"/>
  <c r="L728" i="1"/>
  <c r="M728" i="1"/>
  <c r="L729" i="1"/>
  <c r="M729" i="1"/>
  <c r="L730" i="1"/>
  <c r="M730" i="1"/>
  <c r="L731" i="1"/>
  <c r="M731" i="1"/>
  <c r="L732" i="1"/>
  <c r="M732" i="1"/>
  <c r="L733" i="1"/>
  <c r="M733" i="1"/>
  <c r="L734" i="1"/>
  <c r="M734" i="1"/>
  <c r="L735" i="1"/>
  <c r="M735" i="1"/>
  <c r="L736" i="1"/>
  <c r="M736" i="1"/>
  <c r="L737" i="1"/>
  <c r="M737" i="1"/>
  <c r="L738" i="1"/>
  <c r="M738" i="1"/>
  <c r="L739" i="1"/>
  <c r="M739" i="1"/>
  <c r="L740" i="1"/>
  <c r="M740" i="1"/>
  <c r="L741" i="1"/>
  <c r="M741" i="1"/>
  <c r="L742" i="1"/>
  <c r="M742" i="1"/>
  <c r="L743" i="1"/>
  <c r="M743" i="1"/>
  <c r="L744" i="1"/>
  <c r="M744" i="1"/>
  <c r="L745" i="1"/>
  <c r="M745" i="1"/>
  <c r="L746" i="1"/>
  <c r="M746" i="1"/>
  <c r="L747" i="1"/>
  <c r="M747" i="1"/>
  <c r="L748" i="1"/>
  <c r="M748" i="1"/>
  <c r="L749" i="1"/>
  <c r="M749" i="1"/>
  <c r="L750" i="1"/>
  <c r="M750" i="1"/>
  <c r="L751" i="1"/>
  <c r="M751" i="1"/>
  <c r="L752" i="1"/>
  <c r="M752" i="1"/>
  <c r="L753" i="1"/>
  <c r="M753" i="1"/>
  <c r="L754" i="1"/>
  <c r="M754" i="1"/>
  <c r="L755" i="1"/>
  <c r="M755" i="1"/>
  <c r="L756" i="1"/>
  <c r="M756" i="1"/>
  <c r="L757" i="1"/>
  <c r="M757" i="1"/>
  <c r="L758" i="1"/>
  <c r="M758" i="1"/>
  <c r="L759" i="1"/>
  <c r="M759" i="1"/>
  <c r="L760" i="1"/>
  <c r="M760" i="1"/>
  <c r="L761" i="1"/>
  <c r="M761" i="1"/>
  <c r="L765" i="1"/>
  <c r="M765" i="1"/>
  <c r="L766" i="1"/>
  <c r="M766" i="1"/>
  <c r="L767" i="1"/>
  <c r="M767" i="1"/>
  <c r="L768" i="1"/>
  <c r="M768" i="1"/>
  <c r="L769" i="1"/>
  <c r="M769" i="1"/>
  <c r="L770" i="1"/>
  <c r="M770" i="1"/>
  <c r="L771" i="1"/>
  <c r="M771" i="1"/>
  <c r="L772" i="1"/>
  <c r="M772" i="1"/>
  <c r="L773" i="1"/>
  <c r="M773" i="1"/>
  <c r="L774" i="1"/>
  <c r="M774" i="1"/>
  <c r="L775" i="1"/>
  <c r="M775" i="1"/>
  <c r="L776" i="1"/>
  <c r="M776" i="1"/>
  <c r="L777" i="1"/>
  <c r="M777" i="1"/>
  <c r="L778" i="1"/>
  <c r="M778" i="1"/>
  <c r="L779" i="1"/>
  <c r="M779" i="1"/>
  <c r="L780" i="1"/>
  <c r="M780" i="1"/>
  <c r="L781" i="1"/>
  <c r="M781" i="1"/>
  <c r="L782" i="1"/>
  <c r="M782" i="1"/>
  <c r="L783" i="1"/>
  <c r="M783" i="1"/>
  <c r="L784" i="1"/>
  <c r="M784" i="1"/>
  <c r="L785" i="1"/>
  <c r="M785" i="1"/>
  <c r="L786" i="1"/>
  <c r="M786" i="1"/>
  <c r="L787" i="1"/>
  <c r="M787" i="1"/>
  <c r="L788" i="1"/>
  <c r="M788" i="1"/>
  <c r="L789" i="1"/>
  <c r="M789" i="1"/>
  <c r="L790" i="1"/>
  <c r="M790" i="1"/>
  <c r="L791" i="1"/>
  <c r="M791" i="1"/>
  <c r="L792" i="1"/>
  <c r="M792" i="1"/>
  <c r="L793" i="1"/>
  <c r="M793" i="1"/>
  <c r="L794" i="1"/>
  <c r="M794" i="1"/>
  <c r="L795" i="1"/>
  <c r="M795" i="1"/>
  <c r="L796" i="1"/>
  <c r="M796" i="1"/>
  <c r="L797" i="1"/>
  <c r="M797" i="1"/>
  <c r="L798" i="1"/>
  <c r="M798" i="1"/>
  <c r="L799" i="1"/>
  <c r="M799" i="1"/>
  <c r="L800" i="1"/>
  <c r="M800" i="1"/>
  <c r="L801" i="1"/>
  <c r="M801" i="1"/>
  <c r="L802" i="1"/>
  <c r="M802" i="1"/>
  <c r="L803" i="1"/>
  <c r="M803" i="1"/>
  <c r="L804" i="1"/>
  <c r="M804" i="1"/>
  <c r="L805" i="1"/>
  <c r="M805" i="1"/>
  <c r="L806" i="1"/>
  <c r="M806" i="1"/>
  <c r="L807" i="1"/>
  <c r="M807" i="1"/>
  <c r="L808" i="1"/>
  <c r="M808" i="1"/>
  <c r="L809" i="1"/>
  <c r="M809" i="1"/>
  <c r="L810" i="1"/>
  <c r="M810" i="1"/>
  <c r="L811" i="1"/>
  <c r="M811" i="1"/>
  <c r="L812" i="1"/>
  <c r="M812" i="1"/>
  <c r="L813" i="1"/>
  <c r="M813" i="1"/>
  <c r="L814" i="1"/>
  <c r="M814" i="1"/>
  <c r="L815" i="1"/>
  <c r="M815" i="1"/>
  <c r="L816" i="1"/>
  <c r="M816" i="1"/>
  <c r="L817" i="1"/>
  <c r="M817" i="1"/>
  <c r="L818" i="1"/>
  <c r="M818" i="1"/>
  <c r="L819" i="1"/>
  <c r="M819" i="1"/>
  <c r="L820" i="1"/>
  <c r="M820" i="1"/>
  <c r="L821" i="1"/>
  <c r="M821" i="1"/>
  <c r="L822" i="1"/>
  <c r="M822" i="1"/>
  <c r="L823" i="1"/>
  <c r="M823" i="1"/>
  <c r="L824" i="1"/>
  <c r="M824" i="1"/>
  <c r="L825" i="1"/>
  <c r="M825" i="1"/>
  <c r="L826" i="1"/>
  <c r="M826" i="1"/>
  <c r="L827" i="1"/>
  <c r="M827" i="1"/>
  <c r="L828" i="1"/>
  <c r="M828" i="1"/>
  <c r="L829" i="1"/>
  <c r="M829" i="1"/>
  <c r="L830" i="1"/>
  <c r="M830" i="1"/>
  <c r="L831" i="1"/>
  <c r="M831" i="1"/>
  <c r="L832" i="1"/>
  <c r="M832" i="1"/>
  <c r="L833" i="1"/>
  <c r="M833" i="1"/>
  <c r="L837" i="1"/>
  <c r="M837" i="1"/>
  <c r="L838" i="1"/>
  <c r="M838" i="1"/>
  <c r="L839" i="1"/>
  <c r="M839" i="1"/>
  <c r="L840" i="1"/>
  <c r="M840" i="1"/>
  <c r="L841" i="1"/>
  <c r="M841" i="1"/>
  <c r="L842" i="1"/>
  <c r="M842" i="1"/>
  <c r="L843" i="1"/>
  <c r="M843" i="1"/>
  <c r="L844" i="1"/>
  <c r="M844" i="1"/>
  <c r="L845" i="1"/>
  <c r="M845" i="1"/>
  <c r="L846" i="1"/>
  <c r="M846" i="1"/>
  <c r="L847" i="1"/>
  <c r="M847" i="1"/>
  <c r="L848" i="1"/>
  <c r="M848" i="1"/>
  <c r="L849" i="1"/>
  <c r="M849" i="1"/>
  <c r="L850" i="1"/>
  <c r="M850" i="1"/>
  <c r="L851" i="1"/>
  <c r="M851" i="1"/>
  <c r="L852" i="1"/>
  <c r="M852" i="1"/>
  <c r="L853" i="1"/>
  <c r="M853" i="1"/>
  <c r="L854" i="1"/>
  <c r="M854" i="1"/>
  <c r="L855" i="1"/>
  <c r="M855" i="1"/>
  <c r="L856" i="1"/>
  <c r="M856" i="1"/>
  <c r="L857" i="1"/>
  <c r="M857" i="1"/>
  <c r="L858" i="1"/>
  <c r="M858" i="1"/>
  <c r="L859" i="1"/>
  <c r="M859" i="1"/>
  <c r="L860" i="1"/>
  <c r="M860" i="1"/>
  <c r="L861" i="1"/>
  <c r="M861" i="1"/>
  <c r="L862" i="1"/>
  <c r="M862" i="1"/>
  <c r="L863" i="1"/>
  <c r="M863" i="1"/>
  <c r="L864" i="1"/>
  <c r="M864" i="1"/>
  <c r="L865" i="1"/>
  <c r="M865" i="1"/>
  <c r="L866" i="1"/>
  <c r="M866" i="1"/>
  <c r="L867" i="1"/>
  <c r="M867" i="1"/>
  <c r="L868" i="1"/>
  <c r="M868" i="1"/>
  <c r="L869" i="1"/>
  <c r="M869" i="1"/>
  <c r="L870" i="1"/>
  <c r="M870" i="1"/>
  <c r="L871" i="1"/>
  <c r="M871" i="1"/>
  <c r="L872" i="1"/>
  <c r="M872" i="1"/>
  <c r="L873" i="1"/>
  <c r="M873" i="1"/>
  <c r="L874" i="1"/>
  <c r="M874" i="1"/>
  <c r="L875" i="1"/>
  <c r="M875" i="1"/>
  <c r="L876" i="1"/>
  <c r="M876" i="1"/>
  <c r="L877" i="1"/>
  <c r="M877" i="1"/>
  <c r="L878" i="1"/>
  <c r="M878" i="1"/>
  <c r="L879" i="1"/>
  <c r="M879" i="1"/>
  <c r="L880" i="1"/>
  <c r="M880" i="1"/>
  <c r="L881" i="1"/>
  <c r="M881" i="1"/>
  <c r="L882" i="1"/>
  <c r="M882" i="1"/>
  <c r="L883" i="1"/>
  <c r="M883" i="1"/>
  <c r="L884" i="1"/>
  <c r="M884" i="1"/>
  <c r="L885" i="1"/>
  <c r="M885" i="1"/>
  <c r="L886" i="1"/>
  <c r="M886" i="1"/>
  <c r="L887" i="1"/>
  <c r="M887" i="1"/>
  <c r="L888" i="1"/>
  <c r="M888" i="1"/>
  <c r="L889" i="1"/>
  <c r="M889" i="1"/>
  <c r="L890" i="1"/>
  <c r="M890" i="1"/>
  <c r="L891" i="1"/>
  <c r="M891" i="1"/>
  <c r="L892" i="1"/>
  <c r="M892" i="1"/>
  <c r="L893" i="1"/>
  <c r="M893" i="1"/>
  <c r="L894" i="1"/>
  <c r="M894" i="1"/>
  <c r="L895" i="1"/>
  <c r="M895" i="1"/>
  <c r="L896" i="1"/>
  <c r="M896" i="1"/>
  <c r="L897" i="1"/>
  <c r="M897" i="1"/>
  <c r="L898" i="1"/>
  <c r="M898" i="1"/>
  <c r="L899" i="1"/>
  <c r="M899" i="1"/>
  <c r="L900" i="1"/>
  <c r="M900" i="1"/>
  <c r="L901" i="1"/>
  <c r="M901" i="1"/>
  <c r="L905" i="1"/>
  <c r="M905" i="1"/>
  <c r="L906" i="1"/>
  <c r="M906" i="1"/>
  <c r="L907" i="1"/>
  <c r="M907" i="1"/>
  <c r="L908" i="1"/>
  <c r="M908" i="1"/>
  <c r="L909" i="1"/>
  <c r="M909" i="1"/>
  <c r="L910" i="1"/>
  <c r="M910" i="1"/>
  <c r="L911" i="1"/>
  <c r="M911" i="1"/>
  <c r="L912" i="1"/>
  <c r="M912" i="1"/>
  <c r="L913" i="1"/>
  <c r="M913" i="1"/>
  <c r="L914" i="1"/>
  <c r="M914" i="1"/>
  <c r="L915" i="1"/>
  <c r="M915" i="1"/>
  <c r="L916" i="1"/>
  <c r="M916" i="1"/>
  <c r="L917" i="1"/>
  <c r="M917" i="1"/>
  <c r="L918" i="1"/>
  <c r="M918" i="1"/>
  <c r="L919" i="1"/>
  <c r="M919" i="1"/>
  <c r="L920" i="1"/>
  <c r="M920" i="1"/>
  <c r="L921" i="1"/>
  <c r="M921" i="1"/>
  <c r="L922" i="1"/>
  <c r="M922" i="1"/>
  <c r="L923" i="1"/>
  <c r="M923" i="1"/>
  <c r="L924" i="1"/>
  <c r="M924" i="1"/>
  <c r="L925" i="1"/>
  <c r="M925" i="1"/>
  <c r="L926" i="1"/>
  <c r="M926" i="1"/>
  <c r="L927" i="1"/>
  <c r="M927" i="1"/>
  <c r="L928" i="1"/>
  <c r="M928" i="1"/>
  <c r="L929" i="1"/>
  <c r="M929" i="1"/>
  <c r="L930" i="1"/>
  <c r="M930" i="1"/>
  <c r="L931" i="1"/>
  <c r="M931" i="1"/>
  <c r="L932" i="1"/>
  <c r="M932" i="1"/>
  <c r="L933" i="1"/>
  <c r="M933" i="1"/>
  <c r="L934" i="1"/>
  <c r="M934" i="1"/>
  <c r="L935" i="1"/>
  <c r="M935" i="1"/>
  <c r="L936" i="1"/>
  <c r="M936" i="1"/>
  <c r="L937" i="1"/>
  <c r="M937" i="1"/>
  <c r="L938" i="1"/>
  <c r="M938" i="1"/>
  <c r="L939" i="1"/>
  <c r="M939" i="1"/>
  <c r="L940" i="1"/>
  <c r="M940" i="1"/>
  <c r="L941" i="1"/>
  <c r="M941" i="1"/>
  <c r="L942" i="1"/>
  <c r="M942" i="1"/>
  <c r="L943" i="1"/>
  <c r="M943" i="1"/>
  <c r="L944" i="1"/>
  <c r="M944" i="1"/>
  <c r="L945" i="1"/>
  <c r="M945" i="1"/>
  <c r="L946" i="1"/>
  <c r="M946" i="1"/>
  <c r="L947" i="1"/>
  <c r="M947" i="1"/>
  <c r="L948" i="1"/>
  <c r="M948" i="1"/>
  <c r="L949" i="1"/>
  <c r="M949" i="1"/>
  <c r="L950" i="1"/>
  <c r="M950" i="1"/>
  <c r="L951" i="1"/>
  <c r="M951" i="1"/>
  <c r="L952" i="1"/>
  <c r="M952" i="1"/>
  <c r="L953" i="1"/>
  <c r="M953" i="1"/>
  <c r="L954" i="1"/>
  <c r="M954" i="1"/>
  <c r="L955" i="1"/>
  <c r="M955" i="1"/>
  <c r="L956" i="1"/>
  <c r="M956" i="1"/>
  <c r="L957" i="1"/>
  <c r="M957" i="1"/>
  <c r="L958" i="1"/>
  <c r="M958" i="1"/>
  <c r="L959" i="1"/>
  <c r="M959" i="1"/>
  <c r="L960" i="1"/>
  <c r="M960" i="1"/>
  <c r="L961" i="1"/>
  <c r="M961" i="1"/>
  <c r="L962" i="1"/>
  <c r="M962" i="1"/>
  <c r="L963" i="1"/>
  <c r="M963" i="1"/>
  <c r="L964" i="1"/>
  <c r="M964" i="1"/>
  <c r="L965" i="1"/>
  <c r="M965" i="1"/>
  <c r="L966" i="1"/>
  <c r="M966" i="1"/>
  <c r="L967" i="1"/>
  <c r="M967" i="1"/>
  <c r="L968" i="1"/>
  <c r="M968" i="1"/>
  <c r="L969" i="1"/>
  <c r="M969" i="1"/>
  <c r="L970" i="1"/>
  <c r="M970" i="1"/>
  <c r="L971" i="1"/>
  <c r="M971" i="1"/>
  <c r="L972" i="1"/>
  <c r="M972" i="1"/>
  <c r="L973" i="1"/>
  <c r="M973" i="1"/>
  <c r="L974" i="1"/>
  <c r="M974" i="1"/>
  <c r="L975" i="1"/>
  <c r="M975" i="1"/>
  <c r="L976" i="1"/>
  <c r="M976" i="1"/>
  <c r="L977" i="1"/>
  <c r="M977" i="1"/>
  <c r="L978" i="1"/>
  <c r="M978" i="1"/>
  <c r="L979" i="1"/>
  <c r="M979" i="1"/>
  <c r="L980" i="1"/>
  <c r="M980" i="1"/>
  <c r="L981" i="1"/>
  <c r="M981" i="1"/>
  <c r="L982" i="1"/>
  <c r="M982" i="1"/>
  <c r="L983" i="1"/>
  <c r="M983" i="1"/>
  <c r="L984" i="1"/>
  <c r="M984" i="1"/>
  <c r="L985" i="1"/>
  <c r="M985" i="1"/>
  <c r="L986" i="1"/>
  <c r="M986" i="1"/>
  <c r="L987" i="1"/>
  <c r="M987" i="1"/>
  <c r="L988" i="1"/>
  <c r="M988" i="1"/>
  <c r="L989" i="1"/>
  <c r="M989" i="1"/>
  <c r="L990" i="1"/>
  <c r="M990" i="1"/>
  <c r="L991" i="1"/>
  <c r="M991" i="1"/>
  <c r="L992" i="1"/>
  <c r="M992" i="1"/>
  <c r="L993" i="1"/>
  <c r="M993" i="1"/>
  <c r="L994" i="1"/>
  <c r="M994" i="1"/>
  <c r="L995" i="1"/>
  <c r="M995" i="1"/>
  <c r="L996" i="1"/>
  <c r="M996" i="1"/>
  <c r="L997" i="1"/>
  <c r="M997" i="1"/>
  <c r="L998" i="1"/>
  <c r="M998" i="1"/>
  <c r="L999" i="1"/>
  <c r="M999" i="1"/>
  <c r="L1000" i="1"/>
  <c r="M1000" i="1"/>
  <c r="L1001" i="1"/>
  <c r="M1001" i="1"/>
  <c r="L1002" i="1"/>
  <c r="M1002" i="1"/>
  <c r="L1003" i="1"/>
  <c r="M1003" i="1"/>
  <c r="L1004" i="1"/>
  <c r="M1004" i="1"/>
  <c r="L1005" i="1"/>
  <c r="M1005" i="1"/>
  <c r="L1006" i="1"/>
  <c r="M1006" i="1"/>
  <c r="L1007" i="1"/>
  <c r="M1007" i="1"/>
  <c r="L1008" i="1"/>
  <c r="M1008" i="1"/>
  <c r="L1009" i="1"/>
  <c r="M1009" i="1"/>
  <c r="L1010" i="1"/>
  <c r="M1010" i="1"/>
  <c r="L1011" i="1"/>
  <c r="M1011" i="1"/>
  <c r="L1012" i="1"/>
  <c r="M1012" i="1"/>
  <c r="L1013" i="1"/>
  <c r="M1013" i="1"/>
  <c r="L1014" i="1"/>
  <c r="M1014" i="1"/>
  <c r="L1015" i="1"/>
  <c r="M1015" i="1"/>
  <c r="L1016" i="1"/>
  <c r="M1016" i="1"/>
  <c r="L1017" i="1"/>
  <c r="M1017" i="1"/>
  <c r="L1018" i="1"/>
  <c r="M1018" i="1"/>
  <c r="L1019" i="1"/>
  <c r="M1019" i="1"/>
  <c r="L1020" i="1"/>
  <c r="M1020" i="1"/>
  <c r="L1021" i="1"/>
  <c r="M1021" i="1"/>
  <c r="L1022" i="1"/>
  <c r="M1022" i="1"/>
  <c r="L1023" i="1"/>
  <c r="M1023" i="1"/>
  <c r="L1024" i="1"/>
  <c r="M1024" i="1"/>
  <c r="L1025" i="1"/>
  <c r="M1025" i="1"/>
  <c r="L1026" i="1"/>
  <c r="M1026" i="1"/>
  <c r="L1027" i="1"/>
  <c r="M1027" i="1"/>
  <c r="L1028" i="1"/>
  <c r="M1028" i="1"/>
  <c r="L1029" i="1"/>
  <c r="M1029" i="1"/>
  <c r="L1030" i="1"/>
  <c r="M1030" i="1"/>
  <c r="L1031" i="1"/>
  <c r="M1031" i="1"/>
  <c r="L1032" i="1"/>
  <c r="M1032" i="1"/>
  <c r="L1033" i="1"/>
  <c r="M1033" i="1"/>
  <c r="L1034" i="1"/>
  <c r="M1034" i="1"/>
  <c r="L1035" i="1"/>
  <c r="M1035" i="1"/>
  <c r="L1036" i="1"/>
  <c r="M1036" i="1"/>
  <c r="L1037" i="1"/>
  <c r="M1037" i="1"/>
  <c r="L1038" i="1"/>
  <c r="M1038" i="1"/>
  <c r="L1039" i="1"/>
  <c r="M1039" i="1"/>
  <c r="L1040" i="1"/>
  <c r="M1040" i="1"/>
  <c r="L1041" i="1"/>
  <c r="M1041" i="1"/>
  <c r="L1042" i="1"/>
  <c r="M1042" i="1"/>
  <c r="L1043" i="1"/>
  <c r="M1043" i="1"/>
  <c r="L1044" i="1"/>
  <c r="M1044" i="1"/>
  <c r="L1045" i="1"/>
  <c r="M1045" i="1"/>
  <c r="L1046" i="1"/>
  <c r="M1046" i="1"/>
  <c r="L1047" i="1"/>
  <c r="M1047" i="1"/>
  <c r="L1048" i="1"/>
  <c r="M1048" i="1"/>
  <c r="L1049" i="1"/>
  <c r="M1049" i="1"/>
  <c r="L1053" i="1"/>
  <c r="M1053" i="1"/>
  <c r="L1054" i="1"/>
  <c r="M1054" i="1"/>
  <c r="L1055" i="1"/>
  <c r="M1055" i="1"/>
  <c r="L1056" i="1"/>
  <c r="M1056" i="1"/>
  <c r="L1057" i="1"/>
  <c r="M1057" i="1"/>
  <c r="L1058" i="1"/>
  <c r="M1058" i="1"/>
  <c r="L1059" i="1"/>
  <c r="M1059" i="1"/>
  <c r="L1060" i="1"/>
  <c r="M1060" i="1"/>
  <c r="L1061" i="1"/>
  <c r="M1061" i="1"/>
  <c r="L1062" i="1"/>
  <c r="M1062" i="1"/>
  <c r="L1063" i="1"/>
  <c r="M1063" i="1"/>
  <c r="L1064" i="1"/>
  <c r="M1064" i="1"/>
  <c r="L1065" i="1"/>
  <c r="M1065" i="1"/>
  <c r="L1066" i="1"/>
  <c r="M1066" i="1"/>
  <c r="L1067" i="1"/>
  <c r="M1067" i="1"/>
  <c r="L1068" i="1"/>
  <c r="M1068" i="1"/>
  <c r="L1069" i="1"/>
  <c r="M1069" i="1"/>
  <c r="L1070" i="1"/>
  <c r="M1070" i="1"/>
  <c r="L1071" i="1"/>
  <c r="M1071" i="1"/>
  <c r="L1072" i="1"/>
  <c r="M1072" i="1"/>
  <c r="L1073" i="1"/>
  <c r="M1073" i="1"/>
  <c r="L1074" i="1"/>
  <c r="M1074" i="1"/>
  <c r="L1075" i="1"/>
  <c r="M1075" i="1"/>
  <c r="L1076" i="1"/>
  <c r="M1076" i="1"/>
  <c r="L1077" i="1"/>
  <c r="M1077" i="1"/>
  <c r="L1078" i="1"/>
  <c r="M1078" i="1"/>
  <c r="L1079" i="1"/>
  <c r="M1079" i="1"/>
  <c r="L1080" i="1"/>
  <c r="M1080" i="1"/>
  <c r="L1081" i="1"/>
  <c r="M1081" i="1"/>
  <c r="L1082" i="1"/>
  <c r="M1082" i="1"/>
  <c r="L1083" i="1"/>
  <c r="M1083" i="1"/>
  <c r="L1084" i="1"/>
  <c r="M1084" i="1"/>
  <c r="L1085" i="1"/>
  <c r="M1085" i="1"/>
  <c r="L1086" i="1"/>
  <c r="M1086" i="1"/>
  <c r="L1087" i="1"/>
  <c r="M1087" i="1"/>
  <c r="L1088" i="1"/>
  <c r="M1088" i="1"/>
  <c r="L1089" i="1"/>
  <c r="M1089" i="1"/>
  <c r="L1090" i="1"/>
  <c r="M1090" i="1"/>
  <c r="L1091" i="1"/>
  <c r="M1091" i="1"/>
  <c r="L1092" i="1"/>
  <c r="M1092" i="1"/>
  <c r="L1093" i="1"/>
  <c r="M1093" i="1"/>
  <c r="L1094" i="1"/>
  <c r="M1094" i="1"/>
  <c r="L1095" i="1"/>
  <c r="M1095" i="1"/>
  <c r="L1096" i="1"/>
  <c r="M1096" i="1"/>
  <c r="L1097" i="1"/>
  <c r="M1097" i="1"/>
  <c r="L1098" i="1"/>
  <c r="M1098" i="1"/>
  <c r="L1099" i="1"/>
  <c r="M1099" i="1"/>
  <c r="L1100" i="1"/>
  <c r="M1100" i="1"/>
  <c r="L1101" i="1"/>
  <c r="M1101" i="1"/>
  <c r="L1102" i="1"/>
  <c r="M1102" i="1"/>
  <c r="L1103" i="1"/>
  <c r="M1103" i="1"/>
  <c r="L1104" i="1"/>
  <c r="M1104" i="1"/>
  <c r="L1105" i="1"/>
  <c r="M1105" i="1"/>
  <c r="L1106" i="1"/>
  <c r="M1106" i="1"/>
  <c r="L1107" i="1"/>
  <c r="M1107" i="1"/>
  <c r="L1108" i="1"/>
  <c r="M1108" i="1"/>
  <c r="L1109" i="1"/>
  <c r="M1109" i="1"/>
  <c r="L1110" i="1"/>
  <c r="M1110" i="1"/>
  <c r="L1111" i="1"/>
  <c r="M1111" i="1"/>
  <c r="L1112" i="1"/>
  <c r="M1112" i="1"/>
  <c r="L1113" i="1"/>
  <c r="M1113" i="1"/>
  <c r="L1114" i="1"/>
  <c r="M1114" i="1"/>
  <c r="L1115" i="1"/>
  <c r="M1115" i="1"/>
  <c r="L1116" i="1"/>
  <c r="M1116" i="1"/>
  <c r="L1117" i="1"/>
  <c r="M1117" i="1"/>
  <c r="L1118" i="1"/>
  <c r="M1118" i="1"/>
  <c r="L1119" i="1"/>
  <c r="M1119" i="1"/>
  <c r="L1120" i="1"/>
  <c r="M1120" i="1"/>
  <c r="L1121" i="1"/>
  <c r="M1121" i="1"/>
  <c r="L1122" i="1"/>
  <c r="M1122" i="1"/>
  <c r="L1123" i="1"/>
  <c r="M1123" i="1"/>
  <c r="L1124" i="1"/>
  <c r="M1124" i="1"/>
  <c r="L1125" i="1"/>
  <c r="M1125" i="1"/>
  <c r="L1126" i="1"/>
  <c r="M1126" i="1"/>
  <c r="L1127" i="1"/>
  <c r="M1127" i="1"/>
  <c r="L1128" i="1"/>
  <c r="M1128" i="1"/>
  <c r="L1129" i="1"/>
  <c r="M1129" i="1"/>
  <c r="L1130" i="1"/>
  <c r="M1130" i="1"/>
  <c r="L1131" i="1"/>
  <c r="M1131" i="1"/>
  <c r="L1132" i="1"/>
  <c r="M1132" i="1"/>
  <c r="L1133" i="1"/>
  <c r="M1133" i="1"/>
  <c r="L1134" i="1"/>
  <c r="M1134" i="1"/>
  <c r="L1135" i="1"/>
  <c r="M1135" i="1"/>
  <c r="L1136" i="1"/>
  <c r="M1136" i="1"/>
  <c r="L1137" i="1"/>
  <c r="M1137" i="1"/>
  <c r="L1138" i="1"/>
  <c r="M1138" i="1"/>
  <c r="L1139" i="1"/>
  <c r="M1139" i="1"/>
  <c r="L1140" i="1"/>
  <c r="M1140" i="1"/>
  <c r="L1141" i="1"/>
  <c r="M1141" i="1"/>
  <c r="L1142" i="1"/>
  <c r="M1142" i="1"/>
  <c r="L1143" i="1"/>
  <c r="M1143" i="1"/>
  <c r="L1144" i="1"/>
  <c r="M1144" i="1"/>
  <c r="L1145" i="1"/>
  <c r="M1145" i="1"/>
  <c r="L1146" i="1"/>
  <c r="M1146" i="1"/>
  <c r="L1147" i="1"/>
  <c r="M1147" i="1"/>
  <c r="L1148" i="1"/>
  <c r="M1148" i="1"/>
  <c r="L1149" i="1"/>
  <c r="M1149" i="1"/>
  <c r="L1150" i="1"/>
  <c r="M1150" i="1"/>
  <c r="L1151" i="1"/>
  <c r="M1151" i="1"/>
  <c r="L1152" i="1"/>
  <c r="M1152" i="1"/>
  <c r="L1153" i="1"/>
  <c r="M1153" i="1"/>
  <c r="L1154" i="1"/>
  <c r="M1154" i="1"/>
  <c r="L1155" i="1"/>
  <c r="M1155" i="1"/>
  <c r="L1156" i="1"/>
  <c r="M1156" i="1"/>
  <c r="L1157" i="1"/>
  <c r="M1157" i="1"/>
  <c r="L1158" i="1"/>
  <c r="M1158" i="1"/>
  <c r="L1159" i="1"/>
  <c r="M1159" i="1"/>
  <c r="L1160" i="1"/>
  <c r="M1160" i="1"/>
  <c r="L1161" i="1"/>
  <c r="M1161" i="1"/>
  <c r="L1162" i="1"/>
  <c r="M1162" i="1"/>
  <c r="L1163" i="1"/>
  <c r="M1163" i="1"/>
  <c r="L1164" i="1"/>
  <c r="M1164" i="1"/>
  <c r="L1165" i="1"/>
  <c r="M1165" i="1"/>
  <c r="L1166" i="1"/>
  <c r="M1166" i="1"/>
  <c r="L1167" i="1"/>
  <c r="M1167" i="1"/>
  <c r="L1168" i="1"/>
  <c r="M1168" i="1"/>
  <c r="L1169" i="1"/>
  <c r="M1169" i="1"/>
  <c r="L1170" i="1"/>
  <c r="M1170" i="1"/>
  <c r="L1171" i="1"/>
  <c r="M1171" i="1"/>
  <c r="L1172" i="1"/>
  <c r="M1172" i="1"/>
  <c r="L1173" i="1"/>
  <c r="M1173" i="1"/>
  <c r="L1174" i="1"/>
  <c r="M1174" i="1"/>
  <c r="L1175" i="1"/>
  <c r="M1175" i="1"/>
  <c r="L1176" i="1"/>
  <c r="M1176" i="1"/>
  <c r="L1177" i="1"/>
  <c r="M1177" i="1"/>
  <c r="L1178" i="1"/>
  <c r="M1178" i="1"/>
  <c r="L1179" i="1"/>
  <c r="M1179" i="1"/>
  <c r="L1180" i="1"/>
  <c r="M1180" i="1"/>
  <c r="L1181" i="1"/>
  <c r="M1181" i="1"/>
  <c r="L1182" i="1"/>
  <c r="M1182" i="1"/>
  <c r="L1183" i="1"/>
  <c r="M1183" i="1"/>
  <c r="L1184" i="1"/>
  <c r="M1184" i="1"/>
  <c r="L1185" i="1"/>
  <c r="M1185" i="1"/>
  <c r="L1186" i="1"/>
  <c r="M1186" i="1"/>
  <c r="L1187" i="1"/>
  <c r="M1187" i="1"/>
  <c r="L1188" i="1"/>
  <c r="M1188" i="1"/>
  <c r="L1189" i="1"/>
  <c r="M1189" i="1"/>
  <c r="L1190" i="1"/>
  <c r="M1190" i="1"/>
  <c r="L1191" i="1"/>
  <c r="M1191" i="1"/>
  <c r="L1192" i="1"/>
  <c r="M1192" i="1"/>
  <c r="L1193" i="1"/>
  <c r="M1193" i="1"/>
  <c r="L1194" i="1"/>
  <c r="M1194" i="1"/>
  <c r="L1195" i="1"/>
  <c r="M1195" i="1"/>
  <c r="L1196" i="1"/>
  <c r="M1196" i="1"/>
  <c r="L1197" i="1"/>
  <c r="M1197" i="1"/>
  <c r="L1201" i="1"/>
  <c r="M1201" i="1"/>
  <c r="L1202" i="1"/>
  <c r="M1202" i="1"/>
  <c r="L1203" i="1"/>
  <c r="M1203" i="1"/>
  <c r="L1204" i="1"/>
  <c r="M1204" i="1"/>
  <c r="L1205" i="1"/>
  <c r="M1205" i="1"/>
  <c r="L1206" i="1"/>
  <c r="M1206" i="1"/>
  <c r="L1207" i="1"/>
  <c r="M1207" i="1"/>
  <c r="L1208" i="1"/>
  <c r="M1208" i="1"/>
  <c r="L1209" i="1"/>
  <c r="M1209" i="1"/>
  <c r="L1210" i="1"/>
  <c r="M1210" i="1"/>
  <c r="L1211" i="1"/>
  <c r="M1211" i="1"/>
  <c r="L1212" i="1"/>
  <c r="M1212" i="1"/>
  <c r="L1213" i="1"/>
  <c r="M1213" i="1"/>
  <c r="L1214" i="1"/>
  <c r="M1214" i="1"/>
  <c r="L1215" i="1"/>
  <c r="M1215" i="1"/>
  <c r="L1216" i="1"/>
  <c r="M1216" i="1"/>
  <c r="L1217" i="1"/>
  <c r="M1217" i="1"/>
  <c r="L1221" i="1"/>
  <c r="M1221" i="1"/>
  <c r="L1222" i="1"/>
  <c r="M1222" i="1"/>
  <c r="L1223" i="1"/>
  <c r="M1223" i="1"/>
  <c r="L1224" i="1"/>
  <c r="M1224" i="1"/>
  <c r="L1225" i="1"/>
  <c r="M1225" i="1"/>
  <c r="L1226" i="1"/>
  <c r="M1226" i="1"/>
  <c r="L1227" i="1"/>
  <c r="M1227" i="1"/>
  <c r="L1228" i="1"/>
  <c r="M1228" i="1"/>
  <c r="L1229" i="1"/>
  <c r="M1229" i="1"/>
  <c r="L1230" i="1"/>
  <c r="M1230" i="1"/>
  <c r="L1231" i="1"/>
  <c r="M1231" i="1"/>
  <c r="L1232" i="1"/>
  <c r="M1232" i="1"/>
  <c r="L1233" i="1"/>
  <c r="M1233" i="1"/>
  <c r="L1234" i="1"/>
  <c r="M1234" i="1"/>
  <c r="L1235" i="1"/>
  <c r="M1235" i="1"/>
  <c r="L1236" i="1"/>
  <c r="M1236" i="1"/>
  <c r="L1237" i="1"/>
  <c r="M1237" i="1"/>
  <c r="L1238" i="1"/>
  <c r="M1238" i="1"/>
  <c r="L1239" i="1"/>
  <c r="M1239" i="1"/>
  <c r="L1240" i="1"/>
  <c r="M1240" i="1"/>
  <c r="L1241" i="1"/>
  <c r="M1241" i="1"/>
  <c r="L1242" i="1"/>
  <c r="M1242" i="1"/>
  <c r="L1243" i="1"/>
  <c r="M1243" i="1"/>
  <c r="L1244" i="1"/>
  <c r="M1244" i="1"/>
  <c r="L1245" i="1"/>
  <c r="M1245" i="1"/>
  <c r="L1246" i="1"/>
  <c r="M1246" i="1"/>
  <c r="L1247" i="1"/>
  <c r="M1247" i="1"/>
  <c r="L1248" i="1"/>
  <c r="M1248" i="1"/>
  <c r="L1249" i="1"/>
  <c r="M1249" i="1"/>
  <c r="L1250" i="1"/>
  <c r="M1250" i="1"/>
  <c r="L1251" i="1"/>
  <c r="M1251" i="1"/>
  <c r="L1252" i="1"/>
  <c r="M1252" i="1"/>
  <c r="L1253" i="1"/>
  <c r="M1253" i="1"/>
  <c r="L1257" i="1"/>
  <c r="M1257" i="1"/>
  <c r="L1258" i="1"/>
  <c r="M1258" i="1"/>
  <c r="L1259" i="1"/>
  <c r="M1259" i="1"/>
  <c r="L1260" i="1"/>
  <c r="M1260" i="1"/>
  <c r="L1261" i="1"/>
  <c r="M1261" i="1"/>
  <c r="L1262" i="1"/>
  <c r="M1262" i="1"/>
  <c r="L1263" i="1"/>
  <c r="M1263" i="1"/>
  <c r="L1264" i="1"/>
  <c r="M1264" i="1"/>
  <c r="L1265" i="1"/>
  <c r="M1265" i="1"/>
  <c r="L1266" i="1"/>
  <c r="M1266" i="1"/>
  <c r="L1267" i="1"/>
  <c r="M1267" i="1"/>
  <c r="L1268" i="1"/>
  <c r="M1268" i="1"/>
  <c r="L1269" i="1"/>
  <c r="M1269" i="1"/>
  <c r="L1270" i="1"/>
  <c r="M1270" i="1"/>
  <c r="L1271" i="1"/>
  <c r="M1271" i="1"/>
  <c r="L1272" i="1"/>
  <c r="M1272" i="1"/>
  <c r="L1273" i="1"/>
  <c r="M1273" i="1"/>
  <c r="L1274" i="1"/>
  <c r="M1274" i="1"/>
  <c r="L1275" i="1"/>
  <c r="M1275" i="1"/>
  <c r="L1276" i="1"/>
  <c r="M1276" i="1"/>
  <c r="L1277" i="1"/>
  <c r="M1277" i="1"/>
  <c r="L1278" i="1"/>
  <c r="M1278" i="1"/>
  <c r="L1279" i="1"/>
  <c r="M1279" i="1"/>
  <c r="L1280" i="1"/>
  <c r="M1280" i="1"/>
  <c r="L1281" i="1"/>
  <c r="M1281" i="1"/>
  <c r="L1282" i="1"/>
  <c r="M1282" i="1"/>
  <c r="L1286" i="1"/>
  <c r="M1286" i="1"/>
  <c r="L1287" i="1"/>
  <c r="M1287" i="1"/>
  <c r="L1288" i="1"/>
  <c r="M1288" i="1"/>
  <c r="L1289" i="1"/>
  <c r="M1289" i="1"/>
  <c r="L1290" i="1"/>
  <c r="M1290" i="1"/>
  <c r="L1291" i="1"/>
  <c r="M1291" i="1"/>
  <c r="L1292" i="1"/>
  <c r="M1292" i="1"/>
  <c r="L1293" i="1"/>
  <c r="M1293" i="1"/>
  <c r="L1294" i="1"/>
  <c r="M1294" i="1"/>
  <c r="L1295" i="1"/>
  <c r="M1295" i="1"/>
  <c r="L1296" i="1"/>
  <c r="M1296" i="1"/>
  <c r="L1297" i="1"/>
  <c r="M1297" i="1"/>
  <c r="L1298" i="1"/>
  <c r="M1298" i="1"/>
  <c r="L1299" i="1"/>
  <c r="M1299" i="1"/>
  <c r="L1300" i="1"/>
  <c r="M1300" i="1"/>
  <c r="L1301" i="1"/>
  <c r="M1301" i="1"/>
  <c r="L1302" i="1"/>
  <c r="M1302" i="1"/>
  <c r="L1303" i="1"/>
  <c r="M1303" i="1"/>
  <c r="L1304" i="1"/>
  <c r="M1304" i="1"/>
  <c r="L1308" i="1"/>
  <c r="M1308" i="1"/>
  <c r="L1309" i="1"/>
  <c r="M1309" i="1"/>
  <c r="L1310" i="1"/>
  <c r="M1310" i="1"/>
  <c r="L1311" i="1"/>
  <c r="M1311" i="1"/>
  <c r="L1312" i="1"/>
  <c r="M1312" i="1"/>
  <c r="L1313" i="1"/>
  <c r="M1313" i="1"/>
  <c r="L1314" i="1"/>
  <c r="M1314" i="1"/>
  <c r="L1315" i="1"/>
  <c r="M1315" i="1"/>
  <c r="L1316" i="1"/>
  <c r="M1316" i="1"/>
  <c r="L1317" i="1"/>
  <c r="M1317" i="1"/>
  <c r="L1318" i="1"/>
  <c r="M1318" i="1"/>
  <c r="L1319" i="1"/>
  <c r="M1319" i="1"/>
  <c r="L1320" i="1"/>
  <c r="M1320" i="1"/>
  <c r="L1321" i="1"/>
  <c r="M1321" i="1"/>
  <c r="L1322" i="1"/>
  <c r="M1322" i="1"/>
  <c r="L1323" i="1"/>
  <c r="M1323" i="1"/>
  <c r="L1324" i="1"/>
  <c r="M1324" i="1"/>
  <c r="L1325" i="1"/>
  <c r="M1325" i="1"/>
  <c r="L1326" i="1"/>
  <c r="M1326" i="1"/>
  <c r="L1327" i="1"/>
  <c r="M1327" i="1"/>
  <c r="L1328" i="1"/>
  <c r="M1328" i="1"/>
  <c r="L1329" i="1"/>
  <c r="M1329" i="1"/>
  <c r="L1330" i="1"/>
  <c r="M1330" i="1"/>
  <c r="L1331" i="1"/>
  <c r="M1331" i="1"/>
  <c r="L1332" i="1"/>
  <c r="M1332" i="1"/>
  <c r="L1333" i="1"/>
  <c r="M1333" i="1"/>
  <c r="L1334" i="1"/>
  <c r="M1334" i="1"/>
  <c r="L1335" i="1"/>
  <c r="M1335" i="1"/>
  <c r="L1336" i="1"/>
  <c r="M1336" i="1"/>
  <c r="L1337" i="1"/>
  <c r="M1337" i="1"/>
  <c r="L1338" i="1"/>
  <c r="M1338" i="1"/>
  <c r="L1339" i="1"/>
  <c r="M1339" i="1"/>
  <c r="L1340" i="1"/>
  <c r="M1340" i="1"/>
  <c r="L1341" i="1"/>
  <c r="M1341" i="1"/>
  <c r="L1342" i="1"/>
  <c r="M1342" i="1"/>
  <c r="L1343" i="1"/>
  <c r="M1343" i="1"/>
  <c r="L1344" i="1"/>
  <c r="M1344" i="1"/>
  <c r="L1345" i="1"/>
  <c r="M1345" i="1"/>
  <c r="L1349" i="1"/>
  <c r="M1349" i="1"/>
  <c r="L1353" i="1"/>
  <c r="M1353" i="1"/>
  <c r="L1357" i="1"/>
  <c r="M1357" i="1"/>
  <c r="L1361" i="1"/>
  <c r="M1361" i="1"/>
  <c r="L1362" i="1"/>
  <c r="M1362" i="1"/>
  <c r="L1363" i="1"/>
  <c r="M1363" i="1"/>
  <c r="L1364" i="1"/>
  <c r="M1364" i="1"/>
  <c r="L1365" i="1"/>
  <c r="M1365" i="1"/>
  <c r="L1366" i="1"/>
  <c r="M1366" i="1"/>
  <c r="L1367" i="1"/>
  <c r="M1367" i="1"/>
  <c r="L1368" i="1"/>
  <c r="M1368" i="1"/>
  <c r="L1369" i="1"/>
  <c r="M1369" i="1"/>
  <c r="L1370" i="1"/>
  <c r="M1370" i="1"/>
  <c r="L1371" i="1"/>
  <c r="M1371" i="1"/>
  <c r="L1372" i="1"/>
  <c r="M1372" i="1"/>
  <c r="L1373" i="1"/>
  <c r="M1373" i="1"/>
  <c r="L1374" i="1"/>
  <c r="M1374" i="1"/>
  <c r="L1375" i="1"/>
  <c r="M1375" i="1"/>
  <c r="L1376" i="1"/>
  <c r="M1376" i="1"/>
  <c r="L1377" i="1"/>
  <c r="M1377" i="1"/>
  <c r="L1378" i="1"/>
  <c r="M1378" i="1"/>
  <c r="L1379" i="1"/>
  <c r="M1379" i="1"/>
  <c r="L1380" i="1"/>
  <c r="M1380" i="1"/>
  <c r="L1381" i="1"/>
  <c r="M1381" i="1"/>
  <c r="L1385" i="1"/>
  <c r="M1385" i="1"/>
  <c r="L1389" i="1"/>
  <c r="M1389" i="1"/>
  <c r="L1393" i="1"/>
  <c r="M1393" i="1"/>
  <c r="L1397" i="1"/>
  <c r="M1397" i="1"/>
  <c r="L1401" i="1"/>
  <c r="M1401" i="1"/>
  <c r="BL1521" i="1"/>
  <c r="BL1520" i="1"/>
  <c r="BL1519" i="1"/>
  <c r="BL1518" i="1"/>
  <c r="BL1517" i="1"/>
  <c r="BL1516" i="1"/>
  <c r="BL1515" i="1"/>
  <c r="BL1514" i="1"/>
  <c r="BL1513" i="1"/>
  <c r="BL1512" i="1"/>
  <c r="BL1511" i="1"/>
  <c r="BL1510" i="1"/>
  <c r="BL1509" i="1"/>
  <c r="BL1508" i="1"/>
  <c r="BL1507" i="1"/>
  <c r="BL1506" i="1"/>
  <c r="BL1505" i="1"/>
  <c r="BL1504" i="1"/>
  <c r="BL1503" i="1"/>
  <c r="BL1502" i="1"/>
  <c r="BL1501" i="1"/>
  <c r="BL1500" i="1"/>
  <c r="BL1499" i="1"/>
  <c r="BL1498" i="1"/>
  <c r="BL1497" i="1"/>
  <c r="BL1496" i="1"/>
  <c r="BL1495" i="1"/>
  <c r="BL1494" i="1"/>
  <c r="BL1493" i="1"/>
  <c r="BL1492" i="1"/>
  <c r="BL1491" i="1"/>
  <c r="BL1490" i="1"/>
  <c r="BL1489" i="1"/>
  <c r="BL1488" i="1"/>
  <c r="BL1487" i="1"/>
  <c r="BL1486" i="1"/>
  <c r="BL1485" i="1"/>
  <c r="BL1484" i="1"/>
  <c r="BL1483" i="1"/>
  <c r="BL1482" i="1"/>
  <c r="BL1481" i="1"/>
  <c r="BL1480" i="1"/>
  <c r="BL1479" i="1"/>
  <c r="BL1478" i="1"/>
  <c r="BL1477" i="1"/>
  <c r="BL1476" i="1"/>
  <c r="BL1475" i="1"/>
  <c r="BL1474" i="1"/>
  <c r="BL1473" i="1"/>
  <c r="BL1472" i="1"/>
  <c r="BL1471" i="1"/>
  <c r="BL1470" i="1"/>
  <c r="BL1469" i="1"/>
  <c r="BL1468" i="1"/>
  <c r="BL1467" i="1"/>
  <c r="BL1466" i="1"/>
  <c r="BL1465" i="1"/>
  <c r="BL1464" i="1"/>
  <c r="BL1463" i="1"/>
  <c r="BL1462" i="1"/>
  <c r="BL1461" i="1"/>
  <c r="BL1460" i="1"/>
  <c r="BL1459" i="1"/>
  <c r="BL1458" i="1"/>
  <c r="BL1457" i="1"/>
  <c r="BL1456" i="1"/>
  <c r="BL1455" i="1"/>
  <c r="BL1454" i="1"/>
  <c r="BL1453" i="1"/>
  <c r="BL1452" i="1"/>
  <c r="BL1451" i="1"/>
  <c r="BL1450" i="1"/>
  <c r="BL1449" i="1"/>
  <c r="BL1448" i="1"/>
  <c r="BL1447" i="1"/>
  <c r="BL1446" i="1"/>
  <c r="BL1445" i="1"/>
  <c r="BL1444" i="1"/>
  <c r="BL1443" i="1"/>
  <c r="BL1442" i="1"/>
  <c r="BL1441" i="1"/>
  <c r="BL1440" i="1"/>
  <c r="BL1439" i="1"/>
  <c r="BL1438" i="1"/>
  <c r="BL1437" i="1"/>
  <c r="BL1436" i="1"/>
  <c r="BL1435" i="1"/>
  <c r="BL1434" i="1"/>
  <c r="BL1433" i="1"/>
  <c r="BL1432" i="1"/>
  <c r="BL1431" i="1"/>
  <c r="BL1430" i="1"/>
  <c r="BL1429" i="1"/>
  <c r="BL1428" i="1"/>
  <c r="BL1427" i="1"/>
  <c r="BL1426" i="1"/>
  <c r="BL1425" i="1"/>
  <c r="BL1424" i="1"/>
  <c r="BL1423" i="1"/>
  <c r="BL1422" i="1"/>
  <c r="BL1421" i="1"/>
  <c r="BL1420" i="1"/>
  <c r="BL1419" i="1"/>
  <c r="BL1418" i="1"/>
  <c r="BL1417" i="1"/>
  <c r="BL1416" i="1"/>
  <c r="BL1415" i="1"/>
  <c r="BL1414" i="1"/>
  <c r="BL1413" i="1"/>
  <c r="BL1412" i="1"/>
  <c r="BL1411" i="1"/>
  <c r="BL1410" i="1"/>
  <c r="BL1409" i="1"/>
  <c r="BL1408" i="1"/>
  <c r="BL1407" i="1"/>
  <c r="BL1406" i="1"/>
  <c r="BL1405" i="1"/>
  <c r="BL1404" i="1"/>
  <c r="BL1403" i="1"/>
  <c r="BL1402" i="1"/>
  <c r="BL1401" i="1"/>
  <c r="BL1400" i="1"/>
  <c r="BL1399" i="1"/>
  <c r="BL1398" i="1"/>
  <c r="BL1397" i="1"/>
  <c r="BL1396" i="1"/>
  <c r="BL1395" i="1"/>
  <c r="BL1394" i="1"/>
  <c r="BL1393" i="1"/>
  <c r="BL1392" i="1"/>
  <c r="BL1391" i="1"/>
  <c r="BL1390" i="1"/>
  <c r="BL1389" i="1"/>
  <c r="BL1388" i="1"/>
  <c r="BL1387" i="1"/>
  <c r="BL1386" i="1"/>
  <c r="BL1385" i="1"/>
  <c r="BL1384" i="1"/>
  <c r="BL1383" i="1"/>
  <c r="BL1382" i="1"/>
  <c r="BL1381" i="1"/>
  <c r="BL1380" i="1"/>
  <c r="BL1379" i="1"/>
  <c r="BL1378" i="1"/>
  <c r="BL1377" i="1"/>
  <c r="BL1376" i="1"/>
  <c r="BL1375" i="1"/>
  <c r="BL1374" i="1"/>
  <c r="BL1373" i="1"/>
  <c r="BL1372" i="1"/>
  <c r="BL1371" i="1"/>
  <c r="BL1370" i="1"/>
  <c r="BL1369" i="1"/>
  <c r="BL1368" i="1"/>
  <c r="BL1367" i="1"/>
  <c r="BL1366" i="1"/>
  <c r="BL1365" i="1"/>
  <c r="BL1364" i="1"/>
  <c r="BL1363" i="1"/>
  <c r="BL1362" i="1"/>
  <c r="BL1361" i="1"/>
  <c r="BL1360" i="1"/>
  <c r="BL1359" i="1"/>
  <c r="BL1358" i="1"/>
  <c r="BL1357" i="1"/>
  <c r="BL1356" i="1"/>
  <c r="BL1355" i="1"/>
  <c r="BL1354" i="1"/>
  <c r="BL1353" i="1"/>
  <c r="BL1352" i="1"/>
  <c r="BL1351" i="1"/>
  <c r="BL1350" i="1"/>
  <c r="BL1349" i="1"/>
  <c r="BL1348" i="1"/>
  <c r="BL1347" i="1"/>
  <c r="BL1346" i="1"/>
  <c r="BL1345" i="1"/>
  <c r="BL1344" i="1"/>
  <c r="BL1343" i="1"/>
  <c r="BL1342" i="1"/>
  <c r="BL1341" i="1"/>
  <c r="BL1340" i="1"/>
  <c r="BL1339" i="1"/>
  <c r="BL1338" i="1"/>
  <c r="BL1337" i="1"/>
  <c r="BL1336" i="1"/>
  <c r="BL1335" i="1"/>
  <c r="BL1334" i="1"/>
  <c r="BL1333" i="1"/>
  <c r="BL1332" i="1"/>
  <c r="BL1331" i="1"/>
  <c r="BL1330" i="1"/>
  <c r="BL1329" i="1"/>
  <c r="BL1328" i="1"/>
  <c r="BL1327" i="1"/>
  <c r="BL1326" i="1"/>
  <c r="BL1325" i="1"/>
  <c r="BL1324" i="1"/>
  <c r="BL1323" i="1"/>
  <c r="BL1322" i="1"/>
  <c r="BL1321" i="1"/>
  <c r="BL1320" i="1"/>
  <c r="BL1319" i="1"/>
  <c r="BL1318" i="1"/>
  <c r="BL1317" i="1"/>
  <c r="BL1316" i="1"/>
  <c r="BL1315" i="1"/>
  <c r="BL1314" i="1"/>
  <c r="BL1313" i="1"/>
  <c r="BL1312" i="1"/>
  <c r="BL1311" i="1"/>
  <c r="BL1310" i="1"/>
  <c r="BL1309" i="1"/>
  <c r="BL1308" i="1"/>
  <c r="BL1307" i="1"/>
  <c r="BL1306" i="1"/>
  <c r="BL1305" i="1"/>
  <c r="BL1304" i="1"/>
  <c r="BL1303" i="1"/>
  <c r="BL1302" i="1"/>
  <c r="BL1301" i="1"/>
  <c r="BL1300" i="1"/>
  <c r="BL1299" i="1"/>
  <c r="BL1298" i="1"/>
  <c r="BL1297" i="1"/>
  <c r="BL1296" i="1"/>
  <c r="BL1295" i="1"/>
  <c r="BL1294" i="1"/>
  <c r="BL1293" i="1"/>
  <c r="BL1292" i="1"/>
  <c r="BL1291" i="1"/>
  <c r="BL1290" i="1"/>
  <c r="BL1289" i="1"/>
  <c r="BL1288" i="1"/>
  <c r="BL1287" i="1"/>
  <c r="BL1286" i="1"/>
  <c r="BL1285" i="1"/>
  <c r="BL1284" i="1"/>
  <c r="BL1283" i="1"/>
  <c r="BL1282" i="1"/>
  <c r="BL1281" i="1"/>
  <c r="BL1280" i="1"/>
  <c r="BL1279" i="1"/>
  <c r="BL1278" i="1"/>
  <c r="BL1277" i="1"/>
  <c r="BL1276" i="1"/>
  <c r="BL1275" i="1"/>
  <c r="BL1274" i="1"/>
  <c r="BL1273" i="1"/>
  <c r="BL1272" i="1"/>
  <c r="BL1271" i="1"/>
  <c r="BL1270" i="1"/>
  <c r="BL1269" i="1"/>
  <c r="BL1268" i="1"/>
  <c r="BL1267" i="1"/>
  <c r="BL1266" i="1"/>
  <c r="BL1265" i="1"/>
  <c r="BL1264" i="1"/>
  <c r="BL1263" i="1"/>
  <c r="BL1262" i="1"/>
  <c r="BL1261" i="1"/>
  <c r="BL1260" i="1"/>
  <c r="BL1259" i="1"/>
  <c r="BL1258" i="1"/>
  <c r="BL1257" i="1"/>
  <c r="BL1256" i="1"/>
  <c r="BL1255" i="1"/>
  <c r="BL1254" i="1"/>
  <c r="BL1253" i="1"/>
  <c r="BL1252" i="1"/>
  <c r="BL1251" i="1"/>
  <c r="BL1250" i="1"/>
  <c r="BL1249" i="1"/>
  <c r="BL1248" i="1"/>
  <c r="BL1247" i="1"/>
  <c r="BL1246" i="1"/>
  <c r="BL1245" i="1"/>
  <c r="BL1244" i="1"/>
  <c r="BL1243" i="1"/>
  <c r="BL1242" i="1"/>
  <c r="BL1241" i="1"/>
  <c r="BL1240" i="1"/>
  <c r="BL1239" i="1"/>
  <c r="BL1238" i="1"/>
  <c r="BL1237" i="1"/>
  <c r="BL1236" i="1"/>
  <c r="BL1235" i="1"/>
  <c r="BL1234" i="1"/>
  <c r="BL1233" i="1"/>
  <c r="BL1232" i="1"/>
  <c r="BL1231" i="1"/>
  <c r="BL1230" i="1"/>
  <c r="BL1229" i="1"/>
  <c r="BL1228" i="1"/>
  <c r="BL1227" i="1"/>
  <c r="BL1226" i="1"/>
  <c r="BL1225" i="1"/>
  <c r="BL1224" i="1"/>
  <c r="BL1223" i="1"/>
  <c r="BL1222" i="1"/>
  <c r="BL1221" i="1"/>
  <c r="BL1220" i="1"/>
  <c r="BL1219" i="1"/>
  <c r="BL1218" i="1"/>
  <c r="BL1217" i="1"/>
  <c r="BL1216" i="1"/>
  <c r="BL1215" i="1"/>
  <c r="BL1214" i="1"/>
  <c r="BL1213" i="1"/>
  <c r="BL1212" i="1"/>
  <c r="BL1211" i="1"/>
  <c r="BL1210" i="1"/>
  <c r="BL1209" i="1"/>
  <c r="BL1208" i="1"/>
  <c r="BL1207" i="1"/>
  <c r="BL1206" i="1"/>
  <c r="BL1205" i="1"/>
  <c r="BL1204" i="1"/>
  <c r="BL1203" i="1"/>
  <c r="BL1202" i="1"/>
  <c r="BL1201" i="1"/>
  <c r="BL1200" i="1"/>
  <c r="BL1199" i="1"/>
  <c r="BL1198" i="1"/>
  <c r="BL1197" i="1"/>
  <c r="BL1196" i="1"/>
  <c r="BL1195" i="1"/>
  <c r="BL1194" i="1"/>
  <c r="BL1193" i="1"/>
  <c r="BL1192" i="1"/>
  <c r="BL1191" i="1"/>
  <c r="BL1190" i="1"/>
  <c r="BL1189" i="1"/>
  <c r="BL1188" i="1"/>
  <c r="BL1187" i="1"/>
  <c r="BL1186" i="1"/>
  <c r="BL1185" i="1"/>
  <c r="BL1184" i="1"/>
  <c r="BL1183" i="1"/>
  <c r="BL1182" i="1"/>
  <c r="BL1181" i="1"/>
  <c r="BL1180" i="1"/>
  <c r="BL1179" i="1"/>
  <c r="BL1178" i="1"/>
  <c r="BL1177" i="1"/>
  <c r="BL1176" i="1"/>
  <c r="BL1175" i="1"/>
  <c r="BL1174" i="1"/>
  <c r="BL1173" i="1"/>
  <c r="BL1172" i="1"/>
  <c r="BL1171" i="1"/>
  <c r="BL1170" i="1"/>
  <c r="BL1169" i="1"/>
  <c r="BL1168" i="1"/>
  <c r="BL1167" i="1"/>
  <c r="BL1166" i="1"/>
  <c r="BL1165" i="1"/>
  <c r="BL1164" i="1"/>
  <c r="BL1163" i="1"/>
  <c r="BL1162" i="1"/>
  <c r="BL1161" i="1"/>
  <c r="BL1160" i="1"/>
  <c r="BL1159" i="1"/>
  <c r="BL1158" i="1"/>
  <c r="BL1157" i="1"/>
  <c r="BL1156" i="1"/>
  <c r="BL1155" i="1"/>
  <c r="BL1154" i="1"/>
  <c r="BL1153" i="1"/>
  <c r="BL1152" i="1"/>
  <c r="BL1151" i="1"/>
  <c r="BL1150" i="1"/>
  <c r="BL1149" i="1"/>
  <c r="BL1148" i="1"/>
  <c r="BL1147" i="1"/>
  <c r="BL1146" i="1"/>
  <c r="BL1145" i="1"/>
  <c r="BL1144" i="1"/>
  <c r="BL1143" i="1"/>
  <c r="BL1142" i="1"/>
  <c r="BL1141" i="1"/>
  <c r="BL1140" i="1"/>
  <c r="BL1139" i="1"/>
  <c r="BL1138" i="1"/>
  <c r="BL1137" i="1"/>
  <c r="BL1136" i="1"/>
  <c r="BL1135" i="1"/>
  <c r="BL1134" i="1"/>
  <c r="BL1133" i="1"/>
  <c r="BL1132" i="1"/>
  <c r="BL1131" i="1"/>
  <c r="BL1130" i="1"/>
  <c r="BL1129" i="1"/>
  <c r="BL1128" i="1"/>
  <c r="BL1127" i="1"/>
  <c r="BL1126" i="1"/>
  <c r="BL1125" i="1"/>
  <c r="BL1124" i="1"/>
  <c r="BL1123" i="1"/>
  <c r="BL1122" i="1"/>
  <c r="BL1121" i="1"/>
  <c r="BL1120" i="1"/>
  <c r="BL1119" i="1"/>
  <c r="BL1118" i="1"/>
  <c r="BL1117" i="1"/>
  <c r="BL1116" i="1"/>
  <c r="BL1115" i="1"/>
  <c r="BL1114" i="1"/>
  <c r="BL1113" i="1"/>
  <c r="BL1112" i="1"/>
  <c r="BL1111" i="1"/>
  <c r="BL1110" i="1"/>
  <c r="BL1109" i="1"/>
  <c r="BL1108" i="1"/>
  <c r="BL1107" i="1"/>
  <c r="BL1106" i="1"/>
  <c r="BL1105" i="1"/>
  <c r="BL1104" i="1"/>
  <c r="BL1103" i="1"/>
  <c r="BL1102" i="1"/>
  <c r="BL1101" i="1"/>
  <c r="BL1100" i="1"/>
  <c r="BL1099" i="1"/>
  <c r="BL1098" i="1"/>
  <c r="BL1097" i="1"/>
  <c r="BL1096" i="1"/>
  <c r="BL1095" i="1"/>
  <c r="BL1094" i="1"/>
  <c r="BL1093" i="1"/>
  <c r="BL1092" i="1"/>
  <c r="BL1091" i="1"/>
  <c r="BL1090" i="1"/>
  <c r="BL1089" i="1"/>
  <c r="BL1088" i="1"/>
  <c r="BL1087" i="1"/>
  <c r="BL1086" i="1"/>
  <c r="BL1085" i="1"/>
  <c r="BL1084" i="1"/>
  <c r="BL1083" i="1"/>
  <c r="BL1082" i="1"/>
  <c r="BL1081" i="1"/>
  <c r="BL1080" i="1"/>
  <c r="BL1079" i="1"/>
  <c r="BL1078" i="1"/>
  <c r="BL1077" i="1"/>
  <c r="BL1076" i="1"/>
  <c r="BL1075" i="1"/>
  <c r="BL1074" i="1"/>
  <c r="BL1073" i="1"/>
  <c r="BL1072" i="1"/>
  <c r="BL1071" i="1"/>
  <c r="BL1070" i="1"/>
  <c r="BL1069" i="1"/>
  <c r="BL1068" i="1"/>
  <c r="BL1067" i="1"/>
  <c r="BL1066" i="1"/>
  <c r="BL1065" i="1"/>
  <c r="BL1064" i="1"/>
  <c r="BL1063" i="1"/>
  <c r="BL1062" i="1"/>
  <c r="BL1061" i="1"/>
  <c r="BL1060" i="1"/>
  <c r="BL1059" i="1"/>
  <c r="BL1058" i="1"/>
  <c r="BL1057" i="1"/>
  <c r="BL1056" i="1"/>
  <c r="BL1055" i="1"/>
  <c r="BL1054" i="1"/>
  <c r="BL1053" i="1"/>
  <c r="BL1052" i="1"/>
  <c r="BL1051" i="1"/>
  <c r="BL1050" i="1"/>
  <c r="BL1049" i="1"/>
  <c r="BL1048" i="1"/>
  <c r="BL1047" i="1"/>
  <c r="BL1046" i="1"/>
  <c r="BL1045" i="1"/>
  <c r="BL1044" i="1"/>
  <c r="BL1043" i="1"/>
  <c r="BL1042" i="1"/>
  <c r="BL1041" i="1"/>
  <c r="BL1040" i="1"/>
  <c r="BL1039" i="1"/>
  <c r="BL1038" i="1"/>
  <c r="BL1037" i="1"/>
  <c r="BL1036" i="1"/>
  <c r="BL1035" i="1"/>
  <c r="BL1034" i="1"/>
  <c r="BL1033" i="1"/>
  <c r="BL1032" i="1"/>
  <c r="BL1031" i="1"/>
  <c r="BL1030" i="1"/>
  <c r="BL1029" i="1"/>
  <c r="BL1028" i="1"/>
  <c r="BL1027" i="1"/>
  <c r="BL1026" i="1"/>
  <c r="BL1025" i="1"/>
  <c r="BL1024" i="1"/>
  <c r="BL1023" i="1"/>
  <c r="BL1022" i="1"/>
  <c r="BL1021" i="1"/>
  <c r="BL1020" i="1"/>
  <c r="BL1019" i="1"/>
  <c r="BL1018" i="1"/>
  <c r="BL1017" i="1"/>
  <c r="BL1016" i="1"/>
  <c r="BL1015" i="1"/>
  <c r="BL1014" i="1"/>
  <c r="BL1013" i="1"/>
  <c r="BL1012" i="1"/>
  <c r="BL1011" i="1"/>
  <c r="BL1010" i="1"/>
  <c r="BL1009" i="1"/>
  <c r="BL1008" i="1"/>
  <c r="BL1007" i="1"/>
  <c r="BL1006" i="1"/>
  <c r="BL1005" i="1"/>
  <c r="BL1004" i="1"/>
  <c r="BL1003" i="1"/>
  <c r="BL1002" i="1"/>
  <c r="BL1001" i="1"/>
  <c r="BL1000" i="1"/>
  <c r="BL999" i="1"/>
  <c r="BL998" i="1"/>
  <c r="BL997" i="1"/>
  <c r="BL996" i="1"/>
  <c r="BL995" i="1"/>
  <c r="BL994" i="1"/>
  <c r="BL993" i="1"/>
  <c r="BL992" i="1"/>
  <c r="BL991" i="1"/>
  <c r="BL990" i="1"/>
  <c r="BL989" i="1"/>
  <c r="BL988" i="1"/>
  <c r="BL987" i="1"/>
  <c r="BL986" i="1"/>
  <c r="BL985" i="1"/>
  <c r="BL984" i="1"/>
  <c r="BL983" i="1"/>
  <c r="BL982" i="1"/>
  <c r="BL981" i="1"/>
  <c r="BL980" i="1"/>
  <c r="BL979" i="1"/>
  <c r="BL978" i="1"/>
  <c r="BL977" i="1"/>
  <c r="BL976" i="1"/>
  <c r="BL975" i="1"/>
  <c r="BL974" i="1"/>
  <c r="BL973" i="1"/>
  <c r="BL972" i="1"/>
  <c r="BL971" i="1"/>
  <c r="BL970" i="1"/>
  <c r="BL969" i="1"/>
  <c r="BL968" i="1"/>
  <c r="BL967" i="1"/>
  <c r="BL966" i="1"/>
  <c r="BL965" i="1"/>
  <c r="BL964" i="1"/>
  <c r="BL963" i="1"/>
  <c r="BL962" i="1"/>
  <c r="BL961" i="1"/>
  <c r="BL960" i="1"/>
  <c r="BL959" i="1"/>
  <c r="BL958" i="1"/>
  <c r="BL957" i="1"/>
  <c r="BL956" i="1"/>
  <c r="BL955" i="1"/>
  <c r="BL954" i="1"/>
  <c r="BL953" i="1"/>
  <c r="BL952" i="1"/>
  <c r="BL951" i="1"/>
  <c r="BL950" i="1"/>
  <c r="BL949" i="1"/>
  <c r="BL948" i="1"/>
  <c r="BL947" i="1"/>
  <c r="BL946" i="1"/>
  <c r="BL945" i="1"/>
  <c r="BL944" i="1"/>
  <c r="BL943" i="1"/>
  <c r="BL942" i="1"/>
  <c r="BL941" i="1"/>
  <c r="BK1521" i="1"/>
  <c r="BK1520" i="1"/>
  <c r="BK1519" i="1"/>
  <c r="BK1518" i="1"/>
  <c r="BK1517" i="1"/>
  <c r="BK1516" i="1"/>
  <c r="BK1515" i="1"/>
  <c r="BK1514" i="1"/>
  <c r="BK1513" i="1"/>
  <c r="BK1512" i="1"/>
  <c r="BK1511" i="1"/>
  <c r="BK1510" i="1"/>
  <c r="BK1509" i="1"/>
  <c r="BK1508" i="1"/>
  <c r="BK1507" i="1"/>
  <c r="BK1506" i="1"/>
  <c r="BK1505" i="1"/>
  <c r="BK1504" i="1"/>
  <c r="BK1503" i="1"/>
  <c r="BK1502" i="1"/>
  <c r="BK1501" i="1"/>
  <c r="BK1500" i="1"/>
  <c r="BK1499" i="1"/>
  <c r="BK1498" i="1"/>
  <c r="BK1497" i="1"/>
  <c r="BK1496" i="1"/>
  <c r="BK1495" i="1"/>
  <c r="BK1494" i="1"/>
  <c r="BK1493" i="1"/>
  <c r="BK1492" i="1"/>
  <c r="BK1491" i="1"/>
  <c r="BK1490" i="1"/>
  <c r="BK1489" i="1"/>
  <c r="BK1488" i="1"/>
  <c r="BK1487" i="1"/>
  <c r="BK1486" i="1"/>
  <c r="BK1485" i="1"/>
  <c r="BK1484" i="1"/>
  <c r="BK1483" i="1"/>
  <c r="BK1482" i="1"/>
  <c r="BK1481" i="1"/>
  <c r="BK1480" i="1"/>
  <c r="BK1479" i="1"/>
  <c r="BK1478" i="1"/>
  <c r="BK1477" i="1"/>
  <c r="BK1476" i="1"/>
  <c r="BK1475" i="1"/>
  <c r="BK1474" i="1"/>
  <c r="BK1473" i="1"/>
  <c r="BK1472" i="1"/>
  <c r="BK1471" i="1"/>
  <c r="BK1470" i="1"/>
  <c r="BK1469" i="1"/>
  <c r="BK1468" i="1"/>
  <c r="BK1467" i="1"/>
  <c r="BK1466" i="1"/>
  <c r="BK1465" i="1"/>
  <c r="BK1464" i="1"/>
  <c r="BK1463" i="1"/>
  <c r="BK1462" i="1"/>
  <c r="BK1461" i="1"/>
  <c r="BK1460" i="1"/>
  <c r="BK1459" i="1"/>
  <c r="BK1458" i="1"/>
  <c r="BK1457" i="1"/>
  <c r="BK1456" i="1"/>
  <c r="BK1455" i="1"/>
  <c r="BK1454" i="1"/>
  <c r="BK1453" i="1"/>
  <c r="BK1452" i="1"/>
  <c r="BK1451" i="1"/>
  <c r="BK1450" i="1"/>
  <c r="BK1449" i="1"/>
  <c r="BK1448" i="1"/>
  <c r="BK1447" i="1"/>
  <c r="BK1446" i="1"/>
  <c r="BK1445" i="1"/>
  <c r="BK1444" i="1"/>
  <c r="BK1443" i="1"/>
  <c r="BK1442" i="1"/>
  <c r="BK1441" i="1"/>
  <c r="BK1440" i="1"/>
  <c r="BK1439" i="1"/>
  <c r="BK1438" i="1"/>
  <c r="BK1437" i="1"/>
  <c r="BK1436" i="1"/>
  <c r="BK1435" i="1"/>
  <c r="BK1434" i="1"/>
  <c r="BK1433" i="1"/>
  <c r="BK1432" i="1"/>
  <c r="BK1431" i="1"/>
  <c r="BK1430" i="1"/>
  <c r="BK1429" i="1"/>
  <c r="BK1428" i="1"/>
  <c r="BK1427" i="1"/>
  <c r="BK1426" i="1"/>
  <c r="BK1425" i="1"/>
  <c r="BK1424" i="1"/>
  <c r="BK1423" i="1"/>
  <c r="BK1422" i="1"/>
  <c r="BK1421" i="1"/>
  <c r="BK1420" i="1"/>
  <c r="BK1419" i="1"/>
  <c r="BK1418" i="1"/>
  <c r="BK1417" i="1"/>
  <c r="BK1416" i="1"/>
  <c r="BK1415" i="1"/>
  <c r="BK1414" i="1"/>
  <c r="BK1413" i="1"/>
  <c r="BK1412" i="1"/>
  <c r="BK1411" i="1"/>
  <c r="BK1410" i="1"/>
  <c r="BK1409" i="1"/>
  <c r="BK1408" i="1"/>
  <c r="BK1407" i="1"/>
  <c r="BK1406" i="1"/>
  <c r="BK1405" i="1"/>
  <c r="BK1404" i="1"/>
  <c r="BK1403" i="1"/>
  <c r="BK1402" i="1"/>
  <c r="BK1401" i="1"/>
  <c r="BK1400" i="1"/>
  <c r="BK1399" i="1"/>
  <c r="BK1398" i="1"/>
  <c r="BK1397" i="1"/>
  <c r="BK1396" i="1"/>
  <c r="BK1395" i="1"/>
  <c r="BK1394" i="1"/>
  <c r="BK1393" i="1"/>
  <c r="BK1392" i="1"/>
  <c r="BK1391" i="1"/>
  <c r="BK1390" i="1"/>
  <c r="BK1389" i="1"/>
  <c r="BK1388" i="1"/>
  <c r="BK1387" i="1"/>
  <c r="BK1386" i="1"/>
  <c r="BK1385" i="1"/>
  <c r="BK1384" i="1"/>
  <c r="BK1383" i="1"/>
  <c r="BK1382" i="1"/>
  <c r="BK1381" i="1"/>
  <c r="BK1380" i="1"/>
  <c r="BK1379" i="1"/>
  <c r="BK1378" i="1"/>
  <c r="BK1377" i="1"/>
  <c r="BK1376" i="1"/>
  <c r="BK1375" i="1"/>
  <c r="BK1374" i="1"/>
  <c r="BK1373" i="1"/>
  <c r="BK1372" i="1"/>
  <c r="BK1371" i="1"/>
  <c r="BK1370" i="1"/>
  <c r="BK1369" i="1"/>
  <c r="BK1368" i="1"/>
  <c r="BK1367" i="1"/>
  <c r="BK1366" i="1"/>
  <c r="BK1365" i="1"/>
  <c r="BK1364" i="1"/>
  <c r="BK1363" i="1"/>
  <c r="BK1362" i="1"/>
  <c r="BK1361" i="1"/>
  <c r="BK1360" i="1"/>
  <c r="BK1359" i="1"/>
  <c r="BK1358" i="1"/>
  <c r="BK1357" i="1"/>
  <c r="BK1356" i="1"/>
  <c r="BK1355" i="1"/>
  <c r="BK1354" i="1"/>
  <c r="BK1353" i="1"/>
  <c r="BK1352" i="1"/>
  <c r="BK1351" i="1"/>
  <c r="BK1350" i="1"/>
  <c r="BK1349" i="1"/>
  <c r="BK1348" i="1"/>
  <c r="BK1347" i="1"/>
  <c r="BK1346" i="1"/>
  <c r="BK1345" i="1"/>
  <c r="BK1344" i="1"/>
  <c r="BK1343" i="1"/>
  <c r="BK1342" i="1"/>
  <c r="BK1341" i="1"/>
  <c r="BK1340" i="1"/>
  <c r="BK1339" i="1"/>
  <c r="BK1338" i="1"/>
  <c r="BK1337" i="1"/>
  <c r="BK1336" i="1"/>
  <c r="BK1335" i="1"/>
  <c r="BK1334" i="1"/>
  <c r="BK1333" i="1"/>
  <c r="BK1332" i="1"/>
  <c r="BK1331" i="1"/>
  <c r="BK1330" i="1"/>
  <c r="BK1329" i="1"/>
  <c r="BK1328" i="1"/>
  <c r="BK1327" i="1"/>
  <c r="BK1326" i="1"/>
  <c r="BK1325" i="1"/>
  <c r="BK1324" i="1"/>
  <c r="BK1323" i="1"/>
  <c r="BK1322" i="1"/>
  <c r="BK1321" i="1"/>
  <c r="BK1320" i="1"/>
  <c r="BK1319" i="1"/>
  <c r="BK1318" i="1"/>
  <c r="BK1317" i="1"/>
  <c r="BK1316" i="1"/>
  <c r="BK1315" i="1"/>
  <c r="BK1314" i="1"/>
  <c r="BK1313" i="1"/>
  <c r="BK1312" i="1"/>
  <c r="BK1311" i="1"/>
  <c r="BK1310" i="1"/>
  <c r="BK1309" i="1"/>
  <c r="BK1308" i="1"/>
  <c r="BK1307" i="1"/>
  <c r="BK1306" i="1"/>
  <c r="BK1305" i="1"/>
  <c r="BK1304" i="1"/>
  <c r="BK1303" i="1"/>
  <c r="BK1302" i="1"/>
  <c r="BK1301" i="1"/>
  <c r="BK1300" i="1"/>
  <c r="BK1299" i="1"/>
  <c r="BK1298" i="1"/>
  <c r="BK1297" i="1"/>
  <c r="BK1296" i="1"/>
  <c r="BK1295" i="1"/>
  <c r="BK1294" i="1"/>
  <c r="BK1293" i="1"/>
  <c r="BK1292" i="1"/>
  <c r="BK1291" i="1"/>
  <c r="BK1290" i="1"/>
  <c r="BK1289" i="1"/>
  <c r="BK1288" i="1"/>
  <c r="BK1287" i="1"/>
  <c r="BK1286" i="1"/>
  <c r="BK1285" i="1"/>
  <c r="BK1284" i="1"/>
  <c r="BK1283" i="1"/>
  <c r="BK1282" i="1"/>
  <c r="BK1281" i="1"/>
  <c r="BK1280" i="1"/>
  <c r="BK1279" i="1"/>
  <c r="BK1278" i="1"/>
  <c r="BK1277" i="1"/>
  <c r="BK1276" i="1"/>
  <c r="BK1275" i="1"/>
  <c r="BK1274" i="1"/>
  <c r="BK1273" i="1"/>
  <c r="BK1272" i="1"/>
  <c r="BK1271" i="1"/>
  <c r="BK1270" i="1"/>
  <c r="BK1269" i="1"/>
  <c r="BK1268" i="1"/>
  <c r="BK1267" i="1"/>
  <c r="BK1266" i="1"/>
  <c r="BK1265" i="1"/>
  <c r="BK1264" i="1"/>
  <c r="BK1263" i="1"/>
  <c r="BK1262" i="1"/>
  <c r="BK1261" i="1"/>
  <c r="BK1260" i="1"/>
  <c r="BK1259" i="1"/>
  <c r="BK1258" i="1"/>
  <c r="BK1257" i="1"/>
  <c r="BK1256" i="1"/>
  <c r="BK1255" i="1"/>
  <c r="BK1254" i="1"/>
  <c r="BK1253" i="1"/>
  <c r="BK1252" i="1"/>
  <c r="BK1251" i="1"/>
  <c r="BK1250" i="1"/>
  <c r="BK1249" i="1"/>
  <c r="BK1248" i="1"/>
  <c r="BK1247" i="1"/>
  <c r="BK1246" i="1"/>
  <c r="BK1245" i="1"/>
  <c r="BK1244" i="1"/>
  <c r="BK1243" i="1"/>
  <c r="BK1242" i="1"/>
  <c r="BK1241" i="1"/>
  <c r="BK1240" i="1"/>
  <c r="BK1239" i="1"/>
  <c r="BK1238" i="1"/>
  <c r="BK1237" i="1"/>
  <c r="BK1236" i="1"/>
  <c r="BK1235" i="1"/>
  <c r="BK1234" i="1"/>
  <c r="BK1233" i="1"/>
  <c r="BK1232" i="1"/>
  <c r="BK1231" i="1"/>
  <c r="BK1230" i="1"/>
  <c r="BK1229" i="1"/>
  <c r="BK1228" i="1"/>
  <c r="BK1227" i="1"/>
  <c r="BK1226" i="1"/>
  <c r="BK1225" i="1"/>
  <c r="BK1224" i="1"/>
  <c r="BK1223" i="1"/>
  <c r="BK1222" i="1"/>
  <c r="BK1221" i="1"/>
  <c r="BK1220" i="1"/>
  <c r="BK1219" i="1"/>
  <c r="BK1218" i="1"/>
  <c r="BK1217" i="1"/>
  <c r="BK1216" i="1"/>
  <c r="BK1215" i="1"/>
  <c r="BK1214" i="1"/>
  <c r="BK1213" i="1"/>
  <c r="BK1212" i="1"/>
  <c r="BK1211" i="1"/>
  <c r="BK1210" i="1"/>
  <c r="BK1209" i="1"/>
  <c r="BK1208" i="1"/>
  <c r="BK1207" i="1"/>
  <c r="BK1206" i="1"/>
  <c r="BK1205" i="1"/>
  <c r="BK1204" i="1"/>
  <c r="BK1203" i="1"/>
  <c r="BK1202" i="1"/>
  <c r="BK1201" i="1"/>
  <c r="BK1200" i="1"/>
  <c r="BK1199" i="1"/>
  <c r="BK1198" i="1"/>
  <c r="BK1197" i="1"/>
  <c r="BK1196" i="1"/>
  <c r="BK1195" i="1"/>
  <c r="BK1194" i="1"/>
  <c r="BK1193" i="1"/>
  <c r="BK1192" i="1"/>
  <c r="BK1191" i="1"/>
  <c r="BK1190" i="1"/>
  <c r="BK1189" i="1"/>
  <c r="BK1188" i="1"/>
  <c r="BK1187" i="1"/>
  <c r="BK1186" i="1"/>
  <c r="BK1185" i="1"/>
  <c r="BK1184" i="1"/>
  <c r="BK1183" i="1"/>
  <c r="BK1182" i="1"/>
  <c r="BK1181" i="1"/>
  <c r="BK1180" i="1"/>
  <c r="BK1179" i="1"/>
  <c r="BK1178" i="1"/>
  <c r="BK1177" i="1"/>
  <c r="BK1176" i="1"/>
  <c r="BK1175" i="1"/>
  <c r="BK1174" i="1"/>
  <c r="BK1173" i="1"/>
  <c r="BK1172" i="1"/>
  <c r="BK1171" i="1"/>
  <c r="BK1170" i="1"/>
  <c r="BK1169" i="1"/>
  <c r="BK1168" i="1"/>
  <c r="BK1167" i="1"/>
  <c r="BK1166" i="1"/>
  <c r="BK1165" i="1"/>
  <c r="BK1164" i="1"/>
  <c r="BK1163" i="1"/>
  <c r="BK1162" i="1"/>
  <c r="BK1161" i="1"/>
  <c r="BK1160" i="1"/>
  <c r="BK1159" i="1"/>
  <c r="BK1158" i="1"/>
  <c r="BK1157" i="1"/>
  <c r="BK1156" i="1"/>
  <c r="BK1155" i="1"/>
  <c r="BK1154" i="1"/>
  <c r="BK1153" i="1"/>
  <c r="BK1152" i="1"/>
  <c r="BK1151" i="1"/>
  <c r="BK1150" i="1"/>
  <c r="BK1149" i="1"/>
  <c r="BK1148" i="1"/>
  <c r="BK1147" i="1"/>
  <c r="BK1146" i="1"/>
  <c r="BK1145" i="1"/>
  <c r="BK1144" i="1"/>
  <c r="BK1143" i="1"/>
  <c r="BK1142" i="1"/>
  <c r="BK1141" i="1"/>
  <c r="BK1140" i="1"/>
  <c r="BK1139" i="1"/>
  <c r="BK1138" i="1"/>
  <c r="BK1137" i="1"/>
  <c r="BK1136" i="1"/>
  <c r="BK1135" i="1"/>
  <c r="BK1134" i="1"/>
  <c r="BK1133" i="1"/>
  <c r="BK1132" i="1"/>
  <c r="BK1131" i="1"/>
  <c r="BK1130" i="1"/>
  <c r="BK1129" i="1"/>
  <c r="BK1128" i="1"/>
  <c r="BK1127" i="1"/>
  <c r="BK1126" i="1"/>
  <c r="BK1125" i="1"/>
  <c r="BK1124" i="1"/>
  <c r="BK1123" i="1"/>
  <c r="BK1122" i="1"/>
  <c r="BK1121" i="1"/>
  <c r="BK1120" i="1"/>
  <c r="BK1119" i="1"/>
  <c r="BK1118" i="1"/>
  <c r="BK1117" i="1"/>
  <c r="BK1116" i="1"/>
  <c r="BK1115" i="1"/>
  <c r="BK1114" i="1"/>
  <c r="BK1113" i="1"/>
  <c r="BK1112" i="1"/>
  <c r="BK1111" i="1"/>
  <c r="BK1110" i="1"/>
  <c r="BK1109" i="1"/>
  <c r="BK1108" i="1"/>
  <c r="BK1107" i="1"/>
  <c r="BK1106" i="1"/>
  <c r="BK1105" i="1"/>
  <c r="BK1104" i="1"/>
  <c r="BK1103" i="1"/>
  <c r="BK1102" i="1"/>
  <c r="BK1101" i="1"/>
  <c r="BK1100" i="1"/>
  <c r="BK1099" i="1"/>
  <c r="BK1098" i="1"/>
  <c r="BK1097" i="1"/>
  <c r="BK1096" i="1"/>
  <c r="BK1095" i="1"/>
  <c r="BK1094" i="1"/>
  <c r="BK1093" i="1"/>
  <c r="BK1092" i="1"/>
  <c r="BK1091" i="1"/>
  <c r="BK1090" i="1"/>
  <c r="BK1089" i="1"/>
  <c r="BK1088" i="1"/>
  <c r="BK1087" i="1"/>
  <c r="BK1086" i="1"/>
  <c r="BK1085" i="1"/>
  <c r="BK1084" i="1"/>
  <c r="BK1083" i="1"/>
  <c r="BK1082" i="1"/>
  <c r="BK1081" i="1"/>
  <c r="BK1080" i="1"/>
  <c r="BK1079" i="1"/>
  <c r="BK1078" i="1"/>
  <c r="BK1077" i="1"/>
  <c r="BK1076" i="1"/>
  <c r="BK1075" i="1"/>
  <c r="BK1074" i="1"/>
  <c r="BK1073" i="1"/>
  <c r="BK1072" i="1"/>
  <c r="BK1071" i="1"/>
  <c r="BK1070" i="1"/>
  <c r="BK1069" i="1"/>
  <c r="BK1068" i="1"/>
  <c r="BK1067" i="1"/>
  <c r="BK1066" i="1"/>
  <c r="BK1065" i="1"/>
  <c r="BK1064" i="1"/>
  <c r="BK1063" i="1"/>
  <c r="BK1062" i="1"/>
  <c r="BK1061" i="1"/>
  <c r="BK1060" i="1"/>
  <c r="BK1059" i="1"/>
  <c r="BK1058" i="1"/>
  <c r="BK1057" i="1"/>
  <c r="BK1056" i="1"/>
  <c r="BK1055" i="1"/>
  <c r="BK1054" i="1"/>
  <c r="BK1053" i="1"/>
  <c r="BK1052" i="1"/>
  <c r="BK1051" i="1"/>
  <c r="BK1050" i="1"/>
  <c r="BK1049" i="1"/>
  <c r="BK1048" i="1"/>
  <c r="BK1047" i="1"/>
  <c r="BK1046" i="1"/>
  <c r="BK1045" i="1"/>
  <c r="BK1044" i="1"/>
  <c r="BK1043" i="1"/>
  <c r="BK1042" i="1"/>
  <c r="BK1041" i="1"/>
  <c r="BK1040" i="1"/>
  <c r="BK1039" i="1"/>
  <c r="BK1038" i="1"/>
  <c r="BK1037" i="1"/>
  <c r="BK1036" i="1"/>
  <c r="BK1035" i="1"/>
  <c r="BK1034" i="1"/>
  <c r="BK1033" i="1"/>
  <c r="BK1032" i="1"/>
  <c r="BK1031" i="1"/>
  <c r="BK1030" i="1"/>
  <c r="BK1029" i="1"/>
  <c r="BK1028" i="1"/>
  <c r="BK1027" i="1"/>
  <c r="BK1026" i="1"/>
  <c r="BK1025" i="1"/>
  <c r="BK1024" i="1"/>
  <c r="BK1023" i="1"/>
  <c r="BK1022" i="1"/>
  <c r="BK1021" i="1"/>
  <c r="BK1020" i="1"/>
  <c r="BK1019" i="1"/>
  <c r="BK1018" i="1"/>
  <c r="BK1017" i="1"/>
  <c r="BK1016" i="1"/>
  <c r="BK1015" i="1"/>
  <c r="BK1014" i="1"/>
  <c r="BK1013" i="1"/>
  <c r="BK1012" i="1"/>
  <c r="BK1011" i="1"/>
  <c r="BK1010" i="1"/>
  <c r="BK1009" i="1"/>
  <c r="BK1008" i="1"/>
  <c r="BK1007" i="1"/>
  <c r="BK1006" i="1"/>
  <c r="BK1005" i="1"/>
  <c r="BK1004" i="1"/>
  <c r="BK1003" i="1"/>
  <c r="BK1002" i="1"/>
  <c r="BK1001" i="1"/>
  <c r="BK1000" i="1"/>
  <c r="BK999" i="1"/>
  <c r="BK998" i="1"/>
  <c r="BK997" i="1"/>
  <c r="BK996" i="1"/>
  <c r="BK995" i="1"/>
  <c r="BK994" i="1"/>
  <c r="BK993" i="1"/>
  <c r="BK992" i="1"/>
  <c r="BK991" i="1"/>
  <c r="BK990" i="1"/>
  <c r="BK989" i="1"/>
  <c r="BK988" i="1"/>
  <c r="BK987" i="1"/>
  <c r="BK986" i="1"/>
  <c r="BK985" i="1"/>
  <c r="BK984" i="1"/>
  <c r="BK983" i="1"/>
  <c r="BK982" i="1"/>
  <c r="BK981" i="1"/>
  <c r="BK980" i="1"/>
  <c r="BK979" i="1"/>
  <c r="BK978" i="1"/>
  <c r="BK977" i="1"/>
  <c r="BK976" i="1"/>
  <c r="BK975" i="1"/>
  <c r="BK974" i="1"/>
  <c r="BK973" i="1"/>
  <c r="BK972" i="1"/>
  <c r="BK971" i="1"/>
  <c r="BK970" i="1"/>
  <c r="BK969" i="1"/>
  <c r="BK968" i="1"/>
  <c r="BK967" i="1"/>
  <c r="BK966" i="1"/>
  <c r="BK965" i="1"/>
  <c r="BK964" i="1"/>
  <c r="BK963" i="1"/>
  <c r="BK962" i="1"/>
  <c r="BK961" i="1"/>
  <c r="BK960" i="1"/>
  <c r="BK959" i="1"/>
  <c r="BK958" i="1"/>
  <c r="BK957" i="1"/>
  <c r="BK956" i="1"/>
  <c r="BK955" i="1"/>
  <c r="BK954" i="1"/>
  <c r="BK953" i="1"/>
  <c r="BK952" i="1"/>
  <c r="BK951" i="1"/>
  <c r="BK950" i="1"/>
  <c r="BK949" i="1"/>
  <c r="BK948" i="1"/>
  <c r="BK947" i="1"/>
  <c r="BK946" i="1"/>
  <c r="BK945" i="1"/>
  <c r="BK944" i="1"/>
  <c r="BK943" i="1"/>
  <c r="BK942" i="1"/>
  <c r="BK941" i="1"/>
  <c r="AS1401" i="1"/>
  <c r="AS1353" i="1"/>
  <c r="Q1341" i="1" a="1"/>
  <c r="Q1341" i="1" s="1"/>
  <c r="AS1341" i="1" s="1"/>
  <c r="Q1335" i="1" a="1"/>
  <c r="Q1335" i="1" s="1"/>
  <c r="AS1335" i="1" s="1"/>
  <c r="Q1323" i="1" a="1"/>
  <c r="Q1323" i="1" s="1"/>
  <c r="AS1323" i="1" s="1"/>
  <c r="Q1316" i="1" a="1"/>
  <c r="Q1316" i="1" s="1"/>
  <c r="AS1316" i="1" s="1"/>
  <c r="Q1292" i="1" a="1"/>
  <c r="Q1292" i="1" s="1"/>
  <c r="AS1292" i="1" s="1"/>
  <c r="AS1286" i="1"/>
  <c r="Q1277" i="1" a="1"/>
  <c r="Q1277" i="1" s="1"/>
  <c r="AS1277" i="1" s="1"/>
  <c r="Q1274" i="1" a="1"/>
  <c r="Q1274" i="1" s="1"/>
  <c r="AS1274" i="1" s="1"/>
  <c r="Q1253" i="1" a="1"/>
  <c r="Q1253" i="1" s="1"/>
  <c r="AS1253" i="1" s="1"/>
  <c r="Q1162" i="1" a="1"/>
  <c r="Q1162" i="1" s="1"/>
  <c r="AS1162" i="1" s="1"/>
  <c r="Q1096" i="1" a="1"/>
  <c r="Q1096" i="1" s="1"/>
  <c r="AS1096" i="1" s="1"/>
  <c r="Q1095" i="1" a="1"/>
  <c r="Q1095" i="1" s="1"/>
  <c r="AS1095" i="1" s="1"/>
  <c r="Q1085" i="1" a="1"/>
  <c r="Q1085" i="1" s="1"/>
  <c r="AS1085" i="1" s="1"/>
  <c r="Q1083" i="1" a="1"/>
  <c r="Q1083" i="1" s="1"/>
  <c r="AS1083" i="1" s="1"/>
  <c r="Q1057" i="1" a="1"/>
  <c r="Q1057" i="1" s="1"/>
  <c r="AS1057" i="1" s="1"/>
  <c r="Q1046" i="1" a="1"/>
  <c r="Q1046" i="1" s="1"/>
  <c r="AS1046" i="1" s="1"/>
  <c r="Q1038" i="1" a="1"/>
  <c r="Q1038" i="1" s="1"/>
  <c r="AS1038" i="1" s="1"/>
  <c r="Q1037" i="1" a="1"/>
  <c r="Q1037" i="1" s="1"/>
  <c r="AS1037" i="1" s="1"/>
  <c r="Q1033" i="1" a="1"/>
  <c r="Q1033" i="1" s="1"/>
  <c r="AS1033" i="1" s="1"/>
  <c r="Q1028" i="1" a="1"/>
  <c r="Q1028" i="1" s="1"/>
  <c r="AS1028" i="1" s="1"/>
  <c r="Q1012" i="1" a="1"/>
  <c r="Q1012" i="1" s="1"/>
  <c r="AS1012" i="1" s="1"/>
  <c r="Q1009" i="1" a="1"/>
  <c r="Q1009" i="1" s="1"/>
  <c r="AS1009" i="1" s="1"/>
  <c r="Q998" i="1" a="1"/>
  <c r="Q998" i="1" s="1"/>
  <c r="AS998" i="1" s="1"/>
  <c r="Q997" i="1" a="1"/>
  <c r="Q997" i="1" s="1"/>
  <c r="AS997" i="1" s="1"/>
  <c r="Q992" i="1" a="1"/>
  <c r="Q992" i="1" s="1"/>
  <c r="AS992" i="1" s="1"/>
  <c r="Q990" i="1" a="1"/>
  <c r="Q990" i="1" s="1"/>
  <c r="AS990" i="1" s="1"/>
  <c r="Q989" i="1" a="1"/>
  <c r="Q989" i="1" s="1"/>
  <c r="AS989" i="1" s="1"/>
  <c r="Q987" i="1" a="1"/>
  <c r="Q987" i="1" s="1"/>
  <c r="AS987" i="1" s="1"/>
  <c r="Q986" i="1" a="1"/>
  <c r="Q986" i="1" s="1"/>
  <c r="AS986" i="1" s="1"/>
  <c r="Q983" i="1" a="1"/>
  <c r="Q983" i="1" s="1"/>
  <c r="AS983" i="1" s="1"/>
  <c r="Q982" i="1" a="1"/>
  <c r="Q982" i="1" s="1"/>
  <c r="AS982" i="1" s="1"/>
  <c r="Q980" i="1" a="1"/>
  <c r="Q980" i="1" s="1"/>
  <c r="AS980" i="1" s="1"/>
  <c r="Q978" i="1" a="1"/>
  <c r="Q978" i="1" s="1"/>
  <c r="AS978" i="1" s="1"/>
  <c r="Q974" i="1" a="1"/>
  <c r="Q974" i="1" s="1"/>
  <c r="AS974" i="1" s="1"/>
  <c r="Q973" i="1" a="1"/>
  <c r="Q973" i="1" s="1"/>
  <c r="AS973" i="1" s="1"/>
  <c r="Q971" i="1" a="1"/>
  <c r="Q971" i="1" s="1"/>
  <c r="AS971" i="1" s="1"/>
  <c r="Q969" i="1" a="1"/>
  <c r="Q969" i="1" s="1"/>
  <c r="AS969" i="1" s="1"/>
  <c r="Q968" i="1" a="1"/>
  <c r="Q968" i="1" s="1"/>
  <c r="AS968" i="1" s="1"/>
  <c r="Q965" i="1" a="1"/>
  <c r="Q965" i="1" s="1"/>
  <c r="AS965" i="1" s="1"/>
  <c r="Q962" i="1" a="1"/>
  <c r="Q962" i="1" s="1"/>
  <c r="AS962" i="1" s="1"/>
  <c r="Q958" i="1" a="1"/>
  <c r="Q958" i="1" s="1"/>
  <c r="AS958" i="1" s="1"/>
  <c r="Q957" i="1" a="1"/>
  <c r="Q957" i="1" s="1"/>
  <c r="AS957" i="1" s="1"/>
  <c r="Q956" i="1" a="1"/>
  <c r="Q956" i="1" s="1"/>
  <c r="AS956" i="1" s="1"/>
  <c r="Q953" i="1" a="1"/>
  <c r="Q953" i="1" s="1"/>
  <c r="AS953" i="1" s="1"/>
  <c r="Q952" i="1" a="1"/>
  <c r="Q952" i="1" s="1"/>
  <c r="AS952" i="1" s="1"/>
  <c r="Q951" i="1" a="1"/>
  <c r="Q951" i="1" s="1"/>
  <c r="AS951" i="1" s="1"/>
  <c r="Q950" i="1" a="1"/>
  <c r="Q950" i="1" s="1"/>
  <c r="AS950" i="1" s="1"/>
  <c r="Q949" i="1" a="1"/>
  <c r="Q949" i="1" s="1"/>
  <c r="AS949" i="1" s="1"/>
  <c r="Q948" i="1" a="1"/>
  <c r="Q948" i="1" s="1"/>
  <c r="AS948" i="1" s="1"/>
  <c r="Q946" i="1" a="1"/>
  <c r="Q946" i="1" s="1"/>
  <c r="AS946" i="1" s="1"/>
  <c r="Q945" i="1" a="1"/>
  <c r="Q945" i="1" s="1"/>
  <c r="AS945" i="1" s="1"/>
  <c r="Q942" i="1" a="1"/>
  <c r="Q942" i="1" s="1"/>
  <c r="AS942" i="1" s="1"/>
  <c r="Q940" i="1" a="1"/>
  <c r="Q940" i="1" s="1"/>
  <c r="AS940" i="1" s="1"/>
  <c r="Q939" i="1" a="1"/>
  <c r="Q939" i="1" s="1"/>
  <c r="AS939" i="1" s="1"/>
  <c r="Q938" i="1" a="1"/>
  <c r="Q938" i="1" s="1"/>
  <c r="AS938" i="1" s="1"/>
  <c r="Q935" i="1" a="1"/>
  <c r="Q935" i="1" s="1"/>
  <c r="AS935" i="1" s="1"/>
  <c r="Q932" i="1" a="1"/>
  <c r="Q932" i="1" s="1"/>
  <c r="AS932" i="1" s="1"/>
  <c r="Q930" i="1" a="1"/>
  <c r="Q930" i="1" s="1"/>
  <c r="AS930" i="1" s="1"/>
  <c r="Q928" i="1" a="1"/>
  <c r="Q928" i="1" s="1"/>
  <c r="AS928" i="1" s="1"/>
  <c r="Q927" i="1" a="1"/>
  <c r="Q927" i="1" s="1"/>
  <c r="AS927" i="1" s="1"/>
  <c r="Q926" i="1" a="1"/>
  <c r="Q926" i="1" s="1"/>
  <c r="AS926" i="1" s="1"/>
  <c r="Q924" i="1" a="1"/>
  <c r="Q924" i="1" s="1"/>
  <c r="AS924" i="1" s="1"/>
  <c r="Q922" i="1" a="1"/>
  <c r="Q922" i="1" s="1"/>
  <c r="AS922" i="1" s="1"/>
  <c r="Q921" i="1" a="1"/>
  <c r="Q921" i="1" s="1"/>
  <c r="AS921" i="1" s="1"/>
  <c r="Q919" i="1" a="1"/>
  <c r="Q919" i="1" s="1"/>
  <c r="AS919" i="1" s="1"/>
  <c r="Q917" i="1" a="1"/>
  <c r="Q917" i="1" s="1"/>
  <c r="AS917" i="1" s="1"/>
  <c r="Q915" i="1" a="1"/>
  <c r="Q915" i="1" s="1"/>
  <c r="AS915" i="1" s="1"/>
  <c r="Q914" i="1" a="1"/>
  <c r="Q914" i="1" s="1"/>
  <c r="AS914" i="1" s="1"/>
  <c r="Q913" i="1" a="1"/>
  <c r="Q913" i="1" s="1"/>
  <c r="AS913" i="1" s="1"/>
  <c r="Q911" i="1" a="1"/>
  <c r="Q911" i="1" s="1"/>
  <c r="AS911" i="1" s="1"/>
  <c r="Q910" i="1" a="1"/>
  <c r="Q910" i="1" s="1"/>
  <c r="AS910" i="1" s="1"/>
  <c r="Q909" i="1" a="1"/>
  <c r="Q909" i="1" s="1"/>
  <c r="AS909" i="1" s="1"/>
  <c r="Q907" i="1" a="1"/>
  <c r="Q907" i="1" s="1"/>
  <c r="AS907" i="1" s="1"/>
  <c r="Q901" i="1" a="1"/>
  <c r="Q901" i="1" s="1"/>
  <c r="AS901" i="1" s="1"/>
  <c r="Q898" i="1" a="1"/>
  <c r="Q898" i="1" s="1"/>
  <c r="AS898" i="1" s="1"/>
  <c r="Q896" i="1" a="1"/>
  <c r="Q896" i="1" s="1"/>
  <c r="AS896" i="1" s="1"/>
  <c r="Q894" i="1" a="1"/>
  <c r="Q894" i="1" s="1"/>
  <c r="AS894" i="1" s="1"/>
  <c r="Q892" i="1" a="1"/>
  <c r="Q892" i="1" s="1"/>
  <c r="AS892" i="1" s="1"/>
  <c r="Q889" i="1" a="1"/>
  <c r="Q889" i="1" s="1"/>
  <c r="AS889" i="1" s="1"/>
  <c r="Q888" i="1" a="1"/>
  <c r="Q888" i="1" s="1"/>
  <c r="AS888" i="1" s="1"/>
  <c r="Q887" i="1" a="1"/>
  <c r="Q887" i="1" s="1"/>
  <c r="AS887" i="1" s="1"/>
  <c r="Q886" i="1" a="1"/>
  <c r="Q886" i="1" s="1"/>
  <c r="AS886" i="1" s="1"/>
  <c r="Q884" i="1" a="1"/>
  <c r="Q884" i="1" s="1"/>
  <c r="AS884" i="1" s="1"/>
  <c r="Q883" i="1" a="1"/>
  <c r="Q883" i="1" s="1"/>
  <c r="AS883" i="1" s="1"/>
  <c r="Q882" i="1" a="1"/>
  <c r="Q882" i="1" s="1"/>
  <c r="AS882" i="1" s="1"/>
  <c r="Q881" i="1" a="1"/>
  <c r="Q881" i="1" s="1"/>
  <c r="AS881" i="1" s="1"/>
  <c r="Q880" i="1" a="1"/>
  <c r="Q880" i="1" s="1"/>
  <c r="AS880" i="1" s="1"/>
  <c r="Q879" i="1" a="1"/>
  <c r="Q879" i="1" s="1"/>
  <c r="AS879" i="1" s="1"/>
  <c r="Q877" i="1" a="1"/>
  <c r="Q877" i="1" s="1"/>
  <c r="AS877" i="1" s="1"/>
  <c r="Q876" i="1" a="1"/>
  <c r="Q876" i="1" s="1"/>
  <c r="AS876" i="1" s="1"/>
  <c r="Q874" i="1" a="1"/>
  <c r="Q874" i="1" s="1"/>
  <c r="AS874" i="1" s="1"/>
  <c r="Q873" i="1" a="1"/>
  <c r="Q873" i="1" s="1"/>
  <c r="AS873" i="1" s="1"/>
  <c r="Q871" i="1" a="1"/>
  <c r="Q871" i="1" s="1"/>
  <c r="AS871" i="1" s="1"/>
  <c r="Q867" i="1" a="1"/>
  <c r="Q867" i="1" s="1"/>
  <c r="AS867" i="1" s="1"/>
  <c r="Q864" i="1" a="1"/>
  <c r="Q864" i="1" s="1"/>
  <c r="AS864" i="1" s="1"/>
  <c r="Q863" i="1" a="1"/>
  <c r="Q863" i="1" s="1"/>
  <c r="AS863" i="1" s="1"/>
  <c r="Q862" i="1" a="1"/>
  <c r="Q862" i="1" s="1"/>
  <c r="AS862" i="1" s="1"/>
  <c r="Q861" i="1" a="1"/>
  <c r="Q861" i="1" s="1"/>
  <c r="AS861" i="1" s="1"/>
  <c r="Q860" i="1" a="1"/>
  <c r="Q860" i="1" s="1"/>
  <c r="AS860" i="1" s="1"/>
  <c r="Q858" i="1" a="1"/>
  <c r="Q858" i="1" s="1"/>
  <c r="AS858" i="1" s="1"/>
  <c r="Q857" i="1" a="1"/>
  <c r="Q857" i="1" s="1"/>
  <c r="AS857" i="1" s="1"/>
  <c r="Q856" i="1" a="1"/>
  <c r="Q856" i="1" s="1"/>
  <c r="AS856" i="1" s="1"/>
  <c r="Q855" i="1" a="1"/>
  <c r="Q855" i="1" s="1"/>
  <c r="AS855" i="1" s="1"/>
  <c r="Q853" i="1" a="1"/>
  <c r="Q853" i="1" s="1"/>
  <c r="AS853" i="1" s="1"/>
  <c r="Q851" i="1" a="1"/>
  <c r="Q851" i="1" s="1"/>
  <c r="AS851" i="1" s="1"/>
  <c r="Q850" i="1" a="1"/>
  <c r="Q850" i="1" s="1"/>
  <c r="AS850" i="1" s="1"/>
  <c r="Q846" i="1" a="1"/>
  <c r="Q846" i="1" s="1"/>
  <c r="AS846" i="1" s="1"/>
  <c r="Q845" i="1" a="1"/>
  <c r="Q845" i="1" s="1"/>
  <c r="AS845" i="1" s="1"/>
  <c r="Q844" i="1" a="1"/>
  <c r="Q844" i="1" s="1"/>
  <c r="AS844" i="1" s="1"/>
  <c r="Q842" i="1" a="1"/>
  <c r="Q842" i="1" s="1"/>
  <c r="AS842" i="1" s="1"/>
  <c r="Q841" i="1" a="1"/>
  <c r="Q841" i="1" s="1"/>
  <c r="AS841" i="1" s="1"/>
  <c r="Q840" i="1" a="1"/>
  <c r="Q840" i="1" s="1"/>
  <c r="AS840" i="1" s="1"/>
  <c r="Q838" i="1" a="1"/>
  <c r="Q838" i="1" s="1"/>
  <c r="AS838" i="1" s="1"/>
  <c r="AS837" i="1"/>
  <c r="Q833" i="1" a="1"/>
  <c r="Q833" i="1" s="1"/>
  <c r="AS833" i="1" s="1"/>
  <c r="Q832" i="1" a="1"/>
  <c r="Q832" i="1" s="1"/>
  <c r="AS832" i="1" s="1"/>
  <c r="Q831" i="1" a="1"/>
  <c r="Q831" i="1" s="1"/>
  <c r="AS831" i="1" s="1"/>
  <c r="Q830" i="1" a="1"/>
  <c r="Q830" i="1" s="1"/>
  <c r="AS830" i="1" s="1"/>
  <c r="Q829" i="1" a="1"/>
  <c r="Q829" i="1" s="1"/>
  <c r="AS829" i="1" s="1"/>
  <c r="Q828" i="1" a="1"/>
  <c r="Q828" i="1" s="1"/>
  <c r="AS828" i="1" s="1"/>
  <c r="Q827" i="1" a="1"/>
  <c r="Q827" i="1" s="1"/>
  <c r="AS827" i="1" s="1"/>
  <c r="Q826" i="1" a="1"/>
  <c r="Q826" i="1" s="1"/>
  <c r="AS826" i="1" s="1"/>
  <c r="Q825" i="1" a="1"/>
  <c r="Q825" i="1" s="1"/>
  <c r="AS825" i="1" s="1"/>
  <c r="Q824" i="1" a="1"/>
  <c r="Q824" i="1" s="1"/>
  <c r="AS824" i="1" s="1"/>
  <c r="Q823" i="1" a="1"/>
  <c r="Q823" i="1" s="1"/>
  <c r="AS823" i="1" s="1"/>
  <c r="Q822" i="1" a="1"/>
  <c r="Q822" i="1" s="1"/>
  <c r="AS822" i="1" s="1"/>
  <c r="Q821" i="1" a="1"/>
  <c r="Q821" i="1" s="1"/>
  <c r="AS821" i="1" s="1"/>
  <c r="Q818" i="1" a="1"/>
  <c r="Q818" i="1" s="1"/>
  <c r="AS818" i="1" s="1"/>
  <c r="Q815" i="1" a="1"/>
  <c r="Q815" i="1" s="1"/>
  <c r="AS815" i="1" s="1"/>
  <c r="Q814" i="1" a="1"/>
  <c r="Q814" i="1" s="1"/>
  <c r="AS814" i="1" s="1"/>
  <c r="Q813" i="1" a="1"/>
  <c r="Q813" i="1" s="1"/>
  <c r="AS813" i="1" s="1"/>
  <c r="Q810" i="1" a="1"/>
  <c r="Q810" i="1" s="1"/>
  <c r="AS810" i="1" s="1"/>
  <c r="Q809" i="1" a="1"/>
  <c r="Q809" i="1" s="1"/>
  <c r="AS809" i="1" s="1"/>
  <c r="Q808" i="1" a="1"/>
  <c r="Q808" i="1" s="1"/>
  <c r="AS808" i="1" s="1"/>
  <c r="Q806" i="1" a="1"/>
  <c r="Q806" i="1" s="1"/>
  <c r="AS806" i="1" s="1"/>
  <c r="Q805" i="1" a="1"/>
  <c r="Q805" i="1" s="1"/>
  <c r="AS805" i="1" s="1"/>
  <c r="Q804" i="1" a="1"/>
  <c r="Q804" i="1" s="1"/>
  <c r="AS804" i="1" s="1"/>
  <c r="Q803" i="1" a="1"/>
  <c r="Q803" i="1" s="1"/>
  <c r="AS803" i="1" s="1"/>
  <c r="Q802" i="1" a="1"/>
  <c r="Q802" i="1" s="1"/>
  <c r="AS802" i="1" s="1"/>
  <c r="Q801" i="1" a="1"/>
  <c r="Q801" i="1" s="1"/>
  <c r="AS801" i="1" s="1"/>
  <c r="Q800" i="1" a="1"/>
  <c r="Q800" i="1" s="1"/>
  <c r="AS800" i="1" s="1"/>
  <c r="Q798" i="1" a="1"/>
  <c r="Q798" i="1" s="1"/>
  <c r="AS798" i="1" s="1"/>
  <c r="Q797" i="1" a="1"/>
  <c r="Q797" i="1" s="1"/>
  <c r="AS797" i="1" s="1"/>
  <c r="Q796" i="1" a="1"/>
  <c r="Q796" i="1" s="1"/>
  <c r="AS796" i="1" s="1"/>
  <c r="Q794" i="1" a="1"/>
  <c r="Q794" i="1" s="1"/>
  <c r="AS794" i="1" s="1"/>
  <c r="Q793" i="1" a="1"/>
  <c r="Q793" i="1" s="1"/>
  <c r="AS793" i="1" s="1"/>
  <c r="Q792" i="1" a="1"/>
  <c r="Q792" i="1" s="1"/>
  <c r="AS792" i="1" s="1"/>
  <c r="Q790" i="1" a="1"/>
  <c r="Q790" i="1" s="1"/>
  <c r="AS790" i="1" s="1"/>
  <c r="Q789" i="1" a="1"/>
  <c r="Q789" i="1" s="1"/>
  <c r="AS789" i="1" s="1"/>
  <c r="Q788" i="1" a="1"/>
  <c r="Q788" i="1" s="1"/>
  <c r="AS788" i="1" s="1"/>
  <c r="Q786" i="1" a="1"/>
  <c r="Q786" i="1" s="1"/>
  <c r="AS786" i="1" s="1"/>
  <c r="Q785" i="1" a="1"/>
  <c r="Q785" i="1" s="1"/>
  <c r="AS785" i="1" s="1"/>
  <c r="Q784" i="1" a="1"/>
  <c r="Q784" i="1" s="1"/>
  <c r="AS784" i="1" s="1"/>
  <c r="Q782" i="1" a="1"/>
  <c r="Q782" i="1" s="1"/>
  <c r="AS782" i="1" s="1"/>
  <c r="Q781" i="1" a="1"/>
  <c r="Q781" i="1" s="1"/>
  <c r="AS781" i="1" s="1"/>
  <c r="Q780" i="1" a="1"/>
  <c r="Q780" i="1" s="1"/>
  <c r="AS780" i="1" s="1"/>
  <c r="Q779" i="1" a="1"/>
  <c r="Q779" i="1" s="1"/>
  <c r="AS779" i="1" s="1"/>
  <c r="Q778" i="1" a="1"/>
  <c r="Q778" i="1" s="1"/>
  <c r="AS778" i="1" s="1"/>
  <c r="Q777" i="1" a="1"/>
  <c r="Q777" i="1" s="1"/>
  <c r="AS777" i="1" s="1"/>
  <c r="Q776" i="1" a="1"/>
  <c r="Q776" i="1" s="1"/>
  <c r="AS776" i="1" s="1"/>
  <c r="Q775" i="1" a="1"/>
  <c r="Q775" i="1" s="1"/>
  <c r="AS775" i="1" s="1"/>
  <c r="Q773" i="1" a="1"/>
  <c r="Q773" i="1" s="1"/>
  <c r="AS773" i="1" s="1"/>
  <c r="Q772" i="1" a="1"/>
  <c r="Q772" i="1" s="1"/>
  <c r="AS772" i="1" s="1"/>
  <c r="Q771" i="1" a="1"/>
  <c r="Q771" i="1" s="1"/>
  <c r="AS771" i="1" s="1"/>
  <c r="Q770" i="1" a="1"/>
  <c r="Q770" i="1" s="1"/>
  <c r="AS770" i="1" s="1"/>
  <c r="H770" i="1" a="1"/>
  <c r="H770" i="1" s="1"/>
  <c r="R770" i="1" s="1"/>
  <c r="K770" i="1"/>
  <c r="N770" i="1" s="1"/>
  <c r="AK770" i="1" a="1"/>
  <c r="AK770" i="1" s="1"/>
  <c r="AU770" i="1"/>
  <c r="BD770" i="1"/>
  <c r="H771" i="1" a="1"/>
  <c r="H771" i="1" s="1"/>
  <c r="R771" i="1" s="1"/>
  <c r="K771" i="1"/>
  <c r="N771" i="1" s="1"/>
  <c r="AK771" i="1" a="1"/>
  <c r="AK771" i="1" s="1"/>
  <c r="AU771" i="1"/>
  <c r="BD771" i="1"/>
  <c r="H772" i="1" a="1"/>
  <c r="H772" i="1" s="1"/>
  <c r="R772" i="1" s="1"/>
  <c r="K772" i="1"/>
  <c r="N772" i="1" s="1"/>
  <c r="AK772" i="1" a="1"/>
  <c r="AK772" i="1" s="1"/>
  <c r="AU772" i="1"/>
  <c r="BD772" i="1"/>
  <c r="H773" i="1" a="1"/>
  <c r="H773" i="1" s="1"/>
  <c r="R773" i="1" s="1"/>
  <c r="K773" i="1"/>
  <c r="N773" i="1" s="1"/>
  <c r="AK773" i="1" a="1"/>
  <c r="AK773" i="1" s="1"/>
  <c r="AU773" i="1"/>
  <c r="BD773" i="1"/>
  <c r="H774" i="1" a="1"/>
  <c r="H774" i="1" s="1"/>
  <c r="R774" i="1" s="1"/>
  <c r="K774" i="1"/>
  <c r="N774" i="1" s="1"/>
  <c r="Q774" i="1" a="1"/>
  <c r="Q774" i="1" s="1"/>
  <c r="AS774" i="1" s="1"/>
  <c r="AK774" i="1" a="1"/>
  <c r="AK774" i="1" s="1"/>
  <c r="AU774" i="1"/>
  <c r="BD774" i="1"/>
  <c r="H775" i="1" a="1"/>
  <c r="H775" i="1" s="1"/>
  <c r="R775" i="1" s="1"/>
  <c r="K775" i="1"/>
  <c r="N775" i="1" s="1"/>
  <c r="AK775" i="1" a="1"/>
  <c r="AK775" i="1" s="1"/>
  <c r="AU775" i="1"/>
  <c r="BD775" i="1"/>
  <c r="H776" i="1" a="1"/>
  <c r="H776" i="1" s="1"/>
  <c r="R776" i="1" s="1"/>
  <c r="K776" i="1"/>
  <c r="N776" i="1" s="1"/>
  <c r="AK776" i="1" a="1"/>
  <c r="AK776" i="1" s="1"/>
  <c r="AU776" i="1"/>
  <c r="BD776" i="1"/>
  <c r="H777" i="1" a="1"/>
  <c r="H777" i="1" s="1"/>
  <c r="R777" i="1" s="1"/>
  <c r="K777" i="1"/>
  <c r="N777" i="1" s="1"/>
  <c r="AK777" i="1" a="1"/>
  <c r="AK777" i="1" s="1"/>
  <c r="AU777" i="1"/>
  <c r="BD777" i="1"/>
  <c r="H778" i="1" a="1"/>
  <c r="H778" i="1" s="1"/>
  <c r="R778" i="1" s="1"/>
  <c r="K778" i="1"/>
  <c r="N778" i="1" s="1"/>
  <c r="AK778" i="1" a="1"/>
  <c r="AK778" i="1" s="1"/>
  <c r="AU778" i="1"/>
  <c r="BD778" i="1"/>
  <c r="H779" i="1" a="1"/>
  <c r="H779" i="1" s="1"/>
  <c r="R779" i="1" s="1"/>
  <c r="K779" i="1"/>
  <c r="N779" i="1" s="1"/>
  <c r="AK779" i="1" a="1"/>
  <c r="AK779" i="1" s="1"/>
  <c r="AU779" i="1"/>
  <c r="BD779" i="1"/>
  <c r="H780" i="1" a="1"/>
  <c r="H780" i="1" s="1"/>
  <c r="R780" i="1" s="1"/>
  <c r="K780" i="1"/>
  <c r="N780" i="1" s="1"/>
  <c r="AK780" i="1" a="1"/>
  <c r="AK780" i="1" s="1"/>
  <c r="AU780" i="1"/>
  <c r="BD780" i="1"/>
  <c r="H781" i="1" a="1"/>
  <c r="H781" i="1" s="1"/>
  <c r="R781" i="1" s="1"/>
  <c r="K781" i="1"/>
  <c r="N781" i="1" s="1"/>
  <c r="AK781" i="1" a="1"/>
  <c r="AK781" i="1" s="1"/>
  <c r="AU781" i="1"/>
  <c r="BD781" i="1"/>
  <c r="H782" i="1" a="1"/>
  <c r="H782" i="1" s="1"/>
  <c r="R782" i="1" s="1"/>
  <c r="K782" i="1"/>
  <c r="N782" i="1" s="1"/>
  <c r="AK782" i="1" a="1"/>
  <c r="AK782" i="1" s="1"/>
  <c r="AU782" i="1"/>
  <c r="BD782" i="1"/>
  <c r="H783" i="1" a="1"/>
  <c r="H783" i="1" s="1"/>
  <c r="R783" i="1" s="1"/>
  <c r="K783" i="1"/>
  <c r="N783" i="1" s="1"/>
  <c r="Q783" i="1" a="1"/>
  <c r="Q783" i="1" s="1"/>
  <c r="AS783" i="1" s="1"/>
  <c r="AK783" i="1" a="1"/>
  <c r="AK783" i="1" s="1"/>
  <c r="AU783" i="1"/>
  <c r="BD783" i="1"/>
  <c r="H784" i="1" a="1"/>
  <c r="H784" i="1" s="1"/>
  <c r="R784" i="1" s="1"/>
  <c r="K784" i="1"/>
  <c r="N784" i="1" s="1"/>
  <c r="AK784" i="1" a="1"/>
  <c r="AK784" i="1" s="1"/>
  <c r="AU784" i="1"/>
  <c r="BD784" i="1"/>
  <c r="H785" i="1" a="1"/>
  <c r="H785" i="1" s="1"/>
  <c r="R785" i="1" s="1"/>
  <c r="K785" i="1"/>
  <c r="N785" i="1" s="1"/>
  <c r="AK785" i="1" a="1"/>
  <c r="AK785" i="1" s="1"/>
  <c r="AU785" i="1"/>
  <c r="BD785" i="1"/>
  <c r="H786" i="1" a="1"/>
  <c r="H786" i="1" s="1"/>
  <c r="R786" i="1" s="1"/>
  <c r="K786" i="1"/>
  <c r="N786" i="1" s="1"/>
  <c r="AK786" i="1" a="1"/>
  <c r="AK786" i="1" s="1"/>
  <c r="AU786" i="1"/>
  <c r="BD786" i="1"/>
  <c r="H787" i="1" a="1"/>
  <c r="H787" i="1" s="1"/>
  <c r="R787" i="1" s="1"/>
  <c r="K787" i="1"/>
  <c r="N787" i="1" s="1"/>
  <c r="Q787" i="1" a="1"/>
  <c r="Q787" i="1" s="1"/>
  <c r="AS787" i="1" s="1"/>
  <c r="AK787" i="1" a="1"/>
  <c r="AK787" i="1" s="1"/>
  <c r="AU787" i="1"/>
  <c r="BD787" i="1"/>
  <c r="H788" i="1" a="1"/>
  <c r="H788" i="1" s="1"/>
  <c r="R788" i="1" s="1"/>
  <c r="K788" i="1"/>
  <c r="N788" i="1" s="1"/>
  <c r="AK788" i="1" a="1"/>
  <c r="AK788" i="1" s="1"/>
  <c r="AU788" i="1"/>
  <c r="BD788" i="1"/>
  <c r="H789" i="1" a="1"/>
  <c r="H789" i="1" s="1"/>
  <c r="R789" i="1" s="1"/>
  <c r="K789" i="1"/>
  <c r="N789" i="1" s="1"/>
  <c r="AK789" i="1" a="1"/>
  <c r="AK789" i="1" s="1"/>
  <c r="AU789" i="1"/>
  <c r="BD789" i="1"/>
  <c r="H790" i="1" a="1"/>
  <c r="H790" i="1" s="1"/>
  <c r="R790" i="1" s="1"/>
  <c r="K790" i="1"/>
  <c r="N790" i="1" s="1"/>
  <c r="AK790" i="1" a="1"/>
  <c r="AK790" i="1" s="1"/>
  <c r="AU790" i="1"/>
  <c r="BD790" i="1"/>
  <c r="H791" i="1" a="1"/>
  <c r="H791" i="1" s="1"/>
  <c r="R791" i="1" s="1"/>
  <c r="K791" i="1"/>
  <c r="N791" i="1" s="1"/>
  <c r="Q791" i="1" a="1"/>
  <c r="Q791" i="1" s="1"/>
  <c r="AS791" i="1" s="1"/>
  <c r="AK791" i="1" a="1"/>
  <c r="AK791" i="1" s="1"/>
  <c r="AU791" i="1"/>
  <c r="BD791" i="1"/>
  <c r="H792" i="1" a="1"/>
  <c r="H792" i="1" s="1"/>
  <c r="R792" i="1" s="1"/>
  <c r="K792" i="1"/>
  <c r="N792" i="1" s="1"/>
  <c r="AK792" i="1" a="1"/>
  <c r="AK792" i="1" s="1"/>
  <c r="AU792" i="1"/>
  <c r="BD792" i="1"/>
  <c r="H793" i="1" a="1"/>
  <c r="H793" i="1" s="1"/>
  <c r="R793" i="1" s="1"/>
  <c r="K793" i="1"/>
  <c r="N793" i="1" s="1"/>
  <c r="AK793" i="1" a="1"/>
  <c r="AK793" i="1" s="1"/>
  <c r="AU793" i="1"/>
  <c r="BD793" i="1"/>
  <c r="H794" i="1" a="1"/>
  <c r="H794" i="1" s="1"/>
  <c r="R794" i="1" s="1"/>
  <c r="K794" i="1"/>
  <c r="N794" i="1" s="1"/>
  <c r="AK794" i="1" a="1"/>
  <c r="AK794" i="1" s="1"/>
  <c r="AU794" i="1"/>
  <c r="BD794" i="1"/>
  <c r="H795" i="1" a="1"/>
  <c r="H795" i="1" s="1"/>
  <c r="R795" i="1" s="1"/>
  <c r="K795" i="1"/>
  <c r="N795" i="1" s="1"/>
  <c r="Q795" i="1" a="1"/>
  <c r="Q795" i="1" s="1"/>
  <c r="AS795" i="1" s="1"/>
  <c r="AK795" i="1" a="1"/>
  <c r="AK795" i="1" s="1"/>
  <c r="AU795" i="1"/>
  <c r="BD795" i="1"/>
  <c r="H796" i="1" a="1"/>
  <c r="H796" i="1" s="1"/>
  <c r="R796" i="1" s="1"/>
  <c r="K796" i="1"/>
  <c r="N796" i="1" s="1"/>
  <c r="AK796" i="1" a="1"/>
  <c r="AK796" i="1" s="1"/>
  <c r="AU796" i="1"/>
  <c r="BD796" i="1"/>
  <c r="H797" i="1" a="1"/>
  <c r="H797" i="1" s="1"/>
  <c r="R797" i="1" s="1"/>
  <c r="K797" i="1"/>
  <c r="N797" i="1" s="1"/>
  <c r="AK797" i="1" a="1"/>
  <c r="AK797" i="1" s="1"/>
  <c r="AU797" i="1"/>
  <c r="BD797" i="1"/>
  <c r="H798" i="1" a="1"/>
  <c r="H798" i="1" s="1"/>
  <c r="R798" i="1" s="1"/>
  <c r="K798" i="1"/>
  <c r="N798" i="1" s="1"/>
  <c r="AK798" i="1" a="1"/>
  <c r="AK798" i="1" s="1"/>
  <c r="AU798" i="1"/>
  <c r="BD798" i="1"/>
  <c r="H799" i="1" a="1"/>
  <c r="H799" i="1" s="1"/>
  <c r="R799" i="1" s="1"/>
  <c r="K799" i="1"/>
  <c r="N799" i="1" s="1"/>
  <c r="Q799" i="1" a="1"/>
  <c r="Q799" i="1" s="1"/>
  <c r="AS799" i="1" s="1"/>
  <c r="AK799" i="1" a="1"/>
  <c r="AK799" i="1" s="1"/>
  <c r="AU799" i="1"/>
  <c r="BD799" i="1"/>
  <c r="H800" i="1" a="1"/>
  <c r="H800" i="1" s="1"/>
  <c r="R800" i="1" s="1"/>
  <c r="K800" i="1"/>
  <c r="N800" i="1" s="1"/>
  <c r="AK800" i="1" a="1"/>
  <c r="AK800" i="1" s="1"/>
  <c r="AU800" i="1"/>
  <c r="BD800" i="1"/>
  <c r="H801" i="1" a="1"/>
  <c r="H801" i="1" s="1"/>
  <c r="R801" i="1" s="1"/>
  <c r="K801" i="1"/>
  <c r="N801" i="1" s="1"/>
  <c r="AK801" i="1" a="1"/>
  <c r="AK801" i="1" s="1"/>
  <c r="AU801" i="1"/>
  <c r="BD801" i="1"/>
  <c r="H802" i="1" a="1"/>
  <c r="H802" i="1" s="1"/>
  <c r="R802" i="1" s="1"/>
  <c r="K802" i="1"/>
  <c r="N802" i="1" s="1"/>
  <c r="AK802" i="1" a="1"/>
  <c r="AK802" i="1" s="1"/>
  <c r="AU802" i="1"/>
  <c r="BD802" i="1"/>
  <c r="H803" i="1" a="1"/>
  <c r="H803" i="1" s="1"/>
  <c r="R803" i="1" s="1"/>
  <c r="K803" i="1"/>
  <c r="N803" i="1" s="1"/>
  <c r="AK803" i="1" a="1"/>
  <c r="AK803" i="1" s="1"/>
  <c r="AU803" i="1"/>
  <c r="BD803" i="1"/>
  <c r="H804" i="1" a="1"/>
  <c r="H804" i="1" s="1"/>
  <c r="R804" i="1" s="1"/>
  <c r="K804" i="1"/>
  <c r="N804" i="1" s="1"/>
  <c r="AK804" i="1" a="1"/>
  <c r="AK804" i="1" s="1"/>
  <c r="AU804" i="1"/>
  <c r="BD804" i="1"/>
  <c r="H805" i="1" a="1"/>
  <c r="H805" i="1" s="1"/>
  <c r="R805" i="1" s="1"/>
  <c r="K805" i="1"/>
  <c r="N805" i="1" s="1"/>
  <c r="AK805" i="1" a="1"/>
  <c r="AK805" i="1" s="1"/>
  <c r="AU805" i="1"/>
  <c r="BD805" i="1"/>
  <c r="H806" i="1" a="1"/>
  <c r="H806" i="1" s="1"/>
  <c r="R806" i="1" s="1"/>
  <c r="K806" i="1"/>
  <c r="N806" i="1" s="1"/>
  <c r="AK806" i="1" a="1"/>
  <c r="AK806" i="1" s="1"/>
  <c r="AU806" i="1"/>
  <c r="BD806" i="1"/>
  <c r="H807" i="1" a="1"/>
  <c r="H807" i="1" s="1"/>
  <c r="R807" i="1" s="1"/>
  <c r="K807" i="1"/>
  <c r="N807" i="1" s="1"/>
  <c r="Q807" i="1" a="1"/>
  <c r="Q807" i="1" s="1"/>
  <c r="AS807" i="1" s="1"/>
  <c r="AK807" i="1" a="1"/>
  <c r="AK807" i="1" s="1"/>
  <c r="AU807" i="1"/>
  <c r="BD807" i="1"/>
  <c r="H808" i="1" a="1"/>
  <c r="H808" i="1" s="1"/>
  <c r="R808" i="1" s="1"/>
  <c r="K808" i="1"/>
  <c r="N808" i="1" s="1"/>
  <c r="AK808" i="1" a="1"/>
  <c r="AK808" i="1" s="1"/>
  <c r="AU808" i="1"/>
  <c r="BD808" i="1"/>
  <c r="H809" i="1" a="1"/>
  <c r="H809" i="1" s="1"/>
  <c r="R809" i="1" s="1"/>
  <c r="K809" i="1"/>
  <c r="N809" i="1" s="1"/>
  <c r="AK809" i="1" a="1"/>
  <c r="AK809" i="1" s="1"/>
  <c r="AU809" i="1"/>
  <c r="BD809" i="1"/>
  <c r="H810" i="1" a="1"/>
  <c r="H810" i="1" s="1"/>
  <c r="R810" i="1" s="1"/>
  <c r="K810" i="1"/>
  <c r="N810" i="1" s="1"/>
  <c r="AK810" i="1" a="1"/>
  <c r="AK810" i="1" s="1"/>
  <c r="AU810" i="1"/>
  <c r="BD810" i="1"/>
  <c r="H811" i="1" a="1"/>
  <c r="H811" i="1" s="1"/>
  <c r="R811" i="1" s="1"/>
  <c r="K811" i="1"/>
  <c r="N811" i="1" s="1"/>
  <c r="Q811" i="1" a="1"/>
  <c r="Q811" i="1" s="1"/>
  <c r="AS811" i="1" s="1"/>
  <c r="AK811" i="1" a="1"/>
  <c r="AK811" i="1" s="1"/>
  <c r="AU811" i="1"/>
  <c r="BD811" i="1"/>
  <c r="H812" i="1" a="1"/>
  <c r="H812" i="1" s="1"/>
  <c r="R812" i="1" s="1"/>
  <c r="K812" i="1"/>
  <c r="N812" i="1" s="1"/>
  <c r="Q812" i="1" a="1"/>
  <c r="Q812" i="1" s="1"/>
  <c r="AS812" i="1" s="1"/>
  <c r="AK812" i="1" a="1"/>
  <c r="AK812" i="1" s="1"/>
  <c r="AU812" i="1"/>
  <c r="BD812" i="1"/>
  <c r="H813" i="1" a="1"/>
  <c r="H813" i="1" s="1"/>
  <c r="R813" i="1" s="1"/>
  <c r="K813" i="1"/>
  <c r="N813" i="1" s="1"/>
  <c r="AK813" i="1" a="1"/>
  <c r="AK813" i="1" s="1"/>
  <c r="AU813" i="1"/>
  <c r="BD813" i="1"/>
  <c r="H814" i="1" a="1"/>
  <c r="H814" i="1" s="1"/>
  <c r="R814" i="1" s="1"/>
  <c r="K814" i="1"/>
  <c r="N814" i="1" s="1"/>
  <c r="AK814" i="1" a="1"/>
  <c r="AK814" i="1" s="1"/>
  <c r="AU814" i="1"/>
  <c r="BD814" i="1"/>
  <c r="H815" i="1" a="1"/>
  <c r="H815" i="1" s="1"/>
  <c r="R815" i="1" s="1"/>
  <c r="K815" i="1"/>
  <c r="N815" i="1" s="1"/>
  <c r="AK815" i="1" a="1"/>
  <c r="AK815" i="1" s="1"/>
  <c r="AU815" i="1"/>
  <c r="BD815" i="1"/>
  <c r="H816" i="1" a="1"/>
  <c r="H816" i="1" s="1"/>
  <c r="R816" i="1" s="1"/>
  <c r="K816" i="1"/>
  <c r="N816" i="1" s="1"/>
  <c r="Q816" i="1" a="1"/>
  <c r="Q816" i="1" s="1"/>
  <c r="AS816" i="1" s="1"/>
  <c r="AK816" i="1" a="1"/>
  <c r="AK816" i="1" s="1"/>
  <c r="AU816" i="1"/>
  <c r="BD816" i="1"/>
  <c r="H817" i="1" a="1"/>
  <c r="H817" i="1" s="1"/>
  <c r="R817" i="1" s="1"/>
  <c r="K817" i="1"/>
  <c r="N817" i="1" s="1"/>
  <c r="Q817" i="1" a="1"/>
  <c r="Q817" i="1" s="1"/>
  <c r="AS817" i="1" s="1"/>
  <c r="AK817" i="1" a="1"/>
  <c r="AK817" i="1" s="1"/>
  <c r="AU817" i="1"/>
  <c r="BD817" i="1"/>
  <c r="H818" i="1" a="1"/>
  <c r="H818" i="1" s="1"/>
  <c r="R818" i="1" s="1"/>
  <c r="K818" i="1"/>
  <c r="N818" i="1" s="1"/>
  <c r="AK818" i="1" a="1"/>
  <c r="AK818" i="1" s="1"/>
  <c r="AU818" i="1"/>
  <c r="BD818" i="1"/>
  <c r="H819" i="1" a="1"/>
  <c r="H819" i="1" s="1"/>
  <c r="R819" i="1" s="1"/>
  <c r="K819" i="1"/>
  <c r="N819" i="1" s="1"/>
  <c r="Q819" i="1" a="1"/>
  <c r="Q819" i="1" s="1"/>
  <c r="AS819" i="1" s="1"/>
  <c r="AK819" i="1" a="1"/>
  <c r="AK819" i="1" s="1"/>
  <c r="AU819" i="1"/>
  <c r="BD819" i="1"/>
  <c r="H820" i="1" a="1"/>
  <c r="H820" i="1" s="1"/>
  <c r="R820" i="1" s="1"/>
  <c r="K820" i="1"/>
  <c r="N820" i="1" s="1"/>
  <c r="Q820" i="1" a="1"/>
  <c r="Q820" i="1" s="1"/>
  <c r="AS820" i="1" s="1"/>
  <c r="AK820" i="1" a="1"/>
  <c r="AK820" i="1" s="1"/>
  <c r="AU820" i="1"/>
  <c r="BD820" i="1"/>
  <c r="H821" i="1" a="1"/>
  <c r="H821" i="1" s="1"/>
  <c r="R821" i="1" s="1"/>
  <c r="K821" i="1"/>
  <c r="N821" i="1" s="1"/>
  <c r="AK821" i="1" a="1"/>
  <c r="AK821" i="1" s="1"/>
  <c r="AU821" i="1"/>
  <c r="BD821" i="1"/>
  <c r="H822" i="1" a="1"/>
  <c r="H822" i="1" s="1"/>
  <c r="R822" i="1" s="1"/>
  <c r="K822" i="1"/>
  <c r="N822" i="1" s="1"/>
  <c r="AK822" i="1" a="1"/>
  <c r="AK822" i="1" s="1"/>
  <c r="AU822" i="1"/>
  <c r="BD822" i="1"/>
  <c r="H823" i="1" a="1"/>
  <c r="H823" i="1" s="1"/>
  <c r="R823" i="1" s="1"/>
  <c r="K823" i="1"/>
  <c r="N823" i="1" s="1"/>
  <c r="AK823" i="1" a="1"/>
  <c r="AK823" i="1" s="1"/>
  <c r="AU823" i="1"/>
  <c r="BD823" i="1"/>
  <c r="H824" i="1" a="1"/>
  <c r="H824" i="1" s="1"/>
  <c r="R824" i="1" s="1"/>
  <c r="K824" i="1"/>
  <c r="N824" i="1" s="1"/>
  <c r="AK824" i="1" a="1"/>
  <c r="AK824" i="1" s="1"/>
  <c r="AU824" i="1"/>
  <c r="BD824" i="1"/>
  <c r="H825" i="1" a="1"/>
  <c r="H825" i="1" s="1"/>
  <c r="R825" i="1" s="1"/>
  <c r="K825" i="1"/>
  <c r="N825" i="1" s="1"/>
  <c r="AK825" i="1" a="1"/>
  <c r="AK825" i="1" s="1"/>
  <c r="AU825" i="1"/>
  <c r="BD825" i="1"/>
  <c r="H826" i="1" a="1"/>
  <c r="H826" i="1" s="1"/>
  <c r="R826" i="1" s="1"/>
  <c r="K826" i="1"/>
  <c r="N826" i="1" s="1"/>
  <c r="AK826" i="1" a="1"/>
  <c r="AK826" i="1" s="1"/>
  <c r="AU826" i="1"/>
  <c r="BD826" i="1"/>
  <c r="H827" i="1" a="1"/>
  <c r="H827" i="1" s="1"/>
  <c r="R827" i="1" s="1"/>
  <c r="K827" i="1"/>
  <c r="N827" i="1" s="1"/>
  <c r="AK827" i="1" a="1"/>
  <c r="AK827" i="1" s="1"/>
  <c r="AU827" i="1"/>
  <c r="BD827" i="1"/>
  <c r="H828" i="1" a="1"/>
  <c r="H828" i="1" s="1"/>
  <c r="R828" i="1" s="1"/>
  <c r="K828" i="1"/>
  <c r="N828" i="1" s="1"/>
  <c r="AK828" i="1" a="1"/>
  <c r="AK828" i="1" s="1"/>
  <c r="AU828" i="1"/>
  <c r="BD828" i="1"/>
  <c r="H829" i="1" a="1"/>
  <c r="H829" i="1" s="1"/>
  <c r="R829" i="1" s="1"/>
  <c r="K829" i="1"/>
  <c r="N829" i="1" s="1"/>
  <c r="AK829" i="1" a="1"/>
  <c r="AK829" i="1" s="1"/>
  <c r="AU829" i="1"/>
  <c r="BD829" i="1"/>
  <c r="H830" i="1" a="1"/>
  <c r="H830" i="1" s="1"/>
  <c r="R830" i="1" s="1"/>
  <c r="K830" i="1"/>
  <c r="N830" i="1" s="1"/>
  <c r="AK830" i="1" a="1"/>
  <c r="AK830" i="1" s="1"/>
  <c r="AU830" i="1"/>
  <c r="BD830" i="1"/>
  <c r="H831" i="1" a="1"/>
  <c r="H831" i="1" s="1"/>
  <c r="R831" i="1" s="1"/>
  <c r="K831" i="1"/>
  <c r="N831" i="1" s="1"/>
  <c r="AK831" i="1" a="1"/>
  <c r="AK831" i="1" s="1"/>
  <c r="AU831" i="1"/>
  <c r="BD831" i="1"/>
  <c r="H832" i="1" a="1"/>
  <c r="H832" i="1" s="1"/>
  <c r="R832" i="1" s="1"/>
  <c r="K832" i="1"/>
  <c r="N832" i="1" s="1"/>
  <c r="AK832" i="1" a="1"/>
  <c r="AK832" i="1" s="1"/>
  <c r="AU832" i="1"/>
  <c r="BD832" i="1"/>
  <c r="H833" i="1" a="1"/>
  <c r="H833" i="1" s="1"/>
  <c r="R833" i="1" s="1"/>
  <c r="K833" i="1"/>
  <c r="N833" i="1" s="1"/>
  <c r="AK833" i="1" a="1"/>
  <c r="AK833" i="1" s="1"/>
  <c r="AU833" i="1"/>
  <c r="BD833" i="1"/>
  <c r="K837" i="1"/>
  <c r="N837" i="1"/>
  <c r="O837" i="1"/>
  <c r="AK837" i="1" a="1"/>
  <c r="AK837" i="1" s="1"/>
  <c r="AU837" i="1"/>
  <c r="BD837" i="1"/>
  <c r="H838" i="1" a="1"/>
  <c r="H838" i="1" s="1"/>
  <c r="R838" i="1" s="1"/>
  <c r="K838" i="1"/>
  <c r="N838" i="1" s="1"/>
  <c r="AK838" i="1" a="1"/>
  <c r="AK838" i="1" s="1"/>
  <c r="AU838" i="1"/>
  <c r="BD838" i="1"/>
  <c r="H839" i="1" a="1"/>
  <c r="H839" i="1" s="1"/>
  <c r="R839" i="1" s="1"/>
  <c r="K839" i="1"/>
  <c r="N839" i="1" s="1"/>
  <c r="Q839" i="1" a="1"/>
  <c r="Q839" i="1" s="1"/>
  <c r="AS839" i="1" s="1"/>
  <c r="AK839" i="1" a="1"/>
  <c r="AK839" i="1" s="1"/>
  <c r="AU839" i="1"/>
  <c r="BD839" i="1"/>
  <c r="H840" i="1" a="1"/>
  <c r="H840" i="1" s="1"/>
  <c r="R840" i="1" s="1"/>
  <c r="K840" i="1"/>
  <c r="N840" i="1" s="1"/>
  <c r="AK840" i="1" a="1"/>
  <c r="AK840" i="1" s="1"/>
  <c r="AU840" i="1"/>
  <c r="BD840" i="1"/>
  <c r="H841" i="1" a="1"/>
  <c r="H841" i="1" s="1"/>
  <c r="R841" i="1" s="1"/>
  <c r="K841" i="1"/>
  <c r="N841" i="1" s="1"/>
  <c r="AK841" i="1" a="1"/>
  <c r="AK841" i="1" s="1"/>
  <c r="AU841" i="1"/>
  <c r="BD841" i="1"/>
  <c r="H842" i="1" a="1"/>
  <c r="H842" i="1" s="1"/>
  <c r="R842" i="1" s="1"/>
  <c r="K842" i="1"/>
  <c r="N842" i="1" s="1"/>
  <c r="AK842" i="1" a="1"/>
  <c r="AK842" i="1" s="1"/>
  <c r="AU842" i="1"/>
  <c r="BD842" i="1"/>
  <c r="H843" i="1" a="1"/>
  <c r="H843" i="1" s="1"/>
  <c r="R843" i="1" s="1"/>
  <c r="K843" i="1"/>
  <c r="N843" i="1" s="1"/>
  <c r="Q843" i="1" a="1"/>
  <c r="Q843" i="1" s="1"/>
  <c r="AS843" i="1" s="1"/>
  <c r="AK843" i="1" a="1"/>
  <c r="AK843" i="1" s="1"/>
  <c r="AU843" i="1"/>
  <c r="BD843" i="1"/>
  <c r="H844" i="1" a="1"/>
  <c r="H844" i="1" s="1"/>
  <c r="R844" i="1" s="1"/>
  <c r="K844" i="1"/>
  <c r="N844" i="1" s="1"/>
  <c r="AK844" i="1" a="1"/>
  <c r="AK844" i="1" s="1"/>
  <c r="AU844" i="1"/>
  <c r="BD844" i="1"/>
  <c r="H845" i="1" a="1"/>
  <c r="H845" i="1" s="1"/>
  <c r="R845" i="1" s="1"/>
  <c r="K845" i="1"/>
  <c r="N845" i="1" s="1"/>
  <c r="AK845" i="1" a="1"/>
  <c r="AK845" i="1" s="1"/>
  <c r="AU845" i="1"/>
  <c r="BD845" i="1"/>
  <c r="H846" i="1" a="1"/>
  <c r="H846" i="1" s="1"/>
  <c r="R846" i="1" s="1"/>
  <c r="K846" i="1"/>
  <c r="N846" i="1" s="1"/>
  <c r="AK846" i="1" a="1"/>
  <c r="AK846" i="1" s="1"/>
  <c r="AU846" i="1"/>
  <c r="BD846" i="1"/>
  <c r="H847" i="1" a="1"/>
  <c r="H847" i="1" s="1"/>
  <c r="R847" i="1" s="1"/>
  <c r="K847" i="1"/>
  <c r="N847" i="1" s="1"/>
  <c r="Q847" i="1" a="1"/>
  <c r="Q847" i="1" s="1"/>
  <c r="AS847" i="1" s="1"/>
  <c r="AK847" i="1" a="1"/>
  <c r="AK847" i="1" s="1"/>
  <c r="AU847" i="1"/>
  <c r="BD847" i="1"/>
  <c r="H848" i="1" a="1"/>
  <c r="H848" i="1" s="1"/>
  <c r="R848" i="1" s="1"/>
  <c r="K848" i="1"/>
  <c r="N848" i="1" s="1"/>
  <c r="Q848" i="1" a="1"/>
  <c r="Q848" i="1" s="1"/>
  <c r="AS848" i="1" s="1"/>
  <c r="AK848" i="1" a="1"/>
  <c r="AK848" i="1" s="1"/>
  <c r="AU848" i="1"/>
  <c r="BD848" i="1"/>
  <c r="H849" i="1" a="1"/>
  <c r="H849" i="1" s="1"/>
  <c r="R849" i="1" s="1"/>
  <c r="K849" i="1"/>
  <c r="N849" i="1" s="1"/>
  <c r="Q849" i="1" a="1"/>
  <c r="Q849" i="1" s="1"/>
  <c r="AS849" i="1" s="1"/>
  <c r="AK849" i="1" a="1"/>
  <c r="AK849" i="1" s="1"/>
  <c r="AU849" i="1"/>
  <c r="BD849" i="1"/>
  <c r="H850" i="1" a="1"/>
  <c r="H850" i="1" s="1"/>
  <c r="R850" i="1" s="1"/>
  <c r="K850" i="1"/>
  <c r="N850" i="1" s="1"/>
  <c r="AK850" i="1" a="1"/>
  <c r="AK850" i="1" s="1"/>
  <c r="AU850" i="1"/>
  <c r="BD850" i="1"/>
  <c r="H851" i="1" a="1"/>
  <c r="H851" i="1" s="1"/>
  <c r="R851" i="1" s="1"/>
  <c r="K851" i="1"/>
  <c r="N851" i="1" s="1"/>
  <c r="AK851" i="1" a="1"/>
  <c r="AK851" i="1" s="1"/>
  <c r="AU851" i="1"/>
  <c r="BD851" i="1"/>
  <c r="H852" i="1" a="1"/>
  <c r="H852" i="1" s="1"/>
  <c r="R852" i="1" s="1"/>
  <c r="K852" i="1"/>
  <c r="N852" i="1" s="1"/>
  <c r="Q852" i="1" a="1"/>
  <c r="Q852" i="1" s="1"/>
  <c r="AS852" i="1" s="1"/>
  <c r="AK852" i="1" a="1"/>
  <c r="AK852" i="1" s="1"/>
  <c r="AU852" i="1"/>
  <c r="BD852" i="1"/>
  <c r="H853" i="1" a="1"/>
  <c r="H853" i="1" s="1"/>
  <c r="R853" i="1" s="1"/>
  <c r="K853" i="1"/>
  <c r="N853" i="1" s="1"/>
  <c r="AK853" i="1" a="1"/>
  <c r="AK853" i="1" s="1"/>
  <c r="AU853" i="1"/>
  <c r="BD853" i="1"/>
  <c r="H854" i="1" a="1"/>
  <c r="H854" i="1" s="1"/>
  <c r="R854" i="1" s="1"/>
  <c r="K854" i="1"/>
  <c r="N854" i="1" s="1"/>
  <c r="Q854" i="1" a="1"/>
  <c r="Q854" i="1" s="1"/>
  <c r="AS854" i="1" s="1"/>
  <c r="AK854" i="1" a="1"/>
  <c r="AK854" i="1" s="1"/>
  <c r="AU854" i="1"/>
  <c r="BD854" i="1"/>
  <c r="H855" i="1" a="1"/>
  <c r="H855" i="1" s="1"/>
  <c r="R855" i="1" s="1"/>
  <c r="K855" i="1"/>
  <c r="N855" i="1" s="1"/>
  <c r="AK855" i="1" a="1"/>
  <c r="AK855" i="1" s="1"/>
  <c r="AU855" i="1"/>
  <c r="BD855" i="1"/>
  <c r="H856" i="1" a="1"/>
  <c r="H856" i="1" s="1"/>
  <c r="R856" i="1" s="1"/>
  <c r="K856" i="1"/>
  <c r="N856" i="1" s="1"/>
  <c r="AK856" i="1" a="1"/>
  <c r="AK856" i="1" s="1"/>
  <c r="AU856" i="1"/>
  <c r="BD856" i="1"/>
  <c r="H857" i="1" a="1"/>
  <c r="H857" i="1" s="1"/>
  <c r="R857" i="1" s="1"/>
  <c r="K857" i="1"/>
  <c r="N857" i="1" s="1"/>
  <c r="AK857" i="1" a="1"/>
  <c r="AK857" i="1" s="1"/>
  <c r="AU857" i="1"/>
  <c r="BD857" i="1"/>
  <c r="H858" i="1" a="1"/>
  <c r="H858" i="1" s="1"/>
  <c r="R858" i="1" s="1"/>
  <c r="K858" i="1"/>
  <c r="N858" i="1" s="1"/>
  <c r="AK858" i="1" a="1"/>
  <c r="AK858" i="1" s="1"/>
  <c r="AU858" i="1"/>
  <c r="BD858" i="1"/>
  <c r="H859" i="1" a="1"/>
  <c r="H859" i="1" s="1"/>
  <c r="R859" i="1" s="1"/>
  <c r="K859" i="1"/>
  <c r="N859" i="1" s="1"/>
  <c r="Q859" i="1" a="1"/>
  <c r="Q859" i="1" s="1"/>
  <c r="AS859" i="1" s="1"/>
  <c r="AK859" i="1" a="1"/>
  <c r="AK859" i="1" s="1"/>
  <c r="AU859" i="1"/>
  <c r="BD859" i="1"/>
  <c r="H860" i="1" a="1"/>
  <c r="H860" i="1" s="1"/>
  <c r="R860" i="1" s="1"/>
  <c r="K860" i="1"/>
  <c r="N860" i="1" s="1"/>
  <c r="AK860" i="1" a="1"/>
  <c r="AK860" i="1" s="1"/>
  <c r="AU860" i="1"/>
  <c r="BD860" i="1"/>
  <c r="H861" i="1" a="1"/>
  <c r="H861" i="1" s="1"/>
  <c r="R861" i="1" s="1"/>
  <c r="K861" i="1"/>
  <c r="N861" i="1" s="1"/>
  <c r="AK861" i="1" a="1"/>
  <c r="AK861" i="1" s="1"/>
  <c r="AU861" i="1"/>
  <c r="BD861" i="1"/>
  <c r="H862" i="1" a="1"/>
  <c r="H862" i="1" s="1"/>
  <c r="R862" i="1" s="1"/>
  <c r="K862" i="1"/>
  <c r="N862" i="1" s="1"/>
  <c r="AK862" i="1" a="1"/>
  <c r="AK862" i="1" s="1"/>
  <c r="AU862" i="1"/>
  <c r="BD862" i="1"/>
  <c r="H863" i="1" a="1"/>
  <c r="H863" i="1" s="1"/>
  <c r="R863" i="1" s="1"/>
  <c r="K863" i="1"/>
  <c r="N863" i="1" s="1"/>
  <c r="AK863" i="1" a="1"/>
  <c r="AK863" i="1" s="1"/>
  <c r="AU863" i="1"/>
  <c r="BD863" i="1"/>
  <c r="H864" i="1" a="1"/>
  <c r="H864" i="1" s="1"/>
  <c r="R864" i="1" s="1"/>
  <c r="K864" i="1"/>
  <c r="N864" i="1" s="1"/>
  <c r="AK864" i="1" a="1"/>
  <c r="AK864" i="1" s="1"/>
  <c r="AU864" i="1"/>
  <c r="BD864" i="1"/>
  <c r="H865" i="1" a="1"/>
  <c r="H865" i="1" s="1"/>
  <c r="R865" i="1" s="1"/>
  <c r="K865" i="1"/>
  <c r="N865" i="1" s="1"/>
  <c r="Q865" i="1" a="1"/>
  <c r="Q865" i="1" s="1"/>
  <c r="AS865" i="1" s="1"/>
  <c r="AK865" i="1" a="1"/>
  <c r="AK865" i="1" s="1"/>
  <c r="AU865" i="1"/>
  <c r="BD865" i="1"/>
  <c r="H866" i="1" a="1"/>
  <c r="H866" i="1" s="1"/>
  <c r="R866" i="1" s="1"/>
  <c r="K866" i="1"/>
  <c r="N866" i="1" s="1"/>
  <c r="Q866" i="1" a="1"/>
  <c r="Q866" i="1" s="1"/>
  <c r="AS866" i="1" s="1"/>
  <c r="AK866" i="1" a="1"/>
  <c r="AK866" i="1" s="1"/>
  <c r="AU866" i="1"/>
  <c r="BD866" i="1"/>
  <c r="H867" i="1" a="1"/>
  <c r="H867" i="1" s="1"/>
  <c r="R867" i="1" s="1"/>
  <c r="K867" i="1"/>
  <c r="N867" i="1" s="1"/>
  <c r="AK867" i="1" a="1"/>
  <c r="AK867" i="1" s="1"/>
  <c r="AU867" i="1"/>
  <c r="BD867" i="1"/>
  <c r="H868" i="1" a="1"/>
  <c r="H868" i="1" s="1"/>
  <c r="R868" i="1" s="1"/>
  <c r="K868" i="1"/>
  <c r="N868" i="1" s="1"/>
  <c r="Q868" i="1" a="1"/>
  <c r="Q868" i="1" s="1"/>
  <c r="AS868" i="1" s="1"/>
  <c r="AK868" i="1" a="1"/>
  <c r="AK868" i="1" s="1"/>
  <c r="AU868" i="1"/>
  <c r="BD868" i="1"/>
  <c r="H869" i="1" a="1"/>
  <c r="H869" i="1" s="1"/>
  <c r="R869" i="1" s="1"/>
  <c r="K869" i="1"/>
  <c r="N869" i="1" s="1"/>
  <c r="Q869" i="1" a="1"/>
  <c r="Q869" i="1" s="1"/>
  <c r="AS869" i="1" s="1"/>
  <c r="AK869" i="1" a="1"/>
  <c r="AK869" i="1" s="1"/>
  <c r="AU869" i="1"/>
  <c r="BD869" i="1"/>
  <c r="H870" i="1" a="1"/>
  <c r="H870" i="1" s="1"/>
  <c r="R870" i="1" s="1"/>
  <c r="K870" i="1"/>
  <c r="N870" i="1" s="1"/>
  <c r="Q870" i="1" a="1"/>
  <c r="Q870" i="1" s="1"/>
  <c r="AS870" i="1" s="1"/>
  <c r="AK870" i="1" a="1"/>
  <c r="AK870" i="1" s="1"/>
  <c r="AU870" i="1"/>
  <c r="BD870" i="1"/>
  <c r="H871" i="1" a="1"/>
  <c r="H871" i="1" s="1"/>
  <c r="R871" i="1" s="1"/>
  <c r="K871" i="1"/>
  <c r="N871" i="1" s="1"/>
  <c r="AK871" i="1" a="1"/>
  <c r="AK871" i="1" s="1"/>
  <c r="AU871" i="1"/>
  <c r="BD871" i="1"/>
  <c r="H872" i="1" a="1"/>
  <c r="H872" i="1" s="1"/>
  <c r="R872" i="1" s="1"/>
  <c r="K872" i="1"/>
  <c r="N872" i="1" s="1"/>
  <c r="Q872" i="1" a="1"/>
  <c r="Q872" i="1" s="1"/>
  <c r="AS872" i="1" s="1"/>
  <c r="AK872" i="1" a="1"/>
  <c r="AK872" i="1" s="1"/>
  <c r="AU872" i="1"/>
  <c r="BD872" i="1"/>
  <c r="H873" i="1" a="1"/>
  <c r="H873" i="1" s="1"/>
  <c r="R873" i="1" s="1"/>
  <c r="K873" i="1"/>
  <c r="N873" i="1" s="1"/>
  <c r="AK873" i="1" a="1"/>
  <c r="AK873" i="1" s="1"/>
  <c r="AU873" i="1"/>
  <c r="BD873" i="1"/>
  <c r="H874" i="1" a="1"/>
  <c r="H874" i="1" s="1"/>
  <c r="R874" i="1" s="1"/>
  <c r="K874" i="1"/>
  <c r="N874" i="1" s="1"/>
  <c r="AK874" i="1" a="1"/>
  <c r="AK874" i="1" s="1"/>
  <c r="AU874" i="1"/>
  <c r="BD874" i="1"/>
  <c r="H875" i="1" a="1"/>
  <c r="H875" i="1" s="1"/>
  <c r="R875" i="1" s="1"/>
  <c r="K875" i="1"/>
  <c r="N875" i="1" s="1"/>
  <c r="Q875" i="1" a="1"/>
  <c r="Q875" i="1" s="1"/>
  <c r="AS875" i="1" s="1"/>
  <c r="AK875" i="1" a="1"/>
  <c r="AK875" i="1" s="1"/>
  <c r="AU875" i="1"/>
  <c r="BD875" i="1"/>
  <c r="H876" i="1" a="1"/>
  <c r="H876" i="1" s="1"/>
  <c r="R876" i="1" s="1"/>
  <c r="K876" i="1"/>
  <c r="N876" i="1" s="1"/>
  <c r="AK876" i="1" a="1"/>
  <c r="AK876" i="1" s="1"/>
  <c r="AU876" i="1"/>
  <c r="BD876" i="1"/>
  <c r="H877" i="1" a="1"/>
  <c r="H877" i="1" s="1"/>
  <c r="R877" i="1" s="1"/>
  <c r="K877" i="1"/>
  <c r="N877" i="1" s="1"/>
  <c r="AK877" i="1" a="1"/>
  <c r="AK877" i="1" s="1"/>
  <c r="AU877" i="1"/>
  <c r="BD877" i="1"/>
  <c r="H878" i="1" a="1"/>
  <c r="H878" i="1" s="1"/>
  <c r="R878" i="1" s="1"/>
  <c r="K878" i="1"/>
  <c r="N878" i="1" s="1"/>
  <c r="Q878" i="1" a="1"/>
  <c r="Q878" i="1" s="1"/>
  <c r="AS878" i="1" s="1"/>
  <c r="AK878" i="1" a="1"/>
  <c r="AK878" i="1" s="1"/>
  <c r="AU878" i="1"/>
  <c r="BD878" i="1"/>
  <c r="H879" i="1" a="1"/>
  <c r="H879" i="1" s="1"/>
  <c r="R879" i="1" s="1"/>
  <c r="K879" i="1"/>
  <c r="N879" i="1" s="1"/>
  <c r="AK879" i="1" a="1"/>
  <c r="AK879" i="1" s="1"/>
  <c r="AU879" i="1"/>
  <c r="BD879" i="1"/>
  <c r="H880" i="1" a="1"/>
  <c r="H880" i="1" s="1"/>
  <c r="R880" i="1" s="1"/>
  <c r="K880" i="1"/>
  <c r="N880" i="1" s="1"/>
  <c r="AK880" i="1" a="1"/>
  <c r="AK880" i="1" s="1"/>
  <c r="AU880" i="1"/>
  <c r="BD880" i="1"/>
  <c r="H881" i="1" a="1"/>
  <c r="H881" i="1" s="1"/>
  <c r="R881" i="1" s="1"/>
  <c r="K881" i="1"/>
  <c r="N881" i="1" s="1"/>
  <c r="AK881" i="1" a="1"/>
  <c r="AK881" i="1" s="1"/>
  <c r="AU881" i="1"/>
  <c r="BD881" i="1"/>
  <c r="H882" i="1" a="1"/>
  <c r="H882" i="1" s="1"/>
  <c r="R882" i="1" s="1"/>
  <c r="K882" i="1"/>
  <c r="N882" i="1" s="1"/>
  <c r="AK882" i="1" a="1"/>
  <c r="AK882" i="1" s="1"/>
  <c r="AU882" i="1"/>
  <c r="BD882" i="1"/>
  <c r="H883" i="1" a="1"/>
  <c r="H883" i="1" s="1"/>
  <c r="R883" i="1" s="1"/>
  <c r="K883" i="1"/>
  <c r="N883" i="1" s="1"/>
  <c r="AK883" i="1" a="1"/>
  <c r="AK883" i="1" s="1"/>
  <c r="AU883" i="1"/>
  <c r="BD883" i="1"/>
  <c r="H884" i="1" a="1"/>
  <c r="H884" i="1" s="1"/>
  <c r="R884" i="1" s="1"/>
  <c r="K884" i="1"/>
  <c r="N884" i="1" s="1"/>
  <c r="AK884" i="1" a="1"/>
  <c r="AK884" i="1" s="1"/>
  <c r="AU884" i="1"/>
  <c r="BD884" i="1"/>
  <c r="H885" i="1" a="1"/>
  <c r="H885" i="1" s="1"/>
  <c r="R885" i="1" s="1"/>
  <c r="K885" i="1"/>
  <c r="N885" i="1" s="1"/>
  <c r="Q885" i="1" a="1"/>
  <c r="Q885" i="1" s="1"/>
  <c r="AS885" i="1" s="1"/>
  <c r="AK885" i="1" a="1"/>
  <c r="AK885" i="1" s="1"/>
  <c r="AU885" i="1"/>
  <c r="BD885" i="1"/>
  <c r="H886" i="1" a="1"/>
  <c r="H886" i="1" s="1"/>
  <c r="R886" i="1" s="1"/>
  <c r="K886" i="1"/>
  <c r="N886" i="1" s="1"/>
  <c r="AK886" i="1" a="1"/>
  <c r="AK886" i="1" s="1"/>
  <c r="AU886" i="1"/>
  <c r="BD886" i="1"/>
  <c r="H887" i="1" a="1"/>
  <c r="H887" i="1" s="1"/>
  <c r="R887" i="1" s="1"/>
  <c r="K887" i="1"/>
  <c r="N887" i="1" s="1"/>
  <c r="AK887" i="1" a="1"/>
  <c r="AK887" i="1" s="1"/>
  <c r="AU887" i="1"/>
  <c r="BD887" i="1"/>
  <c r="H888" i="1" a="1"/>
  <c r="H888" i="1" s="1"/>
  <c r="R888" i="1" s="1"/>
  <c r="K888" i="1"/>
  <c r="N888" i="1" s="1"/>
  <c r="AK888" i="1" a="1"/>
  <c r="AK888" i="1" s="1"/>
  <c r="AU888" i="1"/>
  <c r="BD888" i="1"/>
  <c r="H889" i="1" a="1"/>
  <c r="H889" i="1" s="1"/>
  <c r="R889" i="1" s="1"/>
  <c r="K889" i="1"/>
  <c r="N889" i="1" s="1"/>
  <c r="AK889" i="1" a="1"/>
  <c r="AK889" i="1" s="1"/>
  <c r="AU889" i="1"/>
  <c r="BD889" i="1"/>
  <c r="H890" i="1" a="1"/>
  <c r="H890" i="1" s="1"/>
  <c r="R890" i="1" s="1"/>
  <c r="K890" i="1"/>
  <c r="N890" i="1" s="1"/>
  <c r="Q890" i="1" a="1"/>
  <c r="Q890" i="1" s="1"/>
  <c r="AS890" i="1" s="1"/>
  <c r="AK890" i="1" a="1"/>
  <c r="AK890" i="1" s="1"/>
  <c r="AU890" i="1"/>
  <c r="BD890" i="1"/>
  <c r="H891" i="1" a="1"/>
  <c r="H891" i="1" s="1"/>
  <c r="R891" i="1" s="1"/>
  <c r="K891" i="1"/>
  <c r="N891" i="1" s="1"/>
  <c r="Q891" i="1" a="1"/>
  <c r="Q891" i="1" s="1"/>
  <c r="AS891" i="1" s="1"/>
  <c r="AK891" i="1" a="1"/>
  <c r="AK891" i="1" s="1"/>
  <c r="AU891" i="1"/>
  <c r="BD891" i="1"/>
  <c r="H892" i="1" a="1"/>
  <c r="H892" i="1" s="1"/>
  <c r="R892" i="1" s="1"/>
  <c r="K892" i="1"/>
  <c r="N892" i="1" s="1"/>
  <c r="AK892" i="1" a="1"/>
  <c r="AK892" i="1" s="1"/>
  <c r="AU892" i="1"/>
  <c r="BD892" i="1"/>
  <c r="H893" i="1" a="1"/>
  <c r="H893" i="1" s="1"/>
  <c r="R893" i="1" s="1"/>
  <c r="K893" i="1"/>
  <c r="N893" i="1" s="1"/>
  <c r="Q893" i="1" a="1"/>
  <c r="Q893" i="1" s="1"/>
  <c r="AS893" i="1" s="1"/>
  <c r="AK893" i="1" a="1"/>
  <c r="AK893" i="1" s="1"/>
  <c r="AU893" i="1"/>
  <c r="BD893" i="1"/>
  <c r="H894" i="1" a="1"/>
  <c r="H894" i="1" s="1"/>
  <c r="R894" i="1" s="1"/>
  <c r="K894" i="1"/>
  <c r="N894" i="1" s="1"/>
  <c r="AK894" i="1" a="1"/>
  <c r="AK894" i="1" s="1"/>
  <c r="AU894" i="1"/>
  <c r="BD894" i="1"/>
  <c r="H895" i="1" a="1"/>
  <c r="H895" i="1" s="1"/>
  <c r="R895" i="1" s="1"/>
  <c r="K895" i="1"/>
  <c r="N895" i="1" s="1"/>
  <c r="Q895" i="1" a="1"/>
  <c r="Q895" i="1" s="1"/>
  <c r="AS895" i="1" s="1"/>
  <c r="AK895" i="1" a="1"/>
  <c r="AK895" i="1" s="1"/>
  <c r="AU895" i="1"/>
  <c r="BD895" i="1"/>
  <c r="H896" i="1" a="1"/>
  <c r="H896" i="1" s="1"/>
  <c r="R896" i="1" s="1"/>
  <c r="K896" i="1"/>
  <c r="N896" i="1" s="1"/>
  <c r="AK896" i="1" a="1"/>
  <c r="AK896" i="1" s="1"/>
  <c r="AU896" i="1"/>
  <c r="BD896" i="1"/>
  <c r="H897" i="1" a="1"/>
  <c r="H897" i="1" s="1"/>
  <c r="R897" i="1" s="1"/>
  <c r="K897" i="1"/>
  <c r="N897" i="1" s="1"/>
  <c r="Q897" i="1" a="1"/>
  <c r="Q897" i="1" s="1"/>
  <c r="AS897" i="1" s="1"/>
  <c r="AK897" i="1" a="1"/>
  <c r="AK897" i="1" s="1"/>
  <c r="AU897" i="1"/>
  <c r="BD897" i="1"/>
  <c r="H898" i="1" a="1"/>
  <c r="H898" i="1" s="1"/>
  <c r="R898" i="1" s="1"/>
  <c r="K898" i="1"/>
  <c r="N898" i="1" s="1"/>
  <c r="AK898" i="1" a="1"/>
  <c r="AK898" i="1" s="1"/>
  <c r="AU898" i="1"/>
  <c r="BD898" i="1"/>
  <c r="H899" i="1" a="1"/>
  <c r="H899" i="1" s="1"/>
  <c r="R899" i="1" s="1"/>
  <c r="K899" i="1"/>
  <c r="N899" i="1" s="1"/>
  <c r="Q899" i="1" a="1"/>
  <c r="Q899" i="1" s="1"/>
  <c r="AS899" i="1" s="1"/>
  <c r="AK899" i="1" a="1"/>
  <c r="AK899" i="1" s="1"/>
  <c r="AU899" i="1"/>
  <c r="BD899" i="1"/>
  <c r="H900" i="1" a="1"/>
  <c r="H900" i="1" s="1"/>
  <c r="R900" i="1" s="1"/>
  <c r="K900" i="1"/>
  <c r="N900" i="1" s="1"/>
  <c r="Q900" i="1" a="1"/>
  <c r="Q900" i="1" s="1"/>
  <c r="AS900" i="1" s="1"/>
  <c r="AK900" i="1" a="1"/>
  <c r="AK900" i="1" s="1"/>
  <c r="AU900" i="1"/>
  <c r="BD900" i="1"/>
  <c r="H901" i="1" a="1"/>
  <c r="H901" i="1" s="1"/>
  <c r="R901" i="1" s="1"/>
  <c r="K901" i="1"/>
  <c r="N901" i="1" s="1"/>
  <c r="AK901" i="1" a="1"/>
  <c r="AK901" i="1" s="1"/>
  <c r="AU901" i="1"/>
  <c r="BD901" i="1"/>
  <c r="K905" i="1"/>
  <c r="N905" i="1"/>
  <c r="O905" i="1"/>
  <c r="AS905" i="1"/>
  <c r="AK905" i="1" a="1"/>
  <c r="AK905" i="1" s="1"/>
  <c r="AU905" i="1"/>
  <c r="BD905" i="1"/>
  <c r="H906" i="1" a="1"/>
  <c r="H906" i="1" s="1"/>
  <c r="R906" i="1" s="1"/>
  <c r="K906" i="1"/>
  <c r="N906" i="1" s="1"/>
  <c r="Q906" i="1" a="1"/>
  <c r="Q906" i="1" s="1"/>
  <c r="AS906" i="1" s="1"/>
  <c r="AK906" i="1" a="1"/>
  <c r="AK906" i="1" s="1"/>
  <c r="AU906" i="1"/>
  <c r="BD906" i="1"/>
  <c r="H907" i="1" a="1"/>
  <c r="H907" i="1" s="1"/>
  <c r="R907" i="1" s="1"/>
  <c r="K907" i="1"/>
  <c r="N907" i="1" s="1"/>
  <c r="AK907" i="1" a="1"/>
  <c r="AK907" i="1" s="1"/>
  <c r="AU907" i="1"/>
  <c r="BD907" i="1"/>
  <c r="H908" i="1" a="1"/>
  <c r="H908" i="1" s="1"/>
  <c r="R908" i="1" s="1"/>
  <c r="K908" i="1"/>
  <c r="N908" i="1" s="1"/>
  <c r="Q908" i="1" a="1"/>
  <c r="Q908" i="1" s="1"/>
  <c r="AS908" i="1" s="1"/>
  <c r="AK908" i="1" a="1"/>
  <c r="AK908" i="1" s="1"/>
  <c r="AU908" i="1"/>
  <c r="BD908" i="1"/>
  <c r="H909" i="1" a="1"/>
  <c r="H909" i="1" s="1"/>
  <c r="R909" i="1" s="1"/>
  <c r="K909" i="1"/>
  <c r="N909" i="1" s="1"/>
  <c r="AK909" i="1" a="1"/>
  <c r="AK909" i="1" s="1"/>
  <c r="AU909" i="1"/>
  <c r="BD909" i="1"/>
  <c r="H910" i="1" a="1"/>
  <c r="H910" i="1" s="1"/>
  <c r="R910" i="1" s="1"/>
  <c r="K910" i="1"/>
  <c r="N910" i="1" s="1"/>
  <c r="AK910" i="1" a="1"/>
  <c r="AK910" i="1" s="1"/>
  <c r="AU910" i="1"/>
  <c r="BD910" i="1"/>
  <c r="H911" i="1" a="1"/>
  <c r="H911" i="1" s="1"/>
  <c r="R911" i="1" s="1"/>
  <c r="K911" i="1"/>
  <c r="N911" i="1" s="1"/>
  <c r="AK911" i="1" a="1"/>
  <c r="AK911" i="1" s="1"/>
  <c r="AU911" i="1"/>
  <c r="BD911" i="1"/>
  <c r="H912" i="1" a="1"/>
  <c r="H912" i="1" s="1"/>
  <c r="R912" i="1" s="1"/>
  <c r="K912" i="1"/>
  <c r="N912" i="1" s="1"/>
  <c r="Q912" i="1" a="1"/>
  <c r="Q912" i="1" s="1"/>
  <c r="AS912" i="1" s="1"/>
  <c r="AK912" i="1" a="1"/>
  <c r="AK912" i="1" s="1"/>
  <c r="AU912" i="1"/>
  <c r="BD912" i="1"/>
  <c r="H913" i="1" a="1"/>
  <c r="H913" i="1" s="1"/>
  <c r="R913" i="1" s="1"/>
  <c r="K913" i="1"/>
  <c r="N913" i="1" s="1"/>
  <c r="AK913" i="1" a="1"/>
  <c r="AK913" i="1" s="1"/>
  <c r="AU913" i="1"/>
  <c r="BD913" i="1"/>
  <c r="H914" i="1" a="1"/>
  <c r="H914" i="1" s="1"/>
  <c r="R914" i="1" s="1"/>
  <c r="K914" i="1"/>
  <c r="N914" i="1" s="1"/>
  <c r="AK914" i="1" a="1"/>
  <c r="AK914" i="1" s="1"/>
  <c r="AU914" i="1"/>
  <c r="BD914" i="1"/>
  <c r="H915" i="1" a="1"/>
  <c r="H915" i="1" s="1"/>
  <c r="R915" i="1" s="1"/>
  <c r="K915" i="1"/>
  <c r="N915" i="1" s="1"/>
  <c r="AK915" i="1" a="1"/>
  <c r="AK915" i="1" s="1"/>
  <c r="AU915" i="1"/>
  <c r="BD915" i="1"/>
  <c r="H916" i="1" a="1"/>
  <c r="H916" i="1" s="1"/>
  <c r="R916" i="1" s="1"/>
  <c r="K916" i="1"/>
  <c r="N916" i="1" s="1"/>
  <c r="Q916" i="1" a="1"/>
  <c r="Q916" i="1" s="1"/>
  <c r="AS916" i="1" s="1"/>
  <c r="AK916" i="1" a="1"/>
  <c r="AK916" i="1" s="1"/>
  <c r="AU916" i="1"/>
  <c r="BD916" i="1"/>
  <c r="H917" i="1" a="1"/>
  <c r="H917" i="1" s="1"/>
  <c r="R917" i="1" s="1"/>
  <c r="K917" i="1"/>
  <c r="N917" i="1" s="1"/>
  <c r="AK917" i="1" a="1"/>
  <c r="AK917" i="1" s="1"/>
  <c r="AU917" i="1"/>
  <c r="BD917" i="1"/>
  <c r="H918" i="1" a="1"/>
  <c r="H918" i="1" s="1"/>
  <c r="R918" i="1" s="1"/>
  <c r="K918" i="1"/>
  <c r="N918" i="1" s="1"/>
  <c r="Q918" i="1" a="1"/>
  <c r="Q918" i="1" s="1"/>
  <c r="AS918" i="1" s="1"/>
  <c r="AK918" i="1" a="1"/>
  <c r="AK918" i="1" s="1"/>
  <c r="AU918" i="1"/>
  <c r="BD918" i="1"/>
  <c r="H919" i="1" a="1"/>
  <c r="H919" i="1" s="1"/>
  <c r="R919" i="1" s="1"/>
  <c r="K919" i="1"/>
  <c r="N919" i="1" s="1"/>
  <c r="AK919" i="1" a="1"/>
  <c r="AK919" i="1" s="1"/>
  <c r="AU919" i="1"/>
  <c r="BD919" i="1"/>
  <c r="H920" i="1" a="1"/>
  <c r="H920" i="1" s="1"/>
  <c r="R920" i="1" s="1"/>
  <c r="K920" i="1"/>
  <c r="N920" i="1" s="1"/>
  <c r="Q920" i="1" a="1"/>
  <c r="Q920" i="1" s="1"/>
  <c r="AS920" i="1" s="1"/>
  <c r="AK920" i="1" a="1"/>
  <c r="AK920" i="1" s="1"/>
  <c r="AU920" i="1"/>
  <c r="BD920" i="1"/>
  <c r="H921" i="1" a="1"/>
  <c r="H921" i="1" s="1"/>
  <c r="R921" i="1" s="1"/>
  <c r="K921" i="1"/>
  <c r="N921" i="1" s="1"/>
  <c r="AK921" i="1" a="1"/>
  <c r="AK921" i="1" s="1"/>
  <c r="AU921" i="1"/>
  <c r="BD921" i="1"/>
  <c r="H922" i="1" a="1"/>
  <c r="H922" i="1" s="1"/>
  <c r="R922" i="1" s="1"/>
  <c r="K922" i="1"/>
  <c r="N922" i="1" s="1"/>
  <c r="AK922" i="1" a="1"/>
  <c r="AK922" i="1" s="1"/>
  <c r="AU922" i="1"/>
  <c r="BD922" i="1"/>
  <c r="H923" i="1" a="1"/>
  <c r="H923" i="1" s="1"/>
  <c r="R923" i="1" s="1"/>
  <c r="K923" i="1"/>
  <c r="N923" i="1" s="1"/>
  <c r="Q923" i="1" a="1"/>
  <c r="Q923" i="1" s="1"/>
  <c r="AS923" i="1" s="1"/>
  <c r="AK923" i="1" a="1"/>
  <c r="AK923" i="1" s="1"/>
  <c r="AU923" i="1"/>
  <c r="BD923" i="1"/>
  <c r="H924" i="1" a="1"/>
  <c r="H924" i="1" s="1"/>
  <c r="R924" i="1" s="1"/>
  <c r="K924" i="1"/>
  <c r="N924" i="1" s="1"/>
  <c r="AK924" i="1" a="1"/>
  <c r="AK924" i="1" s="1"/>
  <c r="AU924" i="1"/>
  <c r="BD924" i="1"/>
  <c r="H925" i="1" a="1"/>
  <c r="H925" i="1" s="1"/>
  <c r="R925" i="1" s="1"/>
  <c r="K925" i="1"/>
  <c r="N925" i="1" s="1"/>
  <c r="Q925" i="1" a="1"/>
  <c r="Q925" i="1" s="1"/>
  <c r="AS925" i="1" s="1"/>
  <c r="AK925" i="1" a="1"/>
  <c r="AK925" i="1" s="1"/>
  <c r="AU925" i="1"/>
  <c r="BD925" i="1"/>
  <c r="H926" i="1" a="1"/>
  <c r="H926" i="1" s="1"/>
  <c r="R926" i="1" s="1"/>
  <c r="K926" i="1"/>
  <c r="N926" i="1" s="1"/>
  <c r="AK926" i="1" a="1"/>
  <c r="AK926" i="1" s="1"/>
  <c r="AU926" i="1"/>
  <c r="BD926" i="1"/>
  <c r="H927" i="1" a="1"/>
  <c r="H927" i="1" s="1"/>
  <c r="R927" i="1" s="1"/>
  <c r="K927" i="1"/>
  <c r="N927" i="1" s="1"/>
  <c r="AK927" i="1" a="1"/>
  <c r="AK927" i="1" s="1"/>
  <c r="AU927" i="1"/>
  <c r="BD927" i="1"/>
  <c r="H928" i="1" a="1"/>
  <c r="H928" i="1" s="1"/>
  <c r="R928" i="1" s="1"/>
  <c r="K928" i="1"/>
  <c r="N928" i="1" s="1"/>
  <c r="AK928" i="1" a="1"/>
  <c r="AK928" i="1" s="1"/>
  <c r="AU928" i="1"/>
  <c r="BD928" i="1"/>
  <c r="H929" i="1" a="1"/>
  <c r="H929" i="1" s="1"/>
  <c r="R929" i="1" s="1"/>
  <c r="K929" i="1"/>
  <c r="N929" i="1" s="1"/>
  <c r="Q929" i="1" a="1"/>
  <c r="Q929" i="1" s="1"/>
  <c r="AS929" i="1" s="1"/>
  <c r="AK929" i="1" a="1"/>
  <c r="AK929" i="1" s="1"/>
  <c r="AU929" i="1"/>
  <c r="BD929" i="1"/>
  <c r="H930" i="1" a="1"/>
  <c r="H930" i="1" s="1"/>
  <c r="R930" i="1" s="1"/>
  <c r="K930" i="1"/>
  <c r="N930" i="1" s="1"/>
  <c r="AK930" i="1" a="1"/>
  <c r="AK930" i="1" s="1"/>
  <c r="AU930" i="1"/>
  <c r="BD930" i="1"/>
  <c r="H931" i="1" a="1"/>
  <c r="H931" i="1" s="1"/>
  <c r="R931" i="1" s="1"/>
  <c r="K931" i="1"/>
  <c r="N931" i="1" s="1"/>
  <c r="Q931" i="1" a="1"/>
  <c r="Q931" i="1" s="1"/>
  <c r="AS931" i="1" s="1"/>
  <c r="AK931" i="1" a="1"/>
  <c r="AK931" i="1" s="1"/>
  <c r="AU931" i="1"/>
  <c r="BD931" i="1"/>
  <c r="H932" i="1" a="1"/>
  <c r="H932" i="1" s="1"/>
  <c r="R932" i="1" s="1"/>
  <c r="K932" i="1"/>
  <c r="N932" i="1" s="1"/>
  <c r="AK932" i="1" a="1"/>
  <c r="AK932" i="1" s="1"/>
  <c r="AU932" i="1"/>
  <c r="BD932" i="1"/>
  <c r="H933" i="1" a="1"/>
  <c r="H933" i="1" s="1"/>
  <c r="R933" i="1" s="1"/>
  <c r="K933" i="1"/>
  <c r="N933" i="1" s="1"/>
  <c r="Q933" i="1" a="1"/>
  <c r="Q933" i="1" s="1"/>
  <c r="AS933" i="1" s="1"/>
  <c r="AK933" i="1" a="1"/>
  <c r="AK933" i="1" s="1"/>
  <c r="AU933" i="1"/>
  <c r="BD933" i="1"/>
  <c r="H934" i="1" a="1"/>
  <c r="H934" i="1" s="1"/>
  <c r="R934" i="1" s="1"/>
  <c r="K934" i="1"/>
  <c r="N934" i="1" s="1"/>
  <c r="Q934" i="1" a="1"/>
  <c r="Q934" i="1" s="1"/>
  <c r="AS934" i="1" s="1"/>
  <c r="AK934" i="1" a="1"/>
  <c r="AK934" i="1" s="1"/>
  <c r="AU934" i="1"/>
  <c r="BD934" i="1"/>
  <c r="H935" i="1" a="1"/>
  <c r="H935" i="1" s="1"/>
  <c r="R935" i="1" s="1"/>
  <c r="K935" i="1"/>
  <c r="N935" i="1" s="1"/>
  <c r="AK935" i="1" a="1"/>
  <c r="AK935" i="1" s="1"/>
  <c r="AU935" i="1"/>
  <c r="BD935" i="1"/>
  <c r="H936" i="1" a="1"/>
  <c r="H936" i="1" s="1"/>
  <c r="R936" i="1" s="1"/>
  <c r="K936" i="1"/>
  <c r="N936" i="1" s="1"/>
  <c r="Q936" i="1" a="1"/>
  <c r="Q936" i="1" s="1"/>
  <c r="AS936" i="1" s="1"/>
  <c r="AK936" i="1" a="1"/>
  <c r="AK936" i="1" s="1"/>
  <c r="AU936" i="1"/>
  <c r="BD936" i="1"/>
  <c r="H937" i="1" a="1"/>
  <c r="H937" i="1" s="1"/>
  <c r="R937" i="1" s="1"/>
  <c r="K937" i="1"/>
  <c r="N937" i="1" s="1"/>
  <c r="Q937" i="1" a="1"/>
  <c r="Q937" i="1" s="1"/>
  <c r="AS937" i="1" s="1"/>
  <c r="AK937" i="1" a="1"/>
  <c r="AK937" i="1" s="1"/>
  <c r="AU937" i="1"/>
  <c r="BD937" i="1"/>
  <c r="H938" i="1" a="1"/>
  <c r="H938" i="1" s="1"/>
  <c r="R938" i="1" s="1"/>
  <c r="K938" i="1"/>
  <c r="N938" i="1" s="1"/>
  <c r="AK938" i="1" a="1"/>
  <c r="AK938" i="1" s="1"/>
  <c r="AU938" i="1"/>
  <c r="BD938" i="1"/>
  <c r="H939" i="1" a="1"/>
  <c r="H939" i="1" s="1"/>
  <c r="R939" i="1" s="1"/>
  <c r="K939" i="1"/>
  <c r="N939" i="1" s="1"/>
  <c r="AK939" i="1" a="1"/>
  <c r="AK939" i="1" s="1"/>
  <c r="AU939" i="1"/>
  <c r="BD939" i="1"/>
  <c r="H940" i="1" a="1"/>
  <c r="H940" i="1" s="1"/>
  <c r="R940" i="1" s="1"/>
  <c r="K940" i="1"/>
  <c r="N940" i="1" s="1"/>
  <c r="AK940" i="1" a="1"/>
  <c r="AK940" i="1" s="1"/>
  <c r="AU940" i="1"/>
  <c r="BD940" i="1"/>
  <c r="H941" i="1" a="1"/>
  <c r="H941" i="1" s="1"/>
  <c r="R941" i="1" s="1"/>
  <c r="K941" i="1"/>
  <c r="N941" i="1" s="1"/>
  <c r="Q941" i="1" a="1"/>
  <c r="Q941" i="1" s="1"/>
  <c r="AS941" i="1" s="1"/>
  <c r="AK941" i="1" a="1"/>
  <c r="AK941" i="1" s="1"/>
  <c r="AU941" i="1"/>
  <c r="BD941" i="1"/>
  <c r="H942" i="1" a="1"/>
  <c r="H942" i="1" s="1"/>
  <c r="R942" i="1" s="1"/>
  <c r="K942" i="1"/>
  <c r="N942" i="1" s="1"/>
  <c r="AK942" i="1" a="1"/>
  <c r="AK942" i="1" s="1"/>
  <c r="AU942" i="1"/>
  <c r="BD942" i="1"/>
  <c r="H943" i="1" a="1"/>
  <c r="H943" i="1" s="1"/>
  <c r="R943" i="1" s="1"/>
  <c r="K943" i="1"/>
  <c r="N943" i="1" s="1"/>
  <c r="Q943" i="1" a="1"/>
  <c r="Q943" i="1" s="1"/>
  <c r="AS943" i="1" s="1"/>
  <c r="AK943" i="1" a="1"/>
  <c r="AK943" i="1" s="1"/>
  <c r="AU943" i="1"/>
  <c r="BD943" i="1"/>
  <c r="H944" i="1" a="1"/>
  <c r="H944" i="1" s="1"/>
  <c r="R944" i="1" s="1"/>
  <c r="K944" i="1"/>
  <c r="N944" i="1" s="1"/>
  <c r="Q944" i="1" a="1"/>
  <c r="Q944" i="1" s="1"/>
  <c r="AS944" i="1" s="1"/>
  <c r="AK944" i="1" a="1"/>
  <c r="AK944" i="1" s="1"/>
  <c r="AU944" i="1"/>
  <c r="BD944" i="1"/>
  <c r="H945" i="1" a="1"/>
  <c r="H945" i="1" s="1"/>
  <c r="R945" i="1" s="1"/>
  <c r="K945" i="1"/>
  <c r="N945" i="1" s="1"/>
  <c r="AK945" i="1" a="1"/>
  <c r="AK945" i="1" s="1"/>
  <c r="AU945" i="1"/>
  <c r="BD945" i="1"/>
  <c r="H946" i="1" a="1"/>
  <c r="H946" i="1" s="1"/>
  <c r="R946" i="1" s="1"/>
  <c r="K946" i="1"/>
  <c r="N946" i="1" s="1"/>
  <c r="AK946" i="1" a="1"/>
  <c r="AK946" i="1" s="1"/>
  <c r="AU946" i="1"/>
  <c r="BD946" i="1"/>
  <c r="H947" i="1" a="1"/>
  <c r="H947" i="1" s="1"/>
  <c r="R947" i="1" s="1"/>
  <c r="K947" i="1"/>
  <c r="N947" i="1" s="1"/>
  <c r="Q947" i="1" a="1"/>
  <c r="Q947" i="1" s="1"/>
  <c r="AS947" i="1" s="1"/>
  <c r="AK947" i="1" a="1"/>
  <c r="AK947" i="1" s="1"/>
  <c r="AU947" i="1"/>
  <c r="BD947" i="1"/>
  <c r="H948" i="1" a="1"/>
  <c r="H948" i="1" s="1"/>
  <c r="R948" i="1" s="1"/>
  <c r="K948" i="1"/>
  <c r="N948" i="1" s="1"/>
  <c r="AK948" i="1" a="1"/>
  <c r="AK948" i="1" s="1"/>
  <c r="AU948" i="1"/>
  <c r="BD948" i="1"/>
  <c r="H949" i="1" a="1"/>
  <c r="H949" i="1" s="1"/>
  <c r="R949" i="1" s="1"/>
  <c r="K949" i="1"/>
  <c r="N949" i="1" s="1"/>
  <c r="AK949" i="1" a="1"/>
  <c r="AK949" i="1" s="1"/>
  <c r="AU949" i="1"/>
  <c r="BD949" i="1"/>
  <c r="H950" i="1" a="1"/>
  <c r="H950" i="1" s="1"/>
  <c r="R950" i="1" s="1"/>
  <c r="K950" i="1"/>
  <c r="N950" i="1" s="1"/>
  <c r="AK950" i="1" a="1"/>
  <c r="AK950" i="1" s="1"/>
  <c r="AU950" i="1"/>
  <c r="BD950" i="1"/>
  <c r="H951" i="1" a="1"/>
  <c r="H951" i="1" s="1"/>
  <c r="R951" i="1" s="1"/>
  <c r="K951" i="1"/>
  <c r="N951" i="1" s="1"/>
  <c r="AK951" i="1" a="1"/>
  <c r="AK951" i="1" s="1"/>
  <c r="AU951" i="1"/>
  <c r="BD951" i="1"/>
  <c r="H952" i="1" a="1"/>
  <c r="H952" i="1" s="1"/>
  <c r="R952" i="1" s="1"/>
  <c r="K952" i="1"/>
  <c r="N952" i="1" s="1"/>
  <c r="AK952" i="1" a="1"/>
  <c r="AK952" i="1" s="1"/>
  <c r="AU952" i="1"/>
  <c r="BD952" i="1"/>
  <c r="H953" i="1" a="1"/>
  <c r="H953" i="1" s="1"/>
  <c r="R953" i="1" s="1"/>
  <c r="K953" i="1"/>
  <c r="N953" i="1" s="1"/>
  <c r="AK953" i="1" a="1"/>
  <c r="AK953" i="1" s="1"/>
  <c r="AU953" i="1"/>
  <c r="BD953" i="1"/>
  <c r="H954" i="1" a="1"/>
  <c r="H954" i="1" s="1"/>
  <c r="R954" i="1" s="1"/>
  <c r="K954" i="1"/>
  <c r="N954" i="1" s="1"/>
  <c r="Q954" i="1" a="1"/>
  <c r="Q954" i="1" s="1"/>
  <c r="AS954" i="1" s="1"/>
  <c r="AK954" i="1" a="1"/>
  <c r="AK954" i="1" s="1"/>
  <c r="AU954" i="1"/>
  <c r="BD954" i="1"/>
  <c r="H955" i="1" a="1"/>
  <c r="H955" i="1" s="1"/>
  <c r="R955" i="1" s="1"/>
  <c r="K955" i="1"/>
  <c r="N955" i="1" s="1"/>
  <c r="Q955" i="1" a="1"/>
  <c r="Q955" i="1" s="1"/>
  <c r="AS955" i="1" s="1"/>
  <c r="AK955" i="1" a="1"/>
  <c r="AK955" i="1" s="1"/>
  <c r="AU955" i="1"/>
  <c r="BD955" i="1"/>
  <c r="H956" i="1" a="1"/>
  <c r="H956" i="1" s="1"/>
  <c r="R956" i="1" s="1"/>
  <c r="K956" i="1"/>
  <c r="N956" i="1" s="1"/>
  <c r="AK956" i="1" a="1"/>
  <c r="AK956" i="1" s="1"/>
  <c r="AU956" i="1"/>
  <c r="BD956" i="1"/>
  <c r="H957" i="1" a="1"/>
  <c r="H957" i="1" s="1"/>
  <c r="R957" i="1" s="1"/>
  <c r="K957" i="1"/>
  <c r="N957" i="1" s="1"/>
  <c r="AK957" i="1" a="1"/>
  <c r="AK957" i="1" s="1"/>
  <c r="AU957" i="1"/>
  <c r="BD957" i="1"/>
  <c r="H958" i="1" a="1"/>
  <c r="H958" i="1" s="1"/>
  <c r="R958" i="1" s="1"/>
  <c r="K958" i="1"/>
  <c r="N958" i="1" s="1"/>
  <c r="AK958" i="1" a="1"/>
  <c r="AK958" i="1" s="1"/>
  <c r="AU958" i="1"/>
  <c r="BD958" i="1"/>
  <c r="H959" i="1" a="1"/>
  <c r="H959" i="1" s="1"/>
  <c r="R959" i="1" s="1"/>
  <c r="K959" i="1"/>
  <c r="N959" i="1" s="1"/>
  <c r="Q959" i="1" a="1"/>
  <c r="Q959" i="1" s="1"/>
  <c r="AS959" i="1" s="1"/>
  <c r="AK959" i="1" a="1"/>
  <c r="AK959" i="1" s="1"/>
  <c r="AU959" i="1"/>
  <c r="BD959" i="1"/>
  <c r="H960" i="1" a="1"/>
  <c r="H960" i="1" s="1"/>
  <c r="R960" i="1" s="1"/>
  <c r="K960" i="1"/>
  <c r="N960" i="1" s="1"/>
  <c r="Q960" i="1" a="1"/>
  <c r="Q960" i="1" s="1"/>
  <c r="AS960" i="1" s="1"/>
  <c r="AK960" i="1" a="1"/>
  <c r="AK960" i="1" s="1"/>
  <c r="AU960" i="1"/>
  <c r="BD960" i="1"/>
  <c r="H961" i="1" a="1"/>
  <c r="H961" i="1" s="1"/>
  <c r="R961" i="1" s="1"/>
  <c r="K961" i="1"/>
  <c r="N961" i="1" s="1"/>
  <c r="Q961" i="1" a="1"/>
  <c r="Q961" i="1" s="1"/>
  <c r="AS961" i="1" s="1"/>
  <c r="AK961" i="1" a="1"/>
  <c r="AK961" i="1" s="1"/>
  <c r="AU961" i="1"/>
  <c r="BD961" i="1"/>
  <c r="H962" i="1" a="1"/>
  <c r="H962" i="1" s="1"/>
  <c r="R962" i="1" s="1"/>
  <c r="K962" i="1"/>
  <c r="N962" i="1" s="1"/>
  <c r="AK962" i="1" a="1"/>
  <c r="AK962" i="1" s="1"/>
  <c r="AU962" i="1"/>
  <c r="BD962" i="1"/>
  <c r="H963" i="1" a="1"/>
  <c r="H963" i="1" s="1"/>
  <c r="R963" i="1" s="1"/>
  <c r="K963" i="1"/>
  <c r="N963" i="1" s="1"/>
  <c r="Q963" i="1" a="1"/>
  <c r="Q963" i="1" s="1"/>
  <c r="AS963" i="1" s="1"/>
  <c r="AK963" i="1" a="1"/>
  <c r="AK963" i="1" s="1"/>
  <c r="AU963" i="1"/>
  <c r="BD963" i="1"/>
  <c r="H964" i="1" a="1"/>
  <c r="H964" i="1" s="1"/>
  <c r="R964" i="1" s="1"/>
  <c r="K964" i="1"/>
  <c r="N964" i="1" s="1"/>
  <c r="Q964" i="1" a="1"/>
  <c r="Q964" i="1" s="1"/>
  <c r="AS964" i="1" s="1"/>
  <c r="AK964" i="1" a="1"/>
  <c r="AK964" i="1" s="1"/>
  <c r="AU964" i="1"/>
  <c r="BD964" i="1"/>
  <c r="H965" i="1" a="1"/>
  <c r="H965" i="1" s="1"/>
  <c r="R965" i="1" s="1"/>
  <c r="K965" i="1"/>
  <c r="N965" i="1" s="1"/>
  <c r="AK965" i="1" a="1"/>
  <c r="AK965" i="1" s="1"/>
  <c r="AU965" i="1"/>
  <c r="BD965" i="1"/>
  <c r="H966" i="1" a="1"/>
  <c r="H966" i="1" s="1"/>
  <c r="R966" i="1" s="1"/>
  <c r="K966" i="1"/>
  <c r="N966" i="1" s="1"/>
  <c r="Q966" i="1" a="1"/>
  <c r="Q966" i="1" s="1"/>
  <c r="AS966" i="1" s="1"/>
  <c r="AK966" i="1" a="1"/>
  <c r="AK966" i="1" s="1"/>
  <c r="AU966" i="1"/>
  <c r="BD966" i="1"/>
  <c r="H967" i="1" a="1"/>
  <c r="H967" i="1" s="1"/>
  <c r="R967" i="1" s="1"/>
  <c r="K967" i="1"/>
  <c r="N967" i="1" s="1"/>
  <c r="Q967" i="1" a="1"/>
  <c r="Q967" i="1" s="1"/>
  <c r="AS967" i="1" s="1"/>
  <c r="AK967" i="1" a="1"/>
  <c r="AK967" i="1" s="1"/>
  <c r="AU967" i="1"/>
  <c r="BD967" i="1"/>
  <c r="H968" i="1" a="1"/>
  <c r="H968" i="1" s="1"/>
  <c r="R968" i="1" s="1"/>
  <c r="K968" i="1"/>
  <c r="N968" i="1" s="1"/>
  <c r="AK968" i="1" a="1"/>
  <c r="AK968" i="1" s="1"/>
  <c r="AU968" i="1"/>
  <c r="BD968" i="1"/>
  <c r="H969" i="1" a="1"/>
  <c r="H969" i="1" s="1"/>
  <c r="R969" i="1" s="1"/>
  <c r="K969" i="1"/>
  <c r="N969" i="1" s="1"/>
  <c r="AK969" i="1" a="1"/>
  <c r="AK969" i="1" s="1"/>
  <c r="AU969" i="1"/>
  <c r="BD969" i="1"/>
  <c r="H970" i="1" a="1"/>
  <c r="H970" i="1" s="1"/>
  <c r="R970" i="1" s="1"/>
  <c r="K970" i="1"/>
  <c r="N970" i="1" s="1"/>
  <c r="Q970" i="1" a="1"/>
  <c r="Q970" i="1" s="1"/>
  <c r="AS970" i="1" s="1"/>
  <c r="AK970" i="1" a="1"/>
  <c r="AK970" i="1" s="1"/>
  <c r="AU970" i="1"/>
  <c r="BD970" i="1"/>
  <c r="H971" i="1" a="1"/>
  <c r="H971" i="1" s="1"/>
  <c r="R971" i="1" s="1"/>
  <c r="K971" i="1"/>
  <c r="N971" i="1" s="1"/>
  <c r="AK971" i="1" a="1"/>
  <c r="AK971" i="1" s="1"/>
  <c r="AU971" i="1"/>
  <c r="BD971" i="1"/>
  <c r="H972" i="1" a="1"/>
  <c r="H972" i="1" s="1"/>
  <c r="R972" i="1" s="1"/>
  <c r="K972" i="1"/>
  <c r="N972" i="1" s="1"/>
  <c r="Q972" i="1" a="1"/>
  <c r="Q972" i="1" s="1"/>
  <c r="AS972" i="1" s="1"/>
  <c r="AK972" i="1" a="1"/>
  <c r="AK972" i="1" s="1"/>
  <c r="AU972" i="1"/>
  <c r="BD972" i="1"/>
  <c r="H973" i="1" a="1"/>
  <c r="H973" i="1" s="1"/>
  <c r="R973" i="1" s="1"/>
  <c r="K973" i="1"/>
  <c r="N973" i="1" s="1"/>
  <c r="AK973" i="1" a="1"/>
  <c r="AK973" i="1" s="1"/>
  <c r="AU973" i="1"/>
  <c r="BD973" i="1"/>
  <c r="H974" i="1" a="1"/>
  <c r="H974" i="1" s="1"/>
  <c r="R974" i="1" s="1"/>
  <c r="K974" i="1"/>
  <c r="N974" i="1" s="1"/>
  <c r="AK974" i="1" a="1"/>
  <c r="AK974" i="1" s="1"/>
  <c r="AU974" i="1"/>
  <c r="BD974" i="1"/>
  <c r="H975" i="1" a="1"/>
  <c r="H975" i="1" s="1"/>
  <c r="R975" i="1" s="1"/>
  <c r="K975" i="1"/>
  <c r="N975" i="1" s="1"/>
  <c r="Q975" i="1" a="1"/>
  <c r="Q975" i="1" s="1"/>
  <c r="AS975" i="1" s="1"/>
  <c r="AK975" i="1" a="1"/>
  <c r="AK975" i="1" s="1"/>
  <c r="AU975" i="1"/>
  <c r="BD975" i="1"/>
  <c r="H976" i="1" a="1"/>
  <c r="H976" i="1" s="1"/>
  <c r="R976" i="1" s="1"/>
  <c r="K976" i="1"/>
  <c r="N976" i="1" s="1"/>
  <c r="Q976" i="1" a="1"/>
  <c r="Q976" i="1" s="1"/>
  <c r="AS976" i="1" s="1"/>
  <c r="AK976" i="1" a="1"/>
  <c r="AK976" i="1" s="1"/>
  <c r="AU976" i="1"/>
  <c r="BD976" i="1"/>
  <c r="H977" i="1" a="1"/>
  <c r="H977" i="1" s="1"/>
  <c r="R977" i="1" s="1"/>
  <c r="K977" i="1"/>
  <c r="N977" i="1" s="1"/>
  <c r="Q977" i="1" a="1"/>
  <c r="Q977" i="1" s="1"/>
  <c r="AS977" i="1" s="1"/>
  <c r="AK977" i="1" a="1"/>
  <c r="AK977" i="1" s="1"/>
  <c r="AU977" i="1"/>
  <c r="BD977" i="1"/>
  <c r="H978" i="1" a="1"/>
  <c r="H978" i="1" s="1"/>
  <c r="R978" i="1" s="1"/>
  <c r="K978" i="1"/>
  <c r="N978" i="1" s="1"/>
  <c r="AK978" i="1" a="1"/>
  <c r="AK978" i="1" s="1"/>
  <c r="AU978" i="1"/>
  <c r="BD978" i="1"/>
  <c r="H979" i="1" a="1"/>
  <c r="H979" i="1" s="1"/>
  <c r="R979" i="1" s="1"/>
  <c r="K979" i="1"/>
  <c r="N979" i="1" s="1"/>
  <c r="Q979" i="1" a="1"/>
  <c r="Q979" i="1" s="1"/>
  <c r="AS979" i="1" s="1"/>
  <c r="AK979" i="1" a="1"/>
  <c r="AK979" i="1" s="1"/>
  <c r="AU979" i="1"/>
  <c r="BD979" i="1"/>
  <c r="H980" i="1" a="1"/>
  <c r="H980" i="1" s="1"/>
  <c r="R980" i="1" s="1"/>
  <c r="K980" i="1"/>
  <c r="N980" i="1" s="1"/>
  <c r="AK980" i="1" a="1"/>
  <c r="AK980" i="1" s="1"/>
  <c r="AU980" i="1"/>
  <c r="BD980" i="1"/>
  <c r="H981" i="1" a="1"/>
  <c r="H981" i="1" s="1"/>
  <c r="R981" i="1" s="1"/>
  <c r="K981" i="1"/>
  <c r="N981" i="1" s="1"/>
  <c r="Q981" i="1" a="1"/>
  <c r="Q981" i="1" s="1"/>
  <c r="AS981" i="1" s="1"/>
  <c r="AK981" i="1" a="1"/>
  <c r="AK981" i="1" s="1"/>
  <c r="AU981" i="1"/>
  <c r="BD981" i="1"/>
  <c r="H982" i="1" a="1"/>
  <c r="H982" i="1" s="1"/>
  <c r="R982" i="1" s="1"/>
  <c r="K982" i="1"/>
  <c r="N982" i="1" s="1"/>
  <c r="AK982" i="1" a="1"/>
  <c r="AK982" i="1" s="1"/>
  <c r="AU982" i="1"/>
  <c r="BD982" i="1"/>
  <c r="H983" i="1" a="1"/>
  <c r="H983" i="1" s="1"/>
  <c r="R983" i="1" s="1"/>
  <c r="K983" i="1"/>
  <c r="N983" i="1" s="1"/>
  <c r="AK983" i="1" a="1"/>
  <c r="AK983" i="1" s="1"/>
  <c r="AU983" i="1"/>
  <c r="BD983" i="1"/>
  <c r="H984" i="1" a="1"/>
  <c r="H984" i="1" s="1"/>
  <c r="R984" i="1" s="1"/>
  <c r="K984" i="1"/>
  <c r="N984" i="1" s="1"/>
  <c r="Q984" i="1" a="1"/>
  <c r="Q984" i="1" s="1"/>
  <c r="AS984" i="1" s="1"/>
  <c r="AK984" i="1" a="1"/>
  <c r="AK984" i="1" s="1"/>
  <c r="AU984" i="1"/>
  <c r="BD984" i="1"/>
  <c r="H985" i="1" a="1"/>
  <c r="H985" i="1" s="1"/>
  <c r="R985" i="1" s="1"/>
  <c r="K985" i="1"/>
  <c r="N985" i="1" s="1"/>
  <c r="Q985" i="1" a="1"/>
  <c r="Q985" i="1" s="1"/>
  <c r="AS985" i="1" s="1"/>
  <c r="AK985" i="1" a="1"/>
  <c r="AK985" i="1" s="1"/>
  <c r="AU985" i="1"/>
  <c r="BD985" i="1"/>
  <c r="H986" i="1" a="1"/>
  <c r="H986" i="1" s="1"/>
  <c r="R986" i="1" s="1"/>
  <c r="K986" i="1"/>
  <c r="N986" i="1" s="1"/>
  <c r="AK986" i="1" a="1"/>
  <c r="AK986" i="1" s="1"/>
  <c r="AU986" i="1"/>
  <c r="BD986" i="1"/>
  <c r="H987" i="1" a="1"/>
  <c r="H987" i="1" s="1"/>
  <c r="R987" i="1" s="1"/>
  <c r="K987" i="1"/>
  <c r="N987" i="1" s="1"/>
  <c r="AK987" i="1" a="1"/>
  <c r="AK987" i="1" s="1"/>
  <c r="AU987" i="1"/>
  <c r="BD987" i="1"/>
  <c r="H988" i="1" a="1"/>
  <c r="H988" i="1" s="1"/>
  <c r="R988" i="1" s="1"/>
  <c r="K988" i="1"/>
  <c r="N988" i="1" s="1"/>
  <c r="Q988" i="1" a="1"/>
  <c r="Q988" i="1" s="1"/>
  <c r="AS988" i="1" s="1"/>
  <c r="AK988" i="1" a="1"/>
  <c r="AK988" i="1" s="1"/>
  <c r="AU988" i="1"/>
  <c r="BD988" i="1"/>
  <c r="H989" i="1" a="1"/>
  <c r="H989" i="1" s="1"/>
  <c r="R989" i="1" s="1"/>
  <c r="K989" i="1"/>
  <c r="N989" i="1" s="1"/>
  <c r="AK989" i="1" a="1"/>
  <c r="AK989" i="1" s="1"/>
  <c r="AU989" i="1"/>
  <c r="BD989" i="1"/>
  <c r="H990" i="1" a="1"/>
  <c r="H990" i="1" s="1"/>
  <c r="R990" i="1" s="1"/>
  <c r="K990" i="1"/>
  <c r="N990" i="1" s="1"/>
  <c r="AK990" i="1" a="1"/>
  <c r="AK990" i="1" s="1"/>
  <c r="AU990" i="1"/>
  <c r="BD990" i="1"/>
  <c r="H991" i="1" a="1"/>
  <c r="H991" i="1" s="1"/>
  <c r="R991" i="1" s="1"/>
  <c r="K991" i="1"/>
  <c r="N991" i="1" s="1"/>
  <c r="Q991" i="1" a="1"/>
  <c r="Q991" i="1" s="1"/>
  <c r="AS991" i="1" s="1"/>
  <c r="AK991" i="1" a="1"/>
  <c r="AK991" i="1" s="1"/>
  <c r="AU991" i="1"/>
  <c r="BD991" i="1"/>
  <c r="H992" i="1" a="1"/>
  <c r="H992" i="1" s="1"/>
  <c r="R992" i="1" s="1"/>
  <c r="K992" i="1"/>
  <c r="N992" i="1" s="1"/>
  <c r="AK992" i="1" a="1"/>
  <c r="AK992" i="1" s="1"/>
  <c r="AU992" i="1"/>
  <c r="BD992" i="1"/>
  <c r="H993" i="1" a="1"/>
  <c r="H993" i="1" s="1"/>
  <c r="R993" i="1" s="1"/>
  <c r="K993" i="1"/>
  <c r="N993" i="1" s="1"/>
  <c r="Q993" i="1" a="1"/>
  <c r="Q993" i="1" s="1"/>
  <c r="AS993" i="1" s="1"/>
  <c r="AK993" i="1" a="1"/>
  <c r="AK993" i="1" s="1"/>
  <c r="AU993" i="1"/>
  <c r="BD993" i="1"/>
  <c r="H994" i="1" a="1"/>
  <c r="H994" i="1" s="1"/>
  <c r="R994" i="1" s="1"/>
  <c r="K994" i="1"/>
  <c r="N994" i="1" s="1"/>
  <c r="Q994" i="1" a="1"/>
  <c r="Q994" i="1" s="1"/>
  <c r="AS994" i="1" s="1"/>
  <c r="AK994" i="1" a="1"/>
  <c r="AK994" i="1" s="1"/>
  <c r="AU994" i="1"/>
  <c r="BD994" i="1"/>
  <c r="H995" i="1" a="1"/>
  <c r="H995" i="1" s="1"/>
  <c r="R995" i="1" s="1"/>
  <c r="K995" i="1"/>
  <c r="N995" i="1" s="1"/>
  <c r="Q995" i="1" a="1"/>
  <c r="Q995" i="1" s="1"/>
  <c r="AS995" i="1" s="1"/>
  <c r="AK995" i="1" a="1"/>
  <c r="AK995" i="1" s="1"/>
  <c r="AU995" i="1"/>
  <c r="BD995" i="1"/>
  <c r="H996" i="1" a="1"/>
  <c r="H996" i="1" s="1"/>
  <c r="R996" i="1" s="1"/>
  <c r="K996" i="1"/>
  <c r="N996" i="1" s="1"/>
  <c r="Q996" i="1" a="1"/>
  <c r="Q996" i="1" s="1"/>
  <c r="AS996" i="1" s="1"/>
  <c r="AK996" i="1" a="1"/>
  <c r="AK996" i="1" s="1"/>
  <c r="AU996" i="1"/>
  <c r="BD996" i="1"/>
  <c r="H997" i="1" a="1"/>
  <c r="H997" i="1" s="1"/>
  <c r="R997" i="1" s="1"/>
  <c r="K997" i="1"/>
  <c r="N997" i="1" s="1"/>
  <c r="AK997" i="1" a="1"/>
  <c r="AK997" i="1" s="1"/>
  <c r="AU997" i="1"/>
  <c r="BD997" i="1"/>
  <c r="H998" i="1" a="1"/>
  <c r="H998" i="1" s="1"/>
  <c r="R998" i="1" s="1"/>
  <c r="K998" i="1"/>
  <c r="N998" i="1" s="1"/>
  <c r="AK998" i="1" a="1"/>
  <c r="AK998" i="1" s="1"/>
  <c r="AU998" i="1"/>
  <c r="BD998" i="1"/>
  <c r="H999" i="1" a="1"/>
  <c r="H999" i="1" s="1"/>
  <c r="R999" i="1" s="1"/>
  <c r="K999" i="1"/>
  <c r="N999" i="1" s="1"/>
  <c r="Q999" i="1" a="1"/>
  <c r="Q999" i="1" s="1"/>
  <c r="AS999" i="1" s="1"/>
  <c r="AK999" i="1" a="1"/>
  <c r="AK999" i="1" s="1"/>
  <c r="AU999" i="1"/>
  <c r="BD999" i="1"/>
  <c r="H1000" i="1" a="1"/>
  <c r="H1000" i="1" s="1"/>
  <c r="R1000" i="1" s="1"/>
  <c r="K1000" i="1"/>
  <c r="N1000" i="1" s="1"/>
  <c r="Q1000" i="1" a="1"/>
  <c r="Q1000" i="1" s="1"/>
  <c r="AS1000" i="1" s="1"/>
  <c r="AK1000" i="1" a="1"/>
  <c r="AK1000" i="1" s="1"/>
  <c r="AU1000" i="1"/>
  <c r="BD1000" i="1"/>
  <c r="H1001" i="1" a="1"/>
  <c r="H1001" i="1" s="1"/>
  <c r="R1001" i="1" s="1"/>
  <c r="K1001" i="1"/>
  <c r="N1001" i="1" s="1"/>
  <c r="Q1001" i="1" a="1"/>
  <c r="Q1001" i="1" s="1"/>
  <c r="AS1001" i="1" s="1"/>
  <c r="AK1001" i="1" a="1"/>
  <c r="AK1001" i="1" s="1"/>
  <c r="AU1001" i="1"/>
  <c r="BD1001" i="1"/>
  <c r="H1002" i="1" a="1"/>
  <c r="H1002" i="1" s="1"/>
  <c r="R1002" i="1" s="1"/>
  <c r="K1002" i="1"/>
  <c r="N1002" i="1" s="1"/>
  <c r="Q1002" i="1" a="1"/>
  <c r="Q1002" i="1" s="1"/>
  <c r="AS1002" i="1" s="1"/>
  <c r="AK1002" i="1" a="1"/>
  <c r="AK1002" i="1" s="1"/>
  <c r="AU1002" i="1"/>
  <c r="BD1002" i="1"/>
  <c r="H1003" i="1" a="1"/>
  <c r="H1003" i="1" s="1"/>
  <c r="R1003" i="1" s="1"/>
  <c r="K1003" i="1"/>
  <c r="N1003" i="1" s="1"/>
  <c r="Q1003" i="1" a="1"/>
  <c r="Q1003" i="1" s="1"/>
  <c r="AS1003" i="1" s="1"/>
  <c r="AK1003" i="1" a="1"/>
  <c r="AK1003" i="1" s="1"/>
  <c r="AU1003" i="1"/>
  <c r="BD1003" i="1"/>
  <c r="H1004" i="1" a="1"/>
  <c r="H1004" i="1" s="1"/>
  <c r="R1004" i="1" s="1"/>
  <c r="K1004" i="1"/>
  <c r="N1004" i="1" s="1"/>
  <c r="Q1004" i="1" a="1"/>
  <c r="Q1004" i="1" s="1"/>
  <c r="AS1004" i="1" s="1"/>
  <c r="AK1004" i="1" a="1"/>
  <c r="AK1004" i="1" s="1"/>
  <c r="AU1004" i="1"/>
  <c r="BD1004" i="1"/>
  <c r="H1005" i="1" a="1"/>
  <c r="H1005" i="1" s="1"/>
  <c r="R1005" i="1" s="1"/>
  <c r="K1005" i="1"/>
  <c r="N1005" i="1" s="1"/>
  <c r="Q1005" i="1" a="1"/>
  <c r="Q1005" i="1" s="1"/>
  <c r="AS1005" i="1" s="1"/>
  <c r="AK1005" i="1" a="1"/>
  <c r="AK1005" i="1" s="1"/>
  <c r="AU1005" i="1"/>
  <c r="BD1005" i="1"/>
  <c r="H1006" i="1" a="1"/>
  <c r="H1006" i="1" s="1"/>
  <c r="R1006" i="1" s="1"/>
  <c r="K1006" i="1"/>
  <c r="N1006" i="1" s="1"/>
  <c r="Q1006" i="1" a="1"/>
  <c r="Q1006" i="1" s="1"/>
  <c r="AS1006" i="1" s="1"/>
  <c r="AK1006" i="1" a="1"/>
  <c r="AK1006" i="1" s="1"/>
  <c r="AU1006" i="1"/>
  <c r="BD1006" i="1"/>
  <c r="H1007" i="1" a="1"/>
  <c r="H1007" i="1" s="1"/>
  <c r="R1007" i="1" s="1"/>
  <c r="K1007" i="1"/>
  <c r="N1007" i="1" s="1"/>
  <c r="Q1007" i="1" a="1"/>
  <c r="Q1007" i="1" s="1"/>
  <c r="AS1007" i="1" s="1"/>
  <c r="AK1007" i="1" a="1"/>
  <c r="AK1007" i="1" s="1"/>
  <c r="AU1007" i="1"/>
  <c r="BD1007" i="1"/>
  <c r="H1008" i="1" a="1"/>
  <c r="H1008" i="1" s="1"/>
  <c r="R1008" i="1" s="1"/>
  <c r="K1008" i="1"/>
  <c r="N1008" i="1" s="1"/>
  <c r="Q1008" i="1" a="1"/>
  <c r="Q1008" i="1" s="1"/>
  <c r="AS1008" i="1" s="1"/>
  <c r="AK1008" i="1" a="1"/>
  <c r="AK1008" i="1" s="1"/>
  <c r="AU1008" i="1"/>
  <c r="BD1008" i="1"/>
  <c r="H1009" i="1" a="1"/>
  <c r="H1009" i="1" s="1"/>
  <c r="R1009" i="1" s="1"/>
  <c r="K1009" i="1"/>
  <c r="N1009" i="1" s="1"/>
  <c r="AK1009" i="1" a="1"/>
  <c r="AK1009" i="1" s="1"/>
  <c r="AU1009" i="1"/>
  <c r="BD1009" i="1"/>
  <c r="H1010" i="1" a="1"/>
  <c r="H1010" i="1" s="1"/>
  <c r="R1010" i="1" s="1"/>
  <c r="K1010" i="1"/>
  <c r="N1010" i="1" s="1"/>
  <c r="Q1010" i="1" a="1"/>
  <c r="Q1010" i="1" s="1"/>
  <c r="AS1010" i="1" s="1"/>
  <c r="AK1010" i="1" a="1"/>
  <c r="AK1010" i="1" s="1"/>
  <c r="AU1010" i="1"/>
  <c r="BD1010" i="1"/>
  <c r="H1011" i="1" a="1"/>
  <c r="H1011" i="1" s="1"/>
  <c r="R1011" i="1" s="1"/>
  <c r="K1011" i="1"/>
  <c r="N1011" i="1" s="1"/>
  <c r="Q1011" i="1" a="1"/>
  <c r="Q1011" i="1" s="1"/>
  <c r="AS1011" i="1" s="1"/>
  <c r="AK1011" i="1" a="1"/>
  <c r="AK1011" i="1" s="1"/>
  <c r="AU1011" i="1"/>
  <c r="BD1011" i="1"/>
  <c r="H1012" i="1" a="1"/>
  <c r="H1012" i="1" s="1"/>
  <c r="R1012" i="1" s="1"/>
  <c r="K1012" i="1"/>
  <c r="N1012" i="1" s="1"/>
  <c r="AK1012" i="1" a="1"/>
  <c r="AK1012" i="1" s="1"/>
  <c r="AU1012" i="1"/>
  <c r="BD1012" i="1"/>
  <c r="H1013" i="1" a="1"/>
  <c r="H1013" i="1" s="1"/>
  <c r="R1013" i="1" s="1"/>
  <c r="K1013" i="1"/>
  <c r="N1013" i="1" s="1"/>
  <c r="Q1013" i="1" a="1"/>
  <c r="Q1013" i="1" s="1"/>
  <c r="AS1013" i="1" s="1"/>
  <c r="AK1013" i="1" a="1"/>
  <c r="AK1013" i="1" s="1"/>
  <c r="AU1013" i="1"/>
  <c r="BD1013" i="1"/>
  <c r="H1014" i="1" a="1"/>
  <c r="H1014" i="1" s="1"/>
  <c r="R1014" i="1" s="1"/>
  <c r="K1014" i="1"/>
  <c r="N1014" i="1" s="1"/>
  <c r="Q1014" i="1" a="1"/>
  <c r="Q1014" i="1" s="1"/>
  <c r="AS1014" i="1" s="1"/>
  <c r="AK1014" i="1" a="1"/>
  <c r="AK1014" i="1" s="1"/>
  <c r="AU1014" i="1"/>
  <c r="BD1014" i="1"/>
  <c r="H1015" i="1" a="1"/>
  <c r="H1015" i="1" s="1"/>
  <c r="R1015" i="1" s="1"/>
  <c r="K1015" i="1"/>
  <c r="N1015" i="1" s="1"/>
  <c r="Q1015" i="1" a="1"/>
  <c r="Q1015" i="1" s="1"/>
  <c r="AS1015" i="1" s="1"/>
  <c r="AK1015" i="1" a="1"/>
  <c r="AK1015" i="1" s="1"/>
  <c r="AU1015" i="1"/>
  <c r="BD1015" i="1"/>
  <c r="H1016" i="1" a="1"/>
  <c r="H1016" i="1" s="1"/>
  <c r="R1016" i="1" s="1"/>
  <c r="K1016" i="1"/>
  <c r="N1016" i="1" s="1"/>
  <c r="Q1016" i="1" a="1"/>
  <c r="Q1016" i="1" s="1"/>
  <c r="AS1016" i="1" s="1"/>
  <c r="AK1016" i="1" a="1"/>
  <c r="AK1016" i="1" s="1"/>
  <c r="AU1016" i="1"/>
  <c r="BD1016" i="1"/>
  <c r="H1017" i="1" a="1"/>
  <c r="H1017" i="1" s="1"/>
  <c r="R1017" i="1" s="1"/>
  <c r="K1017" i="1"/>
  <c r="N1017" i="1" s="1"/>
  <c r="Q1017" i="1" a="1"/>
  <c r="Q1017" i="1" s="1"/>
  <c r="AS1017" i="1" s="1"/>
  <c r="AK1017" i="1" a="1"/>
  <c r="AK1017" i="1" s="1"/>
  <c r="AU1017" i="1"/>
  <c r="BD1017" i="1"/>
  <c r="H1018" i="1" a="1"/>
  <c r="H1018" i="1" s="1"/>
  <c r="R1018" i="1" s="1"/>
  <c r="K1018" i="1"/>
  <c r="N1018" i="1" s="1"/>
  <c r="Q1018" i="1" a="1"/>
  <c r="Q1018" i="1" s="1"/>
  <c r="AS1018" i="1" s="1"/>
  <c r="AK1018" i="1" a="1"/>
  <c r="AK1018" i="1" s="1"/>
  <c r="AU1018" i="1"/>
  <c r="BD1018" i="1"/>
  <c r="H1019" i="1" a="1"/>
  <c r="H1019" i="1" s="1"/>
  <c r="R1019" i="1" s="1"/>
  <c r="K1019" i="1"/>
  <c r="N1019" i="1" s="1"/>
  <c r="Q1019" i="1" a="1"/>
  <c r="Q1019" i="1" s="1"/>
  <c r="AS1019" i="1" s="1"/>
  <c r="AK1019" i="1" a="1"/>
  <c r="AK1019" i="1" s="1"/>
  <c r="AU1019" i="1"/>
  <c r="BD1019" i="1"/>
  <c r="H1020" i="1" a="1"/>
  <c r="H1020" i="1" s="1"/>
  <c r="R1020" i="1" s="1"/>
  <c r="K1020" i="1"/>
  <c r="N1020" i="1" s="1"/>
  <c r="Q1020" i="1" a="1"/>
  <c r="Q1020" i="1" s="1"/>
  <c r="AS1020" i="1" s="1"/>
  <c r="AK1020" i="1" a="1"/>
  <c r="AK1020" i="1" s="1"/>
  <c r="AU1020" i="1"/>
  <c r="BD1020" i="1"/>
  <c r="H1021" i="1" a="1"/>
  <c r="H1021" i="1" s="1"/>
  <c r="R1021" i="1" s="1"/>
  <c r="K1021" i="1"/>
  <c r="N1021" i="1" s="1"/>
  <c r="Q1021" i="1" a="1"/>
  <c r="Q1021" i="1" s="1"/>
  <c r="AS1021" i="1" s="1"/>
  <c r="AK1021" i="1" a="1"/>
  <c r="AK1021" i="1" s="1"/>
  <c r="AU1021" i="1"/>
  <c r="BD1021" i="1"/>
  <c r="H1022" i="1" a="1"/>
  <c r="H1022" i="1" s="1"/>
  <c r="R1022" i="1" s="1"/>
  <c r="K1022" i="1"/>
  <c r="N1022" i="1" s="1"/>
  <c r="Q1022" i="1" a="1"/>
  <c r="Q1022" i="1" s="1"/>
  <c r="AS1022" i="1" s="1"/>
  <c r="AK1022" i="1" a="1"/>
  <c r="AK1022" i="1" s="1"/>
  <c r="AU1022" i="1"/>
  <c r="BD1022" i="1"/>
  <c r="H1023" i="1" a="1"/>
  <c r="H1023" i="1" s="1"/>
  <c r="R1023" i="1" s="1"/>
  <c r="K1023" i="1"/>
  <c r="N1023" i="1" s="1"/>
  <c r="Q1023" i="1" a="1"/>
  <c r="Q1023" i="1" s="1"/>
  <c r="AS1023" i="1" s="1"/>
  <c r="AK1023" i="1" a="1"/>
  <c r="AK1023" i="1" s="1"/>
  <c r="AU1023" i="1"/>
  <c r="BD1023" i="1"/>
  <c r="H1024" i="1" a="1"/>
  <c r="H1024" i="1" s="1"/>
  <c r="R1024" i="1" s="1"/>
  <c r="K1024" i="1"/>
  <c r="N1024" i="1" s="1"/>
  <c r="Q1024" i="1" a="1"/>
  <c r="Q1024" i="1" s="1"/>
  <c r="AS1024" i="1" s="1"/>
  <c r="AK1024" i="1" a="1"/>
  <c r="AK1024" i="1" s="1"/>
  <c r="AU1024" i="1"/>
  <c r="BD1024" i="1"/>
  <c r="H1025" i="1" a="1"/>
  <c r="H1025" i="1" s="1"/>
  <c r="R1025" i="1" s="1"/>
  <c r="K1025" i="1"/>
  <c r="N1025" i="1" s="1"/>
  <c r="Q1025" i="1" a="1"/>
  <c r="Q1025" i="1" s="1"/>
  <c r="AS1025" i="1" s="1"/>
  <c r="AK1025" i="1" a="1"/>
  <c r="AK1025" i="1" s="1"/>
  <c r="AU1025" i="1"/>
  <c r="BD1025" i="1"/>
  <c r="H1026" i="1" a="1"/>
  <c r="H1026" i="1" s="1"/>
  <c r="R1026" i="1" s="1"/>
  <c r="K1026" i="1"/>
  <c r="N1026" i="1" s="1"/>
  <c r="Q1026" i="1" a="1"/>
  <c r="Q1026" i="1" s="1"/>
  <c r="AS1026" i="1" s="1"/>
  <c r="AK1026" i="1" a="1"/>
  <c r="AK1026" i="1" s="1"/>
  <c r="AU1026" i="1"/>
  <c r="BD1026" i="1"/>
  <c r="H1027" i="1" a="1"/>
  <c r="H1027" i="1" s="1"/>
  <c r="R1027" i="1" s="1"/>
  <c r="K1027" i="1"/>
  <c r="N1027" i="1" s="1"/>
  <c r="Q1027" i="1" a="1"/>
  <c r="Q1027" i="1" s="1"/>
  <c r="AS1027" i="1" s="1"/>
  <c r="AK1027" i="1" a="1"/>
  <c r="AK1027" i="1" s="1"/>
  <c r="AU1027" i="1"/>
  <c r="BD1027" i="1"/>
  <c r="H1028" i="1" a="1"/>
  <c r="H1028" i="1" s="1"/>
  <c r="R1028" i="1" s="1"/>
  <c r="K1028" i="1"/>
  <c r="N1028" i="1" s="1"/>
  <c r="AK1028" i="1" a="1"/>
  <c r="AK1028" i="1" s="1"/>
  <c r="AU1028" i="1"/>
  <c r="BD1028" i="1"/>
  <c r="H1029" i="1" a="1"/>
  <c r="H1029" i="1" s="1"/>
  <c r="R1029" i="1" s="1"/>
  <c r="K1029" i="1"/>
  <c r="N1029" i="1" s="1"/>
  <c r="Q1029" i="1" a="1"/>
  <c r="Q1029" i="1" s="1"/>
  <c r="AS1029" i="1" s="1"/>
  <c r="AK1029" i="1" a="1"/>
  <c r="AK1029" i="1" s="1"/>
  <c r="AU1029" i="1"/>
  <c r="BD1029" i="1"/>
  <c r="H1030" i="1" a="1"/>
  <c r="H1030" i="1" s="1"/>
  <c r="R1030" i="1" s="1"/>
  <c r="K1030" i="1"/>
  <c r="N1030" i="1" s="1"/>
  <c r="Q1030" i="1" a="1"/>
  <c r="Q1030" i="1" s="1"/>
  <c r="AS1030" i="1" s="1"/>
  <c r="AK1030" i="1" a="1"/>
  <c r="AK1030" i="1" s="1"/>
  <c r="AU1030" i="1"/>
  <c r="BD1030" i="1"/>
  <c r="H1031" i="1" a="1"/>
  <c r="H1031" i="1" s="1"/>
  <c r="R1031" i="1" s="1"/>
  <c r="K1031" i="1"/>
  <c r="N1031" i="1" s="1"/>
  <c r="Q1031" i="1" a="1"/>
  <c r="Q1031" i="1" s="1"/>
  <c r="AS1031" i="1" s="1"/>
  <c r="AK1031" i="1" a="1"/>
  <c r="AK1031" i="1" s="1"/>
  <c r="AU1031" i="1"/>
  <c r="BD1031" i="1"/>
  <c r="H1032" i="1" a="1"/>
  <c r="H1032" i="1" s="1"/>
  <c r="R1032" i="1" s="1"/>
  <c r="K1032" i="1"/>
  <c r="N1032" i="1" s="1"/>
  <c r="Q1032" i="1" a="1"/>
  <c r="Q1032" i="1" s="1"/>
  <c r="AS1032" i="1" s="1"/>
  <c r="AK1032" i="1" a="1"/>
  <c r="AK1032" i="1" s="1"/>
  <c r="AU1032" i="1"/>
  <c r="BD1032" i="1"/>
  <c r="H1033" i="1" a="1"/>
  <c r="H1033" i="1" s="1"/>
  <c r="R1033" i="1" s="1"/>
  <c r="K1033" i="1"/>
  <c r="N1033" i="1" s="1"/>
  <c r="AK1033" i="1" a="1"/>
  <c r="AK1033" i="1" s="1"/>
  <c r="AU1033" i="1"/>
  <c r="BD1033" i="1"/>
  <c r="H1034" i="1" a="1"/>
  <c r="H1034" i="1" s="1"/>
  <c r="R1034" i="1" s="1"/>
  <c r="K1034" i="1"/>
  <c r="N1034" i="1" s="1"/>
  <c r="Q1034" i="1" a="1"/>
  <c r="Q1034" i="1" s="1"/>
  <c r="AS1034" i="1" s="1"/>
  <c r="AK1034" i="1" a="1"/>
  <c r="AK1034" i="1" s="1"/>
  <c r="AU1034" i="1"/>
  <c r="BD1034" i="1"/>
  <c r="H1035" i="1" a="1"/>
  <c r="H1035" i="1" s="1"/>
  <c r="R1035" i="1" s="1"/>
  <c r="K1035" i="1"/>
  <c r="N1035" i="1" s="1"/>
  <c r="Q1035" i="1" a="1"/>
  <c r="Q1035" i="1" s="1"/>
  <c r="AS1035" i="1" s="1"/>
  <c r="AK1035" i="1" a="1"/>
  <c r="AK1035" i="1" s="1"/>
  <c r="AU1035" i="1"/>
  <c r="BD1035" i="1"/>
  <c r="H1036" i="1" a="1"/>
  <c r="H1036" i="1" s="1"/>
  <c r="R1036" i="1" s="1"/>
  <c r="K1036" i="1"/>
  <c r="N1036" i="1" s="1"/>
  <c r="Q1036" i="1" a="1"/>
  <c r="Q1036" i="1" s="1"/>
  <c r="AS1036" i="1" s="1"/>
  <c r="AK1036" i="1" a="1"/>
  <c r="AK1036" i="1" s="1"/>
  <c r="AU1036" i="1"/>
  <c r="BD1036" i="1"/>
  <c r="H1037" i="1" a="1"/>
  <c r="H1037" i="1" s="1"/>
  <c r="R1037" i="1" s="1"/>
  <c r="K1037" i="1"/>
  <c r="N1037" i="1" s="1"/>
  <c r="AK1037" i="1" a="1"/>
  <c r="AK1037" i="1" s="1"/>
  <c r="AU1037" i="1"/>
  <c r="BD1037" i="1"/>
  <c r="H1038" i="1" a="1"/>
  <c r="H1038" i="1" s="1"/>
  <c r="R1038" i="1" s="1"/>
  <c r="K1038" i="1"/>
  <c r="N1038" i="1" s="1"/>
  <c r="AK1038" i="1" a="1"/>
  <c r="AK1038" i="1" s="1"/>
  <c r="AU1038" i="1"/>
  <c r="BD1038" i="1"/>
  <c r="H1039" i="1" a="1"/>
  <c r="H1039" i="1" s="1"/>
  <c r="R1039" i="1" s="1"/>
  <c r="K1039" i="1"/>
  <c r="N1039" i="1" s="1"/>
  <c r="Q1039" i="1" a="1"/>
  <c r="Q1039" i="1" s="1"/>
  <c r="AS1039" i="1" s="1"/>
  <c r="AK1039" i="1" a="1"/>
  <c r="AK1039" i="1" s="1"/>
  <c r="AU1039" i="1"/>
  <c r="BD1039" i="1"/>
  <c r="H1040" i="1" a="1"/>
  <c r="H1040" i="1" s="1"/>
  <c r="R1040" i="1" s="1"/>
  <c r="K1040" i="1"/>
  <c r="N1040" i="1" s="1"/>
  <c r="Q1040" i="1" a="1"/>
  <c r="Q1040" i="1" s="1"/>
  <c r="AS1040" i="1" s="1"/>
  <c r="AK1040" i="1" a="1"/>
  <c r="AK1040" i="1" s="1"/>
  <c r="AU1040" i="1"/>
  <c r="BD1040" i="1"/>
  <c r="H1041" i="1" a="1"/>
  <c r="H1041" i="1" s="1"/>
  <c r="R1041" i="1" s="1"/>
  <c r="K1041" i="1"/>
  <c r="N1041" i="1" s="1"/>
  <c r="Q1041" i="1" a="1"/>
  <c r="Q1041" i="1" s="1"/>
  <c r="AS1041" i="1" s="1"/>
  <c r="AK1041" i="1" a="1"/>
  <c r="AK1041" i="1" s="1"/>
  <c r="AU1041" i="1"/>
  <c r="BD1041" i="1"/>
  <c r="H1042" i="1" a="1"/>
  <c r="H1042" i="1" s="1"/>
  <c r="R1042" i="1" s="1"/>
  <c r="K1042" i="1"/>
  <c r="N1042" i="1" s="1"/>
  <c r="Q1042" i="1" a="1"/>
  <c r="Q1042" i="1" s="1"/>
  <c r="AS1042" i="1" s="1"/>
  <c r="AK1042" i="1" a="1"/>
  <c r="AK1042" i="1" s="1"/>
  <c r="AU1042" i="1"/>
  <c r="BD1042" i="1"/>
  <c r="H1043" i="1" a="1"/>
  <c r="H1043" i="1" s="1"/>
  <c r="R1043" i="1" s="1"/>
  <c r="K1043" i="1"/>
  <c r="N1043" i="1" s="1"/>
  <c r="Q1043" i="1" a="1"/>
  <c r="Q1043" i="1" s="1"/>
  <c r="AS1043" i="1" s="1"/>
  <c r="AK1043" i="1" a="1"/>
  <c r="AK1043" i="1" s="1"/>
  <c r="AU1043" i="1"/>
  <c r="BD1043" i="1"/>
  <c r="H1044" i="1" a="1"/>
  <c r="H1044" i="1" s="1"/>
  <c r="R1044" i="1" s="1"/>
  <c r="K1044" i="1"/>
  <c r="N1044" i="1" s="1"/>
  <c r="Q1044" i="1" a="1"/>
  <c r="Q1044" i="1" s="1"/>
  <c r="AS1044" i="1" s="1"/>
  <c r="AK1044" i="1" a="1"/>
  <c r="AK1044" i="1" s="1"/>
  <c r="AU1044" i="1"/>
  <c r="BD1044" i="1"/>
  <c r="H1045" i="1" a="1"/>
  <c r="H1045" i="1" s="1"/>
  <c r="R1045" i="1" s="1"/>
  <c r="K1045" i="1"/>
  <c r="N1045" i="1" s="1"/>
  <c r="Q1045" i="1" a="1"/>
  <c r="Q1045" i="1" s="1"/>
  <c r="AS1045" i="1" s="1"/>
  <c r="AK1045" i="1" a="1"/>
  <c r="AK1045" i="1" s="1"/>
  <c r="AU1045" i="1"/>
  <c r="BD1045" i="1"/>
  <c r="H1046" i="1" a="1"/>
  <c r="H1046" i="1" s="1"/>
  <c r="R1046" i="1" s="1"/>
  <c r="K1046" i="1"/>
  <c r="N1046" i="1" s="1"/>
  <c r="AK1046" i="1" a="1"/>
  <c r="AK1046" i="1" s="1"/>
  <c r="AU1046" i="1"/>
  <c r="BD1046" i="1"/>
  <c r="H1047" i="1" a="1"/>
  <c r="H1047" i="1" s="1"/>
  <c r="R1047" i="1" s="1"/>
  <c r="K1047" i="1"/>
  <c r="N1047" i="1" s="1"/>
  <c r="Q1047" i="1" a="1"/>
  <c r="Q1047" i="1" s="1"/>
  <c r="AS1047" i="1" s="1"/>
  <c r="AK1047" i="1" a="1"/>
  <c r="AK1047" i="1" s="1"/>
  <c r="AU1047" i="1"/>
  <c r="BD1047" i="1"/>
  <c r="H1048" i="1" a="1"/>
  <c r="H1048" i="1" s="1"/>
  <c r="R1048" i="1" s="1"/>
  <c r="K1048" i="1"/>
  <c r="N1048" i="1" s="1"/>
  <c r="Q1048" i="1" a="1"/>
  <c r="Q1048" i="1" s="1"/>
  <c r="AS1048" i="1" s="1"/>
  <c r="AK1048" i="1" a="1"/>
  <c r="AK1048" i="1" s="1"/>
  <c r="AU1048" i="1"/>
  <c r="BD1048" i="1"/>
  <c r="H1049" i="1" a="1"/>
  <c r="H1049" i="1" s="1"/>
  <c r="R1049" i="1" s="1"/>
  <c r="K1049" i="1"/>
  <c r="N1049" i="1" s="1"/>
  <c r="Q1049" i="1" a="1"/>
  <c r="Q1049" i="1" s="1"/>
  <c r="AS1049" i="1" s="1"/>
  <c r="AK1049" i="1" a="1"/>
  <c r="AK1049" i="1" s="1"/>
  <c r="AU1049" i="1"/>
  <c r="BD1049" i="1"/>
  <c r="K1053" i="1"/>
  <c r="N1053" i="1"/>
  <c r="O1053" i="1"/>
  <c r="AS1053" i="1"/>
  <c r="AK1053" i="1" a="1"/>
  <c r="AK1053" i="1" s="1"/>
  <c r="AU1053" i="1"/>
  <c r="BD1053" i="1"/>
  <c r="H1054" i="1" a="1"/>
  <c r="H1054" i="1" s="1"/>
  <c r="R1054" i="1" s="1"/>
  <c r="K1054" i="1"/>
  <c r="N1054" i="1" s="1"/>
  <c r="Q1054" i="1" a="1"/>
  <c r="Q1054" i="1" s="1"/>
  <c r="AS1054" i="1" s="1"/>
  <c r="AK1054" i="1" a="1"/>
  <c r="AK1054" i="1" s="1"/>
  <c r="AU1054" i="1"/>
  <c r="BD1054" i="1"/>
  <c r="H1055" i="1" a="1"/>
  <c r="H1055" i="1" s="1"/>
  <c r="R1055" i="1" s="1"/>
  <c r="K1055" i="1"/>
  <c r="N1055" i="1" s="1"/>
  <c r="Q1055" i="1" a="1"/>
  <c r="Q1055" i="1" s="1"/>
  <c r="AS1055" i="1" s="1"/>
  <c r="AK1055" i="1" a="1"/>
  <c r="AK1055" i="1" s="1"/>
  <c r="AU1055" i="1"/>
  <c r="BD1055" i="1"/>
  <c r="H1056" i="1" a="1"/>
  <c r="H1056" i="1" s="1"/>
  <c r="R1056" i="1" s="1"/>
  <c r="K1056" i="1"/>
  <c r="N1056" i="1" s="1"/>
  <c r="Q1056" i="1" a="1"/>
  <c r="Q1056" i="1" s="1"/>
  <c r="AS1056" i="1" s="1"/>
  <c r="AK1056" i="1" a="1"/>
  <c r="AK1056" i="1" s="1"/>
  <c r="AU1056" i="1"/>
  <c r="BD1056" i="1"/>
  <c r="H1057" i="1" a="1"/>
  <c r="H1057" i="1" s="1"/>
  <c r="R1057" i="1" s="1"/>
  <c r="K1057" i="1"/>
  <c r="N1057" i="1" s="1"/>
  <c r="AK1057" i="1" a="1"/>
  <c r="AK1057" i="1" s="1"/>
  <c r="AU1057" i="1"/>
  <c r="BD1057" i="1"/>
  <c r="H1058" i="1" a="1"/>
  <c r="H1058" i="1" s="1"/>
  <c r="R1058" i="1" s="1"/>
  <c r="K1058" i="1"/>
  <c r="N1058" i="1" s="1"/>
  <c r="Q1058" i="1" a="1"/>
  <c r="Q1058" i="1" s="1"/>
  <c r="AS1058" i="1" s="1"/>
  <c r="AK1058" i="1" a="1"/>
  <c r="AK1058" i="1" s="1"/>
  <c r="AU1058" i="1"/>
  <c r="BD1058" i="1"/>
  <c r="H1059" i="1" a="1"/>
  <c r="H1059" i="1" s="1"/>
  <c r="R1059" i="1" s="1"/>
  <c r="K1059" i="1"/>
  <c r="N1059" i="1" s="1"/>
  <c r="Q1059" i="1" a="1"/>
  <c r="Q1059" i="1" s="1"/>
  <c r="AS1059" i="1" s="1"/>
  <c r="AK1059" i="1" a="1"/>
  <c r="AK1059" i="1" s="1"/>
  <c r="AU1059" i="1"/>
  <c r="BD1059" i="1"/>
  <c r="H1060" i="1" a="1"/>
  <c r="H1060" i="1" s="1"/>
  <c r="R1060" i="1" s="1"/>
  <c r="K1060" i="1"/>
  <c r="N1060" i="1" s="1"/>
  <c r="Q1060" i="1" a="1"/>
  <c r="Q1060" i="1" s="1"/>
  <c r="AS1060" i="1" s="1"/>
  <c r="AK1060" i="1" a="1"/>
  <c r="AK1060" i="1" s="1"/>
  <c r="AU1060" i="1"/>
  <c r="BD1060" i="1"/>
  <c r="H1061" i="1" a="1"/>
  <c r="H1061" i="1" s="1"/>
  <c r="R1061" i="1" s="1"/>
  <c r="K1061" i="1"/>
  <c r="N1061" i="1" s="1"/>
  <c r="Q1061" i="1" a="1"/>
  <c r="Q1061" i="1" s="1"/>
  <c r="AS1061" i="1" s="1"/>
  <c r="AK1061" i="1" a="1"/>
  <c r="AK1061" i="1" s="1"/>
  <c r="AU1061" i="1"/>
  <c r="BD1061" i="1"/>
  <c r="H1062" i="1" a="1"/>
  <c r="H1062" i="1" s="1"/>
  <c r="R1062" i="1" s="1"/>
  <c r="K1062" i="1"/>
  <c r="N1062" i="1" s="1"/>
  <c r="Q1062" i="1" a="1"/>
  <c r="Q1062" i="1" s="1"/>
  <c r="AS1062" i="1" s="1"/>
  <c r="AK1062" i="1" a="1"/>
  <c r="AK1062" i="1" s="1"/>
  <c r="AU1062" i="1"/>
  <c r="BD1062" i="1"/>
  <c r="H1063" i="1" a="1"/>
  <c r="H1063" i="1" s="1"/>
  <c r="R1063" i="1" s="1"/>
  <c r="K1063" i="1"/>
  <c r="N1063" i="1" s="1"/>
  <c r="Q1063" i="1" a="1"/>
  <c r="Q1063" i="1" s="1"/>
  <c r="AS1063" i="1" s="1"/>
  <c r="AK1063" i="1" a="1"/>
  <c r="AK1063" i="1" s="1"/>
  <c r="AU1063" i="1"/>
  <c r="BD1063" i="1"/>
  <c r="H1064" i="1" a="1"/>
  <c r="H1064" i="1" s="1"/>
  <c r="R1064" i="1" s="1"/>
  <c r="K1064" i="1"/>
  <c r="N1064" i="1" s="1"/>
  <c r="Q1064" i="1" a="1"/>
  <c r="Q1064" i="1" s="1"/>
  <c r="AS1064" i="1" s="1"/>
  <c r="AK1064" i="1" a="1"/>
  <c r="AK1064" i="1" s="1"/>
  <c r="AU1064" i="1"/>
  <c r="BD1064" i="1"/>
  <c r="H1065" i="1" a="1"/>
  <c r="H1065" i="1" s="1"/>
  <c r="R1065" i="1" s="1"/>
  <c r="K1065" i="1"/>
  <c r="N1065" i="1" s="1"/>
  <c r="Q1065" i="1" a="1"/>
  <c r="Q1065" i="1" s="1"/>
  <c r="AS1065" i="1" s="1"/>
  <c r="AK1065" i="1" a="1"/>
  <c r="AK1065" i="1" s="1"/>
  <c r="AU1065" i="1"/>
  <c r="BD1065" i="1"/>
  <c r="H1066" i="1" a="1"/>
  <c r="H1066" i="1" s="1"/>
  <c r="R1066" i="1" s="1"/>
  <c r="K1066" i="1"/>
  <c r="N1066" i="1" s="1"/>
  <c r="Q1066" i="1" a="1"/>
  <c r="Q1066" i="1" s="1"/>
  <c r="AS1066" i="1" s="1"/>
  <c r="AK1066" i="1" a="1"/>
  <c r="AK1066" i="1" s="1"/>
  <c r="AU1066" i="1"/>
  <c r="BD1066" i="1"/>
  <c r="H1067" i="1" a="1"/>
  <c r="H1067" i="1" s="1"/>
  <c r="R1067" i="1" s="1"/>
  <c r="K1067" i="1"/>
  <c r="N1067" i="1" s="1"/>
  <c r="Q1067" i="1" a="1"/>
  <c r="Q1067" i="1" s="1"/>
  <c r="AS1067" i="1" s="1"/>
  <c r="AK1067" i="1" a="1"/>
  <c r="AK1067" i="1" s="1"/>
  <c r="AU1067" i="1"/>
  <c r="BD1067" i="1"/>
  <c r="H1068" i="1" a="1"/>
  <c r="H1068" i="1" s="1"/>
  <c r="R1068" i="1" s="1"/>
  <c r="K1068" i="1"/>
  <c r="N1068" i="1" s="1"/>
  <c r="Q1068" i="1" a="1"/>
  <c r="Q1068" i="1" s="1"/>
  <c r="AS1068" i="1" s="1"/>
  <c r="AK1068" i="1" a="1"/>
  <c r="AK1068" i="1" s="1"/>
  <c r="AU1068" i="1"/>
  <c r="BD1068" i="1"/>
  <c r="H1069" i="1" a="1"/>
  <c r="H1069" i="1" s="1"/>
  <c r="R1069" i="1" s="1"/>
  <c r="K1069" i="1"/>
  <c r="N1069" i="1" s="1"/>
  <c r="Q1069" i="1" a="1"/>
  <c r="Q1069" i="1" s="1"/>
  <c r="AS1069" i="1" s="1"/>
  <c r="AK1069" i="1" a="1"/>
  <c r="AK1069" i="1" s="1"/>
  <c r="AU1069" i="1"/>
  <c r="BD1069" i="1"/>
  <c r="H1070" i="1" a="1"/>
  <c r="H1070" i="1" s="1"/>
  <c r="R1070" i="1" s="1"/>
  <c r="K1070" i="1"/>
  <c r="N1070" i="1" s="1"/>
  <c r="Q1070" i="1" a="1"/>
  <c r="Q1070" i="1" s="1"/>
  <c r="AS1070" i="1" s="1"/>
  <c r="AK1070" i="1" a="1"/>
  <c r="AK1070" i="1" s="1"/>
  <c r="AU1070" i="1"/>
  <c r="BD1070" i="1"/>
  <c r="H1071" i="1" a="1"/>
  <c r="H1071" i="1" s="1"/>
  <c r="R1071" i="1" s="1"/>
  <c r="K1071" i="1"/>
  <c r="N1071" i="1" s="1"/>
  <c r="Q1071" i="1" a="1"/>
  <c r="Q1071" i="1" s="1"/>
  <c r="AS1071" i="1" s="1"/>
  <c r="AK1071" i="1" a="1"/>
  <c r="AK1071" i="1" s="1"/>
  <c r="AU1071" i="1"/>
  <c r="BD1071" i="1"/>
  <c r="H1072" i="1" a="1"/>
  <c r="H1072" i="1" s="1"/>
  <c r="R1072" i="1" s="1"/>
  <c r="K1072" i="1"/>
  <c r="N1072" i="1" s="1"/>
  <c r="Q1072" i="1" a="1"/>
  <c r="Q1072" i="1" s="1"/>
  <c r="AS1072" i="1" s="1"/>
  <c r="AK1072" i="1" a="1"/>
  <c r="AK1072" i="1" s="1"/>
  <c r="AU1072" i="1"/>
  <c r="BD1072" i="1"/>
  <c r="H1073" i="1" a="1"/>
  <c r="H1073" i="1" s="1"/>
  <c r="R1073" i="1" s="1"/>
  <c r="K1073" i="1"/>
  <c r="N1073" i="1" s="1"/>
  <c r="Q1073" i="1" a="1"/>
  <c r="Q1073" i="1" s="1"/>
  <c r="AS1073" i="1" s="1"/>
  <c r="AK1073" i="1" a="1"/>
  <c r="AK1073" i="1" s="1"/>
  <c r="AU1073" i="1"/>
  <c r="BD1073" i="1"/>
  <c r="H1074" i="1" a="1"/>
  <c r="H1074" i="1" s="1"/>
  <c r="R1074" i="1" s="1"/>
  <c r="K1074" i="1"/>
  <c r="N1074" i="1" s="1"/>
  <c r="Q1074" i="1" a="1"/>
  <c r="Q1074" i="1" s="1"/>
  <c r="AS1074" i="1" s="1"/>
  <c r="AK1074" i="1" a="1"/>
  <c r="AK1074" i="1" s="1"/>
  <c r="AU1074" i="1"/>
  <c r="BD1074" i="1"/>
  <c r="H1075" i="1" a="1"/>
  <c r="H1075" i="1" s="1"/>
  <c r="R1075" i="1" s="1"/>
  <c r="K1075" i="1"/>
  <c r="N1075" i="1" s="1"/>
  <c r="Q1075" i="1" a="1"/>
  <c r="Q1075" i="1" s="1"/>
  <c r="AS1075" i="1" s="1"/>
  <c r="AK1075" i="1" a="1"/>
  <c r="AK1075" i="1" s="1"/>
  <c r="AU1075" i="1"/>
  <c r="BD1075" i="1"/>
  <c r="H1076" i="1" a="1"/>
  <c r="H1076" i="1" s="1"/>
  <c r="R1076" i="1" s="1"/>
  <c r="K1076" i="1"/>
  <c r="N1076" i="1" s="1"/>
  <c r="Q1076" i="1" a="1"/>
  <c r="Q1076" i="1" s="1"/>
  <c r="AS1076" i="1" s="1"/>
  <c r="AK1076" i="1" a="1"/>
  <c r="AK1076" i="1" s="1"/>
  <c r="AU1076" i="1"/>
  <c r="BD1076" i="1"/>
  <c r="H1077" i="1" a="1"/>
  <c r="H1077" i="1" s="1"/>
  <c r="R1077" i="1" s="1"/>
  <c r="K1077" i="1"/>
  <c r="N1077" i="1" s="1"/>
  <c r="Q1077" i="1" a="1"/>
  <c r="Q1077" i="1" s="1"/>
  <c r="AS1077" i="1" s="1"/>
  <c r="AK1077" i="1" a="1"/>
  <c r="AK1077" i="1" s="1"/>
  <c r="AU1077" i="1"/>
  <c r="BD1077" i="1"/>
  <c r="H1078" i="1" a="1"/>
  <c r="H1078" i="1" s="1"/>
  <c r="R1078" i="1" s="1"/>
  <c r="K1078" i="1"/>
  <c r="N1078" i="1" s="1"/>
  <c r="Q1078" i="1" a="1"/>
  <c r="Q1078" i="1" s="1"/>
  <c r="AS1078" i="1" s="1"/>
  <c r="AK1078" i="1" a="1"/>
  <c r="AK1078" i="1" s="1"/>
  <c r="AU1078" i="1"/>
  <c r="BD1078" i="1"/>
  <c r="H1079" i="1" a="1"/>
  <c r="H1079" i="1" s="1"/>
  <c r="R1079" i="1" s="1"/>
  <c r="K1079" i="1"/>
  <c r="N1079" i="1" s="1"/>
  <c r="Q1079" i="1" a="1"/>
  <c r="Q1079" i="1" s="1"/>
  <c r="AS1079" i="1" s="1"/>
  <c r="AK1079" i="1" a="1"/>
  <c r="AK1079" i="1" s="1"/>
  <c r="AU1079" i="1"/>
  <c r="BD1079" i="1"/>
  <c r="H1080" i="1" a="1"/>
  <c r="H1080" i="1" s="1"/>
  <c r="R1080" i="1" s="1"/>
  <c r="K1080" i="1"/>
  <c r="N1080" i="1" s="1"/>
  <c r="Q1080" i="1" a="1"/>
  <c r="Q1080" i="1" s="1"/>
  <c r="AS1080" i="1" s="1"/>
  <c r="AK1080" i="1" a="1"/>
  <c r="AK1080" i="1" s="1"/>
  <c r="AU1080" i="1"/>
  <c r="BD1080" i="1"/>
  <c r="H1081" i="1" a="1"/>
  <c r="H1081" i="1" s="1"/>
  <c r="R1081" i="1" s="1"/>
  <c r="K1081" i="1"/>
  <c r="N1081" i="1" s="1"/>
  <c r="Q1081" i="1" a="1"/>
  <c r="Q1081" i="1" s="1"/>
  <c r="AS1081" i="1" s="1"/>
  <c r="AK1081" i="1" a="1"/>
  <c r="AK1081" i="1" s="1"/>
  <c r="AU1081" i="1"/>
  <c r="BD1081" i="1"/>
  <c r="H1082" i="1" a="1"/>
  <c r="H1082" i="1" s="1"/>
  <c r="R1082" i="1" s="1"/>
  <c r="K1082" i="1"/>
  <c r="N1082" i="1" s="1"/>
  <c r="Q1082" i="1" a="1"/>
  <c r="Q1082" i="1" s="1"/>
  <c r="AS1082" i="1" s="1"/>
  <c r="AK1082" i="1" a="1"/>
  <c r="AK1082" i="1" s="1"/>
  <c r="AU1082" i="1"/>
  <c r="BD1082" i="1"/>
  <c r="H1083" i="1" a="1"/>
  <c r="H1083" i="1" s="1"/>
  <c r="R1083" i="1" s="1"/>
  <c r="K1083" i="1"/>
  <c r="N1083" i="1" s="1"/>
  <c r="AK1083" i="1" a="1"/>
  <c r="AK1083" i="1" s="1"/>
  <c r="AU1083" i="1"/>
  <c r="BD1083" i="1"/>
  <c r="H1084" i="1" a="1"/>
  <c r="H1084" i="1" s="1"/>
  <c r="R1084" i="1" s="1"/>
  <c r="K1084" i="1"/>
  <c r="N1084" i="1" s="1"/>
  <c r="Q1084" i="1" a="1"/>
  <c r="Q1084" i="1" s="1"/>
  <c r="AS1084" i="1" s="1"/>
  <c r="AK1084" i="1" a="1"/>
  <c r="AK1084" i="1" s="1"/>
  <c r="AU1084" i="1"/>
  <c r="BD1084" i="1"/>
  <c r="H1085" i="1" a="1"/>
  <c r="H1085" i="1" s="1"/>
  <c r="R1085" i="1" s="1"/>
  <c r="K1085" i="1"/>
  <c r="N1085" i="1" s="1"/>
  <c r="AK1085" i="1" a="1"/>
  <c r="AK1085" i="1" s="1"/>
  <c r="AU1085" i="1"/>
  <c r="BD1085" i="1"/>
  <c r="H1086" i="1" a="1"/>
  <c r="H1086" i="1" s="1"/>
  <c r="R1086" i="1" s="1"/>
  <c r="K1086" i="1"/>
  <c r="N1086" i="1" s="1"/>
  <c r="Q1086" i="1" a="1"/>
  <c r="Q1086" i="1" s="1"/>
  <c r="AS1086" i="1" s="1"/>
  <c r="AK1086" i="1" a="1"/>
  <c r="AK1086" i="1" s="1"/>
  <c r="AU1086" i="1"/>
  <c r="BD1086" i="1"/>
  <c r="H1087" i="1" a="1"/>
  <c r="H1087" i="1" s="1"/>
  <c r="R1087" i="1" s="1"/>
  <c r="K1087" i="1"/>
  <c r="N1087" i="1" s="1"/>
  <c r="Q1087" i="1" a="1"/>
  <c r="Q1087" i="1" s="1"/>
  <c r="AS1087" i="1" s="1"/>
  <c r="AK1087" i="1" a="1"/>
  <c r="AK1087" i="1" s="1"/>
  <c r="AU1087" i="1"/>
  <c r="BD1087" i="1"/>
  <c r="H1088" i="1" a="1"/>
  <c r="H1088" i="1" s="1"/>
  <c r="R1088" i="1" s="1"/>
  <c r="K1088" i="1"/>
  <c r="N1088" i="1" s="1"/>
  <c r="Q1088" i="1" a="1"/>
  <c r="Q1088" i="1" s="1"/>
  <c r="AS1088" i="1" s="1"/>
  <c r="AK1088" i="1" a="1"/>
  <c r="AK1088" i="1" s="1"/>
  <c r="AU1088" i="1"/>
  <c r="BD1088" i="1"/>
  <c r="H1089" i="1" a="1"/>
  <c r="H1089" i="1" s="1"/>
  <c r="R1089" i="1" s="1"/>
  <c r="K1089" i="1"/>
  <c r="N1089" i="1" s="1"/>
  <c r="Q1089" i="1" a="1"/>
  <c r="Q1089" i="1" s="1"/>
  <c r="AS1089" i="1" s="1"/>
  <c r="AK1089" i="1" a="1"/>
  <c r="AK1089" i="1" s="1"/>
  <c r="AU1089" i="1"/>
  <c r="BD1089" i="1"/>
  <c r="H1090" i="1" a="1"/>
  <c r="H1090" i="1" s="1"/>
  <c r="R1090" i="1" s="1"/>
  <c r="K1090" i="1"/>
  <c r="N1090" i="1" s="1"/>
  <c r="Q1090" i="1" a="1"/>
  <c r="Q1090" i="1" s="1"/>
  <c r="AS1090" i="1" s="1"/>
  <c r="AK1090" i="1" a="1"/>
  <c r="AK1090" i="1" s="1"/>
  <c r="AU1090" i="1"/>
  <c r="BD1090" i="1"/>
  <c r="H1091" i="1" a="1"/>
  <c r="H1091" i="1" s="1"/>
  <c r="R1091" i="1" s="1"/>
  <c r="K1091" i="1"/>
  <c r="N1091" i="1" s="1"/>
  <c r="Q1091" i="1" a="1"/>
  <c r="Q1091" i="1" s="1"/>
  <c r="AS1091" i="1" s="1"/>
  <c r="AK1091" i="1" a="1"/>
  <c r="AK1091" i="1" s="1"/>
  <c r="AU1091" i="1"/>
  <c r="BD1091" i="1"/>
  <c r="H1092" i="1" a="1"/>
  <c r="H1092" i="1" s="1"/>
  <c r="R1092" i="1" s="1"/>
  <c r="K1092" i="1"/>
  <c r="N1092" i="1" s="1"/>
  <c r="Q1092" i="1" a="1"/>
  <c r="Q1092" i="1" s="1"/>
  <c r="AS1092" i="1" s="1"/>
  <c r="AK1092" i="1" a="1"/>
  <c r="AK1092" i="1" s="1"/>
  <c r="AU1092" i="1"/>
  <c r="BD1092" i="1"/>
  <c r="H1093" i="1" a="1"/>
  <c r="H1093" i="1" s="1"/>
  <c r="R1093" i="1" s="1"/>
  <c r="K1093" i="1"/>
  <c r="N1093" i="1" s="1"/>
  <c r="Q1093" i="1" a="1"/>
  <c r="Q1093" i="1" s="1"/>
  <c r="AS1093" i="1" s="1"/>
  <c r="AK1093" i="1" a="1"/>
  <c r="AK1093" i="1" s="1"/>
  <c r="AU1093" i="1"/>
  <c r="BD1093" i="1"/>
  <c r="H1094" i="1" a="1"/>
  <c r="H1094" i="1" s="1"/>
  <c r="R1094" i="1" s="1"/>
  <c r="K1094" i="1"/>
  <c r="N1094" i="1" s="1"/>
  <c r="Q1094" i="1" a="1"/>
  <c r="Q1094" i="1" s="1"/>
  <c r="AS1094" i="1" s="1"/>
  <c r="AK1094" i="1" a="1"/>
  <c r="AK1094" i="1" s="1"/>
  <c r="AU1094" i="1"/>
  <c r="BD1094" i="1"/>
  <c r="H1095" i="1" a="1"/>
  <c r="H1095" i="1" s="1"/>
  <c r="R1095" i="1" s="1"/>
  <c r="K1095" i="1"/>
  <c r="N1095" i="1" s="1"/>
  <c r="AK1095" i="1" a="1"/>
  <c r="AK1095" i="1" s="1"/>
  <c r="AU1095" i="1"/>
  <c r="BD1095" i="1"/>
  <c r="H1096" i="1" a="1"/>
  <c r="H1096" i="1" s="1"/>
  <c r="R1096" i="1" s="1"/>
  <c r="K1096" i="1"/>
  <c r="N1096" i="1" s="1"/>
  <c r="AK1096" i="1" a="1"/>
  <c r="AK1096" i="1" s="1"/>
  <c r="AU1096" i="1"/>
  <c r="BD1096" i="1"/>
  <c r="H1097" i="1" a="1"/>
  <c r="H1097" i="1" s="1"/>
  <c r="R1097" i="1" s="1"/>
  <c r="K1097" i="1"/>
  <c r="N1097" i="1" s="1"/>
  <c r="Q1097" i="1" a="1"/>
  <c r="Q1097" i="1" s="1"/>
  <c r="AS1097" i="1" s="1"/>
  <c r="AK1097" i="1" a="1"/>
  <c r="AK1097" i="1" s="1"/>
  <c r="AU1097" i="1"/>
  <c r="BD1097" i="1"/>
  <c r="H1098" i="1" a="1"/>
  <c r="H1098" i="1" s="1"/>
  <c r="R1098" i="1" s="1"/>
  <c r="K1098" i="1"/>
  <c r="N1098" i="1" s="1"/>
  <c r="Q1098" i="1" a="1"/>
  <c r="Q1098" i="1" s="1"/>
  <c r="AS1098" i="1" s="1"/>
  <c r="AK1098" i="1" a="1"/>
  <c r="AK1098" i="1" s="1"/>
  <c r="AU1098" i="1"/>
  <c r="BD1098" i="1"/>
  <c r="H1099" i="1" a="1"/>
  <c r="H1099" i="1" s="1"/>
  <c r="R1099" i="1" s="1"/>
  <c r="K1099" i="1"/>
  <c r="N1099" i="1" s="1"/>
  <c r="Q1099" i="1" a="1"/>
  <c r="Q1099" i="1" s="1"/>
  <c r="AS1099" i="1" s="1"/>
  <c r="AK1099" i="1" a="1"/>
  <c r="AK1099" i="1" s="1"/>
  <c r="AU1099" i="1"/>
  <c r="BD1099" i="1"/>
  <c r="H1100" i="1" a="1"/>
  <c r="H1100" i="1" s="1"/>
  <c r="R1100" i="1" s="1"/>
  <c r="K1100" i="1"/>
  <c r="N1100" i="1" s="1"/>
  <c r="Q1100" i="1" a="1"/>
  <c r="Q1100" i="1" s="1"/>
  <c r="AS1100" i="1" s="1"/>
  <c r="AK1100" i="1" a="1"/>
  <c r="AK1100" i="1" s="1"/>
  <c r="AU1100" i="1"/>
  <c r="BD1100" i="1"/>
  <c r="H1101" i="1" a="1"/>
  <c r="H1101" i="1" s="1"/>
  <c r="R1101" i="1" s="1"/>
  <c r="K1101" i="1"/>
  <c r="N1101" i="1" s="1"/>
  <c r="Q1101" i="1" a="1"/>
  <c r="Q1101" i="1" s="1"/>
  <c r="AS1101" i="1" s="1"/>
  <c r="AK1101" i="1" a="1"/>
  <c r="AK1101" i="1" s="1"/>
  <c r="AU1101" i="1"/>
  <c r="BD1101" i="1"/>
  <c r="H1102" i="1" a="1"/>
  <c r="H1102" i="1" s="1"/>
  <c r="R1102" i="1" s="1"/>
  <c r="K1102" i="1"/>
  <c r="N1102" i="1" s="1"/>
  <c r="Q1102" i="1" a="1"/>
  <c r="Q1102" i="1" s="1"/>
  <c r="AS1102" i="1" s="1"/>
  <c r="AK1102" i="1" a="1"/>
  <c r="AK1102" i="1" s="1"/>
  <c r="AU1102" i="1"/>
  <c r="BD1102" i="1"/>
  <c r="H1103" i="1" a="1"/>
  <c r="H1103" i="1" s="1"/>
  <c r="R1103" i="1" s="1"/>
  <c r="K1103" i="1"/>
  <c r="N1103" i="1" s="1"/>
  <c r="Q1103" i="1" a="1"/>
  <c r="Q1103" i="1" s="1"/>
  <c r="AS1103" i="1" s="1"/>
  <c r="AK1103" i="1" a="1"/>
  <c r="AK1103" i="1" s="1"/>
  <c r="AU1103" i="1"/>
  <c r="BD1103" i="1"/>
  <c r="H1104" i="1" a="1"/>
  <c r="H1104" i="1" s="1"/>
  <c r="R1104" i="1" s="1"/>
  <c r="K1104" i="1"/>
  <c r="N1104" i="1" s="1"/>
  <c r="Q1104" i="1" a="1"/>
  <c r="Q1104" i="1" s="1"/>
  <c r="AS1104" i="1" s="1"/>
  <c r="AK1104" i="1" a="1"/>
  <c r="AK1104" i="1" s="1"/>
  <c r="AU1104" i="1"/>
  <c r="BD1104" i="1"/>
  <c r="H1105" i="1" a="1"/>
  <c r="H1105" i="1" s="1"/>
  <c r="R1105" i="1" s="1"/>
  <c r="K1105" i="1"/>
  <c r="N1105" i="1" s="1"/>
  <c r="Q1105" i="1" a="1"/>
  <c r="Q1105" i="1" s="1"/>
  <c r="AS1105" i="1" s="1"/>
  <c r="AK1105" i="1" a="1"/>
  <c r="AK1105" i="1" s="1"/>
  <c r="AU1105" i="1"/>
  <c r="BD1105" i="1"/>
  <c r="H1106" i="1" a="1"/>
  <c r="H1106" i="1" s="1"/>
  <c r="R1106" i="1" s="1"/>
  <c r="K1106" i="1"/>
  <c r="N1106" i="1" s="1"/>
  <c r="Q1106" i="1" a="1"/>
  <c r="Q1106" i="1" s="1"/>
  <c r="AS1106" i="1" s="1"/>
  <c r="AK1106" i="1" a="1"/>
  <c r="AK1106" i="1" s="1"/>
  <c r="AU1106" i="1"/>
  <c r="BD1106" i="1"/>
  <c r="H1107" i="1" a="1"/>
  <c r="H1107" i="1" s="1"/>
  <c r="R1107" i="1" s="1"/>
  <c r="K1107" i="1"/>
  <c r="N1107" i="1" s="1"/>
  <c r="Q1107" i="1" a="1"/>
  <c r="Q1107" i="1" s="1"/>
  <c r="AS1107" i="1" s="1"/>
  <c r="AK1107" i="1" a="1"/>
  <c r="AK1107" i="1" s="1"/>
  <c r="AU1107" i="1"/>
  <c r="BD1107" i="1"/>
  <c r="H1108" i="1" a="1"/>
  <c r="H1108" i="1" s="1"/>
  <c r="R1108" i="1" s="1"/>
  <c r="K1108" i="1"/>
  <c r="N1108" i="1" s="1"/>
  <c r="Q1108" i="1" a="1"/>
  <c r="Q1108" i="1" s="1"/>
  <c r="AS1108" i="1" s="1"/>
  <c r="AK1108" i="1" a="1"/>
  <c r="AK1108" i="1" s="1"/>
  <c r="AU1108" i="1"/>
  <c r="BD1108" i="1"/>
  <c r="H1109" i="1" a="1"/>
  <c r="H1109" i="1" s="1"/>
  <c r="R1109" i="1" s="1"/>
  <c r="K1109" i="1"/>
  <c r="N1109" i="1" s="1"/>
  <c r="Q1109" i="1" a="1"/>
  <c r="Q1109" i="1" s="1"/>
  <c r="AS1109" i="1" s="1"/>
  <c r="AK1109" i="1" a="1"/>
  <c r="AK1109" i="1" s="1"/>
  <c r="AU1109" i="1"/>
  <c r="BD1109" i="1"/>
  <c r="H1110" i="1" a="1"/>
  <c r="H1110" i="1" s="1"/>
  <c r="R1110" i="1" s="1"/>
  <c r="K1110" i="1"/>
  <c r="N1110" i="1" s="1"/>
  <c r="Q1110" i="1" a="1"/>
  <c r="Q1110" i="1" s="1"/>
  <c r="AS1110" i="1" s="1"/>
  <c r="AK1110" i="1" a="1"/>
  <c r="AK1110" i="1" s="1"/>
  <c r="AU1110" i="1"/>
  <c r="BD1110" i="1"/>
  <c r="H1111" i="1" a="1"/>
  <c r="H1111" i="1" s="1"/>
  <c r="R1111" i="1" s="1"/>
  <c r="K1111" i="1"/>
  <c r="N1111" i="1" s="1"/>
  <c r="Q1111" i="1" a="1"/>
  <c r="Q1111" i="1" s="1"/>
  <c r="AS1111" i="1" s="1"/>
  <c r="AK1111" i="1" a="1"/>
  <c r="AK1111" i="1" s="1"/>
  <c r="AU1111" i="1"/>
  <c r="BD1111" i="1"/>
  <c r="H1112" i="1" a="1"/>
  <c r="H1112" i="1" s="1"/>
  <c r="R1112" i="1" s="1"/>
  <c r="K1112" i="1"/>
  <c r="N1112" i="1" s="1"/>
  <c r="Q1112" i="1" a="1"/>
  <c r="Q1112" i="1" s="1"/>
  <c r="AS1112" i="1" s="1"/>
  <c r="AK1112" i="1" a="1"/>
  <c r="AK1112" i="1" s="1"/>
  <c r="AU1112" i="1"/>
  <c r="BD1112" i="1"/>
  <c r="H1113" i="1" a="1"/>
  <c r="H1113" i="1" s="1"/>
  <c r="R1113" i="1" s="1"/>
  <c r="K1113" i="1"/>
  <c r="N1113" i="1" s="1"/>
  <c r="Q1113" i="1" a="1"/>
  <c r="Q1113" i="1" s="1"/>
  <c r="AS1113" i="1" s="1"/>
  <c r="AK1113" i="1" a="1"/>
  <c r="AK1113" i="1" s="1"/>
  <c r="AU1113" i="1"/>
  <c r="BD1113" i="1"/>
  <c r="H1114" i="1" a="1"/>
  <c r="H1114" i="1" s="1"/>
  <c r="R1114" i="1" s="1"/>
  <c r="K1114" i="1"/>
  <c r="N1114" i="1" s="1"/>
  <c r="Q1114" i="1" a="1"/>
  <c r="Q1114" i="1" s="1"/>
  <c r="AS1114" i="1" s="1"/>
  <c r="AK1114" i="1" a="1"/>
  <c r="AK1114" i="1" s="1"/>
  <c r="AU1114" i="1"/>
  <c r="BD1114" i="1"/>
  <c r="H1115" i="1" a="1"/>
  <c r="H1115" i="1" s="1"/>
  <c r="R1115" i="1" s="1"/>
  <c r="K1115" i="1"/>
  <c r="N1115" i="1" s="1"/>
  <c r="Q1115" i="1" a="1"/>
  <c r="Q1115" i="1" s="1"/>
  <c r="AS1115" i="1" s="1"/>
  <c r="AK1115" i="1" a="1"/>
  <c r="AK1115" i="1" s="1"/>
  <c r="AU1115" i="1"/>
  <c r="BD1115" i="1"/>
  <c r="H1116" i="1" a="1"/>
  <c r="H1116" i="1" s="1"/>
  <c r="R1116" i="1" s="1"/>
  <c r="K1116" i="1"/>
  <c r="N1116" i="1" s="1"/>
  <c r="Q1116" i="1" a="1"/>
  <c r="Q1116" i="1" s="1"/>
  <c r="AS1116" i="1" s="1"/>
  <c r="AK1116" i="1" a="1"/>
  <c r="AK1116" i="1" s="1"/>
  <c r="AU1116" i="1"/>
  <c r="BD1116" i="1"/>
  <c r="H1117" i="1" a="1"/>
  <c r="H1117" i="1" s="1"/>
  <c r="R1117" i="1" s="1"/>
  <c r="K1117" i="1"/>
  <c r="N1117" i="1" s="1"/>
  <c r="Q1117" i="1" a="1"/>
  <c r="Q1117" i="1" s="1"/>
  <c r="AS1117" i="1" s="1"/>
  <c r="AK1117" i="1" a="1"/>
  <c r="AK1117" i="1" s="1"/>
  <c r="AU1117" i="1"/>
  <c r="BD1117" i="1"/>
  <c r="H1118" i="1" a="1"/>
  <c r="H1118" i="1" s="1"/>
  <c r="R1118" i="1" s="1"/>
  <c r="K1118" i="1"/>
  <c r="N1118" i="1" s="1"/>
  <c r="Q1118" i="1" a="1"/>
  <c r="Q1118" i="1" s="1"/>
  <c r="AS1118" i="1" s="1"/>
  <c r="AK1118" i="1" a="1"/>
  <c r="AK1118" i="1" s="1"/>
  <c r="AU1118" i="1"/>
  <c r="BD1118" i="1"/>
  <c r="H1119" i="1" a="1"/>
  <c r="H1119" i="1" s="1"/>
  <c r="R1119" i="1" s="1"/>
  <c r="K1119" i="1"/>
  <c r="N1119" i="1" s="1"/>
  <c r="Q1119" i="1" a="1"/>
  <c r="Q1119" i="1" s="1"/>
  <c r="AS1119" i="1" s="1"/>
  <c r="AK1119" i="1" a="1"/>
  <c r="AK1119" i="1" s="1"/>
  <c r="AU1119" i="1"/>
  <c r="BD1119" i="1"/>
  <c r="H1120" i="1" a="1"/>
  <c r="H1120" i="1" s="1"/>
  <c r="R1120" i="1" s="1"/>
  <c r="K1120" i="1"/>
  <c r="N1120" i="1" s="1"/>
  <c r="Q1120" i="1" a="1"/>
  <c r="Q1120" i="1" s="1"/>
  <c r="AS1120" i="1" s="1"/>
  <c r="AK1120" i="1" a="1"/>
  <c r="AK1120" i="1" s="1"/>
  <c r="AU1120" i="1"/>
  <c r="BD1120" i="1"/>
  <c r="H1121" i="1" a="1"/>
  <c r="H1121" i="1" s="1"/>
  <c r="R1121" i="1" s="1"/>
  <c r="K1121" i="1"/>
  <c r="N1121" i="1" s="1"/>
  <c r="Q1121" i="1" a="1"/>
  <c r="Q1121" i="1" s="1"/>
  <c r="AS1121" i="1" s="1"/>
  <c r="AK1121" i="1" a="1"/>
  <c r="AK1121" i="1" s="1"/>
  <c r="AU1121" i="1"/>
  <c r="BD1121" i="1"/>
  <c r="H1122" i="1" a="1"/>
  <c r="H1122" i="1" s="1"/>
  <c r="R1122" i="1" s="1"/>
  <c r="K1122" i="1"/>
  <c r="N1122" i="1" s="1"/>
  <c r="Q1122" i="1" a="1"/>
  <c r="Q1122" i="1" s="1"/>
  <c r="AS1122" i="1" s="1"/>
  <c r="AK1122" i="1" a="1"/>
  <c r="AK1122" i="1" s="1"/>
  <c r="AU1122" i="1"/>
  <c r="BD1122" i="1"/>
  <c r="H1123" i="1" a="1"/>
  <c r="H1123" i="1" s="1"/>
  <c r="R1123" i="1" s="1"/>
  <c r="K1123" i="1"/>
  <c r="N1123" i="1" s="1"/>
  <c r="Q1123" i="1" a="1"/>
  <c r="Q1123" i="1" s="1"/>
  <c r="AS1123" i="1" s="1"/>
  <c r="AK1123" i="1" a="1"/>
  <c r="AK1123" i="1" s="1"/>
  <c r="AU1123" i="1"/>
  <c r="BD1123" i="1"/>
  <c r="H1124" i="1" a="1"/>
  <c r="H1124" i="1" s="1"/>
  <c r="R1124" i="1" s="1"/>
  <c r="K1124" i="1"/>
  <c r="N1124" i="1" s="1"/>
  <c r="Q1124" i="1" a="1"/>
  <c r="Q1124" i="1" s="1"/>
  <c r="AS1124" i="1" s="1"/>
  <c r="AK1124" i="1" a="1"/>
  <c r="AK1124" i="1" s="1"/>
  <c r="AU1124" i="1"/>
  <c r="BD1124" i="1"/>
  <c r="H1125" i="1" a="1"/>
  <c r="H1125" i="1" s="1"/>
  <c r="R1125" i="1" s="1"/>
  <c r="K1125" i="1"/>
  <c r="N1125" i="1" s="1"/>
  <c r="Q1125" i="1" a="1"/>
  <c r="Q1125" i="1" s="1"/>
  <c r="AS1125" i="1" s="1"/>
  <c r="AK1125" i="1" a="1"/>
  <c r="AK1125" i="1" s="1"/>
  <c r="AU1125" i="1"/>
  <c r="BD1125" i="1"/>
  <c r="H1126" i="1" a="1"/>
  <c r="H1126" i="1" s="1"/>
  <c r="R1126" i="1" s="1"/>
  <c r="K1126" i="1"/>
  <c r="N1126" i="1" s="1"/>
  <c r="Q1126" i="1" a="1"/>
  <c r="Q1126" i="1" s="1"/>
  <c r="AS1126" i="1" s="1"/>
  <c r="AK1126" i="1" a="1"/>
  <c r="AK1126" i="1" s="1"/>
  <c r="AU1126" i="1"/>
  <c r="BD1126" i="1"/>
  <c r="H1127" i="1" a="1"/>
  <c r="H1127" i="1" s="1"/>
  <c r="R1127" i="1" s="1"/>
  <c r="K1127" i="1"/>
  <c r="N1127" i="1" s="1"/>
  <c r="Q1127" i="1" a="1"/>
  <c r="Q1127" i="1" s="1"/>
  <c r="AS1127" i="1" s="1"/>
  <c r="AK1127" i="1" a="1"/>
  <c r="AK1127" i="1" s="1"/>
  <c r="AU1127" i="1"/>
  <c r="BD1127" i="1"/>
  <c r="H1128" i="1" a="1"/>
  <c r="H1128" i="1" s="1"/>
  <c r="R1128" i="1" s="1"/>
  <c r="K1128" i="1"/>
  <c r="N1128" i="1" s="1"/>
  <c r="Q1128" i="1" a="1"/>
  <c r="Q1128" i="1" s="1"/>
  <c r="AS1128" i="1" s="1"/>
  <c r="AK1128" i="1" a="1"/>
  <c r="AK1128" i="1" s="1"/>
  <c r="AU1128" i="1"/>
  <c r="BD1128" i="1"/>
  <c r="H1129" i="1" a="1"/>
  <c r="H1129" i="1" s="1"/>
  <c r="R1129" i="1" s="1"/>
  <c r="K1129" i="1"/>
  <c r="N1129" i="1" s="1"/>
  <c r="Q1129" i="1" a="1"/>
  <c r="Q1129" i="1" s="1"/>
  <c r="AS1129" i="1" s="1"/>
  <c r="AK1129" i="1" a="1"/>
  <c r="AK1129" i="1" s="1"/>
  <c r="AU1129" i="1"/>
  <c r="BD1129" i="1"/>
  <c r="H1130" i="1" a="1"/>
  <c r="H1130" i="1" s="1"/>
  <c r="R1130" i="1" s="1"/>
  <c r="K1130" i="1"/>
  <c r="N1130" i="1" s="1"/>
  <c r="Q1130" i="1" a="1"/>
  <c r="Q1130" i="1" s="1"/>
  <c r="AS1130" i="1" s="1"/>
  <c r="AK1130" i="1" a="1"/>
  <c r="AK1130" i="1" s="1"/>
  <c r="AU1130" i="1"/>
  <c r="BD1130" i="1"/>
  <c r="H1131" i="1" a="1"/>
  <c r="H1131" i="1" s="1"/>
  <c r="R1131" i="1" s="1"/>
  <c r="K1131" i="1"/>
  <c r="N1131" i="1" s="1"/>
  <c r="Q1131" i="1" a="1"/>
  <c r="Q1131" i="1" s="1"/>
  <c r="AS1131" i="1" s="1"/>
  <c r="AK1131" i="1" a="1"/>
  <c r="AK1131" i="1" s="1"/>
  <c r="AU1131" i="1"/>
  <c r="BD1131" i="1"/>
  <c r="H1132" i="1" a="1"/>
  <c r="H1132" i="1" s="1"/>
  <c r="R1132" i="1" s="1"/>
  <c r="K1132" i="1"/>
  <c r="N1132" i="1" s="1"/>
  <c r="Q1132" i="1" a="1"/>
  <c r="Q1132" i="1" s="1"/>
  <c r="AS1132" i="1" s="1"/>
  <c r="AK1132" i="1" a="1"/>
  <c r="AK1132" i="1" s="1"/>
  <c r="AU1132" i="1"/>
  <c r="BD1132" i="1"/>
  <c r="H1133" i="1" a="1"/>
  <c r="H1133" i="1" s="1"/>
  <c r="R1133" i="1" s="1"/>
  <c r="K1133" i="1"/>
  <c r="N1133" i="1" s="1"/>
  <c r="Q1133" i="1" a="1"/>
  <c r="Q1133" i="1" s="1"/>
  <c r="AS1133" i="1" s="1"/>
  <c r="AK1133" i="1" a="1"/>
  <c r="AK1133" i="1" s="1"/>
  <c r="AU1133" i="1"/>
  <c r="BD1133" i="1"/>
  <c r="H1134" i="1" a="1"/>
  <c r="H1134" i="1" s="1"/>
  <c r="R1134" i="1" s="1"/>
  <c r="K1134" i="1"/>
  <c r="N1134" i="1" s="1"/>
  <c r="Q1134" i="1" a="1"/>
  <c r="Q1134" i="1" s="1"/>
  <c r="AS1134" i="1" s="1"/>
  <c r="AK1134" i="1" a="1"/>
  <c r="AK1134" i="1" s="1"/>
  <c r="AU1134" i="1"/>
  <c r="BD1134" i="1"/>
  <c r="H1135" i="1" a="1"/>
  <c r="H1135" i="1" s="1"/>
  <c r="R1135" i="1" s="1"/>
  <c r="K1135" i="1"/>
  <c r="N1135" i="1" s="1"/>
  <c r="Q1135" i="1" a="1"/>
  <c r="Q1135" i="1" s="1"/>
  <c r="AS1135" i="1" s="1"/>
  <c r="AK1135" i="1" a="1"/>
  <c r="AK1135" i="1" s="1"/>
  <c r="AU1135" i="1"/>
  <c r="BD1135" i="1"/>
  <c r="H1136" i="1" a="1"/>
  <c r="H1136" i="1" s="1"/>
  <c r="R1136" i="1" s="1"/>
  <c r="K1136" i="1"/>
  <c r="N1136" i="1" s="1"/>
  <c r="Q1136" i="1" a="1"/>
  <c r="Q1136" i="1" s="1"/>
  <c r="AS1136" i="1" s="1"/>
  <c r="AK1136" i="1" a="1"/>
  <c r="AK1136" i="1" s="1"/>
  <c r="AU1136" i="1"/>
  <c r="BD1136" i="1"/>
  <c r="H1137" i="1" a="1"/>
  <c r="H1137" i="1" s="1"/>
  <c r="R1137" i="1" s="1"/>
  <c r="K1137" i="1"/>
  <c r="N1137" i="1" s="1"/>
  <c r="Q1137" i="1" a="1"/>
  <c r="Q1137" i="1" s="1"/>
  <c r="AS1137" i="1" s="1"/>
  <c r="AK1137" i="1" a="1"/>
  <c r="AK1137" i="1" s="1"/>
  <c r="AU1137" i="1"/>
  <c r="BD1137" i="1"/>
  <c r="H1138" i="1" a="1"/>
  <c r="H1138" i="1" s="1"/>
  <c r="R1138" i="1" s="1"/>
  <c r="K1138" i="1"/>
  <c r="N1138" i="1" s="1"/>
  <c r="Q1138" i="1" a="1"/>
  <c r="Q1138" i="1" s="1"/>
  <c r="AS1138" i="1" s="1"/>
  <c r="AK1138" i="1" a="1"/>
  <c r="AK1138" i="1" s="1"/>
  <c r="AU1138" i="1"/>
  <c r="BD1138" i="1"/>
  <c r="H1139" i="1" a="1"/>
  <c r="H1139" i="1" s="1"/>
  <c r="R1139" i="1" s="1"/>
  <c r="K1139" i="1"/>
  <c r="N1139" i="1" s="1"/>
  <c r="Q1139" i="1" a="1"/>
  <c r="Q1139" i="1" s="1"/>
  <c r="AS1139" i="1" s="1"/>
  <c r="AK1139" i="1" a="1"/>
  <c r="AK1139" i="1" s="1"/>
  <c r="AU1139" i="1"/>
  <c r="BD1139" i="1"/>
  <c r="H1140" i="1" a="1"/>
  <c r="H1140" i="1" s="1"/>
  <c r="R1140" i="1" s="1"/>
  <c r="K1140" i="1"/>
  <c r="N1140" i="1" s="1"/>
  <c r="Q1140" i="1" a="1"/>
  <c r="Q1140" i="1" s="1"/>
  <c r="AS1140" i="1" s="1"/>
  <c r="AK1140" i="1" a="1"/>
  <c r="AK1140" i="1" s="1"/>
  <c r="AU1140" i="1"/>
  <c r="BD1140" i="1"/>
  <c r="H1141" i="1" a="1"/>
  <c r="H1141" i="1" s="1"/>
  <c r="R1141" i="1" s="1"/>
  <c r="K1141" i="1"/>
  <c r="N1141" i="1" s="1"/>
  <c r="Q1141" i="1" a="1"/>
  <c r="Q1141" i="1" s="1"/>
  <c r="AS1141" i="1" s="1"/>
  <c r="AK1141" i="1" a="1"/>
  <c r="AK1141" i="1" s="1"/>
  <c r="AU1141" i="1"/>
  <c r="BD1141" i="1"/>
  <c r="H1142" i="1" a="1"/>
  <c r="H1142" i="1" s="1"/>
  <c r="R1142" i="1" s="1"/>
  <c r="K1142" i="1"/>
  <c r="N1142" i="1" s="1"/>
  <c r="Q1142" i="1" a="1"/>
  <c r="Q1142" i="1" s="1"/>
  <c r="AS1142" i="1" s="1"/>
  <c r="AK1142" i="1" a="1"/>
  <c r="AK1142" i="1" s="1"/>
  <c r="AU1142" i="1"/>
  <c r="BD1142" i="1"/>
  <c r="H1143" i="1" a="1"/>
  <c r="H1143" i="1" s="1"/>
  <c r="R1143" i="1" s="1"/>
  <c r="K1143" i="1"/>
  <c r="N1143" i="1" s="1"/>
  <c r="Q1143" i="1" a="1"/>
  <c r="Q1143" i="1" s="1"/>
  <c r="AS1143" i="1" s="1"/>
  <c r="AK1143" i="1" a="1"/>
  <c r="AK1143" i="1" s="1"/>
  <c r="AU1143" i="1"/>
  <c r="BD1143" i="1"/>
  <c r="H1144" i="1" a="1"/>
  <c r="H1144" i="1" s="1"/>
  <c r="R1144" i="1" s="1"/>
  <c r="K1144" i="1"/>
  <c r="N1144" i="1" s="1"/>
  <c r="Q1144" i="1" a="1"/>
  <c r="Q1144" i="1" s="1"/>
  <c r="AS1144" i="1" s="1"/>
  <c r="AK1144" i="1" a="1"/>
  <c r="AK1144" i="1" s="1"/>
  <c r="AU1144" i="1"/>
  <c r="BD1144" i="1"/>
  <c r="H1145" i="1" a="1"/>
  <c r="H1145" i="1" s="1"/>
  <c r="R1145" i="1" s="1"/>
  <c r="K1145" i="1"/>
  <c r="N1145" i="1" s="1"/>
  <c r="Q1145" i="1" a="1"/>
  <c r="Q1145" i="1" s="1"/>
  <c r="AS1145" i="1" s="1"/>
  <c r="AK1145" i="1" a="1"/>
  <c r="AK1145" i="1" s="1"/>
  <c r="AU1145" i="1"/>
  <c r="BD1145" i="1"/>
  <c r="H1146" i="1" a="1"/>
  <c r="H1146" i="1" s="1"/>
  <c r="R1146" i="1" s="1"/>
  <c r="K1146" i="1"/>
  <c r="N1146" i="1" s="1"/>
  <c r="Q1146" i="1" a="1"/>
  <c r="Q1146" i="1" s="1"/>
  <c r="AS1146" i="1" s="1"/>
  <c r="AK1146" i="1" a="1"/>
  <c r="AK1146" i="1" s="1"/>
  <c r="AU1146" i="1"/>
  <c r="BD1146" i="1"/>
  <c r="H1147" i="1" a="1"/>
  <c r="H1147" i="1" s="1"/>
  <c r="R1147" i="1" s="1"/>
  <c r="K1147" i="1"/>
  <c r="N1147" i="1" s="1"/>
  <c r="Q1147" i="1" a="1"/>
  <c r="Q1147" i="1" s="1"/>
  <c r="AS1147" i="1" s="1"/>
  <c r="AK1147" i="1" a="1"/>
  <c r="AK1147" i="1" s="1"/>
  <c r="AU1147" i="1"/>
  <c r="BD1147" i="1"/>
  <c r="H1148" i="1" a="1"/>
  <c r="H1148" i="1" s="1"/>
  <c r="R1148" i="1" s="1"/>
  <c r="K1148" i="1"/>
  <c r="N1148" i="1" s="1"/>
  <c r="Q1148" i="1" a="1"/>
  <c r="Q1148" i="1" s="1"/>
  <c r="AS1148" i="1" s="1"/>
  <c r="AK1148" i="1" a="1"/>
  <c r="AK1148" i="1" s="1"/>
  <c r="AU1148" i="1"/>
  <c r="BD1148" i="1"/>
  <c r="H1149" i="1" a="1"/>
  <c r="H1149" i="1" s="1"/>
  <c r="R1149" i="1" s="1"/>
  <c r="K1149" i="1"/>
  <c r="N1149" i="1" s="1"/>
  <c r="Q1149" i="1" a="1"/>
  <c r="Q1149" i="1" s="1"/>
  <c r="AS1149" i="1" s="1"/>
  <c r="AK1149" i="1" a="1"/>
  <c r="AK1149" i="1" s="1"/>
  <c r="AU1149" i="1"/>
  <c r="BD1149" i="1"/>
  <c r="H1150" i="1" a="1"/>
  <c r="H1150" i="1" s="1"/>
  <c r="R1150" i="1" s="1"/>
  <c r="K1150" i="1"/>
  <c r="N1150" i="1" s="1"/>
  <c r="Q1150" i="1" a="1"/>
  <c r="Q1150" i="1" s="1"/>
  <c r="AS1150" i="1" s="1"/>
  <c r="AK1150" i="1" a="1"/>
  <c r="AK1150" i="1" s="1"/>
  <c r="AU1150" i="1"/>
  <c r="BD1150" i="1"/>
  <c r="H1151" i="1" a="1"/>
  <c r="H1151" i="1" s="1"/>
  <c r="R1151" i="1" s="1"/>
  <c r="K1151" i="1"/>
  <c r="N1151" i="1" s="1"/>
  <c r="Q1151" i="1" a="1"/>
  <c r="Q1151" i="1" s="1"/>
  <c r="AS1151" i="1" s="1"/>
  <c r="AK1151" i="1" a="1"/>
  <c r="AK1151" i="1" s="1"/>
  <c r="AU1151" i="1"/>
  <c r="BD1151" i="1"/>
  <c r="H1152" i="1" a="1"/>
  <c r="H1152" i="1" s="1"/>
  <c r="R1152" i="1" s="1"/>
  <c r="K1152" i="1"/>
  <c r="N1152" i="1" s="1"/>
  <c r="Q1152" i="1" a="1"/>
  <c r="Q1152" i="1" s="1"/>
  <c r="AS1152" i="1" s="1"/>
  <c r="AK1152" i="1" a="1"/>
  <c r="AK1152" i="1" s="1"/>
  <c r="AU1152" i="1"/>
  <c r="BD1152" i="1"/>
  <c r="H1153" i="1" a="1"/>
  <c r="H1153" i="1" s="1"/>
  <c r="R1153" i="1" s="1"/>
  <c r="K1153" i="1"/>
  <c r="N1153" i="1" s="1"/>
  <c r="Q1153" i="1" a="1"/>
  <c r="Q1153" i="1" s="1"/>
  <c r="AS1153" i="1" s="1"/>
  <c r="AK1153" i="1" a="1"/>
  <c r="AK1153" i="1" s="1"/>
  <c r="AU1153" i="1"/>
  <c r="BD1153" i="1"/>
  <c r="H1154" i="1" a="1"/>
  <c r="H1154" i="1" s="1"/>
  <c r="R1154" i="1" s="1"/>
  <c r="K1154" i="1"/>
  <c r="N1154" i="1" s="1"/>
  <c r="Q1154" i="1" a="1"/>
  <c r="Q1154" i="1" s="1"/>
  <c r="AS1154" i="1" s="1"/>
  <c r="AK1154" i="1" a="1"/>
  <c r="AK1154" i="1" s="1"/>
  <c r="AU1154" i="1"/>
  <c r="BD1154" i="1"/>
  <c r="H1155" i="1" a="1"/>
  <c r="H1155" i="1" s="1"/>
  <c r="R1155" i="1" s="1"/>
  <c r="K1155" i="1"/>
  <c r="N1155" i="1" s="1"/>
  <c r="Q1155" i="1" a="1"/>
  <c r="Q1155" i="1" s="1"/>
  <c r="AS1155" i="1" s="1"/>
  <c r="AK1155" i="1" a="1"/>
  <c r="AK1155" i="1" s="1"/>
  <c r="AU1155" i="1"/>
  <c r="BD1155" i="1"/>
  <c r="H1156" i="1" a="1"/>
  <c r="H1156" i="1" s="1"/>
  <c r="R1156" i="1" s="1"/>
  <c r="K1156" i="1"/>
  <c r="N1156" i="1" s="1"/>
  <c r="Q1156" i="1" a="1"/>
  <c r="Q1156" i="1" s="1"/>
  <c r="AS1156" i="1" s="1"/>
  <c r="AK1156" i="1" a="1"/>
  <c r="AK1156" i="1" s="1"/>
  <c r="AU1156" i="1"/>
  <c r="BD1156" i="1"/>
  <c r="H1157" i="1" a="1"/>
  <c r="H1157" i="1" s="1"/>
  <c r="R1157" i="1" s="1"/>
  <c r="K1157" i="1"/>
  <c r="N1157" i="1" s="1"/>
  <c r="Q1157" i="1" a="1"/>
  <c r="Q1157" i="1" s="1"/>
  <c r="AS1157" i="1" s="1"/>
  <c r="AK1157" i="1" a="1"/>
  <c r="AK1157" i="1" s="1"/>
  <c r="AU1157" i="1"/>
  <c r="BD1157" i="1"/>
  <c r="H1158" i="1" a="1"/>
  <c r="H1158" i="1" s="1"/>
  <c r="R1158" i="1" s="1"/>
  <c r="K1158" i="1"/>
  <c r="N1158" i="1" s="1"/>
  <c r="Q1158" i="1" a="1"/>
  <c r="Q1158" i="1" s="1"/>
  <c r="AS1158" i="1" s="1"/>
  <c r="AK1158" i="1" a="1"/>
  <c r="AK1158" i="1" s="1"/>
  <c r="AU1158" i="1"/>
  <c r="BD1158" i="1"/>
  <c r="H1159" i="1" a="1"/>
  <c r="H1159" i="1" s="1"/>
  <c r="R1159" i="1" s="1"/>
  <c r="K1159" i="1"/>
  <c r="N1159" i="1" s="1"/>
  <c r="Q1159" i="1" a="1"/>
  <c r="Q1159" i="1" s="1"/>
  <c r="AS1159" i="1" s="1"/>
  <c r="AK1159" i="1" a="1"/>
  <c r="AK1159" i="1" s="1"/>
  <c r="AU1159" i="1"/>
  <c r="BD1159" i="1"/>
  <c r="H1160" i="1" a="1"/>
  <c r="H1160" i="1" s="1"/>
  <c r="R1160" i="1" s="1"/>
  <c r="K1160" i="1"/>
  <c r="N1160" i="1" s="1"/>
  <c r="Q1160" i="1" a="1"/>
  <c r="Q1160" i="1" s="1"/>
  <c r="AS1160" i="1" s="1"/>
  <c r="AK1160" i="1" a="1"/>
  <c r="AK1160" i="1" s="1"/>
  <c r="AU1160" i="1"/>
  <c r="BD1160" i="1"/>
  <c r="H1161" i="1" a="1"/>
  <c r="H1161" i="1" s="1"/>
  <c r="R1161" i="1" s="1"/>
  <c r="K1161" i="1"/>
  <c r="N1161" i="1" s="1"/>
  <c r="Q1161" i="1" a="1"/>
  <c r="Q1161" i="1" s="1"/>
  <c r="AS1161" i="1" s="1"/>
  <c r="AK1161" i="1" a="1"/>
  <c r="AK1161" i="1" s="1"/>
  <c r="AU1161" i="1"/>
  <c r="BD1161" i="1"/>
  <c r="H1162" i="1" a="1"/>
  <c r="H1162" i="1" s="1"/>
  <c r="R1162" i="1" s="1"/>
  <c r="K1162" i="1"/>
  <c r="N1162" i="1" s="1"/>
  <c r="AK1162" i="1" a="1"/>
  <c r="AK1162" i="1" s="1"/>
  <c r="AU1162" i="1"/>
  <c r="BD1162" i="1"/>
  <c r="H1163" i="1" a="1"/>
  <c r="H1163" i="1" s="1"/>
  <c r="R1163" i="1" s="1"/>
  <c r="K1163" i="1"/>
  <c r="N1163" i="1" s="1"/>
  <c r="Q1163" i="1" a="1"/>
  <c r="Q1163" i="1" s="1"/>
  <c r="AS1163" i="1" s="1"/>
  <c r="AK1163" i="1" a="1"/>
  <c r="AK1163" i="1" s="1"/>
  <c r="AU1163" i="1"/>
  <c r="BD1163" i="1"/>
  <c r="H1164" i="1" a="1"/>
  <c r="H1164" i="1" s="1"/>
  <c r="R1164" i="1" s="1"/>
  <c r="K1164" i="1"/>
  <c r="N1164" i="1" s="1"/>
  <c r="Q1164" i="1" a="1"/>
  <c r="Q1164" i="1" s="1"/>
  <c r="AS1164" i="1" s="1"/>
  <c r="AK1164" i="1" a="1"/>
  <c r="AK1164" i="1" s="1"/>
  <c r="AU1164" i="1"/>
  <c r="BD1164" i="1"/>
  <c r="H1165" i="1" a="1"/>
  <c r="H1165" i="1" s="1"/>
  <c r="R1165" i="1" s="1"/>
  <c r="K1165" i="1"/>
  <c r="N1165" i="1" s="1"/>
  <c r="Q1165" i="1" a="1"/>
  <c r="Q1165" i="1" s="1"/>
  <c r="AS1165" i="1" s="1"/>
  <c r="AK1165" i="1" a="1"/>
  <c r="AK1165" i="1" s="1"/>
  <c r="AU1165" i="1"/>
  <c r="BD1165" i="1"/>
  <c r="H1166" i="1" a="1"/>
  <c r="H1166" i="1" s="1"/>
  <c r="R1166" i="1" s="1"/>
  <c r="K1166" i="1"/>
  <c r="N1166" i="1" s="1"/>
  <c r="Q1166" i="1" a="1"/>
  <c r="Q1166" i="1" s="1"/>
  <c r="AS1166" i="1" s="1"/>
  <c r="AK1166" i="1" a="1"/>
  <c r="AK1166" i="1" s="1"/>
  <c r="AU1166" i="1"/>
  <c r="BD1166" i="1"/>
  <c r="H1167" i="1" a="1"/>
  <c r="H1167" i="1" s="1"/>
  <c r="R1167" i="1" s="1"/>
  <c r="K1167" i="1"/>
  <c r="N1167" i="1" s="1"/>
  <c r="Q1167" i="1" a="1"/>
  <c r="Q1167" i="1" s="1"/>
  <c r="AS1167" i="1" s="1"/>
  <c r="AK1167" i="1" a="1"/>
  <c r="AK1167" i="1" s="1"/>
  <c r="AU1167" i="1"/>
  <c r="BD1167" i="1"/>
  <c r="H1168" i="1" a="1"/>
  <c r="H1168" i="1" s="1"/>
  <c r="R1168" i="1" s="1"/>
  <c r="K1168" i="1"/>
  <c r="N1168" i="1" s="1"/>
  <c r="Q1168" i="1" a="1"/>
  <c r="Q1168" i="1" s="1"/>
  <c r="AS1168" i="1" s="1"/>
  <c r="AK1168" i="1" a="1"/>
  <c r="AK1168" i="1" s="1"/>
  <c r="AU1168" i="1"/>
  <c r="BD1168" i="1"/>
  <c r="H1169" i="1" a="1"/>
  <c r="H1169" i="1" s="1"/>
  <c r="R1169" i="1" s="1"/>
  <c r="K1169" i="1"/>
  <c r="N1169" i="1" s="1"/>
  <c r="Q1169" i="1" a="1"/>
  <c r="Q1169" i="1" s="1"/>
  <c r="AS1169" i="1" s="1"/>
  <c r="AK1169" i="1" a="1"/>
  <c r="AK1169" i="1" s="1"/>
  <c r="AU1169" i="1"/>
  <c r="BD1169" i="1"/>
  <c r="H1170" i="1" a="1"/>
  <c r="H1170" i="1" s="1"/>
  <c r="R1170" i="1" s="1"/>
  <c r="K1170" i="1"/>
  <c r="N1170" i="1" s="1"/>
  <c r="Q1170" i="1" a="1"/>
  <c r="Q1170" i="1" s="1"/>
  <c r="AS1170" i="1" s="1"/>
  <c r="AK1170" i="1" a="1"/>
  <c r="AK1170" i="1" s="1"/>
  <c r="AU1170" i="1"/>
  <c r="BD1170" i="1"/>
  <c r="H1171" i="1" a="1"/>
  <c r="H1171" i="1" s="1"/>
  <c r="R1171" i="1" s="1"/>
  <c r="K1171" i="1"/>
  <c r="N1171" i="1" s="1"/>
  <c r="Q1171" i="1" a="1"/>
  <c r="Q1171" i="1" s="1"/>
  <c r="AS1171" i="1" s="1"/>
  <c r="AK1171" i="1" a="1"/>
  <c r="AK1171" i="1" s="1"/>
  <c r="AU1171" i="1"/>
  <c r="BD1171" i="1"/>
  <c r="H1172" i="1" a="1"/>
  <c r="H1172" i="1" s="1"/>
  <c r="R1172" i="1" s="1"/>
  <c r="K1172" i="1"/>
  <c r="N1172" i="1" s="1"/>
  <c r="Q1172" i="1" a="1"/>
  <c r="Q1172" i="1" s="1"/>
  <c r="AS1172" i="1" s="1"/>
  <c r="AK1172" i="1" a="1"/>
  <c r="AK1172" i="1" s="1"/>
  <c r="AU1172" i="1"/>
  <c r="BD1172" i="1"/>
  <c r="H1173" i="1" a="1"/>
  <c r="H1173" i="1" s="1"/>
  <c r="R1173" i="1" s="1"/>
  <c r="K1173" i="1"/>
  <c r="N1173" i="1" s="1"/>
  <c r="Q1173" i="1" a="1"/>
  <c r="Q1173" i="1" s="1"/>
  <c r="AS1173" i="1" s="1"/>
  <c r="AK1173" i="1" a="1"/>
  <c r="AK1173" i="1" s="1"/>
  <c r="AU1173" i="1"/>
  <c r="BD1173" i="1"/>
  <c r="H1174" i="1" a="1"/>
  <c r="H1174" i="1" s="1"/>
  <c r="R1174" i="1" s="1"/>
  <c r="K1174" i="1"/>
  <c r="N1174" i="1" s="1"/>
  <c r="Q1174" i="1" a="1"/>
  <c r="Q1174" i="1" s="1"/>
  <c r="AS1174" i="1" s="1"/>
  <c r="AK1174" i="1" a="1"/>
  <c r="AK1174" i="1" s="1"/>
  <c r="AU1174" i="1"/>
  <c r="BD1174" i="1"/>
  <c r="H1175" i="1" a="1"/>
  <c r="H1175" i="1" s="1"/>
  <c r="R1175" i="1" s="1"/>
  <c r="K1175" i="1"/>
  <c r="N1175" i="1" s="1"/>
  <c r="Q1175" i="1" a="1"/>
  <c r="Q1175" i="1" s="1"/>
  <c r="AS1175" i="1" s="1"/>
  <c r="AK1175" i="1" a="1"/>
  <c r="AK1175" i="1" s="1"/>
  <c r="AU1175" i="1"/>
  <c r="BD1175" i="1"/>
  <c r="H1176" i="1" a="1"/>
  <c r="H1176" i="1" s="1"/>
  <c r="R1176" i="1" s="1"/>
  <c r="K1176" i="1"/>
  <c r="N1176" i="1" s="1"/>
  <c r="Q1176" i="1" a="1"/>
  <c r="Q1176" i="1" s="1"/>
  <c r="AS1176" i="1" s="1"/>
  <c r="AK1176" i="1" a="1"/>
  <c r="AK1176" i="1" s="1"/>
  <c r="AU1176" i="1"/>
  <c r="BD1176" i="1"/>
  <c r="H1177" i="1" a="1"/>
  <c r="H1177" i="1" s="1"/>
  <c r="R1177" i="1" s="1"/>
  <c r="K1177" i="1"/>
  <c r="N1177" i="1" s="1"/>
  <c r="Q1177" i="1" a="1"/>
  <c r="Q1177" i="1" s="1"/>
  <c r="AS1177" i="1" s="1"/>
  <c r="AK1177" i="1" a="1"/>
  <c r="AK1177" i="1" s="1"/>
  <c r="AU1177" i="1"/>
  <c r="BD1177" i="1"/>
  <c r="H1178" i="1" a="1"/>
  <c r="H1178" i="1" s="1"/>
  <c r="R1178" i="1" s="1"/>
  <c r="K1178" i="1"/>
  <c r="N1178" i="1" s="1"/>
  <c r="Q1178" i="1" a="1"/>
  <c r="Q1178" i="1" s="1"/>
  <c r="AS1178" i="1" s="1"/>
  <c r="AK1178" i="1" a="1"/>
  <c r="AK1178" i="1" s="1"/>
  <c r="AU1178" i="1"/>
  <c r="BD1178" i="1"/>
  <c r="H1179" i="1" a="1"/>
  <c r="H1179" i="1" s="1"/>
  <c r="R1179" i="1" s="1"/>
  <c r="K1179" i="1"/>
  <c r="N1179" i="1" s="1"/>
  <c r="Q1179" i="1" a="1"/>
  <c r="Q1179" i="1" s="1"/>
  <c r="AS1179" i="1" s="1"/>
  <c r="AK1179" i="1" a="1"/>
  <c r="AK1179" i="1" s="1"/>
  <c r="AU1179" i="1"/>
  <c r="BD1179" i="1"/>
  <c r="H1180" i="1" a="1"/>
  <c r="H1180" i="1" s="1"/>
  <c r="R1180" i="1" s="1"/>
  <c r="K1180" i="1"/>
  <c r="N1180" i="1" s="1"/>
  <c r="Q1180" i="1" a="1"/>
  <c r="Q1180" i="1" s="1"/>
  <c r="AS1180" i="1" s="1"/>
  <c r="AK1180" i="1" a="1"/>
  <c r="AK1180" i="1" s="1"/>
  <c r="AU1180" i="1"/>
  <c r="BD1180" i="1"/>
  <c r="H1181" i="1" a="1"/>
  <c r="H1181" i="1" s="1"/>
  <c r="R1181" i="1" s="1"/>
  <c r="K1181" i="1"/>
  <c r="N1181" i="1" s="1"/>
  <c r="Q1181" i="1" a="1"/>
  <c r="Q1181" i="1" s="1"/>
  <c r="AS1181" i="1" s="1"/>
  <c r="AK1181" i="1" a="1"/>
  <c r="AK1181" i="1" s="1"/>
  <c r="AU1181" i="1"/>
  <c r="BD1181" i="1"/>
  <c r="H1182" i="1" a="1"/>
  <c r="H1182" i="1" s="1"/>
  <c r="R1182" i="1" s="1"/>
  <c r="K1182" i="1"/>
  <c r="N1182" i="1" s="1"/>
  <c r="Q1182" i="1" a="1"/>
  <c r="Q1182" i="1" s="1"/>
  <c r="AS1182" i="1" s="1"/>
  <c r="AK1182" i="1" a="1"/>
  <c r="AK1182" i="1" s="1"/>
  <c r="AU1182" i="1"/>
  <c r="BD1182" i="1"/>
  <c r="H1183" i="1" a="1"/>
  <c r="H1183" i="1" s="1"/>
  <c r="R1183" i="1" s="1"/>
  <c r="K1183" i="1"/>
  <c r="N1183" i="1" s="1"/>
  <c r="Q1183" i="1" a="1"/>
  <c r="Q1183" i="1" s="1"/>
  <c r="AS1183" i="1" s="1"/>
  <c r="AK1183" i="1" a="1"/>
  <c r="AK1183" i="1" s="1"/>
  <c r="AU1183" i="1"/>
  <c r="BD1183" i="1"/>
  <c r="H1184" i="1" a="1"/>
  <c r="H1184" i="1" s="1"/>
  <c r="R1184" i="1" s="1"/>
  <c r="K1184" i="1"/>
  <c r="N1184" i="1" s="1"/>
  <c r="Q1184" i="1" a="1"/>
  <c r="Q1184" i="1" s="1"/>
  <c r="AS1184" i="1" s="1"/>
  <c r="AK1184" i="1" a="1"/>
  <c r="AK1184" i="1" s="1"/>
  <c r="AU1184" i="1"/>
  <c r="BD1184" i="1"/>
  <c r="H1185" i="1" a="1"/>
  <c r="H1185" i="1" s="1"/>
  <c r="R1185" i="1" s="1"/>
  <c r="K1185" i="1"/>
  <c r="N1185" i="1" s="1"/>
  <c r="Q1185" i="1" a="1"/>
  <c r="Q1185" i="1" s="1"/>
  <c r="AS1185" i="1" s="1"/>
  <c r="AK1185" i="1" a="1"/>
  <c r="AK1185" i="1" s="1"/>
  <c r="AU1185" i="1"/>
  <c r="BD1185" i="1"/>
  <c r="H1186" i="1" a="1"/>
  <c r="H1186" i="1" s="1"/>
  <c r="R1186" i="1" s="1"/>
  <c r="K1186" i="1"/>
  <c r="N1186" i="1" s="1"/>
  <c r="Q1186" i="1" a="1"/>
  <c r="Q1186" i="1" s="1"/>
  <c r="AS1186" i="1" s="1"/>
  <c r="AK1186" i="1" a="1"/>
  <c r="AK1186" i="1" s="1"/>
  <c r="AU1186" i="1"/>
  <c r="BD1186" i="1"/>
  <c r="H1187" i="1" a="1"/>
  <c r="H1187" i="1" s="1"/>
  <c r="R1187" i="1" s="1"/>
  <c r="K1187" i="1"/>
  <c r="N1187" i="1" s="1"/>
  <c r="Q1187" i="1" a="1"/>
  <c r="Q1187" i="1" s="1"/>
  <c r="AS1187" i="1" s="1"/>
  <c r="AK1187" i="1" a="1"/>
  <c r="AK1187" i="1" s="1"/>
  <c r="AU1187" i="1"/>
  <c r="BD1187" i="1"/>
  <c r="H1188" i="1" a="1"/>
  <c r="H1188" i="1" s="1"/>
  <c r="R1188" i="1" s="1"/>
  <c r="K1188" i="1"/>
  <c r="N1188" i="1" s="1"/>
  <c r="Q1188" i="1" a="1"/>
  <c r="Q1188" i="1" s="1"/>
  <c r="AS1188" i="1" s="1"/>
  <c r="AK1188" i="1" a="1"/>
  <c r="AK1188" i="1" s="1"/>
  <c r="AU1188" i="1"/>
  <c r="BD1188" i="1"/>
  <c r="H1189" i="1" a="1"/>
  <c r="H1189" i="1" s="1"/>
  <c r="R1189" i="1" s="1"/>
  <c r="K1189" i="1"/>
  <c r="N1189" i="1" s="1"/>
  <c r="Q1189" i="1" a="1"/>
  <c r="Q1189" i="1" s="1"/>
  <c r="AS1189" i="1" s="1"/>
  <c r="AK1189" i="1" a="1"/>
  <c r="AK1189" i="1" s="1"/>
  <c r="AU1189" i="1"/>
  <c r="BD1189" i="1"/>
  <c r="H1190" i="1" a="1"/>
  <c r="H1190" i="1" s="1"/>
  <c r="R1190" i="1" s="1"/>
  <c r="K1190" i="1"/>
  <c r="N1190" i="1" s="1"/>
  <c r="Q1190" i="1" a="1"/>
  <c r="Q1190" i="1" s="1"/>
  <c r="AS1190" i="1" s="1"/>
  <c r="AK1190" i="1" a="1"/>
  <c r="AK1190" i="1" s="1"/>
  <c r="AU1190" i="1"/>
  <c r="BD1190" i="1"/>
  <c r="H1191" i="1" a="1"/>
  <c r="H1191" i="1" s="1"/>
  <c r="R1191" i="1" s="1"/>
  <c r="K1191" i="1"/>
  <c r="N1191" i="1" s="1"/>
  <c r="Q1191" i="1" a="1"/>
  <c r="Q1191" i="1" s="1"/>
  <c r="AS1191" i="1" s="1"/>
  <c r="AK1191" i="1" a="1"/>
  <c r="AK1191" i="1" s="1"/>
  <c r="AU1191" i="1"/>
  <c r="BD1191" i="1"/>
  <c r="H1192" i="1" a="1"/>
  <c r="H1192" i="1" s="1"/>
  <c r="R1192" i="1" s="1"/>
  <c r="K1192" i="1"/>
  <c r="N1192" i="1" s="1"/>
  <c r="Q1192" i="1" a="1"/>
  <c r="Q1192" i="1" s="1"/>
  <c r="AS1192" i="1" s="1"/>
  <c r="AK1192" i="1" a="1"/>
  <c r="AK1192" i="1" s="1"/>
  <c r="AU1192" i="1"/>
  <c r="BD1192" i="1"/>
  <c r="H1193" i="1" a="1"/>
  <c r="H1193" i="1" s="1"/>
  <c r="R1193" i="1" s="1"/>
  <c r="K1193" i="1"/>
  <c r="N1193" i="1" s="1"/>
  <c r="Q1193" i="1" a="1"/>
  <c r="Q1193" i="1" s="1"/>
  <c r="AS1193" i="1" s="1"/>
  <c r="AK1193" i="1" a="1"/>
  <c r="AK1193" i="1" s="1"/>
  <c r="AU1193" i="1"/>
  <c r="BD1193" i="1"/>
  <c r="H1194" i="1" a="1"/>
  <c r="H1194" i="1" s="1"/>
  <c r="R1194" i="1" s="1"/>
  <c r="K1194" i="1"/>
  <c r="N1194" i="1" s="1"/>
  <c r="Q1194" i="1" a="1"/>
  <c r="Q1194" i="1" s="1"/>
  <c r="AS1194" i="1" s="1"/>
  <c r="AK1194" i="1" a="1"/>
  <c r="AK1194" i="1" s="1"/>
  <c r="AU1194" i="1"/>
  <c r="BD1194" i="1"/>
  <c r="H1195" i="1" a="1"/>
  <c r="H1195" i="1" s="1"/>
  <c r="R1195" i="1" s="1"/>
  <c r="K1195" i="1"/>
  <c r="N1195" i="1" s="1"/>
  <c r="Q1195" i="1" a="1"/>
  <c r="Q1195" i="1" s="1"/>
  <c r="AS1195" i="1" s="1"/>
  <c r="AK1195" i="1" a="1"/>
  <c r="AK1195" i="1" s="1"/>
  <c r="AU1195" i="1"/>
  <c r="BD1195" i="1"/>
  <c r="H1196" i="1" a="1"/>
  <c r="H1196" i="1" s="1"/>
  <c r="R1196" i="1" s="1"/>
  <c r="K1196" i="1"/>
  <c r="N1196" i="1" s="1"/>
  <c r="Q1196" i="1" a="1"/>
  <c r="Q1196" i="1" s="1"/>
  <c r="AS1196" i="1" s="1"/>
  <c r="AK1196" i="1" a="1"/>
  <c r="AK1196" i="1" s="1"/>
  <c r="AU1196" i="1"/>
  <c r="BD1196" i="1"/>
  <c r="H1197" i="1" a="1"/>
  <c r="H1197" i="1" s="1"/>
  <c r="R1197" i="1" s="1"/>
  <c r="K1197" i="1"/>
  <c r="N1197" i="1" s="1"/>
  <c r="Q1197" i="1" a="1"/>
  <c r="Q1197" i="1" s="1"/>
  <c r="AS1197" i="1" s="1"/>
  <c r="AK1197" i="1" a="1"/>
  <c r="AK1197" i="1" s="1"/>
  <c r="AU1197" i="1"/>
  <c r="BD1197" i="1"/>
  <c r="K1201" i="1"/>
  <c r="N1201" i="1"/>
  <c r="O1201" i="1"/>
  <c r="AS1201" i="1"/>
  <c r="AK1201" i="1" a="1"/>
  <c r="AK1201" i="1" s="1"/>
  <c r="AU1201" i="1"/>
  <c r="BD1201" i="1"/>
  <c r="H1202" i="1" a="1"/>
  <c r="H1202" i="1" s="1"/>
  <c r="R1202" i="1" s="1"/>
  <c r="K1202" i="1"/>
  <c r="N1202" i="1" s="1"/>
  <c r="Q1202" i="1" a="1"/>
  <c r="Q1202" i="1" s="1"/>
  <c r="AS1202" i="1" s="1"/>
  <c r="AK1202" i="1" a="1"/>
  <c r="AK1202" i="1" s="1"/>
  <c r="AU1202" i="1"/>
  <c r="BD1202" i="1"/>
  <c r="H1203" i="1" a="1"/>
  <c r="H1203" i="1" s="1"/>
  <c r="R1203" i="1" s="1"/>
  <c r="K1203" i="1"/>
  <c r="N1203" i="1" s="1"/>
  <c r="Q1203" i="1" a="1"/>
  <c r="Q1203" i="1" s="1"/>
  <c r="AS1203" i="1" s="1"/>
  <c r="AK1203" i="1" a="1"/>
  <c r="AK1203" i="1" s="1"/>
  <c r="AU1203" i="1"/>
  <c r="BD1203" i="1"/>
  <c r="H1204" i="1" a="1"/>
  <c r="H1204" i="1" s="1"/>
  <c r="R1204" i="1" s="1"/>
  <c r="K1204" i="1"/>
  <c r="N1204" i="1" s="1"/>
  <c r="Q1204" i="1" a="1"/>
  <c r="Q1204" i="1" s="1"/>
  <c r="AS1204" i="1" s="1"/>
  <c r="AK1204" i="1" a="1"/>
  <c r="AK1204" i="1" s="1"/>
  <c r="AU1204" i="1"/>
  <c r="BD1204" i="1"/>
  <c r="H1205" i="1" a="1"/>
  <c r="H1205" i="1" s="1"/>
  <c r="R1205" i="1" s="1"/>
  <c r="K1205" i="1"/>
  <c r="N1205" i="1" s="1"/>
  <c r="Q1205" i="1" a="1"/>
  <c r="Q1205" i="1" s="1"/>
  <c r="AS1205" i="1" s="1"/>
  <c r="AK1205" i="1" a="1"/>
  <c r="AK1205" i="1" s="1"/>
  <c r="AU1205" i="1"/>
  <c r="BD1205" i="1"/>
  <c r="H1206" i="1" a="1"/>
  <c r="H1206" i="1" s="1"/>
  <c r="R1206" i="1" s="1"/>
  <c r="K1206" i="1"/>
  <c r="N1206" i="1" s="1"/>
  <c r="Q1206" i="1" a="1"/>
  <c r="Q1206" i="1" s="1"/>
  <c r="AS1206" i="1" s="1"/>
  <c r="AK1206" i="1" a="1"/>
  <c r="AK1206" i="1" s="1"/>
  <c r="AU1206" i="1"/>
  <c r="BD1206" i="1"/>
  <c r="H1207" i="1" a="1"/>
  <c r="H1207" i="1" s="1"/>
  <c r="R1207" i="1" s="1"/>
  <c r="K1207" i="1"/>
  <c r="N1207" i="1" s="1"/>
  <c r="Q1207" i="1" a="1"/>
  <c r="Q1207" i="1" s="1"/>
  <c r="AS1207" i="1" s="1"/>
  <c r="AK1207" i="1" a="1"/>
  <c r="AK1207" i="1" s="1"/>
  <c r="AU1207" i="1"/>
  <c r="BD1207" i="1"/>
  <c r="H1208" i="1" a="1"/>
  <c r="H1208" i="1" s="1"/>
  <c r="R1208" i="1" s="1"/>
  <c r="K1208" i="1"/>
  <c r="N1208" i="1" s="1"/>
  <c r="Q1208" i="1" a="1"/>
  <c r="Q1208" i="1" s="1"/>
  <c r="AS1208" i="1" s="1"/>
  <c r="AK1208" i="1" a="1"/>
  <c r="AK1208" i="1" s="1"/>
  <c r="AU1208" i="1"/>
  <c r="BD1208" i="1"/>
  <c r="H1209" i="1" a="1"/>
  <c r="H1209" i="1" s="1"/>
  <c r="R1209" i="1" s="1"/>
  <c r="K1209" i="1"/>
  <c r="N1209" i="1" s="1"/>
  <c r="Q1209" i="1" a="1"/>
  <c r="Q1209" i="1" s="1"/>
  <c r="AS1209" i="1" s="1"/>
  <c r="AK1209" i="1" a="1"/>
  <c r="AK1209" i="1" s="1"/>
  <c r="AU1209" i="1"/>
  <c r="BD1209" i="1"/>
  <c r="H1210" i="1" a="1"/>
  <c r="H1210" i="1" s="1"/>
  <c r="R1210" i="1" s="1"/>
  <c r="K1210" i="1"/>
  <c r="N1210" i="1" s="1"/>
  <c r="Q1210" i="1" a="1"/>
  <c r="Q1210" i="1" s="1"/>
  <c r="AS1210" i="1" s="1"/>
  <c r="AK1210" i="1" a="1"/>
  <c r="AK1210" i="1" s="1"/>
  <c r="AU1210" i="1"/>
  <c r="BD1210" i="1"/>
  <c r="H1211" i="1" a="1"/>
  <c r="H1211" i="1" s="1"/>
  <c r="R1211" i="1" s="1"/>
  <c r="K1211" i="1"/>
  <c r="N1211" i="1" s="1"/>
  <c r="Q1211" i="1" a="1"/>
  <c r="Q1211" i="1" s="1"/>
  <c r="AS1211" i="1" s="1"/>
  <c r="AK1211" i="1" a="1"/>
  <c r="AK1211" i="1" s="1"/>
  <c r="AU1211" i="1"/>
  <c r="BD1211" i="1"/>
  <c r="H1212" i="1" a="1"/>
  <c r="H1212" i="1" s="1"/>
  <c r="R1212" i="1" s="1"/>
  <c r="K1212" i="1"/>
  <c r="N1212" i="1" s="1"/>
  <c r="Q1212" i="1" a="1"/>
  <c r="Q1212" i="1" s="1"/>
  <c r="AS1212" i="1" s="1"/>
  <c r="AK1212" i="1" a="1"/>
  <c r="AK1212" i="1" s="1"/>
  <c r="AU1212" i="1"/>
  <c r="BD1212" i="1"/>
  <c r="H1213" i="1" a="1"/>
  <c r="H1213" i="1" s="1"/>
  <c r="R1213" i="1" s="1"/>
  <c r="K1213" i="1"/>
  <c r="N1213" i="1" s="1"/>
  <c r="Q1213" i="1" a="1"/>
  <c r="Q1213" i="1" s="1"/>
  <c r="AS1213" i="1" s="1"/>
  <c r="AK1213" i="1" a="1"/>
  <c r="AK1213" i="1" s="1"/>
  <c r="AU1213" i="1"/>
  <c r="BD1213" i="1"/>
  <c r="H1214" i="1" a="1"/>
  <c r="H1214" i="1" s="1"/>
  <c r="R1214" i="1" s="1"/>
  <c r="K1214" i="1"/>
  <c r="N1214" i="1" s="1"/>
  <c r="Q1214" i="1" a="1"/>
  <c r="Q1214" i="1" s="1"/>
  <c r="AS1214" i="1" s="1"/>
  <c r="AK1214" i="1" a="1"/>
  <c r="AK1214" i="1" s="1"/>
  <c r="AU1214" i="1"/>
  <c r="BD1214" i="1"/>
  <c r="H1215" i="1" a="1"/>
  <c r="H1215" i="1" s="1"/>
  <c r="R1215" i="1" s="1"/>
  <c r="K1215" i="1"/>
  <c r="N1215" i="1" s="1"/>
  <c r="Q1215" i="1" a="1"/>
  <c r="Q1215" i="1" s="1"/>
  <c r="AS1215" i="1" s="1"/>
  <c r="AK1215" i="1" a="1"/>
  <c r="AK1215" i="1" s="1"/>
  <c r="AU1215" i="1"/>
  <c r="BD1215" i="1"/>
  <c r="H1216" i="1" a="1"/>
  <c r="H1216" i="1" s="1"/>
  <c r="R1216" i="1" s="1"/>
  <c r="K1216" i="1"/>
  <c r="N1216" i="1" s="1"/>
  <c r="Q1216" i="1" a="1"/>
  <c r="Q1216" i="1" s="1"/>
  <c r="AS1216" i="1" s="1"/>
  <c r="AK1216" i="1" a="1"/>
  <c r="AK1216" i="1" s="1"/>
  <c r="AU1216" i="1"/>
  <c r="BD1216" i="1"/>
  <c r="H1217" i="1" a="1"/>
  <c r="H1217" i="1" s="1"/>
  <c r="R1217" i="1" s="1"/>
  <c r="K1217" i="1"/>
  <c r="N1217" i="1" s="1"/>
  <c r="Q1217" i="1" a="1"/>
  <c r="Q1217" i="1" s="1"/>
  <c r="AS1217" i="1" s="1"/>
  <c r="AK1217" i="1" a="1"/>
  <c r="AK1217" i="1" s="1"/>
  <c r="AU1217" i="1"/>
  <c r="BD1217" i="1"/>
  <c r="K1221" i="1"/>
  <c r="N1221" i="1"/>
  <c r="O1221" i="1"/>
  <c r="AS1221" i="1"/>
  <c r="AK1221" i="1" a="1"/>
  <c r="AK1221" i="1" s="1"/>
  <c r="AU1221" i="1"/>
  <c r="BD1221" i="1"/>
  <c r="H1222" i="1" a="1"/>
  <c r="H1222" i="1" s="1"/>
  <c r="R1222" i="1" s="1"/>
  <c r="K1222" i="1"/>
  <c r="N1222" i="1" s="1"/>
  <c r="Q1222" i="1" a="1"/>
  <c r="Q1222" i="1" s="1"/>
  <c r="AS1222" i="1" s="1"/>
  <c r="AK1222" i="1" a="1"/>
  <c r="AK1222" i="1" s="1"/>
  <c r="AU1222" i="1"/>
  <c r="BD1222" i="1"/>
  <c r="H1223" i="1" a="1"/>
  <c r="H1223" i="1" s="1"/>
  <c r="R1223" i="1" s="1"/>
  <c r="K1223" i="1"/>
  <c r="N1223" i="1" s="1"/>
  <c r="Q1223" i="1" a="1"/>
  <c r="Q1223" i="1" s="1"/>
  <c r="AS1223" i="1" s="1"/>
  <c r="AK1223" i="1" a="1"/>
  <c r="AK1223" i="1" s="1"/>
  <c r="AU1223" i="1"/>
  <c r="BD1223" i="1"/>
  <c r="H1224" i="1" a="1"/>
  <c r="H1224" i="1" s="1"/>
  <c r="R1224" i="1" s="1"/>
  <c r="K1224" i="1"/>
  <c r="N1224" i="1" s="1"/>
  <c r="Q1224" i="1" a="1"/>
  <c r="Q1224" i="1" s="1"/>
  <c r="AS1224" i="1" s="1"/>
  <c r="AK1224" i="1" a="1"/>
  <c r="AK1224" i="1" s="1"/>
  <c r="AU1224" i="1"/>
  <c r="BD1224" i="1"/>
  <c r="H1225" i="1" a="1"/>
  <c r="H1225" i="1" s="1"/>
  <c r="R1225" i="1" s="1"/>
  <c r="K1225" i="1"/>
  <c r="N1225" i="1" s="1"/>
  <c r="Q1225" i="1" a="1"/>
  <c r="Q1225" i="1" s="1"/>
  <c r="AS1225" i="1" s="1"/>
  <c r="AK1225" i="1" a="1"/>
  <c r="AK1225" i="1" s="1"/>
  <c r="AU1225" i="1"/>
  <c r="BD1225" i="1"/>
  <c r="H1226" i="1" a="1"/>
  <c r="H1226" i="1" s="1"/>
  <c r="R1226" i="1" s="1"/>
  <c r="K1226" i="1"/>
  <c r="N1226" i="1" s="1"/>
  <c r="Q1226" i="1" a="1"/>
  <c r="Q1226" i="1" s="1"/>
  <c r="AS1226" i="1" s="1"/>
  <c r="AK1226" i="1" a="1"/>
  <c r="AK1226" i="1" s="1"/>
  <c r="AU1226" i="1"/>
  <c r="BD1226" i="1"/>
  <c r="H1227" i="1" a="1"/>
  <c r="H1227" i="1" s="1"/>
  <c r="R1227" i="1" s="1"/>
  <c r="K1227" i="1"/>
  <c r="N1227" i="1" s="1"/>
  <c r="Q1227" i="1" a="1"/>
  <c r="Q1227" i="1" s="1"/>
  <c r="AS1227" i="1" s="1"/>
  <c r="AK1227" i="1" a="1"/>
  <c r="AK1227" i="1" s="1"/>
  <c r="AU1227" i="1"/>
  <c r="BD1227" i="1"/>
  <c r="H1228" i="1" a="1"/>
  <c r="H1228" i="1" s="1"/>
  <c r="R1228" i="1" s="1"/>
  <c r="K1228" i="1"/>
  <c r="N1228" i="1" s="1"/>
  <c r="Q1228" i="1" a="1"/>
  <c r="Q1228" i="1" s="1"/>
  <c r="AS1228" i="1" s="1"/>
  <c r="AK1228" i="1" a="1"/>
  <c r="AK1228" i="1" s="1"/>
  <c r="AU1228" i="1"/>
  <c r="BD1228" i="1"/>
  <c r="H1229" i="1" a="1"/>
  <c r="H1229" i="1" s="1"/>
  <c r="R1229" i="1" s="1"/>
  <c r="K1229" i="1"/>
  <c r="N1229" i="1" s="1"/>
  <c r="Q1229" i="1" a="1"/>
  <c r="Q1229" i="1" s="1"/>
  <c r="AS1229" i="1" s="1"/>
  <c r="AK1229" i="1" a="1"/>
  <c r="AK1229" i="1" s="1"/>
  <c r="AU1229" i="1"/>
  <c r="BD1229" i="1"/>
  <c r="H1230" i="1" a="1"/>
  <c r="H1230" i="1" s="1"/>
  <c r="R1230" i="1" s="1"/>
  <c r="K1230" i="1"/>
  <c r="N1230" i="1" s="1"/>
  <c r="Q1230" i="1" a="1"/>
  <c r="Q1230" i="1" s="1"/>
  <c r="AS1230" i="1" s="1"/>
  <c r="AK1230" i="1" a="1"/>
  <c r="AK1230" i="1" s="1"/>
  <c r="AU1230" i="1"/>
  <c r="BD1230" i="1"/>
  <c r="H1231" i="1" a="1"/>
  <c r="H1231" i="1" s="1"/>
  <c r="R1231" i="1" s="1"/>
  <c r="K1231" i="1"/>
  <c r="N1231" i="1" s="1"/>
  <c r="Q1231" i="1" a="1"/>
  <c r="Q1231" i="1" s="1"/>
  <c r="AS1231" i="1" s="1"/>
  <c r="AK1231" i="1" a="1"/>
  <c r="AK1231" i="1" s="1"/>
  <c r="AU1231" i="1"/>
  <c r="BD1231" i="1"/>
  <c r="H1232" i="1" a="1"/>
  <c r="H1232" i="1" s="1"/>
  <c r="R1232" i="1" s="1"/>
  <c r="K1232" i="1"/>
  <c r="N1232" i="1" s="1"/>
  <c r="Q1232" i="1" a="1"/>
  <c r="Q1232" i="1" s="1"/>
  <c r="AS1232" i="1" s="1"/>
  <c r="AK1232" i="1" a="1"/>
  <c r="AK1232" i="1" s="1"/>
  <c r="AU1232" i="1"/>
  <c r="BD1232" i="1"/>
  <c r="H1233" i="1" a="1"/>
  <c r="H1233" i="1" s="1"/>
  <c r="R1233" i="1" s="1"/>
  <c r="K1233" i="1"/>
  <c r="N1233" i="1" s="1"/>
  <c r="Q1233" i="1" a="1"/>
  <c r="Q1233" i="1" s="1"/>
  <c r="AS1233" i="1" s="1"/>
  <c r="AK1233" i="1" a="1"/>
  <c r="AK1233" i="1" s="1"/>
  <c r="AU1233" i="1"/>
  <c r="BD1233" i="1"/>
  <c r="H1234" i="1" a="1"/>
  <c r="H1234" i="1" s="1"/>
  <c r="R1234" i="1" s="1"/>
  <c r="K1234" i="1"/>
  <c r="N1234" i="1" s="1"/>
  <c r="Q1234" i="1" a="1"/>
  <c r="Q1234" i="1" s="1"/>
  <c r="AS1234" i="1" s="1"/>
  <c r="AK1234" i="1" a="1"/>
  <c r="AK1234" i="1" s="1"/>
  <c r="AU1234" i="1"/>
  <c r="BD1234" i="1"/>
  <c r="H1235" i="1" a="1"/>
  <c r="H1235" i="1" s="1"/>
  <c r="R1235" i="1" s="1"/>
  <c r="K1235" i="1"/>
  <c r="N1235" i="1" s="1"/>
  <c r="Q1235" i="1" a="1"/>
  <c r="Q1235" i="1" s="1"/>
  <c r="AS1235" i="1" s="1"/>
  <c r="AK1235" i="1" a="1"/>
  <c r="AK1235" i="1" s="1"/>
  <c r="AU1235" i="1"/>
  <c r="BD1235" i="1"/>
  <c r="H1236" i="1" a="1"/>
  <c r="H1236" i="1" s="1"/>
  <c r="R1236" i="1" s="1"/>
  <c r="K1236" i="1"/>
  <c r="N1236" i="1" s="1"/>
  <c r="Q1236" i="1" a="1"/>
  <c r="Q1236" i="1" s="1"/>
  <c r="AS1236" i="1" s="1"/>
  <c r="AK1236" i="1" a="1"/>
  <c r="AK1236" i="1" s="1"/>
  <c r="AU1236" i="1"/>
  <c r="BD1236" i="1"/>
  <c r="H1237" i="1" a="1"/>
  <c r="H1237" i="1" s="1"/>
  <c r="R1237" i="1" s="1"/>
  <c r="K1237" i="1"/>
  <c r="N1237" i="1" s="1"/>
  <c r="Q1237" i="1" a="1"/>
  <c r="Q1237" i="1" s="1"/>
  <c r="AS1237" i="1" s="1"/>
  <c r="AK1237" i="1" a="1"/>
  <c r="AK1237" i="1" s="1"/>
  <c r="AU1237" i="1"/>
  <c r="BD1237" i="1"/>
  <c r="H1238" i="1" a="1"/>
  <c r="H1238" i="1" s="1"/>
  <c r="R1238" i="1" s="1"/>
  <c r="K1238" i="1"/>
  <c r="N1238" i="1" s="1"/>
  <c r="Q1238" i="1" a="1"/>
  <c r="Q1238" i="1" s="1"/>
  <c r="AS1238" i="1" s="1"/>
  <c r="AK1238" i="1" a="1"/>
  <c r="AK1238" i="1" s="1"/>
  <c r="AU1238" i="1"/>
  <c r="BD1238" i="1"/>
  <c r="H1239" i="1" a="1"/>
  <c r="H1239" i="1" s="1"/>
  <c r="R1239" i="1" s="1"/>
  <c r="K1239" i="1"/>
  <c r="N1239" i="1" s="1"/>
  <c r="Q1239" i="1" a="1"/>
  <c r="Q1239" i="1" s="1"/>
  <c r="AS1239" i="1" s="1"/>
  <c r="AK1239" i="1" a="1"/>
  <c r="AK1239" i="1" s="1"/>
  <c r="AU1239" i="1"/>
  <c r="BD1239" i="1"/>
  <c r="H1240" i="1" a="1"/>
  <c r="H1240" i="1" s="1"/>
  <c r="R1240" i="1" s="1"/>
  <c r="K1240" i="1"/>
  <c r="N1240" i="1" s="1"/>
  <c r="Q1240" i="1" a="1"/>
  <c r="Q1240" i="1" s="1"/>
  <c r="AS1240" i="1" s="1"/>
  <c r="AK1240" i="1" a="1"/>
  <c r="AK1240" i="1" s="1"/>
  <c r="AU1240" i="1"/>
  <c r="BD1240" i="1"/>
  <c r="H1241" i="1" a="1"/>
  <c r="H1241" i="1" s="1"/>
  <c r="R1241" i="1" s="1"/>
  <c r="K1241" i="1"/>
  <c r="N1241" i="1" s="1"/>
  <c r="Q1241" i="1" a="1"/>
  <c r="Q1241" i="1" s="1"/>
  <c r="AS1241" i="1" s="1"/>
  <c r="AK1241" i="1" a="1"/>
  <c r="AK1241" i="1" s="1"/>
  <c r="AU1241" i="1"/>
  <c r="BD1241" i="1"/>
  <c r="H1242" i="1" a="1"/>
  <c r="H1242" i="1" s="1"/>
  <c r="R1242" i="1" s="1"/>
  <c r="K1242" i="1"/>
  <c r="N1242" i="1" s="1"/>
  <c r="Q1242" i="1" a="1"/>
  <c r="Q1242" i="1" s="1"/>
  <c r="AS1242" i="1" s="1"/>
  <c r="AK1242" i="1" a="1"/>
  <c r="AK1242" i="1" s="1"/>
  <c r="AU1242" i="1"/>
  <c r="BD1242" i="1"/>
  <c r="H1243" i="1" a="1"/>
  <c r="H1243" i="1" s="1"/>
  <c r="R1243" i="1" s="1"/>
  <c r="K1243" i="1"/>
  <c r="N1243" i="1" s="1"/>
  <c r="Q1243" i="1" a="1"/>
  <c r="Q1243" i="1" s="1"/>
  <c r="AS1243" i="1" s="1"/>
  <c r="AK1243" i="1" a="1"/>
  <c r="AK1243" i="1" s="1"/>
  <c r="AU1243" i="1"/>
  <c r="BD1243" i="1"/>
  <c r="H1244" i="1" a="1"/>
  <c r="H1244" i="1" s="1"/>
  <c r="R1244" i="1" s="1"/>
  <c r="K1244" i="1"/>
  <c r="N1244" i="1" s="1"/>
  <c r="Q1244" i="1" a="1"/>
  <c r="Q1244" i="1" s="1"/>
  <c r="AS1244" i="1" s="1"/>
  <c r="AK1244" i="1" a="1"/>
  <c r="AK1244" i="1" s="1"/>
  <c r="AU1244" i="1"/>
  <c r="BD1244" i="1"/>
  <c r="H1245" i="1" a="1"/>
  <c r="H1245" i="1" s="1"/>
  <c r="R1245" i="1" s="1"/>
  <c r="K1245" i="1"/>
  <c r="N1245" i="1" s="1"/>
  <c r="Q1245" i="1" a="1"/>
  <c r="Q1245" i="1" s="1"/>
  <c r="AS1245" i="1" s="1"/>
  <c r="AK1245" i="1" a="1"/>
  <c r="AK1245" i="1" s="1"/>
  <c r="AU1245" i="1"/>
  <c r="BD1245" i="1"/>
  <c r="H1246" i="1" a="1"/>
  <c r="H1246" i="1" s="1"/>
  <c r="R1246" i="1" s="1"/>
  <c r="K1246" i="1"/>
  <c r="N1246" i="1" s="1"/>
  <c r="Q1246" i="1" a="1"/>
  <c r="Q1246" i="1" s="1"/>
  <c r="AS1246" i="1" s="1"/>
  <c r="AK1246" i="1" a="1"/>
  <c r="AK1246" i="1" s="1"/>
  <c r="AU1246" i="1"/>
  <c r="BD1246" i="1"/>
  <c r="H1247" i="1" a="1"/>
  <c r="H1247" i="1" s="1"/>
  <c r="R1247" i="1" s="1"/>
  <c r="K1247" i="1"/>
  <c r="N1247" i="1" s="1"/>
  <c r="Q1247" i="1" a="1"/>
  <c r="Q1247" i="1" s="1"/>
  <c r="AS1247" i="1" s="1"/>
  <c r="AK1247" i="1" a="1"/>
  <c r="AK1247" i="1" s="1"/>
  <c r="AU1247" i="1"/>
  <c r="BD1247" i="1"/>
  <c r="H1248" i="1" a="1"/>
  <c r="H1248" i="1" s="1"/>
  <c r="R1248" i="1" s="1"/>
  <c r="K1248" i="1"/>
  <c r="N1248" i="1" s="1"/>
  <c r="Q1248" i="1" a="1"/>
  <c r="Q1248" i="1" s="1"/>
  <c r="AS1248" i="1" s="1"/>
  <c r="AK1248" i="1" a="1"/>
  <c r="AK1248" i="1" s="1"/>
  <c r="AU1248" i="1"/>
  <c r="BD1248" i="1"/>
  <c r="H1249" i="1" a="1"/>
  <c r="H1249" i="1" s="1"/>
  <c r="R1249" i="1" s="1"/>
  <c r="K1249" i="1"/>
  <c r="N1249" i="1" s="1"/>
  <c r="Q1249" i="1" a="1"/>
  <c r="Q1249" i="1" s="1"/>
  <c r="AS1249" i="1" s="1"/>
  <c r="AK1249" i="1" a="1"/>
  <c r="AK1249" i="1" s="1"/>
  <c r="AU1249" i="1"/>
  <c r="BD1249" i="1"/>
  <c r="H1250" i="1" a="1"/>
  <c r="H1250" i="1" s="1"/>
  <c r="R1250" i="1" s="1"/>
  <c r="K1250" i="1"/>
  <c r="N1250" i="1" s="1"/>
  <c r="Q1250" i="1" a="1"/>
  <c r="Q1250" i="1" s="1"/>
  <c r="AS1250" i="1" s="1"/>
  <c r="AK1250" i="1" a="1"/>
  <c r="AK1250" i="1" s="1"/>
  <c r="AU1250" i="1"/>
  <c r="BD1250" i="1"/>
  <c r="H1251" i="1" a="1"/>
  <c r="H1251" i="1" s="1"/>
  <c r="R1251" i="1" s="1"/>
  <c r="K1251" i="1"/>
  <c r="N1251" i="1" s="1"/>
  <c r="Q1251" i="1" a="1"/>
  <c r="Q1251" i="1" s="1"/>
  <c r="AS1251" i="1" s="1"/>
  <c r="AK1251" i="1" a="1"/>
  <c r="AK1251" i="1" s="1"/>
  <c r="AU1251" i="1"/>
  <c r="BD1251" i="1"/>
  <c r="H1252" i="1" a="1"/>
  <c r="H1252" i="1" s="1"/>
  <c r="R1252" i="1" s="1"/>
  <c r="K1252" i="1"/>
  <c r="N1252" i="1" s="1"/>
  <c r="Q1252" i="1" a="1"/>
  <c r="Q1252" i="1" s="1"/>
  <c r="AS1252" i="1" s="1"/>
  <c r="AK1252" i="1" a="1"/>
  <c r="AK1252" i="1" s="1"/>
  <c r="AU1252" i="1"/>
  <c r="BD1252" i="1"/>
  <c r="H1253" i="1" a="1"/>
  <c r="H1253" i="1" s="1"/>
  <c r="R1253" i="1" s="1"/>
  <c r="K1253" i="1"/>
  <c r="N1253" i="1" s="1"/>
  <c r="AK1253" i="1" a="1"/>
  <c r="AK1253" i="1" s="1"/>
  <c r="AU1253" i="1"/>
  <c r="BD1253" i="1"/>
  <c r="K1257" i="1"/>
  <c r="N1257" i="1"/>
  <c r="O1257" i="1"/>
  <c r="AS1257" i="1"/>
  <c r="AK1257" i="1" a="1"/>
  <c r="AK1257" i="1" s="1"/>
  <c r="AU1257" i="1"/>
  <c r="BD1257" i="1"/>
  <c r="H1258" i="1" a="1"/>
  <c r="H1258" i="1" s="1"/>
  <c r="R1258" i="1" s="1"/>
  <c r="K1258" i="1"/>
  <c r="N1258" i="1" s="1"/>
  <c r="Q1258" i="1" a="1"/>
  <c r="Q1258" i="1" s="1"/>
  <c r="AS1258" i="1" s="1"/>
  <c r="AK1258" i="1" a="1"/>
  <c r="AK1258" i="1" s="1"/>
  <c r="AU1258" i="1"/>
  <c r="BD1258" i="1"/>
  <c r="H1259" i="1" a="1"/>
  <c r="H1259" i="1" s="1"/>
  <c r="R1259" i="1" s="1"/>
  <c r="K1259" i="1"/>
  <c r="N1259" i="1" s="1"/>
  <c r="Q1259" i="1" a="1"/>
  <c r="Q1259" i="1" s="1"/>
  <c r="AS1259" i="1" s="1"/>
  <c r="AK1259" i="1" a="1"/>
  <c r="AK1259" i="1" s="1"/>
  <c r="AU1259" i="1"/>
  <c r="BD1259" i="1"/>
  <c r="H1260" i="1" a="1"/>
  <c r="H1260" i="1" s="1"/>
  <c r="R1260" i="1" s="1"/>
  <c r="K1260" i="1"/>
  <c r="N1260" i="1" s="1"/>
  <c r="Q1260" i="1" a="1"/>
  <c r="Q1260" i="1" s="1"/>
  <c r="AS1260" i="1" s="1"/>
  <c r="AK1260" i="1" a="1"/>
  <c r="AK1260" i="1" s="1"/>
  <c r="AU1260" i="1"/>
  <c r="BD1260" i="1"/>
  <c r="H1261" i="1" a="1"/>
  <c r="H1261" i="1" s="1"/>
  <c r="R1261" i="1" s="1"/>
  <c r="K1261" i="1"/>
  <c r="N1261" i="1" s="1"/>
  <c r="Q1261" i="1" a="1"/>
  <c r="Q1261" i="1" s="1"/>
  <c r="AS1261" i="1" s="1"/>
  <c r="AK1261" i="1" a="1"/>
  <c r="AK1261" i="1" s="1"/>
  <c r="AU1261" i="1"/>
  <c r="BD1261" i="1"/>
  <c r="H1262" i="1" a="1"/>
  <c r="H1262" i="1" s="1"/>
  <c r="R1262" i="1" s="1"/>
  <c r="K1262" i="1"/>
  <c r="N1262" i="1" s="1"/>
  <c r="Q1262" i="1" a="1"/>
  <c r="Q1262" i="1" s="1"/>
  <c r="AS1262" i="1" s="1"/>
  <c r="AK1262" i="1" a="1"/>
  <c r="AK1262" i="1" s="1"/>
  <c r="AU1262" i="1"/>
  <c r="BD1262" i="1"/>
  <c r="H1263" i="1" a="1"/>
  <c r="H1263" i="1" s="1"/>
  <c r="R1263" i="1" s="1"/>
  <c r="K1263" i="1"/>
  <c r="N1263" i="1" s="1"/>
  <c r="Q1263" i="1" a="1"/>
  <c r="Q1263" i="1" s="1"/>
  <c r="AS1263" i="1" s="1"/>
  <c r="AK1263" i="1" a="1"/>
  <c r="AK1263" i="1" s="1"/>
  <c r="AU1263" i="1"/>
  <c r="BD1263" i="1"/>
  <c r="H1264" i="1" a="1"/>
  <c r="H1264" i="1" s="1"/>
  <c r="R1264" i="1" s="1"/>
  <c r="K1264" i="1"/>
  <c r="N1264" i="1" s="1"/>
  <c r="Q1264" i="1" a="1"/>
  <c r="Q1264" i="1" s="1"/>
  <c r="AS1264" i="1" s="1"/>
  <c r="AK1264" i="1" a="1"/>
  <c r="AK1264" i="1" s="1"/>
  <c r="AU1264" i="1"/>
  <c r="BD1264" i="1"/>
  <c r="H1265" i="1" a="1"/>
  <c r="H1265" i="1" s="1"/>
  <c r="R1265" i="1" s="1"/>
  <c r="K1265" i="1"/>
  <c r="N1265" i="1" s="1"/>
  <c r="Q1265" i="1" a="1"/>
  <c r="Q1265" i="1" s="1"/>
  <c r="AS1265" i="1" s="1"/>
  <c r="AK1265" i="1" a="1"/>
  <c r="AK1265" i="1" s="1"/>
  <c r="AU1265" i="1"/>
  <c r="BD1265" i="1"/>
  <c r="H1266" i="1" a="1"/>
  <c r="H1266" i="1" s="1"/>
  <c r="R1266" i="1" s="1"/>
  <c r="K1266" i="1"/>
  <c r="N1266" i="1" s="1"/>
  <c r="Q1266" i="1" a="1"/>
  <c r="Q1266" i="1" s="1"/>
  <c r="AS1266" i="1" s="1"/>
  <c r="AK1266" i="1" a="1"/>
  <c r="AK1266" i="1" s="1"/>
  <c r="AU1266" i="1"/>
  <c r="BD1266" i="1"/>
  <c r="H1267" i="1" a="1"/>
  <c r="H1267" i="1" s="1"/>
  <c r="R1267" i="1" s="1"/>
  <c r="K1267" i="1"/>
  <c r="N1267" i="1" s="1"/>
  <c r="Q1267" i="1" a="1"/>
  <c r="Q1267" i="1" s="1"/>
  <c r="AS1267" i="1" s="1"/>
  <c r="AK1267" i="1" a="1"/>
  <c r="AK1267" i="1" s="1"/>
  <c r="AU1267" i="1"/>
  <c r="BD1267" i="1"/>
  <c r="H1268" i="1" a="1"/>
  <c r="H1268" i="1" s="1"/>
  <c r="R1268" i="1" s="1"/>
  <c r="K1268" i="1"/>
  <c r="N1268" i="1" s="1"/>
  <c r="Q1268" i="1" a="1"/>
  <c r="Q1268" i="1" s="1"/>
  <c r="AS1268" i="1" s="1"/>
  <c r="AK1268" i="1" a="1"/>
  <c r="AK1268" i="1" s="1"/>
  <c r="AU1268" i="1"/>
  <c r="BD1268" i="1"/>
  <c r="H1269" i="1" a="1"/>
  <c r="H1269" i="1" s="1"/>
  <c r="R1269" i="1" s="1"/>
  <c r="K1269" i="1"/>
  <c r="N1269" i="1" s="1"/>
  <c r="Q1269" i="1" a="1"/>
  <c r="Q1269" i="1" s="1"/>
  <c r="AS1269" i="1" s="1"/>
  <c r="AK1269" i="1" a="1"/>
  <c r="AK1269" i="1" s="1"/>
  <c r="AU1269" i="1"/>
  <c r="BD1269" i="1"/>
  <c r="H1270" i="1" a="1"/>
  <c r="H1270" i="1" s="1"/>
  <c r="R1270" i="1" s="1"/>
  <c r="K1270" i="1"/>
  <c r="N1270" i="1" s="1"/>
  <c r="Q1270" i="1" a="1"/>
  <c r="Q1270" i="1" s="1"/>
  <c r="AS1270" i="1" s="1"/>
  <c r="AK1270" i="1" a="1"/>
  <c r="AK1270" i="1" s="1"/>
  <c r="AU1270" i="1"/>
  <c r="BD1270" i="1"/>
  <c r="H1271" i="1" a="1"/>
  <c r="H1271" i="1" s="1"/>
  <c r="R1271" i="1" s="1"/>
  <c r="K1271" i="1"/>
  <c r="N1271" i="1" s="1"/>
  <c r="Q1271" i="1" a="1"/>
  <c r="Q1271" i="1" s="1"/>
  <c r="AS1271" i="1" s="1"/>
  <c r="AK1271" i="1" a="1"/>
  <c r="AK1271" i="1" s="1"/>
  <c r="AU1271" i="1"/>
  <c r="BD1271" i="1"/>
  <c r="H1272" i="1" a="1"/>
  <c r="H1272" i="1" s="1"/>
  <c r="R1272" i="1" s="1"/>
  <c r="K1272" i="1"/>
  <c r="N1272" i="1" s="1"/>
  <c r="Q1272" i="1" a="1"/>
  <c r="Q1272" i="1" s="1"/>
  <c r="AS1272" i="1" s="1"/>
  <c r="AK1272" i="1" a="1"/>
  <c r="AK1272" i="1" s="1"/>
  <c r="AU1272" i="1"/>
  <c r="BD1272" i="1"/>
  <c r="H1273" i="1" a="1"/>
  <c r="H1273" i="1" s="1"/>
  <c r="R1273" i="1" s="1"/>
  <c r="K1273" i="1"/>
  <c r="N1273" i="1" s="1"/>
  <c r="Q1273" i="1" a="1"/>
  <c r="Q1273" i="1" s="1"/>
  <c r="AS1273" i="1" s="1"/>
  <c r="AK1273" i="1" a="1"/>
  <c r="AK1273" i="1" s="1"/>
  <c r="AU1273" i="1"/>
  <c r="BD1273" i="1"/>
  <c r="H1274" i="1" a="1"/>
  <c r="H1274" i="1" s="1"/>
  <c r="R1274" i="1" s="1"/>
  <c r="K1274" i="1"/>
  <c r="N1274" i="1" s="1"/>
  <c r="AK1274" i="1" a="1"/>
  <c r="AK1274" i="1" s="1"/>
  <c r="AU1274" i="1"/>
  <c r="BD1274" i="1"/>
  <c r="H1275" i="1" a="1"/>
  <c r="H1275" i="1" s="1"/>
  <c r="R1275" i="1" s="1"/>
  <c r="K1275" i="1"/>
  <c r="N1275" i="1" s="1"/>
  <c r="Q1275" i="1" a="1"/>
  <c r="Q1275" i="1" s="1"/>
  <c r="AS1275" i="1" s="1"/>
  <c r="AK1275" i="1" a="1"/>
  <c r="AK1275" i="1" s="1"/>
  <c r="AU1275" i="1"/>
  <c r="BD1275" i="1"/>
  <c r="H1276" i="1" a="1"/>
  <c r="H1276" i="1" s="1"/>
  <c r="R1276" i="1" s="1"/>
  <c r="K1276" i="1"/>
  <c r="N1276" i="1" s="1"/>
  <c r="Q1276" i="1" a="1"/>
  <c r="Q1276" i="1" s="1"/>
  <c r="AS1276" i="1" s="1"/>
  <c r="AK1276" i="1" a="1"/>
  <c r="AK1276" i="1" s="1"/>
  <c r="AU1276" i="1"/>
  <c r="BD1276" i="1"/>
  <c r="H1277" i="1" a="1"/>
  <c r="H1277" i="1" s="1"/>
  <c r="R1277" i="1" s="1"/>
  <c r="K1277" i="1"/>
  <c r="N1277" i="1" s="1"/>
  <c r="AK1277" i="1" a="1"/>
  <c r="AK1277" i="1" s="1"/>
  <c r="AU1277" i="1"/>
  <c r="BD1277" i="1"/>
  <c r="H1278" i="1" a="1"/>
  <c r="H1278" i="1" s="1"/>
  <c r="R1278" i="1" s="1"/>
  <c r="K1278" i="1"/>
  <c r="N1278" i="1" s="1"/>
  <c r="Q1278" i="1" a="1"/>
  <c r="Q1278" i="1" s="1"/>
  <c r="AS1278" i="1" s="1"/>
  <c r="AK1278" i="1" a="1"/>
  <c r="AK1278" i="1" s="1"/>
  <c r="AU1278" i="1"/>
  <c r="BD1278" i="1"/>
  <c r="H1279" i="1" a="1"/>
  <c r="H1279" i="1" s="1"/>
  <c r="R1279" i="1" s="1"/>
  <c r="K1279" i="1"/>
  <c r="N1279" i="1" s="1"/>
  <c r="Q1279" i="1" a="1"/>
  <c r="Q1279" i="1" s="1"/>
  <c r="AS1279" i="1" s="1"/>
  <c r="AK1279" i="1" a="1"/>
  <c r="AK1279" i="1" s="1"/>
  <c r="AU1279" i="1"/>
  <c r="BD1279" i="1"/>
  <c r="H1280" i="1" a="1"/>
  <c r="H1280" i="1" s="1"/>
  <c r="R1280" i="1" s="1"/>
  <c r="K1280" i="1"/>
  <c r="N1280" i="1" s="1"/>
  <c r="Q1280" i="1" a="1"/>
  <c r="Q1280" i="1" s="1"/>
  <c r="AS1280" i="1" s="1"/>
  <c r="AK1280" i="1" a="1"/>
  <c r="AK1280" i="1" s="1"/>
  <c r="AU1280" i="1"/>
  <c r="BD1280" i="1"/>
  <c r="H1281" i="1" a="1"/>
  <c r="H1281" i="1" s="1"/>
  <c r="R1281" i="1" s="1"/>
  <c r="K1281" i="1"/>
  <c r="N1281" i="1" s="1"/>
  <c r="Q1281" i="1" a="1"/>
  <c r="Q1281" i="1" s="1"/>
  <c r="AS1281" i="1" s="1"/>
  <c r="AK1281" i="1" a="1"/>
  <c r="AK1281" i="1" s="1"/>
  <c r="AU1281" i="1"/>
  <c r="BD1281" i="1"/>
  <c r="H1282" i="1" a="1"/>
  <c r="H1282" i="1" s="1"/>
  <c r="R1282" i="1" s="1"/>
  <c r="K1282" i="1"/>
  <c r="N1282" i="1" s="1"/>
  <c r="Q1282" i="1" a="1"/>
  <c r="Q1282" i="1" s="1"/>
  <c r="AS1282" i="1" s="1"/>
  <c r="AK1282" i="1" a="1"/>
  <c r="AK1282" i="1" s="1"/>
  <c r="AU1282" i="1"/>
  <c r="BD1282" i="1"/>
  <c r="K1286" i="1"/>
  <c r="N1286" i="1"/>
  <c r="O1286" i="1"/>
  <c r="AK1286" i="1" a="1"/>
  <c r="AK1286" i="1" s="1"/>
  <c r="AU1286" i="1"/>
  <c r="BD1286" i="1"/>
  <c r="H1287" i="1" a="1"/>
  <c r="H1287" i="1" s="1"/>
  <c r="R1287" i="1" s="1"/>
  <c r="K1287" i="1"/>
  <c r="N1287" i="1" s="1"/>
  <c r="Q1287" i="1" a="1"/>
  <c r="Q1287" i="1" s="1"/>
  <c r="AS1287" i="1" s="1"/>
  <c r="AK1287" i="1" a="1"/>
  <c r="AK1287" i="1" s="1"/>
  <c r="AU1287" i="1"/>
  <c r="BD1287" i="1"/>
  <c r="H1288" i="1" a="1"/>
  <c r="H1288" i="1" s="1"/>
  <c r="R1288" i="1" s="1"/>
  <c r="K1288" i="1"/>
  <c r="N1288" i="1" s="1"/>
  <c r="Q1288" i="1" a="1"/>
  <c r="Q1288" i="1" s="1"/>
  <c r="AS1288" i="1" s="1"/>
  <c r="AK1288" i="1" a="1"/>
  <c r="AK1288" i="1" s="1"/>
  <c r="AU1288" i="1"/>
  <c r="BD1288" i="1"/>
  <c r="H1289" i="1" a="1"/>
  <c r="H1289" i="1" s="1"/>
  <c r="R1289" i="1" s="1"/>
  <c r="K1289" i="1"/>
  <c r="N1289" i="1" s="1"/>
  <c r="Q1289" i="1" a="1"/>
  <c r="Q1289" i="1" s="1"/>
  <c r="AS1289" i="1" s="1"/>
  <c r="AK1289" i="1" a="1"/>
  <c r="AK1289" i="1" s="1"/>
  <c r="AU1289" i="1"/>
  <c r="BD1289" i="1"/>
  <c r="H1290" i="1" a="1"/>
  <c r="H1290" i="1" s="1"/>
  <c r="R1290" i="1" s="1"/>
  <c r="K1290" i="1"/>
  <c r="N1290" i="1" s="1"/>
  <c r="Q1290" i="1" a="1"/>
  <c r="Q1290" i="1" s="1"/>
  <c r="AS1290" i="1" s="1"/>
  <c r="AK1290" i="1" a="1"/>
  <c r="AK1290" i="1" s="1"/>
  <c r="AU1290" i="1"/>
  <c r="BD1290" i="1"/>
  <c r="H1291" i="1" a="1"/>
  <c r="H1291" i="1" s="1"/>
  <c r="R1291" i="1" s="1"/>
  <c r="K1291" i="1"/>
  <c r="N1291" i="1" s="1"/>
  <c r="Q1291" i="1" a="1"/>
  <c r="Q1291" i="1" s="1"/>
  <c r="AS1291" i="1" s="1"/>
  <c r="AK1291" i="1" a="1"/>
  <c r="AK1291" i="1" s="1"/>
  <c r="AU1291" i="1"/>
  <c r="BD1291" i="1"/>
  <c r="H1292" i="1" a="1"/>
  <c r="H1292" i="1" s="1"/>
  <c r="R1292" i="1" s="1"/>
  <c r="K1292" i="1"/>
  <c r="N1292" i="1" s="1"/>
  <c r="AK1292" i="1" a="1"/>
  <c r="AK1292" i="1" s="1"/>
  <c r="AU1292" i="1"/>
  <c r="BD1292" i="1"/>
  <c r="H1293" i="1" a="1"/>
  <c r="H1293" i="1" s="1"/>
  <c r="R1293" i="1" s="1"/>
  <c r="K1293" i="1"/>
  <c r="N1293" i="1" s="1"/>
  <c r="Q1293" i="1" a="1"/>
  <c r="Q1293" i="1" s="1"/>
  <c r="AS1293" i="1" s="1"/>
  <c r="AK1293" i="1" a="1"/>
  <c r="AK1293" i="1" s="1"/>
  <c r="AU1293" i="1"/>
  <c r="BD1293" i="1"/>
  <c r="H1294" i="1" a="1"/>
  <c r="H1294" i="1" s="1"/>
  <c r="R1294" i="1" s="1"/>
  <c r="K1294" i="1"/>
  <c r="N1294" i="1" s="1"/>
  <c r="Q1294" i="1" a="1"/>
  <c r="Q1294" i="1" s="1"/>
  <c r="AS1294" i="1" s="1"/>
  <c r="AK1294" i="1" a="1"/>
  <c r="AK1294" i="1" s="1"/>
  <c r="AU1294" i="1"/>
  <c r="BD1294" i="1"/>
  <c r="H1295" i="1" a="1"/>
  <c r="H1295" i="1" s="1"/>
  <c r="R1295" i="1" s="1"/>
  <c r="K1295" i="1"/>
  <c r="N1295" i="1" s="1"/>
  <c r="Q1295" i="1" a="1"/>
  <c r="Q1295" i="1" s="1"/>
  <c r="AS1295" i="1" s="1"/>
  <c r="AK1295" i="1" a="1"/>
  <c r="AK1295" i="1" s="1"/>
  <c r="AU1295" i="1"/>
  <c r="BD1295" i="1"/>
  <c r="H1296" i="1" a="1"/>
  <c r="H1296" i="1" s="1"/>
  <c r="R1296" i="1" s="1"/>
  <c r="K1296" i="1"/>
  <c r="N1296" i="1" s="1"/>
  <c r="Q1296" i="1" a="1"/>
  <c r="Q1296" i="1" s="1"/>
  <c r="AS1296" i="1" s="1"/>
  <c r="AK1296" i="1" a="1"/>
  <c r="AK1296" i="1" s="1"/>
  <c r="AU1296" i="1"/>
  <c r="BD1296" i="1"/>
  <c r="H1297" i="1" a="1"/>
  <c r="H1297" i="1" s="1"/>
  <c r="R1297" i="1" s="1"/>
  <c r="K1297" i="1"/>
  <c r="N1297" i="1" s="1"/>
  <c r="Q1297" i="1" a="1"/>
  <c r="Q1297" i="1" s="1"/>
  <c r="AS1297" i="1" s="1"/>
  <c r="AK1297" i="1" a="1"/>
  <c r="AK1297" i="1" s="1"/>
  <c r="AU1297" i="1"/>
  <c r="BD1297" i="1"/>
  <c r="H1298" i="1" a="1"/>
  <c r="H1298" i="1" s="1"/>
  <c r="R1298" i="1" s="1"/>
  <c r="K1298" i="1"/>
  <c r="N1298" i="1" s="1"/>
  <c r="Q1298" i="1" a="1"/>
  <c r="Q1298" i="1" s="1"/>
  <c r="AS1298" i="1" s="1"/>
  <c r="AK1298" i="1" a="1"/>
  <c r="AK1298" i="1" s="1"/>
  <c r="AU1298" i="1"/>
  <c r="BD1298" i="1"/>
  <c r="H1299" i="1" a="1"/>
  <c r="H1299" i="1" s="1"/>
  <c r="R1299" i="1" s="1"/>
  <c r="K1299" i="1"/>
  <c r="N1299" i="1" s="1"/>
  <c r="Q1299" i="1" a="1"/>
  <c r="Q1299" i="1" s="1"/>
  <c r="AS1299" i="1" s="1"/>
  <c r="AK1299" i="1" a="1"/>
  <c r="AK1299" i="1" s="1"/>
  <c r="AU1299" i="1"/>
  <c r="BD1299" i="1"/>
  <c r="H1300" i="1" a="1"/>
  <c r="H1300" i="1" s="1"/>
  <c r="R1300" i="1" s="1"/>
  <c r="K1300" i="1"/>
  <c r="N1300" i="1" s="1"/>
  <c r="Q1300" i="1" a="1"/>
  <c r="Q1300" i="1" s="1"/>
  <c r="AS1300" i="1" s="1"/>
  <c r="AK1300" i="1" a="1"/>
  <c r="AK1300" i="1" s="1"/>
  <c r="AU1300" i="1"/>
  <c r="BD1300" i="1"/>
  <c r="H1301" i="1" a="1"/>
  <c r="H1301" i="1" s="1"/>
  <c r="R1301" i="1" s="1"/>
  <c r="K1301" i="1"/>
  <c r="N1301" i="1" s="1"/>
  <c r="Q1301" i="1" a="1"/>
  <c r="Q1301" i="1" s="1"/>
  <c r="AS1301" i="1" s="1"/>
  <c r="AK1301" i="1" a="1"/>
  <c r="AK1301" i="1" s="1"/>
  <c r="AU1301" i="1"/>
  <c r="BD1301" i="1"/>
  <c r="H1302" i="1" a="1"/>
  <c r="H1302" i="1" s="1"/>
  <c r="R1302" i="1" s="1"/>
  <c r="K1302" i="1"/>
  <c r="N1302" i="1" s="1"/>
  <c r="Q1302" i="1" a="1"/>
  <c r="Q1302" i="1" s="1"/>
  <c r="AS1302" i="1" s="1"/>
  <c r="AK1302" i="1" a="1"/>
  <c r="AK1302" i="1" s="1"/>
  <c r="AU1302" i="1"/>
  <c r="BD1302" i="1"/>
  <c r="H1303" i="1" a="1"/>
  <c r="H1303" i="1" s="1"/>
  <c r="R1303" i="1" s="1"/>
  <c r="K1303" i="1"/>
  <c r="N1303" i="1" s="1"/>
  <c r="Q1303" i="1" a="1"/>
  <c r="Q1303" i="1" s="1"/>
  <c r="AS1303" i="1" s="1"/>
  <c r="AK1303" i="1" a="1"/>
  <c r="AK1303" i="1" s="1"/>
  <c r="AU1303" i="1"/>
  <c r="BD1303" i="1"/>
  <c r="H1304" i="1" a="1"/>
  <c r="H1304" i="1" s="1"/>
  <c r="R1304" i="1" s="1"/>
  <c r="K1304" i="1"/>
  <c r="N1304" i="1" s="1"/>
  <c r="Q1304" i="1" a="1"/>
  <c r="Q1304" i="1" s="1"/>
  <c r="AS1304" i="1" s="1"/>
  <c r="AK1304" i="1" a="1"/>
  <c r="AK1304" i="1" s="1"/>
  <c r="AU1304" i="1"/>
  <c r="BD1304" i="1"/>
  <c r="K1308" i="1"/>
  <c r="N1308" i="1"/>
  <c r="O1308" i="1"/>
  <c r="AS1308" i="1"/>
  <c r="AK1308" i="1" a="1"/>
  <c r="AK1308" i="1" s="1"/>
  <c r="AU1308" i="1"/>
  <c r="BD1308" i="1"/>
  <c r="H1309" i="1" a="1"/>
  <c r="H1309" i="1" s="1"/>
  <c r="R1309" i="1" s="1"/>
  <c r="K1309" i="1"/>
  <c r="N1309" i="1" s="1"/>
  <c r="Q1309" i="1" a="1"/>
  <c r="Q1309" i="1" s="1"/>
  <c r="AS1309" i="1" s="1"/>
  <c r="AK1309" i="1" a="1"/>
  <c r="AK1309" i="1" s="1"/>
  <c r="AU1309" i="1"/>
  <c r="BD1309" i="1"/>
  <c r="H1310" i="1" a="1"/>
  <c r="H1310" i="1" s="1"/>
  <c r="R1310" i="1" s="1"/>
  <c r="K1310" i="1"/>
  <c r="N1310" i="1" s="1"/>
  <c r="Q1310" i="1" a="1"/>
  <c r="Q1310" i="1" s="1"/>
  <c r="AS1310" i="1" s="1"/>
  <c r="AK1310" i="1" a="1"/>
  <c r="AK1310" i="1" s="1"/>
  <c r="AU1310" i="1"/>
  <c r="BD1310" i="1"/>
  <c r="H1311" i="1" a="1"/>
  <c r="H1311" i="1" s="1"/>
  <c r="R1311" i="1" s="1"/>
  <c r="K1311" i="1"/>
  <c r="N1311" i="1" s="1"/>
  <c r="Q1311" i="1" a="1"/>
  <c r="Q1311" i="1" s="1"/>
  <c r="AS1311" i="1" s="1"/>
  <c r="AK1311" i="1" a="1"/>
  <c r="AK1311" i="1" s="1"/>
  <c r="AU1311" i="1"/>
  <c r="BD1311" i="1"/>
  <c r="H1312" i="1" a="1"/>
  <c r="H1312" i="1" s="1"/>
  <c r="R1312" i="1" s="1"/>
  <c r="K1312" i="1"/>
  <c r="N1312" i="1" s="1"/>
  <c r="Q1312" i="1" a="1"/>
  <c r="Q1312" i="1" s="1"/>
  <c r="AS1312" i="1" s="1"/>
  <c r="AK1312" i="1" a="1"/>
  <c r="AK1312" i="1" s="1"/>
  <c r="AU1312" i="1"/>
  <c r="BD1312" i="1"/>
  <c r="H1313" i="1" a="1"/>
  <c r="H1313" i="1" s="1"/>
  <c r="R1313" i="1" s="1"/>
  <c r="K1313" i="1"/>
  <c r="N1313" i="1" s="1"/>
  <c r="Q1313" i="1" a="1"/>
  <c r="Q1313" i="1" s="1"/>
  <c r="AS1313" i="1" s="1"/>
  <c r="AK1313" i="1" a="1"/>
  <c r="AK1313" i="1" s="1"/>
  <c r="AU1313" i="1"/>
  <c r="BD1313" i="1"/>
  <c r="H1314" i="1" a="1"/>
  <c r="H1314" i="1" s="1"/>
  <c r="R1314" i="1" s="1"/>
  <c r="K1314" i="1"/>
  <c r="N1314" i="1" s="1"/>
  <c r="Q1314" i="1" a="1"/>
  <c r="Q1314" i="1" s="1"/>
  <c r="AS1314" i="1" s="1"/>
  <c r="AK1314" i="1" a="1"/>
  <c r="AK1314" i="1" s="1"/>
  <c r="AU1314" i="1"/>
  <c r="BD1314" i="1"/>
  <c r="H1315" i="1" a="1"/>
  <c r="H1315" i="1" s="1"/>
  <c r="R1315" i="1" s="1"/>
  <c r="K1315" i="1"/>
  <c r="N1315" i="1" s="1"/>
  <c r="Q1315" i="1" a="1"/>
  <c r="Q1315" i="1" s="1"/>
  <c r="AS1315" i="1" s="1"/>
  <c r="AK1315" i="1" a="1"/>
  <c r="AK1315" i="1" s="1"/>
  <c r="AU1315" i="1"/>
  <c r="BD1315" i="1"/>
  <c r="H1316" i="1" a="1"/>
  <c r="H1316" i="1" s="1"/>
  <c r="R1316" i="1" s="1"/>
  <c r="K1316" i="1"/>
  <c r="N1316" i="1" s="1"/>
  <c r="AK1316" i="1" a="1"/>
  <c r="AK1316" i="1" s="1"/>
  <c r="AU1316" i="1"/>
  <c r="BD1316" i="1"/>
  <c r="H1317" i="1" a="1"/>
  <c r="H1317" i="1" s="1"/>
  <c r="R1317" i="1" s="1"/>
  <c r="K1317" i="1"/>
  <c r="N1317" i="1" s="1"/>
  <c r="Q1317" i="1" a="1"/>
  <c r="Q1317" i="1" s="1"/>
  <c r="AS1317" i="1" s="1"/>
  <c r="AK1317" i="1" a="1"/>
  <c r="AK1317" i="1" s="1"/>
  <c r="AU1317" i="1"/>
  <c r="BD1317" i="1"/>
  <c r="H1318" i="1" a="1"/>
  <c r="H1318" i="1" s="1"/>
  <c r="R1318" i="1" s="1"/>
  <c r="K1318" i="1"/>
  <c r="N1318" i="1" s="1"/>
  <c r="Q1318" i="1" a="1"/>
  <c r="Q1318" i="1" s="1"/>
  <c r="AS1318" i="1" s="1"/>
  <c r="AK1318" i="1" a="1"/>
  <c r="AK1318" i="1" s="1"/>
  <c r="AU1318" i="1"/>
  <c r="BD1318" i="1"/>
  <c r="H1319" i="1" a="1"/>
  <c r="H1319" i="1" s="1"/>
  <c r="R1319" i="1" s="1"/>
  <c r="K1319" i="1"/>
  <c r="N1319" i="1" s="1"/>
  <c r="Q1319" i="1" a="1"/>
  <c r="Q1319" i="1" s="1"/>
  <c r="AS1319" i="1" s="1"/>
  <c r="AK1319" i="1" a="1"/>
  <c r="AK1319" i="1" s="1"/>
  <c r="AU1319" i="1"/>
  <c r="BD1319" i="1"/>
  <c r="H1320" i="1" a="1"/>
  <c r="H1320" i="1" s="1"/>
  <c r="R1320" i="1" s="1"/>
  <c r="K1320" i="1"/>
  <c r="N1320" i="1" s="1"/>
  <c r="Q1320" i="1" a="1"/>
  <c r="Q1320" i="1" s="1"/>
  <c r="AS1320" i="1" s="1"/>
  <c r="AK1320" i="1" a="1"/>
  <c r="AK1320" i="1" s="1"/>
  <c r="AU1320" i="1"/>
  <c r="BD1320" i="1"/>
  <c r="H1321" i="1" a="1"/>
  <c r="H1321" i="1" s="1"/>
  <c r="R1321" i="1" s="1"/>
  <c r="K1321" i="1"/>
  <c r="N1321" i="1" s="1"/>
  <c r="Q1321" i="1" a="1"/>
  <c r="Q1321" i="1" s="1"/>
  <c r="AS1321" i="1" s="1"/>
  <c r="AK1321" i="1" a="1"/>
  <c r="AK1321" i="1" s="1"/>
  <c r="AU1321" i="1"/>
  <c r="BD1321" i="1"/>
  <c r="H1322" i="1" a="1"/>
  <c r="H1322" i="1" s="1"/>
  <c r="R1322" i="1" s="1"/>
  <c r="K1322" i="1"/>
  <c r="N1322" i="1" s="1"/>
  <c r="Q1322" i="1" a="1"/>
  <c r="Q1322" i="1" s="1"/>
  <c r="AS1322" i="1" s="1"/>
  <c r="AK1322" i="1" a="1"/>
  <c r="AK1322" i="1" s="1"/>
  <c r="AU1322" i="1"/>
  <c r="BD1322" i="1"/>
  <c r="H1323" i="1" a="1"/>
  <c r="H1323" i="1" s="1"/>
  <c r="R1323" i="1" s="1"/>
  <c r="K1323" i="1"/>
  <c r="N1323" i="1" s="1"/>
  <c r="AK1323" i="1" a="1"/>
  <c r="AK1323" i="1" s="1"/>
  <c r="AU1323" i="1"/>
  <c r="BD1323" i="1"/>
  <c r="H1324" i="1" a="1"/>
  <c r="H1324" i="1" s="1"/>
  <c r="R1324" i="1" s="1"/>
  <c r="K1324" i="1"/>
  <c r="N1324" i="1" s="1"/>
  <c r="Q1324" i="1" a="1"/>
  <c r="Q1324" i="1" s="1"/>
  <c r="AS1324" i="1" s="1"/>
  <c r="AK1324" i="1" a="1"/>
  <c r="AK1324" i="1" s="1"/>
  <c r="AU1324" i="1"/>
  <c r="BD1324" i="1"/>
  <c r="H1325" i="1" a="1"/>
  <c r="H1325" i="1" s="1"/>
  <c r="R1325" i="1" s="1"/>
  <c r="K1325" i="1"/>
  <c r="N1325" i="1" s="1"/>
  <c r="Q1325" i="1" a="1"/>
  <c r="Q1325" i="1" s="1"/>
  <c r="AS1325" i="1" s="1"/>
  <c r="AK1325" i="1" a="1"/>
  <c r="AK1325" i="1" s="1"/>
  <c r="AU1325" i="1"/>
  <c r="BD1325" i="1"/>
  <c r="H1326" i="1" a="1"/>
  <c r="H1326" i="1" s="1"/>
  <c r="R1326" i="1" s="1"/>
  <c r="K1326" i="1"/>
  <c r="N1326" i="1" s="1"/>
  <c r="Q1326" i="1" a="1"/>
  <c r="Q1326" i="1" s="1"/>
  <c r="AS1326" i="1" s="1"/>
  <c r="AK1326" i="1" a="1"/>
  <c r="AK1326" i="1" s="1"/>
  <c r="AU1326" i="1"/>
  <c r="BD1326" i="1"/>
  <c r="H1327" i="1" a="1"/>
  <c r="H1327" i="1" s="1"/>
  <c r="R1327" i="1" s="1"/>
  <c r="K1327" i="1"/>
  <c r="N1327" i="1" s="1"/>
  <c r="Q1327" i="1" a="1"/>
  <c r="Q1327" i="1" s="1"/>
  <c r="AS1327" i="1" s="1"/>
  <c r="AK1327" i="1" a="1"/>
  <c r="AK1327" i="1" s="1"/>
  <c r="AU1327" i="1"/>
  <c r="BD1327" i="1"/>
  <c r="H1328" i="1" a="1"/>
  <c r="H1328" i="1" s="1"/>
  <c r="R1328" i="1" s="1"/>
  <c r="K1328" i="1"/>
  <c r="N1328" i="1" s="1"/>
  <c r="Q1328" i="1" a="1"/>
  <c r="Q1328" i="1" s="1"/>
  <c r="AS1328" i="1" s="1"/>
  <c r="AK1328" i="1" a="1"/>
  <c r="AK1328" i="1" s="1"/>
  <c r="AU1328" i="1"/>
  <c r="BD1328" i="1"/>
  <c r="H1329" i="1" a="1"/>
  <c r="H1329" i="1" s="1"/>
  <c r="R1329" i="1" s="1"/>
  <c r="K1329" i="1"/>
  <c r="N1329" i="1" s="1"/>
  <c r="Q1329" i="1" a="1"/>
  <c r="Q1329" i="1" s="1"/>
  <c r="AS1329" i="1" s="1"/>
  <c r="AK1329" i="1" a="1"/>
  <c r="AK1329" i="1" s="1"/>
  <c r="AU1329" i="1"/>
  <c r="BD1329" i="1"/>
  <c r="H1330" i="1" a="1"/>
  <c r="H1330" i="1" s="1"/>
  <c r="R1330" i="1" s="1"/>
  <c r="K1330" i="1"/>
  <c r="N1330" i="1" s="1"/>
  <c r="Q1330" i="1" a="1"/>
  <c r="Q1330" i="1" s="1"/>
  <c r="AS1330" i="1" s="1"/>
  <c r="AK1330" i="1" a="1"/>
  <c r="AK1330" i="1" s="1"/>
  <c r="AU1330" i="1"/>
  <c r="BD1330" i="1"/>
  <c r="H1331" i="1" a="1"/>
  <c r="H1331" i="1" s="1"/>
  <c r="R1331" i="1" s="1"/>
  <c r="K1331" i="1"/>
  <c r="N1331" i="1" s="1"/>
  <c r="Q1331" i="1" a="1"/>
  <c r="Q1331" i="1" s="1"/>
  <c r="AS1331" i="1" s="1"/>
  <c r="AK1331" i="1" a="1"/>
  <c r="AK1331" i="1" s="1"/>
  <c r="AU1331" i="1"/>
  <c r="BD1331" i="1"/>
  <c r="H1332" i="1" a="1"/>
  <c r="H1332" i="1" s="1"/>
  <c r="R1332" i="1" s="1"/>
  <c r="K1332" i="1"/>
  <c r="N1332" i="1" s="1"/>
  <c r="Q1332" i="1" a="1"/>
  <c r="Q1332" i="1" s="1"/>
  <c r="AS1332" i="1" s="1"/>
  <c r="AK1332" i="1" a="1"/>
  <c r="AK1332" i="1" s="1"/>
  <c r="AU1332" i="1"/>
  <c r="BD1332" i="1"/>
  <c r="H1333" i="1" a="1"/>
  <c r="H1333" i="1" s="1"/>
  <c r="R1333" i="1" s="1"/>
  <c r="K1333" i="1"/>
  <c r="N1333" i="1" s="1"/>
  <c r="Q1333" i="1" a="1"/>
  <c r="Q1333" i="1" s="1"/>
  <c r="AS1333" i="1" s="1"/>
  <c r="AK1333" i="1" a="1"/>
  <c r="AK1333" i="1" s="1"/>
  <c r="AU1333" i="1"/>
  <c r="BD1333" i="1"/>
  <c r="H1334" i="1" a="1"/>
  <c r="H1334" i="1" s="1"/>
  <c r="R1334" i="1" s="1"/>
  <c r="K1334" i="1"/>
  <c r="N1334" i="1" s="1"/>
  <c r="Q1334" i="1" a="1"/>
  <c r="Q1334" i="1" s="1"/>
  <c r="AS1334" i="1" s="1"/>
  <c r="AK1334" i="1" a="1"/>
  <c r="AK1334" i="1" s="1"/>
  <c r="AU1334" i="1"/>
  <c r="BD1334" i="1"/>
  <c r="H1335" i="1" a="1"/>
  <c r="H1335" i="1" s="1"/>
  <c r="R1335" i="1" s="1"/>
  <c r="K1335" i="1"/>
  <c r="N1335" i="1" s="1"/>
  <c r="AK1335" i="1" a="1"/>
  <c r="AK1335" i="1" s="1"/>
  <c r="AU1335" i="1"/>
  <c r="BD1335" i="1"/>
  <c r="H1336" i="1" a="1"/>
  <c r="H1336" i="1" s="1"/>
  <c r="R1336" i="1" s="1"/>
  <c r="K1336" i="1"/>
  <c r="N1336" i="1" s="1"/>
  <c r="Q1336" i="1" a="1"/>
  <c r="Q1336" i="1" s="1"/>
  <c r="AS1336" i="1" s="1"/>
  <c r="AK1336" i="1" a="1"/>
  <c r="AK1336" i="1" s="1"/>
  <c r="AU1336" i="1"/>
  <c r="BD1336" i="1"/>
  <c r="H1337" i="1" a="1"/>
  <c r="H1337" i="1" s="1"/>
  <c r="R1337" i="1" s="1"/>
  <c r="K1337" i="1"/>
  <c r="N1337" i="1" s="1"/>
  <c r="Q1337" i="1" a="1"/>
  <c r="Q1337" i="1" s="1"/>
  <c r="AS1337" i="1" s="1"/>
  <c r="AK1337" i="1" a="1"/>
  <c r="AK1337" i="1" s="1"/>
  <c r="AU1337" i="1"/>
  <c r="BD1337" i="1"/>
  <c r="H1338" i="1" a="1"/>
  <c r="H1338" i="1" s="1"/>
  <c r="R1338" i="1" s="1"/>
  <c r="K1338" i="1"/>
  <c r="N1338" i="1" s="1"/>
  <c r="Q1338" i="1" a="1"/>
  <c r="Q1338" i="1" s="1"/>
  <c r="AS1338" i="1" s="1"/>
  <c r="AK1338" i="1" a="1"/>
  <c r="AK1338" i="1" s="1"/>
  <c r="AU1338" i="1"/>
  <c r="BD1338" i="1"/>
  <c r="H1339" i="1" a="1"/>
  <c r="H1339" i="1" s="1"/>
  <c r="R1339" i="1" s="1"/>
  <c r="K1339" i="1"/>
  <c r="N1339" i="1" s="1"/>
  <c r="Q1339" i="1" a="1"/>
  <c r="Q1339" i="1" s="1"/>
  <c r="AS1339" i="1" s="1"/>
  <c r="AK1339" i="1" a="1"/>
  <c r="AK1339" i="1" s="1"/>
  <c r="AU1339" i="1"/>
  <c r="BD1339" i="1"/>
  <c r="H1340" i="1" a="1"/>
  <c r="H1340" i="1" s="1"/>
  <c r="R1340" i="1" s="1"/>
  <c r="K1340" i="1"/>
  <c r="N1340" i="1" s="1"/>
  <c r="Q1340" i="1" a="1"/>
  <c r="Q1340" i="1" s="1"/>
  <c r="AS1340" i="1" s="1"/>
  <c r="AK1340" i="1" a="1"/>
  <c r="AK1340" i="1" s="1"/>
  <c r="AU1340" i="1"/>
  <c r="BD1340" i="1"/>
  <c r="H1341" i="1" a="1"/>
  <c r="H1341" i="1" s="1"/>
  <c r="R1341" i="1" s="1"/>
  <c r="K1341" i="1"/>
  <c r="N1341" i="1" s="1"/>
  <c r="AK1341" i="1" a="1"/>
  <c r="AK1341" i="1" s="1"/>
  <c r="AU1341" i="1"/>
  <c r="BD1341" i="1"/>
  <c r="H1342" i="1" a="1"/>
  <c r="H1342" i="1" s="1"/>
  <c r="R1342" i="1" s="1"/>
  <c r="K1342" i="1"/>
  <c r="N1342" i="1" s="1"/>
  <c r="Q1342" i="1" a="1"/>
  <c r="Q1342" i="1" s="1"/>
  <c r="AS1342" i="1" s="1"/>
  <c r="AK1342" i="1" a="1"/>
  <c r="AK1342" i="1" s="1"/>
  <c r="AU1342" i="1"/>
  <c r="BD1342" i="1"/>
  <c r="H1343" i="1" a="1"/>
  <c r="H1343" i="1" s="1"/>
  <c r="R1343" i="1" s="1"/>
  <c r="K1343" i="1"/>
  <c r="N1343" i="1" s="1"/>
  <c r="Q1343" i="1" a="1"/>
  <c r="Q1343" i="1" s="1"/>
  <c r="AS1343" i="1" s="1"/>
  <c r="AK1343" i="1" a="1"/>
  <c r="AK1343" i="1" s="1"/>
  <c r="AU1343" i="1"/>
  <c r="BD1343" i="1"/>
  <c r="H1344" i="1" a="1"/>
  <c r="H1344" i="1" s="1"/>
  <c r="R1344" i="1" s="1"/>
  <c r="K1344" i="1"/>
  <c r="N1344" i="1" s="1"/>
  <c r="Q1344" i="1" a="1"/>
  <c r="Q1344" i="1" s="1"/>
  <c r="AS1344" i="1" s="1"/>
  <c r="AK1344" i="1" a="1"/>
  <c r="AK1344" i="1" s="1"/>
  <c r="AU1344" i="1"/>
  <c r="BD1344" i="1"/>
  <c r="H1345" i="1" a="1"/>
  <c r="H1345" i="1" s="1"/>
  <c r="R1345" i="1" s="1"/>
  <c r="K1345" i="1"/>
  <c r="N1345" i="1" s="1"/>
  <c r="Q1345" i="1" a="1"/>
  <c r="Q1345" i="1" s="1"/>
  <c r="AS1345" i="1" s="1"/>
  <c r="AK1345" i="1" a="1"/>
  <c r="AK1345" i="1" s="1"/>
  <c r="AU1345" i="1"/>
  <c r="BD1345" i="1"/>
  <c r="K1349" i="1"/>
  <c r="N1349" i="1"/>
  <c r="O1349" i="1"/>
  <c r="AS1349" i="1"/>
  <c r="AK1349" i="1" a="1"/>
  <c r="AK1349" i="1" s="1"/>
  <c r="AU1349" i="1"/>
  <c r="BD1349" i="1"/>
  <c r="K1353" i="1"/>
  <c r="N1353" i="1"/>
  <c r="O1353" i="1"/>
  <c r="AK1353" i="1" a="1"/>
  <c r="AK1353" i="1" s="1"/>
  <c r="AU1353" i="1"/>
  <c r="BD1353" i="1"/>
  <c r="K1357" i="1"/>
  <c r="N1357" i="1"/>
  <c r="O1357" i="1"/>
  <c r="AS1357" i="1"/>
  <c r="AK1357" i="1" a="1"/>
  <c r="AK1357" i="1" s="1"/>
  <c r="AU1357" i="1"/>
  <c r="BD1357" i="1"/>
  <c r="K1361" i="1"/>
  <c r="N1361" i="1"/>
  <c r="O1361" i="1"/>
  <c r="AS1361" i="1"/>
  <c r="AK1361" i="1" a="1"/>
  <c r="AK1361" i="1" s="1"/>
  <c r="AU1361" i="1"/>
  <c r="BD1361" i="1"/>
  <c r="H1362" i="1" a="1"/>
  <c r="H1362" i="1" s="1"/>
  <c r="R1362" i="1" s="1"/>
  <c r="K1362" i="1"/>
  <c r="N1362" i="1" s="1"/>
  <c r="Q1362" i="1" a="1"/>
  <c r="Q1362" i="1" s="1"/>
  <c r="AS1362" i="1" s="1"/>
  <c r="AK1362" i="1" a="1"/>
  <c r="AK1362" i="1" s="1"/>
  <c r="AU1362" i="1"/>
  <c r="BD1362" i="1"/>
  <c r="H1363" i="1" a="1"/>
  <c r="H1363" i="1" s="1"/>
  <c r="R1363" i="1" s="1"/>
  <c r="K1363" i="1"/>
  <c r="N1363" i="1" s="1"/>
  <c r="Q1363" i="1" a="1"/>
  <c r="Q1363" i="1" s="1"/>
  <c r="AS1363" i="1" s="1"/>
  <c r="AK1363" i="1" a="1"/>
  <c r="AK1363" i="1" s="1"/>
  <c r="AU1363" i="1"/>
  <c r="BD1363" i="1"/>
  <c r="H1364" i="1" a="1"/>
  <c r="H1364" i="1" s="1"/>
  <c r="R1364" i="1" s="1"/>
  <c r="K1364" i="1"/>
  <c r="N1364" i="1" s="1"/>
  <c r="Q1364" i="1" a="1"/>
  <c r="Q1364" i="1" s="1"/>
  <c r="AS1364" i="1" s="1"/>
  <c r="AK1364" i="1" a="1"/>
  <c r="AK1364" i="1" s="1"/>
  <c r="AU1364" i="1"/>
  <c r="BD1364" i="1"/>
  <c r="H1365" i="1" a="1"/>
  <c r="H1365" i="1" s="1"/>
  <c r="R1365" i="1" s="1"/>
  <c r="K1365" i="1"/>
  <c r="N1365" i="1" s="1"/>
  <c r="Q1365" i="1" a="1"/>
  <c r="Q1365" i="1" s="1"/>
  <c r="AS1365" i="1" s="1"/>
  <c r="AK1365" i="1" a="1"/>
  <c r="AK1365" i="1" s="1"/>
  <c r="AU1365" i="1"/>
  <c r="BD1365" i="1"/>
  <c r="H1366" i="1" a="1"/>
  <c r="H1366" i="1" s="1"/>
  <c r="R1366" i="1" s="1"/>
  <c r="K1366" i="1"/>
  <c r="N1366" i="1" s="1"/>
  <c r="Q1366" i="1" a="1"/>
  <c r="Q1366" i="1" s="1"/>
  <c r="AS1366" i="1" s="1"/>
  <c r="AK1366" i="1" a="1"/>
  <c r="AK1366" i="1" s="1"/>
  <c r="AU1366" i="1"/>
  <c r="BD1366" i="1"/>
  <c r="H1367" i="1" a="1"/>
  <c r="H1367" i="1" s="1"/>
  <c r="R1367" i="1" s="1"/>
  <c r="K1367" i="1"/>
  <c r="N1367" i="1" s="1"/>
  <c r="Q1367" i="1" a="1"/>
  <c r="Q1367" i="1" s="1"/>
  <c r="AS1367" i="1" s="1"/>
  <c r="AK1367" i="1" a="1"/>
  <c r="AK1367" i="1" s="1"/>
  <c r="AU1367" i="1"/>
  <c r="BD1367" i="1"/>
  <c r="H1368" i="1" a="1"/>
  <c r="H1368" i="1" s="1"/>
  <c r="R1368" i="1" s="1"/>
  <c r="K1368" i="1"/>
  <c r="N1368" i="1" s="1"/>
  <c r="Q1368" i="1" a="1"/>
  <c r="Q1368" i="1" s="1"/>
  <c r="AS1368" i="1" s="1"/>
  <c r="AK1368" i="1" a="1"/>
  <c r="AK1368" i="1" s="1"/>
  <c r="AU1368" i="1"/>
  <c r="BD1368" i="1"/>
  <c r="H1369" i="1" a="1"/>
  <c r="H1369" i="1" s="1"/>
  <c r="R1369" i="1" s="1"/>
  <c r="K1369" i="1"/>
  <c r="N1369" i="1" s="1"/>
  <c r="Q1369" i="1" a="1"/>
  <c r="Q1369" i="1" s="1"/>
  <c r="AS1369" i="1" s="1"/>
  <c r="AK1369" i="1" a="1"/>
  <c r="AK1369" i="1" s="1"/>
  <c r="AU1369" i="1"/>
  <c r="BD1369" i="1"/>
  <c r="H1370" i="1" a="1"/>
  <c r="H1370" i="1" s="1"/>
  <c r="R1370" i="1" s="1"/>
  <c r="K1370" i="1"/>
  <c r="N1370" i="1" s="1"/>
  <c r="Q1370" i="1" a="1"/>
  <c r="Q1370" i="1" s="1"/>
  <c r="AS1370" i="1" s="1"/>
  <c r="AK1370" i="1" a="1"/>
  <c r="AK1370" i="1" s="1"/>
  <c r="AU1370" i="1"/>
  <c r="BD1370" i="1"/>
  <c r="H1371" i="1" a="1"/>
  <c r="H1371" i="1" s="1"/>
  <c r="R1371" i="1" s="1"/>
  <c r="K1371" i="1"/>
  <c r="N1371" i="1" s="1"/>
  <c r="Q1371" i="1" a="1"/>
  <c r="Q1371" i="1" s="1"/>
  <c r="AS1371" i="1" s="1"/>
  <c r="AK1371" i="1" a="1"/>
  <c r="AK1371" i="1" s="1"/>
  <c r="AU1371" i="1"/>
  <c r="BD1371" i="1"/>
  <c r="H1372" i="1" a="1"/>
  <c r="H1372" i="1" s="1"/>
  <c r="R1372" i="1" s="1"/>
  <c r="K1372" i="1"/>
  <c r="N1372" i="1" s="1"/>
  <c r="Q1372" i="1" a="1"/>
  <c r="Q1372" i="1" s="1"/>
  <c r="AS1372" i="1" s="1"/>
  <c r="AK1372" i="1" a="1"/>
  <c r="AK1372" i="1" s="1"/>
  <c r="AU1372" i="1"/>
  <c r="BD1372" i="1"/>
  <c r="H1373" i="1" a="1"/>
  <c r="H1373" i="1" s="1"/>
  <c r="R1373" i="1" s="1"/>
  <c r="K1373" i="1"/>
  <c r="N1373" i="1" s="1"/>
  <c r="Q1373" i="1" a="1"/>
  <c r="Q1373" i="1" s="1"/>
  <c r="AS1373" i="1" s="1"/>
  <c r="AK1373" i="1" a="1"/>
  <c r="AK1373" i="1" s="1"/>
  <c r="AU1373" i="1"/>
  <c r="BD1373" i="1"/>
  <c r="H1374" i="1" a="1"/>
  <c r="H1374" i="1" s="1"/>
  <c r="R1374" i="1" s="1"/>
  <c r="K1374" i="1"/>
  <c r="N1374" i="1" s="1"/>
  <c r="Q1374" i="1" a="1"/>
  <c r="Q1374" i="1" s="1"/>
  <c r="AS1374" i="1" s="1"/>
  <c r="AK1374" i="1" a="1"/>
  <c r="AK1374" i="1" s="1"/>
  <c r="AU1374" i="1"/>
  <c r="BD1374" i="1"/>
  <c r="H1375" i="1" a="1"/>
  <c r="H1375" i="1" s="1"/>
  <c r="R1375" i="1" s="1"/>
  <c r="K1375" i="1"/>
  <c r="N1375" i="1" s="1"/>
  <c r="Q1375" i="1" a="1"/>
  <c r="Q1375" i="1" s="1"/>
  <c r="AS1375" i="1" s="1"/>
  <c r="AK1375" i="1" a="1"/>
  <c r="AK1375" i="1" s="1"/>
  <c r="AU1375" i="1"/>
  <c r="BD1375" i="1"/>
  <c r="H1376" i="1" a="1"/>
  <c r="H1376" i="1" s="1"/>
  <c r="R1376" i="1" s="1"/>
  <c r="K1376" i="1"/>
  <c r="N1376" i="1" s="1"/>
  <c r="Q1376" i="1" a="1"/>
  <c r="Q1376" i="1" s="1"/>
  <c r="AS1376" i="1" s="1"/>
  <c r="AK1376" i="1" a="1"/>
  <c r="AK1376" i="1" s="1"/>
  <c r="AU1376" i="1"/>
  <c r="BD1376" i="1"/>
  <c r="H1377" i="1" a="1"/>
  <c r="H1377" i="1" s="1"/>
  <c r="R1377" i="1" s="1"/>
  <c r="K1377" i="1"/>
  <c r="N1377" i="1" s="1"/>
  <c r="Q1377" i="1" a="1"/>
  <c r="Q1377" i="1" s="1"/>
  <c r="AS1377" i="1" s="1"/>
  <c r="AK1377" i="1" a="1"/>
  <c r="AK1377" i="1" s="1"/>
  <c r="AU1377" i="1"/>
  <c r="BD1377" i="1"/>
  <c r="H1378" i="1" a="1"/>
  <c r="H1378" i="1" s="1"/>
  <c r="R1378" i="1" s="1"/>
  <c r="K1378" i="1"/>
  <c r="N1378" i="1" s="1"/>
  <c r="Q1378" i="1" a="1"/>
  <c r="Q1378" i="1" s="1"/>
  <c r="AS1378" i="1" s="1"/>
  <c r="AK1378" i="1" a="1"/>
  <c r="AK1378" i="1" s="1"/>
  <c r="AU1378" i="1"/>
  <c r="BD1378" i="1"/>
  <c r="H1379" i="1" a="1"/>
  <c r="H1379" i="1" s="1"/>
  <c r="R1379" i="1" s="1"/>
  <c r="K1379" i="1"/>
  <c r="N1379" i="1" s="1"/>
  <c r="Q1379" i="1" a="1"/>
  <c r="Q1379" i="1" s="1"/>
  <c r="AS1379" i="1" s="1"/>
  <c r="AK1379" i="1" a="1"/>
  <c r="AK1379" i="1" s="1"/>
  <c r="AU1379" i="1"/>
  <c r="BD1379" i="1"/>
  <c r="H1380" i="1" a="1"/>
  <c r="H1380" i="1" s="1"/>
  <c r="R1380" i="1" s="1"/>
  <c r="K1380" i="1"/>
  <c r="N1380" i="1" s="1"/>
  <c r="Q1380" i="1" a="1"/>
  <c r="Q1380" i="1" s="1"/>
  <c r="AS1380" i="1" s="1"/>
  <c r="AK1380" i="1" a="1"/>
  <c r="AK1380" i="1" s="1"/>
  <c r="AU1380" i="1"/>
  <c r="BD1380" i="1"/>
  <c r="H1381" i="1" a="1"/>
  <c r="H1381" i="1" s="1"/>
  <c r="R1381" i="1" s="1"/>
  <c r="K1381" i="1"/>
  <c r="N1381" i="1" s="1"/>
  <c r="Q1381" i="1" a="1"/>
  <c r="Q1381" i="1" s="1"/>
  <c r="AS1381" i="1" s="1"/>
  <c r="AK1381" i="1" a="1"/>
  <c r="AK1381" i="1" s="1"/>
  <c r="AU1381" i="1"/>
  <c r="BD1381" i="1"/>
  <c r="K1385" i="1"/>
  <c r="N1385" i="1"/>
  <c r="O1385" i="1"/>
  <c r="AS1385" i="1"/>
  <c r="AK1385" i="1" a="1"/>
  <c r="AK1385" i="1" s="1"/>
  <c r="AU1385" i="1"/>
  <c r="BD1385" i="1"/>
  <c r="K1389" i="1"/>
  <c r="N1389" i="1"/>
  <c r="O1389" i="1"/>
  <c r="AS1389" i="1"/>
  <c r="AK1389" i="1" a="1"/>
  <c r="AK1389" i="1" s="1"/>
  <c r="AU1389" i="1"/>
  <c r="BD1389" i="1"/>
  <c r="K1393" i="1"/>
  <c r="N1393" i="1"/>
  <c r="O1393" i="1"/>
  <c r="AS1393" i="1"/>
  <c r="AK1393" i="1" a="1"/>
  <c r="AK1393" i="1" s="1"/>
  <c r="AU1393" i="1"/>
  <c r="BD1393" i="1"/>
  <c r="K1397" i="1"/>
  <c r="N1397" i="1"/>
  <c r="O1397" i="1"/>
  <c r="AS1397" i="1"/>
  <c r="AK1397" i="1" a="1"/>
  <c r="AK1397" i="1" s="1"/>
  <c r="AU1397" i="1"/>
  <c r="BD1397" i="1"/>
  <c r="K1401" i="1"/>
  <c r="N1401" i="1" s="1"/>
  <c r="O1401" i="1"/>
  <c r="AK1401" i="1" a="1"/>
  <c r="AK1401" i="1" s="1"/>
  <c r="AU1401" i="1"/>
  <c r="BD1401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9" i="1"/>
  <c r="A1353" i="1"/>
  <c r="A1357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5" i="1"/>
  <c r="A1389" i="1"/>
  <c r="A1393" i="1"/>
  <c r="A1397" i="1"/>
  <c r="A1401" i="1"/>
  <c r="BL940" i="1"/>
  <c r="BL939" i="1"/>
  <c r="BL938" i="1"/>
  <c r="BL937" i="1"/>
  <c r="BL936" i="1"/>
  <c r="BL935" i="1"/>
  <c r="BL934" i="1"/>
  <c r="BL933" i="1"/>
  <c r="BL932" i="1"/>
  <c r="BL931" i="1"/>
  <c r="BL930" i="1"/>
  <c r="BL929" i="1"/>
  <c r="BL928" i="1"/>
  <c r="BL927" i="1"/>
  <c r="BL926" i="1"/>
  <c r="BL925" i="1"/>
  <c r="BL924" i="1"/>
  <c r="BL923" i="1"/>
  <c r="BL922" i="1"/>
  <c r="BL921" i="1"/>
  <c r="BL920" i="1"/>
  <c r="BL919" i="1"/>
  <c r="BL918" i="1"/>
  <c r="BL917" i="1"/>
  <c r="BL916" i="1"/>
  <c r="BL915" i="1"/>
  <c r="BL914" i="1"/>
  <c r="BL913" i="1"/>
  <c r="BL912" i="1"/>
  <c r="BL911" i="1"/>
  <c r="BL910" i="1"/>
  <c r="BL909" i="1"/>
  <c r="BL908" i="1"/>
  <c r="BL907" i="1"/>
  <c r="BL906" i="1"/>
  <c r="BL905" i="1"/>
  <c r="BL904" i="1"/>
  <c r="BL903" i="1"/>
  <c r="BL902" i="1"/>
  <c r="BL901" i="1"/>
  <c r="BL900" i="1"/>
  <c r="BL899" i="1"/>
  <c r="BL898" i="1"/>
  <c r="BL897" i="1"/>
  <c r="BL896" i="1"/>
  <c r="BL895" i="1"/>
  <c r="BL894" i="1"/>
  <c r="BL893" i="1"/>
  <c r="BL892" i="1"/>
  <c r="BL891" i="1"/>
  <c r="BL890" i="1"/>
  <c r="BL889" i="1"/>
  <c r="BL888" i="1"/>
  <c r="BL887" i="1"/>
  <c r="BL886" i="1"/>
  <c r="BL885" i="1"/>
  <c r="BL884" i="1"/>
  <c r="BL883" i="1"/>
  <c r="BL882" i="1"/>
  <c r="BL881" i="1"/>
  <c r="BL880" i="1"/>
  <c r="BL879" i="1"/>
  <c r="BL878" i="1"/>
  <c r="BL877" i="1"/>
  <c r="BL876" i="1"/>
  <c r="BL875" i="1"/>
  <c r="BL874" i="1"/>
  <c r="BL873" i="1"/>
  <c r="BL872" i="1"/>
  <c r="BL871" i="1"/>
  <c r="BL870" i="1"/>
  <c r="BL869" i="1"/>
  <c r="BL868" i="1"/>
  <c r="BL867" i="1"/>
  <c r="BL866" i="1"/>
  <c r="BL865" i="1"/>
  <c r="BL864" i="1"/>
  <c r="BL863" i="1"/>
  <c r="BL862" i="1"/>
  <c r="BL861" i="1"/>
  <c r="BL860" i="1"/>
  <c r="BL859" i="1"/>
  <c r="BL858" i="1"/>
  <c r="BL857" i="1"/>
  <c r="BL856" i="1"/>
  <c r="BL855" i="1"/>
  <c r="BL854" i="1"/>
  <c r="BL853" i="1"/>
  <c r="BL852" i="1"/>
  <c r="BL851" i="1"/>
  <c r="BL850" i="1"/>
  <c r="BL849" i="1"/>
  <c r="BL848" i="1"/>
  <c r="BL847" i="1"/>
  <c r="BL846" i="1"/>
  <c r="BL845" i="1"/>
  <c r="BL844" i="1"/>
  <c r="BL843" i="1"/>
  <c r="BL842" i="1"/>
  <c r="BL841" i="1"/>
  <c r="BL840" i="1"/>
  <c r="BL839" i="1"/>
  <c r="BL838" i="1"/>
  <c r="BL837" i="1"/>
  <c r="BL836" i="1"/>
  <c r="BL835" i="1"/>
  <c r="BL834" i="1"/>
  <c r="BL833" i="1"/>
  <c r="BL832" i="1"/>
  <c r="BL831" i="1"/>
  <c r="BL830" i="1"/>
  <c r="BL829" i="1"/>
  <c r="BL828" i="1"/>
  <c r="BL827" i="1"/>
  <c r="BL826" i="1"/>
  <c r="BL825" i="1"/>
  <c r="BL824" i="1"/>
  <c r="BL823" i="1"/>
  <c r="BL822" i="1"/>
  <c r="BL821" i="1"/>
  <c r="BL820" i="1"/>
  <c r="BL819" i="1"/>
  <c r="BL818" i="1"/>
  <c r="BL817" i="1"/>
  <c r="BL816" i="1"/>
  <c r="BL815" i="1"/>
  <c r="BL814" i="1"/>
  <c r="BL813" i="1"/>
  <c r="BL812" i="1"/>
  <c r="BL811" i="1"/>
  <c r="BL810" i="1"/>
  <c r="BL809" i="1"/>
  <c r="BL808" i="1"/>
  <c r="BL807" i="1"/>
  <c r="BL806" i="1"/>
  <c r="BL805" i="1"/>
  <c r="BL804" i="1"/>
  <c r="BL803" i="1"/>
  <c r="BL802" i="1"/>
  <c r="BL801" i="1"/>
  <c r="BL800" i="1"/>
  <c r="BL799" i="1"/>
  <c r="BL798" i="1"/>
  <c r="BL797" i="1"/>
  <c r="BL796" i="1"/>
  <c r="BL795" i="1"/>
  <c r="BL794" i="1"/>
  <c r="BL793" i="1"/>
  <c r="BL792" i="1"/>
  <c r="BL791" i="1"/>
  <c r="BL790" i="1"/>
  <c r="BL789" i="1"/>
  <c r="BL788" i="1"/>
  <c r="BL787" i="1"/>
  <c r="BL786" i="1"/>
  <c r="BL785" i="1"/>
  <c r="BL784" i="1"/>
  <c r="BL783" i="1"/>
  <c r="BL782" i="1"/>
  <c r="BL781" i="1"/>
  <c r="BL780" i="1"/>
  <c r="BL779" i="1"/>
  <c r="BL778" i="1"/>
  <c r="BL777" i="1"/>
  <c r="BL776" i="1"/>
  <c r="BL775" i="1"/>
  <c r="BL774" i="1"/>
  <c r="BL773" i="1"/>
  <c r="BL772" i="1"/>
  <c r="BL771" i="1"/>
  <c r="BL770" i="1"/>
  <c r="BL769" i="1"/>
  <c r="BL768" i="1"/>
  <c r="BL767" i="1"/>
  <c r="BL766" i="1"/>
  <c r="BL765" i="1"/>
  <c r="BL764" i="1"/>
  <c r="BL763" i="1"/>
  <c r="BL762" i="1"/>
  <c r="BL761" i="1"/>
  <c r="BL760" i="1"/>
  <c r="BL759" i="1"/>
  <c r="BL758" i="1"/>
  <c r="BL757" i="1"/>
  <c r="BL756" i="1"/>
  <c r="BL755" i="1"/>
  <c r="BL754" i="1"/>
  <c r="BL753" i="1"/>
  <c r="BL752" i="1"/>
  <c r="BL751" i="1"/>
  <c r="BL750" i="1"/>
  <c r="BL749" i="1"/>
  <c r="BL748" i="1"/>
  <c r="BL747" i="1"/>
  <c r="BL746" i="1"/>
  <c r="BL745" i="1"/>
  <c r="BL744" i="1"/>
  <c r="BL743" i="1"/>
  <c r="BL742" i="1"/>
  <c r="BL741" i="1"/>
  <c r="BL740" i="1"/>
  <c r="BL739" i="1"/>
  <c r="BL738" i="1"/>
  <c r="BL737" i="1"/>
  <c r="BL736" i="1"/>
  <c r="BL735" i="1"/>
  <c r="BL734" i="1"/>
  <c r="BL733" i="1"/>
  <c r="BL732" i="1"/>
  <c r="BL731" i="1"/>
  <c r="BL730" i="1"/>
  <c r="BL729" i="1"/>
  <c r="BL728" i="1"/>
  <c r="BL727" i="1"/>
  <c r="BL726" i="1"/>
  <c r="BL725" i="1"/>
  <c r="BL724" i="1"/>
  <c r="BL723" i="1"/>
  <c r="BL722" i="1"/>
  <c r="BL721" i="1"/>
  <c r="BL720" i="1"/>
  <c r="BL719" i="1"/>
  <c r="BL718" i="1"/>
  <c r="BL717" i="1"/>
  <c r="BL716" i="1"/>
  <c r="BL715" i="1"/>
  <c r="BL714" i="1"/>
  <c r="BL713" i="1"/>
  <c r="BL712" i="1"/>
  <c r="BL711" i="1"/>
  <c r="BL710" i="1"/>
  <c r="BL709" i="1"/>
  <c r="BL708" i="1"/>
  <c r="BL707" i="1"/>
  <c r="BL706" i="1"/>
  <c r="BL705" i="1"/>
  <c r="BL704" i="1"/>
  <c r="BL703" i="1"/>
  <c r="BL702" i="1"/>
  <c r="BL701" i="1"/>
  <c r="BL700" i="1"/>
  <c r="BL699" i="1"/>
  <c r="BL698" i="1"/>
  <c r="BL697" i="1"/>
  <c r="BL696" i="1"/>
  <c r="BL695" i="1"/>
  <c r="BL694" i="1"/>
  <c r="BL693" i="1"/>
  <c r="BL692" i="1"/>
  <c r="BL691" i="1"/>
  <c r="BL690" i="1"/>
  <c r="BL689" i="1"/>
  <c r="BL688" i="1"/>
  <c r="BL687" i="1"/>
  <c r="BL686" i="1"/>
  <c r="BL685" i="1"/>
  <c r="BL684" i="1"/>
  <c r="BL683" i="1"/>
  <c r="BL682" i="1"/>
  <c r="BL681" i="1"/>
  <c r="BL680" i="1"/>
  <c r="BL679" i="1"/>
  <c r="BL678" i="1"/>
  <c r="BL677" i="1"/>
  <c r="BL676" i="1"/>
  <c r="BL675" i="1"/>
  <c r="BL674" i="1"/>
  <c r="BL673" i="1"/>
  <c r="BL672" i="1"/>
  <c r="BL671" i="1"/>
  <c r="BL670" i="1"/>
  <c r="BL669" i="1"/>
  <c r="BL668" i="1"/>
  <c r="BL667" i="1"/>
  <c r="BL666" i="1"/>
  <c r="BL665" i="1"/>
  <c r="BL664" i="1"/>
  <c r="BL663" i="1"/>
  <c r="BL662" i="1"/>
  <c r="BL661" i="1"/>
  <c r="BL660" i="1"/>
  <c r="BL659" i="1"/>
  <c r="BL658" i="1"/>
  <c r="BL657" i="1"/>
  <c r="BL656" i="1"/>
  <c r="BL655" i="1"/>
  <c r="BL654" i="1"/>
  <c r="BL653" i="1"/>
  <c r="BL652" i="1"/>
  <c r="BL651" i="1"/>
  <c r="BL650" i="1"/>
  <c r="BL649" i="1"/>
  <c r="BL648" i="1"/>
  <c r="BL647" i="1"/>
  <c r="BL646" i="1"/>
  <c r="BL645" i="1"/>
  <c r="BL644" i="1"/>
  <c r="BL643" i="1"/>
  <c r="BL642" i="1"/>
  <c r="BL641" i="1"/>
  <c r="BL640" i="1"/>
  <c r="BL639" i="1"/>
  <c r="BL638" i="1"/>
  <c r="BL637" i="1"/>
  <c r="BL636" i="1"/>
  <c r="BL635" i="1"/>
  <c r="BL634" i="1"/>
  <c r="BL633" i="1"/>
  <c r="BL632" i="1"/>
  <c r="BL631" i="1"/>
  <c r="BL630" i="1"/>
  <c r="BL629" i="1"/>
  <c r="BL628" i="1"/>
  <c r="BL627" i="1"/>
  <c r="BL626" i="1"/>
  <c r="BL625" i="1"/>
  <c r="BL624" i="1"/>
  <c r="BL623" i="1"/>
  <c r="BL622" i="1"/>
  <c r="BL621" i="1"/>
  <c r="BL620" i="1"/>
  <c r="BL619" i="1"/>
  <c r="BL618" i="1"/>
  <c r="BL617" i="1"/>
  <c r="BL616" i="1"/>
  <c r="BL615" i="1"/>
  <c r="BL614" i="1"/>
  <c r="BL613" i="1"/>
  <c r="BL612" i="1"/>
  <c r="BL611" i="1"/>
  <c r="BL610" i="1"/>
  <c r="BL609" i="1"/>
  <c r="BL608" i="1"/>
  <c r="BL607" i="1"/>
  <c r="BL606" i="1"/>
  <c r="BL605" i="1"/>
  <c r="BL604" i="1"/>
  <c r="BL603" i="1"/>
  <c r="BL602" i="1"/>
  <c r="BL601" i="1"/>
  <c r="BL600" i="1"/>
  <c r="BL599" i="1"/>
  <c r="BL598" i="1"/>
  <c r="BL597" i="1"/>
  <c r="BL596" i="1"/>
  <c r="BL595" i="1"/>
  <c r="BL594" i="1"/>
  <c r="BL593" i="1"/>
  <c r="BL592" i="1"/>
  <c r="BL591" i="1"/>
  <c r="BL590" i="1"/>
  <c r="BL589" i="1"/>
  <c r="BL588" i="1"/>
  <c r="BL587" i="1"/>
  <c r="BL586" i="1"/>
  <c r="BL585" i="1"/>
  <c r="BL584" i="1"/>
  <c r="BL583" i="1"/>
  <c r="BL582" i="1"/>
  <c r="BL581" i="1"/>
  <c r="BL580" i="1"/>
  <c r="BL579" i="1"/>
  <c r="BL578" i="1"/>
  <c r="BL577" i="1"/>
  <c r="BL576" i="1"/>
  <c r="BL575" i="1"/>
  <c r="BL574" i="1"/>
  <c r="BL573" i="1"/>
  <c r="BL572" i="1"/>
  <c r="BL571" i="1"/>
  <c r="BL570" i="1"/>
  <c r="BL569" i="1"/>
  <c r="BL568" i="1"/>
  <c r="BL567" i="1"/>
  <c r="BL566" i="1"/>
  <c r="BL565" i="1"/>
  <c r="BL564" i="1"/>
  <c r="BL563" i="1"/>
  <c r="BL562" i="1"/>
  <c r="BL561" i="1"/>
  <c r="BL560" i="1"/>
  <c r="BL559" i="1"/>
  <c r="BL558" i="1"/>
  <c r="BL557" i="1"/>
  <c r="BL556" i="1"/>
  <c r="BL555" i="1"/>
  <c r="BL554" i="1"/>
  <c r="BL553" i="1"/>
  <c r="BL552" i="1"/>
  <c r="BL551" i="1"/>
  <c r="BL550" i="1"/>
  <c r="BL549" i="1"/>
  <c r="BL548" i="1"/>
  <c r="BL547" i="1"/>
  <c r="BL546" i="1"/>
  <c r="BL545" i="1"/>
  <c r="BL544" i="1"/>
  <c r="BL543" i="1"/>
  <c r="BL542" i="1"/>
  <c r="BL541" i="1"/>
  <c r="BL540" i="1"/>
  <c r="BL539" i="1"/>
  <c r="BL538" i="1"/>
  <c r="BL537" i="1"/>
  <c r="BL536" i="1"/>
  <c r="BL535" i="1"/>
  <c r="BL534" i="1"/>
  <c r="BL533" i="1"/>
  <c r="BL532" i="1"/>
  <c r="BL531" i="1"/>
  <c r="BL530" i="1"/>
  <c r="BL529" i="1"/>
  <c r="BL528" i="1"/>
  <c r="BL527" i="1"/>
  <c r="BL526" i="1"/>
  <c r="BL525" i="1"/>
  <c r="BL524" i="1"/>
  <c r="BL523" i="1"/>
  <c r="BL522" i="1"/>
  <c r="BL521" i="1"/>
  <c r="BL520" i="1"/>
  <c r="BL519" i="1"/>
  <c r="BL518" i="1"/>
  <c r="BL517" i="1"/>
  <c r="BL516" i="1"/>
  <c r="BL515" i="1"/>
  <c r="BL514" i="1"/>
  <c r="BL513" i="1"/>
  <c r="BL512" i="1"/>
  <c r="BL511" i="1"/>
  <c r="BL510" i="1"/>
  <c r="BL509" i="1"/>
  <c r="BL508" i="1"/>
  <c r="BL507" i="1"/>
  <c r="BL506" i="1"/>
  <c r="BL505" i="1"/>
  <c r="BL504" i="1"/>
  <c r="BL503" i="1"/>
  <c r="BL502" i="1"/>
  <c r="BL501" i="1"/>
  <c r="BL500" i="1"/>
  <c r="BL499" i="1"/>
  <c r="BL498" i="1"/>
  <c r="BL497" i="1"/>
  <c r="BL496" i="1"/>
  <c r="BL495" i="1"/>
  <c r="BL494" i="1"/>
  <c r="BL493" i="1"/>
  <c r="BL492" i="1"/>
  <c r="BL491" i="1"/>
  <c r="BL490" i="1"/>
  <c r="BL489" i="1"/>
  <c r="BL488" i="1"/>
  <c r="BL487" i="1"/>
  <c r="BL486" i="1"/>
  <c r="BL485" i="1"/>
  <c r="BL484" i="1"/>
  <c r="BL483" i="1"/>
  <c r="BL482" i="1"/>
  <c r="BL481" i="1"/>
  <c r="BL480" i="1"/>
  <c r="BL479" i="1"/>
  <c r="BL478" i="1"/>
  <c r="BL477" i="1"/>
  <c r="BL476" i="1"/>
  <c r="BL475" i="1"/>
  <c r="BL474" i="1"/>
  <c r="BL473" i="1"/>
  <c r="BL472" i="1"/>
  <c r="BL471" i="1"/>
  <c r="BL470" i="1"/>
  <c r="BL469" i="1"/>
  <c r="BL468" i="1"/>
  <c r="BL467" i="1"/>
  <c r="BL466" i="1"/>
  <c r="BL465" i="1"/>
  <c r="BL464" i="1"/>
  <c r="BL463" i="1"/>
  <c r="BL462" i="1"/>
  <c r="BL461" i="1"/>
  <c r="BL460" i="1"/>
  <c r="BL459" i="1"/>
  <c r="BL458" i="1"/>
  <c r="BL457" i="1"/>
  <c r="BL456" i="1"/>
  <c r="BL455" i="1"/>
  <c r="BL454" i="1"/>
  <c r="BL453" i="1"/>
  <c r="BL452" i="1"/>
  <c r="BL451" i="1"/>
  <c r="BL450" i="1"/>
  <c r="BL449" i="1"/>
  <c r="BL448" i="1"/>
  <c r="BL447" i="1"/>
  <c r="BL446" i="1"/>
  <c r="BL445" i="1"/>
  <c r="BL444" i="1"/>
  <c r="BL443" i="1"/>
  <c r="BL442" i="1"/>
  <c r="BL441" i="1"/>
  <c r="BL440" i="1"/>
  <c r="BL439" i="1"/>
  <c r="BL438" i="1"/>
  <c r="BL437" i="1"/>
  <c r="BL436" i="1"/>
  <c r="BL435" i="1"/>
  <c r="BL434" i="1"/>
  <c r="BL433" i="1"/>
  <c r="BL432" i="1"/>
  <c r="BL431" i="1"/>
  <c r="BL430" i="1"/>
  <c r="BL429" i="1"/>
  <c r="BL428" i="1"/>
  <c r="BL427" i="1"/>
  <c r="BL426" i="1"/>
  <c r="BL425" i="1"/>
  <c r="BL424" i="1"/>
  <c r="BL423" i="1"/>
  <c r="BL422" i="1"/>
  <c r="BL421" i="1"/>
  <c r="BL420" i="1"/>
  <c r="BL419" i="1"/>
  <c r="BL418" i="1"/>
  <c r="BL417" i="1"/>
  <c r="BL416" i="1"/>
  <c r="BL415" i="1"/>
  <c r="BL414" i="1"/>
  <c r="BL413" i="1"/>
  <c r="BL412" i="1"/>
  <c r="BL411" i="1"/>
  <c r="BL410" i="1"/>
  <c r="BL409" i="1"/>
  <c r="BL408" i="1"/>
  <c r="BL407" i="1"/>
  <c r="BL406" i="1"/>
  <c r="BL405" i="1"/>
  <c r="BL404" i="1"/>
  <c r="BL403" i="1"/>
  <c r="BL402" i="1"/>
  <c r="BL401" i="1"/>
  <c r="BL400" i="1"/>
  <c r="BL399" i="1"/>
  <c r="BL398" i="1"/>
  <c r="BL397" i="1"/>
  <c r="BL396" i="1"/>
  <c r="BL395" i="1"/>
  <c r="BL394" i="1"/>
  <c r="BL393" i="1"/>
  <c r="BL392" i="1"/>
  <c r="BL391" i="1"/>
  <c r="BL390" i="1"/>
  <c r="BL389" i="1"/>
  <c r="BL388" i="1"/>
  <c r="BL387" i="1"/>
  <c r="BL386" i="1"/>
  <c r="BL385" i="1"/>
  <c r="BL384" i="1"/>
  <c r="BL383" i="1"/>
  <c r="BL382" i="1"/>
  <c r="BL381" i="1"/>
  <c r="BL380" i="1"/>
  <c r="BL379" i="1"/>
  <c r="BL378" i="1"/>
  <c r="BL377" i="1"/>
  <c r="BL376" i="1"/>
  <c r="BL375" i="1"/>
  <c r="BL374" i="1"/>
  <c r="BL373" i="1"/>
  <c r="BL372" i="1"/>
  <c r="BL371" i="1"/>
  <c r="BL370" i="1"/>
  <c r="BL369" i="1"/>
  <c r="BL368" i="1"/>
  <c r="BL367" i="1"/>
  <c r="BL366" i="1"/>
  <c r="BL365" i="1"/>
  <c r="BL364" i="1"/>
  <c r="BL363" i="1"/>
  <c r="BL362" i="1"/>
  <c r="BL361" i="1"/>
  <c r="BL360" i="1"/>
  <c r="BL359" i="1"/>
  <c r="BL358" i="1"/>
  <c r="BL357" i="1"/>
  <c r="BK940" i="1"/>
  <c r="BK939" i="1"/>
  <c r="BK938" i="1"/>
  <c r="BK937" i="1"/>
  <c r="BK936" i="1"/>
  <c r="BK935" i="1"/>
  <c r="BK934" i="1"/>
  <c r="BK933" i="1"/>
  <c r="BK932" i="1"/>
  <c r="BK931" i="1"/>
  <c r="BK930" i="1"/>
  <c r="BK929" i="1"/>
  <c r="BK928" i="1"/>
  <c r="BK927" i="1"/>
  <c r="BK926" i="1"/>
  <c r="BK925" i="1"/>
  <c r="BK924" i="1"/>
  <c r="BK923" i="1"/>
  <c r="BK922" i="1"/>
  <c r="BK921" i="1"/>
  <c r="BK920" i="1"/>
  <c r="BK919" i="1"/>
  <c r="BK918" i="1"/>
  <c r="BK917" i="1"/>
  <c r="BK916" i="1"/>
  <c r="BK915" i="1"/>
  <c r="BK914" i="1"/>
  <c r="BK913" i="1"/>
  <c r="BK912" i="1"/>
  <c r="BK911" i="1"/>
  <c r="BK910" i="1"/>
  <c r="BK909" i="1"/>
  <c r="BK908" i="1"/>
  <c r="BK907" i="1"/>
  <c r="BK906" i="1"/>
  <c r="BK905" i="1"/>
  <c r="BK904" i="1"/>
  <c r="BK903" i="1"/>
  <c r="BK902" i="1"/>
  <c r="BK901" i="1"/>
  <c r="BK900" i="1"/>
  <c r="BK899" i="1"/>
  <c r="BK898" i="1"/>
  <c r="BK897" i="1"/>
  <c r="BK896" i="1"/>
  <c r="BK895" i="1"/>
  <c r="BK894" i="1"/>
  <c r="BK893" i="1"/>
  <c r="BK892" i="1"/>
  <c r="BK891" i="1"/>
  <c r="BK890" i="1"/>
  <c r="BK889" i="1"/>
  <c r="BK888" i="1"/>
  <c r="BK887" i="1"/>
  <c r="BK886" i="1"/>
  <c r="BK885" i="1"/>
  <c r="BK884" i="1"/>
  <c r="BK883" i="1"/>
  <c r="BK882" i="1"/>
  <c r="BK881" i="1"/>
  <c r="BK880" i="1"/>
  <c r="BK879" i="1"/>
  <c r="BK878" i="1"/>
  <c r="BK877" i="1"/>
  <c r="BK876" i="1"/>
  <c r="BK875" i="1"/>
  <c r="BK874" i="1"/>
  <c r="BK873" i="1"/>
  <c r="BK872" i="1"/>
  <c r="BK871" i="1"/>
  <c r="BK870" i="1"/>
  <c r="BK869" i="1"/>
  <c r="BK868" i="1"/>
  <c r="BK867" i="1"/>
  <c r="BK866" i="1"/>
  <c r="BK865" i="1"/>
  <c r="BK864" i="1"/>
  <c r="BK863" i="1"/>
  <c r="BK862" i="1"/>
  <c r="BK861" i="1"/>
  <c r="BK860" i="1"/>
  <c r="BK859" i="1"/>
  <c r="BK858" i="1"/>
  <c r="BK857" i="1"/>
  <c r="BK856" i="1"/>
  <c r="BK855" i="1"/>
  <c r="BK854" i="1"/>
  <c r="BK853" i="1"/>
  <c r="BK852" i="1"/>
  <c r="BK851" i="1"/>
  <c r="BK850" i="1"/>
  <c r="BK849" i="1"/>
  <c r="BK848" i="1"/>
  <c r="BK847" i="1"/>
  <c r="BK846" i="1"/>
  <c r="BK845" i="1"/>
  <c r="BK844" i="1"/>
  <c r="BK843" i="1"/>
  <c r="BK842" i="1"/>
  <c r="BK841" i="1"/>
  <c r="BK840" i="1"/>
  <c r="BK839" i="1"/>
  <c r="BK838" i="1"/>
  <c r="BK837" i="1"/>
  <c r="BK836" i="1"/>
  <c r="BK835" i="1"/>
  <c r="BK834" i="1"/>
  <c r="BK833" i="1"/>
  <c r="BK832" i="1"/>
  <c r="BK831" i="1"/>
  <c r="BK830" i="1"/>
  <c r="BK829" i="1"/>
  <c r="BK828" i="1"/>
  <c r="BK827" i="1"/>
  <c r="BK826" i="1"/>
  <c r="BK825" i="1"/>
  <c r="BK824" i="1"/>
  <c r="BK823" i="1"/>
  <c r="BK822" i="1"/>
  <c r="BK821" i="1"/>
  <c r="BK820" i="1"/>
  <c r="BK819" i="1"/>
  <c r="BK818" i="1"/>
  <c r="BK817" i="1"/>
  <c r="BK816" i="1"/>
  <c r="BK815" i="1"/>
  <c r="BK814" i="1"/>
  <c r="BK813" i="1"/>
  <c r="BK812" i="1"/>
  <c r="BK811" i="1"/>
  <c r="BK810" i="1"/>
  <c r="BK809" i="1"/>
  <c r="BK808" i="1"/>
  <c r="BK807" i="1"/>
  <c r="BK806" i="1"/>
  <c r="BK805" i="1"/>
  <c r="BK804" i="1"/>
  <c r="BK803" i="1"/>
  <c r="BK802" i="1"/>
  <c r="BK801" i="1"/>
  <c r="BK800" i="1"/>
  <c r="BK799" i="1"/>
  <c r="BK798" i="1"/>
  <c r="BK797" i="1"/>
  <c r="BK796" i="1"/>
  <c r="BK795" i="1"/>
  <c r="BK794" i="1"/>
  <c r="BK793" i="1"/>
  <c r="BK792" i="1"/>
  <c r="BK791" i="1"/>
  <c r="BK790" i="1"/>
  <c r="BK789" i="1"/>
  <c r="BK788" i="1"/>
  <c r="BK787" i="1"/>
  <c r="BK786" i="1"/>
  <c r="BK785" i="1"/>
  <c r="BK784" i="1"/>
  <c r="BK783" i="1"/>
  <c r="BK782" i="1"/>
  <c r="BK781" i="1"/>
  <c r="BK780" i="1"/>
  <c r="BK779" i="1"/>
  <c r="BK778" i="1"/>
  <c r="BK777" i="1"/>
  <c r="BK776" i="1"/>
  <c r="BK775" i="1"/>
  <c r="BK774" i="1"/>
  <c r="BK773" i="1"/>
  <c r="BK772" i="1"/>
  <c r="BK771" i="1"/>
  <c r="BK770" i="1"/>
  <c r="BK769" i="1"/>
  <c r="BK768" i="1"/>
  <c r="BK767" i="1"/>
  <c r="BK766" i="1"/>
  <c r="BK765" i="1"/>
  <c r="BK764" i="1"/>
  <c r="BK763" i="1"/>
  <c r="BK762" i="1"/>
  <c r="BK761" i="1"/>
  <c r="BK760" i="1"/>
  <c r="BK759" i="1"/>
  <c r="BK758" i="1"/>
  <c r="BK757" i="1"/>
  <c r="BK756" i="1"/>
  <c r="BK755" i="1"/>
  <c r="BK754" i="1"/>
  <c r="BK753" i="1"/>
  <c r="BK752" i="1"/>
  <c r="BK751" i="1"/>
  <c r="BK750" i="1"/>
  <c r="BK749" i="1"/>
  <c r="BK748" i="1"/>
  <c r="BK747" i="1"/>
  <c r="BK746" i="1"/>
  <c r="BK745" i="1"/>
  <c r="BK744" i="1"/>
  <c r="BK743" i="1"/>
  <c r="BK742" i="1"/>
  <c r="BK741" i="1"/>
  <c r="BK740" i="1"/>
  <c r="BK739" i="1"/>
  <c r="BK738" i="1"/>
  <c r="BK737" i="1"/>
  <c r="BK736" i="1"/>
  <c r="BK735" i="1"/>
  <c r="BK734" i="1"/>
  <c r="BK733" i="1"/>
  <c r="BK732" i="1"/>
  <c r="BK731" i="1"/>
  <c r="BK730" i="1"/>
  <c r="BK729" i="1"/>
  <c r="BK728" i="1"/>
  <c r="BK727" i="1"/>
  <c r="BK726" i="1"/>
  <c r="BK725" i="1"/>
  <c r="BK724" i="1"/>
  <c r="BK723" i="1"/>
  <c r="BK722" i="1"/>
  <c r="BK721" i="1"/>
  <c r="BK720" i="1"/>
  <c r="BK719" i="1"/>
  <c r="BK718" i="1"/>
  <c r="BK717" i="1"/>
  <c r="BK716" i="1"/>
  <c r="BK715" i="1"/>
  <c r="BK714" i="1"/>
  <c r="BK713" i="1"/>
  <c r="BK712" i="1"/>
  <c r="BK711" i="1"/>
  <c r="BK710" i="1"/>
  <c r="BK709" i="1"/>
  <c r="BK708" i="1"/>
  <c r="BK707" i="1"/>
  <c r="BK706" i="1"/>
  <c r="BK705" i="1"/>
  <c r="BK704" i="1"/>
  <c r="BK703" i="1"/>
  <c r="BK702" i="1"/>
  <c r="BK701" i="1"/>
  <c r="BK700" i="1"/>
  <c r="BK699" i="1"/>
  <c r="BK698" i="1"/>
  <c r="BK697" i="1"/>
  <c r="BK696" i="1"/>
  <c r="BK695" i="1"/>
  <c r="BK694" i="1"/>
  <c r="BK693" i="1"/>
  <c r="BK692" i="1"/>
  <c r="BK691" i="1"/>
  <c r="BK690" i="1"/>
  <c r="BK689" i="1"/>
  <c r="BK688" i="1"/>
  <c r="BK687" i="1"/>
  <c r="BK686" i="1"/>
  <c r="BK685" i="1"/>
  <c r="BK684" i="1"/>
  <c r="BK683" i="1"/>
  <c r="BK682" i="1"/>
  <c r="BK681" i="1"/>
  <c r="BK680" i="1"/>
  <c r="BK679" i="1"/>
  <c r="BK678" i="1"/>
  <c r="BK677" i="1"/>
  <c r="BK676" i="1"/>
  <c r="BK675" i="1"/>
  <c r="BK674" i="1"/>
  <c r="BK673" i="1"/>
  <c r="BK672" i="1"/>
  <c r="BK671" i="1"/>
  <c r="BK670" i="1"/>
  <c r="BK669" i="1"/>
  <c r="BK668" i="1"/>
  <c r="BK667" i="1"/>
  <c r="BK666" i="1"/>
  <c r="BK665" i="1"/>
  <c r="BK664" i="1"/>
  <c r="BK663" i="1"/>
  <c r="BK662" i="1"/>
  <c r="BK661" i="1"/>
  <c r="BK660" i="1"/>
  <c r="BK659" i="1"/>
  <c r="BK658" i="1"/>
  <c r="BK657" i="1"/>
  <c r="BK656" i="1"/>
  <c r="BK655" i="1"/>
  <c r="BK654" i="1"/>
  <c r="BK653" i="1"/>
  <c r="BK652" i="1"/>
  <c r="BK651" i="1"/>
  <c r="BK650" i="1"/>
  <c r="BK649" i="1"/>
  <c r="BK648" i="1"/>
  <c r="BK647" i="1"/>
  <c r="BK646" i="1"/>
  <c r="BK645" i="1"/>
  <c r="BK644" i="1"/>
  <c r="BK643" i="1"/>
  <c r="BK642" i="1"/>
  <c r="BK641" i="1"/>
  <c r="BK640" i="1"/>
  <c r="BK639" i="1"/>
  <c r="BK638" i="1"/>
  <c r="BK637" i="1"/>
  <c r="BK636" i="1"/>
  <c r="BK635" i="1"/>
  <c r="BK634" i="1"/>
  <c r="BK633" i="1"/>
  <c r="BK632" i="1"/>
  <c r="BK631" i="1"/>
  <c r="BK630" i="1"/>
  <c r="BK629" i="1"/>
  <c r="BK628" i="1"/>
  <c r="BK627" i="1"/>
  <c r="BK626" i="1"/>
  <c r="BK625" i="1"/>
  <c r="BK624" i="1"/>
  <c r="BK623" i="1"/>
  <c r="BK622" i="1"/>
  <c r="BK621" i="1"/>
  <c r="BK620" i="1"/>
  <c r="BK619" i="1"/>
  <c r="BK618" i="1"/>
  <c r="BK617" i="1"/>
  <c r="BK616" i="1"/>
  <c r="BK615" i="1"/>
  <c r="BK614" i="1"/>
  <c r="BK613" i="1"/>
  <c r="BK612" i="1"/>
  <c r="BK611" i="1"/>
  <c r="BK610" i="1"/>
  <c r="BK609" i="1"/>
  <c r="BK608" i="1"/>
  <c r="BK607" i="1"/>
  <c r="BK606" i="1"/>
  <c r="BK605" i="1"/>
  <c r="BK604" i="1"/>
  <c r="BK603" i="1"/>
  <c r="BK602" i="1"/>
  <c r="BK601" i="1"/>
  <c r="BK600" i="1"/>
  <c r="BK599" i="1"/>
  <c r="BK598" i="1"/>
  <c r="BK597" i="1"/>
  <c r="BK596" i="1"/>
  <c r="BK595" i="1"/>
  <c r="BK594" i="1"/>
  <c r="BK593" i="1"/>
  <c r="BK592" i="1"/>
  <c r="BK591" i="1"/>
  <c r="BK590" i="1"/>
  <c r="BK589" i="1"/>
  <c r="BK588" i="1"/>
  <c r="BK587" i="1"/>
  <c r="BK586" i="1"/>
  <c r="BK585" i="1"/>
  <c r="BK584" i="1"/>
  <c r="BK583" i="1"/>
  <c r="BK582" i="1"/>
  <c r="BK581" i="1"/>
  <c r="BK580" i="1"/>
  <c r="BK579" i="1"/>
  <c r="BK578" i="1"/>
  <c r="BK577" i="1"/>
  <c r="BK576" i="1"/>
  <c r="BK575" i="1"/>
  <c r="BK574" i="1"/>
  <c r="BK573" i="1"/>
  <c r="BK572" i="1"/>
  <c r="BK571" i="1"/>
  <c r="BK570" i="1"/>
  <c r="BK569" i="1"/>
  <c r="BK568" i="1"/>
  <c r="BK567" i="1"/>
  <c r="BK566" i="1"/>
  <c r="BK565" i="1"/>
  <c r="BK564" i="1"/>
  <c r="BK563" i="1"/>
  <c r="BK562" i="1"/>
  <c r="BK561" i="1"/>
  <c r="BK560" i="1"/>
  <c r="BK559" i="1"/>
  <c r="BK558" i="1"/>
  <c r="BK557" i="1"/>
  <c r="BK556" i="1"/>
  <c r="BK555" i="1"/>
  <c r="BK554" i="1"/>
  <c r="BK553" i="1"/>
  <c r="BK552" i="1"/>
  <c r="BK551" i="1"/>
  <c r="BK550" i="1"/>
  <c r="BK549" i="1"/>
  <c r="BK548" i="1"/>
  <c r="BK547" i="1"/>
  <c r="BK546" i="1"/>
  <c r="BK545" i="1"/>
  <c r="BK544" i="1"/>
  <c r="BK543" i="1"/>
  <c r="BK542" i="1"/>
  <c r="BK541" i="1"/>
  <c r="BK540" i="1"/>
  <c r="BK539" i="1"/>
  <c r="BK538" i="1"/>
  <c r="BK537" i="1"/>
  <c r="BK536" i="1"/>
  <c r="BK535" i="1"/>
  <c r="BK534" i="1"/>
  <c r="BK533" i="1"/>
  <c r="BK532" i="1"/>
  <c r="BK531" i="1"/>
  <c r="BK530" i="1"/>
  <c r="BK529" i="1"/>
  <c r="BK528" i="1"/>
  <c r="BK527" i="1"/>
  <c r="BK526" i="1"/>
  <c r="BK525" i="1"/>
  <c r="BK524" i="1"/>
  <c r="BK523" i="1"/>
  <c r="BK522" i="1"/>
  <c r="BK521" i="1"/>
  <c r="BK520" i="1"/>
  <c r="BK519" i="1"/>
  <c r="BK518" i="1"/>
  <c r="BK517" i="1"/>
  <c r="BK516" i="1"/>
  <c r="BK515" i="1"/>
  <c r="BK514" i="1"/>
  <c r="BK513" i="1"/>
  <c r="BK512" i="1"/>
  <c r="BK511" i="1"/>
  <c r="BK510" i="1"/>
  <c r="BK509" i="1"/>
  <c r="BK508" i="1"/>
  <c r="BK507" i="1"/>
  <c r="BK506" i="1"/>
  <c r="BK505" i="1"/>
  <c r="BK504" i="1"/>
  <c r="BK503" i="1"/>
  <c r="BK502" i="1"/>
  <c r="BK501" i="1"/>
  <c r="BK500" i="1"/>
  <c r="BK499" i="1"/>
  <c r="BK498" i="1"/>
  <c r="BK497" i="1"/>
  <c r="BK496" i="1"/>
  <c r="BK495" i="1"/>
  <c r="BK494" i="1"/>
  <c r="BK493" i="1"/>
  <c r="BK492" i="1"/>
  <c r="BK491" i="1"/>
  <c r="BK490" i="1"/>
  <c r="BK489" i="1"/>
  <c r="BK488" i="1"/>
  <c r="BK487" i="1"/>
  <c r="BK486" i="1"/>
  <c r="BK485" i="1"/>
  <c r="BK484" i="1"/>
  <c r="BK483" i="1"/>
  <c r="BK482" i="1"/>
  <c r="BK481" i="1"/>
  <c r="BK480" i="1"/>
  <c r="BK479" i="1"/>
  <c r="BK478" i="1"/>
  <c r="BK477" i="1"/>
  <c r="BK476" i="1"/>
  <c r="BK475" i="1"/>
  <c r="BK474" i="1"/>
  <c r="BK473" i="1"/>
  <c r="BK472" i="1"/>
  <c r="BK471" i="1"/>
  <c r="BK470" i="1"/>
  <c r="BK469" i="1"/>
  <c r="BK468" i="1"/>
  <c r="BK467" i="1"/>
  <c r="BK466" i="1"/>
  <c r="BK465" i="1"/>
  <c r="BK464" i="1"/>
  <c r="BK463" i="1"/>
  <c r="BK462" i="1"/>
  <c r="BK461" i="1"/>
  <c r="BK460" i="1"/>
  <c r="BK459" i="1"/>
  <c r="BK458" i="1"/>
  <c r="BK457" i="1"/>
  <c r="BK456" i="1"/>
  <c r="BK455" i="1"/>
  <c r="BK454" i="1"/>
  <c r="BK453" i="1"/>
  <c r="BK452" i="1"/>
  <c r="BK451" i="1"/>
  <c r="BK450" i="1"/>
  <c r="BK449" i="1"/>
  <c r="BK448" i="1"/>
  <c r="BK447" i="1"/>
  <c r="BK446" i="1"/>
  <c r="BK445" i="1"/>
  <c r="BK444" i="1"/>
  <c r="BK443" i="1"/>
  <c r="BK442" i="1"/>
  <c r="BK441" i="1"/>
  <c r="BK440" i="1"/>
  <c r="BK439" i="1"/>
  <c r="BK438" i="1"/>
  <c r="BK437" i="1"/>
  <c r="BK436" i="1"/>
  <c r="BK435" i="1"/>
  <c r="BK434" i="1"/>
  <c r="BK433" i="1"/>
  <c r="BK432" i="1"/>
  <c r="BK431" i="1"/>
  <c r="BK430" i="1"/>
  <c r="BK429" i="1"/>
  <c r="BK428" i="1"/>
  <c r="BK427" i="1"/>
  <c r="BK426" i="1"/>
  <c r="BK425" i="1"/>
  <c r="BK424" i="1"/>
  <c r="BK423" i="1"/>
  <c r="BK422" i="1"/>
  <c r="BK421" i="1"/>
  <c r="BK420" i="1"/>
  <c r="BK419" i="1"/>
  <c r="BK418" i="1"/>
  <c r="BK417" i="1"/>
  <c r="BK416" i="1"/>
  <c r="BK415" i="1"/>
  <c r="BK414" i="1"/>
  <c r="BK413" i="1"/>
  <c r="BK412" i="1"/>
  <c r="BK411" i="1"/>
  <c r="BK410" i="1"/>
  <c r="BK409" i="1"/>
  <c r="BK408" i="1"/>
  <c r="BK407" i="1"/>
  <c r="BK406" i="1"/>
  <c r="BK405" i="1"/>
  <c r="BK404" i="1"/>
  <c r="BK403" i="1"/>
  <c r="BK402" i="1"/>
  <c r="BK401" i="1"/>
  <c r="BK400" i="1"/>
  <c r="BK399" i="1"/>
  <c r="BK398" i="1"/>
  <c r="BK397" i="1"/>
  <c r="BK396" i="1"/>
  <c r="BK395" i="1"/>
  <c r="BK394" i="1"/>
  <c r="BK393" i="1"/>
  <c r="BK392" i="1"/>
  <c r="BK391" i="1"/>
  <c r="BK390" i="1"/>
  <c r="BK389" i="1"/>
  <c r="BK388" i="1"/>
  <c r="BK387" i="1"/>
  <c r="BK386" i="1"/>
  <c r="BK385" i="1"/>
  <c r="BK384" i="1"/>
  <c r="BK383" i="1"/>
  <c r="BK382" i="1"/>
  <c r="BK381" i="1"/>
  <c r="BK380" i="1"/>
  <c r="BK379" i="1"/>
  <c r="BK378" i="1"/>
  <c r="BK377" i="1"/>
  <c r="BK376" i="1"/>
  <c r="BK375" i="1"/>
  <c r="BK374" i="1"/>
  <c r="BK373" i="1"/>
  <c r="BK372" i="1"/>
  <c r="BK371" i="1"/>
  <c r="BK370" i="1"/>
  <c r="BK369" i="1"/>
  <c r="BK368" i="1"/>
  <c r="BK367" i="1"/>
  <c r="BK366" i="1"/>
  <c r="BK365" i="1"/>
  <c r="BK364" i="1"/>
  <c r="BK363" i="1"/>
  <c r="BK362" i="1"/>
  <c r="BK361" i="1"/>
  <c r="BK360" i="1"/>
  <c r="BK359" i="1"/>
  <c r="BK358" i="1"/>
  <c r="BK357" i="1"/>
  <c r="Q769" i="1" a="1"/>
  <c r="Q769" i="1" s="1"/>
  <c r="AS769" i="1" s="1"/>
  <c r="Q767" i="1" a="1"/>
  <c r="Q767" i="1" s="1"/>
  <c r="AS767" i="1" s="1"/>
  <c r="Q766" i="1" a="1"/>
  <c r="Q766" i="1" s="1"/>
  <c r="AS766" i="1" s="1"/>
  <c r="AS765" i="1"/>
  <c r="Q760" i="1" a="1"/>
  <c r="Q760" i="1" s="1"/>
  <c r="AS760" i="1" s="1"/>
  <c r="Q756" i="1" a="1"/>
  <c r="Q756" i="1" s="1"/>
  <c r="AS756" i="1" s="1"/>
  <c r="Q754" i="1" a="1"/>
  <c r="Q754" i="1" s="1"/>
  <c r="AS754" i="1" s="1"/>
  <c r="Q753" i="1" a="1"/>
  <c r="Q753" i="1" s="1"/>
  <c r="AS753" i="1" s="1"/>
  <c r="Q751" i="1" a="1"/>
  <c r="Q751" i="1" s="1"/>
  <c r="AS751" i="1" s="1"/>
  <c r="Q750" i="1" a="1"/>
  <c r="Q750" i="1" s="1"/>
  <c r="AS750" i="1" s="1"/>
  <c r="Q749" i="1" a="1"/>
  <c r="Q749" i="1" s="1"/>
  <c r="AS749" i="1" s="1"/>
  <c r="Q748" i="1" a="1"/>
  <c r="Q748" i="1" s="1"/>
  <c r="AS748" i="1" s="1"/>
  <c r="Q747" i="1" a="1"/>
  <c r="Q747" i="1" s="1"/>
  <c r="AS747" i="1" s="1"/>
  <c r="Q746" i="1" a="1"/>
  <c r="Q746" i="1" s="1"/>
  <c r="AS746" i="1" s="1"/>
  <c r="Q745" i="1" a="1"/>
  <c r="Q745" i="1" s="1"/>
  <c r="AS745" i="1" s="1"/>
  <c r="Q744" i="1" a="1"/>
  <c r="Q744" i="1" s="1"/>
  <c r="AS744" i="1" s="1"/>
  <c r="Q743" i="1" a="1"/>
  <c r="Q743" i="1" s="1"/>
  <c r="AS743" i="1" s="1"/>
  <c r="Q741" i="1" a="1"/>
  <c r="Q741" i="1" s="1"/>
  <c r="AS741" i="1" s="1"/>
  <c r="Q740" i="1" a="1"/>
  <c r="Q740" i="1" s="1"/>
  <c r="AS740" i="1" s="1"/>
  <c r="Q738" i="1" a="1"/>
  <c r="Q738" i="1" s="1"/>
  <c r="AS738" i="1" s="1"/>
  <c r="Q737" i="1" a="1"/>
  <c r="Q737" i="1" s="1"/>
  <c r="AS737" i="1" s="1"/>
  <c r="Q736" i="1" a="1"/>
  <c r="Q736" i="1" s="1"/>
  <c r="AS736" i="1" s="1"/>
  <c r="Q735" i="1" a="1"/>
  <c r="Q735" i="1" s="1"/>
  <c r="AS735" i="1" s="1"/>
  <c r="Q732" i="1" a="1"/>
  <c r="Q732" i="1" s="1"/>
  <c r="AS732" i="1" s="1"/>
  <c r="Q731" i="1" a="1"/>
  <c r="Q731" i="1" s="1"/>
  <c r="AS731" i="1" s="1"/>
  <c r="Q729" i="1" a="1"/>
  <c r="Q729" i="1" s="1"/>
  <c r="AS729" i="1" s="1"/>
  <c r="Q727" i="1" a="1"/>
  <c r="Q727" i="1" s="1"/>
  <c r="AS727" i="1" s="1"/>
  <c r="Q725" i="1" a="1"/>
  <c r="Q725" i="1" s="1"/>
  <c r="AS725" i="1" s="1"/>
  <c r="Q724" i="1" a="1"/>
  <c r="Q724" i="1" s="1"/>
  <c r="AS724" i="1" s="1"/>
  <c r="Q722" i="1" a="1"/>
  <c r="Q722" i="1" s="1"/>
  <c r="AS722" i="1" s="1"/>
  <c r="Q718" i="1" a="1"/>
  <c r="Q718" i="1" s="1"/>
  <c r="AS718" i="1" s="1"/>
  <c r="Q717" i="1" a="1"/>
  <c r="Q717" i="1" s="1"/>
  <c r="AS717" i="1" s="1"/>
  <c r="Q716" i="1" a="1"/>
  <c r="Q716" i="1" s="1"/>
  <c r="AS716" i="1" s="1"/>
  <c r="Q715" i="1" a="1"/>
  <c r="Q715" i="1" s="1"/>
  <c r="AS715" i="1" s="1"/>
  <c r="Q714" i="1" a="1"/>
  <c r="Q714" i="1" s="1"/>
  <c r="AS714" i="1" s="1"/>
  <c r="Q712" i="1" a="1"/>
  <c r="Q712" i="1" s="1"/>
  <c r="AS712" i="1" s="1"/>
  <c r="Q710" i="1" a="1"/>
  <c r="Q710" i="1" s="1"/>
  <c r="AS710" i="1" s="1"/>
  <c r="Q708" i="1" a="1"/>
  <c r="Q708" i="1" s="1"/>
  <c r="AS708" i="1" s="1"/>
  <c r="Q706" i="1" a="1"/>
  <c r="Q706" i="1" s="1"/>
  <c r="AS706" i="1" s="1"/>
  <c r="Q705" i="1" a="1"/>
  <c r="Q705" i="1" s="1"/>
  <c r="AS705" i="1" s="1"/>
  <c r="Q703" i="1" a="1"/>
  <c r="Q703" i="1" s="1"/>
  <c r="AS703" i="1" s="1"/>
  <c r="Q702" i="1" a="1"/>
  <c r="Q702" i="1" s="1"/>
  <c r="AS702" i="1" s="1"/>
  <c r="Q699" i="1" a="1"/>
  <c r="Q699" i="1" s="1"/>
  <c r="AS699" i="1" s="1"/>
  <c r="Q696" i="1" a="1"/>
  <c r="Q696" i="1" s="1"/>
  <c r="AS696" i="1" s="1"/>
  <c r="Q695" i="1" a="1"/>
  <c r="Q695" i="1" s="1"/>
  <c r="AS695" i="1" s="1"/>
  <c r="Q694" i="1" a="1"/>
  <c r="Q694" i="1" s="1"/>
  <c r="AS694" i="1" s="1"/>
  <c r="Q691" i="1" a="1"/>
  <c r="Q691" i="1" s="1"/>
  <c r="AS691" i="1" s="1"/>
  <c r="Q689" i="1" a="1"/>
  <c r="Q689" i="1" s="1"/>
  <c r="AS689" i="1" s="1"/>
  <c r="Q687" i="1" a="1"/>
  <c r="Q687" i="1" s="1"/>
  <c r="AS687" i="1" s="1"/>
  <c r="Q686" i="1" a="1"/>
  <c r="Q686" i="1" s="1"/>
  <c r="AS686" i="1" s="1"/>
  <c r="Q685" i="1" a="1"/>
  <c r="Q685" i="1" s="1"/>
  <c r="AS685" i="1" s="1"/>
  <c r="Q683" i="1" a="1"/>
  <c r="Q683" i="1" s="1"/>
  <c r="AS683" i="1" s="1"/>
  <c r="Q680" i="1" a="1"/>
  <c r="Q680" i="1" s="1"/>
  <c r="AS680" i="1" s="1"/>
  <c r="Q679" i="1" a="1"/>
  <c r="Q679" i="1" s="1"/>
  <c r="AS679" i="1" s="1"/>
  <c r="Q678" i="1" a="1"/>
  <c r="Q678" i="1" s="1"/>
  <c r="AS678" i="1" s="1"/>
  <c r="Q674" i="1" a="1"/>
  <c r="Q674" i="1" s="1"/>
  <c r="AS674" i="1" s="1"/>
  <c r="Q673" i="1" a="1"/>
  <c r="Q673" i="1" s="1"/>
  <c r="AS673" i="1" s="1"/>
  <c r="Q672" i="1" a="1"/>
  <c r="Q672" i="1" s="1"/>
  <c r="AS672" i="1" s="1"/>
  <c r="Q668" i="1" a="1"/>
  <c r="Q668" i="1" s="1"/>
  <c r="AS668" i="1" s="1"/>
  <c r="Q666" i="1" a="1"/>
  <c r="Q666" i="1" s="1"/>
  <c r="AS666" i="1" s="1"/>
  <c r="Q665" i="1" a="1"/>
  <c r="Q665" i="1" s="1"/>
  <c r="AS665" i="1" s="1"/>
  <c r="Q664" i="1" a="1"/>
  <c r="Q664" i="1" s="1"/>
  <c r="AS664" i="1" s="1"/>
  <c r="Q662" i="1" a="1"/>
  <c r="Q662" i="1" s="1"/>
  <c r="AS662" i="1" s="1"/>
  <c r="Q657" i="1" a="1"/>
  <c r="Q657" i="1" s="1"/>
  <c r="AS657" i="1" s="1"/>
  <c r="Q655" i="1" a="1"/>
  <c r="Q655" i="1" s="1"/>
  <c r="AS655" i="1" s="1"/>
  <c r="Q654" i="1" a="1"/>
  <c r="Q654" i="1" s="1"/>
  <c r="AS654" i="1" s="1"/>
  <c r="Q653" i="1" a="1"/>
  <c r="Q653" i="1" s="1"/>
  <c r="AS653" i="1" s="1"/>
  <c r="Q651" i="1" a="1"/>
  <c r="Q651" i="1" s="1"/>
  <c r="AS651" i="1" s="1"/>
  <c r="Q650" i="1" a="1"/>
  <c r="Q650" i="1" s="1"/>
  <c r="AS650" i="1" s="1"/>
  <c r="Q649" i="1" a="1"/>
  <c r="Q649" i="1" s="1"/>
  <c r="AS649" i="1" s="1"/>
  <c r="Q647" i="1" a="1"/>
  <c r="Q647" i="1" s="1"/>
  <c r="AS647" i="1" s="1"/>
  <c r="Q645" i="1" a="1"/>
  <c r="Q645" i="1" s="1"/>
  <c r="AS645" i="1" s="1"/>
  <c r="Q642" i="1" a="1"/>
  <c r="Q642" i="1" s="1"/>
  <c r="AS642" i="1" s="1"/>
  <c r="Q641" i="1" a="1"/>
  <c r="Q641" i="1" s="1"/>
  <c r="AS641" i="1" s="1"/>
  <c r="Q640" i="1" a="1"/>
  <c r="Q640" i="1" s="1"/>
  <c r="AS640" i="1" s="1"/>
  <c r="Q639" i="1" a="1"/>
  <c r="Q639" i="1" s="1"/>
  <c r="AS639" i="1" s="1"/>
  <c r="Q638" i="1" a="1"/>
  <c r="Q638" i="1" s="1"/>
  <c r="AS638" i="1" s="1"/>
  <c r="Q636" i="1" a="1"/>
  <c r="Q636" i="1" s="1"/>
  <c r="AS636" i="1" s="1"/>
  <c r="Q634" i="1" a="1"/>
  <c r="Q634" i="1" s="1"/>
  <c r="AS634" i="1" s="1"/>
  <c r="Q632" i="1" a="1"/>
  <c r="Q632" i="1" s="1"/>
  <c r="AS632" i="1" s="1"/>
  <c r="Q631" i="1" a="1"/>
  <c r="Q631" i="1" s="1"/>
  <c r="AS631" i="1" s="1"/>
  <c r="Q628" i="1" a="1"/>
  <c r="Q628" i="1" s="1"/>
  <c r="AS628" i="1" s="1"/>
  <c r="Q627" i="1" a="1"/>
  <c r="Q627" i="1" s="1"/>
  <c r="AS627" i="1" s="1"/>
  <c r="Q626" i="1" a="1"/>
  <c r="Q626" i="1" s="1"/>
  <c r="AS626" i="1" s="1"/>
  <c r="Q624" i="1" a="1"/>
  <c r="Q624" i="1" s="1"/>
  <c r="AS624" i="1" s="1"/>
  <c r="Q623" i="1" a="1"/>
  <c r="Q623" i="1" s="1"/>
  <c r="AS623" i="1" s="1"/>
  <c r="Q622" i="1" a="1"/>
  <c r="Q622" i="1" s="1"/>
  <c r="AS622" i="1" s="1"/>
  <c r="Q620" i="1" a="1"/>
  <c r="Q620" i="1" s="1"/>
  <c r="AS620" i="1" s="1"/>
  <c r="Q619" i="1" a="1"/>
  <c r="Q619" i="1" s="1"/>
  <c r="AS619" i="1" s="1"/>
  <c r="Q618" i="1" a="1"/>
  <c r="Q618" i="1" s="1"/>
  <c r="AS618" i="1" s="1"/>
  <c r="Q617" i="1" a="1"/>
  <c r="Q617" i="1" s="1"/>
  <c r="AS617" i="1" s="1"/>
  <c r="Q616" i="1" a="1"/>
  <c r="Q616" i="1" s="1"/>
  <c r="AS616" i="1" s="1"/>
  <c r="Q615" i="1" a="1"/>
  <c r="Q615" i="1" s="1"/>
  <c r="AS615" i="1" s="1"/>
  <c r="Q614" i="1" a="1"/>
  <c r="Q614" i="1" s="1"/>
  <c r="AS614" i="1" s="1"/>
  <c r="Q613" i="1" a="1"/>
  <c r="Q613" i="1" s="1"/>
  <c r="AS613" i="1" s="1"/>
  <c r="Q612" i="1" a="1"/>
  <c r="Q612" i="1" s="1"/>
  <c r="AS612" i="1" s="1"/>
  <c r="Q611" i="1" a="1"/>
  <c r="Q611" i="1" s="1"/>
  <c r="AS611" i="1" s="1"/>
  <c r="Q610" i="1" a="1"/>
  <c r="Q610" i="1" s="1"/>
  <c r="AS610" i="1" s="1"/>
  <c r="Q608" i="1" a="1"/>
  <c r="Q608" i="1" s="1"/>
  <c r="AS608" i="1" s="1"/>
  <c r="Q607" i="1" a="1"/>
  <c r="Q607" i="1" s="1"/>
  <c r="AS607" i="1" s="1"/>
  <c r="Q606" i="1" a="1"/>
  <c r="Q606" i="1" s="1"/>
  <c r="AS606" i="1" s="1"/>
  <c r="Q604" i="1" a="1"/>
  <c r="Q604" i="1" s="1"/>
  <c r="AS604" i="1" s="1"/>
  <c r="Q603" i="1" a="1"/>
  <c r="Q603" i="1" s="1"/>
  <c r="AS603" i="1" s="1"/>
  <c r="Q602" i="1" a="1"/>
  <c r="Q602" i="1" s="1"/>
  <c r="AS602" i="1" s="1"/>
  <c r="Q601" i="1" a="1"/>
  <c r="Q601" i="1" s="1"/>
  <c r="AS601" i="1" s="1"/>
  <c r="Q600" i="1" a="1"/>
  <c r="Q600" i="1" s="1"/>
  <c r="AS600" i="1" s="1"/>
  <c r="Q599" i="1" a="1"/>
  <c r="Q599" i="1" s="1"/>
  <c r="AS599" i="1" s="1"/>
  <c r="Q598" i="1" a="1"/>
  <c r="Q598" i="1" s="1"/>
  <c r="AS598" i="1" s="1"/>
  <c r="Q597" i="1" a="1"/>
  <c r="Q597" i="1" s="1"/>
  <c r="AS597" i="1" s="1"/>
  <c r="Q596" i="1" a="1"/>
  <c r="Q596" i="1" s="1"/>
  <c r="AS596" i="1" s="1"/>
  <c r="Q595" i="1" a="1"/>
  <c r="Q595" i="1" s="1"/>
  <c r="AS595" i="1" s="1"/>
  <c r="Q594" i="1" a="1"/>
  <c r="Q594" i="1" s="1"/>
  <c r="AS594" i="1" s="1"/>
  <c r="Q592" i="1" a="1"/>
  <c r="Q592" i="1" s="1"/>
  <c r="AS592" i="1" s="1"/>
  <c r="Q591" i="1" a="1"/>
  <c r="Q591" i="1" s="1"/>
  <c r="AS591" i="1" s="1"/>
  <c r="Q590" i="1" a="1"/>
  <c r="Q590" i="1" s="1"/>
  <c r="AS590" i="1" s="1"/>
  <c r="Q589" i="1" a="1"/>
  <c r="Q589" i="1" s="1"/>
  <c r="AS589" i="1" s="1"/>
  <c r="Q588" i="1" a="1"/>
  <c r="Q588" i="1" s="1"/>
  <c r="AS588" i="1" s="1"/>
  <c r="Q587" i="1" a="1"/>
  <c r="Q587" i="1" s="1"/>
  <c r="AS587" i="1" s="1"/>
  <c r="Q586" i="1" a="1"/>
  <c r="Q586" i="1" s="1"/>
  <c r="AS586" i="1" s="1"/>
  <c r="Q583" i="1" a="1"/>
  <c r="Q583" i="1" s="1"/>
  <c r="AS583" i="1" s="1"/>
  <c r="Q582" i="1" a="1"/>
  <c r="Q582" i="1" s="1"/>
  <c r="AS582" i="1" s="1"/>
  <c r="Q581" i="1" a="1"/>
  <c r="Q581" i="1" s="1"/>
  <c r="AS581" i="1" s="1"/>
  <c r="Q580" i="1" a="1"/>
  <c r="Q580" i="1" s="1"/>
  <c r="AS580" i="1" s="1"/>
  <c r="Q579" i="1" a="1"/>
  <c r="Q579" i="1" s="1"/>
  <c r="AS579" i="1" s="1"/>
  <c r="Q578" i="1" a="1"/>
  <c r="Q578" i="1" s="1"/>
  <c r="AS578" i="1" s="1"/>
  <c r="Q577" i="1" a="1"/>
  <c r="Q577" i="1" s="1"/>
  <c r="AS577" i="1" s="1"/>
  <c r="Q575" i="1" a="1"/>
  <c r="Q575" i="1" s="1"/>
  <c r="AS575" i="1" s="1"/>
  <c r="Q574" i="1" a="1"/>
  <c r="Q574" i="1" s="1"/>
  <c r="AS574" i="1" s="1"/>
  <c r="Q573" i="1" a="1"/>
  <c r="Q573" i="1" s="1"/>
  <c r="AS573" i="1" s="1"/>
  <c r="Q572" i="1" a="1"/>
  <c r="Q572" i="1" s="1"/>
  <c r="AS572" i="1" s="1"/>
  <c r="Q571" i="1" a="1"/>
  <c r="Q571" i="1" s="1"/>
  <c r="AS571" i="1" s="1"/>
  <c r="Q570" i="1" a="1"/>
  <c r="Q570" i="1" s="1"/>
  <c r="AS570" i="1" s="1"/>
  <c r="Q569" i="1" a="1"/>
  <c r="Q569" i="1" s="1"/>
  <c r="AS569" i="1" s="1"/>
  <c r="Q568" i="1" a="1"/>
  <c r="Q568" i="1" s="1"/>
  <c r="AS568" i="1" s="1"/>
  <c r="Q567" i="1" a="1"/>
  <c r="Q567" i="1" s="1"/>
  <c r="AS567" i="1" s="1"/>
  <c r="Q566" i="1" a="1"/>
  <c r="Q566" i="1" s="1"/>
  <c r="AS566" i="1" s="1"/>
  <c r="Q564" i="1" a="1"/>
  <c r="Q564" i="1" s="1"/>
  <c r="AS564" i="1" s="1"/>
  <c r="Q563" i="1" a="1"/>
  <c r="Q563" i="1" s="1"/>
  <c r="AS563" i="1" s="1"/>
  <c r="Q562" i="1" a="1"/>
  <c r="Q562" i="1" s="1"/>
  <c r="AS562" i="1" s="1"/>
  <c r="Q561" i="1" a="1"/>
  <c r="Q561" i="1" s="1"/>
  <c r="AS561" i="1" s="1"/>
  <c r="Q560" i="1" a="1"/>
  <c r="Q560" i="1" s="1"/>
  <c r="AS560" i="1" s="1"/>
  <c r="Q559" i="1" a="1"/>
  <c r="Q559" i="1" s="1"/>
  <c r="AS559" i="1" s="1"/>
  <c r="Q558" i="1" a="1"/>
  <c r="Q558" i="1" s="1"/>
  <c r="AS558" i="1" s="1"/>
  <c r="Q553" i="1" a="1"/>
  <c r="Q553" i="1" s="1"/>
  <c r="AS553" i="1" s="1"/>
  <c r="Q552" i="1" a="1"/>
  <c r="Q552" i="1" s="1"/>
  <c r="AS552" i="1" s="1"/>
  <c r="Q551" i="1" a="1"/>
  <c r="Q551" i="1" s="1"/>
  <c r="AS551" i="1" s="1"/>
  <c r="Q550" i="1" a="1"/>
  <c r="Q550" i="1" s="1"/>
  <c r="AS550" i="1" s="1"/>
  <c r="Q549" i="1" a="1"/>
  <c r="Q549" i="1" s="1"/>
  <c r="AS549" i="1" s="1"/>
  <c r="Q548" i="1" a="1"/>
  <c r="Q548" i="1" s="1"/>
  <c r="AS548" i="1" s="1"/>
  <c r="Q547" i="1" a="1"/>
  <c r="Q547" i="1" s="1"/>
  <c r="AS547" i="1" s="1"/>
  <c r="Q545" i="1" a="1"/>
  <c r="Q545" i="1" s="1"/>
  <c r="AS545" i="1" s="1"/>
  <c r="Q544" i="1" a="1"/>
  <c r="Q544" i="1" s="1"/>
  <c r="AS544" i="1" s="1"/>
  <c r="Q543" i="1" a="1"/>
  <c r="Q543" i="1" s="1"/>
  <c r="AS543" i="1" s="1"/>
  <c r="Q542" i="1" a="1"/>
  <c r="Q542" i="1" s="1"/>
  <c r="AS542" i="1" s="1"/>
  <c r="Q541" i="1" a="1"/>
  <c r="Q541" i="1" s="1"/>
  <c r="AS541" i="1" s="1"/>
  <c r="Q540" i="1" a="1"/>
  <c r="Q540" i="1" s="1"/>
  <c r="AS540" i="1" s="1"/>
  <c r="Q539" i="1" a="1"/>
  <c r="Q539" i="1" s="1"/>
  <c r="AS539" i="1" s="1"/>
  <c r="Q538" i="1" a="1"/>
  <c r="Q538" i="1" s="1"/>
  <c r="AS538" i="1" s="1"/>
  <c r="Q537" i="1" a="1"/>
  <c r="Q537" i="1" s="1"/>
  <c r="AS537" i="1" s="1"/>
  <c r="Q536" i="1" a="1"/>
  <c r="Q536" i="1" s="1"/>
  <c r="AS536" i="1" s="1"/>
  <c r="Q535" i="1" a="1"/>
  <c r="Q535" i="1" s="1"/>
  <c r="AS535" i="1" s="1"/>
  <c r="Q532" i="1" a="1"/>
  <c r="Q532" i="1" s="1"/>
  <c r="AS532" i="1" s="1"/>
  <c r="Q531" i="1" a="1"/>
  <c r="Q531" i="1" s="1"/>
  <c r="AS531" i="1" s="1"/>
  <c r="Q530" i="1" a="1"/>
  <c r="Q530" i="1" s="1"/>
  <c r="AS530" i="1" s="1"/>
  <c r="Q529" i="1" a="1"/>
  <c r="Q529" i="1" s="1"/>
  <c r="AS529" i="1" s="1"/>
  <c r="Q528" i="1" a="1"/>
  <c r="Q528" i="1" s="1"/>
  <c r="AS528" i="1" s="1"/>
  <c r="Q527" i="1" a="1"/>
  <c r="Q527" i="1" s="1"/>
  <c r="AS527" i="1" s="1"/>
  <c r="Q526" i="1" a="1"/>
  <c r="Q526" i="1" s="1"/>
  <c r="AS526" i="1" s="1"/>
  <c r="Q525" i="1" a="1"/>
  <c r="Q525" i="1" s="1"/>
  <c r="AS525" i="1" s="1"/>
  <c r="Q523" i="1" a="1"/>
  <c r="Q523" i="1" s="1"/>
  <c r="AS523" i="1" s="1"/>
  <c r="Q522" i="1" a="1"/>
  <c r="Q522" i="1" s="1"/>
  <c r="AS522" i="1" s="1"/>
  <c r="Q521" i="1" a="1"/>
  <c r="Q521" i="1" s="1"/>
  <c r="AS521" i="1" s="1"/>
  <c r="Q520" i="1" a="1"/>
  <c r="Q520" i="1" s="1"/>
  <c r="AS520" i="1" s="1"/>
  <c r="Q519" i="1" a="1"/>
  <c r="Q519" i="1" s="1"/>
  <c r="AS519" i="1" s="1"/>
  <c r="Q518" i="1" a="1"/>
  <c r="Q518" i="1" s="1"/>
  <c r="AS518" i="1" s="1"/>
  <c r="Q516" i="1" a="1"/>
  <c r="Q516" i="1" s="1"/>
  <c r="AS516" i="1" s="1"/>
  <c r="Q515" i="1" a="1"/>
  <c r="Q515" i="1" s="1"/>
  <c r="AS515" i="1" s="1"/>
  <c r="Q514" i="1" a="1"/>
  <c r="Q514" i="1" s="1"/>
  <c r="AS514" i="1" s="1"/>
  <c r="Q512" i="1" a="1"/>
  <c r="Q512" i="1" s="1"/>
  <c r="AS512" i="1" s="1"/>
  <c r="Q511" i="1" a="1"/>
  <c r="Q511" i="1" s="1"/>
  <c r="AS511" i="1" s="1"/>
  <c r="Q510" i="1" a="1"/>
  <c r="Q510" i="1" s="1"/>
  <c r="AS510" i="1" s="1"/>
  <c r="AS508" i="1"/>
  <c r="Q504" i="1" a="1"/>
  <c r="Q504" i="1" s="1"/>
  <c r="AS504" i="1" s="1"/>
  <c r="Q503" i="1" a="1"/>
  <c r="Q503" i="1" s="1"/>
  <c r="AS503" i="1" s="1"/>
  <c r="Q501" i="1" a="1"/>
  <c r="Q501" i="1" s="1"/>
  <c r="AS501" i="1" s="1"/>
  <c r="Q500" i="1" a="1"/>
  <c r="Q500" i="1" s="1"/>
  <c r="AS500" i="1" s="1"/>
  <c r="Q499" i="1" a="1"/>
  <c r="Q499" i="1" s="1"/>
  <c r="AS499" i="1" s="1"/>
  <c r="Q498" i="1" a="1"/>
  <c r="Q498" i="1" s="1"/>
  <c r="AS498" i="1" s="1"/>
  <c r="Q497" i="1" a="1"/>
  <c r="Q497" i="1" s="1"/>
  <c r="AS497" i="1" s="1"/>
  <c r="Q496" i="1" a="1"/>
  <c r="Q496" i="1" s="1"/>
  <c r="AS496" i="1" s="1"/>
  <c r="Q495" i="1" a="1"/>
  <c r="Q495" i="1" s="1"/>
  <c r="AS495" i="1" s="1"/>
  <c r="Q494" i="1" a="1"/>
  <c r="Q494" i="1" s="1"/>
  <c r="AS494" i="1" s="1"/>
  <c r="Q493" i="1" a="1"/>
  <c r="Q493" i="1" s="1"/>
  <c r="AS493" i="1" s="1"/>
  <c r="Q492" i="1" a="1"/>
  <c r="Q492" i="1" s="1"/>
  <c r="AS492" i="1" s="1"/>
  <c r="Q491" i="1" a="1"/>
  <c r="Q491" i="1" s="1"/>
  <c r="AS491" i="1" s="1"/>
  <c r="Q489" i="1" a="1"/>
  <c r="Q489" i="1" s="1"/>
  <c r="AS489" i="1" s="1"/>
  <c r="Q488" i="1" a="1"/>
  <c r="Q488" i="1" s="1"/>
  <c r="AS488" i="1" s="1"/>
  <c r="Q487" i="1" a="1"/>
  <c r="Q487" i="1" s="1"/>
  <c r="AS487" i="1" s="1"/>
  <c r="Q486" i="1" a="1"/>
  <c r="Q486" i="1" s="1"/>
  <c r="AS486" i="1" s="1"/>
  <c r="Q484" i="1" a="1"/>
  <c r="Q484" i="1" s="1"/>
  <c r="AS484" i="1" s="1"/>
  <c r="Q483" i="1" a="1"/>
  <c r="Q483" i="1" s="1"/>
  <c r="AS483" i="1" s="1"/>
  <c r="Q482" i="1" a="1"/>
  <c r="Q482" i="1" s="1"/>
  <c r="AS482" i="1" s="1"/>
  <c r="Q480" i="1" a="1"/>
  <c r="Q480" i="1" s="1"/>
  <c r="AS480" i="1" s="1"/>
  <c r="Q479" i="1" a="1"/>
  <c r="Q479" i="1" s="1"/>
  <c r="AS479" i="1" s="1"/>
  <c r="Q478" i="1" a="1"/>
  <c r="Q478" i="1" s="1"/>
  <c r="AS478" i="1" s="1"/>
  <c r="Q476" i="1" a="1"/>
  <c r="Q476" i="1" s="1"/>
  <c r="AS476" i="1" s="1"/>
  <c r="Q475" i="1" a="1"/>
  <c r="Q475" i="1" s="1"/>
  <c r="AS475" i="1" s="1"/>
  <c r="Q474" i="1" a="1"/>
  <c r="Q474" i="1" s="1"/>
  <c r="AS474" i="1" s="1"/>
  <c r="Q473" i="1" a="1"/>
  <c r="Q473" i="1" s="1"/>
  <c r="AS473" i="1" s="1"/>
  <c r="Q472" i="1" a="1"/>
  <c r="Q472" i="1" s="1"/>
  <c r="AS472" i="1" s="1"/>
  <c r="Q471" i="1" a="1"/>
  <c r="Q471" i="1" s="1"/>
  <c r="AS471" i="1" s="1"/>
  <c r="Q470" i="1" a="1"/>
  <c r="Q470" i="1" s="1"/>
  <c r="AS470" i="1" s="1"/>
  <c r="Q469" i="1" a="1"/>
  <c r="Q469" i="1" s="1"/>
  <c r="AS469" i="1" s="1"/>
  <c r="Q467" i="1" a="1"/>
  <c r="Q467" i="1" s="1"/>
  <c r="AS467" i="1" s="1"/>
  <c r="Q466" i="1" a="1"/>
  <c r="Q466" i="1" s="1"/>
  <c r="AS466" i="1" s="1"/>
  <c r="Q465" i="1" a="1"/>
  <c r="Q465" i="1" s="1"/>
  <c r="AS465" i="1" s="1"/>
  <c r="Q464" i="1" a="1"/>
  <c r="Q464" i="1" s="1"/>
  <c r="AS464" i="1" s="1"/>
  <c r="Q463" i="1" a="1"/>
  <c r="Q463" i="1" s="1"/>
  <c r="AS463" i="1" s="1"/>
  <c r="Q462" i="1" a="1"/>
  <c r="Q462" i="1" s="1"/>
  <c r="AS462" i="1" s="1"/>
  <c r="Q461" i="1" a="1"/>
  <c r="Q461" i="1" s="1"/>
  <c r="AS461" i="1" s="1"/>
  <c r="AS459" i="1"/>
  <c r="Q455" i="1" a="1"/>
  <c r="Q455" i="1" s="1"/>
  <c r="AS455" i="1" s="1"/>
  <c r="Q454" i="1" a="1"/>
  <c r="Q454" i="1" s="1"/>
  <c r="AS454" i="1" s="1"/>
  <c r="Q453" i="1" a="1"/>
  <c r="Q453" i="1" s="1"/>
  <c r="AS453" i="1" s="1"/>
  <c r="Q452" i="1" a="1"/>
  <c r="Q452" i="1" s="1"/>
  <c r="AS452" i="1" s="1"/>
  <c r="Q451" i="1" a="1"/>
  <c r="Q451" i="1" s="1"/>
  <c r="AS451" i="1" s="1"/>
  <c r="Q450" i="1" a="1"/>
  <c r="Q450" i="1" s="1"/>
  <c r="AS450" i="1" s="1"/>
  <c r="Q449" i="1" a="1"/>
  <c r="Q449" i="1" s="1"/>
  <c r="AS449" i="1" s="1"/>
  <c r="Q448" i="1" a="1"/>
  <c r="Q448" i="1" s="1"/>
  <c r="AS448" i="1" s="1"/>
  <c r="Q447" i="1" a="1"/>
  <c r="Q447" i="1" s="1"/>
  <c r="AS447" i="1" s="1"/>
  <c r="Q446" i="1" a="1"/>
  <c r="Q446" i="1" s="1"/>
  <c r="AS446" i="1" s="1"/>
  <c r="Q445" i="1" a="1"/>
  <c r="Q445" i="1" s="1"/>
  <c r="AS445" i="1" s="1"/>
  <c r="Q444" i="1" a="1"/>
  <c r="Q444" i="1" s="1"/>
  <c r="AS444" i="1" s="1"/>
  <c r="Q443" i="1" a="1"/>
  <c r="Q443" i="1" s="1"/>
  <c r="AS443" i="1" s="1"/>
  <c r="Q442" i="1" a="1"/>
  <c r="Q442" i="1" s="1"/>
  <c r="AS442" i="1" s="1"/>
  <c r="Q441" i="1" a="1"/>
  <c r="Q441" i="1" s="1"/>
  <c r="AS441" i="1" s="1"/>
  <c r="Q440" i="1" a="1"/>
  <c r="Q440" i="1" s="1"/>
  <c r="AS440" i="1" s="1"/>
  <c r="Q439" i="1" a="1"/>
  <c r="Q439" i="1" s="1"/>
  <c r="AS439" i="1" s="1"/>
  <c r="Q438" i="1" a="1"/>
  <c r="Q438" i="1" s="1"/>
  <c r="AS438" i="1" s="1"/>
  <c r="Q437" i="1" a="1"/>
  <c r="Q437" i="1" s="1"/>
  <c r="AS437" i="1" s="1"/>
  <c r="Q436" i="1" a="1"/>
  <c r="Q436" i="1" s="1"/>
  <c r="AS436" i="1" s="1"/>
  <c r="Q435" i="1" a="1"/>
  <c r="Q435" i="1" s="1"/>
  <c r="AS435" i="1" s="1"/>
  <c r="Q434" i="1" a="1"/>
  <c r="Q434" i="1" s="1"/>
  <c r="AS434" i="1" s="1"/>
  <c r="Q433" i="1" a="1"/>
  <c r="Q433" i="1" s="1"/>
  <c r="AS433" i="1" s="1"/>
  <c r="Q432" i="1" a="1"/>
  <c r="Q432" i="1" s="1"/>
  <c r="AS432" i="1" s="1"/>
  <c r="Q431" i="1" a="1"/>
  <c r="Q431" i="1" s="1"/>
  <c r="AS431" i="1" s="1"/>
  <c r="Q430" i="1" a="1"/>
  <c r="Q430" i="1" s="1"/>
  <c r="AS430" i="1" s="1"/>
  <c r="Q429" i="1" a="1"/>
  <c r="Q429" i="1" s="1"/>
  <c r="AS429" i="1" s="1"/>
  <c r="Q428" i="1" a="1"/>
  <c r="Q428" i="1" s="1"/>
  <c r="AS428" i="1" s="1"/>
  <c r="Q427" i="1" a="1"/>
  <c r="Q427" i="1" s="1"/>
  <c r="AS427" i="1" s="1"/>
  <c r="Q426" i="1" a="1"/>
  <c r="Q426" i="1" s="1"/>
  <c r="AS426" i="1" s="1"/>
  <c r="Q424" i="1" a="1"/>
  <c r="Q424" i="1" s="1"/>
  <c r="AS424" i="1" s="1"/>
  <c r="Q423" i="1" a="1"/>
  <c r="Q423" i="1" s="1"/>
  <c r="AS423" i="1" s="1"/>
  <c r="Q422" i="1" a="1"/>
  <c r="Q422" i="1" s="1"/>
  <c r="AS422" i="1" s="1"/>
  <c r="Q421" i="1" a="1"/>
  <c r="Q421" i="1" s="1"/>
  <c r="AS421" i="1" s="1"/>
  <c r="Q420" i="1" a="1"/>
  <c r="Q420" i="1" s="1"/>
  <c r="AS420" i="1" s="1"/>
  <c r="AS419" i="1"/>
  <c r="Q415" i="1" a="1"/>
  <c r="Q415" i="1" s="1"/>
  <c r="AS415" i="1" s="1"/>
  <c r="Q414" i="1" a="1"/>
  <c r="Q414" i="1" s="1"/>
  <c r="AS414" i="1" s="1"/>
  <c r="Q413" i="1" a="1"/>
  <c r="Q413" i="1" s="1"/>
  <c r="AS413" i="1" s="1"/>
  <c r="Q412" i="1" a="1"/>
  <c r="Q412" i="1" s="1"/>
  <c r="AS412" i="1" s="1"/>
  <c r="Q411" i="1" a="1"/>
  <c r="Q411" i="1" s="1"/>
  <c r="AS411" i="1" s="1"/>
  <c r="Q410" i="1" a="1"/>
  <c r="Q410" i="1" s="1"/>
  <c r="AS410" i="1" s="1"/>
  <c r="Q409" i="1" a="1"/>
  <c r="Q409" i="1" s="1"/>
  <c r="AS409" i="1" s="1"/>
  <c r="Q408" i="1" a="1"/>
  <c r="Q408" i="1" s="1"/>
  <c r="AS408" i="1" s="1"/>
  <c r="Q407" i="1" a="1"/>
  <c r="Q407" i="1" s="1"/>
  <c r="AS407" i="1" s="1"/>
  <c r="Q405" i="1" a="1"/>
  <c r="Q405" i="1" s="1"/>
  <c r="AS405" i="1" s="1"/>
  <c r="Q404" i="1" a="1"/>
  <c r="Q404" i="1" s="1"/>
  <c r="AS404" i="1" s="1"/>
  <c r="Q403" i="1" a="1"/>
  <c r="Q403" i="1" s="1"/>
  <c r="AS403" i="1" s="1"/>
  <c r="Q402" i="1" a="1"/>
  <c r="Q402" i="1" s="1"/>
  <c r="AS402" i="1" s="1"/>
  <c r="Q401" i="1" a="1"/>
  <c r="Q401" i="1" s="1"/>
  <c r="AS401" i="1" s="1"/>
  <c r="Q400" i="1" a="1"/>
  <c r="Q400" i="1" s="1"/>
  <c r="AS400" i="1" s="1"/>
  <c r="Q399" i="1" a="1"/>
  <c r="Q399" i="1" s="1"/>
  <c r="AS399" i="1" s="1"/>
  <c r="Q398" i="1" a="1"/>
  <c r="Q398" i="1" s="1"/>
  <c r="AS398" i="1" s="1"/>
  <c r="Q397" i="1" a="1"/>
  <c r="Q397" i="1" s="1"/>
  <c r="AS397" i="1" s="1"/>
  <c r="Q396" i="1" a="1"/>
  <c r="Q396" i="1" s="1"/>
  <c r="AS396" i="1" s="1"/>
  <c r="Q394" i="1" a="1"/>
  <c r="Q394" i="1" s="1"/>
  <c r="AS394" i="1" s="1"/>
  <c r="Q393" i="1" a="1"/>
  <c r="Q393" i="1" s="1"/>
  <c r="AS393" i="1" s="1"/>
  <c r="Q392" i="1" a="1"/>
  <c r="Q392" i="1" s="1"/>
  <c r="AS392" i="1" s="1"/>
  <c r="Q391" i="1" a="1"/>
  <c r="Q391" i="1" s="1"/>
  <c r="AS391" i="1" s="1"/>
  <c r="Q390" i="1" a="1"/>
  <c r="Q390" i="1" s="1"/>
  <c r="AS390" i="1" s="1"/>
  <c r="Q388" i="1" a="1"/>
  <c r="Q388" i="1" s="1"/>
  <c r="AS388" i="1" s="1"/>
  <c r="Q387" i="1" a="1"/>
  <c r="Q387" i="1" s="1"/>
  <c r="AS387" i="1" s="1"/>
  <c r="Q386" i="1" a="1"/>
  <c r="Q386" i="1" s="1"/>
  <c r="AS386" i="1" s="1"/>
  <c r="Q385" i="1" a="1"/>
  <c r="Q385" i="1" s="1"/>
  <c r="AS385" i="1" s="1"/>
  <c r="Q384" i="1" a="1"/>
  <c r="Q384" i="1" s="1"/>
  <c r="AS384" i="1" s="1"/>
  <c r="Q383" i="1" a="1"/>
  <c r="Q383" i="1" s="1"/>
  <c r="AS383" i="1" s="1"/>
  <c r="Q381" i="1" a="1"/>
  <c r="Q381" i="1" s="1"/>
  <c r="AS381" i="1" s="1"/>
  <c r="Q380" i="1" a="1"/>
  <c r="Q380" i="1" s="1"/>
  <c r="AS380" i="1" s="1"/>
  <c r="AS379" i="1"/>
  <c r="AS375" i="1"/>
  <c r="Q371" i="1" a="1"/>
  <c r="Q371" i="1" s="1"/>
  <c r="AS371" i="1" s="1"/>
  <c r="Q370" i="1" a="1"/>
  <c r="Q370" i="1" s="1"/>
  <c r="AS370" i="1" s="1"/>
  <c r="Q369" i="1" a="1"/>
  <c r="Q369" i="1" s="1"/>
  <c r="AS369" i="1" s="1"/>
  <c r="Q367" i="1" a="1"/>
  <c r="Q367" i="1" s="1"/>
  <c r="AS367" i="1" s="1"/>
  <c r="Q366" i="1" a="1"/>
  <c r="Q366" i="1" s="1"/>
  <c r="AS366" i="1" s="1"/>
  <c r="Q365" i="1" a="1"/>
  <c r="Q365" i="1" s="1"/>
  <c r="AS365" i="1" s="1"/>
  <c r="Q364" i="1" a="1"/>
  <c r="Q364" i="1" s="1"/>
  <c r="AS364" i="1" s="1"/>
  <c r="Q363" i="1" a="1"/>
  <c r="Q363" i="1" s="1"/>
  <c r="AS363" i="1" s="1"/>
  <c r="Q362" i="1" a="1"/>
  <c r="Q362" i="1" s="1"/>
  <c r="AS362" i="1" s="1"/>
  <c r="Q361" i="1" a="1"/>
  <c r="Q361" i="1" s="1"/>
  <c r="AS361" i="1" s="1"/>
  <c r="Q359" i="1" a="1"/>
  <c r="Q359" i="1" s="1"/>
  <c r="AS359" i="1" s="1"/>
  <c r="Q358" i="1" a="1"/>
  <c r="Q358" i="1" s="1"/>
  <c r="AS358" i="1" s="1"/>
  <c r="Q357" i="1" a="1"/>
  <c r="Q357" i="1" s="1"/>
  <c r="AS357" i="1" s="1"/>
  <c r="Q354" i="1" a="1"/>
  <c r="Q354" i="1" s="1"/>
  <c r="AS354" i="1" s="1"/>
  <c r="Q353" i="1" a="1"/>
  <c r="Q353" i="1" s="1"/>
  <c r="AS353" i="1" s="1"/>
  <c r="Q349" i="1" a="1"/>
  <c r="Q349" i="1" s="1"/>
  <c r="AS349" i="1" s="1"/>
  <c r="Q346" i="1" a="1"/>
  <c r="Q346" i="1" s="1"/>
  <c r="AS346" i="1" s="1"/>
  <c r="Q345" i="1" a="1"/>
  <c r="Q345" i="1" s="1"/>
  <c r="AS345" i="1" s="1"/>
  <c r="Q344" i="1" a="1"/>
  <c r="Q344" i="1" s="1"/>
  <c r="AS344" i="1" s="1"/>
  <c r="Q341" i="1" a="1"/>
  <c r="Q341" i="1" s="1"/>
  <c r="AS341" i="1" s="1"/>
  <c r="Q331" i="1" a="1"/>
  <c r="Q331" i="1" s="1"/>
  <c r="AS331" i="1" s="1"/>
  <c r="Q325" i="1" a="1"/>
  <c r="Q325" i="1" s="1"/>
  <c r="AS325" i="1" s="1"/>
  <c r="Q318" i="1" a="1"/>
  <c r="Q318" i="1" s="1"/>
  <c r="AS318" i="1" s="1"/>
  <c r="Q315" i="1" a="1"/>
  <c r="Q315" i="1" s="1"/>
  <c r="AS315" i="1" s="1"/>
  <c r="Q313" i="1" a="1"/>
  <c r="Q313" i="1" s="1"/>
  <c r="AS313" i="1" s="1"/>
  <c r="Q304" i="1" a="1"/>
  <c r="Q304" i="1" s="1"/>
  <c r="AS304" i="1" s="1"/>
  <c r="Q301" i="1" a="1"/>
  <c r="Q301" i="1" s="1"/>
  <c r="AS301" i="1" s="1"/>
  <c r="Q288" i="1" a="1"/>
  <c r="Q288" i="1" s="1"/>
  <c r="AS288" i="1" s="1"/>
  <c r="Q286" i="1" a="1"/>
  <c r="Q286" i="1" s="1"/>
  <c r="AS286" i="1" s="1"/>
  <c r="Q285" i="1" a="1"/>
  <c r="Q285" i="1" s="1"/>
  <c r="AS285" i="1" s="1"/>
  <c r="Q279" i="1" a="1"/>
  <c r="Q279" i="1" s="1"/>
  <c r="AS279" i="1" s="1"/>
  <c r="Q277" i="1" a="1"/>
  <c r="Q277" i="1" s="1"/>
  <c r="AS277" i="1" s="1"/>
  <c r="Q268" i="1" a="1"/>
  <c r="Q268" i="1" s="1"/>
  <c r="AS268" i="1" s="1"/>
  <c r="Q261" i="1" a="1"/>
  <c r="Q261" i="1" s="1"/>
  <c r="AS261" i="1" s="1"/>
  <c r="Q259" i="1" a="1"/>
  <c r="Q259" i="1" s="1"/>
  <c r="AS259" i="1" s="1"/>
  <c r="Q255" i="1" a="1"/>
  <c r="Q255" i="1" s="1"/>
  <c r="AS255" i="1" s="1"/>
  <c r="Q254" i="1" a="1"/>
  <c r="Q254" i="1" s="1"/>
  <c r="AS254" i="1" s="1"/>
  <c r="Q250" i="1" a="1"/>
  <c r="Q250" i="1" s="1"/>
  <c r="AS250" i="1" s="1"/>
  <c r="Q246" i="1" a="1"/>
  <c r="Q246" i="1" s="1"/>
  <c r="AS246" i="1" s="1"/>
  <c r="Q236" i="1" a="1"/>
  <c r="Q236" i="1" s="1"/>
  <c r="AS236" i="1" s="1"/>
  <c r="Q235" i="1" a="1"/>
  <c r="Q235" i="1" s="1"/>
  <c r="AS235" i="1" s="1"/>
  <c r="Q233" i="1" a="1"/>
  <c r="Q233" i="1" s="1"/>
  <c r="AS233" i="1" s="1"/>
  <c r="Q232" i="1" a="1"/>
  <c r="Q232" i="1" s="1"/>
  <c r="AS232" i="1" s="1"/>
  <c r="Q231" i="1" a="1"/>
  <c r="Q231" i="1" s="1"/>
  <c r="AS231" i="1" s="1"/>
  <c r="Q226" i="1" a="1"/>
  <c r="Q226" i="1" s="1"/>
  <c r="AS226" i="1" s="1"/>
  <c r="Q225" i="1" a="1"/>
  <c r="Q225" i="1" s="1"/>
  <c r="AS225" i="1" s="1"/>
  <c r="Q223" i="1" a="1"/>
  <c r="Q223" i="1" s="1"/>
  <c r="AS223" i="1" s="1"/>
  <c r="Q222" i="1" a="1"/>
  <c r="Q222" i="1" s="1"/>
  <c r="AS222" i="1" s="1"/>
  <c r="Q221" i="1" a="1"/>
  <c r="Q221" i="1" s="1"/>
  <c r="AS221" i="1" s="1"/>
  <c r="Q220" i="1" a="1"/>
  <c r="Q220" i="1" s="1"/>
  <c r="AS220" i="1" s="1"/>
  <c r="Q219" i="1" a="1"/>
  <c r="Q219" i="1" s="1"/>
  <c r="AS219" i="1" s="1"/>
  <c r="Q218" i="1" a="1"/>
  <c r="Q218" i="1" s="1"/>
  <c r="AS218" i="1" s="1"/>
  <c r="Q217" i="1" a="1"/>
  <c r="Q217" i="1" s="1"/>
  <c r="AS217" i="1" s="1"/>
  <c r="Q216" i="1" a="1"/>
  <c r="Q216" i="1" s="1"/>
  <c r="AS216" i="1" s="1"/>
  <c r="Q214" i="1" a="1"/>
  <c r="Q214" i="1" s="1"/>
  <c r="AS214" i="1" s="1"/>
  <c r="Q213" i="1" a="1"/>
  <c r="Q213" i="1" s="1"/>
  <c r="AS213" i="1" s="1"/>
  <c r="Q212" i="1" a="1"/>
  <c r="Q212" i="1" s="1"/>
  <c r="AS212" i="1" s="1"/>
  <c r="Q211" i="1" a="1"/>
  <c r="Q211" i="1" s="1"/>
  <c r="AS211" i="1" s="1"/>
  <c r="Q210" i="1" a="1"/>
  <c r="Q210" i="1" s="1"/>
  <c r="AS210" i="1" s="1"/>
  <c r="Q208" i="1" a="1"/>
  <c r="Q208" i="1" s="1"/>
  <c r="AS208" i="1" s="1"/>
  <c r="Q207" i="1" a="1"/>
  <c r="Q207" i="1" s="1"/>
  <c r="AS207" i="1" s="1"/>
  <c r="Q206" i="1" a="1"/>
  <c r="Q206" i="1" s="1"/>
  <c r="AS206" i="1" s="1"/>
  <c r="Q205" i="1" a="1"/>
  <c r="Q205" i="1" s="1"/>
  <c r="AS205" i="1" s="1"/>
  <c r="Q203" i="1" a="1"/>
  <c r="Q203" i="1" s="1"/>
  <c r="AS203" i="1" s="1"/>
  <c r="Q202" i="1" a="1"/>
  <c r="Q202" i="1" s="1"/>
  <c r="AS202" i="1" s="1"/>
  <c r="Q201" i="1" a="1"/>
  <c r="Q201" i="1" s="1"/>
  <c r="AS201" i="1" s="1"/>
  <c r="Q199" i="1" a="1"/>
  <c r="Q199" i="1" s="1"/>
  <c r="AS199" i="1" s="1"/>
  <c r="Q197" i="1" a="1"/>
  <c r="Q197" i="1" s="1"/>
  <c r="AS197" i="1" s="1"/>
  <c r="Q196" i="1" a="1"/>
  <c r="Q196" i="1" s="1"/>
  <c r="AS196" i="1" s="1"/>
  <c r="Q194" i="1" a="1"/>
  <c r="Q194" i="1" s="1"/>
  <c r="AS194" i="1" s="1"/>
  <c r="Q193" i="1" a="1"/>
  <c r="Q193" i="1" s="1"/>
  <c r="AS193" i="1" s="1"/>
  <c r="Q192" i="1" a="1"/>
  <c r="Q192" i="1" s="1"/>
  <c r="AS192" i="1" s="1"/>
  <c r="Q190" i="1" a="1"/>
  <c r="Q190" i="1" s="1"/>
  <c r="AS190" i="1" s="1"/>
  <c r="Q189" i="1" a="1"/>
  <c r="Q189" i="1" s="1"/>
  <c r="AS189" i="1" s="1"/>
  <c r="Q188" i="1" a="1"/>
  <c r="Q188" i="1" s="1"/>
  <c r="AS188" i="1" s="1"/>
  <c r="Q187" i="1" a="1"/>
  <c r="Q187" i="1" s="1"/>
  <c r="AS187" i="1" s="1"/>
  <c r="AS186" i="1"/>
  <c r="AS182" i="1"/>
  <c r="Q178" i="1" a="1"/>
  <c r="Q178" i="1" s="1"/>
  <c r="AS178" i="1" s="1"/>
  <c r="Q177" i="1" a="1"/>
  <c r="Q177" i="1" s="1"/>
  <c r="AS177" i="1" s="1"/>
  <c r="Q176" i="1" a="1"/>
  <c r="Q176" i="1" s="1"/>
  <c r="AS176" i="1" s="1"/>
  <c r="Q175" i="1" a="1"/>
  <c r="Q175" i="1" s="1"/>
  <c r="AS175" i="1" s="1"/>
  <c r="Q174" i="1" a="1"/>
  <c r="Q174" i="1" s="1"/>
  <c r="AS174" i="1" s="1"/>
  <c r="Q173" i="1" a="1"/>
  <c r="Q173" i="1" s="1"/>
  <c r="AS173" i="1" s="1"/>
  <c r="Q171" i="1" a="1"/>
  <c r="Q171" i="1" s="1"/>
  <c r="AS171" i="1" s="1"/>
  <c r="Q170" i="1" a="1"/>
  <c r="Q170" i="1" s="1"/>
  <c r="AS170" i="1" s="1"/>
  <c r="Q169" i="1" a="1"/>
  <c r="Q169" i="1" s="1"/>
  <c r="AS169" i="1" s="1"/>
  <c r="Q168" i="1" a="1"/>
  <c r="Q168" i="1" s="1"/>
  <c r="AS168" i="1" s="1"/>
  <c r="Q167" i="1" a="1"/>
  <c r="Q167" i="1" s="1"/>
  <c r="AS167" i="1" s="1"/>
  <c r="Q166" i="1" a="1"/>
  <c r="Q166" i="1" s="1"/>
  <c r="AS166" i="1" s="1"/>
  <c r="Q165" i="1" a="1"/>
  <c r="Q165" i="1" s="1"/>
  <c r="AS165" i="1" s="1"/>
  <c r="Q164" i="1" a="1"/>
  <c r="Q164" i="1" s="1"/>
  <c r="AS164" i="1" s="1"/>
  <c r="Q162" i="1" a="1"/>
  <c r="Q162" i="1" s="1"/>
  <c r="AS162" i="1" s="1"/>
  <c r="Q161" i="1" a="1"/>
  <c r="Q161" i="1" s="1"/>
  <c r="AS161" i="1" s="1"/>
  <c r="Q160" i="1" a="1"/>
  <c r="Q160" i="1" s="1"/>
  <c r="AS160" i="1" s="1"/>
  <c r="Q159" i="1" a="1"/>
  <c r="Q159" i="1" s="1"/>
  <c r="AS159" i="1" s="1"/>
  <c r="Q158" i="1" a="1"/>
  <c r="Q158" i="1" s="1"/>
  <c r="AS158" i="1" s="1"/>
  <c r="Q157" i="1" a="1"/>
  <c r="Q157" i="1" s="1"/>
  <c r="AS157" i="1" s="1"/>
  <c r="Q156" i="1" a="1"/>
  <c r="Q156" i="1" s="1"/>
  <c r="AS156" i="1" s="1"/>
  <c r="Q154" i="1" a="1"/>
  <c r="Q154" i="1" s="1"/>
  <c r="AS154" i="1" s="1"/>
  <c r="Q153" i="1" a="1"/>
  <c r="Q153" i="1" s="1"/>
  <c r="AS153" i="1" s="1"/>
  <c r="Q151" i="1" a="1"/>
  <c r="Q151" i="1" s="1"/>
  <c r="AS151" i="1" s="1"/>
  <c r="Q150" i="1" a="1"/>
  <c r="Q150" i="1" s="1"/>
  <c r="AS150" i="1" s="1"/>
  <c r="H148" i="1" a="1"/>
  <c r="H148" i="1" s="1"/>
  <c r="R148" i="1" s="1"/>
  <c r="K148" i="1"/>
  <c r="N148" i="1" s="1"/>
  <c r="Q148" i="1" a="1"/>
  <c r="Q148" i="1" s="1"/>
  <c r="AS148" i="1" s="1"/>
  <c r="AK148" i="1" a="1"/>
  <c r="AK148" i="1" s="1"/>
  <c r="AU148" i="1"/>
  <c r="BD148" i="1"/>
  <c r="H149" i="1" a="1"/>
  <c r="H149" i="1" s="1"/>
  <c r="R149" i="1" s="1"/>
  <c r="K149" i="1"/>
  <c r="N149" i="1" s="1"/>
  <c r="Q149" i="1" a="1"/>
  <c r="Q149" i="1" s="1"/>
  <c r="AS149" i="1" s="1"/>
  <c r="AK149" i="1" a="1"/>
  <c r="AK149" i="1" s="1"/>
  <c r="AU149" i="1"/>
  <c r="BD149" i="1"/>
  <c r="H150" i="1" a="1"/>
  <c r="H150" i="1" s="1"/>
  <c r="R150" i="1" s="1"/>
  <c r="K150" i="1"/>
  <c r="N150" i="1" s="1"/>
  <c r="AK150" i="1" a="1"/>
  <c r="AK150" i="1" s="1"/>
  <c r="AU150" i="1"/>
  <c r="BD150" i="1"/>
  <c r="H151" i="1" a="1"/>
  <c r="H151" i="1" s="1"/>
  <c r="R151" i="1" s="1"/>
  <c r="K151" i="1"/>
  <c r="N151" i="1" s="1"/>
  <c r="AK151" i="1" a="1"/>
  <c r="AK151" i="1" s="1"/>
  <c r="AU151" i="1"/>
  <c r="BD151" i="1"/>
  <c r="H152" i="1" a="1"/>
  <c r="H152" i="1" s="1"/>
  <c r="R152" i="1" s="1"/>
  <c r="K152" i="1"/>
  <c r="N152" i="1" s="1"/>
  <c r="Q152" i="1" a="1"/>
  <c r="Q152" i="1" s="1"/>
  <c r="AS152" i="1" s="1"/>
  <c r="AK152" i="1" a="1"/>
  <c r="AK152" i="1" s="1"/>
  <c r="AU152" i="1"/>
  <c r="BD152" i="1"/>
  <c r="H153" i="1" a="1"/>
  <c r="H153" i="1" s="1"/>
  <c r="R153" i="1" s="1"/>
  <c r="K153" i="1"/>
  <c r="N153" i="1" s="1"/>
  <c r="AK153" i="1" a="1"/>
  <c r="AK153" i="1" s="1"/>
  <c r="AU153" i="1"/>
  <c r="BD153" i="1"/>
  <c r="H154" i="1" a="1"/>
  <c r="H154" i="1" s="1"/>
  <c r="R154" i="1" s="1"/>
  <c r="K154" i="1"/>
  <c r="N154" i="1" s="1"/>
  <c r="AK154" i="1" a="1"/>
  <c r="AK154" i="1" s="1"/>
  <c r="AU154" i="1"/>
  <c r="BD154" i="1"/>
  <c r="H155" i="1" a="1"/>
  <c r="H155" i="1" s="1"/>
  <c r="R155" i="1" s="1"/>
  <c r="K155" i="1"/>
  <c r="N155" i="1" s="1"/>
  <c r="Q155" i="1" a="1"/>
  <c r="Q155" i="1" s="1"/>
  <c r="AS155" i="1" s="1"/>
  <c r="AK155" i="1" a="1"/>
  <c r="AK155" i="1" s="1"/>
  <c r="AU155" i="1"/>
  <c r="BD155" i="1"/>
  <c r="H156" i="1" a="1"/>
  <c r="H156" i="1" s="1"/>
  <c r="R156" i="1" s="1"/>
  <c r="K156" i="1"/>
  <c r="N156" i="1" s="1"/>
  <c r="AK156" i="1" a="1"/>
  <c r="AK156" i="1" s="1"/>
  <c r="AU156" i="1"/>
  <c r="BD156" i="1"/>
  <c r="H157" i="1" a="1"/>
  <c r="H157" i="1" s="1"/>
  <c r="R157" i="1" s="1"/>
  <c r="K157" i="1"/>
  <c r="N157" i="1" s="1"/>
  <c r="AK157" i="1" a="1"/>
  <c r="AK157" i="1" s="1"/>
  <c r="AU157" i="1"/>
  <c r="BD157" i="1"/>
  <c r="H158" i="1" a="1"/>
  <c r="H158" i="1" s="1"/>
  <c r="R158" i="1" s="1"/>
  <c r="K158" i="1"/>
  <c r="N158" i="1" s="1"/>
  <c r="AK158" i="1" a="1"/>
  <c r="AK158" i="1" s="1"/>
  <c r="AU158" i="1"/>
  <c r="BD158" i="1"/>
  <c r="H159" i="1" a="1"/>
  <c r="H159" i="1" s="1"/>
  <c r="R159" i="1" s="1"/>
  <c r="K159" i="1"/>
  <c r="N159" i="1" s="1"/>
  <c r="AK159" i="1" a="1"/>
  <c r="AK159" i="1" s="1"/>
  <c r="AU159" i="1"/>
  <c r="BD159" i="1"/>
  <c r="H160" i="1" a="1"/>
  <c r="H160" i="1" s="1"/>
  <c r="R160" i="1" s="1"/>
  <c r="K160" i="1"/>
  <c r="N160" i="1" s="1"/>
  <c r="AK160" i="1" a="1"/>
  <c r="AK160" i="1" s="1"/>
  <c r="AU160" i="1"/>
  <c r="BD160" i="1"/>
  <c r="H161" i="1" a="1"/>
  <c r="H161" i="1" s="1"/>
  <c r="R161" i="1" s="1"/>
  <c r="K161" i="1"/>
  <c r="N161" i="1" s="1"/>
  <c r="AK161" i="1" a="1"/>
  <c r="AK161" i="1" s="1"/>
  <c r="AU161" i="1"/>
  <c r="BD161" i="1"/>
  <c r="H162" i="1" a="1"/>
  <c r="H162" i="1" s="1"/>
  <c r="R162" i="1" s="1"/>
  <c r="K162" i="1"/>
  <c r="N162" i="1" s="1"/>
  <c r="AK162" i="1" a="1"/>
  <c r="AK162" i="1" s="1"/>
  <c r="AU162" i="1"/>
  <c r="BD162" i="1"/>
  <c r="H163" i="1" a="1"/>
  <c r="H163" i="1" s="1"/>
  <c r="R163" i="1" s="1"/>
  <c r="K163" i="1"/>
  <c r="N163" i="1" s="1"/>
  <c r="Q163" i="1" a="1"/>
  <c r="Q163" i="1" s="1"/>
  <c r="AS163" i="1" s="1"/>
  <c r="AK163" i="1" a="1"/>
  <c r="AK163" i="1" s="1"/>
  <c r="AU163" i="1"/>
  <c r="BD163" i="1"/>
  <c r="H164" i="1" a="1"/>
  <c r="H164" i="1" s="1"/>
  <c r="R164" i="1" s="1"/>
  <c r="K164" i="1"/>
  <c r="N164" i="1" s="1"/>
  <c r="AK164" i="1" a="1"/>
  <c r="AK164" i="1" s="1"/>
  <c r="AU164" i="1"/>
  <c r="BD164" i="1"/>
  <c r="H165" i="1" a="1"/>
  <c r="H165" i="1" s="1"/>
  <c r="R165" i="1" s="1"/>
  <c r="K165" i="1"/>
  <c r="N165" i="1" s="1"/>
  <c r="AK165" i="1" a="1"/>
  <c r="AK165" i="1" s="1"/>
  <c r="AU165" i="1"/>
  <c r="BD165" i="1"/>
  <c r="H166" i="1" a="1"/>
  <c r="H166" i="1" s="1"/>
  <c r="R166" i="1" s="1"/>
  <c r="K166" i="1"/>
  <c r="N166" i="1" s="1"/>
  <c r="AK166" i="1" a="1"/>
  <c r="AK166" i="1" s="1"/>
  <c r="AU166" i="1"/>
  <c r="BD166" i="1"/>
  <c r="H167" i="1" a="1"/>
  <c r="H167" i="1" s="1"/>
  <c r="R167" i="1" s="1"/>
  <c r="K167" i="1"/>
  <c r="N167" i="1" s="1"/>
  <c r="AK167" i="1" a="1"/>
  <c r="AK167" i="1" s="1"/>
  <c r="AU167" i="1"/>
  <c r="BD167" i="1"/>
  <c r="H168" i="1" a="1"/>
  <c r="H168" i="1" s="1"/>
  <c r="R168" i="1" s="1"/>
  <c r="K168" i="1"/>
  <c r="N168" i="1" s="1"/>
  <c r="AK168" i="1" a="1"/>
  <c r="AK168" i="1" s="1"/>
  <c r="AU168" i="1"/>
  <c r="BD168" i="1"/>
  <c r="H169" i="1" a="1"/>
  <c r="H169" i="1" s="1"/>
  <c r="R169" i="1" s="1"/>
  <c r="K169" i="1"/>
  <c r="N169" i="1" s="1"/>
  <c r="AK169" i="1" a="1"/>
  <c r="AK169" i="1" s="1"/>
  <c r="AU169" i="1"/>
  <c r="BD169" i="1"/>
  <c r="H170" i="1" a="1"/>
  <c r="H170" i="1" s="1"/>
  <c r="R170" i="1" s="1"/>
  <c r="K170" i="1"/>
  <c r="N170" i="1" s="1"/>
  <c r="AK170" i="1" a="1"/>
  <c r="AK170" i="1" s="1"/>
  <c r="AU170" i="1"/>
  <c r="BD170" i="1"/>
  <c r="H171" i="1" a="1"/>
  <c r="H171" i="1" s="1"/>
  <c r="R171" i="1" s="1"/>
  <c r="K171" i="1"/>
  <c r="N171" i="1" s="1"/>
  <c r="AK171" i="1" a="1"/>
  <c r="AK171" i="1" s="1"/>
  <c r="AU171" i="1"/>
  <c r="BD171" i="1"/>
  <c r="H172" i="1" a="1"/>
  <c r="H172" i="1" s="1"/>
  <c r="R172" i="1" s="1"/>
  <c r="K172" i="1"/>
  <c r="N172" i="1" s="1"/>
  <c r="Q172" i="1" a="1"/>
  <c r="Q172" i="1" s="1"/>
  <c r="AS172" i="1" s="1"/>
  <c r="AK172" i="1" a="1"/>
  <c r="AK172" i="1" s="1"/>
  <c r="AU172" i="1"/>
  <c r="BD172" i="1"/>
  <c r="H173" i="1" a="1"/>
  <c r="H173" i="1" s="1"/>
  <c r="R173" i="1" s="1"/>
  <c r="K173" i="1"/>
  <c r="N173" i="1" s="1"/>
  <c r="AK173" i="1" a="1"/>
  <c r="AK173" i="1" s="1"/>
  <c r="AU173" i="1"/>
  <c r="BD173" i="1"/>
  <c r="H174" i="1" a="1"/>
  <c r="H174" i="1" s="1"/>
  <c r="R174" i="1" s="1"/>
  <c r="K174" i="1"/>
  <c r="N174" i="1" s="1"/>
  <c r="AK174" i="1" a="1"/>
  <c r="AK174" i="1" s="1"/>
  <c r="AU174" i="1"/>
  <c r="BD174" i="1"/>
  <c r="H175" i="1" a="1"/>
  <c r="H175" i="1" s="1"/>
  <c r="R175" i="1" s="1"/>
  <c r="K175" i="1"/>
  <c r="N175" i="1" s="1"/>
  <c r="AK175" i="1" a="1"/>
  <c r="AK175" i="1" s="1"/>
  <c r="AU175" i="1"/>
  <c r="BD175" i="1"/>
  <c r="H176" i="1" a="1"/>
  <c r="H176" i="1" s="1"/>
  <c r="R176" i="1" s="1"/>
  <c r="K176" i="1"/>
  <c r="N176" i="1" s="1"/>
  <c r="AK176" i="1" a="1"/>
  <c r="AK176" i="1" s="1"/>
  <c r="AU176" i="1"/>
  <c r="BD176" i="1"/>
  <c r="H177" i="1" a="1"/>
  <c r="H177" i="1" s="1"/>
  <c r="R177" i="1" s="1"/>
  <c r="K177" i="1"/>
  <c r="N177" i="1" s="1"/>
  <c r="AK177" i="1" a="1"/>
  <c r="AK177" i="1" s="1"/>
  <c r="AU177" i="1"/>
  <c r="BD177" i="1"/>
  <c r="H178" i="1" a="1"/>
  <c r="H178" i="1" s="1"/>
  <c r="R178" i="1" s="1"/>
  <c r="K178" i="1"/>
  <c r="N178" i="1" s="1"/>
  <c r="AK178" i="1" a="1"/>
  <c r="AK178" i="1" s="1"/>
  <c r="AU178" i="1"/>
  <c r="BD178" i="1"/>
  <c r="K182" i="1"/>
  <c r="N182" i="1"/>
  <c r="O182" i="1"/>
  <c r="AK182" i="1" a="1"/>
  <c r="AK182" i="1" s="1"/>
  <c r="AU182" i="1"/>
  <c r="BD182" i="1"/>
  <c r="K186" i="1"/>
  <c r="N186" i="1"/>
  <c r="O186" i="1"/>
  <c r="AK186" i="1" a="1"/>
  <c r="AK186" i="1" s="1"/>
  <c r="AU186" i="1"/>
  <c r="BD186" i="1"/>
  <c r="H187" i="1" a="1"/>
  <c r="H187" i="1" s="1"/>
  <c r="R187" i="1" s="1"/>
  <c r="K187" i="1"/>
  <c r="N187" i="1" s="1"/>
  <c r="AK187" i="1" a="1"/>
  <c r="AK187" i="1" s="1"/>
  <c r="AU187" i="1"/>
  <c r="BD187" i="1"/>
  <c r="H188" i="1" a="1"/>
  <c r="H188" i="1" s="1"/>
  <c r="R188" i="1" s="1"/>
  <c r="K188" i="1"/>
  <c r="N188" i="1" s="1"/>
  <c r="AK188" i="1" a="1"/>
  <c r="AK188" i="1" s="1"/>
  <c r="AU188" i="1"/>
  <c r="BD188" i="1"/>
  <c r="H189" i="1" a="1"/>
  <c r="H189" i="1" s="1"/>
  <c r="R189" i="1" s="1"/>
  <c r="K189" i="1"/>
  <c r="N189" i="1" s="1"/>
  <c r="AK189" i="1" a="1"/>
  <c r="AK189" i="1" s="1"/>
  <c r="AU189" i="1"/>
  <c r="BD189" i="1"/>
  <c r="H190" i="1" a="1"/>
  <c r="H190" i="1" s="1"/>
  <c r="R190" i="1" s="1"/>
  <c r="K190" i="1"/>
  <c r="N190" i="1" s="1"/>
  <c r="AK190" i="1" a="1"/>
  <c r="AK190" i="1" s="1"/>
  <c r="AU190" i="1"/>
  <c r="BD190" i="1"/>
  <c r="H191" i="1" a="1"/>
  <c r="H191" i="1" s="1"/>
  <c r="R191" i="1" s="1"/>
  <c r="K191" i="1"/>
  <c r="N191" i="1" s="1"/>
  <c r="Q191" i="1" a="1"/>
  <c r="Q191" i="1" s="1"/>
  <c r="AS191" i="1" s="1"/>
  <c r="AK191" i="1" a="1"/>
  <c r="AK191" i="1" s="1"/>
  <c r="AU191" i="1"/>
  <c r="BD191" i="1"/>
  <c r="H192" i="1" a="1"/>
  <c r="H192" i="1" s="1"/>
  <c r="R192" i="1" s="1"/>
  <c r="K192" i="1"/>
  <c r="N192" i="1" s="1"/>
  <c r="AK192" i="1" a="1"/>
  <c r="AK192" i="1" s="1"/>
  <c r="AU192" i="1"/>
  <c r="BD192" i="1"/>
  <c r="H193" i="1" a="1"/>
  <c r="H193" i="1" s="1"/>
  <c r="R193" i="1" s="1"/>
  <c r="K193" i="1"/>
  <c r="N193" i="1" s="1"/>
  <c r="AK193" i="1" a="1"/>
  <c r="AK193" i="1" s="1"/>
  <c r="AU193" i="1"/>
  <c r="BD193" i="1"/>
  <c r="H194" i="1" a="1"/>
  <c r="H194" i="1" s="1"/>
  <c r="R194" i="1" s="1"/>
  <c r="K194" i="1"/>
  <c r="N194" i="1" s="1"/>
  <c r="AK194" i="1" a="1"/>
  <c r="AK194" i="1" s="1"/>
  <c r="AU194" i="1"/>
  <c r="BD194" i="1"/>
  <c r="H195" i="1" a="1"/>
  <c r="H195" i="1" s="1"/>
  <c r="R195" i="1" s="1"/>
  <c r="K195" i="1"/>
  <c r="N195" i="1" s="1"/>
  <c r="Q195" i="1" a="1"/>
  <c r="Q195" i="1" s="1"/>
  <c r="AS195" i="1" s="1"/>
  <c r="AK195" i="1" a="1"/>
  <c r="AK195" i="1" s="1"/>
  <c r="AU195" i="1"/>
  <c r="BD195" i="1"/>
  <c r="H196" i="1" a="1"/>
  <c r="H196" i="1" s="1"/>
  <c r="R196" i="1" s="1"/>
  <c r="K196" i="1"/>
  <c r="N196" i="1" s="1"/>
  <c r="AK196" i="1" a="1"/>
  <c r="AK196" i="1" s="1"/>
  <c r="AU196" i="1"/>
  <c r="BD196" i="1"/>
  <c r="H197" i="1" a="1"/>
  <c r="H197" i="1" s="1"/>
  <c r="R197" i="1" s="1"/>
  <c r="K197" i="1"/>
  <c r="N197" i="1" s="1"/>
  <c r="AK197" i="1" a="1"/>
  <c r="AK197" i="1" s="1"/>
  <c r="AU197" i="1"/>
  <c r="BD197" i="1"/>
  <c r="H198" i="1" a="1"/>
  <c r="H198" i="1" s="1"/>
  <c r="R198" i="1" s="1"/>
  <c r="K198" i="1"/>
  <c r="N198" i="1" s="1"/>
  <c r="Q198" i="1" a="1"/>
  <c r="Q198" i="1" s="1"/>
  <c r="AS198" i="1" s="1"/>
  <c r="AK198" i="1" a="1"/>
  <c r="AK198" i="1" s="1"/>
  <c r="AU198" i="1"/>
  <c r="BD198" i="1"/>
  <c r="H199" i="1" a="1"/>
  <c r="H199" i="1" s="1"/>
  <c r="R199" i="1" s="1"/>
  <c r="K199" i="1"/>
  <c r="N199" i="1" s="1"/>
  <c r="AK199" i="1" a="1"/>
  <c r="AK199" i="1" s="1"/>
  <c r="AU199" i="1"/>
  <c r="BD199" i="1"/>
  <c r="H200" i="1" a="1"/>
  <c r="H200" i="1" s="1"/>
  <c r="R200" i="1" s="1"/>
  <c r="K200" i="1"/>
  <c r="N200" i="1" s="1"/>
  <c r="Q200" i="1" a="1"/>
  <c r="Q200" i="1" s="1"/>
  <c r="AS200" i="1" s="1"/>
  <c r="AK200" i="1" a="1"/>
  <c r="AK200" i="1" s="1"/>
  <c r="AU200" i="1"/>
  <c r="BD200" i="1"/>
  <c r="H201" i="1" a="1"/>
  <c r="H201" i="1" s="1"/>
  <c r="R201" i="1" s="1"/>
  <c r="K201" i="1"/>
  <c r="N201" i="1" s="1"/>
  <c r="AK201" i="1" a="1"/>
  <c r="AK201" i="1" s="1"/>
  <c r="AU201" i="1"/>
  <c r="BD201" i="1"/>
  <c r="H202" i="1" a="1"/>
  <c r="H202" i="1" s="1"/>
  <c r="R202" i="1" s="1"/>
  <c r="K202" i="1"/>
  <c r="N202" i="1" s="1"/>
  <c r="AK202" i="1" a="1"/>
  <c r="AK202" i="1" s="1"/>
  <c r="AU202" i="1"/>
  <c r="BD202" i="1"/>
  <c r="H203" i="1" a="1"/>
  <c r="H203" i="1" s="1"/>
  <c r="R203" i="1" s="1"/>
  <c r="K203" i="1"/>
  <c r="N203" i="1" s="1"/>
  <c r="AK203" i="1" a="1"/>
  <c r="AK203" i="1" s="1"/>
  <c r="AU203" i="1"/>
  <c r="BD203" i="1"/>
  <c r="H204" i="1" a="1"/>
  <c r="H204" i="1" s="1"/>
  <c r="R204" i="1" s="1"/>
  <c r="K204" i="1"/>
  <c r="N204" i="1" s="1"/>
  <c r="Q204" i="1" a="1"/>
  <c r="Q204" i="1" s="1"/>
  <c r="AS204" i="1" s="1"/>
  <c r="AK204" i="1" a="1"/>
  <c r="AK204" i="1" s="1"/>
  <c r="AU204" i="1"/>
  <c r="BD204" i="1"/>
  <c r="H205" i="1" a="1"/>
  <c r="H205" i="1" s="1"/>
  <c r="R205" i="1" s="1"/>
  <c r="K205" i="1"/>
  <c r="N205" i="1" s="1"/>
  <c r="AK205" i="1" a="1"/>
  <c r="AK205" i="1" s="1"/>
  <c r="AU205" i="1"/>
  <c r="BD205" i="1"/>
  <c r="H206" i="1" a="1"/>
  <c r="H206" i="1" s="1"/>
  <c r="R206" i="1" s="1"/>
  <c r="K206" i="1"/>
  <c r="N206" i="1" s="1"/>
  <c r="AK206" i="1" a="1"/>
  <c r="AK206" i="1" s="1"/>
  <c r="AU206" i="1"/>
  <c r="BD206" i="1"/>
  <c r="H207" i="1" a="1"/>
  <c r="H207" i="1" s="1"/>
  <c r="R207" i="1" s="1"/>
  <c r="K207" i="1"/>
  <c r="N207" i="1" s="1"/>
  <c r="AK207" i="1" a="1"/>
  <c r="AK207" i="1" s="1"/>
  <c r="AU207" i="1"/>
  <c r="BD207" i="1"/>
  <c r="H208" i="1" a="1"/>
  <c r="H208" i="1" s="1"/>
  <c r="R208" i="1" s="1"/>
  <c r="K208" i="1"/>
  <c r="N208" i="1" s="1"/>
  <c r="AK208" i="1" a="1"/>
  <c r="AK208" i="1" s="1"/>
  <c r="AU208" i="1"/>
  <c r="BD208" i="1"/>
  <c r="H209" i="1" a="1"/>
  <c r="H209" i="1" s="1"/>
  <c r="R209" i="1" s="1"/>
  <c r="K209" i="1"/>
  <c r="N209" i="1" s="1"/>
  <c r="Q209" i="1" a="1"/>
  <c r="Q209" i="1" s="1"/>
  <c r="AS209" i="1" s="1"/>
  <c r="AK209" i="1" a="1"/>
  <c r="AK209" i="1" s="1"/>
  <c r="AU209" i="1"/>
  <c r="BD209" i="1"/>
  <c r="H210" i="1" a="1"/>
  <c r="H210" i="1" s="1"/>
  <c r="R210" i="1" s="1"/>
  <c r="K210" i="1"/>
  <c r="N210" i="1" s="1"/>
  <c r="AK210" i="1" a="1"/>
  <c r="AK210" i="1" s="1"/>
  <c r="AU210" i="1"/>
  <c r="BD210" i="1"/>
  <c r="H211" i="1" a="1"/>
  <c r="H211" i="1" s="1"/>
  <c r="R211" i="1" s="1"/>
  <c r="K211" i="1"/>
  <c r="N211" i="1" s="1"/>
  <c r="AK211" i="1" a="1"/>
  <c r="AK211" i="1" s="1"/>
  <c r="AU211" i="1"/>
  <c r="BD211" i="1"/>
  <c r="H212" i="1" a="1"/>
  <c r="H212" i="1" s="1"/>
  <c r="R212" i="1" s="1"/>
  <c r="K212" i="1"/>
  <c r="N212" i="1" s="1"/>
  <c r="AK212" i="1" a="1"/>
  <c r="AK212" i="1" s="1"/>
  <c r="AU212" i="1"/>
  <c r="BD212" i="1"/>
  <c r="H213" i="1" a="1"/>
  <c r="H213" i="1" s="1"/>
  <c r="R213" i="1" s="1"/>
  <c r="K213" i="1"/>
  <c r="N213" i="1" s="1"/>
  <c r="AK213" i="1" a="1"/>
  <c r="AK213" i="1" s="1"/>
  <c r="AU213" i="1"/>
  <c r="BD213" i="1"/>
  <c r="H214" i="1" a="1"/>
  <c r="H214" i="1" s="1"/>
  <c r="R214" i="1" s="1"/>
  <c r="K214" i="1"/>
  <c r="N214" i="1" s="1"/>
  <c r="AK214" i="1" a="1"/>
  <c r="AK214" i="1" s="1"/>
  <c r="AU214" i="1"/>
  <c r="BD214" i="1"/>
  <c r="H215" i="1" a="1"/>
  <c r="H215" i="1" s="1"/>
  <c r="R215" i="1" s="1"/>
  <c r="K215" i="1"/>
  <c r="N215" i="1" s="1"/>
  <c r="Q215" i="1" a="1"/>
  <c r="Q215" i="1" s="1"/>
  <c r="AS215" i="1" s="1"/>
  <c r="AK215" i="1" a="1"/>
  <c r="AK215" i="1" s="1"/>
  <c r="AU215" i="1"/>
  <c r="BD215" i="1"/>
  <c r="H216" i="1" a="1"/>
  <c r="H216" i="1" s="1"/>
  <c r="R216" i="1" s="1"/>
  <c r="K216" i="1"/>
  <c r="N216" i="1" s="1"/>
  <c r="AK216" i="1" a="1"/>
  <c r="AK216" i="1" s="1"/>
  <c r="AU216" i="1"/>
  <c r="BD216" i="1"/>
  <c r="H217" i="1" a="1"/>
  <c r="H217" i="1" s="1"/>
  <c r="R217" i="1" s="1"/>
  <c r="K217" i="1"/>
  <c r="N217" i="1" s="1"/>
  <c r="AK217" i="1" a="1"/>
  <c r="AK217" i="1" s="1"/>
  <c r="AU217" i="1"/>
  <c r="BD217" i="1"/>
  <c r="H218" i="1" a="1"/>
  <c r="H218" i="1" s="1"/>
  <c r="R218" i="1" s="1"/>
  <c r="K218" i="1"/>
  <c r="N218" i="1" s="1"/>
  <c r="AK218" i="1" a="1"/>
  <c r="AK218" i="1" s="1"/>
  <c r="AU218" i="1"/>
  <c r="BD218" i="1"/>
  <c r="H219" i="1" a="1"/>
  <c r="H219" i="1" s="1"/>
  <c r="R219" i="1" s="1"/>
  <c r="K219" i="1"/>
  <c r="N219" i="1" s="1"/>
  <c r="AK219" i="1" a="1"/>
  <c r="AK219" i="1" s="1"/>
  <c r="AU219" i="1"/>
  <c r="BD219" i="1"/>
  <c r="H220" i="1" a="1"/>
  <c r="H220" i="1" s="1"/>
  <c r="R220" i="1" s="1"/>
  <c r="K220" i="1"/>
  <c r="N220" i="1" s="1"/>
  <c r="AK220" i="1" a="1"/>
  <c r="AK220" i="1" s="1"/>
  <c r="AU220" i="1"/>
  <c r="BD220" i="1"/>
  <c r="H221" i="1" a="1"/>
  <c r="H221" i="1" s="1"/>
  <c r="R221" i="1" s="1"/>
  <c r="K221" i="1"/>
  <c r="N221" i="1" s="1"/>
  <c r="AK221" i="1" a="1"/>
  <c r="AK221" i="1" s="1"/>
  <c r="AU221" i="1"/>
  <c r="BD221" i="1"/>
  <c r="H222" i="1" a="1"/>
  <c r="H222" i="1" s="1"/>
  <c r="R222" i="1" s="1"/>
  <c r="K222" i="1"/>
  <c r="N222" i="1" s="1"/>
  <c r="AK222" i="1" a="1"/>
  <c r="AK222" i="1" s="1"/>
  <c r="AU222" i="1"/>
  <c r="BD222" i="1"/>
  <c r="H223" i="1" a="1"/>
  <c r="H223" i="1" s="1"/>
  <c r="R223" i="1" s="1"/>
  <c r="K223" i="1"/>
  <c r="N223" i="1" s="1"/>
  <c r="AK223" i="1" a="1"/>
  <c r="AK223" i="1" s="1"/>
  <c r="AU223" i="1"/>
  <c r="BD223" i="1"/>
  <c r="H224" i="1" a="1"/>
  <c r="H224" i="1" s="1"/>
  <c r="R224" i="1" s="1"/>
  <c r="K224" i="1"/>
  <c r="N224" i="1" s="1"/>
  <c r="Q224" i="1" a="1"/>
  <c r="Q224" i="1" s="1"/>
  <c r="AS224" i="1" s="1"/>
  <c r="AK224" i="1" a="1"/>
  <c r="AK224" i="1" s="1"/>
  <c r="AU224" i="1"/>
  <c r="BD224" i="1"/>
  <c r="H225" i="1" a="1"/>
  <c r="H225" i="1" s="1"/>
  <c r="R225" i="1" s="1"/>
  <c r="K225" i="1"/>
  <c r="N225" i="1" s="1"/>
  <c r="AK225" i="1" a="1"/>
  <c r="AK225" i="1" s="1"/>
  <c r="AU225" i="1"/>
  <c r="BD225" i="1"/>
  <c r="H226" i="1" a="1"/>
  <c r="H226" i="1" s="1"/>
  <c r="R226" i="1" s="1"/>
  <c r="K226" i="1"/>
  <c r="N226" i="1" s="1"/>
  <c r="AK226" i="1" a="1"/>
  <c r="AK226" i="1" s="1"/>
  <c r="AU226" i="1"/>
  <c r="BD226" i="1"/>
  <c r="H227" i="1" a="1"/>
  <c r="H227" i="1" s="1"/>
  <c r="R227" i="1" s="1"/>
  <c r="K227" i="1"/>
  <c r="N227" i="1" s="1"/>
  <c r="Q227" i="1" a="1"/>
  <c r="Q227" i="1" s="1"/>
  <c r="AS227" i="1" s="1"/>
  <c r="AK227" i="1" a="1"/>
  <c r="AK227" i="1" s="1"/>
  <c r="AU227" i="1"/>
  <c r="BD227" i="1"/>
  <c r="H228" i="1" a="1"/>
  <c r="H228" i="1" s="1"/>
  <c r="R228" i="1" s="1"/>
  <c r="K228" i="1"/>
  <c r="N228" i="1" s="1"/>
  <c r="Q228" i="1" a="1"/>
  <c r="Q228" i="1" s="1"/>
  <c r="AS228" i="1" s="1"/>
  <c r="AK228" i="1" a="1"/>
  <c r="AK228" i="1" s="1"/>
  <c r="AU228" i="1"/>
  <c r="BD228" i="1"/>
  <c r="H229" i="1" a="1"/>
  <c r="H229" i="1" s="1"/>
  <c r="R229" i="1" s="1"/>
  <c r="K229" i="1"/>
  <c r="N229" i="1" s="1"/>
  <c r="Q229" i="1" a="1"/>
  <c r="Q229" i="1" s="1"/>
  <c r="AS229" i="1" s="1"/>
  <c r="AK229" i="1" a="1"/>
  <c r="AK229" i="1" s="1"/>
  <c r="AU229" i="1"/>
  <c r="BD229" i="1"/>
  <c r="H230" i="1" a="1"/>
  <c r="H230" i="1" s="1"/>
  <c r="R230" i="1" s="1"/>
  <c r="K230" i="1"/>
  <c r="N230" i="1" s="1"/>
  <c r="Q230" i="1" a="1"/>
  <c r="Q230" i="1" s="1"/>
  <c r="AS230" i="1" s="1"/>
  <c r="AK230" i="1" a="1"/>
  <c r="AK230" i="1" s="1"/>
  <c r="AU230" i="1"/>
  <c r="BD230" i="1"/>
  <c r="H231" i="1" a="1"/>
  <c r="H231" i="1" s="1"/>
  <c r="R231" i="1" s="1"/>
  <c r="K231" i="1"/>
  <c r="N231" i="1" s="1"/>
  <c r="AK231" i="1" a="1"/>
  <c r="AK231" i="1" s="1"/>
  <c r="AU231" i="1"/>
  <c r="BD231" i="1"/>
  <c r="H232" i="1" a="1"/>
  <c r="H232" i="1" s="1"/>
  <c r="R232" i="1" s="1"/>
  <c r="K232" i="1"/>
  <c r="N232" i="1" s="1"/>
  <c r="AK232" i="1" a="1"/>
  <c r="AK232" i="1" s="1"/>
  <c r="AU232" i="1"/>
  <c r="BD232" i="1"/>
  <c r="H233" i="1" a="1"/>
  <c r="H233" i="1" s="1"/>
  <c r="R233" i="1" s="1"/>
  <c r="K233" i="1"/>
  <c r="N233" i="1" s="1"/>
  <c r="AK233" i="1" a="1"/>
  <c r="AK233" i="1" s="1"/>
  <c r="AU233" i="1"/>
  <c r="BD233" i="1"/>
  <c r="H234" i="1" a="1"/>
  <c r="H234" i="1" s="1"/>
  <c r="R234" i="1" s="1"/>
  <c r="K234" i="1"/>
  <c r="N234" i="1" s="1"/>
  <c r="Q234" i="1" a="1"/>
  <c r="Q234" i="1" s="1"/>
  <c r="AS234" i="1" s="1"/>
  <c r="AK234" i="1" a="1"/>
  <c r="AK234" i="1" s="1"/>
  <c r="AU234" i="1"/>
  <c r="BD234" i="1"/>
  <c r="H235" i="1" a="1"/>
  <c r="H235" i="1" s="1"/>
  <c r="R235" i="1" s="1"/>
  <c r="K235" i="1"/>
  <c r="N235" i="1" s="1"/>
  <c r="AK235" i="1" a="1"/>
  <c r="AK235" i="1" s="1"/>
  <c r="AU235" i="1"/>
  <c r="BD235" i="1"/>
  <c r="H236" i="1" a="1"/>
  <c r="H236" i="1" s="1"/>
  <c r="R236" i="1" s="1"/>
  <c r="K236" i="1"/>
  <c r="N236" i="1" s="1"/>
  <c r="AK236" i="1" a="1"/>
  <c r="AK236" i="1" s="1"/>
  <c r="AU236" i="1"/>
  <c r="BD236" i="1"/>
  <c r="H237" i="1" a="1"/>
  <c r="H237" i="1" s="1"/>
  <c r="R237" i="1" s="1"/>
  <c r="K237" i="1"/>
  <c r="N237" i="1" s="1"/>
  <c r="Q237" i="1" a="1"/>
  <c r="Q237" i="1" s="1"/>
  <c r="AS237" i="1" s="1"/>
  <c r="AK237" i="1" a="1"/>
  <c r="AK237" i="1" s="1"/>
  <c r="AU237" i="1"/>
  <c r="BD237" i="1"/>
  <c r="H238" i="1" a="1"/>
  <c r="H238" i="1" s="1"/>
  <c r="R238" i="1" s="1"/>
  <c r="K238" i="1"/>
  <c r="N238" i="1" s="1"/>
  <c r="Q238" i="1" a="1"/>
  <c r="Q238" i="1" s="1"/>
  <c r="AS238" i="1" s="1"/>
  <c r="AK238" i="1" a="1"/>
  <c r="AK238" i="1" s="1"/>
  <c r="AU238" i="1"/>
  <c r="BD238" i="1"/>
  <c r="H239" i="1" a="1"/>
  <c r="H239" i="1" s="1"/>
  <c r="R239" i="1" s="1"/>
  <c r="K239" i="1"/>
  <c r="N239" i="1" s="1"/>
  <c r="Q239" i="1" a="1"/>
  <c r="Q239" i="1" s="1"/>
  <c r="AS239" i="1" s="1"/>
  <c r="AK239" i="1" a="1"/>
  <c r="AK239" i="1" s="1"/>
  <c r="AU239" i="1"/>
  <c r="BD239" i="1"/>
  <c r="H240" i="1" a="1"/>
  <c r="H240" i="1" s="1"/>
  <c r="R240" i="1" s="1"/>
  <c r="K240" i="1"/>
  <c r="N240" i="1" s="1"/>
  <c r="Q240" i="1" a="1"/>
  <c r="Q240" i="1" s="1"/>
  <c r="AS240" i="1" s="1"/>
  <c r="AK240" i="1" a="1"/>
  <c r="AK240" i="1" s="1"/>
  <c r="AU240" i="1"/>
  <c r="BD240" i="1"/>
  <c r="H241" i="1" a="1"/>
  <c r="H241" i="1" s="1"/>
  <c r="R241" i="1" s="1"/>
  <c r="K241" i="1"/>
  <c r="N241" i="1" s="1"/>
  <c r="Q241" i="1" a="1"/>
  <c r="Q241" i="1" s="1"/>
  <c r="AS241" i="1" s="1"/>
  <c r="AK241" i="1" a="1"/>
  <c r="AK241" i="1" s="1"/>
  <c r="AU241" i="1"/>
  <c r="BD241" i="1"/>
  <c r="H242" i="1" a="1"/>
  <c r="H242" i="1" s="1"/>
  <c r="R242" i="1" s="1"/>
  <c r="K242" i="1"/>
  <c r="N242" i="1" s="1"/>
  <c r="Q242" i="1" a="1"/>
  <c r="Q242" i="1" s="1"/>
  <c r="AS242" i="1" s="1"/>
  <c r="AK242" i="1" a="1"/>
  <c r="AK242" i="1" s="1"/>
  <c r="AU242" i="1"/>
  <c r="BD242" i="1"/>
  <c r="H243" i="1" a="1"/>
  <c r="H243" i="1" s="1"/>
  <c r="R243" i="1" s="1"/>
  <c r="K243" i="1"/>
  <c r="N243" i="1" s="1"/>
  <c r="Q243" i="1" a="1"/>
  <c r="Q243" i="1" s="1"/>
  <c r="AS243" i="1" s="1"/>
  <c r="AK243" i="1" a="1"/>
  <c r="AK243" i="1" s="1"/>
  <c r="AU243" i="1"/>
  <c r="BD243" i="1"/>
  <c r="H244" i="1" a="1"/>
  <c r="H244" i="1" s="1"/>
  <c r="R244" i="1" s="1"/>
  <c r="K244" i="1"/>
  <c r="N244" i="1" s="1"/>
  <c r="Q244" i="1" a="1"/>
  <c r="Q244" i="1" s="1"/>
  <c r="AS244" i="1" s="1"/>
  <c r="AK244" i="1" a="1"/>
  <c r="AK244" i="1" s="1"/>
  <c r="AU244" i="1"/>
  <c r="BD244" i="1"/>
  <c r="H245" i="1" a="1"/>
  <c r="H245" i="1" s="1"/>
  <c r="R245" i="1" s="1"/>
  <c r="K245" i="1"/>
  <c r="N245" i="1" s="1"/>
  <c r="Q245" i="1" a="1"/>
  <c r="Q245" i="1" s="1"/>
  <c r="AS245" i="1" s="1"/>
  <c r="AK245" i="1" a="1"/>
  <c r="AK245" i="1" s="1"/>
  <c r="AU245" i="1"/>
  <c r="BD245" i="1"/>
  <c r="H246" i="1" a="1"/>
  <c r="H246" i="1" s="1"/>
  <c r="R246" i="1" s="1"/>
  <c r="K246" i="1"/>
  <c r="N246" i="1" s="1"/>
  <c r="AK246" i="1" a="1"/>
  <c r="AK246" i="1" s="1"/>
  <c r="AU246" i="1"/>
  <c r="BD246" i="1"/>
  <c r="H247" i="1" a="1"/>
  <c r="H247" i="1" s="1"/>
  <c r="R247" i="1" s="1"/>
  <c r="K247" i="1"/>
  <c r="N247" i="1" s="1"/>
  <c r="Q247" i="1" a="1"/>
  <c r="Q247" i="1" s="1"/>
  <c r="AS247" i="1" s="1"/>
  <c r="AK247" i="1" a="1"/>
  <c r="AK247" i="1" s="1"/>
  <c r="AU247" i="1"/>
  <c r="BD247" i="1"/>
  <c r="H248" i="1" a="1"/>
  <c r="H248" i="1" s="1"/>
  <c r="R248" i="1" s="1"/>
  <c r="K248" i="1"/>
  <c r="N248" i="1" s="1"/>
  <c r="Q248" i="1" a="1"/>
  <c r="Q248" i="1" s="1"/>
  <c r="AS248" i="1" s="1"/>
  <c r="AK248" i="1" a="1"/>
  <c r="AK248" i="1" s="1"/>
  <c r="AU248" i="1"/>
  <c r="BD248" i="1"/>
  <c r="H249" i="1" a="1"/>
  <c r="H249" i="1" s="1"/>
  <c r="R249" i="1" s="1"/>
  <c r="K249" i="1"/>
  <c r="N249" i="1" s="1"/>
  <c r="Q249" i="1" a="1"/>
  <c r="Q249" i="1" s="1"/>
  <c r="AS249" i="1" s="1"/>
  <c r="AK249" i="1" a="1"/>
  <c r="AK249" i="1" s="1"/>
  <c r="AU249" i="1"/>
  <c r="BD249" i="1"/>
  <c r="H250" i="1" a="1"/>
  <c r="H250" i="1" s="1"/>
  <c r="R250" i="1" s="1"/>
  <c r="K250" i="1"/>
  <c r="N250" i="1" s="1"/>
  <c r="AK250" i="1" a="1"/>
  <c r="AK250" i="1" s="1"/>
  <c r="AU250" i="1"/>
  <c r="BD250" i="1"/>
  <c r="H251" i="1" a="1"/>
  <c r="H251" i="1" s="1"/>
  <c r="R251" i="1" s="1"/>
  <c r="K251" i="1"/>
  <c r="N251" i="1" s="1"/>
  <c r="Q251" i="1" a="1"/>
  <c r="Q251" i="1" s="1"/>
  <c r="AS251" i="1" s="1"/>
  <c r="AK251" i="1" a="1"/>
  <c r="AK251" i="1" s="1"/>
  <c r="AU251" i="1"/>
  <c r="BD251" i="1"/>
  <c r="H252" i="1" a="1"/>
  <c r="H252" i="1" s="1"/>
  <c r="R252" i="1" s="1"/>
  <c r="K252" i="1"/>
  <c r="N252" i="1" s="1"/>
  <c r="Q252" i="1" a="1"/>
  <c r="Q252" i="1" s="1"/>
  <c r="AS252" i="1" s="1"/>
  <c r="AK252" i="1" a="1"/>
  <c r="AK252" i="1" s="1"/>
  <c r="AU252" i="1"/>
  <c r="BD252" i="1"/>
  <c r="H253" i="1" a="1"/>
  <c r="H253" i="1" s="1"/>
  <c r="R253" i="1" s="1"/>
  <c r="K253" i="1"/>
  <c r="N253" i="1" s="1"/>
  <c r="Q253" i="1" a="1"/>
  <c r="Q253" i="1" s="1"/>
  <c r="AS253" i="1" s="1"/>
  <c r="AK253" i="1" a="1"/>
  <c r="AK253" i="1" s="1"/>
  <c r="AU253" i="1"/>
  <c r="BD253" i="1"/>
  <c r="H254" i="1" a="1"/>
  <c r="H254" i="1" s="1"/>
  <c r="R254" i="1" s="1"/>
  <c r="K254" i="1"/>
  <c r="N254" i="1" s="1"/>
  <c r="AK254" i="1" a="1"/>
  <c r="AK254" i="1" s="1"/>
  <c r="AU254" i="1"/>
  <c r="BD254" i="1"/>
  <c r="H255" i="1" a="1"/>
  <c r="H255" i="1" s="1"/>
  <c r="R255" i="1" s="1"/>
  <c r="K255" i="1"/>
  <c r="N255" i="1" s="1"/>
  <c r="AK255" i="1" a="1"/>
  <c r="AK255" i="1" s="1"/>
  <c r="AU255" i="1"/>
  <c r="BD255" i="1"/>
  <c r="H256" i="1" a="1"/>
  <c r="H256" i="1" s="1"/>
  <c r="R256" i="1" s="1"/>
  <c r="K256" i="1"/>
  <c r="N256" i="1" s="1"/>
  <c r="Q256" i="1" a="1"/>
  <c r="Q256" i="1" s="1"/>
  <c r="AS256" i="1" s="1"/>
  <c r="AK256" i="1" a="1"/>
  <c r="AK256" i="1" s="1"/>
  <c r="AU256" i="1"/>
  <c r="BD256" i="1"/>
  <c r="H257" i="1" a="1"/>
  <c r="H257" i="1" s="1"/>
  <c r="R257" i="1" s="1"/>
  <c r="K257" i="1"/>
  <c r="N257" i="1" s="1"/>
  <c r="Q257" i="1" a="1"/>
  <c r="Q257" i="1" s="1"/>
  <c r="AS257" i="1" s="1"/>
  <c r="AK257" i="1" a="1"/>
  <c r="AK257" i="1" s="1"/>
  <c r="AU257" i="1"/>
  <c r="BD257" i="1"/>
  <c r="H258" i="1" a="1"/>
  <c r="H258" i="1" s="1"/>
  <c r="R258" i="1" s="1"/>
  <c r="K258" i="1"/>
  <c r="N258" i="1" s="1"/>
  <c r="Q258" i="1" a="1"/>
  <c r="Q258" i="1" s="1"/>
  <c r="AS258" i="1" s="1"/>
  <c r="AK258" i="1" a="1"/>
  <c r="AK258" i="1" s="1"/>
  <c r="AU258" i="1"/>
  <c r="BD258" i="1"/>
  <c r="H259" i="1" a="1"/>
  <c r="H259" i="1" s="1"/>
  <c r="R259" i="1" s="1"/>
  <c r="K259" i="1"/>
  <c r="N259" i="1" s="1"/>
  <c r="AK259" i="1" a="1"/>
  <c r="AK259" i="1" s="1"/>
  <c r="AU259" i="1"/>
  <c r="BD259" i="1"/>
  <c r="H260" i="1" a="1"/>
  <c r="H260" i="1" s="1"/>
  <c r="R260" i="1" s="1"/>
  <c r="K260" i="1"/>
  <c r="N260" i="1" s="1"/>
  <c r="Q260" i="1" a="1"/>
  <c r="Q260" i="1" s="1"/>
  <c r="AS260" i="1" s="1"/>
  <c r="AK260" i="1" a="1"/>
  <c r="AK260" i="1" s="1"/>
  <c r="AU260" i="1"/>
  <c r="BD260" i="1"/>
  <c r="H261" i="1" a="1"/>
  <c r="H261" i="1" s="1"/>
  <c r="R261" i="1" s="1"/>
  <c r="K261" i="1"/>
  <c r="N261" i="1" s="1"/>
  <c r="AK261" i="1" a="1"/>
  <c r="AK261" i="1" s="1"/>
  <c r="AU261" i="1"/>
  <c r="BD261" i="1"/>
  <c r="H262" i="1" a="1"/>
  <c r="H262" i="1" s="1"/>
  <c r="R262" i="1" s="1"/>
  <c r="K262" i="1"/>
  <c r="N262" i="1" s="1"/>
  <c r="Q262" i="1" a="1"/>
  <c r="Q262" i="1" s="1"/>
  <c r="AS262" i="1" s="1"/>
  <c r="AK262" i="1" a="1"/>
  <c r="AK262" i="1" s="1"/>
  <c r="AU262" i="1"/>
  <c r="BD262" i="1"/>
  <c r="H263" i="1" a="1"/>
  <c r="H263" i="1" s="1"/>
  <c r="R263" i="1" s="1"/>
  <c r="K263" i="1"/>
  <c r="N263" i="1" s="1"/>
  <c r="Q263" i="1" a="1"/>
  <c r="Q263" i="1" s="1"/>
  <c r="AS263" i="1" s="1"/>
  <c r="AK263" i="1" a="1"/>
  <c r="AK263" i="1" s="1"/>
  <c r="AU263" i="1"/>
  <c r="BD263" i="1"/>
  <c r="H264" i="1" a="1"/>
  <c r="H264" i="1" s="1"/>
  <c r="R264" i="1" s="1"/>
  <c r="K264" i="1"/>
  <c r="N264" i="1" s="1"/>
  <c r="Q264" i="1" a="1"/>
  <c r="Q264" i="1" s="1"/>
  <c r="AS264" i="1" s="1"/>
  <c r="AK264" i="1" a="1"/>
  <c r="AK264" i="1" s="1"/>
  <c r="AU264" i="1"/>
  <c r="BD264" i="1"/>
  <c r="H265" i="1" a="1"/>
  <c r="H265" i="1" s="1"/>
  <c r="R265" i="1" s="1"/>
  <c r="K265" i="1"/>
  <c r="N265" i="1" s="1"/>
  <c r="Q265" i="1" a="1"/>
  <c r="Q265" i="1" s="1"/>
  <c r="AS265" i="1" s="1"/>
  <c r="AK265" i="1" a="1"/>
  <c r="AK265" i="1" s="1"/>
  <c r="AU265" i="1"/>
  <c r="BD265" i="1"/>
  <c r="H266" i="1" a="1"/>
  <c r="H266" i="1" s="1"/>
  <c r="R266" i="1" s="1"/>
  <c r="K266" i="1"/>
  <c r="N266" i="1" s="1"/>
  <c r="Q266" i="1" a="1"/>
  <c r="Q266" i="1" s="1"/>
  <c r="AS266" i="1" s="1"/>
  <c r="AK266" i="1" a="1"/>
  <c r="AK266" i="1" s="1"/>
  <c r="AU266" i="1"/>
  <c r="BD266" i="1"/>
  <c r="H267" i="1" a="1"/>
  <c r="H267" i="1" s="1"/>
  <c r="R267" i="1" s="1"/>
  <c r="K267" i="1"/>
  <c r="N267" i="1" s="1"/>
  <c r="Q267" i="1" a="1"/>
  <c r="Q267" i="1" s="1"/>
  <c r="AS267" i="1" s="1"/>
  <c r="AK267" i="1" a="1"/>
  <c r="AK267" i="1" s="1"/>
  <c r="AU267" i="1"/>
  <c r="BD267" i="1"/>
  <c r="H268" i="1" a="1"/>
  <c r="H268" i="1" s="1"/>
  <c r="R268" i="1" s="1"/>
  <c r="K268" i="1"/>
  <c r="N268" i="1" s="1"/>
  <c r="AK268" i="1" a="1"/>
  <c r="AK268" i="1" s="1"/>
  <c r="AU268" i="1"/>
  <c r="BD268" i="1"/>
  <c r="H269" i="1" a="1"/>
  <c r="H269" i="1" s="1"/>
  <c r="R269" i="1" s="1"/>
  <c r="K269" i="1"/>
  <c r="N269" i="1" s="1"/>
  <c r="Q269" i="1" a="1"/>
  <c r="Q269" i="1" s="1"/>
  <c r="AS269" i="1" s="1"/>
  <c r="AK269" i="1" a="1"/>
  <c r="AK269" i="1" s="1"/>
  <c r="AU269" i="1"/>
  <c r="BD269" i="1"/>
  <c r="H270" i="1" a="1"/>
  <c r="H270" i="1" s="1"/>
  <c r="R270" i="1" s="1"/>
  <c r="K270" i="1"/>
  <c r="N270" i="1" s="1"/>
  <c r="Q270" i="1" a="1"/>
  <c r="Q270" i="1" s="1"/>
  <c r="AS270" i="1" s="1"/>
  <c r="AK270" i="1" a="1"/>
  <c r="AK270" i="1" s="1"/>
  <c r="AU270" i="1"/>
  <c r="BD270" i="1"/>
  <c r="H271" i="1" a="1"/>
  <c r="H271" i="1" s="1"/>
  <c r="R271" i="1" s="1"/>
  <c r="K271" i="1"/>
  <c r="N271" i="1" s="1"/>
  <c r="Q271" i="1" a="1"/>
  <c r="Q271" i="1" s="1"/>
  <c r="AS271" i="1" s="1"/>
  <c r="AK271" i="1" a="1"/>
  <c r="AK271" i="1" s="1"/>
  <c r="AU271" i="1"/>
  <c r="BD271" i="1"/>
  <c r="H272" i="1" a="1"/>
  <c r="H272" i="1" s="1"/>
  <c r="R272" i="1" s="1"/>
  <c r="K272" i="1"/>
  <c r="N272" i="1" s="1"/>
  <c r="Q272" i="1" a="1"/>
  <c r="Q272" i="1" s="1"/>
  <c r="AS272" i="1" s="1"/>
  <c r="AK272" i="1" a="1"/>
  <c r="AK272" i="1" s="1"/>
  <c r="AU272" i="1"/>
  <c r="BD272" i="1"/>
  <c r="H273" i="1" a="1"/>
  <c r="H273" i="1" s="1"/>
  <c r="R273" i="1" s="1"/>
  <c r="K273" i="1"/>
  <c r="N273" i="1" s="1"/>
  <c r="Q273" i="1" a="1"/>
  <c r="Q273" i="1" s="1"/>
  <c r="AS273" i="1" s="1"/>
  <c r="AK273" i="1" a="1"/>
  <c r="AK273" i="1" s="1"/>
  <c r="AU273" i="1"/>
  <c r="BD273" i="1"/>
  <c r="H274" i="1" a="1"/>
  <c r="H274" i="1" s="1"/>
  <c r="R274" i="1" s="1"/>
  <c r="K274" i="1"/>
  <c r="N274" i="1" s="1"/>
  <c r="Q274" i="1" a="1"/>
  <c r="Q274" i="1" s="1"/>
  <c r="AS274" i="1" s="1"/>
  <c r="AK274" i="1" a="1"/>
  <c r="AK274" i="1" s="1"/>
  <c r="AU274" i="1"/>
  <c r="BD274" i="1"/>
  <c r="H275" i="1" a="1"/>
  <c r="H275" i="1" s="1"/>
  <c r="R275" i="1" s="1"/>
  <c r="K275" i="1"/>
  <c r="N275" i="1" s="1"/>
  <c r="Q275" i="1" a="1"/>
  <c r="Q275" i="1" s="1"/>
  <c r="AS275" i="1" s="1"/>
  <c r="AK275" i="1" a="1"/>
  <c r="AK275" i="1" s="1"/>
  <c r="AU275" i="1"/>
  <c r="BD275" i="1"/>
  <c r="H276" i="1" a="1"/>
  <c r="H276" i="1" s="1"/>
  <c r="R276" i="1" s="1"/>
  <c r="K276" i="1"/>
  <c r="N276" i="1" s="1"/>
  <c r="Q276" i="1" a="1"/>
  <c r="Q276" i="1" s="1"/>
  <c r="AS276" i="1" s="1"/>
  <c r="AK276" i="1" a="1"/>
  <c r="AK276" i="1" s="1"/>
  <c r="AU276" i="1"/>
  <c r="BD276" i="1"/>
  <c r="H277" i="1" a="1"/>
  <c r="H277" i="1" s="1"/>
  <c r="R277" i="1" s="1"/>
  <c r="K277" i="1"/>
  <c r="N277" i="1" s="1"/>
  <c r="AK277" i="1" a="1"/>
  <c r="AK277" i="1" s="1"/>
  <c r="AU277" i="1"/>
  <c r="BD277" i="1"/>
  <c r="H278" i="1" a="1"/>
  <c r="H278" i="1" s="1"/>
  <c r="R278" i="1" s="1"/>
  <c r="K278" i="1"/>
  <c r="N278" i="1" s="1"/>
  <c r="Q278" i="1" a="1"/>
  <c r="Q278" i="1" s="1"/>
  <c r="AS278" i="1" s="1"/>
  <c r="AK278" i="1" a="1"/>
  <c r="AK278" i="1" s="1"/>
  <c r="AU278" i="1"/>
  <c r="BD278" i="1"/>
  <c r="H279" i="1" a="1"/>
  <c r="H279" i="1" s="1"/>
  <c r="R279" i="1" s="1"/>
  <c r="K279" i="1"/>
  <c r="N279" i="1" s="1"/>
  <c r="AK279" i="1" a="1"/>
  <c r="AK279" i="1" s="1"/>
  <c r="AU279" i="1"/>
  <c r="BD279" i="1"/>
  <c r="H280" i="1" a="1"/>
  <c r="H280" i="1" s="1"/>
  <c r="R280" i="1" s="1"/>
  <c r="K280" i="1"/>
  <c r="N280" i="1" s="1"/>
  <c r="Q280" i="1" a="1"/>
  <c r="Q280" i="1" s="1"/>
  <c r="AS280" i="1" s="1"/>
  <c r="AK280" i="1" a="1"/>
  <c r="AK280" i="1" s="1"/>
  <c r="AU280" i="1"/>
  <c r="BD280" i="1"/>
  <c r="H281" i="1" a="1"/>
  <c r="H281" i="1" s="1"/>
  <c r="R281" i="1" s="1"/>
  <c r="K281" i="1"/>
  <c r="N281" i="1" s="1"/>
  <c r="Q281" i="1" a="1"/>
  <c r="Q281" i="1" s="1"/>
  <c r="AS281" i="1" s="1"/>
  <c r="AK281" i="1" a="1"/>
  <c r="AK281" i="1" s="1"/>
  <c r="AU281" i="1"/>
  <c r="BD281" i="1"/>
  <c r="H282" i="1" a="1"/>
  <c r="H282" i="1" s="1"/>
  <c r="R282" i="1" s="1"/>
  <c r="K282" i="1"/>
  <c r="N282" i="1" s="1"/>
  <c r="Q282" i="1" a="1"/>
  <c r="Q282" i="1" s="1"/>
  <c r="AS282" i="1" s="1"/>
  <c r="AK282" i="1" a="1"/>
  <c r="AK282" i="1" s="1"/>
  <c r="AU282" i="1"/>
  <c r="BD282" i="1"/>
  <c r="H283" i="1" a="1"/>
  <c r="H283" i="1" s="1"/>
  <c r="R283" i="1" s="1"/>
  <c r="K283" i="1"/>
  <c r="N283" i="1" s="1"/>
  <c r="Q283" i="1" a="1"/>
  <c r="Q283" i="1" s="1"/>
  <c r="AS283" i="1" s="1"/>
  <c r="AK283" i="1" a="1"/>
  <c r="AK283" i="1" s="1"/>
  <c r="AU283" i="1"/>
  <c r="BD283" i="1"/>
  <c r="H284" i="1" a="1"/>
  <c r="H284" i="1" s="1"/>
  <c r="R284" i="1" s="1"/>
  <c r="K284" i="1"/>
  <c r="N284" i="1" s="1"/>
  <c r="Q284" i="1" a="1"/>
  <c r="Q284" i="1" s="1"/>
  <c r="AS284" i="1" s="1"/>
  <c r="AK284" i="1" a="1"/>
  <c r="AK284" i="1" s="1"/>
  <c r="AU284" i="1"/>
  <c r="BD284" i="1"/>
  <c r="H285" i="1" a="1"/>
  <c r="H285" i="1" s="1"/>
  <c r="R285" i="1" s="1"/>
  <c r="K285" i="1"/>
  <c r="N285" i="1" s="1"/>
  <c r="AK285" i="1" a="1"/>
  <c r="AK285" i="1" s="1"/>
  <c r="AU285" i="1"/>
  <c r="BD285" i="1"/>
  <c r="H286" i="1" a="1"/>
  <c r="H286" i="1" s="1"/>
  <c r="R286" i="1" s="1"/>
  <c r="K286" i="1"/>
  <c r="N286" i="1" s="1"/>
  <c r="AK286" i="1" a="1"/>
  <c r="AK286" i="1" s="1"/>
  <c r="AU286" i="1"/>
  <c r="BD286" i="1"/>
  <c r="H287" i="1" a="1"/>
  <c r="H287" i="1" s="1"/>
  <c r="R287" i="1" s="1"/>
  <c r="K287" i="1"/>
  <c r="N287" i="1" s="1"/>
  <c r="Q287" i="1" a="1"/>
  <c r="Q287" i="1" s="1"/>
  <c r="AS287" i="1" s="1"/>
  <c r="AK287" i="1" a="1"/>
  <c r="AK287" i="1" s="1"/>
  <c r="AU287" i="1"/>
  <c r="BD287" i="1"/>
  <c r="H288" i="1" a="1"/>
  <c r="H288" i="1" s="1"/>
  <c r="R288" i="1" s="1"/>
  <c r="K288" i="1"/>
  <c r="N288" i="1" s="1"/>
  <c r="AK288" i="1" a="1"/>
  <c r="AK288" i="1" s="1"/>
  <c r="AU288" i="1"/>
  <c r="BD288" i="1"/>
  <c r="H289" i="1" a="1"/>
  <c r="H289" i="1" s="1"/>
  <c r="R289" i="1" s="1"/>
  <c r="K289" i="1"/>
  <c r="N289" i="1" s="1"/>
  <c r="Q289" i="1" a="1"/>
  <c r="Q289" i="1" s="1"/>
  <c r="AS289" i="1" s="1"/>
  <c r="AK289" i="1" a="1"/>
  <c r="AK289" i="1" s="1"/>
  <c r="AU289" i="1"/>
  <c r="BD289" i="1"/>
  <c r="H290" i="1" a="1"/>
  <c r="H290" i="1" s="1"/>
  <c r="R290" i="1" s="1"/>
  <c r="K290" i="1"/>
  <c r="N290" i="1" s="1"/>
  <c r="Q290" i="1" a="1"/>
  <c r="Q290" i="1" s="1"/>
  <c r="AS290" i="1" s="1"/>
  <c r="AK290" i="1" a="1"/>
  <c r="AK290" i="1" s="1"/>
  <c r="AU290" i="1"/>
  <c r="BD290" i="1"/>
  <c r="H291" i="1" a="1"/>
  <c r="H291" i="1" s="1"/>
  <c r="R291" i="1" s="1"/>
  <c r="K291" i="1"/>
  <c r="N291" i="1" s="1"/>
  <c r="Q291" i="1" a="1"/>
  <c r="Q291" i="1" s="1"/>
  <c r="AS291" i="1" s="1"/>
  <c r="AK291" i="1" a="1"/>
  <c r="AK291" i="1" s="1"/>
  <c r="AU291" i="1"/>
  <c r="BD291" i="1"/>
  <c r="H292" i="1" a="1"/>
  <c r="H292" i="1" s="1"/>
  <c r="R292" i="1" s="1"/>
  <c r="K292" i="1"/>
  <c r="N292" i="1" s="1"/>
  <c r="Q292" i="1" a="1"/>
  <c r="Q292" i="1" s="1"/>
  <c r="AS292" i="1" s="1"/>
  <c r="AK292" i="1" a="1"/>
  <c r="AK292" i="1" s="1"/>
  <c r="AU292" i="1"/>
  <c r="BD292" i="1"/>
  <c r="H293" i="1" a="1"/>
  <c r="H293" i="1" s="1"/>
  <c r="R293" i="1" s="1"/>
  <c r="K293" i="1"/>
  <c r="N293" i="1" s="1"/>
  <c r="Q293" i="1" a="1"/>
  <c r="Q293" i="1" s="1"/>
  <c r="AS293" i="1" s="1"/>
  <c r="AK293" i="1" a="1"/>
  <c r="AK293" i="1" s="1"/>
  <c r="AU293" i="1"/>
  <c r="BD293" i="1"/>
  <c r="H294" i="1" a="1"/>
  <c r="H294" i="1" s="1"/>
  <c r="R294" i="1" s="1"/>
  <c r="K294" i="1"/>
  <c r="N294" i="1" s="1"/>
  <c r="Q294" i="1" a="1"/>
  <c r="Q294" i="1" s="1"/>
  <c r="AS294" i="1" s="1"/>
  <c r="AK294" i="1" a="1"/>
  <c r="AK294" i="1" s="1"/>
  <c r="AU294" i="1"/>
  <c r="BD294" i="1"/>
  <c r="K295" i="1"/>
  <c r="N295" i="1" s="1"/>
  <c r="O295" i="1"/>
  <c r="AS295" i="1"/>
  <c r="AK295" i="1" a="1"/>
  <c r="AK295" i="1" s="1"/>
  <c r="AU295" i="1"/>
  <c r="BD295" i="1"/>
  <c r="K299" i="1"/>
  <c r="N299" i="1"/>
  <c r="O299" i="1"/>
  <c r="AS299" i="1"/>
  <c r="AK299" i="1" a="1"/>
  <c r="AK299" i="1" s="1"/>
  <c r="AU299" i="1"/>
  <c r="BD299" i="1"/>
  <c r="H300" i="1" a="1"/>
  <c r="H300" i="1" s="1"/>
  <c r="R300" i="1" s="1"/>
  <c r="K300" i="1"/>
  <c r="N300" i="1" s="1"/>
  <c r="Q300" i="1" a="1"/>
  <c r="Q300" i="1" s="1"/>
  <c r="AS300" i="1" s="1"/>
  <c r="AK300" i="1" a="1"/>
  <c r="AK300" i="1" s="1"/>
  <c r="AU300" i="1"/>
  <c r="BD300" i="1"/>
  <c r="H301" i="1" a="1"/>
  <c r="H301" i="1" s="1"/>
  <c r="R301" i="1" s="1"/>
  <c r="K301" i="1"/>
  <c r="N301" i="1" s="1"/>
  <c r="AK301" i="1" a="1"/>
  <c r="AK301" i="1" s="1"/>
  <c r="AU301" i="1"/>
  <c r="BD301" i="1"/>
  <c r="H302" i="1" a="1"/>
  <c r="H302" i="1" s="1"/>
  <c r="R302" i="1" s="1"/>
  <c r="K302" i="1"/>
  <c r="N302" i="1" s="1"/>
  <c r="Q302" i="1" a="1"/>
  <c r="Q302" i="1" s="1"/>
  <c r="AS302" i="1" s="1"/>
  <c r="AK302" i="1" a="1"/>
  <c r="AK302" i="1" s="1"/>
  <c r="AU302" i="1"/>
  <c r="BD302" i="1"/>
  <c r="H303" i="1" a="1"/>
  <c r="H303" i="1" s="1"/>
  <c r="R303" i="1" s="1"/>
  <c r="K303" i="1"/>
  <c r="N303" i="1" s="1"/>
  <c r="Q303" i="1" a="1"/>
  <c r="Q303" i="1" s="1"/>
  <c r="AS303" i="1" s="1"/>
  <c r="AK303" i="1" a="1"/>
  <c r="AK303" i="1" s="1"/>
  <c r="AU303" i="1"/>
  <c r="BD303" i="1"/>
  <c r="H304" i="1" a="1"/>
  <c r="H304" i="1" s="1"/>
  <c r="R304" i="1" s="1"/>
  <c r="K304" i="1"/>
  <c r="N304" i="1" s="1"/>
  <c r="AK304" i="1" a="1"/>
  <c r="AK304" i="1" s="1"/>
  <c r="AU304" i="1"/>
  <c r="BD304" i="1"/>
  <c r="H305" i="1" a="1"/>
  <c r="H305" i="1" s="1"/>
  <c r="R305" i="1" s="1"/>
  <c r="K305" i="1"/>
  <c r="N305" i="1" s="1"/>
  <c r="Q305" i="1" a="1"/>
  <c r="Q305" i="1" s="1"/>
  <c r="AS305" i="1" s="1"/>
  <c r="AK305" i="1" a="1"/>
  <c r="AK305" i="1" s="1"/>
  <c r="AU305" i="1"/>
  <c r="BD305" i="1"/>
  <c r="H306" i="1" a="1"/>
  <c r="H306" i="1" s="1"/>
  <c r="R306" i="1" s="1"/>
  <c r="K306" i="1"/>
  <c r="N306" i="1" s="1"/>
  <c r="Q306" i="1" a="1"/>
  <c r="Q306" i="1" s="1"/>
  <c r="AS306" i="1" s="1"/>
  <c r="AK306" i="1" a="1"/>
  <c r="AK306" i="1" s="1"/>
  <c r="AU306" i="1"/>
  <c r="BD306" i="1"/>
  <c r="H307" i="1" a="1"/>
  <c r="H307" i="1" s="1"/>
  <c r="R307" i="1" s="1"/>
  <c r="K307" i="1"/>
  <c r="N307" i="1" s="1"/>
  <c r="Q307" i="1" a="1"/>
  <c r="Q307" i="1" s="1"/>
  <c r="AS307" i="1" s="1"/>
  <c r="AK307" i="1" a="1"/>
  <c r="AK307" i="1" s="1"/>
  <c r="AU307" i="1"/>
  <c r="BD307" i="1"/>
  <c r="H308" i="1" a="1"/>
  <c r="H308" i="1" s="1"/>
  <c r="R308" i="1" s="1"/>
  <c r="K308" i="1"/>
  <c r="N308" i="1" s="1"/>
  <c r="Q308" i="1" a="1"/>
  <c r="Q308" i="1" s="1"/>
  <c r="AS308" i="1" s="1"/>
  <c r="AK308" i="1" a="1"/>
  <c r="AK308" i="1" s="1"/>
  <c r="AU308" i="1"/>
  <c r="BD308" i="1"/>
  <c r="H309" i="1" a="1"/>
  <c r="H309" i="1" s="1"/>
  <c r="R309" i="1" s="1"/>
  <c r="K309" i="1"/>
  <c r="N309" i="1" s="1"/>
  <c r="Q309" i="1" a="1"/>
  <c r="Q309" i="1" s="1"/>
  <c r="AS309" i="1" s="1"/>
  <c r="AK309" i="1" a="1"/>
  <c r="AK309" i="1" s="1"/>
  <c r="AU309" i="1"/>
  <c r="BD309" i="1"/>
  <c r="H310" i="1" a="1"/>
  <c r="H310" i="1" s="1"/>
  <c r="R310" i="1" s="1"/>
  <c r="K310" i="1"/>
  <c r="N310" i="1" s="1"/>
  <c r="Q310" i="1" a="1"/>
  <c r="Q310" i="1" s="1"/>
  <c r="AS310" i="1" s="1"/>
  <c r="AK310" i="1" a="1"/>
  <c r="AK310" i="1" s="1"/>
  <c r="AU310" i="1"/>
  <c r="BD310" i="1"/>
  <c r="H311" i="1" a="1"/>
  <c r="H311" i="1" s="1"/>
  <c r="R311" i="1" s="1"/>
  <c r="K311" i="1"/>
  <c r="N311" i="1" s="1"/>
  <c r="Q311" i="1" a="1"/>
  <c r="Q311" i="1" s="1"/>
  <c r="AS311" i="1" s="1"/>
  <c r="AK311" i="1" a="1"/>
  <c r="AK311" i="1" s="1"/>
  <c r="AU311" i="1"/>
  <c r="BD311" i="1"/>
  <c r="H312" i="1" a="1"/>
  <c r="H312" i="1" s="1"/>
  <c r="R312" i="1" s="1"/>
  <c r="K312" i="1"/>
  <c r="N312" i="1" s="1"/>
  <c r="Q312" i="1" a="1"/>
  <c r="Q312" i="1" s="1"/>
  <c r="AS312" i="1" s="1"/>
  <c r="AK312" i="1" a="1"/>
  <c r="AK312" i="1" s="1"/>
  <c r="AU312" i="1"/>
  <c r="BD312" i="1"/>
  <c r="H313" i="1" a="1"/>
  <c r="H313" i="1" s="1"/>
  <c r="R313" i="1" s="1"/>
  <c r="K313" i="1"/>
  <c r="N313" i="1" s="1"/>
  <c r="AK313" i="1" a="1"/>
  <c r="AK313" i="1" s="1"/>
  <c r="AU313" i="1"/>
  <c r="BD313" i="1"/>
  <c r="H314" i="1" a="1"/>
  <c r="H314" i="1" s="1"/>
  <c r="R314" i="1" s="1"/>
  <c r="K314" i="1"/>
  <c r="N314" i="1" s="1"/>
  <c r="Q314" i="1" a="1"/>
  <c r="Q314" i="1" s="1"/>
  <c r="AS314" i="1" s="1"/>
  <c r="AK314" i="1" a="1"/>
  <c r="AK314" i="1" s="1"/>
  <c r="AU314" i="1"/>
  <c r="BD314" i="1"/>
  <c r="H315" i="1" a="1"/>
  <c r="H315" i="1" s="1"/>
  <c r="R315" i="1" s="1"/>
  <c r="K315" i="1"/>
  <c r="N315" i="1" s="1"/>
  <c r="AK315" i="1" a="1"/>
  <c r="AK315" i="1" s="1"/>
  <c r="AU315" i="1"/>
  <c r="BD315" i="1"/>
  <c r="H316" i="1" a="1"/>
  <c r="H316" i="1" s="1"/>
  <c r="R316" i="1" s="1"/>
  <c r="K316" i="1"/>
  <c r="N316" i="1" s="1"/>
  <c r="Q316" i="1" a="1"/>
  <c r="Q316" i="1" s="1"/>
  <c r="AS316" i="1" s="1"/>
  <c r="AK316" i="1" a="1"/>
  <c r="AK316" i="1" s="1"/>
  <c r="AU316" i="1"/>
  <c r="BD316" i="1"/>
  <c r="H317" i="1" a="1"/>
  <c r="H317" i="1" s="1"/>
  <c r="R317" i="1" s="1"/>
  <c r="K317" i="1"/>
  <c r="N317" i="1" s="1"/>
  <c r="Q317" i="1" a="1"/>
  <c r="Q317" i="1" s="1"/>
  <c r="AS317" i="1" s="1"/>
  <c r="AK317" i="1" a="1"/>
  <c r="AK317" i="1" s="1"/>
  <c r="AU317" i="1"/>
  <c r="BD317" i="1"/>
  <c r="H318" i="1" a="1"/>
  <c r="H318" i="1" s="1"/>
  <c r="R318" i="1" s="1"/>
  <c r="K318" i="1"/>
  <c r="N318" i="1" s="1"/>
  <c r="AK318" i="1" a="1"/>
  <c r="AK318" i="1" s="1"/>
  <c r="AU318" i="1"/>
  <c r="BD318" i="1"/>
  <c r="H319" i="1" a="1"/>
  <c r="H319" i="1" s="1"/>
  <c r="R319" i="1" s="1"/>
  <c r="K319" i="1"/>
  <c r="N319" i="1" s="1"/>
  <c r="Q319" i="1" a="1"/>
  <c r="Q319" i="1" s="1"/>
  <c r="AS319" i="1" s="1"/>
  <c r="AK319" i="1" a="1"/>
  <c r="AK319" i="1" s="1"/>
  <c r="AU319" i="1"/>
  <c r="BD319" i="1"/>
  <c r="H320" i="1" a="1"/>
  <c r="H320" i="1" s="1"/>
  <c r="R320" i="1" s="1"/>
  <c r="K320" i="1"/>
  <c r="N320" i="1" s="1"/>
  <c r="Q320" i="1" a="1"/>
  <c r="Q320" i="1" s="1"/>
  <c r="AS320" i="1" s="1"/>
  <c r="AK320" i="1" a="1"/>
  <c r="AK320" i="1" s="1"/>
  <c r="AU320" i="1"/>
  <c r="BD320" i="1"/>
  <c r="H321" i="1" a="1"/>
  <c r="H321" i="1" s="1"/>
  <c r="R321" i="1" s="1"/>
  <c r="K321" i="1"/>
  <c r="N321" i="1" s="1"/>
  <c r="Q321" i="1" a="1"/>
  <c r="Q321" i="1" s="1"/>
  <c r="AS321" i="1" s="1"/>
  <c r="AK321" i="1" a="1"/>
  <c r="AK321" i="1" s="1"/>
  <c r="AU321" i="1"/>
  <c r="BD321" i="1"/>
  <c r="H322" i="1" a="1"/>
  <c r="H322" i="1" s="1"/>
  <c r="R322" i="1" s="1"/>
  <c r="K322" i="1"/>
  <c r="N322" i="1" s="1"/>
  <c r="Q322" i="1" a="1"/>
  <c r="Q322" i="1" s="1"/>
  <c r="AS322" i="1" s="1"/>
  <c r="AK322" i="1" a="1"/>
  <c r="AK322" i="1" s="1"/>
  <c r="AU322" i="1"/>
  <c r="BD322" i="1"/>
  <c r="H323" i="1" a="1"/>
  <c r="H323" i="1" s="1"/>
  <c r="R323" i="1" s="1"/>
  <c r="K323" i="1"/>
  <c r="N323" i="1" s="1"/>
  <c r="Q323" i="1" a="1"/>
  <c r="Q323" i="1" s="1"/>
  <c r="AS323" i="1" s="1"/>
  <c r="AK323" i="1" a="1"/>
  <c r="AK323" i="1" s="1"/>
  <c r="AU323" i="1"/>
  <c r="BD323" i="1"/>
  <c r="H324" i="1" a="1"/>
  <c r="H324" i="1" s="1"/>
  <c r="R324" i="1" s="1"/>
  <c r="K324" i="1"/>
  <c r="N324" i="1" s="1"/>
  <c r="Q324" i="1" a="1"/>
  <c r="Q324" i="1" s="1"/>
  <c r="AS324" i="1" s="1"/>
  <c r="AK324" i="1" a="1"/>
  <c r="AK324" i="1" s="1"/>
  <c r="AU324" i="1"/>
  <c r="BD324" i="1"/>
  <c r="H325" i="1" a="1"/>
  <c r="H325" i="1" s="1"/>
  <c r="R325" i="1" s="1"/>
  <c r="K325" i="1"/>
  <c r="N325" i="1" s="1"/>
  <c r="AK325" i="1" a="1"/>
  <c r="AK325" i="1" s="1"/>
  <c r="AU325" i="1"/>
  <c r="BD325" i="1"/>
  <c r="H326" i="1" a="1"/>
  <c r="H326" i="1" s="1"/>
  <c r="R326" i="1" s="1"/>
  <c r="K326" i="1"/>
  <c r="N326" i="1" s="1"/>
  <c r="Q326" i="1" a="1"/>
  <c r="Q326" i="1" s="1"/>
  <c r="AS326" i="1" s="1"/>
  <c r="AK326" i="1" a="1"/>
  <c r="AK326" i="1" s="1"/>
  <c r="AU326" i="1"/>
  <c r="BD326" i="1"/>
  <c r="H327" i="1" a="1"/>
  <c r="H327" i="1" s="1"/>
  <c r="R327" i="1" s="1"/>
  <c r="K327" i="1"/>
  <c r="N327" i="1" s="1"/>
  <c r="Q327" i="1" a="1"/>
  <c r="Q327" i="1" s="1"/>
  <c r="AS327" i="1" s="1"/>
  <c r="AK327" i="1" a="1"/>
  <c r="AK327" i="1" s="1"/>
  <c r="AU327" i="1"/>
  <c r="BD327" i="1"/>
  <c r="H328" i="1" a="1"/>
  <c r="H328" i="1" s="1"/>
  <c r="R328" i="1" s="1"/>
  <c r="K328" i="1"/>
  <c r="N328" i="1" s="1"/>
  <c r="Q328" i="1" a="1"/>
  <c r="Q328" i="1" s="1"/>
  <c r="AS328" i="1" s="1"/>
  <c r="AK328" i="1" a="1"/>
  <c r="AK328" i="1" s="1"/>
  <c r="AU328" i="1"/>
  <c r="BD328" i="1"/>
  <c r="H329" i="1" a="1"/>
  <c r="H329" i="1" s="1"/>
  <c r="R329" i="1" s="1"/>
  <c r="K329" i="1"/>
  <c r="N329" i="1" s="1"/>
  <c r="Q329" i="1" a="1"/>
  <c r="Q329" i="1" s="1"/>
  <c r="AS329" i="1" s="1"/>
  <c r="AK329" i="1" a="1"/>
  <c r="AK329" i="1" s="1"/>
  <c r="AU329" i="1"/>
  <c r="BD329" i="1"/>
  <c r="H330" i="1" a="1"/>
  <c r="H330" i="1" s="1"/>
  <c r="R330" i="1" s="1"/>
  <c r="K330" i="1"/>
  <c r="N330" i="1" s="1"/>
  <c r="Q330" i="1" a="1"/>
  <c r="Q330" i="1" s="1"/>
  <c r="AS330" i="1" s="1"/>
  <c r="AK330" i="1" a="1"/>
  <c r="AK330" i="1" s="1"/>
  <c r="AU330" i="1"/>
  <c r="BD330" i="1"/>
  <c r="H331" i="1" a="1"/>
  <c r="H331" i="1" s="1"/>
  <c r="R331" i="1" s="1"/>
  <c r="K331" i="1"/>
  <c r="N331" i="1" s="1"/>
  <c r="AK331" i="1" a="1"/>
  <c r="AK331" i="1" s="1"/>
  <c r="AU331" i="1"/>
  <c r="BD331" i="1"/>
  <c r="K335" i="1"/>
  <c r="N335" i="1"/>
  <c r="O335" i="1"/>
  <c r="AS335" i="1"/>
  <c r="AK335" i="1" a="1"/>
  <c r="AK335" i="1" s="1"/>
  <c r="AU335" i="1"/>
  <c r="BD335" i="1"/>
  <c r="K339" i="1"/>
  <c r="N339" i="1"/>
  <c r="O339" i="1"/>
  <c r="AS339" i="1"/>
  <c r="AK339" i="1" a="1"/>
  <c r="AK339" i="1" s="1"/>
  <c r="AU339" i="1"/>
  <c r="BD339" i="1"/>
  <c r="H340" i="1" a="1"/>
  <c r="H340" i="1" s="1"/>
  <c r="R340" i="1" s="1"/>
  <c r="K340" i="1"/>
  <c r="N340" i="1" s="1"/>
  <c r="Q340" i="1" a="1"/>
  <c r="Q340" i="1" s="1"/>
  <c r="AS340" i="1" s="1"/>
  <c r="AK340" i="1" a="1"/>
  <c r="AK340" i="1" s="1"/>
  <c r="AU340" i="1"/>
  <c r="BD340" i="1"/>
  <c r="H341" i="1" a="1"/>
  <c r="H341" i="1" s="1"/>
  <c r="R341" i="1" s="1"/>
  <c r="K341" i="1"/>
  <c r="N341" i="1" s="1"/>
  <c r="AK341" i="1" a="1"/>
  <c r="AK341" i="1" s="1"/>
  <c r="AU341" i="1"/>
  <c r="BD341" i="1"/>
  <c r="H342" i="1" a="1"/>
  <c r="H342" i="1" s="1"/>
  <c r="R342" i="1" s="1"/>
  <c r="K342" i="1"/>
  <c r="N342" i="1" s="1"/>
  <c r="Q342" i="1" a="1"/>
  <c r="Q342" i="1" s="1"/>
  <c r="AS342" i="1" s="1"/>
  <c r="AK342" i="1" a="1"/>
  <c r="AK342" i="1" s="1"/>
  <c r="AU342" i="1"/>
  <c r="BD342" i="1"/>
  <c r="H343" i="1" a="1"/>
  <c r="H343" i="1" s="1"/>
  <c r="R343" i="1" s="1"/>
  <c r="K343" i="1"/>
  <c r="N343" i="1" s="1"/>
  <c r="Q343" i="1" a="1"/>
  <c r="Q343" i="1" s="1"/>
  <c r="AS343" i="1" s="1"/>
  <c r="AK343" i="1" a="1"/>
  <c r="AK343" i="1" s="1"/>
  <c r="AU343" i="1"/>
  <c r="BD343" i="1"/>
  <c r="H344" i="1" a="1"/>
  <c r="H344" i="1" s="1"/>
  <c r="R344" i="1" s="1"/>
  <c r="K344" i="1"/>
  <c r="N344" i="1" s="1"/>
  <c r="AK344" i="1" a="1"/>
  <c r="AK344" i="1" s="1"/>
  <c r="AU344" i="1"/>
  <c r="BD344" i="1"/>
  <c r="H345" i="1" a="1"/>
  <c r="H345" i="1" s="1"/>
  <c r="R345" i="1" s="1"/>
  <c r="K345" i="1"/>
  <c r="N345" i="1" s="1"/>
  <c r="AK345" i="1" a="1"/>
  <c r="AK345" i="1" s="1"/>
  <c r="AU345" i="1"/>
  <c r="BD345" i="1"/>
  <c r="H346" i="1" a="1"/>
  <c r="H346" i="1" s="1"/>
  <c r="R346" i="1" s="1"/>
  <c r="K346" i="1"/>
  <c r="N346" i="1" s="1"/>
  <c r="AK346" i="1" a="1"/>
  <c r="AK346" i="1" s="1"/>
  <c r="AU346" i="1"/>
  <c r="BD346" i="1"/>
  <c r="H347" i="1" a="1"/>
  <c r="H347" i="1" s="1"/>
  <c r="R347" i="1" s="1"/>
  <c r="K347" i="1"/>
  <c r="N347" i="1" s="1"/>
  <c r="Q347" i="1" a="1"/>
  <c r="Q347" i="1" s="1"/>
  <c r="AS347" i="1" s="1"/>
  <c r="AK347" i="1" a="1"/>
  <c r="AK347" i="1" s="1"/>
  <c r="AU347" i="1"/>
  <c r="BD347" i="1"/>
  <c r="H348" i="1" a="1"/>
  <c r="H348" i="1" s="1"/>
  <c r="R348" i="1" s="1"/>
  <c r="K348" i="1"/>
  <c r="N348" i="1" s="1"/>
  <c r="Q348" i="1" a="1"/>
  <c r="Q348" i="1" s="1"/>
  <c r="AS348" i="1" s="1"/>
  <c r="AK348" i="1" a="1"/>
  <c r="AK348" i="1" s="1"/>
  <c r="AU348" i="1"/>
  <c r="BD348" i="1"/>
  <c r="H349" i="1" a="1"/>
  <c r="H349" i="1" s="1"/>
  <c r="R349" i="1" s="1"/>
  <c r="K349" i="1"/>
  <c r="N349" i="1" s="1"/>
  <c r="AK349" i="1" a="1"/>
  <c r="AK349" i="1" s="1"/>
  <c r="AU349" i="1"/>
  <c r="BD349" i="1"/>
  <c r="H350" i="1" a="1"/>
  <c r="H350" i="1" s="1"/>
  <c r="R350" i="1" s="1"/>
  <c r="K350" i="1"/>
  <c r="N350" i="1" s="1"/>
  <c r="Q350" i="1" a="1"/>
  <c r="Q350" i="1" s="1"/>
  <c r="AS350" i="1" s="1"/>
  <c r="AK350" i="1" a="1"/>
  <c r="AK350" i="1" s="1"/>
  <c r="AU350" i="1"/>
  <c r="BD350" i="1"/>
  <c r="H351" i="1" a="1"/>
  <c r="H351" i="1" s="1"/>
  <c r="R351" i="1" s="1"/>
  <c r="K351" i="1"/>
  <c r="N351" i="1" s="1"/>
  <c r="Q351" i="1" a="1"/>
  <c r="Q351" i="1" s="1"/>
  <c r="AS351" i="1" s="1"/>
  <c r="AK351" i="1" a="1"/>
  <c r="AK351" i="1" s="1"/>
  <c r="AU351" i="1"/>
  <c r="BD351" i="1"/>
  <c r="H352" i="1" a="1"/>
  <c r="H352" i="1" s="1"/>
  <c r="R352" i="1" s="1"/>
  <c r="K352" i="1"/>
  <c r="N352" i="1" s="1"/>
  <c r="Q352" i="1" a="1"/>
  <c r="Q352" i="1" s="1"/>
  <c r="AS352" i="1" s="1"/>
  <c r="AK352" i="1" a="1"/>
  <c r="AK352" i="1" s="1"/>
  <c r="AU352" i="1"/>
  <c r="BD352" i="1"/>
  <c r="H353" i="1" a="1"/>
  <c r="H353" i="1" s="1"/>
  <c r="R353" i="1" s="1"/>
  <c r="K353" i="1"/>
  <c r="N353" i="1" s="1"/>
  <c r="AK353" i="1" a="1"/>
  <c r="AK353" i="1" s="1"/>
  <c r="AU353" i="1"/>
  <c r="BD353" i="1"/>
  <c r="H354" i="1" a="1"/>
  <c r="H354" i="1" s="1"/>
  <c r="R354" i="1" s="1"/>
  <c r="K354" i="1"/>
  <c r="N354" i="1" s="1"/>
  <c r="AK354" i="1" a="1"/>
  <c r="AK354" i="1" s="1"/>
  <c r="AU354" i="1"/>
  <c r="BD354" i="1"/>
  <c r="H355" i="1" a="1"/>
  <c r="H355" i="1" s="1"/>
  <c r="R355" i="1" s="1"/>
  <c r="K355" i="1"/>
  <c r="N355" i="1" s="1"/>
  <c r="Q355" i="1" a="1"/>
  <c r="Q355" i="1" s="1"/>
  <c r="AS355" i="1" s="1"/>
  <c r="AK355" i="1" a="1"/>
  <c r="AK355" i="1" s="1"/>
  <c r="AU355" i="1"/>
  <c r="BD355" i="1"/>
  <c r="H356" i="1" a="1"/>
  <c r="H356" i="1" s="1"/>
  <c r="R356" i="1" s="1"/>
  <c r="K356" i="1"/>
  <c r="N356" i="1" s="1"/>
  <c r="Q356" i="1" a="1"/>
  <c r="Q356" i="1" s="1"/>
  <c r="AS356" i="1" s="1"/>
  <c r="AK356" i="1" a="1"/>
  <c r="AK356" i="1" s="1"/>
  <c r="AU356" i="1"/>
  <c r="BD356" i="1"/>
  <c r="H357" i="1" a="1"/>
  <c r="H357" i="1" s="1"/>
  <c r="R357" i="1" s="1"/>
  <c r="K357" i="1"/>
  <c r="N357" i="1" s="1"/>
  <c r="AK357" i="1" a="1"/>
  <c r="AK357" i="1" s="1"/>
  <c r="AU357" i="1"/>
  <c r="BD357" i="1"/>
  <c r="H358" i="1" a="1"/>
  <c r="H358" i="1" s="1"/>
  <c r="R358" i="1" s="1"/>
  <c r="K358" i="1"/>
  <c r="N358" i="1" s="1"/>
  <c r="AK358" i="1" a="1"/>
  <c r="AK358" i="1" s="1"/>
  <c r="AU358" i="1"/>
  <c r="BD358" i="1"/>
  <c r="H359" i="1" a="1"/>
  <c r="H359" i="1" s="1"/>
  <c r="R359" i="1" s="1"/>
  <c r="K359" i="1"/>
  <c r="N359" i="1" s="1"/>
  <c r="AK359" i="1" a="1"/>
  <c r="AK359" i="1" s="1"/>
  <c r="AU359" i="1"/>
  <c r="BD359" i="1"/>
  <c r="H360" i="1" a="1"/>
  <c r="H360" i="1" s="1"/>
  <c r="R360" i="1" s="1"/>
  <c r="K360" i="1"/>
  <c r="N360" i="1" s="1"/>
  <c r="Q360" i="1" a="1"/>
  <c r="Q360" i="1" s="1"/>
  <c r="AS360" i="1" s="1"/>
  <c r="AK360" i="1" a="1"/>
  <c r="AK360" i="1" s="1"/>
  <c r="AU360" i="1"/>
  <c r="BD360" i="1"/>
  <c r="H361" i="1" a="1"/>
  <c r="H361" i="1" s="1"/>
  <c r="R361" i="1" s="1"/>
  <c r="K361" i="1"/>
  <c r="N361" i="1" s="1"/>
  <c r="AK361" i="1" a="1"/>
  <c r="AK361" i="1" s="1"/>
  <c r="AU361" i="1"/>
  <c r="BD361" i="1"/>
  <c r="H362" i="1" a="1"/>
  <c r="H362" i="1" s="1"/>
  <c r="R362" i="1" s="1"/>
  <c r="K362" i="1"/>
  <c r="N362" i="1" s="1"/>
  <c r="AK362" i="1" a="1"/>
  <c r="AK362" i="1" s="1"/>
  <c r="AU362" i="1"/>
  <c r="BD362" i="1"/>
  <c r="H363" i="1" a="1"/>
  <c r="H363" i="1" s="1"/>
  <c r="R363" i="1" s="1"/>
  <c r="K363" i="1"/>
  <c r="N363" i="1" s="1"/>
  <c r="AK363" i="1" a="1"/>
  <c r="AK363" i="1" s="1"/>
  <c r="AU363" i="1"/>
  <c r="BD363" i="1"/>
  <c r="H364" i="1" a="1"/>
  <c r="H364" i="1" s="1"/>
  <c r="R364" i="1" s="1"/>
  <c r="K364" i="1"/>
  <c r="N364" i="1" s="1"/>
  <c r="AK364" i="1" a="1"/>
  <c r="AK364" i="1" s="1"/>
  <c r="AU364" i="1"/>
  <c r="BD364" i="1"/>
  <c r="H365" i="1" a="1"/>
  <c r="H365" i="1" s="1"/>
  <c r="R365" i="1" s="1"/>
  <c r="K365" i="1"/>
  <c r="N365" i="1" s="1"/>
  <c r="AK365" i="1" a="1"/>
  <c r="AK365" i="1" s="1"/>
  <c r="AU365" i="1"/>
  <c r="BD365" i="1"/>
  <c r="H366" i="1" a="1"/>
  <c r="H366" i="1" s="1"/>
  <c r="R366" i="1" s="1"/>
  <c r="K366" i="1"/>
  <c r="N366" i="1" s="1"/>
  <c r="AK366" i="1" a="1"/>
  <c r="AK366" i="1" s="1"/>
  <c r="AU366" i="1"/>
  <c r="BD366" i="1"/>
  <c r="H367" i="1" a="1"/>
  <c r="H367" i="1" s="1"/>
  <c r="R367" i="1" s="1"/>
  <c r="K367" i="1"/>
  <c r="N367" i="1" s="1"/>
  <c r="AK367" i="1" a="1"/>
  <c r="AK367" i="1" s="1"/>
  <c r="AU367" i="1"/>
  <c r="BD367" i="1"/>
  <c r="H368" i="1" a="1"/>
  <c r="H368" i="1" s="1"/>
  <c r="R368" i="1" s="1"/>
  <c r="K368" i="1"/>
  <c r="N368" i="1" s="1"/>
  <c r="Q368" i="1" a="1"/>
  <c r="Q368" i="1" s="1"/>
  <c r="AS368" i="1" s="1"/>
  <c r="AK368" i="1" a="1"/>
  <c r="AK368" i="1" s="1"/>
  <c r="AU368" i="1"/>
  <c r="BD368" i="1"/>
  <c r="H369" i="1" a="1"/>
  <c r="H369" i="1" s="1"/>
  <c r="R369" i="1" s="1"/>
  <c r="K369" i="1"/>
  <c r="N369" i="1" s="1"/>
  <c r="AK369" i="1" a="1"/>
  <c r="AK369" i="1" s="1"/>
  <c r="AU369" i="1"/>
  <c r="BD369" i="1"/>
  <c r="H370" i="1" a="1"/>
  <c r="H370" i="1" s="1"/>
  <c r="R370" i="1" s="1"/>
  <c r="K370" i="1"/>
  <c r="N370" i="1" s="1"/>
  <c r="AK370" i="1" a="1"/>
  <c r="AK370" i="1" s="1"/>
  <c r="AU370" i="1"/>
  <c r="BD370" i="1"/>
  <c r="H371" i="1" a="1"/>
  <c r="H371" i="1" s="1"/>
  <c r="R371" i="1" s="1"/>
  <c r="K371" i="1"/>
  <c r="N371" i="1" s="1"/>
  <c r="AK371" i="1" a="1"/>
  <c r="AK371" i="1" s="1"/>
  <c r="AU371" i="1"/>
  <c r="BD371" i="1"/>
  <c r="K375" i="1"/>
  <c r="N375" i="1"/>
  <c r="O375" i="1"/>
  <c r="AK375" i="1" a="1"/>
  <c r="AK375" i="1" s="1"/>
  <c r="AU375" i="1"/>
  <c r="BD375" i="1"/>
  <c r="K379" i="1"/>
  <c r="N379" i="1"/>
  <c r="O379" i="1"/>
  <c r="AK379" i="1" a="1"/>
  <c r="AK379" i="1" s="1"/>
  <c r="AU379" i="1"/>
  <c r="BD379" i="1"/>
  <c r="H380" i="1" a="1"/>
  <c r="H380" i="1" s="1"/>
  <c r="R380" i="1" s="1"/>
  <c r="K380" i="1"/>
  <c r="N380" i="1" s="1"/>
  <c r="AK380" i="1" a="1"/>
  <c r="AK380" i="1" s="1"/>
  <c r="AU380" i="1"/>
  <c r="BD380" i="1"/>
  <c r="H381" i="1" a="1"/>
  <c r="H381" i="1" s="1"/>
  <c r="R381" i="1" s="1"/>
  <c r="K381" i="1"/>
  <c r="N381" i="1" s="1"/>
  <c r="AK381" i="1" a="1"/>
  <c r="AK381" i="1" s="1"/>
  <c r="AU381" i="1"/>
  <c r="BD381" i="1"/>
  <c r="H382" i="1" a="1"/>
  <c r="H382" i="1" s="1"/>
  <c r="R382" i="1" s="1"/>
  <c r="K382" i="1"/>
  <c r="N382" i="1" s="1"/>
  <c r="Q382" i="1" a="1"/>
  <c r="Q382" i="1" s="1"/>
  <c r="AS382" i="1" s="1"/>
  <c r="AK382" i="1" a="1"/>
  <c r="AK382" i="1" s="1"/>
  <c r="AU382" i="1"/>
  <c r="BD382" i="1"/>
  <c r="H383" i="1" a="1"/>
  <c r="H383" i="1" s="1"/>
  <c r="R383" i="1" s="1"/>
  <c r="K383" i="1"/>
  <c r="N383" i="1" s="1"/>
  <c r="AK383" i="1" a="1"/>
  <c r="AK383" i="1" s="1"/>
  <c r="AU383" i="1"/>
  <c r="BD383" i="1"/>
  <c r="H384" i="1" a="1"/>
  <c r="H384" i="1" s="1"/>
  <c r="R384" i="1" s="1"/>
  <c r="K384" i="1"/>
  <c r="N384" i="1" s="1"/>
  <c r="AK384" i="1" a="1"/>
  <c r="AK384" i="1" s="1"/>
  <c r="AU384" i="1"/>
  <c r="BD384" i="1"/>
  <c r="H385" i="1" a="1"/>
  <c r="H385" i="1" s="1"/>
  <c r="R385" i="1" s="1"/>
  <c r="K385" i="1"/>
  <c r="N385" i="1" s="1"/>
  <c r="AK385" i="1" a="1"/>
  <c r="AK385" i="1" s="1"/>
  <c r="AU385" i="1"/>
  <c r="BD385" i="1"/>
  <c r="H386" i="1" a="1"/>
  <c r="H386" i="1" s="1"/>
  <c r="R386" i="1" s="1"/>
  <c r="K386" i="1"/>
  <c r="N386" i="1" s="1"/>
  <c r="AK386" i="1" a="1"/>
  <c r="AK386" i="1" s="1"/>
  <c r="AU386" i="1"/>
  <c r="BD386" i="1"/>
  <c r="H387" i="1" a="1"/>
  <c r="H387" i="1" s="1"/>
  <c r="R387" i="1" s="1"/>
  <c r="K387" i="1"/>
  <c r="N387" i="1" s="1"/>
  <c r="AK387" i="1" a="1"/>
  <c r="AK387" i="1" s="1"/>
  <c r="AU387" i="1"/>
  <c r="BD387" i="1"/>
  <c r="H388" i="1" a="1"/>
  <c r="H388" i="1" s="1"/>
  <c r="R388" i="1" s="1"/>
  <c r="K388" i="1"/>
  <c r="N388" i="1" s="1"/>
  <c r="AK388" i="1" a="1"/>
  <c r="AK388" i="1" s="1"/>
  <c r="AU388" i="1"/>
  <c r="BD388" i="1"/>
  <c r="H389" i="1" a="1"/>
  <c r="H389" i="1" s="1"/>
  <c r="R389" i="1" s="1"/>
  <c r="K389" i="1"/>
  <c r="N389" i="1" s="1"/>
  <c r="Q389" i="1" a="1"/>
  <c r="Q389" i="1" s="1"/>
  <c r="AS389" i="1" s="1"/>
  <c r="AK389" i="1" a="1"/>
  <c r="AK389" i="1" s="1"/>
  <c r="AU389" i="1"/>
  <c r="BD389" i="1"/>
  <c r="H390" i="1" a="1"/>
  <c r="H390" i="1" s="1"/>
  <c r="R390" i="1" s="1"/>
  <c r="K390" i="1"/>
  <c r="N390" i="1" s="1"/>
  <c r="AK390" i="1" a="1"/>
  <c r="AK390" i="1" s="1"/>
  <c r="AU390" i="1"/>
  <c r="BD390" i="1"/>
  <c r="H391" i="1" a="1"/>
  <c r="H391" i="1" s="1"/>
  <c r="R391" i="1" s="1"/>
  <c r="K391" i="1"/>
  <c r="N391" i="1" s="1"/>
  <c r="AK391" i="1" a="1"/>
  <c r="AK391" i="1" s="1"/>
  <c r="AU391" i="1"/>
  <c r="BD391" i="1"/>
  <c r="H392" i="1" a="1"/>
  <c r="H392" i="1" s="1"/>
  <c r="R392" i="1" s="1"/>
  <c r="K392" i="1"/>
  <c r="N392" i="1" s="1"/>
  <c r="AK392" i="1" a="1"/>
  <c r="AK392" i="1" s="1"/>
  <c r="AU392" i="1"/>
  <c r="BD392" i="1"/>
  <c r="H393" i="1" a="1"/>
  <c r="H393" i="1" s="1"/>
  <c r="R393" i="1" s="1"/>
  <c r="K393" i="1"/>
  <c r="N393" i="1" s="1"/>
  <c r="AK393" i="1" a="1"/>
  <c r="AK393" i="1" s="1"/>
  <c r="AU393" i="1"/>
  <c r="BD393" i="1"/>
  <c r="H394" i="1" a="1"/>
  <c r="H394" i="1" s="1"/>
  <c r="R394" i="1" s="1"/>
  <c r="K394" i="1"/>
  <c r="N394" i="1" s="1"/>
  <c r="AK394" i="1" a="1"/>
  <c r="AK394" i="1" s="1"/>
  <c r="AU394" i="1"/>
  <c r="BD394" i="1"/>
  <c r="H395" i="1" a="1"/>
  <c r="H395" i="1" s="1"/>
  <c r="R395" i="1" s="1"/>
  <c r="K395" i="1"/>
  <c r="N395" i="1" s="1"/>
  <c r="Q395" i="1" a="1"/>
  <c r="Q395" i="1" s="1"/>
  <c r="AS395" i="1" s="1"/>
  <c r="AK395" i="1" a="1"/>
  <c r="AK395" i="1" s="1"/>
  <c r="AU395" i="1"/>
  <c r="BD395" i="1"/>
  <c r="H396" i="1" a="1"/>
  <c r="H396" i="1" s="1"/>
  <c r="R396" i="1" s="1"/>
  <c r="K396" i="1"/>
  <c r="N396" i="1" s="1"/>
  <c r="AK396" i="1" a="1"/>
  <c r="AK396" i="1" s="1"/>
  <c r="AU396" i="1"/>
  <c r="BD396" i="1"/>
  <c r="H397" i="1" a="1"/>
  <c r="H397" i="1" s="1"/>
  <c r="R397" i="1" s="1"/>
  <c r="K397" i="1"/>
  <c r="N397" i="1" s="1"/>
  <c r="AK397" i="1" a="1"/>
  <c r="AK397" i="1" s="1"/>
  <c r="AU397" i="1"/>
  <c r="BD397" i="1"/>
  <c r="H398" i="1" a="1"/>
  <c r="H398" i="1" s="1"/>
  <c r="R398" i="1" s="1"/>
  <c r="K398" i="1"/>
  <c r="N398" i="1" s="1"/>
  <c r="AK398" i="1" a="1"/>
  <c r="AK398" i="1" s="1"/>
  <c r="AU398" i="1"/>
  <c r="BD398" i="1"/>
  <c r="H399" i="1" a="1"/>
  <c r="H399" i="1" s="1"/>
  <c r="R399" i="1" s="1"/>
  <c r="K399" i="1"/>
  <c r="N399" i="1" s="1"/>
  <c r="AK399" i="1" a="1"/>
  <c r="AK399" i="1" s="1"/>
  <c r="AU399" i="1"/>
  <c r="BD399" i="1"/>
  <c r="H400" i="1" a="1"/>
  <c r="H400" i="1" s="1"/>
  <c r="R400" i="1" s="1"/>
  <c r="K400" i="1"/>
  <c r="N400" i="1" s="1"/>
  <c r="AK400" i="1" a="1"/>
  <c r="AK400" i="1" s="1"/>
  <c r="AU400" i="1"/>
  <c r="BD400" i="1"/>
  <c r="H401" i="1" a="1"/>
  <c r="H401" i="1" s="1"/>
  <c r="R401" i="1" s="1"/>
  <c r="K401" i="1"/>
  <c r="N401" i="1" s="1"/>
  <c r="AK401" i="1" a="1"/>
  <c r="AK401" i="1" s="1"/>
  <c r="AU401" i="1"/>
  <c r="BD401" i="1"/>
  <c r="H402" i="1" a="1"/>
  <c r="H402" i="1" s="1"/>
  <c r="R402" i="1" s="1"/>
  <c r="K402" i="1"/>
  <c r="N402" i="1" s="1"/>
  <c r="AK402" i="1" a="1"/>
  <c r="AK402" i="1" s="1"/>
  <c r="AU402" i="1"/>
  <c r="BD402" i="1"/>
  <c r="H403" i="1" a="1"/>
  <c r="H403" i="1" s="1"/>
  <c r="R403" i="1" s="1"/>
  <c r="K403" i="1"/>
  <c r="N403" i="1" s="1"/>
  <c r="AK403" i="1" a="1"/>
  <c r="AK403" i="1" s="1"/>
  <c r="AU403" i="1"/>
  <c r="BD403" i="1"/>
  <c r="H404" i="1" a="1"/>
  <c r="H404" i="1" s="1"/>
  <c r="R404" i="1" s="1"/>
  <c r="K404" i="1"/>
  <c r="N404" i="1" s="1"/>
  <c r="AK404" i="1" a="1"/>
  <c r="AK404" i="1" s="1"/>
  <c r="AU404" i="1"/>
  <c r="BD404" i="1"/>
  <c r="H405" i="1" a="1"/>
  <c r="H405" i="1" s="1"/>
  <c r="R405" i="1" s="1"/>
  <c r="K405" i="1"/>
  <c r="N405" i="1" s="1"/>
  <c r="AK405" i="1" a="1"/>
  <c r="AK405" i="1" s="1"/>
  <c r="AU405" i="1"/>
  <c r="BD405" i="1"/>
  <c r="H406" i="1" a="1"/>
  <c r="H406" i="1" s="1"/>
  <c r="R406" i="1" s="1"/>
  <c r="K406" i="1"/>
  <c r="N406" i="1" s="1"/>
  <c r="Q406" i="1" a="1"/>
  <c r="Q406" i="1" s="1"/>
  <c r="AS406" i="1" s="1"/>
  <c r="AK406" i="1" a="1"/>
  <c r="AK406" i="1" s="1"/>
  <c r="AU406" i="1"/>
  <c r="BD406" i="1"/>
  <c r="H407" i="1" a="1"/>
  <c r="H407" i="1" s="1"/>
  <c r="R407" i="1" s="1"/>
  <c r="K407" i="1"/>
  <c r="N407" i="1" s="1"/>
  <c r="AK407" i="1" a="1"/>
  <c r="AK407" i="1" s="1"/>
  <c r="AU407" i="1"/>
  <c r="BD407" i="1"/>
  <c r="H408" i="1" a="1"/>
  <c r="H408" i="1" s="1"/>
  <c r="R408" i="1" s="1"/>
  <c r="K408" i="1"/>
  <c r="N408" i="1" s="1"/>
  <c r="AK408" i="1" a="1"/>
  <c r="AK408" i="1" s="1"/>
  <c r="AU408" i="1"/>
  <c r="BD408" i="1"/>
  <c r="H409" i="1" a="1"/>
  <c r="H409" i="1" s="1"/>
  <c r="R409" i="1" s="1"/>
  <c r="K409" i="1"/>
  <c r="N409" i="1" s="1"/>
  <c r="AK409" i="1" a="1"/>
  <c r="AK409" i="1" s="1"/>
  <c r="AU409" i="1"/>
  <c r="BD409" i="1"/>
  <c r="H410" i="1" a="1"/>
  <c r="H410" i="1" s="1"/>
  <c r="R410" i="1" s="1"/>
  <c r="K410" i="1"/>
  <c r="N410" i="1" s="1"/>
  <c r="AK410" i="1" a="1"/>
  <c r="AK410" i="1" s="1"/>
  <c r="AU410" i="1"/>
  <c r="BD410" i="1"/>
  <c r="H411" i="1" a="1"/>
  <c r="H411" i="1" s="1"/>
  <c r="R411" i="1" s="1"/>
  <c r="K411" i="1"/>
  <c r="N411" i="1" s="1"/>
  <c r="AK411" i="1" a="1"/>
  <c r="AK411" i="1" s="1"/>
  <c r="AU411" i="1"/>
  <c r="BD411" i="1"/>
  <c r="H412" i="1" a="1"/>
  <c r="H412" i="1" s="1"/>
  <c r="R412" i="1" s="1"/>
  <c r="K412" i="1"/>
  <c r="N412" i="1" s="1"/>
  <c r="AK412" i="1" a="1"/>
  <c r="AK412" i="1" s="1"/>
  <c r="AU412" i="1"/>
  <c r="BD412" i="1"/>
  <c r="H413" i="1" a="1"/>
  <c r="H413" i="1" s="1"/>
  <c r="R413" i="1" s="1"/>
  <c r="K413" i="1"/>
  <c r="N413" i="1" s="1"/>
  <c r="AK413" i="1" a="1"/>
  <c r="AK413" i="1" s="1"/>
  <c r="AU413" i="1"/>
  <c r="BD413" i="1"/>
  <c r="H414" i="1" a="1"/>
  <c r="H414" i="1" s="1"/>
  <c r="R414" i="1" s="1"/>
  <c r="K414" i="1"/>
  <c r="N414" i="1" s="1"/>
  <c r="AK414" i="1" a="1"/>
  <c r="AK414" i="1" s="1"/>
  <c r="AU414" i="1"/>
  <c r="BD414" i="1"/>
  <c r="H415" i="1" a="1"/>
  <c r="H415" i="1" s="1"/>
  <c r="R415" i="1" s="1"/>
  <c r="K415" i="1"/>
  <c r="N415" i="1" s="1"/>
  <c r="AK415" i="1" a="1"/>
  <c r="AK415" i="1" s="1"/>
  <c r="AU415" i="1"/>
  <c r="BD415" i="1"/>
  <c r="K419" i="1"/>
  <c r="N419" i="1"/>
  <c r="O419" i="1"/>
  <c r="AK419" i="1" a="1"/>
  <c r="AK419" i="1" s="1"/>
  <c r="AU419" i="1"/>
  <c r="BD419" i="1"/>
  <c r="H420" i="1" a="1"/>
  <c r="H420" i="1" s="1"/>
  <c r="R420" i="1" s="1"/>
  <c r="K420" i="1"/>
  <c r="N420" i="1" s="1"/>
  <c r="AK420" i="1" a="1"/>
  <c r="AK420" i="1" s="1"/>
  <c r="AU420" i="1"/>
  <c r="BD420" i="1"/>
  <c r="H421" i="1" a="1"/>
  <c r="H421" i="1" s="1"/>
  <c r="R421" i="1" s="1"/>
  <c r="K421" i="1"/>
  <c r="N421" i="1" s="1"/>
  <c r="AK421" i="1" a="1"/>
  <c r="AK421" i="1" s="1"/>
  <c r="AU421" i="1"/>
  <c r="BD421" i="1"/>
  <c r="H422" i="1" a="1"/>
  <c r="H422" i="1" s="1"/>
  <c r="R422" i="1" s="1"/>
  <c r="K422" i="1"/>
  <c r="N422" i="1" s="1"/>
  <c r="AK422" i="1" a="1"/>
  <c r="AK422" i="1" s="1"/>
  <c r="AU422" i="1"/>
  <c r="BD422" i="1"/>
  <c r="H423" i="1" a="1"/>
  <c r="H423" i="1" s="1"/>
  <c r="R423" i="1" s="1"/>
  <c r="K423" i="1"/>
  <c r="N423" i="1" s="1"/>
  <c r="AK423" i="1" a="1"/>
  <c r="AK423" i="1" s="1"/>
  <c r="AU423" i="1"/>
  <c r="BD423" i="1"/>
  <c r="H424" i="1" a="1"/>
  <c r="H424" i="1" s="1"/>
  <c r="R424" i="1" s="1"/>
  <c r="K424" i="1"/>
  <c r="N424" i="1" s="1"/>
  <c r="AK424" i="1" a="1"/>
  <c r="AK424" i="1" s="1"/>
  <c r="AU424" i="1"/>
  <c r="BD424" i="1"/>
  <c r="H425" i="1" a="1"/>
  <c r="H425" i="1" s="1"/>
  <c r="R425" i="1" s="1"/>
  <c r="K425" i="1"/>
  <c r="N425" i="1" s="1"/>
  <c r="Q425" i="1" a="1"/>
  <c r="Q425" i="1" s="1"/>
  <c r="AS425" i="1" s="1"/>
  <c r="AK425" i="1" a="1"/>
  <c r="AK425" i="1" s="1"/>
  <c r="AU425" i="1"/>
  <c r="BD425" i="1"/>
  <c r="H426" i="1" a="1"/>
  <c r="H426" i="1" s="1"/>
  <c r="R426" i="1" s="1"/>
  <c r="K426" i="1"/>
  <c r="N426" i="1" s="1"/>
  <c r="AK426" i="1" a="1"/>
  <c r="AK426" i="1" s="1"/>
  <c r="AU426" i="1"/>
  <c r="BD426" i="1"/>
  <c r="H427" i="1" a="1"/>
  <c r="H427" i="1" s="1"/>
  <c r="R427" i="1" s="1"/>
  <c r="K427" i="1"/>
  <c r="N427" i="1" s="1"/>
  <c r="AK427" i="1" a="1"/>
  <c r="AK427" i="1" s="1"/>
  <c r="AU427" i="1"/>
  <c r="BD427" i="1"/>
  <c r="H428" i="1" a="1"/>
  <c r="H428" i="1" s="1"/>
  <c r="R428" i="1" s="1"/>
  <c r="K428" i="1"/>
  <c r="N428" i="1" s="1"/>
  <c r="AK428" i="1" a="1"/>
  <c r="AK428" i="1" s="1"/>
  <c r="AU428" i="1"/>
  <c r="BD428" i="1"/>
  <c r="H429" i="1" a="1"/>
  <c r="H429" i="1" s="1"/>
  <c r="R429" i="1" s="1"/>
  <c r="K429" i="1"/>
  <c r="N429" i="1" s="1"/>
  <c r="AK429" i="1" a="1"/>
  <c r="AK429" i="1" s="1"/>
  <c r="AU429" i="1"/>
  <c r="BD429" i="1"/>
  <c r="H430" i="1" a="1"/>
  <c r="H430" i="1" s="1"/>
  <c r="R430" i="1" s="1"/>
  <c r="K430" i="1"/>
  <c r="N430" i="1" s="1"/>
  <c r="AK430" i="1" a="1"/>
  <c r="AK430" i="1" s="1"/>
  <c r="AU430" i="1"/>
  <c r="BD430" i="1"/>
  <c r="H431" i="1" a="1"/>
  <c r="H431" i="1" s="1"/>
  <c r="R431" i="1" s="1"/>
  <c r="K431" i="1"/>
  <c r="N431" i="1" s="1"/>
  <c r="AK431" i="1" a="1"/>
  <c r="AK431" i="1" s="1"/>
  <c r="AU431" i="1"/>
  <c r="BD431" i="1"/>
  <c r="H432" i="1" a="1"/>
  <c r="H432" i="1" s="1"/>
  <c r="R432" i="1" s="1"/>
  <c r="K432" i="1"/>
  <c r="N432" i="1" s="1"/>
  <c r="AK432" i="1" a="1"/>
  <c r="AK432" i="1" s="1"/>
  <c r="AU432" i="1"/>
  <c r="BD432" i="1"/>
  <c r="H433" i="1" a="1"/>
  <c r="H433" i="1" s="1"/>
  <c r="R433" i="1" s="1"/>
  <c r="K433" i="1"/>
  <c r="N433" i="1" s="1"/>
  <c r="AK433" i="1" a="1"/>
  <c r="AK433" i="1" s="1"/>
  <c r="AU433" i="1"/>
  <c r="BD433" i="1"/>
  <c r="H434" i="1" a="1"/>
  <c r="H434" i="1" s="1"/>
  <c r="R434" i="1" s="1"/>
  <c r="K434" i="1"/>
  <c r="N434" i="1" s="1"/>
  <c r="AK434" i="1" a="1"/>
  <c r="AK434" i="1" s="1"/>
  <c r="AU434" i="1"/>
  <c r="BD434" i="1"/>
  <c r="H435" i="1" a="1"/>
  <c r="H435" i="1" s="1"/>
  <c r="R435" i="1" s="1"/>
  <c r="K435" i="1"/>
  <c r="N435" i="1" s="1"/>
  <c r="AK435" i="1" a="1"/>
  <c r="AK435" i="1" s="1"/>
  <c r="AU435" i="1"/>
  <c r="BD435" i="1"/>
  <c r="H436" i="1" a="1"/>
  <c r="H436" i="1" s="1"/>
  <c r="R436" i="1" s="1"/>
  <c r="K436" i="1"/>
  <c r="N436" i="1" s="1"/>
  <c r="AK436" i="1" a="1"/>
  <c r="AK436" i="1" s="1"/>
  <c r="AU436" i="1"/>
  <c r="BD436" i="1"/>
  <c r="H437" i="1" a="1"/>
  <c r="H437" i="1" s="1"/>
  <c r="R437" i="1" s="1"/>
  <c r="K437" i="1"/>
  <c r="N437" i="1" s="1"/>
  <c r="AK437" i="1" a="1"/>
  <c r="AK437" i="1" s="1"/>
  <c r="AU437" i="1"/>
  <c r="BD437" i="1"/>
  <c r="H438" i="1" a="1"/>
  <c r="H438" i="1" s="1"/>
  <c r="R438" i="1" s="1"/>
  <c r="K438" i="1"/>
  <c r="N438" i="1" s="1"/>
  <c r="AK438" i="1" a="1"/>
  <c r="AK438" i="1" s="1"/>
  <c r="AU438" i="1"/>
  <c r="BD438" i="1"/>
  <c r="H439" i="1" a="1"/>
  <c r="H439" i="1" s="1"/>
  <c r="R439" i="1" s="1"/>
  <c r="K439" i="1"/>
  <c r="N439" i="1" s="1"/>
  <c r="AK439" i="1" a="1"/>
  <c r="AK439" i="1" s="1"/>
  <c r="AU439" i="1"/>
  <c r="BD439" i="1"/>
  <c r="H440" i="1" a="1"/>
  <c r="H440" i="1" s="1"/>
  <c r="R440" i="1" s="1"/>
  <c r="K440" i="1"/>
  <c r="N440" i="1" s="1"/>
  <c r="AK440" i="1" a="1"/>
  <c r="AK440" i="1" s="1"/>
  <c r="AU440" i="1"/>
  <c r="BD440" i="1"/>
  <c r="H441" i="1" a="1"/>
  <c r="H441" i="1" s="1"/>
  <c r="R441" i="1" s="1"/>
  <c r="K441" i="1"/>
  <c r="N441" i="1" s="1"/>
  <c r="AK441" i="1" a="1"/>
  <c r="AK441" i="1" s="1"/>
  <c r="AU441" i="1"/>
  <c r="BD441" i="1"/>
  <c r="H442" i="1" a="1"/>
  <c r="H442" i="1" s="1"/>
  <c r="R442" i="1" s="1"/>
  <c r="K442" i="1"/>
  <c r="N442" i="1" s="1"/>
  <c r="AK442" i="1" a="1"/>
  <c r="AK442" i="1" s="1"/>
  <c r="AU442" i="1"/>
  <c r="BD442" i="1"/>
  <c r="H443" i="1" a="1"/>
  <c r="H443" i="1" s="1"/>
  <c r="R443" i="1" s="1"/>
  <c r="K443" i="1"/>
  <c r="N443" i="1" s="1"/>
  <c r="AK443" i="1" a="1"/>
  <c r="AK443" i="1" s="1"/>
  <c r="AU443" i="1"/>
  <c r="BD443" i="1"/>
  <c r="H444" i="1" a="1"/>
  <c r="H444" i="1" s="1"/>
  <c r="R444" i="1" s="1"/>
  <c r="K444" i="1"/>
  <c r="N444" i="1" s="1"/>
  <c r="AK444" i="1" a="1"/>
  <c r="AK444" i="1" s="1"/>
  <c r="AU444" i="1"/>
  <c r="BD444" i="1"/>
  <c r="H445" i="1" a="1"/>
  <c r="H445" i="1" s="1"/>
  <c r="R445" i="1" s="1"/>
  <c r="K445" i="1"/>
  <c r="N445" i="1" s="1"/>
  <c r="AK445" i="1" a="1"/>
  <c r="AK445" i="1" s="1"/>
  <c r="AU445" i="1"/>
  <c r="BD445" i="1"/>
  <c r="H446" i="1" a="1"/>
  <c r="H446" i="1" s="1"/>
  <c r="R446" i="1" s="1"/>
  <c r="K446" i="1"/>
  <c r="N446" i="1" s="1"/>
  <c r="AK446" i="1" a="1"/>
  <c r="AK446" i="1" s="1"/>
  <c r="AU446" i="1"/>
  <c r="BD446" i="1"/>
  <c r="H447" i="1" a="1"/>
  <c r="H447" i="1" s="1"/>
  <c r="R447" i="1" s="1"/>
  <c r="K447" i="1"/>
  <c r="N447" i="1" s="1"/>
  <c r="AK447" i="1" a="1"/>
  <c r="AK447" i="1" s="1"/>
  <c r="AU447" i="1"/>
  <c r="BD447" i="1"/>
  <c r="H448" i="1" a="1"/>
  <c r="H448" i="1" s="1"/>
  <c r="R448" i="1" s="1"/>
  <c r="K448" i="1"/>
  <c r="N448" i="1" s="1"/>
  <c r="AK448" i="1" a="1"/>
  <c r="AK448" i="1" s="1"/>
  <c r="AU448" i="1"/>
  <c r="BD448" i="1"/>
  <c r="H449" i="1" a="1"/>
  <c r="H449" i="1" s="1"/>
  <c r="R449" i="1" s="1"/>
  <c r="K449" i="1"/>
  <c r="N449" i="1" s="1"/>
  <c r="AK449" i="1" a="1"/>
  <c r="AK449" i="1" s="1"/>
  <c r="AU449" i="1"/>
  <c r="BD449" i="1"/>
  <c r="H450" i="1" a="1"/>
  <c r="H450" i="1" s="1"/>
  <c r="R450" i="1" s="1"/>
  <c r="K450" i="1"/>
  <c r="N450" i="1" s="1"/>
  <c r="AK450" i="1" a="1"/>
  <c r="AK450" i="1" s="1"/>
  <c r="AU450" i="1"/>
  <c r="BD450" i="1"/>
  <c r="H451" i="1" a="1"/>
  <c r="H451" i="1" s="1"/>
  <c r="R451" i="1" s="1"/>
  <c r="K451" i="1"/>
  <c r="N451" i="1" s="1"/>
  <c r="AK451" i="1" a="1"/>
  <c r="AK451" i="1" s="1"/>
  <c r="AU451" i="1"/>
  <c r="BD451" i="1"/>
  <c r="H452" i="1" a="1"/>
  <c r="H452" i="1" s="1"/>
  <c r="R452" i="1" s="1"/>
  <c r="K452" i="1"/>
  <c r="N452" i="1" s="1"/>
  <c r="AK452" i="1" a="1"/>
  <c r="AK452" i="1" s="1"/>
  <c r="AU452" i="1"/>
  <c r="BD452" i="1"/>
  <c r="H453" i="1" a="1"/>
  <c r="H453" i="1" s="1"/>
  <c r="R453" i="1" s="1"/>
  <c r="K453" i="1"/>
  <c r="N453" i="1" s="1"/>
  <c r="AK453" i="1" a="1"/>
  <c r="AK453" i="1" s="1"/>
  <c r="AU453" i="1"/>
  <c r="BD453" i="1"/>
  <c r="H454" i="1" a="1"/>
  <c r="H454" i="1" s="1"/>
  <c r="R454" i="1" s="1"/>
  <c r="K454" i="1"/>
  <c r="N454" i="1" s="1"/>
  <c r="AK454" i="1" a="1"/>
  <c r="AK454" i="1" s="1"/>
  <c r="AU454" i="1"/>
  <c r="BD454" i="1"/>
  <c r="H455" i="1" a="1"/>
  <c r="H455" i="1" s="1"/>
  <c r="R455" i="1" s="1"/>
  <c r="K455" i="1"/>
  <c r="N455" i="1" s="1"/>
  <c r="AK455" i="1" a="1"/>
  <c r="AK455" i="1" s="1"/>
  <c r="AU455" i="1"/>
  <c r="BD455" i="1"/>
  <c r="K459" i="1"/>
  <c r="N459" i="1"/>
  <c r="O459" i="1"/>
  <c r="AK459" i="1" a="1"/>
  <c r="AK459" i="1" s="1"/>
  <c r="AU459" i="1"/>
  <c r="BD459" i="1"/>
  <c r="H460" i="1" a="1"/>
  <c r="H460" i="1" s="1"/>
  <c r="R460" i="1" s="1"/>
  <c r="K460" i="1"/>
  <c r="N460" i="1" s="1"/>
  <c r="Q460" i="1" a="1"/>
  <c r="Q460" i="1" s="1"/>
  <c r="AS460" i="1" s="1"/>
  <c r="AK460" i="1" a="1"/>
  <c r="AK460" i="1" s="1"/>
  <c r="AU460" i="1"/>
  <c r="BD460" i="1"/>
  <c r="H461" i="1" a="1"/>
  <c r="H461" i="1" s="1"/>
  <c r="R461" i="1" s="1"/>
  <c r="K461" i="1"/>
  <c r="N461" i="1" s="1"/>
  <c r="AK461" i="1" a="1"/>
  <c r="AK461" i="1" s="1"/>
  <c r="AU461" i="1"/>
  <c r="BD461" i="1"/>
  <c r="H462" i="1" a="1"/>
  <c r="H462" i="1" s="1"/>
  <c r="R462" i="1" s="1"/>
  <c r="K462" i="1"/>
  <c r="N462" i="1" s="1"/>
  <c r="AK462" i="1" a="1"/>
  <c r="AK462" i="1" s="1"/>
  <c r="AU462" i="1"/>
  <c r="BD462" i="1"/>
  <c r="H463" i="1" a="1"/>
  <c r="H463" i="1" s="1"/>
  <c r="R463" i="1" s="1"/>
  <c r="K463" i="1"/>
  <c r="N463" i="1" s="1"/>
  <c r="AK463" i="1" a="1"/>
  <c r="AK463" i="1" s="1"/>
  <c r="AU463" i="1"/>
  <c r="BD463" i="1"/>
  <c r="H464" i="1" a="1"/>
  <c r="H464" i="1" s="1"/>
  <c r="R464" i="1" s="1"/>
  <c r="K464" i="1"/>
  <c r="N464" i="1" s="1"/>
  <c r="AK464" i="1" a="1"/>
  <c r="AK464" i="1" s="1"/>
  <c r="AU464" i="1"/>
  <c r="BD464" i="1"/>
  <c r="H465" i="1" a="1"/>
  <c r="H465" i="1" s="1"/>
  <c r="R465" i="1" s="1"/>
  <c r="K465" i="1"/>
  <c r="N465" i="1" s="1"/>
  <c r="AK465" i="1" a="1"/>
  <c r="AK465" i="1" s="1"/>
  <c r="AU465" i="1"/>
  <c r="BD465" i="1"/>
  <c r="H466" i="1" a="1"/>
  <c r="H466" i="1" s="1"/>
  <c r="R466" i="1" s="1"/>
  <c r="K466" i="1"/>
  <c r="N466" i="1" s="1"/>
  <c r="AK466" i="1" a="1"/>
  <c r="AK466" i="1" s="1"/>
  <c r="AU466" i="1"/>
  <c r="BD466" i="1"/>
  <c r="H467" i="1" a="1"/>
  <c r="H467" i="1" s="1"/>
  <c r="R467" i="1" s="1"/>
  <c r="K467" i="1"/>
  <c r="N467" i="1" s="1"/>
  <c r="AK467" i="1" a="1"/>
  <c r="AK467" i="1" s="1"/>
  <c r="AU467" i="1"/>
  <c r="BD467" i="1"/>
  <c r="H468" i="1" a="1"/>
  <c r="H468" i="1" s="1"/>
  <c r="R468" i="1" s="1"/>
  <c r="K468" i="1"/>
  <c r="N468" i="1" s="1"/>
  <c r="Q468" i="1" a="1"/>
  <c r="Q468" i="1" s="1"/>
  <c r="AS468" i="1" s="1"/>
  <c r="AK468" i="1" a="1"/>
  <c r="AK468" i="1" s="1"/>
  <c r="AU468" i="1"/>
  <c r="BD468" i="1"/>
  <c r="H469" i="1" a="1"/>
  <c r="H469" i="1" s="1"/>
  <c r="R469" i="1" s="1"/>
  <c r="K469" i="1"/>
  <c r="N469" i="1" s="1"/>
  <c r="AK469" i="1" a="1"/>
  <c r="AK469" i="1" s="1"/>
  <c r="AU469" i="1"/>
  <c r="BD469" i="1"/>
  <c r="H470" i="1" a="1"/>
  <c r="H470" i="1" s="1"/>
  <c r="R470" i="1" s="1"/>
  <c r="K470" i="1"/>
  <c r="N470" i="1" s="1"/>
  <c r="AK470" i="1" a="1"/>
  <c r="AK470" i="1" s="1"/>
  <c r="AU470" i="1"/>
  <c r="BD470" i="1"/>
  <c r="H471" i="1" a="1"/>
  <c r="H471" i="1" s="1"/>
  <c r="R471" i="1" s="1"/>
  <c r="K471" i="1"/>
  <c r="N471" i="1" s="1"/>
  <c r="AK471" i="1" a="1"/>
  <c r="AK471" i="1" s="1"/>
  <c r="AU471" i="1"/>
  <c r="BD471" i="1"/>
  <c r="H472" i="1" a="1"/>
  <c r="H472" i="1" s="1"/>
  <c r="R472" i="1" s="1"/>
  <c r="K472" i="1"/>
  <c r="N472" i="1" s="1"/>
  <c r="AK472" i="1" a="1"/>
  <c r="AK472" i="1" s="1"/>
  <c r="AU472" i="1"/>
  <c r="BD472" i="1"/>
  <c r="H473" i="1" a="1"/>
  <c r="H473" i="1" s="1"/>
  <c r="R473" i="1" s="1"/>
  <c r="K473" i="1"/>
  <c r="N473" i="1" s="1"/>
  <c r="AK473" i="1" a="1"/>
  <c r="AK473" i="1" s="1"/>
  <c r="AU473" i="1"/>
  <c r="BD473" i="1"/>
  <c r="H474" i="1" a="1"/>
  <c r="H474" i="1" s="1"/>
  <c r="R474" i="1" s="1"/>
  <c r="K474" i="1"/>
  <c r="N474" i="1" s="1"/>
  <c r="AK474" i="1" a="1"/>
  <c r="AK474" i="1" s="1"/>
  <c r="AU474" i="1"/>
  <c r="BD474" i="1"/>
  <c r="H475" i="1" a="1"/>
  <c r="H475" i="1" s="1"/>
  <c r="R475" i="1" s="1"/>
  <c r="K475" i="1"/>
  <c r="N475" i="1" s="1"/>
  <c r="AK475" i="1" a="1"/>
  <c r="AK475" i="1" s="1"/>
  <c r="AU475" i="1"/>
  <c r="BD475" i="1"/>
  <c r="H476" i="1" a="1"/>
  <c r="H476" i="1" s="1"/>
  <c r="R476" i="1" s="1"/>
  <c r="K476" i="1"/>
  <c r="N476" i="1" s="1"/>
  <c r="AK476" i="1" a="1"/>
  <c r="AK476" i="1" s="1"/>
  <c r="AU476" i="1"/>
  <c r="BD476" i="1"/>
  <c r="H477" i="1" a="1"/>
  <c r="H477" i="1" s="1"/>
  <c r="R477" i="1" s="1"/>
  <c r="K477" i="1"/>
  <c r="N477" i="1" s="1"/>
  <c r="Q477" i="1" a="1"/>
  <c r="Q477" i="1" s="1"/>
  <c r="AS477" i="1" s="1"/>
  <c r="AK477" i="1" a="1"/>
  <c r="AK477" i="1" s="1"/>
  <c r="AU477" i="1"/>
  <c r="BD477" i="1"/>
  <c r="H478" i="1" a="1"/>
  <c r="H478" i="1" s="1"/>
  <c r="R478" i="1" s="1"/>
  <c r="K478" i="1"/>
  <c r="N478" i="1" s="1"/>
  <c r="AK478" i="1" a="1"/>
  <c r="AK478" i="1" s="1"/>
  <c r="AU478" i="1"/>
  <c r="BD478" i="1"/>
  <c r="H479" i="1" a="1"/>
  <c r="H479" i="1" s="1"/>
  <c r="R479" i="1" s="1"/>
  <c r="K479" i="1"/>
  <c r="N479" i="1" s="1"/>
  <c r="AK479" i="1" a="1"/>
  <c r="AK479" i="1" s="1"/>
  <c r="AU479" i="1"/>
  <c r="BD479" i="1"/>
  <c r="H480" i="1" a="1"/>
  <c r="H480" i="1" s="1"/>
  <c r="R480" i="1" s="1"/>
  <c r="K480" i="1"/>
  <c r="N480" i="1" s="1"/>
  <c r="AK480" i="1" a="1"/>
  <c r="AK480" i="1" s="1"/>
  <c r="AU480" i="1"/>
  <c r="BD480" i="1"/>
  <c r="H481" i="1" a="1"/>
  <c r="H481" i="1" s="1"/>
  <c r="R481" i="1" s="1"/>
  <c r="K481" i="1"/>
  <c r="N481" i="1" s="1"/>
  <c r="Q481" i="1" a="1"/>
  <c r="Q481" i="1" s="1"/>
  <c r="AS481" i="1" s="1"/>
  <c r="AK481" i="1" a="1"/>
  <c r="AK481" i="1" s="1"/>
  <c r="AU481" i="1"/>
  <c r="BD481" i="1"/>
  <c r="H482" i="1" a="1"/>
  <c r="H482" i="1" s="1"/>
  <c r="R482" i="1" s="1"/>
  <c r="K482" i="1"/>
  <c r="N482" i="1" s="1"/>
  <c r="AK482" i="1" a="1"/>
  <c r="AK482" i="1" s="1"/>
  <c r="AU482" i="1"/>
  <c r="BD482" i="1"/>
  <c r="H483" i="1" a="1"/>
  <c r="H483" i="1" s="1"/>
  <c r="R483" i="1" s="1"/>
  <c r="K483" i="1"/>
  <c r="N483" i="1" s="1"/>
  <c r="AK483" i="1" a="1"/>
  <c r="AK483" i="1" s="1"/>
  <c r="AU483" i="1"/>
  <c r="BD483" i="1"/>
  <c r="H484" i="1" a="1"/>
  <c r="H484" i="1" s="1"/>
  <c r="R484" i="1" s="1"/>
  <c r="K484" i="1"/>
  <c r="N484" i="1" s="1"/>
  <c r="AK484" i="1" a="1"/>
  <c r="AK484" i="1" s="1"/>
  <c r="AU484" i="1"/>
  <c r="BD484" i="1"/>
  <c r="H485" i="1" a="1"/>
  <c r="H485" i="1" s="1"/>
  <c r="R485" i="1" s="1"/>
  <c r="K485" i="1"/>
  <c r="N485" i="1" s="1"/>
  <c r="Q485" i="1" a="1"/>
  <c r="Q485" i="1" s="1"/>
  <c r="AS485" i="1" s="1"/>
  <c r="AK485" i="1" a="1"/>
  <c r="AK485" i="1" s="1"/>
  <c r="AU485" i="1"/>
  <c r="BD485" i="1"/>
  <c r="H486" i="1" a="1"/>
  <c r="H486" i="1" s="1"/>
  <c r="R486" i="1" s="1"/>
  <c r="K486" i="1"/>
  <c r="N486" i="1" s="1"/>
  <c r="AK486" i="1" a="1"/>
  <c r="AK486" i="1" s="1"/>
  <c r="AU486" i="1"/>
  <c r="BD486" i="1"/>
  <c r="H487" i="1" a="1"/>
  <c r="H487" i="1" s="1"/>
  <c r="R487" i="1" s="1"/>
  <c r="K487" i="1"/>
  <c r="N487" i="1" s="1"/>
  <c r="AK487" i="1" a="1"/>
  <c r="AK487" i="1" s="1"/>
  <c r="AU487" i="1"/>
  <c r="BD487" i="1"/>
  <c r="H488" i="1" a="1"/>
  <c r="H488" i="1" s="1"/>
  <c r="R488" i="1" s="1"/>
  <c r="K488" i="1"/>
  <c r="N488" i="1" s="1"/>
  <c r="AK488" i="1" a="1"/>
  <c r="AK488" i="1" s="1"/>
  <c r="AU488" i="1"/>
  <c r="BD488" i="1"/>
  <c r="H489" i="1" a="1"/>
  <c r="H489" i="1" s="1"/>
  <c r="R489" i="1" s="1"/>
  <c r="K489" i="1"/>
  <c r="N489" i="1" s="1"/>
  <c r="AK489" i="1" a="1"/>
  <c r="AK489" i="1" s="1"/>
  <c r="AU489" i="1"/>
  <c r="BD489" i="1"/>
  <c r="H490" i="1" a="1"/>
  <c r="H490" i="1" s="1"/>
  <c r="R490" i="1" s="1"/>
  <c r="K490" i="1"/>
  <c r="N490" i="1" s="1"/>
  <c r="Q490" i="1" a="1"/>
  <c r="Q490" i="1" s="1"/>
  <c r="AS490" i="1" s="1"/>
  <c r="AK490" i="1" a="1"/>
  <c r="AK490" i="1" s="1"/>
  <c r="AU490" i="1"/>
  <c r="BD490" i="1"/>
  <c r="H491" i="1" a="1"/>
  <c r="H491" i="1" s="1"/>
  <c r="R491" i="1" s="1"/>
  <c r="K491" i="1"/>
  <c r="N491" i="1" s="1"/>
  <c r="AK491" i="1" a="1"/>
  <c r="AK491" i="1" s="1"/>
  <c r="AU491" i="1"/>
  <c r="BD491" i="1"/>
  <c r="H492" i="1" a="1"/>
  <c r="H492" i="1" s="1"/>
  <c r="R492" i="1" s="1"/>
  <c r="K492" i="1"/>
  <c r="N492" i="1" s="1"/>
  <c r="AK492" i="1" a="1"/>
  <c r="AK492" i="1" s="1"/>
  <c r="AU492" i="1"/>
  <c r="BD492" i="1"/>
  <c r="H493" i="1" a="1"/>
  <c r="H493" i="1" s="1"/>
  <c r="R493" i="1" s="1"/>
  <c r="K493" i="1"/>
  <c r="N493" i="1" s="1"/>
  <c r="AK493" i="1" a="1"/>
  <c r="AK493" i="1" s="1"/>
  <c r="AU493" i="1"/>
  <c r="BD493" i="1"/>
  <c r="H494" i="1" a="1"/>
  <c r="H494" i="1" s="1"/>
  <c r="R494" i="1" s="1"/>
  <c r="K494" i="1"/>
  <c r="N494" i="1" s="1"/>
  <c r="AK494" i="1" a="1"/>
  <c r="AK494" i="1" s="1"/>
  <c r="AU494" i="1"/>
  <c r="BD494" i="1"/>
  <c r="H495" i="1" a="1"/>
  <c r="H495" i="1" s="1"/>
  <c r="R495" i="1" s="1"/>
  <c r="K495" i="1"/>
  <c r="N495" i="1" s="1"/>
  <c r="AK495" i="1" a="1"/>
  <c r="AK495" i="1" s="1"/>
  <c r="AU495" i="1"/>
  <c r="BD495" i="1"/>
  <c r="H496" i="1" a="1"/>
  <c r="H496" i="1" s="1"/>
  <c r="R496" i="1" s="1"/>
  <c r="K496" i="1"/>
  <c r="N496" i="1" s="1"/>
  <c r="AK496" i="1" a="1"/>
  <c r="AK496" i="1" s="1"/>
  <c r="AU496" i="1"/>
  <c r="BD496" i="1"/>
  <c r="H497" i="1" a="1"/>
  <c r="H497" i="1" s="1"/>
  <c r="R497" i="1" s="1"/>
  <c r="K497" i="1"/>
  <c r="N497" i="1" s="1"/>
  <c r="AK497" i="1" a="1"/>
  <c r="AK497" i="1" s="1"/>
  <c r="AU497" i="1"/>
  <c r="BD497" i="1"/>
  <c r="H498" i="1" a="1"/>
  <c r="H498" i="1" s="1"/>
  <c r="R498" i="1" s="1"/>
  <c r="K498" i="1"/>
  <c r="N498" i="1" s="1"/>
  <c r="AK498" i="1" a="1"/>
  <c r="AK498" i="1" s="1"/>
  <c r="AU498" i="1"/>
  <c r="BD498" i="1"/>
  <c r="H499" i="1" a="1"/>
  <c r="H499" i="1" s="1"/>
  <c r="R499" i="1" s="1"/>
  <c r="K499" i="1"/>
  <c r="N499" i="1" s="1"/>
  <c r="AK499" i="1" a="1"/>
  <c r="AK499" i="1" s="1"/>
  <c r="AU499" i="1"/>
  <c r="BD499" i="1"/>
  <c r="H500" i="1" a="1"/>
  <c r="H500" i="1" s="1"/>
  <c r="R500" i="1" s="1"/>
  <c r="K500" i="1"/>
  <c r="N500" i="1" s="1"/>
  <c r="AK500" i="1" a="1"/>
  <c r="AK500" i="1" s="1"/>
  <c r="AU500" i="1"/>
  <c r="BD500" i="1"/>
  <c r="H501" i="1" a="1"/>
  <c r="H501" i="1" s="1"/>
  <c r="R501" i="1" s="1"/>
  <c r="K501" i="1"/>
  <c r="N501" i="1" s="1"/>
  <c r="AK501" i="1" a="1"/>
  <c r="AK501" i="1" s="1"/>
  <c r="AU501" i="1"/>
  <c r="BD501" i="1"/>
  <c r="H502" i="1" a="1"/>
  <c r="H502" i="1" s="1"/>
  <c r="R502" i="1" s="1"/>
  <c r="K502" i="1"/>
  <c r="N502" i="1" s="1"/>
  <c r="Q502" i="1" a="1"/>
  <c r="Q502" i="1" s="1"/>
  <c r="AS502" i="1" s="1"/>
  <c r="AK502" i="1" a="1"/>
  <c r="AK502" i="1" s="1"/>
  <c r="AU502" i="1"/>
  <c r="BD502" i="1"/>
  <c r="H503" i="1" a="1"/>
  <c r="H503" i="1" s="1"/>
  <c r="R503" i="1" s="1"/>
  <c r="K503" i="1"/>
  <c r="N503" i="1" s="1"/>
  <c r="AK503" i="1" a="1"/>
  <c r="AK503" i="1" s="1"/>
  <c r="AU503" i="1"/>
  <c r="BD503" i="1"/>
  <c r="H504" i="1" a="1"/>
  <c r="H504" i="1" s="1"/>
  <c r="R504" i="1" s="1"/>
  <c r="K504" i="1"/>
  <c r="N504" i="1" s="1"/>
  <c r="AK504" i="1" a="1"/>
  <c r="AK504" i="1" s="1"/>
  <c r="AU504" i="1"/>
  <c r="BD504" i="1"/>
  <c r="K508" i="1"/>
  <c r="N508" i="1"/>
  <c r="O508" i="1"/>
  <c r="AK508" i="1" a="1"/>
  <c r="AK508" i="1" s="1"/>
  <c r="AU508" i="1"/>
  <c r="BD508" i="1"/>
  <c r="H509" i="1" a="1"/>
  <c r="H509" i="1" s="1"/>
  <c r="R509" i="1" s="1"/>
  <c r="K509" i="1"/>
  <c r="N509" i="1" s="1"/>
  <c r="Q509" i="1" a="1"/>
  <c r="Q509" i="1" s="1"/>
  <c r="AS509" i="1" s="1"/>
  <c r="AK509" i="1" a="1"/>
  <c r="AK509" i="1" s="1"/>
  <c r="AU509" i="1"/>
  <c r="BD509" i="1"/>
  <c r="H510" i="1" a="1"/>
  <c r="H510" i="1" s="1"/>
  <c r="R510" i="1" s="1"/>
  <c r="K510" i="1"/>
  <c r="N510" i="1" s="1"/>
  <c r="AK510" i="1" a="1"/>
  <c r="AK510" i="1" s="1"/>
  <c r="AU510" i="1"/>
  <c r="BD510" i="1"/>
  <c r="H511" i="1" a="1"/>
  <c r="H511" i="1" s="1"/>
  <c r="R511" i="1" s="1"/>
  <c r="K511" i="1"/>
  <c r="N511" i="1" s="1"/>
  <c r="AK511" i="1" a="1"/>
  <c r="AK511" i="1" s="1"/>
  <c r="AU511" i="1"/>
  <c r="BD511" i="1"/>
  <c r="H512" i="1" a="1"/>
  <c r="H512" i="1" s="1"/>
  <c r="R512" i="1" s="1"/>
  <c r="K512" i="1"/>
  <c r="N512" i="1" s="1"/>
  <c r="AK512" i="1" a="1"/>
  <c r="AK512" i="1" s="1"/>
  <c r="AU512" i="1"/>
  <c r="BD512" i="1"/>
  <c r="H513" i="1" a="1"/>
  <c r="H513" i="1" s="1"/>
  <c r="R513" i="1" s="1"/>
  <c r="K513" i="1"/>
  <c r="N513" i="1" s="1"/>
  <c r="Q513" i="1" a="1"/>
  <c r="Q513" i="1" s="1"/>
  <c r="AS513" i="1" s="1"/>
  <c r="AK513" i="1" a="1"/>
  <c r="AK513" i="1" s="1"/>
  <c r="AU513" i="1"/>
  <c r="BD513" i="1"/>
  <c r="H514" i="1" a="1"/>
  <c r="H514" i="1" s="1"/>
  <c r="R514" i="1" s="1"/>
  <c r="K514" i="1"/>
  <c r="N514" i="1" s="1"/>
  <c r="AK514" i="1" a="1"/>
  <c r="AK514" i="1" s="1"/>
  <c r="AU514" i="1"/>
  <c r="BD514" i="1"/>
  <c r="H515" i="1" a="1"/>
  <c r="H515" i="1" s="1"/>
  <c r="R515" i="1" s="1"/>
  <c r="K515" i="1"/>
  <c r="N515" i="1" s="1"/>
  <c r="AK515" i="1" a="1"/>
  <c r="AK515" i="1" s="1"/>
  <c r="AU515" i="1"/>
  <c r="BD515" i="1"/>
  <c r="H516" i="1" a="1"/>
  <c r="H516" i="1" s="1"/>
  <c r="R516" i="1" s="1"/>
  <c r="K516" i="1"/>
  <c r="N516" i="1" s="1"/>
  <c r="AK516" i="1" a="1"/>
  <c r="AK516" i="1" s="1"/>
  <c r="AU516" i="1"/>
  <c r="BD516" i="1"/>
  <c r="H517" i="1" a="1"/>
  <c r="H517" i="1" s="1"/>
  <c r="R517" i="1" s="1"/>
  <c r="K517" i="1"/>
  <c r="N517" i="1" s="1"/>
  <c r="Q517" i="1" a="1"/>
  <c r="Q517" i="1" s="1"/>
  <c r="AS517" i="1" s="1"/>
  <c r="AK517" i="1" a="1"/>
  <c r="AK517" i="1" s="1"/>
  <c r="AU517" i="1"/>
  <c r="BD517" i="1"/>
  <c r="H518" i="1" a="1"/>
  <c r="H518" i="1" s="1"/>
  <c r="R518" i="1" s="1"/>
  <c r="K518" i="1"/>
  <c r="N518" i="1" s="1"/>
  <c r="AK518" i="1" a="1"/>
  <c r="AK518" i="1" s="1"/>
  <c r="AU518" i="1"/>
  <c r="BD518" i="1"/>
  <c r="H519" i="1" a="1"/>
  <c r="H519" i="1" s="1"/>
  <c r="R519" i="1" s="1"/>
  <c r="K519" i="1"/>
  <c r="N519" i="1" s="1"/>
  <c r="AK519" i="1" a="1"/>
  <c r="AK519" i="1" s="1"/>
  <c r="AU519" i="1"/>
  <c r="BD519" i="1"/>
  <c r="H520" i="1" a="1"/>
  <c r="H520" i="1" s="1"/>
  <c r="R520" i="1" s="1"/>
  <c r="K520" i="1"/>
  <c r="N520" i="1" s="1"/>
  <c r="AK520" i="1" a="1"/>
  <c r="AK520" i="1" s="1"/>
  <c r="AU520" i="1"/>
  <c r="BD520" i="1"/>
  <c r="H521" i="1" a="1"/>
  <c r="H521" i="1" s="1"/>
  <c r="R521" i="1" s="1"/>
  <c r="K521" i="1"/>
  <c r="N521" i="1" s="1"/>
  <c r="AK521" i="1" a="1"/>
  <c r="AK521" i="1" s="1"/>
  <c r="AU521" i="1"/>
  <c r="BD521" i="1"/>
  <c r="H522" i="1" a="1"/>
  <c r="H522" i="1" s="1"/>
  <c r="R522" i="1" s="1"/>
  <c r="K522" i="1"/>
  <c r="N522" i="1" s="1"/>
  <c r="AK522" i="1" a="1"/>
  <c r="AK522" i="1" s="1"/>
  <c r="AU522" i="1"/>
  <c r="BD522" i="1"/>
  <c r="H523" i="1" a="1"/>
  <c r="H523" i="1" s="1"/>
  <c r="R523" i="1" s="1"/>
  <c r="K523" i="1"/>
  <c r="N523" i="1" s="1"/>
  <c r="AK523" i="1" a="1"/>
  <c r="AK523" i="1" s="1"/>
  <c r="AU523" i="1"/>
  <c r="BD523" i="1"/>
  <c r="H524" i="1" a="1"/>
  <c r="H524" i="1" s="1"/>
  <c r="R524" i="1" s="1"/>
  <c r="K524" i="1"/>
  <c r="N524" i="1" s="1"/>
  <c r="Q524" i="1" a="1"/>
  <c r="Q524" i="1" s="1"/>
  <c r="AS524" i="1" s="1"/>
  <c r="AK524" i="1" a="1"/>
  <c r="AK524" i="1" s="1"/>
  <c r="AU524" i="1"/>
  <c r="BD524" i="1"/>
  <c r="H525" i="1" a="1"/>
  <c r="H525" i="1" s="1"/>
  <c r="R525" i="1" s="1"/>
  <c r="K525" i="1"/>
  <c r="N525" i="1" s="1"/>
  <c r="AK525" i="1" a="1"/>
  <c r="AK525" i="1" s="1"/>
  <c r="AU525" i="1"/>
  <c r="BD525" i="1"/>
  <c r="H526" i="1" a="1"/>
  <c r="H526" i="1" s="1"/>
  <c r="R526" i="1" s="1"/>
  <c r="K526" i="1"/>
  <c r="N526" i="1" s="1"/>
  <c r="AK526" i="1" a="1"/>
  <c r="AK526" i="1" s="1"/>
  <c r="AU526" i="1"/>
  <c r="BD526" i="1"/>
  <c r="H527" i="1" a="1"/>
  <c r="H527" i="1" s="1"/>
  <c r="R527" i="1" s="1"/>
  <c r="K527" i="1"/>
  <c r="N527" i="1" s="1"/>
  <c r="AK527" i="1" a="1"/>
  <c r="AK527" i="1" s="1"/>
  <c r="AU527" i="1"/>
  <c r="BD527" i="1"/>
  <c r="H528" i="1" a="1"/>
  <c r="H528" i="1" s="1"/>
  <c r="R528" i="1" s="1"/>
  <c r="K528" i="1"/>
  <c r="N528" i="1" s="1"/>
  <c r="AK528" i="1" a="1"/>
  <c r="AK528" i="1" s="1"/>
  <c r="AU528" i="1"/>
  <c r="BD528" i="1"/>
  <c r="H529" i="1" a="1"/>
  <c r="H529" i="1" s="1"/>
  <c r="R529" i="1" s="1"/>
  <c r="K529" i="1"/>
  <c r="N529" i="1" s="1"/>
  <c r="AK529" i="1" a="1"/>
  <c r="AK529" i="1" s="1"/>
  <c r="AU529" i="1"/>
  <c r="BD529" i="1"/>
  <c r="H530" i="1" a="1"/>
  <c r="H530" i="1" s="1"/>
  <c r="R530" i="1" s="1"/>
  <c r="K530" i="1"/>
  <c r="N530" i="1" s="1"/>
  <c r="AK530" i="1" a="1"/>
  <c r="AK530" i="1" s="1"/>
  <c r="AU530" i="1"/>
  <c r="BD530" i="1"/>
  <c r="H531" i="1" a="1"/>
  <c r="H531" i="1" s="1"/>
  <c r="R531" i="1" s="1"/>
  <c r="K531" i="1"/>
  <c r="N531" i="1" s="1"/>
  <c r="AK531" i="1" a="1"/>
  <c r="AK531" i="1" s="1"/>
  <c r="AU531" i="1"/>
  <c r="BD531" i="1"/>
  <c r="H532" i="1" a="1"/>
  <c r="H532" i="1" s="1"/>
  <c r="R532" i="1" s="1"/>
  <c r="K532" i="1"/>
  <c r="N532" i="1" s="1"/>
  <c r="AK532" i="1" a="1"/>
  <c r="AK532" i="1" s="1"/>
  <c r="AU532" i="1"/>
  <c r="BD532" i="1"/>
  <c r="H533" i="1" a="1"/>
  <c r="H533" i="1" s="1"/>
  <c r="R533" i="1" s="1"/>
  <c r="K533" i="1"/>
  <c r="N533" i="1" s="1"/>
  <c r="Q533" i="1" a="1"/>
  <c r="Q533" i="1" s="1"/>
  <c r="AS533" i="1" s="1"/>
  <c r="AK533" i="1" a="1"/>
  <c r="AK533" i="1" s="1"/>
  <c r="AU533" i="1"/>
  <c r="BD533" i="1"/>
  <c r="H534" i="1" a="1"/>
  <c r="H534" i="1" s="1"/>
  <c r="R534" i="1" s="1"/>
  <c r="K534" i="1"/>
  <c r="N534" i="1" s="1"/>
  <c r="Q534" i="1" a="1"/>
  <c r="Q534" i="1" s="1"/>
  <c r="AS534" i="1" s="1"/>
  <c r="AK534" i="1" a="1"/>
  <c r="AK534" i="1" s="1"/>
  <c r="AU534" i="1"/>
  <c r="BD534" i="1"/>
  <c r="H535" i="1" a="1"/>
  <c r="H535" i="1" s="1"/>
  <c r="R535" i="1" s="1"/>
  <c r="K535" i="1"/>
  <c r="N535" i="1" s="1"/>
  <c r="AK535" i="1" a="1"/>
  <c r="AK535" i="1" s="1"/>
  <c r="AU535" i="1"/>
  <c r="BD535" i="1"/>
  <c r="H536" i="1" a="1"/>
  <c r="H536" i="1" s="1"/>
  <c r="R536" i="1" s="1"/>
  <c r="K536" i="1"/>
  <c r="N536" i="1" s="1"/>
  <c r="AK536" i="1" a="1"/>
  <c r="AK536" i="1" s="1"/>
  <c r="AU536" i="1"/>
  <c r="BD536" i="1"/>
  <c r="H537" i="1" a="1"/>
  <c r="H537" i="1" s="1"/>
  <c r="R537" i="1" s="1"/>
  <c r="K537" i="1"/>
  <c r="N537" i="1" s="1"/>
  <c r="AK537" i="1" a="1"/>
  <c r="AK537" i="1" s="1"/>
  <c r="AU537" i="1"/>
  <c r="BD537" i="1"/>
  <c r="H538" i="1" a="1"/>
  <c r="H538" i="1" s="1"/>
  <c r="R538" i="1" s="1"/>
  <c r="K538" i="1"/>
  <c r="N538" i="1" s="1"/>
  <c r="AK538" i="1" a="1"/>
  <c r="AK538" i="1" s="1"/>
  <c r="AU538" i="1"/>
  <c r="BD538" i="1"/>
  <c r="H539" i="1" a="1"/>
  <c r="H539" i="1" s="1"/>
  <c r="R539" i="1" s="1"/>
  <c r="K539" i="1"/>
  <c r="N539" i="1" s="1"/>
  <c r="AK539" i="1" a="1"/>
  <c r="AK539" i="1" s="1"/>
  <c r="AU539" i="1"/>
  <c r="BD539" i="1"/>
  <c r="H540" i="1" a="1"/>
  <c r="H540" i="1" s="1"/>
  <c r="R540" i="1" s="1"/>
  <c r="K540" i="1"/>
  <c r="N540" i="1" s="1"/>
  <c r="AK540" i="1" a="1"/>
  <c r="AK540" i="1" s="1"/>
  <c r="AU540" i="1"/>
  <c r="BD540" i="1"/>
  <c r="H541" i="1" a="1"/>
  <c r="H541" i="1" s="1"/>
  <c r="R541" i="1" s="1"/>
  <c r="K541" i="1"/>
  <c r="N541" i="1" s="1"/>
  <c r="AK541" i="1" a="1"/>
  <c r="AK541" i="1" s="1"/>
  <c r="AU541" i="1"/>
  <c r="BD541" i="1"/>
  <c r="H542" i="1" a="1"/>
  <c r="H542" i="1" s="1"/>
  <c r="R542" i="1" s="1"/>
  <c r="K542" i="1"/>
  <c r="N542" i="1" s="1"/>
  <c r="AK542" i="1" a="1"/>
  <c r="AK542" i="1" s="1"/>
  <c r="AU542" i="1"/>
  <c r="BD542" i="1"/>
  <c r="H543" i="1" a="1"/>
  <c r="H543" i="1" s="1"/>
  <c r="R543" i="1" s="1"/>
  <c r="K543" i="1"/>
  <c r="N543" i="1" s="1"/>
  <c r="AK543" i="1" a="1"/>
  <c r="AK543" i="1" s="1"/>
  <c r="AU543" i="1"/>
  <c r="BD543" i="1"/>
  <c r="H544" i="1" a="1"/>
  <c r="H544" i="1" s="1"/>
  <c r="R544" i="1" s="1"/>
  <c r="K544" i="1"/>
  <c r="N544" i="1" s="1"/>
  <c r="AK544" i="1" a="1"/>
  <c r="AK544" i="1" s="1"/>
  <c r="AU544" i="1"/>
  <c r="BD544" i="1"/>
  <c r="H545" i="1" a="1"/>
  <c r="H545" i="1" s="1"/>
  <c r="R545" i="1" s="1"/>
  <c r="K545" i="1"/>
  <c r="N545" i="1" s="1"/>
  <c r="AK545" i="1" a="1"/>
  <c r="AK545" i="1" s="1"/>
  <c r="AU545" i="1"/>
  <c r="BD545" i="1"/>
  <c r="H546" i="1" a="1"/>
  <c r="H546" i="1" s="1"/>
  <c r="R546" i="1" s="1"/>
  <c r="K546" i="1"/>
  <c r="N546" i="1" s="1"/>
  <c r="Q546" i="1" a="1"/>
  <c r="Q546" i="1" s="1"/>
  <c r="AS546" i="1" s="1"/>
  <c r="AK546" i="1" a="1"/>
  <c r="AK546" i="1" s="1"/>
  <c r="AU546" i="1"/>
  <c r="BD546" i="1"/>
  <c r="H547" i="1" a="1"/>
  <c r="H547" i="1" s="1"/>
  <c r="R547" i="1" s="1"/>
  <c r="K547" i="1"/>
  <c r="N547" i="1" s="1"/>
  <c r="AK547" i="1" a="1"/>
  <c r="AK547" i="1" s="1"/>
  <c r="AU547" i="1"/>
  <c r="BD547" i="1"/>
  <c r="H548" i="1" a="1"/>
  <c r="H548" i="1" s="1"/>
  <c r="R548" i="1" s="1"/>
  <c r="K548" i="1"/>
  <c r="N548" i="1" s="1"/>
  <c r="AK548" i="1" a="1"/>
  <c r="AK548" i="1" s="1"/>
  <c r="AU548" i="1"/>
  <c r="BD548" i="1"/>
  <c r="H549" i="1" a="1"/>
  <c r="H549" i="1" s="1"/>
  <c r="R549" i="1" s="1"/>
  <c r="K549" i="1"/>
  <c r="N549" i="1" s="1"/>
  <c r="AK549" i="1" a="1"/>
  <c r="AK549" i="1" s="1"/>
  <c r="AU549" i="1"/>
  <c r="BD549" i="1"/>
  <c r="H550" i="1" a="1"/>
  <c r="H550" i="1" s="1"/>
  <c r="R550" i="1" s="1"/>
  <c r="K550" i="1"/>
  <c r="N550" i="1" s="1"/>
  <c r="AK550" i="1" a="1"/>
  <c r="AK550" i="1" s="1"/>
  <c r="AU550" i="1"/>
  <c r="BD550" i="1"/>
  <c r="H551" i="1" a="1"/>
  <c r="H551" i="1" s="1"/>
  <c r="R551" i="1" s="1"/>
  <c r="K551" i="1"/>
  <c r="N551" i="1" s="1"/>
  <c r="AK551" i="1" a="1"/>
  <c r="AK551" i="1" s="1"/>
  <c r="AU551" i="1"/>
  <c r="BD551" i="1"/>
  <c r="H552" i="1" a="1"/>
  <c r="H552" i="1" s="1"/>
  <c r="R552" i="1" s="1"/>
  <c r="K552" i="1"/>
  <c r="N552" i="1" s="1"/>
  <c r="AK552" i="1" a="1"/>
  <c r="AK552" i="1" s="1"/>
  <c r="AU552" i="1"/>
  <c r="BD552" i="1"/>
  <c r="H553" i="1" a="1"/>
  <c r="H553" i="1" s="1"/>
  <c r="R553" i="1" s="1"/>
  <c r="K553" i="1"/>
  <c r="N553" i="1" s="1"/>
  <c r="AK553" i="1" a="1"/>
  <c r="AK553" i="1" s="1"/>
  <c r="AU553" i="1"/>
  <c r="BD553" i="1"/>
  <c r="K557" i="1"/>
  <c r="N557" i="1"/>
  <c r="O557" i="1"/>
  <c r="AS557" i="1"/>
  <c r="AK557" i="1" a="1"/>
  <c r="AK557" i="1" s="1"/>
  <c r="AU557" i="1"/>
  <c r="BD557" i="1"/>
  <c r="H558" i="1" a="1"/>
  <c r="H558" i="1" s="1"/>
  <c r="R558" i="1" s="1"/>
  <c r="K558" i="1"/>
  <c r="N558" i="1" s="1"/>
  <c r="AK558" i="1" a="1"/>
  <c r="AK558" i="1" s="1"/>
  <c r="AU558" i="1"/>
  <c r="BD558" i="1"/>
  <c r="H559" i="1" a="1"/>
  <c r="H559" i="1" s="1"/>
  <c r="R559" i="1" s="1"/>
  <c r="K559" i="1"/>
  <c r="N559" i="1" s="1"/>
  <c r="AK559" i="1" a="1"/>
  <c r="AK559" i="1" s="1"/>
  <c r="AU559" i="1"/>
  <c r="BD559" i="1"/>
  <c r="H560" i="1" a="1"/>
  <c r="H560" i="1" s="1"/>
  <c r="R560" i="1" s="1"/>
  <c r="K560" i="1"/>
  <c r="N560" i="1" s="1"/>
  <c r="AK560" i="1" a="1"/>
  <c r="AK560" i="1" s="1"/>
  <c r="AU560" i="1"/>
  <c r="BD560" i="1"/>
  <c r="H561" i="1" a="1"/>
  <c r="H561" i="1" s="1"/>
  <c r="R561" i="1" s="1"/>
  <c r="K561" i="1"/>
  <c r="N561" i="1" s="1"/>
  <c r="AK561" i="1" a="1"/>
  <c r="AK561" i="1" s="1"/>
  <c r="AU561" i="1"/>
  <c r="BD561" i="1"/>
  <c r="H562" i="1" a="1"/>
  <c r="H562" i="1" s="1"/>
  <c r="R562" i="1" s="1"/>
  <c r="K562" i="1"/>
  <c r="N562" i="1" s="1"/>
  <c r="AK562" i="1" a="1"/>
  <c r="AK562" i="1" s="1"/>
  <c r="AU562" i="1"/>
  <c r="BD562" i="1"/>
  <c r="H563" i="1" a="1"/>
  <c r="H563" i="1" s="1"/>
  <c r="R563" i="1" s="1"/>
  <c r="K563" i="1"/>
  <c r="N563" i="1" s="1"/>
  <c r="AK563" i="1" a="1"/>
  <c r="AK563" i="1" s="1"/>
  <c r="AU563" i="1"/>
  <c r="BD563" i="1"/>
  <c r="H564" i="1" a="1"/>
  <c r="H564" i="1" s="1"/>
  <c r="R564" i="1" s="1"/>
  <c r="K564" i="1"/>
  <c r="N564" i="1" s="1"/>
  <c r="AK564" i="1" a="1"/>
  <c r="AK564" i="1" s="1"/>
  <c r="AU564" i="1"/>
  <c r="BD564" i="1"/>
  <c r="H565" i="1" a="1"/>
  <c r="H565" i="1" s="1"/>
  <c r="R565" i="1" s="1"/>
  <c r="K565" i="1"/>
  <c r="N565" i="1" s="1"/>
  <c r="Q565" i="1" a="1"/>
  <c r="Q565" i="1" s="1"/>
  <c r="AS565" i="1" s="1"/>
  <c r="AK565" i="1" a="1"/>
  <c r="AK565" i="1" s="1"/>
  <c r="AU565" i="1"/>
  <c r="BD565" i="1"/>
  <c r="H566" i="1" a="1"/>
  <c r="H566" i="1" s="1"/>
  <c r="R566" i="1" s="1"/>
  <c r="K566" i="1"/>
  <c r="N566" i="1" s="1"/>
  <c r="AK566" i="1" a="1"/>
  <c r="AK566" i="1" s="1"/>
  <c r="AU566" i="1"/>
  <c r="BD566" i="1"/>
  <c r="H567" i="1" a="1"/>
  <c r="H567" i="1" s="1"/>
  <c r="R567" i="1" s="1"/>
  <c r="K567" i="1"/>
  <c r="N567" i="1" s="1"/>
  <c r="AK567" i="1" a="1"/>
  <c r="AK567" i="1" s="1"/>
  <c r="AU567" i="1"/>
  <c r="BD567" i="1"/>
  <c r="H568" i="1" a="1"/>
  <c r="H568" i="1" s="1"/>
  <c r="R568" i="1" s="1"/>
  <c r="K568" i="1"/>
  <c r="N568" i="1" s="1"/>
  <c r="AK568" i="1" a="1"/>
  <c r="AK568" i="1" s="1"/>
  <c r="AU568" i="1"/>
  <c r="BD568" i="1"/>
  <c r="H569" i="1" a="1"/>
  <c r="H569" i="1" s="1"/>
  <c r="R569" i="1" s="1"/>
  <c r="K569" i="1"/>
  <c r="N569" i="1" s="1"/>
  <c r="AK569" i="1" a="1"/>
  <c r="AK569" i="1" s="1"/>
  <c r="AU569" i="1"/>
  <c r="BD569" i="1"/>
  <c r="H570" i="1" a="1"/>
  <c r="H570" i="1" s="1"/>
  <c r="R570" i="1" s="1"/>
  <c r="K570" i="1"/>
  <c r="N570" i="1" s="1"/>
  <c r="AK570" i="1" a="1"/>
  <c r="AK570" i="1" s="1"/>
  <c r="AU570" i="1"/>
  <c r="BD570" i="1"/>
  <c r="H571" i="1" a="1"/>
  <c r="H571" i="1" s="1"/>
  <c r="R571" i="1" s="1"/>
  <c r="K571" i="1"/>
  <c r="N571" i="1" s="1"/>
  <c r="AK571" i="1" a="1"/>
  <c r="AK571" i="1" s="1"/>
  <c r="AU571" i="1"/>
  <c r="BD571" i="1"/>
  <c r="H572" i="1" a="1"/>
  <c r="H572" i="1" s="1"/>
  <c r="R572" i="1" s="1"/>
  <c r="K572" i="1"/>
  <c r="N572" i="1" s="1"/>
  <c r="AK572" i="1" a="1"/>
  <c r="AK572" i="1" s="1"/>
  <c r="AU572" i="1"/>
  <c r="BD572" i="1"/>
  <c r="H573" i="1" a="1"/>
  <c r="H573" i="1" s="1"/>
  <c r="R573" i="1" s="1"/>
  <c r="K573" i="1"/>
  <c r="N573" i="1" s="1"/>
  <c r="AK573" i="1" a="1"/>
  <c r="AK573" i="1" s="1"/>
  <c r="AU573" i="1"/>
  <c r="BD573" i="1"/>
  <c r="H574" i="1" a="1"/>
  <c r="H574" i="1" s="1"/>
  <c r="R574" i="1" s="1"/>
  <c r="K574" i="1"/>
  <c r="N574" i="1" s="1"/>
  <c r="AK574" i="1" a="1"/>
  <c r="AK574" i="1" s="1"/>
  <c r="AU574" i="1"/>
  <c r="BD574" i="1"/>
  <c r="H575" i="1" a="1"/>
  <c r="H575" i="1" s="1"/>
  <c r="R575" i="1" s="1"/>
  <c r="K575" i="1"/>
  <c r="N575" i="1" s="1"/>
  <c r="AK575" i="1" a="1"/>
  <c r="AK575" i="1" s="1"/>
  <c r="AU575" i="1"/>
  <c r="BD575" i="1"/>
  <c r="H576" i="1" a="1"/>
  <c r="H576" i="1" s="1"/>
  <c r="R576" i="1" s="1"/>
  <c r="K576" i="1"/>
  <c r="N576" i="1" s="1"/>
  <c r="Q576" i="1" a="1"/>
  <c r="Q576" i="1" s="1"/>
  <c r="AS576" i="1" s="1"/>
  <c r="AK576" i="1" a="1"/>
  <c r="AK576" i="1" s="1"/>
  <c r="AU576" i="1"/>
  <c r="BD576" i="1"/>
  <c r="H577" i="1" a="1"/>
  <c r="H577" i="1" s="1"/>
  <c r="R577" i="1" s="1"/>
  <c r="K577" i="1"/>
  <c r="N577" i="1" s="1"/>
  <c r="AK577" i="1" a="1"/>
  <c r="AK577" i="1" s="1"/>
  <c r="AU577" i="1"/>
  <c r="BD577" i="1"/>
  <c r="H578" i="1" a="1"/>
  <c r="H578" i="1" s="1"/>
  <c r="R578" i="1" s="1"/>
  <c r="K578" i="1"/>
  <c r="N578" i="1" s="1"/>
  <c r="AK578" i="1" a="1"/>
  <c r="AK578" i="1" s="1"/>
  <c r="AU578" i="1"/>
  <c r="BD578" i="1"/>
  <c r="H579" i="1" a="1"/>
  <c r="H579" i="1" s="1"/>
  <c r="R579" i="1" s="1"/>
  <c r="K579" i="1"/>
  <c r="N579" i="1" s="1"/>
  <c r="AK579" i="1" a="1"/>
  <c r="AK579" i="1" s="1"/>
  <c r="AU579" i="1"/>
  <c r="BD579" i="1"/>
  <c r="H580" i="1" a="1"/>
  <c r="H580" i="1" s="1"/>
  <c r="R580" i="1" s="1"/>
  <c r="K580" i="1"/>
  <c r="N580" i="1" s="1"/>
  <c r="AK580" i="1" a="1"/>
  <c r="AK580" i="1" s="1"/>
  <c r="AU580" i="1"/>
  <c r="BD580" i="1"/>
  <c r="H581" i="1" a="1"/>
  <c r="H581" i="1" s="1"/>
  <c r="R581" i="1" s="1"/>
  <c r="K581" i="1"/>
  <c r="N581" i="1" s="1"/>
  <c r="AK581" i="1" a="1"/>
  <c r="AK581" i="1" s="1"/>
  <c r="AU581" i="1"/>
  <c r="BD581" i="1"/>
  <c r="H582" i="1" a="1"/>
  <c r="H582" i="1" s="1"/>
  <c r="R582" i="1" s="1"/>
  <c r="K582" i="1"/>
  <c r="N582" i="1" s="1"/>
  <c r="AK582" i="1" a="1"/>
  <c r="AK582" i="1" s="1"/>
  <c r="AU582" i="1"/>
  <c r="BD582" i="1"/>
  <c r="H583" i="1" a="1"/>
  <c r="H583" i="1" s="1"/>
  <c r="R583" i="1" s="1"/>
  <c r="K583" i="1"/>
  <c r="N583" i="1" s="1"/>
  <c r="AK583" i="1" a="1"/>
  <c r="AK583" i="1" s="1"/>
  <c r="AU583" i="1"/>
  <c r="BD583" i="1"/>
  <c r="H584" i="1" a="1"/>
  <c r="H584" i="1" s="1"/>
  <c r="R584" i="1" s="1"/>
  <c r="K584" i="1"/>
  <c r="N584" i="1" s="1"/>
  <c r="Q584" i="1" a="1"/>
  <c r="Q584" i="1" s="1"/>
  <c r="AS584" i="1" s="1"/>
  <c r="AK584" i="1" a="1"/>
  <c r="AK584" i="1" s="1"/>
  <c r="AU584" i="1"/>
  <c r="BD584" i="1"/>
  <c r="H585" i="1" a="1"/>
  <c r="H585" i="1" s="1"/>
  <c r="R585" i="1" s="1"/>
  <c r="K585" i="1"/>
  <c r="N585" i="1" s="1"/>
  <c r="Q585" i="1" a="1"/>
  <c r="Q585" i="1" s="1"/>
  <c r="AS585" i="1" s="1"/>
  <c r="AK585" i="1" a="1"/>
  <c r="AK585" i="1" s="1"/>
  <c r="AU585" i="1"/>
  <c r="BD585" i="1"/>
  <c r="H586" i="1" a="1"/>
  <c r="H586" i="1" s="1"/>
  <c r="R586" i="1" s="1"/>
  <c r="K586" i="1"/>
  <c r="N586" i="1" s="1"/>
  <c r="AK586" i="1" a="1"/>
  <c r="AK586" i="1" s="1"/>
  <c r="AU586" i="1"/>
  <c r="BD586" i="1"/>
  <c r="H587" i="1" a="1"/>
  <c r="H587" i="1" s="1"/>
  <c r="R587" i="1" s="1"/>
  <c r="K587" i="1"/>
  <c r="N587" i="1" s="1"/>
  <c r="AK587" i="1" a="1"/>
  <c r="AK587" i="1" s="1"/>
  <c r="AU587" i="1"/>
  <c r="BD587" i="1"/>
  <c r="H588" i="1" a="1"/>
  <c r="H588" i="1" s="1"/>
  <c r="R588" i="1" s="1"/>
  <c r="K588" i="1"/>
  <c r="N588" i="1" s="1"/>
  <c r="AK588" i="1" a="1"/>
  <c r="AK588" i="1" s="1"/>
  <c r="AU588" i="1"/>
  <c r="BD588" i="1"/>
  <c r="H589" i="1" a="1"/>
  <c r="H589" i="1" s="1"/>
  <c r="R589" i="1" s="1"/>
  <c r="K589" i="1"/>
  <c r="N589" i="1" s="1"/>
  <c r="AK589" i="1" a="1"/>
  <c r="AK589" i="1" s="1"/>
  <c r="AU589" i="1"/>
  <c r="BD589" i="1"/>
  <c r="H590" i="1" a="1"/>
  <c r="H590" i="1" s="1"/>
  <c r="R590" i="1" s="1"/>
  <c r="K590" i="1"/>
  <c r="N590" i="1" s="1"/>
  <c r="AK590" i="1" a="1"/>
  <c r="AK590" i="1" s="1"/>
  <c r="AU590" i="1"/>
  <c r="BD590" i="1"/>
  <c r="H591" i="1" a="1"/>
  <c r="H591" i="1" s="1"/>
  <c r="R591" i="1" s="1"/>
  <c r="K591" i="1"/>
  <c r="N591" i="1" s="1"/>
  <c r="AK591" i="1" a="1"/>
  <c r="AK591" i="1" s="1"/>
  <c r="AU591" i="1"/>
  <c r="BD591" i="1"/>
  <c r="H592" i="1" a="1"/>
  <c r="H592" i="1" s="1"/>
  <c r="R592" i="1" s="1"/>
  <c r="K592" i="1"/>
  <c r="N592" i="1" s="1"/>
  <c r="AK592" i="1" a="1"/>
  <c r="AK592" i="1" s="1"/>
  <c r="AU592" i="1"/>
  <c r="BD592" i="1"/>
  <c r="H593" i="1" a="1"/>
  <c r="H593" i="1" s="1"/>
  <c r="R593" i="1" s="1"/>
  <c r="K593" i="1"/>
  <c r="N593" i="1" s="1"/>
  <c r="Q593" i="1" a="1"/>
  <c r="Q593" i="1" s="1"/>
  <c r="AS593" i="1" s="1"/>
  <c r="AK593" i="1" a="1"/>
  <c r="AK593" i="1" s="1"/>
  <c r="AU593" i="1"/>
  <c r="BD593" i="1"/>
  <c r="H594" i="1" a="1"/>
  <c r="H594" i="1" s="1"/>
  <c r="R594" i="1" s="1"/>
  <c r="K594" i="1"/>
  <c r="N594" i="1" s="1"/>
  <c r="AK594" i="1" a="1"/>
  <c r="AK594" i="1" s="1"/>
  <c r="AU594" i="1"/>
  <c r="BD594" i="1"/>
  <c r="H595" i="1" a="1"/>
  <c r="H595" i="1" s="1"/>
  <c r="R595" i="1" s="1"/>
  <c r="K595" i="1"/>
  <c r="N595" i="1" s="1"/>
  <c r="AK595" i="1" a="1"/>
  <c r="AK595" i="1" s="1"/>
  <c r="AU595" i="1"/>
  <c r="BD595" i="1"/>
  <c r="H596" i="1" a="1"/>
  <c r="H596" i="1" s="1"/>
  <c r="R596" i="1" s="1"/>
  <c r="K596" i="1"/>
  <c r="N596" i="1" s="1"/>
  <c r="AK596" i="1" a="1"/>
  <c r="AK596" i="1" s="1"/>
  <c r="AU596" i="1"/>
  <c r="BD596" i="1"/>
  <c r="H597" i="1" a="1"/>
  <c r="H597" i="1" s="1"/>
  <c r="R597" i="1" s="1"/>
  <c r="K597" i="1"/>
  <c r="N597" i="1" s="1"/>
  <c r="AK597" i="1" a="1"/>
  <c r="AK597" i="1" s="1"/>
  <c r="AU597" i="1"/>
  <c r="BD597" i="1"/>
  <c r="H598" i="1" a="1"/>
  <c r="H598" i="1" s="1"/>
  <c r="R598" i="1" s="1"/>
  <c r="K598" i="1"/>
  <c r="N598" i="1" s="1"/>
  <c r="AK598" i="1" a="1"/>
  <c r="AK598" i="1" s="1"/>
  <c r="AU598" i="1"/>
  <c r="BD598" i="1"/>
  <c r="H599" i="1" a="1"/>
  <c r="H599" i="1" s="1"/>
  <c r="R599" i="1" s="1"/>
  <c r="K599" i="1"/>
  <c r="N599" i="1" s="1"/>
  <c r="AK599" i="1" a="1"/>
  <c r="AK599" i="1" s="1"/>
  <c r="AU599" i="1"/>
  <c r="BD599" i="1"/>
  <c r="H600" i="1" a="1"/>
  <c r="H600" i="1" s="1"/>
  <c r="R600" i="1" s="1"/>
  <c r="K600" i="1"/>
  <c r="N600" i="1" s="1"/>
  <c r="AK600" i="1" a="1"/>
  <c r="AK600" i="1" s="1"/>
  <c r="AU600" i="1"/>
  <c r="BD600" i="1"/>
  <c r="H601" i="1" a="1"/>
  <c r="H601" i="1" s="1"/>
  <c r="R601" i="1" s="1"/>
  <c r="K601" i="1"/>
  <c r="N601" i="1" s="1"/>
  <c r="AK601" i="1" a="1"/>
  <c r="AK601" i="1" s="1"/>
  <c r="AU601" i="1"/>
  <c r="BD601" i="1"/>
  <c r="H602" i="1" a="1"/>
  <c r="H602" i="1" s="1"/>
  <c r="R602" i="1" s="1"/>
  <c r="K602" i="1"/>
  <c r="N602" i="1" s="1"/>
  <c r="AK602" i="1" a="1"/>
  <c r="AK602" i="1" s="1"/>
  <c r="AU602" i="1"/>
  <c r="BD602" i="1"/>
  <c r="H603" i="1" a="1"/>
  <c r="H603" i="1" s="1"/>
  <c r="R603" i="1" s="1"/>
  <c r="K603" i="1"/>
  <c r="N603" i="1" s="1"/>
  <c r="AK603" i="1" a="1"/>
  <c r="AK603" i="1" s="1"/>
  <c r="AU603" i="1"/>
  <c r="BD603" i="1"/>
  <c r="H604" i="1" a="1"/>
  <c r="H604" i="1" s="1"/>
  <c r="R604" i="1" s="1"/>
  <c r="K604" i="1"/>
  <c r="N604" i="1" s="1"/>
  <c r="AK604" i="1" a="1"/>
  <c r="AK604" i="1" s="1"/>
  <c r="AU604" i="1"/>
  <c r="BD604" i="1"/>
  <c r="H605" i="1" a="1"/>
  <c r="H605" i="1" s="1"/>
  <c r="R605" i="1" s="1"/>
  <c r="K605" i="1"/>
  <c r="N605" i="1" s="1"/>
  <c r="Q605" i="1" a="1"/>
  <c r="Q605" i="1" s="1"/>
  <c r="AS605" i="1" s="1"/>
  <c r="AK605" i="1" a="1"/>
  <c r="AK605" i="1" s="1"/>
  <c r="AU605" i="1"/>
  <c r="BD605" i="1"/>
  <c r="H606" i="1" a="1"/>
  <c r="H606" i="1" s="1"/>
  <c r="R606" i="1" s="1"/>
  <c r="K606" i="1"/>
  <c r="N606" i="1" s="1"/>
  <c r="AK606" i="1" a="1"/>
  <c r="AK606" i="1" s="1"/>
  <c r="AU606" i="1"/>
  <c r="BD606" i="1"/>
  <c r="H607" i="1" a="1"/>
  <c r="H607" i="1" s="1"/>
  <c r="R607" i="1" s="1"/>
  <c r="K607" i="1"/>
  <c r="N607" i="1" s="1"/>
  <c r="AK607" i="1" a="1"/>
  <c r="AK607" i="1" s="1"/>
  <c r="AU607" i="1"/>
  <c r="BD607" i="1"/>
  <c r="H608" i="1" a="1"/>
  <c r="H608" i="1" s="1"/>
  <c r="R608" i="1" s="1"/>
  <c r="K608" i="1"/>
  <c r="N608" i="1" s="1"/>
  <c r="AK608" i="1" a="1"/>
  <c r="AK608" i="1" s="1"/>
  <c r="AU608" i="1"/>
  <c r="BD608" i="1"/>
  <c r="H609" i="1" a="1"/>
  <c r="H609" i="1" s="1"/>
  <c r="R609" i="1" s="1"/>
  <c r="K609" i="1"/>
  <c r="N609" i="1" s="1"/>
  <c r="Q609" i="1" a="1"/>
  <c r="Q609" i="1" s="1"/>
  <c r="AS609" i="1" s="1"/>
  <c r="AK609" i="1" a="1"/>
  <c r="AK609" i="1" s="1"/>
  <c r="AU609" i="1"/>
  <c r="BD609" i="1"/>
  <c r="H610" i="1" a="1"/>
  <c r="H610" i="1" s="1"/>
  <c r="R610" i="1" s="1"/>
  <c r="K610" i="1"/>
  <c r="N610" i="1" s="1"/>
  <c r="AK610" i="1" a="1"/>
  <c r="AK610" i="1" s="1"/>
  <c r="AU610" i="1"/>
  <c r="BD610" i="1"/>
  <c r="H611" i="1" a="1"/>
  <c r="H611" i="1" s="1"/>
  <c r="R611" i="1" s="1"/>
  <c r="K611" i="1"/>
  <c r="N611" i="1" s="1"/>
  <c r="AK611" i="1" a="1"/>
  <c r="AK611" i="1" s="1"/>
  <c r="AU611" i="1"/>
  <c r="BD611" i="1"/>
  <c r="H612" i="1" a="1"/>
  <c r="H612" i="1" s="1"/>
  <c r="R612" i="1" s="1"/>
  <c r="K612" i="1"/>
  <c r="N612" i="1" s="1"/>
  <c r="AK612" i="1" a="1"/>
  <c r="AK612" i="1" s="1"/>
  <c r="AU612" i="1"/>
  <c r="BD612" i="1"/>
  <c r="H613" i="1" a="1"/>
  <c r="H613" i="1" s="1"/>
  <c r="R613" i="1" s="1"/>
  <c r="K613" i="1"/>
  <c r="N613" i="1" s="1"/>
  <c r="AK613" i="1" a="1"/>
  <c r="AK613" i="1" s="1"/>
  <c r="AU613" i="1"/>
  <c r="BD613" i="1"/>
  <c r="H614" i="1" a="1"/>
  <c r="H614" i="1" s="1"/>
  <c r="R614" i="1" s="1"/>
  <c r="K614" i="1"/>
  <c r="N614" i="1" s="1"/>
  <c r="AK614" i="1" a="1"/>
  <c r="AK614" i="1" s="1"/>
  <c r="AU614" i="1"/>
  <c r="BD614" i="1"/>
  <c r="H615" i="1" a="1"/>
  <c r="H615" i="1" s="1"/>
  <c r="R615" i="1" s="1"/>
  <c r="K615" i="1"/>
  <c r="N615" i="1" s="1"/>
  <c r="AK615" i="1" a="1"/>
  <c r="AK615" i="1" s="1"/>
  <c r="AU615" i="1"/>
  <c r="BD615" i="1"/>
  <c r="H616" i="1" a="1"/>
  <c r="H616" i="1" s="1"/>
  <c r="R616" i="1" s="1"/>
  <c r="K616" i="1"/>
  <c r="N616" i="1" s="1"/>
  <c r="AK616" i="1" a="1"/>
  <c r="AK616" i="1" s="1"/>
  <c r="AU616" i="1"/>
  <c r="BD616" i="1"/>
  <c r="H617" i="1" a="1"/>
  <c r="H617" i="1" s="1"/>
  <c r="R617" i="1" s="1"/>
  <c r="K617" i="1"/>
  <c r="N617" i="1" s="1"/>
  <c r="AK617" i="1" a="1"/>
  <c r="AK617" i="1" s="1"/>
  <c r="AU617" i="1"/>
  <c r="BD617" i="1"/>
  <c r="H618" i="1" a="1"/>
  <c r="H618" i="1" s="1"/>
  <c r="R618" i="1" s="1"/>
  <c r="K618" i="1"/>
  <c r="N618" i="1" s="1"/>
  <c r="AK618" i="1" a="1"/>
  <c r="AK618" i="1" s="1"/>
  <c r="AU618" i="1"/>
  <c r="BD618" i="1"/>
  <c r="H619" i="1" a="1"/>
  <c r="H619" i="1" s="1"/>
  <c r="R619" i="1" s="1"/>
  <c r="K619" i="1"/>
  <c r="N619" i="1" s="1"/>
  <c r="AK619" i="1" a="1"/>
  <c r="AK619" i="1" s="1"/>
  <c r="AU619" i="1"/>
  <c r="BD619" i="1"/>
  <c r="H620" i="1" a="1"/>
  <c r="H620" i="1" s="1"/>
  <c r="R620" i="1" s="1"/>
  <c r="K620" i="1"/>
  <c r="N620" i="1" s="1"/>
  <c r="AK620" i="1" a="1"/>
  <c r="AK620" i="1" s="1"/>
  <c r="AU620" i="1"/>
  <c r="BD620" i="1"/>
  <c r="H621" i="1" a="1"/>
  <c r="H621" i="1" s="1"/>
  <c r="R621" i="1" s="1"/>
  <c r="K621" i="1"/>
  <c r="N621" i="1" s="1"/>
  <c r="Q621" i="1" a="1"/>
  <c r="Q621" i="1" s="1"/>
  <c r="AS621" i="1" s="1"/>
  <c r="AK621" i="1" a="1"/>
  <c r="AK621" i="1" s="1"/>
  <c r="AU621" i="1"/>
  <c r="BD621" i="1"/>
  <c r="H622" i="1" a="1"/>
  <c r="H622" i="1" s="1"/>
  <c r="R622" i="1" s="1"/>
  <c r="K622" i="1"/>
  <c r="N622" i="1" s="1"/>
  <c r="AK622" i="1" a="1"/>
  <c r="AK622" i="1" s="1"/>
  <c r="AU622" i="1"/>
  <c r="BD622" i="1"/>
  <c r="H623" i="1" a="1"/>
  <c r="H623" i="1" s="1"/>
  <c r="R623" i="1" s="1"/>
  <c r="K623" i="1"/>
  <c r="N623" i="1" s="1"/>
  <c r="AK623" i="1" a="1"/>
  <c r="AK623" i="1" s="1"/>
  <c r="AU623" i="1"/>
  <c r="BD623" i="1"/>
  <c r="H624" i="1" a="1"/>
  <c r="H624" i="1" s="1"/>
  <c r="R624" i="1" s="1"/>
  <c r="K624" i="1"/>
  <c r="N624" i="1" s="1"/>
  <c r="AK624" i="1" a="1"/>
  <c r="AK624" i="1" s="1"/>
  <c r="AU624" i="1"/>
  <c r="BD624" i="1"/>
  <c r="H625" i="1" a="1"/>
  <c r="H625" i="1" s="1"/>
  <c r="R625" i="1" s="1"/>
  <c r="K625" i="1"/>
  <c r="N625" i="1" s="1"/>
  <c r="Q625" i="1" a="1"/>
  <c r="Q625" i="1" s="1"/>
  <c r="AS625" i="1" s="1"/>
  <c r="AK625" i="1" a="1"/>
  <c r="AK625" i="1" s="1"/>
  <c r="AU625" i="1"/>
  <c r="BD625" i="1"/>
  <c r="H626" i="1" a="1"/>
  <c r="H626" i="1" s="1"/>
  <c r="R626" i="1" s="1"/>
  <c r="K626" i="1"/>
  <c r="N626" i="1" s="1"/>
  <c r="AK626" i="1" a="1"/>
  <c r="AK626" i="1" s="1"/>
  <c r="AU626" i="1"/>
  <c r="BD626" i="1"/>
  <c r="H627" i="1" a="1"/>
  <c r="H627" i="1" s="1"/>
  <c r="R627" i="1" s="1"/>
  <c r="K627" i="1"/>
  <c r="N627" i="1" s="1"/>
  <c r="AK627" i="1" a="1"/>
  <c r="AK627" i="1" s="1"/>
  <c r="AU627" i="1"/>
  <c r="BD627" i="1"/>
  <c r="H628" i="1" a="1"/>
  <c r="H628" i="1" s="1"/>
  <c r="R628" i="1" s="1"/>
  <c r="K628" i="1"/>
  <c r="N628" i="1" s="1"/>
  <c r="AK628" i="1" a="1"/>
  <c r="AK628" i="1" s="1"/>
  <c r="AU628" i="1"/>
  <c r="BD628" i="1"/>
  <c r="H629" i="1" a="1"/>
  <c r="H629" i="1" s="1"/>
  <c r="R629" i="1" s="1"/>
  <c r="K629" i="1"/>
  <c r="N629" i="1" s="1"/>
  <c r="Q629" i="1" a="1"/>
  <c r="Q629" i="1" s="1"/>
  <c r="AS629" i="1" s="1"/>
  <c r="AK629" i="1" a="1"/>
  <c r="AK629" i="1" s="1"/>
  <c r="AU629" i="1"/>
  <c r="BD629" i="1"/>
  <c r="H630" i="1" a="1"/>
  <c r="H630" i="1" s="1"/>
  <c r="R630" i="1" s="1"/>
  <c r="K630" i="1"/>
  <c r="N630" i="1" s="1"/>
  <c r="Q630" i="1" a="1"/>
  <c r="Q630" i="1" s="1"/>
  <c r="AS630" i="1" s="1"/>
  <c r="AK630" i="1" a="1"/>
  <c r="AK630" i="1" s="1"/>
  <c r="AU630" i="1"/>
  <c r="BD630" i="1"/>
  <c r="H631" i="1" a="1"/>
  <c r="H631" i="1" s="1"/>
  <c r="R631" i="1" s="1"/>
  <c r="K631" i="1"/>
  <c r="N631" i="1" s="1"/>
  <c r="AK631" i="1" a="1"/>
  <c r="AK631" i="1" s="1"/>
  <c r="AU631" i="1"/>
  <c r="BD631" i="1"/>
  <c r="H632" i="1" a="1"/>
  <c r="H632" i="1" s="1"/>
  <c r="R632" i="1" s="1"/>
  <c r="K632" i="1"/>
  <c r="N632" i="1" s="1"/>
  <c r="AK632" i="1" a="1"/>
  <c r="AK632" i="1" s="1"/>
  <c r="AU632" i="1"/>
  <c r="BD632" i="1"/>
  <c r="H633" i="1" a="1"/>
  <c r="H633" i="1" s="1"/>
  <c r="R633" i="1" s="1"/>
  <c r="K633" i="1"/>
  <c r="N633" i="1" s="1"/>
  <c r="Q633" i="1" a="1"/>
  <c r="Q633" i="1" s="1"/>
  <c r="AS633" i="1" s="1"/>
  <c r="AK633" i="1" a="1"/>
  <c r="AK633" i="1" s="1"/>
  <c r="AU633" i="1"/>
  <c r="BD633" i="1"/>
  <c r="H634" i="1" a="1"/>
  <c r="H634" i="1" s="1"/>
  <c r="R634" i="1" s="1"/>
  <c r="K634" i="1"/>
  <c r="N634" i="1" s="1"/>
  <c r="AK634" i="1" a="1"/>
  <c r="AK634" i="1" s="1"/>
  <c r="AU634" i="1"/>
  <c r="BD634" i="1"/>
  <c r="H635" i="1" a="1"/>
  <c r="H635" i="1" s="1"/>
  <c r="R635" i="1" s="1"/>
  <c r="K635" i="1"/>
  <c r="N635" i="1" s="1"/>
  <c r="Q635" i="1" a="1"/>
  <c r="Q635" i="1" s="1"/>
  <c r="AS635" i="1" s="1"/>
  <c r="AK635" i="1" a="1"/>
  <c r="AK635" i="1" s="1"/>
  <c r="AU635" i="1"/>
  <c r="BD635" i="1"/>
  <c r="H636" i="1" a="1"/>
  <c r="H636" i="1" s="1"/>
  <c r="R636" i="1" s="1"/>
  <c r="K636" i="1"/>
  <c r="N636" i="1" s="1"/>
  <c r="AK636" i="1" a="1"/>
  <c r="AK636" i="1" s="1"/>
  <c r="AU636" i="1"/>
  <c r="BD636" i="1"/>
  <c r="H637" i="1" a="1"/>
  <c r="H637" i="1" s="1"/>
  <c r="R637" i="1" s="1"/>
  <c r="K637" i="1"/>
  <c r="N637" i="1" s="1"/>
  <c r="Q637" i="1" a="1"/>
  <c r="Q637" i="1" s="1"/>
  <c r="AS637" i="1" s="1"/>
  <c r="AK637" i="1" a="1"/>
  <c r="AK637" i="1" s="1"/>
  <c r="AU637" i="1"/>
  <c r="BD637" i="1"/>
  <c r="H638" i="1" a="1"/>
  <c r="H638" i="1" s="1"/>
  <c r="R638" i="1" s="1"/>
  <c r="K638" i="1"/>
  <c r="N638" i="1" s="1"/>
  <c r="AK638" i="1" a="1"/>
  <c r="AK638" i="1" s="1"/>
  <c r="AU638" i="1"/>
  <c r="BD638" i="1"/>
  <c r="H639" i="1" a="1"/>
  <c r="H639" i="1" s="1"/>
  <c r="R639" i="1" s="1"/>
  <c r="K639" i="1"/>
  <c r="N639" i="1" s="1"/>
  <c r="AK639" i="1" a="1"/>
  <c r="AK639" i="1" s="1"/>
  <c r="AU639" i="1"/>
  <c r="BD639" i="1"/>
  <c r="H640" i="1" a="1"/>
  <c r="H640" i="1" s="1"/>
  <c r="R640" i="1" s="1"/>
  <c r="K640" i="1"/>
  <c r="N640" i="1" s="1"/>
  <c r="AK640" i="1" a="1"/>
  <c r="AK640" i="1" s="1"/>
  <c r="AU640" i="1"/>
  <c r="BD640" i="1"/>
  <c r="H641" i="1" a="1"/>
  <c r="H641" i="1" s="1"/>
  <c r="R641" i="1" s="1"/>
  <c r="K641" i="1"/>
  <c r="N641" i="1" s="1"/>
  <c r="AK641" i="1" a="1"/>
  <c r="AK641" i="1" s="1"/>
  <c r="AU641" i="1"/>
  <c r="BD641" i="1"/>
  <c r="H642" i="1" a="1"/>
  <c r="H642" i="1" s="1"/>
  <c r="R642" i="1" s="1"/>
  <c r="K642" i="1"/>
  <c r="N642" i="1" s="1"/>
  <c r="AK642" i="1" a="1"/>
  <c r="AK642" i="1" s="1"/>
  <c r="AU642" i="1"/>
  <c r="BD642" i="1"/>
  <c r="H643" i="1" a="1"/>
  <c r="H643" i="1" s="1"/>
  <c r="R643" i="1" s="1"/>
  <c r="K643" i="1"/>
  <c r="N643" i="1" s="1"/>
  <c r="Q643" i="1" a="1"/>
  <c r="Q643" i="1" s="1"/>
  <c r="AS643" i="1" s="1"/>
  <c r="AK643" i="1" a="1"/>
  <c r="AK643" i="1" s="1"/>
  <c r="AU643" i="1"/>
  <c r="BD643" i="1"/>
  <c r="H644" i="1" a="1"/>
  <c r="H644" i="1" s="1"/>
  <c r="R644" i="1" s="1"/>
  <c r="K644" i="1"/>
  <c r="N644" i="1" s="1"/>
  <c r="Q644" i="1" a="1"/>
  <c r="Q644" i="1" s="1"/>
  <c r="AS644" i="1" s="1"/>
  <c r="AK644" i="1" a="1"/>
  <c r="AK644" i="1" s="1"/>
  <c r="AU644" i="1"/>
  <c r="BD644" i="1"/>
  <c r="H645" i="1" a="1"/>
  <c r="H645" i="1" s="1"/>
  <c r="R645" i="1" s="1"/>
  <c r="K645" i="1"/>
  <c r="N645" i="1" s="1"/>
  <c r="AK645" i="1" a="1"/>
  <c r="AK645" i="1" s="1"/>
  <c r="AU645" i="1"/>
  <c r="BD645" i="1"/>
  <c r="H646" i="1" a="1"/>
  <c r="H646" i="1" s="1"/>
  <c r="R646" i="1" s="1"/>
  <c r="K646" i="1"/>
  <c r="N646" i="1" s="1"/>
  <c r="Q646" i="1" a="1"/>
  <c r="Q646" i="1" s="1"/>
  <c r="AS646" i="1" s="1"/>
  <c r="AK646" i="1" a="1"/>
  <c r="AK646" i="1" s="1"/>
  <c r="AU646" i="1"/>
  <c r="BD646" i="1"/>
  <c r="H647" i="1" a="1"/>
  <c r="H647" i="1" s="1"/>
  <c r="R647" i="1" s="1"/>
  <c r="K647" i="1"/>
  <c r="N647" i="1" s="1"/>
  <c r="AK647" i="1" a="1"/>
  <c r="AK647" i="1" s="1"/>
  <c r="AU647" i="1"/>
  <c r="BD647" i="1"/>
  <c r="H648" i="1" a="1"/>
  <c r="H648" i="1" s="1"/>
  <c r="R648" i="1" s="1"/>
  <c r="K648" i="1"/>
  <c r="N648" i="1" s="1"/>
  <c r="Q648" i="1" a="1"/>
  <c r="Q648" i="1" s="1"/>
  <c r="AS648" i="1" s="1"/>
  <c r="AK648" i="1" a="1"/>
  <c r="AK648" i="1" s="1"/>
  <c r="AU648" i="1"/>
  <c r="BD648" i="1"/>
  <c r="H649" i="1" a="1"/>
  <c r="H649" i="1" s="1"/>
  <c r="R649" i="1" s="1"/>
  <c r="K649" i="1"/>
  <c r="N649" i="1" s="1"/>
  <c r="AK649" i="1" a="1"/>
  <c r="AK649" i="1" s="1"/>
  <c r="AU649" i="1"/>
  <c r="BD649" i="1"/>
  <c r="H650" i="1" a="1"/>
  <c r="H650" i="1" s="1"/>
  <c r="R650" i="1" s="1"/>
  <c r="K650" i="1"/>
  <c r="N650" i="1" s="1"/>
  <c r="AK650" i="1" a="1"/>
  <c r="AK650" i="1" s="1"/>
  <c r="AU650" i="1"/>
  <c r="BD650" i="1"/>
  <c r="H651" i="1" a="1"/>
  <c r="H651" i="1" s="1"/>
  <c r="R651" i="1" s="1"/>
  <c r="K651" i="1"/>
  <c r="N651" i="1" s="1"/>
  <c r="AK651" i="1" a="1"/>
  <c r="AK651" i="1" s="1"/>
  <c r="AU651" i="1"/>
  <c r="BD651" i="1"/>
  <c r="H652" i="1" a="1"/>
  <c r="H652" i="1" s="1"/>
  <c r="R652" i="1" s="1"/>
  <c r="K652" i="1"/>
  <c r="N652" i="1" s="1"/>
  <c r="Q652" i="1" a="1"/>
  <c r="Q652" i="1" s="1"/>
  <c r="AS652" i="1" s="1"/>
  <c r="AK652" i="1" a="1"/>
  <c r="AK652" i="1" s="1"/>
  <c r="AU652" i="1"/>
  <c r="BD652" i="1"/>
  <c r="H653" i="1" a="1"/>
  <c r="H653" i="1" s="1"/>
  <c r="R653" i="1" s="1"/>
  <c r="K653" i="1"/>
  <c r="N653" i="1" s="1"/>
  <c r="AK653" i="1" a="1"/>
  <c r="AK653" i="1" s="1"/>
  <c r="AU653" i="1"/>
  <c r="BD653" i="1"/>
  <c r="H654" i="1" a="1"/>
  <c r="H654" i="1" s="1"/>
  <c r="R654" i="1" s="1"/>
  <c r="K654" i="1"/>
  <c r="N654" i="1" s="1"/>
  <c r="AK654" i="1" a="1"/>
  <c r="AK654" i="1" s="1"/>
  <c r="AU654" i="1"/>
  <c r="BD654" i="1"/>
  <c r="H655" i="1" a="1"/>
  <c r="H655" i="1" s="1"/>
  <c r="R655" i="1" s="1"/>
  <c r="K655" i="1"/>
  <c r="N655" i="1" s="1"/>
  <c r="AK655" i="1" a="1"/>
  <c r="AK655" i="1" s="1"/>
  <c r="AU655" i="1"/>
  <c r="BD655" i="1"/>
  <c r="H656" i="1" a="1"/>
  <c r="H656" i="1" s="1"/>
  <c r="R656" i="1" s="1"/>
  <c r="K656" i="1"/>
  <c r="N656" i="1" s="1"/>
  <c r="Q656" i="1" a="1"/>
  <c r="Q656" i="1" s="1"/>
  <c r="AS656" i="1" s="1"/>
  <c r="AK656" i="1" a="1"/>
  <c r="AK656" i="1" s="1"/>
  <c r="AU656" i="1"/>
  <c r="BD656" i="1"/>
  <c r="H657" i="1" a="1"/>
  <c r="H657" i="1" s="1"/>
  <c r="R657" i="1" s="1"/>
  <c r="K657" i="1"/>
  <c r="N657" i="1" s="1"/>
  <c r="AK657" i="1" a="1"/>
  <c r="AK657" i="1" s="1"/>
  <c r="AU657" i="1"/>
  <c r="BD657" i="1"/>
  <c r="K661" i="1"/>
  <c r="N661" i="1"/>
  <c r="O661" i="1"/>
  <c r="AS661" i="1"/>
  <c r="AK661" i="1" a="1"/>
  <c r="AK661" i="1" s="1"/>
  <c r="AU661" i="1"/>
  <c r="BD661" i="1"/>
  <c r="H662" i="1" a="1"/>
  <c r="H662" i="1" s="1"/>
  <c r="R662" i="1" s="1"/>
  <c r="K662" i="1"/>
  <c r="N662" i="1" s="1"/>
  <c r="AK662" i="1" a="1"/>
  <c r="AK662" i="1" s="1"/>
  <c r="AU662" i="1"/>
  <c r="BD662" i="1"/>
  <c r="H663" i="1" a="1"/>
  <c r="H663" i="1" s="1"/>
  <c r="R663" i="1" s="1"/>
  <c r="K663" i="1"/>
  <c r="N663" i="1" s="1"/>
  <c r="Q663" i="1" a="1"/>
  <c r="Q663" i="1" s="1"/>
  <c r="AS663" i="1" s="1"/>
  <c r="AK663" i="1" a="1"/>
  <c r="AK663" i="1" s="1"/>
  <c r="AU663" i="1"/>
  <c r="BD663" i="1"/>
  <c r="H664" i="1" a="1"/>
  <c r="H664" i="1" s="1"/>
  <c r="R664" i="1" s="1"/>
  <c r="K664" i="1"/>
  <c r="N664" i="1" s="1"/>
  <c r="AK664" i="1" a="1"/>
  <c r="AK664" i="1" s="1"/>
  <c r="AU664" i="1"/>
  <c r="BD664" i="1"/>
  <c r="H665" i="1" a="1"/>
  <c r="H665" i="1" s="1"/>
  <c r="R665" i="1" s="1"/>
  <c r="K665" i="1"/>
  <c r="N665" i="1" s="1"/>
  <c r="AK665" i="1" a="1"/>
  <c r="AK665" i="1" s="1"/>
  <c r="AU665" i="1"/>
  <c r="BD665" i="1"/>
  <c r="H666" i="1" a="1"/>
  <c r="H666" i="1" s="1"/>
  <c r="R666" i="1" s="1"/>
  <c r="K666" i="1"/>
  <c r="N666" i="1" s="1"/>
  <c r="AK666" i="1" a="1"/>
  <c r="AK666" i="1" s="1"/>
  <c r="AU666" i="1"/>
  <c r="BD666" i="1"/>
  <c r="H667" i="1" a="1"/>
  <c r="H667" i="1" s="1"/>
  <c r="R667" i="1" s="1"/>
  <c r="K667" i="1"/>
  <c r="N667" i="1" s="1"/>
  <c r="Q667" i="1" a="1"/>
  <c r="Q667" i="1" s="1"/>
  <c r="AS667" i="1" s="1"/>
  <c r="AK667" i="1" a="1"/>
  <c r="AK667" i="1" s="1"/>
  <c r="AU667" i="1"/>
  <c r="BD667" i="1"/>
  <c r="H668" i="1" a="1"/>
  <c r="H668" i="1" s="1"/>
  <c r="R668" i="1" s="1"/>
  <c r="K668" i="1"/>
  <c r="N668" i="1" s="1"/>
  <c r="AK668" i="1" a="1"/>
  <c r="AK668" i="1" s="1"/>
  <c r="AU668" i="1"/>
  <c r="BD668" i="1"/>
  <c r="H669" i="1" a="1"/>
  <c r="H669" i="1" s="1"/>
  <c r="R669" i="1" s="1"/>
  <c r="K669" i="1"/>
  <c r="N669" i="1" s="1"/>
  <c r="Q669" i="1" a="1"/>
  <c r="Q669" i="1" s="1"/>
  <c r="AS669" i="1" s="1"/>
  <c r="AK669" i="1" a="1"/>
  <c r="AK669" i="1" s="1"/>
  <c r="AU669" i="1"/>
  <c r="BD669" i="1"/>
  <c r="H670" i="1" a="1"/>
  <c r="H670" i="1" s="1"/>
  <c r="R670" i="1" s="1"/>
  <c r="K670" i="1"/>
  <c r="N670" i="1" s="1"/>
  <c r="Q670" i="1" a="1"/>
  <c r="Q670" i="1" s="1"/>
  <c r="AS670" i="1" s="1"/>
  <c r="AK670" i="1" a="1"/>
  <c r="AK670" i="1" s="1"/>
  <c r="AU670" i="1"/>
  <c r="BD670" i="1"/>
  <c r="H671" i="1" a="1"/>
  <c r="H671" i="1" s="1"/>
  <c r="R671" i="1" s="1"/>
  <c r="K671" i="1"/>
  <c r="N671" i="1" s="1"/>
  <c r="Q671" i="1" a="1"/>
  <c r="Q671" i="1" s="1"/>
  <c r="AS671" i="1" s="1"/>
  <c r="AK671" i="1" a="1"/>
  <c r="AK671" i="1" s="1"/>
  <c r="AU671" i="1"/>
  <c r="BD671" i="1"/>
  <c r="H672" i="1" a="1"/>
  <c r="H672" i="1" s="1"/>
  <c r="R672" i="1" s="1"/>
  <c r="K672" i="1"/>
  <c r="N672" i="1" s="1"/>
  <c r="AK672" i="1" a="1"/>
  <c r="AK672" i="1" s="1"/>
  <c r="AU672" i="1"/>
  <c r="BD672" i="1"/>
  <c r="H673" i="1" a="1"/>
  <c r="H673" i="1" s="1"/>
  <c r="R673" i="1" s="1"/>
  <c r="K673" i="1"/>
  <c r="N673" i="1" s="1"/>
  <c r="AK673" i="1" a="1"/>
  <c r="AK673" i="1" s="1"/>
  <c r="AU673" i="1"/>
  <c r="BD673" i="1"/>
  <c r="H674" i="1" a="1"/>
  <c r="H674" i="1" s="1"/>
  <c r="R674" i="1" s="1"/>
  <c r="K674" i="1"/>
  <c r="N674" i="1" s="1"/>
  <c r="AK674" i="1" a="1"/>
  <c r="AK674" i="1" s="1"/>
  <c r="AU674" i="1"/>
  <c r="BD674" i="1"/>
  <c r="H675" i="1" a="1"/>
  <c r="H675" i="1" s="1"/>
  <c r="R675" i="1" s="1"/>
  <c r="K675" i="1"/>
  <c r="N675" i="1" s="1"/>
  <c r="Q675" i="1" a="1"/>
  <c r="Q675" i="1" s="1"/>
  <c r="AS675" i="1" s="1"/>
  <c r="AK675" i="1" a="1"/>
  <c r="AK675" i="1" s="1"/>
  <c r="AU675" i="1"/>
  <c r="BD675" i="1"/>
  <c r="H676" i="1" a="1"/>
  <c r="H676" i="1" s="1"/>
  <c r="R676" i="1" s="1"/>
  <c r="K676" i="1"/>
  <c r="N676" i="1" s="1"/>
  <c r="Q676" i="1" a="1"/>
  <c r="Q676" i="1" s="1"/>
  <c r="AS676" i="1" s="1"/>
  <c r="AK676" i="1" a="1"/>
  <c r="AK676" i="1" s="1"/>
  <c r="AU676" i="1"/>
  <c r="BD676" i="1"/>
  <c r="H677" i="1" a="1"/>
  <c r="H677" i="1" s="1"/>
  <c r="R677" i="1" s="1"/>
  <c r="K677" i="1"/>
  <c r="N677" i="1" s="1"/>
  <c r="Q677" i="1" a="1"/>
  <c r="Q677" i="1" s="1"/>
  <c r="AS677" i="1" s="1"/>
  <c r="AK677" i="1" a="1"/>
  <c r="AK677" i="1" s="1"/>
  <c r="AU677" i="1"/>
  <c r="BD677" i="1"/>
  <c r="H678" i="1" a="1"/>
  <c r="H678" i="1" s="1"/>
  <c r="R678" i="1" s="1"/>
  <c r="K678" i="1"/>
  <c r="N678" i="1" s="1"/>
  <c r="AK678" i="1" a="1"/>
  <c r="AK678" i="1" s="1"/>
  <c r="AU678" i="1"/>
  <c r="BD678" i="1"/>
  <c r="H679" i="1" a="1"/>
  <c r="H679" i="1" s="1"/>
  <c r="R679" i="1" s="1"/>
  <c r="K679" i="1"/>
  <c r="N679" i="1" s="1"/>
  <c r="AK679" i="1" a="1"/>
  <c r="AK679" i="1" s="1"/>
  <c r="AU679" i="1"/>
  <c r="BD679" i="1"/>
  <c r="H680" i="1" a="1"/>
  <c r="H680" i="1" s="1"/>
  <c r="R680" i="1" s="1"/>
  <c r="K680" i="1"/>
  <c r="N680" i="1" s="1"/>
  <c r="AK680" i="1" a="1"/>
  <c r="AK680" i="1" s="1"/>
  <c r="AU680" i="1"/>
  <c r="BD680" i="1"/>
  <c r="H681" i="1" a="1"/>
  <c r="H681" i="1" s="1"/>
  <c r="R681" i="1" s="1"/>
  <c r="K681" i="1"/>
  <c r="N681" i="1" s="1"/>
  <c r="Q681" i="1" a="1"/>
  <c r="Q681" i="1" s="1"/>
  <c r="AS681" i="1" s="1"/>
  <c r="AK681" i="1" a="1"/>
  <c r="AK681" i="1" s="1"/>
  <c r="AU681" i="1"/>
  <c r="BD681" i="1"/>
  <c r="H682" i="1" a="1"/>
  <c r="H682" i="1" s="1"/>
  <c r="R682" i="1" s="1"/>
  <c r="K682" i="1"/>
  <c r="N682" i="1" s="1"/>
  <c r="Q682" i="1" a="1"/>
  <c r="Q682" i="1" s="1"/>
  <c r="AS682" i="1" s="1"/>
  <c r="AK682" i="1" a="1"/>
  <c r="AK682" i="1" s="1"/>
  <c r="AU682" i="1"/>
  <c r="BD682" i="1"/>
  <c r="H683" i="1" a="1"/>
  <c r="H683" i="1" s="1"/>
  <c r="R683" i="1" s="1"/>
  <c r="K683" i="1"/>
  <c r="N683" i="1" s="1"/>
  <c r="AK683" i="1" a="1"/>
  <c r="AK683" i="1" s="1"/>
  <c r="AU683" i="1"/>
  <c r="BD683" i="1"/>
  <c r="H684" i="1" a="1"/>
  <c r="H684" i="1" s="1"/>
  <c r="R684" i="1" s="1"/>
  <c r="K684" i="1"/>
  <c r="N684" i="1" s="1"/>
  <c r="Q684" i="1" a="1"/>
  <c r="Q684" i="1" s="1"/>
  <c r="AS684" i="1" s="1"/>
  <c r="AK684" i="1" a="1"/>
  <c r="AK684" i="1" s="1"/>
  <c r="AU684" i="1"/>
  <c r="BD684" i="1"/>
  <c r="H685" i="1" a="1"/>
  <c r="H685" i="1" s="1"/>
  <c r="R685" i="1" s="1"/>
  <c r="K685" i="1"/>
  <c r="N685" i="1" s="1"/>
  <c r="AK685" i="1" a="1"/>
  <c r="AK685" i="1" s="1"/>
  <c r="AU685" i="1"/>
  <c r="BD685" i="1"/>
  <c r="H686" i="1" a="1"/>
  <c r="H686" i="1" s="1"/>
  <c r="R686" i="1" s="1"/>
  <c r="K686" i="1"/>
  <c r="N686" i="1" s="1"/>
  <c r="AK686" i="1" a="1"/>
  <c r="AK686" i="1" s="1"/>
  <c r="AU686" i="1"/>
  <c r="BD686" i="1"/>
  <c r="H687" i="1" a="1"/>
  <c r="H687" i="1" s="1"/>
  <c r="R687" i="1" s="1"/>
  <c r="K687" i="1"/>
  <c r="N687" i="1" s="1"/>
  <c r="AK687" i="1" a="1"/>
  <c r="AK687" i="1" s="1"/>
  <c r="AU687" i="1"/>
  <c r="BD687" i="1"/>
  <c r="H688" i="1" a="1"/>
  <c r="H688" i="1" s="1"/>
  <c r="R688" i="1" s="1"/>
  <c r="K688" i="1"/>
  <c r="N688" i="1" s="1"/>
  <c r="Q688" i="1" a="1"/>
  <c r="Q688" i="1" s="1"/>
  <c r="AS688" i="1" s="1"/>
  <c r="AK688" i="1" a="1"/>
  <c r="AK688" i="1" s="1"/>
  <c r="AU688" i="1"/>
  <c r="BD688" i="1"/>
  <c r="H689" i="1" a="1"/>
  <c r="H689" i="1" s="1"/>
  <c r="R689" i="1" s="1"/>
  <c r="K689" i="1"/>
  <c r="N689" i="1" s="1"/>
  <c r="AK689" i="1" a="1"/>
  <c r="AK689" i="1" s="1"/>
  <c r="AU689" i="1"/>
  <c r="BD689" i="1"/>
  <c r="H690" i="1" a="1"/>
  <c r="H690" i="1" s="1"/>
  <c r="R690" i="1" s="1"/>
  <c r="K690" i="1"/>
  <c r="N690" i="1" s="1"/>
  <c r="Q690" i="1" a="1"/>
  <c r="Q690" i="1" s="1"/>
  <c r="AS690" i="1" s="1"/>
  <c r="AK690" i="1" a="1"/>
  <c r="AK690" i="1" s="1"/>
  <c r="AU690" i="1"/>
  <c r="BD690" i="1"/>
  <c r="H691" i="1" a="1"/>
  <c r="H691" i="1" s="1"/>
  <c r="R691" i="1" s="1"/>
  <c r="K691" i="1"/>
  <c r="N691" i="1" s="1"/>
  <c r="AK691" i="1" a="1"/>
  <c r="AK691" i="1" s="1"/>
  <c r="AU691" i="1"/>
  <c r="BD691" i="1"/>
  <c r="H692" i="1" a="1"/>
  <c r="H692" i="1" s="1"/>
  <c r="R692" i="1" s="1"/>
  <c r="K692" i="1"/>
  <c r="N692" i="1" s="1"/>
  <c r="Q692" i="1" a="1"/>
  <c r="Q692" i="1" s="1"/>
  <c r="AS692" i="1" s="1"/>
  <c r="AK692" i="1" a="1"/>
  <c r="AK692" i="1" s="1"/>
  <c r="AU692" i="1"/>
  <c r="BD692" i="1"/>
  <c r="H693" i="1" a="1"/>
  <c r="H693" i="1" s="1"/>
  <c r="R693" i="1" s="1"/>
  <c r="K693" i="1"/>
  <c r="N693" i="1" s="1"/>
  <c r="Q693" i="1" a="1"/>
  <c r="Q693" i="1" s="1"/>
  <c r="AS693" i="1" s="1"/>
  <c r="AK693" i="1" a="1"/>
  <c r="AK693" i="1" s="1"/>
  <c r="AU693" i="1"/>
  <c r="BD693" i="1"/>
  <c r="H694" i="1" a="1"/>
  <c r="H694" i="1" s="1"/>
  <c r="R694" i="1" s="1"/>
  <c r="K694" i="1"/>
  <c r="N694" i="1" s="1"/>
  <c r="AK694" i="1" a="1"/>
  <c r="AK694" i="1" s="1"/>
  <c r="AU694" i="1"/>
  <c r="BD694" i="1"/>
  <c r="H695" i="1" a="1"/>
  <c r="H695" i="1" s="1"/>
  <c r="R695" i="1" s="1"/>
  <c r="K695" i="1"/>
  <c r="N695" i="1" s="1"/>
  <c r="AK695" i="1" a="1"/>
  <c r="AK695" i="1" s="1"/>
  <c r="AU695" i="1"/>
  <c r="BD695" i="1"/>
  <c r="H696" i="1" a="1"/>
  <c r="H696" i="1" s="1"/>
  <c r="R696" i="1" s="1"/>
  <c r="K696" i="1"/>
  <c r="N696" i="1" s="1"/>
  <c r="AK696" i="1" a="1"/>
  <c r="AK696" i="1" s="1"/>
  <c r="AU696" i="1"/>
  <c r="BD696" i="1"/>
  <c r="H697" i="1" a="1"/>
  <c r="H697" i="1" s="1"/>
  <c r="R697" i="1" s="1"/>
  <c r="K697" i="1"/>
  <c r="N697" i="1" s="1"/>
  <c r="Q697" i="1" a="1"/>
  <c r="Q697" i="1" s="1"/>
  <c r="AS697" i="1" s="1"/>
  <c r="AK697" i="1" a="1"/>
  <c r="AK697" i="1" s="1"/>
  <c r="AU697" i="1"/>
  <c r="BD697" i="1"/>
  <c r="H698" i="1" a="1"/>
  <c r="H698" i="1" s="1"/>
  <c r="R698" i="1" s="1"/>
  <c r="K698" i="1"/>
  <c r="N698" i="1" s="1"/>
  <c r="Q698" i="1" a="1"/>
  <c r="Q698" i="1" s="1"/>
  <c r="AS698" i="1" s="1"/>
  <c r="AK698" i="1" a="1"/>
  <c r="AK698" i="1" s="1"/>
  <c r="AU698" i="1"/>
  <c r="BD698" i="1"/>
  <c r="H699" i="1" a="1"/>
  <c r="H699" i="1" s="1"/>
  <c r="R699" i="1" s="1"/>
  <c r="K699" i="1"/>
  <c r="N699" i="1" s="1"/>
  <c r="AK699" i="1" a="1"/>
  <c r="AK699" i="1" s="1"/>
  <c r="AU699" i="1"/>
  <c r="BD699" i="1"/>
  <c r="H700" i="1" a="1"/>
  <c r="H700" i="1" s="1"/>
  <c r="R700" i="1" s="1"/>
  <c r="K700" i="1"/>
  <c r="N700" i="1" s="1"/>
  <c r="Q700" i="1" a="1"/>
  <c r="Q700" i="1" s="1"/>
  <c r="AS700" i="1" s="1"/>
  <c r="AK700" i="1" a="1"/>
  <c r="AK700" i="1" s="1"/>
  <c r="AU700" i="1"/>
  <c r="BD700" i="1"/>
  <c r="H701" i="1" a="1"/>
  <c r="H701" i="1" s="1"/>
  <c r="R701" i="1" s="1"/>
  <c r="K701" i="1"/>
  <c r="N701" i="1" s="1"/>
  <c r="Q701" i="1" a="1"/>
  <c r="Q701" i="1" s="1"/>
  <c r="AS701" i="1" s="1"/>
  <c r="AK701" i="1" a="1"/>
  <c r="AK701" i="1" s="1"/>
  <c r="AU701" i="1"/>
  <c r="BD701" i="1"/>
  <c r="H702" i="1" a="1"/>
  <c r="H702" i="1" s="1"/>
  <c r="R702" i="1" s="1"/>
  <c r="K702" i="1"/>
  <c r="N702" i="1" s="1"/>
  <c r="AK702" i="1" a="1"/>
  <c r="AK702" i="1" s="1"/>
  <c r="AU702" i="1"/>
  <c r="BD702" i="1"/>
  <c r="H703" i="1" a="1"/>
  <c r="H703" i="1" s="1"/>
  <c r="R703" i="1" s="1"/>
  <c r="K703" i="1"/>
  <c r="N703" i="1" s="1"/>
  <c r="AK703" i="1" a="1"/>
  <c r="AK703" i="1" s="1"/>
  <c r="AU703" i="1"/>
  <c r="BD703" i="1"/>
  <c r="H704" i="1" a="1"/>
  <c r="H704" i="1" s="1"/>
  <c r="R704" i="1" s="1"/>
  <c r="K704" i="1"/>
  <c r="N704" i="1" s="1"/>
  <c r="Q704" i="1" a="1"/>
  <c r="Q704" i="1" s="1"/>
  <c r="AS704" i="1" s="1"/>
  <c r="AK704" i="1" a="1"/>
  <c r="AK704" i="1" s="1"/>
  <c r="AU704" i="1"/>
  <c r="BD704" i="1"/>
  <c r="H705" i="1" a="1"/>
  <c r="H705" i="1" s="1"/>
  <c r="R705" i="1" s="1"/>
  <c r="K705" i="1"/>
  <c r="N705" i="1" s="1"/>
  <c r="AK705" i="1" a="1"/>
  <c r="AK705" i="1" s="1"/>
  <c r="AU705" i="1"/>
  <c r="BD705" i="1"/>
  <c r="H706" i="1" a="1"/>
  <c r="H706" i="1" s="1"/>
  <c r="R706" i="1" s="1"/>
  <c r="K706" i="1"/>
  <c r="N706" i="1" s="1"/>
  <c r="AK706" i="1" a="1"/>
  <c r="AK706" i="1" s="1"/>
  <c r="AU706" i="1"/>
  <c r="BD706" i="1"/>
  <c r="H707" i="1" a="1"/>
  <c r="H707" i="1" s="1"/>
  <c r="R707" i="1" s="1"/>
  <c r="K707" i="1"/>
  <c r="N707" i="1" s="1"/>
  <c r="Q707" i="1" a="1"/>
  <c r="Q707" i="1" s="1"/>
  <c r="AS707" i="1" s="1"/>
  <c r="AK707" i="1" a="1"/>
  <c r="AK707" i="1" s="1"/>
  <c r="AU707" i="1"/>
  <c r="BD707" i="1"/>
  <c r="H708" i="1" a="1"/>
  <c r="H708" i="1" s="1"/>
  <c r="R708" i="1" s="1"/>
  <c r="K708" i="1"/>
  <c r="N708" i="1" s="1"/>
  <c r="AK708" i="1" a="1"/>
  <c r="AK708" i="1" s="1"/>
  <c r="AU708" i="1"/>
  <c r="BD708" i="1"/>
  <c r="H709" i="1" a="1"/>
  <c r="H709" i="1" s="1"/>
  <c r="R709" i="1" s="1"/>
  <c r="K709" i="1"/>
  <c r="N709" i="1" s="1"/>
  <c r="Q709" i="1" a="1"/>
  <c r="Q709" i="1" s="1"/>
  <c r="AS709" i="1" s="1"/>
  <c r="AK709" i="1" a="1"/>
  <c r="AK709" i="1" s="1"/>
  <c r="AU709" i="1"/>
  <c r="BD709" i="1"/>
  <c r="H710" i="1" a="1"/>
  <c r="H710" i="1" s="1"/>
  <c r="R710" i="1" s="1"/>
  <c r="K710" i="1"/>
  <c r="N710" i="1" s="1"/>
  <c r="AK710" i="1" a="1"/>
  <c r="AK710" i="1" s="1"/>
  <c r="AU710" i="1"/>
  <c r="BD710" i="1"/>
  <c r="H711" i="1" a="1"/>
  <c r="H711" i="1" s="1"/>
  <c r="R711" i="1" s="1"/>
  <c r="K711" i="1"/>
  <c r="N711" i="1" s="1"/>
  <c r="Q711" i="1" a="1"/>
  <c r="Q711" i="1" s="1"/>
  <c r="AS711" i="1" s="1"/>
  <c r="AK711" i="1" a="1"/>
  <c r="AK711" i="1" s="1"/>
  <c r="AU711" i="1"/>
  <c r="BD711" i="1"/>
  <c r="H712" i="1" a="1"/>
  <c r="H712" i="1" s="1"/>
  <c r="R712" i="1" s="1"/>
  <c r="K712" i="1"/>
  <c r="N712" i="1" s="1"/>
  <c r="AK712" i="1" a="1"/>
  <c r="AK712" i="1" s="1"/>
  <c r="AU712" i="1"/>
  <c r="BD712" i="1"/>
  <c r="H713" i="1" a="1"/>
  <c r="H713" i="1" s="1"/>
  <c r="R713" i="1" s="1"/>
  <c r="K713" i="1"/>
  <c r="N713" i="1" s="1"/>
  <c r="Q713" i="1" a="1"/>
  <c r="Q713" i="1" s="1"/>
  <c r="AS713" i="1" s="1"/>
  <c r="AK713" i="1" a="1"/>
  <c r="AK713" i="1" s="1"/>
  <c r="AU713" i="1"/>
  <c r="BD713" i="1"/>
  <c r="H714" i="1" a="1"/>
  <c r="H714" i="1" s="1"/>
  <c r="R714" i="1" s="1"/>
  <c r="K714" i="1"/>
  <c r="N714" i="1" s="1"/>
  <c r="AK714" i="1" a="1"/>
  <c r="AK714" i="1" s="1"/>
  <c r="AU714" i="1"/>
  <c r="BD714" i="1"/>
  <c r="H715" i="1" a="1"/>
  <c r="H715" i="1" s="1"/>
  <c r="R715" i="1" s="1"/>
  <c r="K715" i="1"/>
  <c r="N715" i="1" s="1"/>
  <c r="AK715" i="1" a="1"/>
  <c r="AK715" i="1" s="1"/>
  <c r="AU715" i="1"/>
  <c r="BD715" i="1"/>
  <c r="H716" i="1" a="1"/>
  <c r="H716" i="1" s="1"/>
  <c r="R716" i="1" s="1"/>
  <c r="K716" i="1"/>
  <c r="N716" i="1" s="1"/>
  <c r="AK716" i="1" a="1"/>
  <c r="AK716" i="1" s="1"/>
  <c r="AU716" i="1"/>
  <c r="BD716" i="1"/>
  <c r="H717" i="1" a="1"/>
  <c r="H717" i="1" s="1"/>
  <c r="R717" i="1" s="1"/>
  <c r="K717" i="1"/>
  <c r="N717" i="1" s="1"/>
  <c r="AK717" i="1" a="1"/>
  <c r="AK717" i="1" s="1"/>
  <c r="AU717" i="1"/>
  <c r="BD717" i="1"/>
  <c r="H718" i="1" a="1"/>
  <c r="H718" i="1" s="1"/>
  <c r="R718" i="1" s="1"/>
  <c r="K718" i="1"/>
  <c r="N718" i="1" s="1"/>
  <c r="AK718" i="1" a="1"/>
  <c r="AK718" i="1" s="1"/>
  <c r="AU718" i="1"/>
  <c r="BD718" i="1"/>
  <c r="H719" i="1" a="1"/>
  <c r="H719" i="1" s="1"/>
  <c r="R719" i="1" s="1"/>
  <c r="K719" i="1"/>
  <c r="N719" i="1" s="1"/>
  <c r="Q719" i="1" a="1"/>
  <c r="Q719" i="1" s="1"/>
  <c r="AS719" i="1" s="1"/>
  <c r="AK719" i="1" a="1"/>
  <c r="AK719" i="1" s="1"/>
  <c r="AU719" i="1"/>
  <c r="BD719" i="1"/>
  <c r="H720" i="1" a="1"/>
  <c r="H720" i="1" s="1"/>
  <c r="R720" i="1" s="1"/>
  <c r="K720" i="1"/>
  <c r="N720" i="1" s="1"/>
  <c r="Q720" i="1" a="1"/>
  <c r="Q720" i="1" s="1"/>
  <c r="AS720" i="1" s="1"/>
  <c r="AK720" i="1" a="1"/>
  <c r="AK720" i="1" s="1"/>
  <c r="AU720" i="1"/>
  <c r="BD720" i="1"/>
  <c r="H721" i="1" a="1"/>
  <c r="H721" i="1" s="1"/>
  <c r="R721" i="1" s="1"/>
  <c r="K721" i="1"/>
  <c r="N721" i="1" s="1"/>
  <c r="Q721" i="1" a="1"/>
  <c r="Q721" i="1" s="1"/>
  <c r="AS721" i="1" s="1"/>
  <c r="AK721" i="1" a="1"/>
  <c r="AK721" i="1" s="1"/>
  <c r="AU721" i="1"/>
  <c r="BD721" i="1"/>
  <c r="H722" i="1" a="1"/>
  <c r="H722" i="1" s="1"/>
  <c r="R722" i="1" s="1"/>
  <c r="K722" i="1"/>
  <c r="N722" i="1" s="1"/>
  <c r="AK722" i="1" a="1"/>
  <c r="AK722" i="1" s="1"/>
  <c r="AU722" i="1"/>
  <c r="BD722" i="1"/>
  <c r="H723" i="1" a="1"/>
  <c r="H723" i="1" s="1"/>
  <c r="R723" i="1" s="1"/>
  <c r="K723" i="1"/>
  <c r="N723" i="1" s="1"/>
  <c r="Q723" i="1" a="1"/>
  <c r="Q723" i="1" s="1"/>
  <c r="AS723" i="1" s="1"/>
  <c r="AK723" i="1" a="1"/>
  <c r="AK723" i="1" s="1"/>
  <c r="AU723" i="1"/>
  <c r="BD723" i="1"/>
  <c r="H724" i="1" a="1"/>
  <c r="H724" i="1" s="1"/>
  <c r="R724" i="1" s="1"/>
  <c r="K724" i="1"/>
  <c r="N724" i="1" s="1"/>
  <c r="AK724" i="1" a="1"/>
  <c r="AK724" i="1" s="1"/>
  <c r="AU724" i="1"/>
  <c r="BD724" i="1"/>
  <c r="H725" i="1" a="1"/>
  <c r="H725" i="1" s="1"/>
  <c r="R725" i="1" s="1"/>
  <c r="K725" i="1"/>
  <c r="N725" i="1" s="1"/>
  <c r="AK725" i="1" a="1"/>
  <c r="AK725" i="1" s="1"/>
  <c r="AU725" i="1"/>
  <c r="BD725" i="1"/>
  <c r="H726" i="1" a="1"/>
  <c r="H726" i="1" s="1"/>
  <c r="R726" i="1" s="1"/>
  <c r="K726" i="1"/>
  <c r="N726" i="1" s="1"/>
  <c r="Q726" i="1" a="1"/>
  <c r="Q726" i="1" s="1"/>
  <c r="AS726" i="1" s="1"/>
  <c r="AK726" i="1" a="1"/>
  <c r="AK726" i="1" s="1"/>
  <c r="AU726" i="1"/>
  <c r="BD726" i="1"/>
  <c r="H727" i="1" a="1"/>
  <c r="H727" i="1" s="1"/>
  <c r="R727" i="1" s="1"/>
  <c r="K727" i="1"/>
  <c r="N727" i="1" s="1"/>
  <c r="AK727" i="1" a="1"/>
  <c r="AK727" i="1" s="1"/>
  <c r="AU727" i="1"/>
  <c r="BD727" i="1"/>
  <c r="H728" i="1" a="1"/>
  <c r="H728" i="1" s="1"/>
  <c r="R728" i="1" s="1"/>
  <c r="K728" i="1"/>
  <c r="N728" i="1" s="1"/>
  <c r="Q728" i="1" a="1"/>
  <c r="Q728" i="1" s="1"/>
  <c r="AS728" i="1" s="1"/>
  <c r="AK728" i="1" a="1"/>
  <c r="AK728" i="1" s="1"/>
  <c r="AU728" i="1"/>
  <c r="BD728" i="1"/>
  <c r="H729" i="1" a="1"/>
  <c r="H729" i="1" s="1"/>
  <c r="R729" i="1" s="1"/>
  <c r="K729" i="1"/>
  <c r="N729" i="1" s="1"/>
  <c r="AK729" i="1" a="1"/>
  <c r="AK729" i="1" s="1"/>
  <c r="AU729" i="1"/>
  <c r="BD729" i="1"/>
  <c r="H730" i="1" a="1"/>
  <c r="H730" i="1" s="1"/>
  <c r="R730" i="1" s="1"/>
  <c r="K730" i="1"/>
  <c r="N730" i="1" s="1"/>
  <c r="Q730" i="1" a="1"/>
  <c r="Q730" i="1" s="1"/>
  <c r="AS730" i="1" s="1"/>
  <c r="AK730" i="1" a="1"/>
  <c r="AK730" i="1" s="1"/>
  <c r="AU730" i="1"/>
  <c r="BD730" i="1"/>
  <c r="H731" i="1" a="1"/>
  <c r="H731" i="1" s="1"/>
  <c r="R731" i="1" s="1"/>
  <c r="K731" i="1"/>
  <c r="N731" i="1" s="1"/>
  <c r="AK731" i="1" a="1"/>
  <c r="AK731" i="1" s="1"/>
  <c r="AU731" i="1"/>
  <c r="BD731" i="1"/>
  <c r="H732" i="1" a="1"/>
  <c r="H732" i="1" s="1"/>
  <c r="R732" i="1" s="1"/>
  <c r="K732" i="1"/>
  <c r="N732" i="1" s="1"/>
  <c r="AK732" i="1" a="1"/>
  <c r="AK732" i="1" s="1"/>
  <c r="AU732" i="1"/>
  <c r="BD732" i="1"/>
  <c r="H733" i="1" a="1"/>
  <c r="H733" i="1" s="1"/>
  <c r="R733" i="1" s="1"/>
  <c r="K733" i="1"/>
  <c r="N733" i="1" s="1"/>
  <c r="Q733" i="1" a="1"/>
  <c r="Q733" i="1" s="1"/>
  <c r="AS733" i="1" s="1"/>
  <c r="AK733" i="1" a="1"/>
  <c r="AK733" i="1" s="1"/>
  <c r="AU733" i="1"/>
  <c r="BD733" i="1"/>
  <c r="H734" i="1" a="1"/>
  <c r="H734" i="1" s="1"/>
  <c r="R734" i="1" s="1"/>
  <c r="K734" i="1"/>
  <c r="N734" i="1" s="1"/>
  <c r="Q734" i="1" a="1"/>
  <c r="Q734" i="1" s="1"/>
  <c r="AS734" i="1" s="1"/>
  <c r="AK734" i="1" a="1"/>
  <c r="AK734" i="1" s="1"/>
  <c r="AU734" i="1"/>
  <c r="BD734" i="1"/>
  <c r="H735" i="1" a="1"/>
  <c r="H735" i="1" s="1"/>
  <c r="R735" i="1" s="1"/>
  <c r="K735" i="1"/>
  <c r="N735" i="1" s="1"/>
  <c r="AK735" i="1" a="1"/>
  <c r="AK735" i="1" s="1"/>
  <c r="AU735" i="1"/>
  <c r="BD735" i="1"/>
  <c r="H736" i="1" a="1"/>
  <c r="H736" i="1" s="1"/>
  <c r="R736" i="1" s="1"/>
  <c r="K736" i="1"/>
  <c r="N736" i="1" s="1"/>
  <c r="AK736" i="1" a="1"/>
  <c r="AK736" i="1" s="1"/>
  <c r="AU736" i="1"/>
  <c r="BD736" i="1"/>
  <c r="H737" i="1" a="1"/>
  <c r="H737" i="1" s="1"/>
  <c r="R737" i="1" s="1"/>
  <c r="K737" i="1"/>
  <c r="N737" i="1" s="1"/>
  <c r="AK737" i="1" a="1"/>
  <c r="AK737" i="1" s="1"/>
  <c r="AU737" i="1"/>
  <c r="BD737" i="1"/>
  <c r="H738" i="1" a="1"/>
  <c r="H738" i="1" s="1"/>
  <c r="R738" i="1" s="1"/>
  <c r="K738" i="1"/>
  <c r="N738" i="1" s="1"/>
  <c r="AK738" i="1" a="1"/>
  <c r="AK738" i="1" s="1"/>
  <c r="AU738" i="1"/>
  <c r="BD738" i="1"/>
  <c r="H739" i="1" a="1"/>
  <c r="H739" i="1" s="1"/>
  <c r="R739" i="1" s="1"/>
  <c r="K739" i="1"/>
  <c r="N739" i="1" s="1"/>
  <c r="Q739" i="1" a="1"/>
  <c r="Q739" i="1" s="1"/>
  <c r="AS739" i="1" s="1"/>
  <c r="AK739" i="1" a="1"/>
  <c r="AK739" i="1" s="1"/>
  <c r="AU739" i="1"/>
  <c r="BD739" i="1"/>
  <c r="H740" i="1" a="1"/>
  <c r="H740" i="1" s="1"/>
  <c r="R740" i="1" s="1"/>
  <c r="K740" i="1"/>
  <c r="N740" i="1" s="1"/>
  <c r="AK740" i="1" a="1"/>
  <c r="AK740" i="1" s="1"/>
  <c r="AU740" i="1"/>
  <c r="BD740" i="1"/>
  <c r="H741" i="1" a="1"/>
  <c r="H741" i="1" s="1"/>
  <c r="R741" i="1" s="1"/>
  <c r="K741" i="1"/>
  <c r="N741" i="1" s="1"/>
  <c r="AK741" i="1" a="1"/>
  <c r="AK741" i="1" s="1"/>
  <c r="AU741" i="1"/>
  <c r="BD741" i="1"/>
  <c r="H742" i="1" a="1"/>
  <c r="H742" i="1" s="1"/>
  <c r="R742" i="1" s="1"/>
  <c r="K742" i="1"/>
  <c r="N742" i="1" s="1"/>
  <c r="Q742" i="1" a="1"/>
  <c r="Q742" i="1" s="1"/>
  <c r="AS742" i="1" s="1"/>
  <c r="AK742" i="1" a="1"/>
  <c r="AK742" i="1" s="1"/>
  <c r="AU742" i="1"/>
  <c r="BD742" i="1"/>
  <c r="H743" i="1" a="1"/>
  <c r="H743" i="1" s="1"/>
  <c r="R743" i="1" s="1"/>
  <c r="K743" i="1"/>
  <c r="N743" i="1" s="1"/>
  <c r="AK743" i="1" a="1"/>
  <c r="AK743" i="1" s="1"/>
  <c r="AU743" i="1"/>
  <c r="BD743" i="1"/>
  <c r="H744" i="1" a="1"/>
  <c r="H744" i="1" s="1"/>
  <c r="R744" i="1" s="1"/>
  <c r="K744" i="1"/>
  <c r="N744" i="1" s="1"/>
  <c r="AK744" i="1" a="1"/>
  <c r="AK744" i="1" s="1"/>
  <c r="AU744" i="1"/>
  <c r="BD744" i="1"/>
  <c r="H745" i="1" a="1"/>
  <c r="H745" i="1" s="1"/>
  <c r="R745" i="1" s="1"/>
  <c r="K745" i="1"/>
  <c r="N745" i="1" s="1"/>
  <c r="AK745" i="1" a="1"/>
  <c r="AK745" i="1" s="1"/>
  <c r="AU745" i="1"/>
  <c r="BD745" i="1"/>
  <c r="H746" i="1" a="1"/>
  <c r="H746" i="1" s="1"/>
  <c r="R746" i="1" s="1"/>
  <c r="K746" i="1"/>
  <c r="N746" i="1" s="1"/>
  <c r="AK746" i="1" a="1"/>
  <c r="AK746" i="1" s="1"/>
  <c r="AU746" i="1"/>
  <c r="BD746" i="1"/>
  <c r="H747" i="1" a="1"/>
  <c r="H747" i="1" s="1"/>
  <c r="R747" i="1" s="1"/>
  <c r="K747" i="1"/>
  <c r="N747" i="1" s="1"/>
  <c r="AK747" i="1" a="1"/>
  <c r="AK747" i="1" s="1"/>
  <c r="AU747" i="1"/>
  <c r="BD747" i="1"/>
  <c r="H748" i="1" a="1"/>
  <c r="H748" i="1" s="1"/>
  <c r="R748" i="1" s="1"/>
  <c r="K748" i="1"/>
  <c r="N748" i="1" s="1"/>
  <c r="AK748" i="1" a="1"/>
  <c r="AK748" i="1" s="1"/>
  <c r="AU748" i="1"/>
  <c r="BD748" i="1"/>
  <c r="H749" i="1" a="1"/>
  <c r="H749" i="1" s="1"/>
  <c r="R749" i="1" s="1"/>
  <c r="K749" i="1"/>
  <c r="N749" i="1" s="1"/>
  <c r="AK749" i="1" a="1"/>
  <c r="AK749" i="1" s="1"/>
  <c r="AU749" i="1"/>
  <c r="BD749" i="1"/>
  <c r="H750" i="1" a="1"/>
  <c r="H750" i="1" s="1"/>
  <c r="R750" i="1" s="1"/>
  <c r="K750" i="1"/>
  <c r="N750" i="1" s="1"/>
  <c r="AK750" i="1" a="1"/>
  <c r="AK750" i="1" s="1"/>
  <c r="AU750" i="1"/>
  <c r="BD750" i="1"/>
  <c r="H751" i="1" a="1"/>
  <c r="H751" i="1" s="1"/>
  <c r="R751" i="1" s="1"/>
  <c r="K751" i="1"/>
  <c r="N751" i="1" s="1"/>
  <c r="AK751" i="1" a="1"/>
  <c r="AK751" i="1" s="1"/>
  <c r="AU751" i="1"/>
  <c r="BD751" i="1"/>
  <c r="H752" i="1" a="1"/>
  <c r="H752" i="1" s="1"/>
  <c r="R752" i="1" s="1"/>
  <c r="K752" i="1"/>
  <c r="N752" i="1" s="1"/>
  <c r="Q752" i="1" a="1"/>
  <c r="Q752" i="1" s="1"/>
  <c r="AS752" i="1" s="1"/>
  <c r="AK752" i="1" a="1"/>
  <c r="AK752" i="1" s="1"/>
  <c r="AU752" i="1"/>
  <c r="BD752" i="1"/>
  <c r="H753" i="1" a="1"/>
  <c r="H753" i="1" s="1"/>
  <c r="R753" i="1" s="1"/>
  <c r="K753" i="1"/>
  <c r="N753" i="1" s="1"/>
  <c r="AK753" i="1" a="1"/>
  <c r="AK753" i="1" s="1"/>
  <c r="AU753" i="1"/>
  <c r="BD753" i="1"/>
  <c r="H754" i="1" a="1"/>
  <c r="H754" i="1" s="1"/>
  <c r="R754" i="1" s="1"/>
  <c r="K754" i="1"/>
  <c r="N754" i="1" s="1"/>
  <c r="AK754" i="1" a="1"/>
  <c r="AK754" i="1" s="1"/>
  <c r="AU754" i="1"/>
  <c r="BD754" i="1"/>
  <c r="H755" i="1" a="1"/>
  <c r="H755" i="1" s="1"/>
  <c r="R755" i="1" s="1"/>
  <c r="K755" i="1"/>
  <c r="N755" i="1" s="1"/>
  <c r="Q755" i="1" a="1"/>
  <c r="Q755" i="1" s="1"/>
  <c r="AS755" i="1" s="1"/>
  <c r="AK755" i="1" a="1"/>
  <c r="AK755" i="1" s="1"/>
  <c r="AU755" i="1"/>
  <c r="BD755" i="1"/>
  <c r="H756" i="1" a="1"/>
  <c r="H756" i="1" s="1"/>
  <c r="R756" i="1" s="1"/>
  <c r="K756" i="1"/>
  <c r="N756" i="1" s="1"/>
  <c r="AK756" i="1" a="1"/>
  <c r="AK756" i="1" s="1"/>
  <c r="AU756" i="1"/>
  <c r="BD756" i="1"/>
  <c r="H757" i="1" a="1"/>
  <c r="H757" i="1" s="1"/>
  <c r="R757" i="1" s="1"/>
  <c r="K757" i="1"/>
  <c r="N757" i="1" s="1"/>
  <c r="Q757" i="1" a="1"/>
  <c r="Q757" i="1" s="1"/>
  <c r="AS757" i="1" s="1"/>
  <c r="AK757" i="1" a="1"/>
  <c r="AK757" i="1" s="1"/>
  <c r="AU757" i="1"/>
  <c r="BD757" i="1"/>
  <c r="H758" i="1" a="1"/>
  <c r="H758" i="1" s="1"/>
  <c r="R758" i="1" s="1"/>
  <c r="K758" i="1"/>
  <c r="N758" i="1" s="1"/>
  <c r="Q758" i="1" a="1"/>
  <c r="Q758" i="1" s="1"/>
  <c r="AS758" i="1" s="1"/>
  <c r="AK758" i="1" a="1"/>
  <c r="AK758" i="1" s="1"/>
  <c r="AU758" i="1"/>
  <c r="BD758" i="1"/>
  <c r="H759" i="1" a="1"/>
  <c r="H759" i="1" s="1"/>
  <c r="R759" i="1" s="1"/>
  <c r="K759" i="1"/>
  <c r="N759" i="1" s="1"/>
  <c r="Q759" i="1" a="1"/>
  <c r="Q759" i="1" s="1"/>
  <c r="AS759" i="1" s="1"/>
  <c r="AK759" i="1" a="1"/>
  <c r="AK759" i="1" s="1"/>
  <c r="AU759" i="1"/>
  <c r="BD759" i="1"/>
  <c r="H760" i="1" a="1"/>
  <c r="H760" i="1" s="1"/>
  <c r="R760" i="1" s="1"/>
  <c r="K760" i="1"/>
  <c r="N760" i="1" s="1"/>
  <c r="AK760" i="1" a="1"/>
  <c r="AK760" i="1" s="1"/>
  <c r="AU760" i="1"/>
  <c r="BD760" i="1"/>
  <c r="H761" i="1" a="1"/>
  <c r="H761" i="1" s="1"/>
  <c r="R761" i="1" s="1"/>
  <c r="K761" i="1"/>
  <c r="N761" i="1" s="1"/>
  <c r="Q761" i="1" a="1"/>
  <c r="Q761" i="1" s="1"/>
  <c r="AS761" i="1" s="1"/>
  <c r="AK761" i="1" a="1"/>
  <c r="AK761" i="1" s="1"/>
  <c r="AU761" i="1"/>
  <c r="BD761" i="1"/>
  <c r="K765" i="1"/>
  <c r="N765" i="1"/>
  <c r="O765" i="1"/>
  <c r="AK765" i="1" a="1"/>
  <c r="AK765" i="1" s="1"/>
  <c r="AU765" i="1"/>
  <c r="BD765" i="1"/>
  <c r="H766" i="1" a="1"/>
  <c r="H766" i="1" s="1"/>
  <c r="R766" i="1" s="1"/>
  <c r="K766" i="1"/>
  <c r="N766" i="1" s="1"/>
  <c r="AK766" i="1" a="1"/>
  <c r="AK766" i="1" s="1"/>
  <c r="AU766" i="1"/>
  <c r="BD766" i="1"/>
  <c r="H767" i="1" a="1"/>
  <c r="H767" i="1" s="1"/>
  <c r="R767" i="1" s="1"/>
  <c r="K767" i="1"/>
  <c r="N767" i="1" s="1"/>
  <c r="AK767" i="1" a="1"/>
  <c r="AK767" i="1" s="1"/>
  <c r="AU767" i="1"/>
  <c r="BD767" i="1"/>
  <c r="H768" i="1" a="1"/>
  <c r="H768" i="1" s="1"/>
  <c r="R768" i="1" s="1"/>
  <c r="K768" i="1"/>
  <c r="N768" i="1" s="1"/>
  <c r="Q768" i="1" a="1"/>
  <c r="Q768" i="1" s="1"/>
  <c r="AS768" i="1" s="1"/>
  <c r="AK768" i="1" a="1"/>
  <c r="AK768" i="1" s="1"/>
  <c r="AU768" i="1"/>
  <c r="BD768" i="1"/>
  <c r="H769" i="1" a="1"/>
  <c r="H769" i="1" s="1"/>
  <c r="R769" i="1" s="1"/>
  <c r="K769" i="1"/>
  <c r="N769" i="1" s="1"/>
  <c r="AK769" i="1" a="1"/>
  <c r="AK769" i="1" s="1"/>
  <c r="AU769" i="1"/>
  <c r="BD769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82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5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5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5" i="1"/>
  <c r="A766" i="1"/>
  <c r="A767" i="1"/>
  <c r="A768" i="1"/>
  <c r="A769" i="1"/>
  <c r="BL356" i="1"/>
  <c r="BL355" i="1"/>
  <c r="BL354" i="1"/>
  <c r="BL353" i="1"/>
  <c r="BL352" i="1"/>
  <c r="BL351" i="1"/>
  <c r="BL350" i="1"/>
  <c r="BL349" i="1"/>
  <c r="BL348" i="1"/>
  <c r="BL347" i="1"/>
  <c r="BL346" i="1"/>
  <c r="BL345" i="1"/>
  <c r="BL344" i="1"/>
  <c r="BL343" i="1"/>
  <c r="BL342" i="1"/>
  <c r="BL341" i="1"/>
  <c r="BL340" i="1"/>
  <c r="BL339" i="1"/>
  <c r="BL338" i="1"/>
  <c r="BL337" i="1"/>
  <c r="BL336" i="1"/>
  <c r="BL335" i="1"/>
  <c r="BL334" i="1"/>
  <c r="BL333" i="1"/>
  <c r="BL332" i="1"/>
  <c r="BL331" i="1"/>
  <c r="BL330" i="1"/>
  <c r="BL329" i="1"/>
  <c r="BL328" i="1"/>
  <c r="BL327" i="1"/>
  <c r="BL326" i="1"/>
  <c r="BL325" i="1"/>
  <c r="BL324" i="1"/>
  <c r="BL323" i="1"/>
  <c r="BL322" i="1"/>
  <c r="BL321" i="1"/>
  <c r="BL320" i="1"/>
  <c r="BL319" i="1"/>
  <c r="BL318" i="1"/>
  <c r="BL317" i="1"/>
  <c r="BL316" i="1"/>
  <c r="BL315" i="1"/>
  <c r="BL314" i="1"/>
  <c r="BL313" i="1"/>
  <c r="BL312" i="1"/>
  <c r="BL311" i="1"/>
  <c r="BL310" i="1"/>
  <c r="BL309" i="1"/>
  <c r="BL308" i="1"/>
  <c r="BL307" i="1"/>
  <c r="BL306" i="1"/>
  <c r="BL305" i="1"/>
  <c r="BL304" i="1"/>
  <c r="BL303" i="1"/>
  <c r="BL302" i="1"/>
  <c r="BL301" i="1"/>
  <c r="BL300" i="1"/>
  <c r="BL299" i="1"/>
  <c r="BL298" i="1"/>
  <c r="BL297" i="1"/>
  <c r="BL296" i="1"/>
  <c r="BL295" i="1"/>
  <c r="BL294" i="1"/>
  <c r="BL293" i="1"/>
  <c r="BL292" i="1"/>
  <c r="BL291" i="1"/>
  <c r="BL290" i="1"/>
  <c r="BL289" i="1"/>
  <c r="BL288" i="1"/>
  <c r="BL98" i="1"/>
  <c r="BL97" i="1"/>
  <c r="BL96" i="1"/>
  <c r="BL95" i="1"/>
  <c r="BL94" i="1"/>
  <c r="BL93" i="1"/>
  <c r="BL92" i="1"/>
  <c r="BL91" i="1"/>
  <c r="BL90" i="1"/>
  <c r="BL89" i="1"/>
  <c r="BL88" i="1"/>
  <c r="BL87" i="1"/>
  <c r="BL86" i="1"/>
  <c r="BL85" i="1"/>
  <c r="BL84" i="1"/>
  <c r="BL83" i="1"/>
  <c r="BL82" i="1"/>
  <c r="BL81" i="1"/>
  <c r="BL80" i="1"/>
  <c r="BL79" i="1"/>
  <c r="BL78" i="1"/>
  <c r="BL77" i="1"/>
  <c r="BL76" i="1"/>
  <c r="BL75" i="1"/>
  <c r="BL74" i="1"/>
  <c r="BL73" i="1"/>
  <c r="BL72" i="1"/>
  <c r="BL71" i="1"/>
  <c r="BL70" i="1"/>
  <c r="BL69" i="1"/>
  <c r="BL68" i="1"/>
  <c r="BL67" i="1"/>
  <c r="BL66" i="1"/>
  <c r="BL65" i="1"/>
  <c r="BL64" i="1"/>
  <c r="BL63" i="1"/>
  <c r="BL62" i="1"/>
  <c r="BL61" i="1"/>
  <c r="BL60" i="1"/>
  <c r="BL59" i="1"/>
  <c r="BL58" i="1"/>
  <c r="BL57" i="1"/>
  <c r="BL56" i="1"/>
  <c r="BL55" i="1"/>
  <c r="BL54" i="1"/>
  <c r="BL53" i="1"/>
  <c r="BL52" i="1"/>
  <c r="BL51" i="1"/>
  <c r="BL50" i="1"/>
  <c r="BL49" i="1"/>
  <c r="BL48" i="1"/>
  <c r="BL47" i="1"/>
  <c r="BL13" i="1"/>
  <c r="BL12" i="1"/>
  <c r="BL11" i="1"/>
  <c r="BL10" i="1"/>
  <c r="BL9" i="1"/>
  <c r="BL8" i="1"/>
  <c r="BL7" i="1"/>
  <c r="BL6" i="1"/>
  <c r="BL5" i="1"/>
  <c r="BL4" i="1"/>
  <c r="BK356" i="1"/>
  <c r="BK355" i="1"/>
  <c r="BK354" i="1"/>
  <c r="BK353" i="1"/>
  <c r="BK352" i="1"/>
  <c r="BK351" i="1"/>
  <c r="BK350" i="1"/>
  <c r="BK349" i="1"/>
  <c r="BK348" i="1"/>
  <c r="BK347" i="1"/>
  <c r="BK346" i="1"/>
  <c r="BK345" i="1"/>
  <c r="BK344" i="1"/>
  <c r="BK343" i="1"/>
  <c r="BK342" i="1"/>
  <c r="BK341" i="1"/>
  <c r="BK340" i="1"/>
  <c r="BK339" i="1"/>
  <c r="BK338" i="1"/>
  <c r="BK337" i="1"/>
  <c r="BK336" i="1"/>
  <c r="BK335" i="1"/>
  <c r="BK334" i="1"/>
  <c r="BK333" i="1"/>
  <c r="BK332" i="1"/>
  <c r="BK331" i="1"/>
  <c r="BK330" i="1"/>
  <c r="BK329" i="1"/>
  <c r="BK328" i="1"/>
  <c r="BK327" i="1"/>
  <c r="BK326" i="1"/>
  <c r="BK325" i="1"/>
  <c r="BK324" i="1"/>
  <c r="BK323" i="1"/>
  <c r="BK322" i="1"/>
  <c r="BK321" i="1"/>
  <c r="BK320" i="1"/>
  <c r="BK319" i="1"/>
  <c r="BK318" i="1"/>
  <c r="BK317" i="1"/>
  <c r="BK316" i="1"/>
  <c r="BK315" i="1"/>
  <c r="BK314" i="1"/>
  <c r="BK313" i="1"/>
  <c r="BK312" i="1"/>
  <c r="BK311" i="1"/>
  <c r="BK310" i="1"/>
  <c r="BK309" i="1"/>
  <c r="BK308" i="1"/>
  <c r="BK307" i="1"/>
  <c r="BK306" i="1"/>
  <c r="BK305" i="1"/>
  <c r="BK304" i="1"/>
  <c r="BK303" i="1"/>
  <c r="BK302" i="1"/>
  <c r="BK301" i="1"/>
  <c r="BK300" i="1"/>
  <c r="BK299" i="1"/>
  <c r="BK298" i="1"/>
  <c r="BK297" i="1"/>
  <c r="BK296" i="1"/>
  <c r="BK295" i="1"/>
  <c r="BK294" i="1"/>
  <c r="BK293" i="1"/>
  <c r="BK292" i="1"/>
  <c r="BK291" i="1"/>
  <c r="BK290" i="1"/>
  <c r="BK289" i="1"/>
  <c r="BK288" i="1"/>
  <c r="BK98" i="1"/>
  <c r="BK97" i="1"/>
  <c r="BK96" i="1"/>
  <c r="BK95" i="1"/>
  <c r="BK94" i="1"/>
  <c r="BK93" i="1"/>
  <c r="BK92" i="1"/>
  <c r="BK91" i="1"/>
  <c r="BK90" i="1"/>
  <c r="BK89" i="1"/>
  <c r="BK88" i="1"/>
  <c r="BK87" i="1"/>
  <c r="BK86" i="1"/>
  <c r="BK85" i="1"/>
  <c r="BK84" i="1"/>
  <c r="BK83" i="1"/>
  <c r="BK82" i="1"/>
  <c r="BK81" i="1"/>
  <c r="BK80" i="1"/>
  <c r="BK79" i="1"/>
  <c r="BK78" i="1"/>
  <c r="BK77" i="1"/>
  <c r="BK76" i="1"/>
  <c r="BK75" i="1"/>
  <c r="BK74" i="1"/>
  <c r="BK73" i="1"/>
  <c r="BK72" i="1"/>
  <c r="BK71" i="1"/>
  <c r="BK70" i="1"/>
  <c r="BK69" i="1"/>
  <c r="BK68" i="1"/>
  <c r="BK67" i="1"/>
  <c r="BK66" i="1"/>
  <c r="BK65" i="1"/>
  <c r="BK64" i="1"/>
  <c r="BK63" i="1"/>
  <c r="BK62" i="1"/>
  <c r="BK61" i="1"/>
  <c r="BK60" i="1"/>
  <c r="BK59" i="1"/>
  <c r="BK58" i="1"/>
  <c r="BK57" i="1"/>
  <c r="BK56" i="1"/>
  <c r="BK55" i="1"/>
  <c r="BK54" i="1"/>
  <c r="BK53" i="1"/>
  <c r="BK52" i="1"/>
  <c r="BK51" i="1"/>
  <c r="BK50" i="1"/>
  <c r="BK49" i="1"/>
  <c r="BK48" i="1"/>
  <c r="BK47" i="1"/>
  <c r="BK13" i="1"/>
  <c r="BK12" i="1"/>
  <c r="BK11" i="1"/>
  <c r="BK10" i="1"/>
  <c r="BK9" i="1"/>
  <c r="BK8" i="1"/>
  <c r="BK7" i="1"/>
  <c r="BK6" i="1"/>
  <c r="BK5" i="1"/>
  <c r="BK4" i="1"/>
  <c r="BD4" i="1" l="1"/>
  <c r="AU4" i="1"/>
  <c r="AK4" i="1" a="1"/>
  <c r="AK4" i="1" s="1"/>
  <c r="Q4" i="1" a="1"/>
  <c r="Q4" i="1" s="1"/>
  <c r="AS4" i="1" s="1"/>
  <c r="M4" i="1"/>
  <c r="L4" i="1"/>
  <c r="K4" i="1"/>
  <c r="N4" i="1" s="1"/>
  <c r="H4" i="1" a="1"/>
  <c r="H4" i="1" s="1"/>
  <c r="R4" i="1" s="1"/>
  <c r="A4" i="1"/>
  <c r="Q15" i="1" a="1"/>
  <c r="Q15" i="1" s="1"/>
  <c r="Q14" i="1" a="1"/>
  <c r="Q14" i="1" s="1"/>
  <c r="Q24" i="1" a="1"/>
  <c r="Q24" i="1" s="1"/>
  <c r="Q23" i="1" a="1"/>
  <c r="Q23" i="1" s="1"/>
  <c r="Q21" i="1" a="1"/>
  <c r="Q21" i="1" s="1"/>
  <c r="Q20" i="1" a="1"/>
  <c r="Q20" i="1" s="1"/>
  <c r="Q18" i="1" a="1"/>
  <c r="Q18" i="1" s="1"/>
  <c r="Q17" i="1" a="1"/>
  <c r="Q17" i="1" s="1"/>
  <c r="Q13" i="1" a="1"/>
  <c r="Q13" i="1" s="1"/>
  <c r="Q12" i="1" a="1"/>
  <c r="Q12" i="1" s="1"/>
  <c r="Q11" i="1" a="1"/>
  <c r="Q11" i="1" s="1"/>
  <c r="Q10" i="1" a="1"/>
  <c r="Q10" i="1" s="1"/>
  <c r="Q9" i="1" a="1"/>
  <c r="Q9" i="1" s="1"/>
  <c r="Q8" i="1" a="1"/>
  <c r="Q8" i="1" s="1"/>
  <c r="Q7" i="1" a="1"/>
  <c r="Q7" i="1" s="1"/>
  <c r="Q6" i="1" a="1"/>
  <c r="Q6" i="1" s="1"/>
  <c r="Q5" i="1" a="1"/>
  <c r="Q5" i="1" s="1"/>
  <c r="Q147" i="1" a="1"/>
  <c r="Q147" i="1" s="1"/>
  <c r="Q142" i="1" a="1"/>
  <c r="Q142" i="1" s="1"/>
  <c r="Q141" i="1" a="1"/>
  <c r="Q141" i="1" s="1"/>
  <c r="Q140" i="1" a="1"/>
  <c r="Q140" i="1" s="1"/>
  <c r="Q139" i="1" a="1"/>
  <c r="Q139" i="1" s="1"/>
  <c r="Q138" i="1" a="1"/>
  <c r="Q138" i="1" s="1"/>
  <c r="Q137" i="1" a="1"/>
  <c r="Q137" i="1" s="1"/>
  <c r="Q136" i="1" a="1"/>
  <c r="Q136" i="1" s="1"/>
  <c r="Q135" i="1" a="1"/>
  <c r="Q135" i="1" s="1"/>
  <c r="Q134" i="1" a="1"/>
  <c r="Q134" i="1" s="1"/>
  <c r="Q133" i="1" a="1"/>
  <c r="Q133" i="1" s="1"/>
  <c r="Q132" i="1" a="1"/>
  <c r="Q132" i="1" s="1"/>
  <c r="Q131" i="1" a="1"/>
  <c r="Q131" i="1" s="1"/>
  <c r="Q130" i="1" a="1"/>
  <c r="Q130" i="1" s="1"/>
  <c r="Q129" i="1" a="1"/>
  <c r="Q129" i="1" s="1"/>
  <c r="Q128" i="1" a="1"/>
  <c r="Q128" i="1" s="1"/>
  <c r="Q127" i="1" a="1"/>
  <c r="Q127" i="1" s="1"/>
  <c r="Q126" i="1" a="1"/>
  <c r="Q126" i="1" s="1"/>
  <c r="Q125" i="1" a="1"/>
  <c r="Q125" i="1" s="1"/>
  <c r="Q124" i="1" a="1"/>
  <c r="Q124" i="1" s="1"/>
  <c r="Q123" i="1" a="1"/>
  <c r="Q123" i="1" s="1"/>
  <c r="Q122" i="1" a="1"/>
  <c r="Q122" i="1" s="1"/>
  <c r="Q121" i="1" a="1"/>
  <c r="Q121" i="1" s="1"/>
  <c r="Q120" i="1" a="1"/>
  <c r="Q120" i="1" s="1"/>
  <c r="Q119" i="1" a="1"/>
  <c r="Q119" i="1" s="1"/>
  <c r="Q118" i="1" a="1"/>
  <c r="Q118" i="1" s="1"/>
  <c r="Q117" i="1" a="1"/>
  <c r="Q117" i="1" s="1"/>
  <c r="Q116" i="1" a="1"/>
  <c r="Q116" i="1" s="1"/>
  <c r="Q115" i="1" a="1"/>
  <c r="Q115" i="1" s="1"/>
  <c r="Q114" i="1" a="1"/>
  <c r="Q114" i="1" s="1"/>
  <c r="Q113" i="1" a="1"/>
  <c r="Q113" i="1" s="1"/>
  <c r="Q112" i="1" a="1"/>
  <c r="Q112" i="1" s="1"/>
  <c r="Q111" i="1" a="1"/>
  <c r="Q111" i="1" s="1"/>
  <c r="Q106" i="1" a="1"/>
  <c r="Q106" i="1" s="1"/>
  <c r="Q105" i="1" a="1"/>
  <c r="Q105" i="1" s="1"/>
  <c r="Q104" i="1" a="1"/>
  <c r="Q104" i="1" s="1"/>
  <c r="Q103" i="1" a="1"/>
  <c r="Q103" i="1" s="1"/>
  <c r="Q102" i="1" a="1"/>
  <c r="Q102" i="1" s="1"/>
  <c r="Q101" i="1" a="1"/>
  <c r="Q101" i="1" s="1"/>
  <c r="Q100" i="1" a="1"/>
  <c r="Q100" i="1" s="1"/>
  <c r="Q99" i="1" a="1"/>
  <c r="Q99" i="1" s="1"/>
  <c r="Q98" i="1" a="1"/>
  <c r="Q98" i="1" s="1"/>
  <c r="Q97" i="1" a="1"/>
  <c r="Q97" i="1" s="1"/>
  <c r="Q96" i="1" a="1"/>
  <c r="Q96" i="1" s="1"/>
  <c r="Q95" i="1" a="1"/>
  <c r="Q95" i="1" s="1"/>
  <c r="Q94" i="1" a="1"/>
  <c r="Q94" i="1" s="1"/>
  <c r="Q93" i="1" a="1"/>
  <c r="Q93" i="1" s="1"/>
  <c r="Q92" i="1" a="1"/>
  <c r="Q92" i="1" s="1"/>
  <c r="Q91" i="1" a="1"/>
  <c r="Q91" i="1" s="1"/>
  <c r="Q90" i="1" a="1"/>
  <c r="Q90" i="1" s="1"/>
  <c r="Q89" i="1" a="1"/>
  <c r="Q89" i="1" s="1"/>
  <c r="Q88" i="1" a="1"/>
  <c r="Q88" i="1" s="1"/>
  <c r="Q87" i="1" a="1"/>
  <c r="Q87" i="1" s="1"/>
  <c r="Q86" i="1" a="1"/>
  <c r="Q86" i="1" s="1"/>
  <c r="Q85" i="1" a="1"/>
  <c r="Q85" i="1" s="1"/>
  <c r="Q84" i="1" a="1"/>
  <c r="Q84" i="1" s="1"/>
  <c r="Q83" i="1" a="1"/>
  <c r="Q83" i="1" s="1"/>
  <c r="Q82" i="1" a="1"/>
  <c r="Q82" i="1" s="1"/>
  <c r="Q81" i="1" a="1"/>
  <c r="Q81" i="1" s="1"/>
  <c r="Q80" i="1" a="1"/>
  <c r="Q80" i="1" s="1"/>
  <c r="Q79" i="1" a="1"/>
  <c r="Q79" i="1" s="1"/>
  <c r="Q78" i="1" a="1"/>
  <c r="Q78" i="1" s="1"/>
  <c r="Q77" i="1" a="1"/>
  <c r="Q77" i="1" s="1"/>
  <c r="Q76" i="1" a="1"/>
  <c r="Q76" i="1" s="1"/>
  <c r="Q75" i="1" a="1"/>
  <c r="Q75" i="1" s="1"/>
  <c r="Q70" i="1" a="1"/>
  <c r="Q70" i="1" s="1"/>
  <c r="Q69" i="1" a="1"/>
  <c r="Q69" i="1" s="1"/>
  <c r="Q68" i="1" a="1"/>
  <c r="Q68" i="1" s="1"/>
  <c r="Q67" i="1" a="1"/>
  <c r="Q67" i="1" s="1"/>
  <c r="Q66" i="1" a="1"/>
  <c r="Q66" i="1" s="1"/>
  <c r="Q65" i="1" a="1"/>
  <c r="Q65" i="1" s="1"/>
  <c r="Q64" i="1" a="1"/>
  <c r="Q64" i="1" s="1"/>
  <c r="Q63" i="1" a="1"/>
  <c r="Q63" i="1" s="1"/>
  <c r="Q62" i="1" a="1"/>
  <c r="Q62" i="1" s="1"/>
  <c r="Q61" i="1" a="1"/>
  <c r="Q61" i="1" s="1"/>
  <c r="Q60" i="1" a="1"/>
  <c r="Q60" i="1" s="1"/>
  <c r="Q59" i="1" a="1"/>
  <c r="Q59" i="1" s="1"/>
  <c r="Q58" i="1" a="1"/>
  <c r="Q58" i="1" s="1"/>
  <c r="Q57" i="1" a="1"/>
  <c r="Q57" i="1" s="1"/>
  <c r="Q56" i="1" a="1"/>
  <c r="Q56" i="1" s="1"/>
  <c r="Q55" i="1" a="1"/>
  <c r="Q55" i="1" s="1"/>
  <c r="Q54" i="1" a="1"/>
  <c r="Q54" i="1" s="1"/>
  <c r="Q53" i="1" a="1"/>
  <c r="Q53" i="1" s="1"/>
  <c r="Q52" i="1" a="1"/>
  <c r="Q52" i="1" s="1"/>
  <c r="Q51" i="1" a="1"/>
  <c r="Q51" i="1" s="1"/>
  <c r="Q50" i="1" a="1"/>
  <c r="Q50" i="1" s="1"/>
  <c r="Q49" i="1" a="1"/>
  <c r="Q49" i="1" s="1"/>
  <c r="Q48" i="1" a="1"/>
  <c r="Q48" i="1" s="1"/>
  <c r="Q47" i="1" a="1"/>
  <c r="Q47" i="1" s="1"/>
  <c r="Q46" i="1" a="1"/>
  <c r="Q46" i="1" s="1"/>
  <c r="Q45" i="1" a="1"/>
  <c r="Q45" i="1" s="1"/>
  <c r="Q44" i="1" a="1"/>
  <c r="Q44" i="1" s="1"/>
  <c r="Q43" i="1" a="1"/>
  <c r="Q43" i="1" s="1"/>
  <c r="Q42" i="1" a="1"/>
  <c r="Q42" i="1" s="1"/>
  <c r="Q41" i="1" a="1"/>
  <c r="Q41" i="1" s="1"/>
  <c r="Q40" i="1" a="1"/>
  <c r="Q40" i="1" s="1"/>
  <c r="Q39" i="1" a="1"/>
  <c r="Q39" i="1" s="1"/>
  <c r="Q34" i="1" a="1"/>
  <c r="Q34" i="1" s="1"/>
  <c r="Q33" i="1" a="1"/>
  <c r="Q33" i="1" s="1"/>
  <c r="Q32" i="1" a="1"/>
  <c r="Q32" i="1" s="1"/>
  <c r="Q31" i="1" a="1"/>
  <c r="Q31" i="1" s="1"/>
  <c r="Q30" i="1" a="1"/>
  <c r="Q30" i="1" s="1"/>
  <c r="Q29" i="1" a="1"/>
  <c r="Q29" i="1" s="1"/>
  <c r="Q28" i="1" a="1"/>
  <c r="Q28" i="1" s="1"/>
  <c r="Q27" i="1" a="1"/>
  <c r="Q27" i="1" s="1"/>
  <c r="Q26" i="1" a="1"/>
  <c r="Q26" i="1" s="1"/>
  <c r="Q25" i="1" a="1"/>
  <c r="Q25" i="1" s="1"/>
  <c r="Q22" i="1" a="1"/>
  <c r="Q22" i="1" s="1"/>
  <c r="Q19" i="1" a="1"/>
  <c r="Q19" i="1" s="1"/>
  <c r="Q16" i="1" a="1"/>
  <c r="Q16" i="1" s="1"/>
  <c r="Q3" i="1" l="1" a="1"/>
  <c r="Q3" i="1" s="1"/>
  <c r="O146" i="1"/>
  <c r="O110" i="1"/>
  <c r="O74" i="1"/>
  <c r="O38" i="1"/>
  <c r="H147" i="1" l="1" a="1"/>
  <c r="H147" i="1" s="1"/>
  <c r="R147" i="1" s="1"/>
  <c r="H142" i="1" a="1"/>
  <c r="H142" i="1" s="1"/>
  <c r="R142" i="1" s="1"/>
  <c r="H141" i="1" a="1"/>
  <c r="H141" i="1" s="1"/>
  <c r="R141" i="1" s="1"/>
  <c r="H140" i="1" a="1"/>
  <c r="H140" i="1" s="1"/>
  <c r="R140" i="1" s="1"/>
  <c r="H139" i="1" a="1"/>
  <c r="H139" i="1" s="1"/>
  <c r="R139" i="1" s="1"/>
  <c r="H138" i="1" a="1"/>
  <c r="H138" i="1" s="1"/>
  <c r="R138" i="1" s="1"/>
  <c r="H137" i="1" a="1"/>
  <c r="H137" i="1" s="1"/>
  <c r="R137" i="1" s="1"/>
  <c r="H136" i="1" a="1"/>
  <c r="H136" i="1" s="1"/>
  <c r="R136" i="1" s="1"/>
  <c r="H135" i="1" a="1"/>
  <c r="H135" i="1" s="1"/>
  <c r="R135" i="1" s="1"/>
  <c r="H134" i="1" a="1"/>
  <c r="H134" i="1" s="1"/>
  <c r="R134" i="1" s="1"/>
  <c r="H133" i="1" a="1"/>
  <c r="H133" i="1" s="1"/>
  <c r="R133" i="1" s="1"/>
  <c r="H132" i="1" a="1"/>
  <c r="H132" i="1" s="1"/>
  <c r="R132" i="1" s="1"/>
  <c r="H131" i="1" a="1"/>
  <c r="H131" i="1" s="1"/>
  <c r="R131" i="1" s="1"/>
  <c r="H130" i="1" a="1"/>
  <c r="H130" i="1" s="1"/>
  <c r="R130" i="1" s="1"/>
  <c r="H129" i="1" a="1"/>
  <c r="H129" i="1" s="1"/>
  <c r="R129" i="1" s="1"/>
  <c r="H128" i="1" a="1"/>
  <c r="H128" i="1" s="1"/>
  <c r="R128" i="1" s="1"/>
  <c r="H127" i="1" a="1"/>
  <c r="H127" i="1" s="1"/>
  <c r="R127" i="1" s="1"/>
  <c r="H126" i="1" a="1"/>
  <c r="H126" i="1" s="1"/>
  <c r="R126" i="1" s="1"/>
  <c r="H125" i="1" a="1"/>
  <c r="H125" i="1" s="1"/>
  <c r="R125" i="1" s="1"/>
  <c r="H124" i="1" a="1"/>
  <c r="H124" i="1" s="1"/>
  <c r="R124" i="1" s="1"/>
  <c r="H123" i="1" a="1"/>
  <c r="H123" i="1" s="1"/>
  <c r="R123" i="1" s="1"/>
  <c r="H122" i="1" a="1"/>
  <c r="H122" i="1" s="1"/>
  <c r="R122" i="1" s="1"/>
  <c r="H121" i="1" a="1"/>
  <c r="H121" i="1" s="1"/>
  <c r="R121" i="1" s="1"/>
  <c r="H120" i="1" a="1"/>
  <c r="H120" i="1" s="1"/>
  <c r="R120" i="1" s="1"/>
  <c r="H119" i="1" a="1"/>
  <c r="H119" i="1" s="1"/>
  <c r="R119" i="1" s="1"/>
  <c r="H118" i="1" a="1"/>
  <c r="H118" i="1" s="1"/>
  <c r="R118" i="1" s="1"/>
  <c r="H117" i="1" a="1"/>
  <c r="H117" i="1" s="1"/>
  <c r="R117" i="1" s="1"/>
  <c r="H116" i="1" a="1"/>
  <c r="H116" i="1" s="1"/>
  <c r="R116" i="1" s="1"/>
  <c r="H115" i="1" a="1"/>
  <c r="H115" i="1" s="1"/>
  <c r="R115" i="1" s="1"/>
  <c r="H114" i="1" a="1"/>
  <c r="H114" i="1" s="1"/>
  <c r="R114" i="1" s="1"/>
  <c r="H113" i="1" a="1"/>
  <c r="H113" i="1" s="1"/>
  <c r="R113" i="1" s="1"/>
  <c r="H112" i="1" a="1"/>
  <c r="H112" i="1" s="1"/>
  <c r="R112" i="1" s="1"/>
  <c r="H111" i="1" a="1"/>
  <c r="H111" i="1" s="1"/>
  <c r="R111" i="1" s="1"/>
  <c r="H106" i="1" a="1"/>
  <c r="H106" i="1" s="1"/>
  <c r="R106" i="1" s="1"/>
  <c r="H105" i="1" a="1"/>
  <c r="H105" i="1" s="1"/>
  <c r="R105" i="1" s="1"/>
  <c r="H104" i="1" a="1"/>
  <c r="H104" i="1" s="1"/>
  <c r="R104" i="1" s="1"/>
  <c r="H103" i="1" a="1"/>
  <c r="H103" i="1" s="1"/>
  <c r="R103" i="1" s="1"/>
  <c r="H102" i="1" a="1"/>
  <c r="H102" i="1" s="1"/>
  <c r="R102" i="1" s="1"/>
  <c r="H101" i="1" a="1"/>
  <c r="H101" i="1" s="1"/>
  <c r="R101" i="1" s="1"/>
  <c r="H100" i="1" a="1"/>
  <c r="H100" i="1" s="1"/>
  <c r="R100" i="1" s="1"/>
  <c r="H99" i="1" a="1"/>
  <c r="H99" i="1" s="1"/>
  <c r="R99" i="1" s="1"/>
  <c r="H98" i="1" a="1"/>
  <c r="H98" i="1" s="1"/>
  <c r="R98" i="1" s="1"/>
  <c r="H97" i="1" a="1"/>
  <c r="H97" i="1" s="1"/>
  <c r="R97" i="1" s="1"/>
  <c r="H96" i="1" a="1"/>
  <c r="H96" i="1" s="1"/>
  <c r="R96" i="1" s="1"/>
  <c r="H95" i="1" a="1"/>
  <c r="H95" i="1" s="1"/>
  <c r="R95" i="1" s="1"/>
  <c r="H94" i="1" a="1"/>
  <c r="H94" i="1" s="1"/>
  <c r="R94" i="1" s="1"/>
  <c r="H93" i="1" a="1"/>
  <c r="H93" i="1" s="1"/>
  <c r="R93" i="1" s="1"/>
  <c r="H92" i="1" a="1"/>
  <c r="H92" i="1" s="1"/>
  <c r="R92" i="1" s="1"/>
  <c r="H91" i="1" a="1"/>
  <c r="H91" i="1" s="1"/>
  <c r="R91" i="1" s="1"/>
  <c r="H90" i="1" a="1"/>
  <c r="H90" i="1" s="1"/>
  <c r="R90" i="1" s="1"/>
  <c r="H89" i="1" a="1"/>
  <c r="H89" i="1" s="1"/>
  <c r="R89" i="1" s="1"/>
  <c r="H88" i="1" a="1"/>
  <c r="H88" i="1" s="1"/>
  <c r="R88" i="1" s="1"/>
  <c r="H87" i="1" a="1"/>
  <c r="H87" i="1" s="1"/>
  <c r="R87" i="1" s="1"/>
  <c r="H86" i="1" a="1"/>
  <c r="H86" i="1" s="1"/>
  <c r="R86" i="1" s="1"/>
  <c r="H85" i="1" a="1"/>
  <c r="H85" i="1" s="1"/>
  <c r="R85" i="1" s="1"/>
  <c r="H84" i="1" a="1"/>
  <c r="H84" i="1" s="1"/>
  <c r="R84" i="1" s="1"/>
  <c r="H83" i="1" a="1"/>
  <c r="H83" i="1" s="1"/>
  <c r="R83" i="1" s="1"/>
  <c r="H82" i="1" a="1"/>
  <c r="H82" i="1" s="1"/>
  <c r="R82" i="1" s="1"/>
  <c r="H81" i="1" a="1"/>
  <c r="H81" i="1" s="1"/>
  <c r="R81" i="1" s="1"/>
  <c r="H80" i="1" a="1"/>
  <c r="H80" i="1" s="1"/>
  <c r="R80" i="1" s="1"/>
  <c r="H79" i="1" a="1"/>
  <c r="H79" i="1" s="1"/>
  <c r="R79" i="1" s="1"/>
  <c r="H78" i="1" a="1"/>
  <c r="H78" i="1" s="1"/>
  <c r="R78" i="1" s="1"/>
  <c r="H77" i="1" a="1"/>
  <c r="H77" i="1" s="1"/>
  <c r="R77" i="1" s="1"/>
  <c r="H76" i="1" a="1"/>
  <c r="H76" i="1" s="1"/>
  <c r="R76" i="1" s="1"/>
  <c r="H75" i="1" a="1"/>
  <c r="H75" i="1" s="1"/>
  <c r="R75" i="1" s="1"/>
  <c r="H70" i="1" a="1"/>
  <c r="H70" i="1" s="1"/>
  <c r="R70" i="1" s="1"/>
  <c r="H69" i="1" a="1"/>
  <c r="H69" i="1" s="1"/>
  <c r="R69" i="1" s="1"/>
  <c r="H68" i="1" a="1"/>
  <c r="H68" i="1" s="1"/>
  <c r="R68" i="1" s="1"/>
  <c r="H67" i="1" a="1"/>
  <c r="H67" i="1" s="1"/>
  <c r="R67" i="1" s="1"/>
  <c r="H66" i="1" a="1"/>
  <c r="H66" i="1" s="1"/>
  <c r="R66" i="1" s="1"/>
  <c r="H65" i="1" a="1"/>
  <c r="H65" i="1" s="1"/>
  <c r="R65" i="1" s="1"/>
  <c r="H64" i="1" a="1"/>
  <c r="H64" i="1" s="1"/>
  <c r="R64" i="1" s="1"/>
  <c r="H63" i="1" a="1"/>
  <c r="H63" i="1" s="1"/>
  <c r="R63" i="1" s="1"/>
  <c r="H62" i="1" a="1"/>
  <c r="H62" i="1" s="1"/>
  <c r="R62" i="1" s="1"/>
  <c r="H61" i="1" a="1"/>
  <c r="H61" i="1" s="1"/>
  <c r="R61" i="1" s="1"/>
  <c r="H60" i="1" a="1"/>
  <c r="H60" i="1" s="1"/>
  <c r="R60" i="1" s="1"/>
  <c r="H59" i="1" a="1"/>
  <c r="H59" i="1" s="1"/>
  <c r="R59" i="1" s="1"/>
  <c r="H58" i="1" a="1"/>
  <c r="H58" i="1" s="1"/>
  <c r="R58" i="1" s="1"/>
  <c r="H57" i="1" a="1"/>
  <c r="H57" i="1" s="1"/>
  <c r="R57" i="1" s="1"/>
  <c r="H56" i="1" a="1"/>
  <c r="H56" i="1" s="1"/>
  <c r="R56" i="1" s="1"/>
  <c r="H55" i="1" a="1"/>
  <c r="H55" i="1" s="1"/>
  <c r="R55" i="1" s="1"/>
  <c r="H54" i="1" a="1"/>
  <c r="H54" i="1" s="1"/>
  <c r="R54" i="1" s="1"/>
  <c r="H53" i="1" a="1"/>
  <c r="H53" i="1" s="1"/>
  <c r="R53" i="1" s="1"/>
  <c r="H52" i="1" a="1"/>
  <c r="H52" i="1" s="1"/>
  <c r="R52" i="1" s="1"/>
  <c r="H51" i="1" a="1"/>
  <c r="H51" i="1" s="1"/>
  <c r="R51" i="1" s="1"/>
  <c r="H50" i="1" a="1"/>
  <c r="H50" i="1" s="1"/>
  <c r="R50" i="1" s="1"/>
  <c r="H49" i="1" a="1"/>
  <c r="H49" i="1" s="1"/>
  <c r="R49" i="1" s="1"/>
  <c r="H48" i="1" a="1"/>
  <c r="H48" i="1" s="1"/>
  <c r="R48" i="1" s="1"/>
  <c r="H47" i="1" a="1"/>
  <c r="H47" i="1" s="1"/>
  <c r="R47" i="1" s="1"/>
  <c r="H46" i="1" a="1"/>
  <c r="H46" i="1" s="1"/>
  <c r="R46" i="1" s="1"/>
  <c r="H45" i="1" a="1"/>
  <c r="H45" i="1" s="1"/>
  <c r="R45" i="1" s="1"/>
  <c r="H44" i="1" a="1"/>
  <c r="H44" i="1" s="1"/>
  <c r="R44" i="1" s="1"/>
  <c r="H43" i="1" a="1"/>
  <c r="H43" i="1" s="1"/>
  <c r="R43" i="1" s="1"/>
  <c r="H42" i="1" a="1"/>
  <c r="H42" i="1" s="1"/>
  <c r="R42" i="1" s="1"/>
  <c r="H41" i="1" a="1"/>
  <c r="H41" i="1" s="1"/>
  <c r="R41" i="1" s="1"/>
  <c r="H40" i="1" a="1"/>
  <c r="H40" i="1" s="1"/>
  <c r="R40" i="1" s="1"/>
  <c r="H39" i="1" a="1"/>
  <c r="H39" i="1" s="1"/>
  <c r="R39" i="1" s="1"/>
  <c r="H34" i="1" a="1"/>
  <c r="H34" i="1" s="1"/>
  <c r="R34" i="1" s="1"/>
  <c r="H33" i="1" a="1"/>
  <c r="H33" i="1" s="1"/>
  <c r="R33" i="1" s="1"/>
  <c r="H32" i="1" a="1"/>
  <c r="H32" i="1" s="1"/>
  <c r="R32" i="1" s="1"/>
  <c r="H31" i="1" a="1"/>
  <c r="H31" i="1" s="1"/>
  <c r="R31" i="1" s="1"/>
  <c r="H30" i="1" a="1"/>
  <c r="H30" i="1" s="1"/>
  <c r="R30" i="1" s="1"/>
  <c r="H29" i="1" a="1"/>
  <c r="H29" i="1" s="1"/>
  <c r="R29" i="1" s="1"/>
  <c r="H28" i="1" a="1"/>
  <c r="H28" i="1" s="1"/>
  <c r="R28" i="1" s="1"/>
  <c r="H27" i="1" a="1"/>
  <c r="H27" i="1" s="1"/>
  <c r="R27" i="1" s="1"/>
  <c r="H26" i="1" a="1"/>
  <c r="H26" i="1" s="1"/>
  <c r="R26" i="1" s="1"/>
  <c r="H25" i="1" a="1"/>
  <c r="H25" i="1" s="1"/>
  <c r="R25" i="1" s="1"/>
  <c r="H24" i="1" a="1"/>
  <c r="H24" i="1" s="1"/>
  <c r="R24" i="1" s="1"/>
  <c r="H23" i="1" a="1"/>
  <c r="H23" i="1" s="1"/>
  <c r="R23" i="1" s="1"/>
  <c r="H22" i="1" a="1"/>
  <c r="H22" i="1" s="1"/>
  <c r="R22" i="1" s="1"/>
  <c r="H21" i="1" a="1"/>
  <c r="H21" i="1" s="1"/>
  <c r="R21" i="1" s="1"/>
  <c r="H20" i="1" a="1"/>
  <c r="H20" i="1" s="1"/>
  <c r="R20" i="1" s="1"/>
  <c r="H19" i="1" a="1"/>
  <c r="H19" i="1" s="1"/>
  <c r="R19" i="1" s="1"/>
  <c r="H18" i="1" a="1"/>
  <c r="H18" i="1" s="1"/>
  <c r="R18" i="1" s="1"/>
  <c r="H17" i="1" a="1"/>
  <c r="H17" i="1" s="1"/>
  <c r="R17" i="1" s="1"/>
  <c r="H16" i="1" a="1"/>
  <c r="H16" i="1" s="1"/>
  <c r="R16" i="1" s="1"/>
  <c r="H15" i="1" a="1"/>
  <c r="H15" i="1" s="1"/>
  <c r="R15" i="1" s="1"/>
  <c r="H14" i="1" a="1"/>
  <c r="H14" i="1" s="1"/>
  <c r="R14" i="1" s="1"/>
  <c r="H13" i="1" a="1"/>
  <c r="H13" i="1" s="1"/>
  <c r="R13" i="1" s="1"/>
  <c r="H12" i="1" a="1"/>
  <c r="H12" i="1" s="1"/>
  <c r="R12" i="1" s="1"/>
  <c r="H11" i="1" a="1"/>
  <c r="H11" i="1" s="1"/>
  <c r="R11" i="1" s="1"/>
  <c r="H10" i="1" a="1"/>
  <c r="H10" i="1" s="1"/>
  <c r="R10" i="1" s="1"/>
  <c r="H9" i="1" a="1"/>
  <c r="H9" i="1" s="1"/>
  <c r="R9" i="1" s="1"/>
  <c r="H8" i="1" a="1"/>
  <c r="H8" i="1" s="1"/>
  <c r="R8" i="1" s="1"/>
  <c r="H7" i="1" a="1"/>
  <c r="H7" i="1" s="1"/>
  <c r="R7" i="1" s="1"/>
  <c r="H6" i="1" a="1"/>
  <c r="H6" i="1" s="1"/>
  <c r="R6" i="1" s="1"/>
  <c r="H5" i="1" a="1"/>
  <c r="H5" i="1" s="1"/>
  <c r="R5" i="1" s="1"/>
  <c r="H3" i="1" a="1"/>
  <c r="H3" i="1" s="1"/>
  <c r="R3" i="1" s="1"/>
  <c r="AS142" i="1"/>
  <c r="AS141" i="1"/>
  <c r="AS140" i="1"/>
  <c r="AS134" i="1"/>
  <c r="AS127" i="1"/>
  <c r="AS126" i="1"/>
  <c r="AS123" i="1"/>
  <c r="AS118" i="1"/>
  <c r="AS114" i="1"/>
  <c r="AS113" i="1"/>
  <c r="AS112" i="1"/>
  <c r="AS111" i="1"/>
  <c r="AS110" i="1"/>
  <c r="AS106" i="1"/>
  <c r="AS96" i="1"/>
  <c r="AS95" i="1"/>
  <c r="AS94" i="1"/>
  <c r="AS83" i="1"/>
  <c r="AS82" i="1"/>
  <c r="AS81" i="1"/>
  <c r="AS80" i="1"/>
  <c r="AS75" i="1"/>
  <c r="AS64" i="1"/>
  <c r="AS63" i="1"/>
  <c r="AS60" i="1"/>
  <c r="AS56" i="1"/>
  <c r="AS51" i="1"/>
  <c r="AS50" i="1"/>
  <c r="AS49" i="1"/>
  <c r="AS48" i="1"/>
  <c r="AS40" i="1"/>
  <c r="AS34" i="1"/>
  <c r="AS33" i="1"/>
  <c r="AS32" i="1"/>
  <c r="AS31" i="1"/>
  <c r="AS29" i="1"/>
  <c r="AS20" i="1"/>
  <c r="AS19" i="1"/>
  <c r="AS18" i="1"/>
  <c r="AS17" i="1"/>
  <c r="AS13" i="1"/>
  <c r="AS5" i="1"/>
  <c r="AK147" i="1" a="1"/>
  <c r="AK147" i="1" s="1"/>
  <c r="AK146" i="1" a="1"/>
  <c r="AK146" i="1" s="1"/>
  <c r="AK142" i="1" a="1"/>
  <c r="AK142" i="1" s="1"/>
  <c r="AK141" i="1" a="1"/>
  <c r="AK141" i="1" s="1"/>
  <c r="AK140" i="1" a="1"/>
  <c r="AK140" i="1" s="1"/>
  <c r="AK139" i="1" a="1"/>
  <c r="AK139" i="1" s="1"/>
  <c r="AK138" i="1" a="1"/>
  <c r="AK138" i="1" s="1"/>
  <c r="AK137" i="1" a="1"/>
  <c r="AK137" i="1" s="1"/>
  <c r="AK136" i="1" a="1"/>
  <c r="AK136" i="1" s="1"/>
  <c r="AK135" i="1" a="1"/>
  <c r="AK135" i="1" s="1"/>
  <c r="AK134" i="1" a="1"/>
  <c r="AK134" i="1" s="1"/>
  <c r="AK133" i="1" a="1"/>
  <c r="AK133" i="1" s="1"/>
  <c r="AK132" i="1" a="1"/>
  <c r="AK132" i="1" s="1"/>
  <c r="AK131" i="1" a="1"/>
  <c r="AK131" i="1" s="1"/>
  <c r="AK130" i="1" a="1"/>
  <c r="AK130" i="1" s="1"/>
  <c r="AK129" i="1" a="1"/>
  <c r="AK129" i="1" s="1"/>
  <c r="AK128" i="1" a="1"/>
  <c r="AK128" i="1" s="1"/>
  <c r="AK127" i="1" a="1"/>
  <c r="AK127" i="1" s="1"/>
  <c r="AK126" i="1" a="1"/>
  <c r="AK126" i="1" s="1"/>
  <c r="AK125" i="1" a="1"/>
  <c r="AK125" i="1" s="1"/>
  <c r="AK124" i="1" a="1"/>
  <c r="AK124" i="1" s="1"/>
  <c r="AK123" i="1" a="1"/>
  <c r="AK123" i="1" s="1"/>
  <c r="AK122" i="1" a="1"/>
  <c r="AK122" i="1" s="1"/>
  <c r="AK121" i="1" a="1"/>
  <c r="AK121" i="1" s="1"/>
  <c r="AK120" i="1" a="1"/>
  <c r="AK120" i="1" s="1"/>
  <c r="AK119" i="1" a="1"/>
  <c r="AK119" i="1" s="1"/>
  <c r="AK118" i="1" a="1"/>
  <c r="AK118" i="1" s="1"/>
  <c r="AK117" i="1" a="1"/>
  <c r="AK117" i="1" s="1"/>
  <c r="AK116" i="1" a="1"/>
  <c r="AK116" i="1" s="1"/>
  <c r="AK115" i="1" a="1"/>
  <c r="AK115" i="1" s="1"/>
  <c r="AK114" i="1" a="1"/>
  <c r="AK114" i="1" s="1"/>
  <c r="AK113" i="1" a="1"/>
  <c r="AK113" i="1" s="1"/>
  <c r="AK112" i="1" a="1"/>
  <c r="AK112" i="1" s="1"/>
  <c r="AK111" i="1" a="1"/>
  <c r="AK111" i="1" s="1"/>
  <c r="AK110" i="1" a="1"/>
  <c r="AK110" i="1" s="1"/>
  <c r="AK106" i="1" a="1"/>
  <c r="AK106" i="1" s="1"/>
  <c r="AK105" i="1" a="1"/>
  <c r="AK105" i="1" s="1"/>
  <c r="AK104" i="1" a="1"/>
  <c r="AK104" i="1" s="1"/>
  <c r="AK103" i="1" a="1"/>
  <c r="AK103" i="1" s="1"/>
  <c r="AK102" i="1" a="1"/>
  <c r="AK102" i="1" s="1"/>
  <c r="AK101" i="1" a="1"/>
  <c r="AK101" i="1" s="1"/>
  <c r="AK100" i="1" a="1"/>
  <c r="AK100" i="1" s="1"/>
  <c r="AK99" i="1" a="1"/>
  <c r="AK99" i="1" s="1"/>
  <c r="AK98" i="1" a="1"/>
  <c r="AK98" i="1" s="1"/>
  <c r="AK97" i="1" a="1"/>
  <c r="AK97" i="1" s="1"/>
  <c r="AK96" i="1" a="1"/>
  <c r="AK96" i="1" s="1"/>
  <c r="AK95" i="1" a="1"/>
  <c r="AK95" i="1" s="1"/>
  <c r="AK94" i="1" a="1"/>
  <c r="AK94" i="1" s="1"/>
  <c r="AK93" i="1" a="1"/>
  <c r="AK93" i="1" s="1"/>
  <c r="AK92" i="1" a="1"/>
  <c r="AK92" i="1" s="1"/>
  <c r="AK91" i="1" a="1"/>
  <c r="AK91" i="1" s="1"/>
  <c r="AK90" i="1" a="1"/>
  <c r="AK90" i="1" s="1"/>
  <c r="AK89" i="1" a="1"/>
  <c r="AK89" i="1" s="1"/>
  <c r="AK88" i="1" a="1"/>
  <c r="AK88" i="1" s="1"/>
  <c r="AK87" i="1" a="1"/>
  <c r="AK87" i="1" s="1"/>
  <c r="AK86" i="1" a="1"/>
  <c r="AK86" i="1" s="1"/>
  <c r="AK85" i="1" a="1"/>
  <c r="AK85" i="1" s="1"/>
  <c r="AK84" i="1" a="1"/>
  <c r="AK84" i="1" s="1"/>
  <c r="AK83" i="1" a="1"/>
  <c r="AK83" i="1" s="1"/>
  <c r="AK82" i="1" a="1"/>
  <c r="AK82" i="1" s="1"/>
  <c r="AK81" i="1" a="1"/>
  <c r="AK81" i="1" s="1"/>
  <c r="AK80" i="1" a="1"/>
  <c r="AK80" i="1" s="1"/>
  <c r="AK79" i="1" a="1"/>
  <c r="AK79" i="1" s="1"/>
  <c r="AK78" i="1" a="1"/>
  <c r="AK78" i="1" s="1"/>
  <c r="AK77" i="1" a="1"/>
  <c r="AK77" i="1" s="1"/>
  <c r="AK76" i="1" a="1"/>
  <c r="AK76" i="1" s="1"/>
  <c r="AK75" i="1" a="1"/>
  <c r="AK75" i="1" s="1"/>
  <c r="AK74" i="1" a="1"/>
  <c r="AK74" i="1" s="1"/>
  <c r="AK70" i="1" a="1"/>
  <c r="AK70" i="1" s="1"/>
  <c r="AK69" i="1" a="1"/>
  <c r="AK69" i="1" s="1"/>
  <c r="AK68" i="1" a="1"/>
  <c r="AK68" i="1" s="1"/>
  <c r="AK67" i="1" a="1"/>
  <c r="AK67" i="1" s="1"/>
  <c r="AK66" i="1" a="1"/>
  <c r="AK66" i="1" s="1"/>
  <c r="AK65" i="1" a="1"/>
  <c r="AK65" i="1" s="1"/>
  <c r="AK64" i="1" a="1"/>
  <c r="AK64" i="1" s="1"/>
  <c r="AK63" i="1" a="1"/>
  <c r="AK63" i="1" s="1"/>
  <c r="AK62" i="1" a="1"/>
  <c r="AK62" i="1" s="1"/>
  <c r="AK61" i="1" a="1"/>
  <c r="AK61" i="1" s="1"/>
  <c r="AK60" i="1" a="1"/>
  <c r="AK60" i="1" s="1"/>
  <c r="AK59" i="1" a="1"/>
  <c r="AK59" i="1" s="1"/>
  <c r="AK58" i="1" a="1"/>
  <c r="AK58" i="1" s="1"/>
  <c r="AK57" i="1" a="1"/>
  <c r="AK57" i="1" s="1"/>
  <c r="AK56" i="1" a="1"/>
  <c r="AK56" i="1" s="1"/>
  <c r="AK55" i="1" a="1"/>
  <c r="AK55" i="1" s="1"/>
  <c r="AK54" i="1" a="1"/>
  <c r="AK54" i="1" s="1"/>
  <c r="AK53" i="1" a="1"/>
  <c r="AK53" i="1" s="1"/>
  <c r="AK52" i="1" a="1"/>
  <c r="AK52" i="1" s="1"/>
  <c r="AK51" i="1" a="1"/>
  <c r="AK51" i="1" s="1"/>
  <c r="AK50" i="1" a="1"/>
  <c r="AK50" i="1" s="1"/>
  <c r="AK49" i="1" a="1"/>
  <c r="AK49" i="1" s="1"/>
  <c r="AK48" i="1" a="1"/>
  <c r="AK48" i="1" s="1"/>
  <c r="AK47" i="1" a="1"/>
  <c r="AK47" i="1" s="1"/>
  <c r="AK46" i="1" a="1"/>
  <c r="AK46" i="1" s="1"/>
  <c r="AK45" i="1" a="1"/>
  <c r="AK45" i="1" s="1"/>
  <c r="AK44" i="1" a="1"/>
  <c r="AK44" i="1" s="1"/>
  <c r="AK43" i="1" a="1"/>
  <c r="AK43" i="1" s="1"/>
  <c r="AK42" i="1" a="1"/>
  <c r="AK42" i="1" s="1"/>
  <c r="AK41" i="1" a="1"/>
  <c r="AK41" i="1" s="1"/>
  <c r="AK40" i="1" a="1"/>
  <c r="AK40" i="1" s="1"/>
  <c r="AK39" i="1" a="1"/>
  <c r="AK39" i="1" s="1"/>
  <c r="AK38" i="1" a="1"/>
  <c r="AK38" i="1" s="1"/>
  <c r="AK34" i="1" a="1"/>
  <c r="AK34" i="1" s="1"/>
  <c r="AK33" i="1" a="1"/>
  <c r="AK33" i="1" s="1"/>
  <c r="AK32" i="1" a="1"/>
  <c r="AK32" i="1" s="1"/>
  <c r="AK31" i="1" a="1"/>
  <c r="AK31" i="1" s="1"/>
  <c r="AK30" i="1" a="1"/>
  <c r="AK30" i="1" s="1"/>
  <c r="AK29" i="1" a="1"/>
  <c r="AK29" i="1" s="1"/>
  <c r="AK28" i="1" a="1"/>
  <c r="AK28" i="1" s="1"/>
  <c r="AK27" i="1" a="1"/>
  <c r="AK27" i="1" s="1"/>
  <c r="AK26" i="1" a="1"/>
  <c r="AK26" i="1" s="1"/>
  <c r="AK25" i="1" a="1"/>
  <c r="AK25" i="1" s="1"/>
  <c r="AK24" i="1" a="1"/>
  <c r="AK24" i="1" s="1"/>
  <c r="AK23" i="1" a="1"/>
  <c r="AK23" i="1" s="1"/>
  <c r="AK22" i="1" a="1"/>
  <c r="AK22" i="1" s="1"/>
  <c r="AK21" i="1" a="1"/>
  <c r="AK21" i="1" s="1"/>
  <c r="AK20" i="1" a="1"/>
  <c r="AK20" i="1" s="1"/>
  <c r="AK19" i="1" a="1"/>
  <c r="AK19" i="1" s="1"/>
  <c r="AK18" i="1" a="1"/>
  <c r="AK18" i="1" s="1"/>
  <c r="AK17" i="1" a="1"/>
  <c r="AK17" i="1" s="1"/>
  <c r="AK16" i="1" a="1"/>
  <c r="AK16" i="1" s="1"/>
  <c r="AK15" i="1" a="1"/>
  <c r="AK15" i="1" s="1"/>
  <c r="AK14" i="1" a="1"/>
  <c r="AK14" i="1" s="1"/>
  <c r="AK13" i="1" a="1"/>
  <c r="AK13" i="1" s="1"/>
  <c r="AK12" i="1" a="1"/>
  <c r="AK12" i="1" s="1"/>
  <c r="AK11" i="1" a="1"/>
  <c r="AK11" i="1" s="1"/>
  <c r="AK10" i="1" a="1"/>
  <c r="AK10" i="1" s="1"/>
  <c r="AK9" i="1" a="1"/>
  <c r="AK9" i="1" s="1"/>
  <c r="AK8" i="1" a="1"/>
  <c r="AK8" i="1" s="1"/>
  <c r="AK7" i="1" a="1"/>
  <c r="AK7" i="1" s="1"/>
  <c r="AK6" i="1" a="1"/>
  <c r="AK6" i="1" s="1"/>
  <c r="AK5" i="1" a="1"/>
  <c r="AK5" i="1" s="1"/>
  <c r="AK3" i="1" a="1"/>
  <c r="AK3" i="1" s="1"/>
  <c r="BD147" i="1"/>
  <c r="BD146" i="1"/>
  <c r="BD142" i="1"/>
  <c r="BD141" i="1"/>
  <c r="BD140" i="1"/>
  <c r="BD139" i="1"/>
  <c r="BD138" i="1"/>
  <c r="BD137" i="1"/>
  <c r="BD136" i="1"/>
  <c r="BD135" i="1"/>
  <c r="BD134" i="1"/>
  <c r="BD133" i="1"/>
  <c r="BD132" i="1"/>
  <c r="BD131" i="1"/>
  <c r="BD130" i="1"/>
  <c r="BD129" i="1"/>
  <c r="BD128" i="1"/>
  <c r="BD127" i="1"/>
  <c r="BD126" i="1"/>
  <c r="BD125" i="1"/>
  <c r="BD124" i="1"/>
  <c r="BD123" i="1"/>
  <c r="BD122" i="1"/>
  <c r="BD121" i="1"/>
  <c r="BD120" i="1"/>
  <c r="BD119" i="1"/>
  <c r="BD118" i="1"/>
  <c r="BD117" i="1"/>
  <c r="BD116" i="1"/>
  <c r="BD115" i="1"/>
  <c r="BD114" i="1"/>
  <c r="BD113" i="1"/>
  <c r="BD112" i="1"/>
  <c r="BD111" i="1"/>
  <c r="BD110" i="1"/>
  <c r="BD106" i="1"/>
  <c r="BD105" i="1"/>
  <c r="BD104" i="1"/>
  <c r="BD103" i="1"/>
  <c r="BD102" i="1"/>
  <c r="BD101" i="1"/>
  <c r="BD100" i="1"/>
  <c r="BD99" i="1"/>
  <c r="BD98" i="1"/>
  <c r="BD97" i="1"/>
  <c r="BD96" i="1"/>
  <c r="BD95" i="1"/>
  <c r="BD94" i="1"/>
  <c r="BD93" i="1"/>
  <c r="BD92" i="1"/>
  <c r="BD91" i="1"/>
  <c r="BD90" i="1"/>
  <c r="BD89" i="1"/>
  <c r="BD88" i="1"/>
  <c r="BD87" i="1"/>
  <c r="BD86" i="1"/>
  <c r="BD85" i="1"/>
  <c r="BD84" i="1"/>
  <c r="BD83" i="1"/>
  <c r="BD82" i="1"/>
  <c r="BD81" i="1"/>
  <c r="BD80" i="1"/>
  <c r="BD79" i="1"/>
  <c r="BD78" i="1"/>
  <c r="BD77" i="1"/>
  <c r="BD76" i="1"/>
  <c r="BD75" i="1"/>
  <c r="BD74" i="1"/>
  <c r="BD70" i="1"/>
  <c r="BD69" i="1"/>
  <c r="BD68" i="1"/>
  <c r="BD67" i="1"/>
  <c r="BD66" i="1"/>
  <c r="BD65" i="1"/>
  <c r="BD64" i="1"/>
  <c r="BD63" i="1"/>
  <c r="BD62" i="1"/>
  <c r="BD61" i="1"/>
  <c r="BD60" i="1"/>
  <c r="BD59" i="1"/>
  <c r="BD58" i="1"/>
  <c r="BD57" i="1"/>
  <c r="BD56" i="1"/>
  <c r="BD55" i="1"/>
  <c r="BD54" i="1"/>
  <c r="BD53" i="1"/>
  <c r="BD52" i="1"/>
  <c r="BD51" i="1"/>
  <c r="BD50" i="1"/>
  <c r="BD49" i="1"/>
  <c r="BD48" i="1"/>
  <c r="BD47" i="1"/>
  <c r="BD46" i="1"/>
  <c r="BD45" i="1"/>
  <c r="BD44" i="1"/>
  <c r="BD43" i="1"/>
  <c r="BD42" i="1"/>
  <c r="BD41" i="1"/>
  <c r="BD40" i="1"/>
  <c r="BD39" i="1"/>
  <c r="BD38" i="1"/>
  <c r="BD34" i="1"/>
  <c r="BD33" i="1"/>
  <c r="BD32" i="1"/>
  <c r="BD31" i="1"/>
  <c r="BD30" i="1"/>
  <c r="BD29" i="1"/>
  <c r="BD28" i="1"/>
  <c r="BD27" i="1"/>
  <c r="BD26" i="1"/>
  <c r="BD25" i="1"/>
  <c r="BD24" i="1"/>
  <c r="BD23" i="1"/>
  <c r="BD22" i="1"/>
  <c r="BD21" i="1"/>
  <c r="BD20" i="1"/>
  <c r="BD19" i="1"/>
  <c r="BD18" i="1"/>
  <c r="BD17" i="1"/>
  <c r="BD16" i="1"/>
  <c r="BD15" i="1"/>
  <c r="BD14" i="1"/>
  <c r="BD13" i="1"/>
  <c r="BD12" i="1"/>
  <c r="BD11" i="1"/>
  <c r="BD10" i="1"/>
  <c r="BD9" i="1"/>
  <c r="BD8" i="1"/>
  <c r="BD7" i="1"/>
  <c r="BD6" i="1"/>
  <c r="BD5" i="1"/>
  <c r="AU147" i="1"/>
  <c r="AS147" i="1"/>
  <c r="AU146" i="1"/>
  <c r="AS146" i="1"/>
  <c r="AU142" i="1"/>
  <c r="AU141" i="1"/>
  <c r="AU140" i="1"/>
  <c r="AU139" i="1"/>
  <c r="AS139" i="1"/>
  <c r="AU138" i="1"/>
  <c r="AS138" i="1"/>
  <c r="AU137" i="1"/>
  <c r="AS137" i="1"/>
  <c r="AU136" i="1"/>
  <c r="AS136" i="1"/>
  <c r="AU135" i="1"/>
  <c r="AS135" i="1"/>
  <c r="AU134" i="1"/>
  <c r="AU133" i="1"/>
  <c r="AS133" i="1"/>
  <c r="AU132" i="1"/>
  <c r="AS132" i="1"/>
  <c r="AU131" i="1"/>
  <c r="AS131" i="1"/>
  <c r="AU130" i="1"/>
  <c r="AS130" i="1"/>
  <c r="AU129" i="1"/>
  <c r="AS129" i="1"/>
  <c r="AU128" i="1"/>
  <c r="AS128" i="1"/>
  <c r="AU127" i="1"/>
  <c r="AU126" i="1"/>
  <c r="AU125" i="1"/>
  <c r="AS125" i="1"/>
  <c r="AU124" i="1"/>
  <c r="AS124" i="1"/>
  <c r="AU123" i="1"/>
  <c r="AU122" i="1"/>
  <c r="AS122" i="1"/>
  <c r="AU121" i="1"/>
  <c r="AS121" i="1"/>
  <c r="AU120" i="1"/>
  <c r="AS120" i="1"/>
  <c r="AU119" i="1"/>
  <c r="AS119" i="1"/>
  <c r="AU118" i="1"/>
  <c r="AU117" i="1"/>
  <c r="AS117" i="1"/>
  <c r="AU116" i="1"/>
  <c r="AS116" i="1"/>
  <c r="AU115" i="1"/>
  <c r="AS115" i="1"/>
  <c r="AU114" i="1"/>
  <c r="AU113" i="1"/>
  <c r="AU112" i="1"/>
  <c r="AU111" i="1"/>
  <c r="AU110" i="1"/>
  <c r="AU106" i="1"/>
  <c r="AU105" i="1"/>
  <c r="AS105" i="1"/>
  <c r="AU104" i="1"/>
  <c r="AS104" i="1"/>
  <c r="AU103" i="1"/>
  <c r="AS103" i="1"/>
  <c r="AU102" i="1"/>
  <c r="AS102" i="1"/>
  <c r="AU101" i="1"/>
  <c r="AS101" i="1"/>
  <c r="AU100" i="1"/>
  <c r="AS100" i="1"/>
  <c r="AU99" i="1"/>
  <c r="AS99" i="1"/>
  <c r="AU98" i="1"/>
  <c r="AS98" i="1"/>
  <c r="AU97" i="1"/>
  <c r="AS97" i="1"/>
  <c r="AU96" i="1"/>
  <c r="AU95" i="1"/>
  <c r="AU94" i="1"/>
  <c r="AU93" i="1"/>
  <c r="AS93" i="1"/>
  <c r="AU92" i="1"/>
  <c r="AS92" i="1"/>
  <c r="AU91" i="1"/>
  <c r="AS91" i="1"/>
  <c r="AU90" i="1"/>
  <c r="AS90" i="1"/>
  <c r="AU89" i="1"/>
  <c r="AS89" i="1"/>
  <c r="AU88" i="1"/>
  <c r="AS88" i="1"/>
  <c r="AU87" i="1"/>
  <c r="AS87" i="1"/>
  <c r="AU86" i="1"/>
  <c r="AS86" i="1"/>
  <c r="AU85" i="1"/>
  <c r="AS85" i="1"/>
  <c r="AU84" i="1"/>
  <c r="AS84" i="1"/>
  <c r="AU83" i="1"/>
  <c r="AU82" i="1"/>
  <c r="AU81" i="1"/>
  <c r="AU80" i="1"/>
  <c r="AU79" i="1"/>
  <c r="AS79" i="1"/>
  <c r="AU78" i="1"/>
  <c r="AS78" i="1"/>
  <c r="AU77" i="1"/>
  <c r="AS77" i="1"/>
  <c r="AU76" i="1"/>
  <c r="AS76" i="1"/>
  <c r="AU75" i="1"/>
  <c r="AU74" i="1"/>
  <c r="AS74" i="1"/>
  <c r="AU70" i="1"/>
  <c r="AS70" i="1"/>
  <c r="AU69" i="1"/>
  <c r="AS69" i="1"/>
  <c r="AU68" i="1"/>
  <c r="AS68" i="1"/>
  <c r="AU67" i="1"/>
  <c r="AS67" i="1"/>
  <c r="AU66" i="1"/>
  <c r="AS66" i="1"/>
  <c r="AU65" i="1"/>
  <c r="AS65" i="1"/>
  <c r="AU64" i="1"/>
  <c r="AU63" i="1"/>
  <c r="AU62" i="1"/>
  <c r="AS62" i="1"/>
  <c r="AU61" i="1"/>
  <c r="AS61" i="1"/>
  <c r="AU60" i="1"/>
  <c r="AU59" i="1"/>
  <c r="AS59" i="1"/>
  <c r="AU58" i="1"/>
  <c r="AS58" i="1"/>
  <c r="AU57" i="1"/>
  <c r="AS57" i="1"/>
  <c r="AU56" i="1"/>
  <c r="AU55" i="1"/>
  <c r="AS55" i="1"/>
  <c r="AU54" i="1"/>
  <c r="AS54" i="1"/>
  <c r="AU53" i="1"/>
  <c r="AS53" i="1"/>
  <c r="AU52" i="1"/>
  <c r="AS52" i="1"/>
  <c r="AU51" i="1"/>
  <c r="AU50" i="1"/>
  <c r="AU49" i="1"/>
  <c r="AU48" i="1"/>
  <c r="AU47" i="1"/>
  <c r="AS47" i="1"/>
  <c r="AU46" i="1"/>
  <c r="AS46" i="1"/>
  <c r="AU45" i="1"/>
  <c r="AS45" i="1"/>
  <c r="AU44" i="1"/>
  <c r="AS44" i="1"/>
  <c r="AU43" i="1"/>
  <c r="AS43" i="1"/>
  <c r="AU42" i="1"/>
  <c r="AS42" i="1"/>
  <c r="AU41" i="1"/>
  <c r="AS41" i="1"/>
  <c r="AU40" i="1"/>
  <c r="AU39" i="1"/>
  <c r="AS39" i="1"/>
  <c r="AU38" i="1"/>
  <c r="AS38" i="1"/>
  <c r="AU34" i="1"/>
  <c r="AU33" i="1"/>
  <c r="AU32" i="1"/>
  <c r="AU31" i="1"/>
  <c r="AU30" i="1"/>
  <c r="AS30" i="1"/>
  <c r="AU29" i="1"/>
  <c r="AU28" i="1"/>
  <c r="AS28" i="1"/>
  <c r="AU27" i="1"/>
  <c r="AS27" i="1"/>
  <c r="AU26" i="1"/>
  <c r="AS26" i="1"/>
  <c r="AU25" i="1"/>
  <c r="AS25" i="1"/>
  <c r="AU24" i="1"/>
  <c r="AS24" i="1"/>
  <c r="AU23" i="1"/>
  <c r="AS23" i="1"/>
  <c r="AU22" i="1"/>
  <c r="AS22" i="1"/>
  <c r="AU21" i="1"/>
  <c r="AS21" i="1"/>
  <c r="AU20" i="1"/>
  <c r="AU19" i="1"/>
  <c r="AU18" i="1"/>
  <c r="AU17" i="1"/>
  <c r="AU16" i="1"/>
  <c r="AS16" i="1"/>
  <c r="AU15" i="1"/>
  <c r="AS15" i="1"/>
  <c r="AU14" i="1"/>
  <c r="AS14" i="1"/>
  <c r="AU13" i="1"/>
  <c r="AU12" i="1"/>
  <c r="AS12" i="1"/>
  <c r="AU11" i="1"/>
  <c r="AS11" i="1"/>
  <c r="AU10" i="1"/>
  <c r="AS10" i="1"/>
  <c r="AU9" i="1"/>
  <c r="AS9" i="1"/>
  <c r="AU8" i="1"/>
  <c r="AS8" i="1"/>
  <c r="AU7" i="1"/>
  <c r="AS7" i="1"/>
  <c r="AU6" i="1"/>
  <c r="AS6" i="1"/>
  <c r="AU5" i="1"/>
  <c r="N146" i="1" l="1"/>
  <c r="N110" i="1"/>
  <c r="N74" i="1"/>
  <c r="N38" i="1"/>
  <c r="K147" i="1"/>
  <c r="N147" i="1" s="1"/>
  <c r="K146" i="1"/>
  <c r="K142" i="1"/>
  <c r="N142" i="1" s="1"/>
  <c r="K141" i="1"/>
  <c r="N141" i="1" s="1"/>
  <c r="K140" i="1"/>
  <c r="N140" i="1" s="1"/>
  <c r="K139" i="1"/>
  <c r="N139" i="1" s="1"/>
  <c r="K138" i="1"/>
  <c r="N138" i="1" s="1"/>
  <c r="K137" i="1"/>
  <c r="N137" i="1" s="1"/>
  <c r="K136" i="1"/>
  <c r="N136" i="1" s="1"/>
  <c r="K135" i="1"/>
  <c r="N135" i="1" s="1"/>
  <c r="K134" i="1"/>
  <c r="N134" i="1" s="1"/>
  <c r="K133" i="1"/>
  <c r="N133" i="1" s="1"/>
  <c r="K132" i="1"/>
  <c r="N132" i="1" s="1"/>
  <c r="K131" i="1"/>
  <c r="N131" i="1" s="1"/>
  <c r="K130" i="1"/>
  <c r="N130" i="1" s="1"/>
  <c r="K129" i="1"/>
  <c r="N129" i="1" s="1"/>
  <c r="K128" i="1"/>
  <c r="N128" i="1" s="1"/>
  <c r="K127" i="1"/>
  <c r="N127" i="1" s="1"/>
  <c r="K126" i="1"/>
  <c r="N126" i="1" s="1"/>
  <c r="K125" i="1"/>
  <c r="N125" i="1" s="1"/>
  <c r="K124" i="1"/>
  <c r="N124" i="1" s="1"/>
  <c r="K123" i="1"/>
  <c r="N123" i="1" s="1"/>
  <c r="K122" i="1"/>
  <c r="N122" i="1" s="1"/>
  <c r="K121" i="1"/>
  <c r="N121" i="1" s="1"/>
  <c r="K120" i="1"/>
  <c r="N120" i="1" s="1"/>
  <c r="K119" i="1"/>
  <c r="N119" i="1" s="1"/>
  <c r="K118" i="1"/>
  <c r="N118" i="1" s="1"/>
  <c r="K117" i="1"/>
  <c r="N117" i="1" s="1"/>
  <c r="K116" i="1"/>
  <c r="N116" i="1" s="1"/>
  <c r="K115" i="1"/>
  <c r="N115" i="1" s="1"/>
  <c r="K114" i="1"/>
  <c r="N114" i="1" s="1"/>
  <c r="K113" i="1"/>
  <c r="N113" i="1" s="1"/>
  <c r="K112" i="1"/>
  <c r="N112" i="1" s="1"/>
  <c r="K111" i="1"/>
  <c r="N111" i="1" s="1"/>
  <c r="K110" i="1"/>
  <c r="K106" i="1"/>
  <c r="N106" i="1" s="1"/>
  <c r="K105" i="1"/>
  <c r="N105" i="1" s="1"/>
  <c r="K104" i="1"/>
  <c r="N104" i="1" s="1"/>
  <c r="K103" i="1"/>
  <c r="N103" i="1" s="1"/>
  <c r="K102" i="1"/>
  <c r="N102" i="1" s="1"/>
  <c r="K101" i="1"/>
  <c r="N101" i="1" s="1"/>
  <c r="K100" i="1"/>
  <c r="N100" i="1" s="1"/>
  <c r="K99" i="1"/>
  <c r="N99" i="1" s="1"/>
  <c r="K98" i="1"/>
  <c r="N98" i="1" s="1"/>
  <c r="K97" i="1"/>
  <c r="N97" i="1" s="1"/>
  <c r="K96" i="1"/>
  <c r="N96" i="1" s="1"/>
  <c r="K95" i="1"/>
  <c r="N95" i="1" s="1"/>
  <c r="K94" i="1"/>
  <c r="N94" i="1" s="1"/>
  <c r="K93" i="1"/>
  <c r="N93" i="1" s="1"/>
  <c r="K92" i="1"/>
  <c r="N92" i="1" s="1"/>
  <c r="K91" i="1"/>
  <c r="N91" i="1" s="1"/>
  <c r="K90" i="1"/>
  <c r="N90" i="1" s="1"/>
  <c r="K89" i="1"/>
  <c r="N89" i="1" s="1"/>
  <c r="K88" i="1"/>
  <c r="N88" i="1" s="1"/>
  <c r="K87" i="1"/>
  <c r="N87" i="1" s="1"/>
  <c r="K86" i="1"/>
  <c r="N86" i="1" s="1"/>
  <c r="K85" i="1"/>
  <c r="N85" i="1" s="1"/>
  <c r="K84" i="1"/>
  <c r="N84" i="1" s="1"/>
  <c r="K83" i="1"/>
  <c r="N83" i="1" s="1"/>
  <c r="K82" i="1"/>
  <c r="N82" i="1" s="1"/>
  <c r="K81" i="1"/>
  <c r="N81" i="1" s="1"/>
  <c r="K80" i="1"/>
  <c r="N80" i="1" s="1"/>
  <c r="K79" i="1"/>
  <c r="N79" i="1" s="1"/>
  <c r="K78" i="1"/>
  <c r="N78" i="1" s="1"/>
  <c r="K77" i="1"/>
  <c r="N77" i="1" s="1"/>
  <c r="K76" i="1"/>
  <c r="N76" i="1" s="1"/>
  <c r="K75" i="1"/>
  <c r="N75" i="1" s="1"/>
  <c r="K74" i="1"/>
  <c r="K70" i="1"/>
  <c r="N70" i="1" s="1"/>
  <c r="K69" i="1"/>
  <c r="N69" i="1" s="1"/>
  <c r="K68" i="1"/>
  <c r="N68" i="1" s="1"/>
  <c r="K67" i="1"/>
  <c r="N67" i="1" s="1"/>
  <c r="K66" i="1"/>
  <c r="N66" i="1" s="1"/>
  <c r="K65" i="1"/>
  <c r="N65" i="1" s="1"/>
  <c r="K64" i="1"/>
  <c r="N64" i="1" s="1"/>
  <c r="K63" i="1"/>
  <c r="N63" i="1" s="1"/>
  <c r="K62" i="1"/>
  <c r="N62" i="1" s="1"/>
  <c r="K61" i="1"/>
  <c r="N61" i="1" s="1"/>
  <c r="K60" i="1"/>
  <c r="N60" i="1" s="1"/>
  <c r="K59" i="1"/>
  <c r="N59" i="1" s="1"/>
  <c r="K58" i="1"/>
  <c r="N58" i="1" s="1"/>
  <c r="K57" i="1"/>
  <c r="N57" i="1" s="1"/>
  <c r="K56" i="1"/>
  <c r="N56" i="1" s="1"/>
  <c r="K55" i="1"/>
  <c r="N55" i="1" s="1"/>
  <c r="K54" i="1"/>
  <c r="N54" i="1" s="1"/>
  <c r="K53" i="1"/>
  <c r="N53" i="1" s="1"/>
  <c r="K52" i="1"/>
  <c r="N52" i="1" s="1"/>
  <c r="K51" i="1"/>
  <c r="N51" i="1" s="1"/>
  <c r="K50" i="1"/>
  <c r="N50" i="1" s="1"/>
  <c r="K49" i="1"/>
  <c r="N49" i="1" s="1"/>
  <c r="K48" i="1"/>
  <c r="N48" i="1" s="1"/>
  <c r="K47" i="1"/>
  <c r="N47" i="1" s="1"/>
  <c r="K46" i="1"/>
  <c r="N46" i="1" s="1"/>
  <c r="K45" i="1"/>
  <c r="N45" i="1" s="1"/>
  <c r="K44" i="1"/>
  <c r="N44" i="1" s="1"/>
  <c r="K43" i="1"/>
  <c r="N43" i="1" s="1"/>
  <c r="K42" i="1"/>
  <c r="N42" i="1" s="1"/>
  <c r="K41" i="1"/>
  <c r="N41" i="1" s="1"/>
  <c r="K40" i="1"/>
  <c r="N40" i="1" s="1"/>
  <c r="K39" i="1"/>
  <c r="N39" i="1" s="1"/>
  <c r="K38" i="1"/>
  <c r="K34" i="1"/>
  <c r="N34" i="1" s="1"/>
  <c r="K33" i="1"/>
  <c r="N33" i="1" s="1"/>
  <c r="K32" i="1"/>
  <c r="N32" i="1" s="1"/>
  <c r="K31" i="1"/>
  <c r="N31" i="1" s="1"/>
  <c r="K30" i="1"/>
  <c r="N30" i="1" s="1"/>
  <c r="K29" i="1"/>
  <c r="N29" i="1" s="1"/>
  <c r="K28" i="1"/>
  <c r="N28" i="1" s="1"/>
  <c r="K27" i="1"/>
  <c r="N27" i="1" s="1"/>
  <c r="K26" i="1"/>
  <c r="N26" i="1" s="1"/>
  <c r="K25" i="1"/>
  <c r="N25" i="1" s="1"/>
  <c r="K24" i="1"/>
  <c r="N24" i="1" s="1"/>
  <c r="K23" i="1"/>
  <c r="N23" i="1" s="1"/>
  <c r="K22" i="1"/>
  <c r="N22" i="1" s="1"/>
  <c r="K21" i="1"/>
  <c r="N21" i="1" s="1"/>
  <c r="K20" i="1"/>
  <c r="N20" i="1" s="1"/>
  <c r="K19" i="1"/>
  <c r="N19" i="1" s="1"/>
  <c r="K18" i="1"/>
  <c r="N18" i="1" s="1"/>
  <c r="K17" i="1"/>
  <c r="N17" i="1" s="1"/>
  <c r="K16" i="1"/>
  <c r="N16" i="1" s="1"/>
  <c r="K15" i="1"/>
  <c r="N15" i="1" s="1"/>
  <c r="K14" i="1"/>
  <c r="N14" i="1" s="1"/>
  <c r="K13" i="1"/>
  <c r="N13" i="1" s="1"/>
  <c r="K12" i="1"/>
  <c r="N12" i="1" s="1"/>
  <c r="K11" i="1"/>
  <c r="N11" i="1" s="1"/>
  <c r="K10" i="1"/>
  <c r="N10" i="1" s="1"/>
  <c r="K9" i="1"/>
  <c r="N9" i="1" s="1"/>
  <c r="K8" i="1"/>
  <c r="N8" i="1" s="1"/>
  <c r="K7" i="1"/>
  <c r="N7" i="1" s="1"/>
  <c r="K6" i="1"/>
  <c r="N6" i="1" s="1"/>
  <c r="K5" i="1"/>
  <c r="N5" i="1" s="1"/>
  <c r="K3" i="1"/>
  <c r="N3" i="1" s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6" i="1"/>
  <c r="A147" i="1"/>
  <c r="AS3" i="1"/>
  <c r="M5" i="1"/>
  <c r="L5" i="1"/>
  <c r="A5" i="1"/>
  <c r="M41" i="1"/>
  <c r="L41" i="1"/>
  <c r="A41" i="1"/>
  <c r="M40" i="1"/>
  <c r="L40" i="1"/>
  <c r="A40" i="1"/>
  <c r="M39" i="1"/>
  <c r="L39" i="1"/>
  <c r="A39" i="1"/>
  <c r="BD3" i="1"/>
  <c r="AU3" i="1"/>
  <c r="M51" i="1"/>
  <c r="L51" i="1"/>
  <c r="M50" i="1"/>
  <c r="L50" i="1"/>
  <c r="M49" i="1"/>
  <c r="L49" i="1"/>
  <c r="M48" i="1"/>
  <c r="L48" i="1"/>
  <c r="M47" i="1"/>
  <c r="L47" i="1"/>
  <c r="M46" i="1"/>
  <c r="L46" i="1"/>
  <c r="M45" i="1"/>
  <c r="L45" i="1"/>
  <c r="M44" i="1"/>
  <c r="L44" i="1"/>
  <c r="M43" i="1"/>
  <c r="L43" i="1"/>
  <c r="M42" i="1"/>
  <c r="L42" i="1"/>
  <c r="M38" i="1"/>
  <c r="L38" i="1"/>
  <c r="M34" i="1"/>
  <c r="L34" i="1"/>
  <c r="M33" i="1"/>
  <c r="L33" i="1"/>
  <c r="M32" i="1"/>
  <c r="L32" i="1"/>
  <c r="M31" i="1"/>
  <c r="L31" i="1"/>
  <c r="M30" i="1"/>
  <c r="L30" i="1"/>
  <c r="M29" i="1"/>
  <c r="L29" i="1"/>
  <c r="M28" i="1"/>
  <c r="L28" i="1"/>
  <c r="M27" i="1"/>
  <c r="L27" i="1"/>
  <c r="M26" i="1"/>
  <c r="L26" i="1"/>
  <c r="M25" i="1"/>
  <c r="L25" i="1"/>
  <c r="M24" i="1"/>
  <c r="L24" i="1"/>
  <c r="M23" i="1"/>
  <c r="L23" i="1"/>
  <c r="M22" i="1"/>
  <c r="L22" i="1"/>
  <c r="M21" i="1"/>
  <c r="L21" i="1"/>
  <c r="M20" i="1"/>
  <c r="L20" i="1"/>
  <c r="M19" i="1"/>
  <c r="L19" i="1"/>
  <c r="M18" i="1"/>
  <c r="L18" i="1"/>
  <c r="M17" i="1"/>
  <c r="L17" i="1"/>
  <c r="M16" i="1"/>
  <c r="L16" i="1"/>
  <c r="M15" i="1"/>
  <c r="L15" i="1"/>
  <c r="M14" i="1"/>
  <c r="L14" i="1"/>
  <c r="M13" i="1"/>
  <c r="L13" i="1"/>
  <c r="M12" i="1"/>
  <c r="L12" i="1"/>
  <c r="M11" i="1"/>
  <c r="L11" i="1"/>
  <c r="M10" i="1"/>
  <c r="L10" i="1"/>
  <c r="M9" i="1"/>
  <c r="L9" i="1"/>
  <c r="M8" i="1"/>
  <c r="L8" i="1"/>
  <c r="M7" i="1"/>
  <c r="L7" i="1"/>
  <c r="M6" i="1"/>
  <c r="L6" i="1"/>
  <c r="M3" i="1"/>
  <c r="L3" i="1"/>
  <c r="A51" i="1"/>
  <c r="A50" i="1"/>
  <c r="A49" i="1"/>
  <c r="A48" i="1"/>
  <c r="A47" i="1"/>
  <c r="A46" i="1"/>
  <c r="A45" i="1"/>
  <c r="A44" i="1"/>
  <c r="A43" i="1"/>
  <c r="A42" i="1"/>
  <c r="A38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芦原 顕一</author>
  </authors>
  <commentList>
    <comment ref="A2" authorId="0" shapeId="0" xr:uid="{272D324D-8EB2-41A3-ACA6-1A0B5B69C29E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WG01固定</t>
        </r>
      </text>
    </comment>
    <comment ref="B2" authorId="0" shapeId="0" xr:uid="{4D1AE1D5-BA85-48BA-85E7-457D276FB814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品目CDマスタのコードを貼付</t>
        </r>
      </text>
    </comment>
    <comment ref="C2" authorId="0" shapeId="0" xr:uid="{3A5A4F9A-F3D9-40A4-AAD9-A83D44ACB873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本書作成時に使用するだけで本番は使用しない</t>
        </r>
      </text>
    </comment>
    <comment ref="G2" authorId="0" shapeId="0" xr:uid="{98BB854A-B2FD-4200-B551-B3CD40E3813B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製造場所マスタor
製造委託事業所マスタ参照
社内：WP〇〇
社外：L〇〇
購入：不要</t>
        </r>
      </text>
    </comment>
    <comment ref="H2" authorId="0" shapeId="0" xr:uid="{D3948ABB-FA99-4D16-9BE0-6A2BB2960D31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購入品のみ記載
発注先CDは５桁必須
144＝NG
00144=OK</t>
        </r>
      </text>
    </comment>
    <comment ref="K2" authorId="0" shapeId="0" xr:uid="{812284DB-E3E8-42A7-91C5-816DBA7CF5C7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11：固定
製造場所CD
品目CD下５桁(本番は製番)</t>
        </r>
      </text>
    </comment>
    <comment ref="L2" authorId="0" shapeId="0" xr:uid="{09543150-3DAD-4F5C-9162-D2CEC58BB04B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2001/01/01固定</t>
        </r>
      </text>
    </comment>
    <comment ref="M2" authorId="0" shapeId="0" xr:uid="{1E4FD4CA-EC6A-4509-8166-D245A8E15C83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2199/12/31固定</t>
        </r>
      </text>
    </comment>
    <comment ref="N2" authorId="0" shapeId="0" xr:uid="{79D5DB53-A5E9-4E90-8499-45B1E1B174A5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社内製造のみ記載
構成パタンと同じ</t>
        </r>
      </text>
    </comment>
    <comment ref="O2" authorId="0" shapeId="0" xr:uid="{421C3DAD-D45C-4558-B015-AF48B9A386CA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社内製造、社外製造の場合記載</t>
        </r>
      </text>
    </comment>
    <comment ref="Q2" authorId="0" shapeId="0" xr:uid="{87BD85E6-D811-47FA-A4CC-B0AE533BBDC7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社外製造、購入品のみ記載</t>
        </r>
      </text>
    </comment>
    <comment ref="AA2" authorId="0" shapeId="0" xr:uid="{175C0845-4BD1-4C52-8F4E-B9FB5B18F8D9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最小ロット数設定</t>
        </r>
      </text>
    </comment>
    <comment ref="AB2" authorId="0" shapeId="0" xr:uid="{42A1F919-86FC-4255-96CF-862EF82FDC7C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刻みロット数設定</t>
        </r>
      </text>
    </comment>
    <comment ref="AC2" authorId="0" shapeId="0" xr:uid="{CDB36EFF-32EC-4B48-BB56-CBB6949AE6AC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最大ロット数設定</t>
        </r>
      </text>
    </comment>
    <comment ref="AF2" authorId="0" shapeId="0" xr:uid="{CFE0D149-70B5-4E25-9DB5-D95E0090EE7F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基本１
同一品目で複数社の場合設定必要
</t>
        </r>
      </text>
    </comment>
    <comment ref="AJ2" authorId="0" shapeId="0" xr:uid="{B1AEA428-214E-4D86-91ED-5A9C87F0E7E1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ロット管理する品目は必要(Plate,BPHE本体等)
1：製造指図時、3：出来高実績時</t>
        </r>
      </text>
    </comment>
    <comment ref="AK2" authorId="0" shapeId="0" xr:uid="{D8D6E9DE-FD35-4C41-9312-DBBD75CDF12C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自動払い出し
社内、社外製造品：1
購入品：0</t>
        </r>
      </text>
    </comment>
    <comment ref="AS2" authorId="0" shapeId="0" xr:uid="{F4DE6BB4-220E-4F06-A95E-40AB217A2617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社外製造、購入品のみ１</t>
        </r>
      </text>
    </comment>
    <comment ref="AU2" authorId="0" shapeId="0" xr:uid="{D73BC747-C521-4B1B-8F5B-50E6D7546337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MRP対象：0
発注点発注対象：1</t>
        </r>
      </text>
    </comment>
    <comment ref="AZ2" authorId="0" shapeId="0" xr:uid="{49427783-4097-44C6-AFC5-B12551B0EEAE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手配NOが必要な場合のみ製番記載</t>
        </r>
      </text>
    </comment>
    <comment ref="BD2" authorId="0" shapeId="0" xr:uid="{DBC212A5-B035-4E04-9EE5-B31B6E05B454}">
      <text>
        <r>
          <rPr>
            <b/>
            <sz val="9"/>
            <color indexed="81"/>
            <rFont val="MS P ゴシック"/>
            <family val="3"/>
            <charset val="128"/>
          </rPr>
          <t>芦原 顕一:</t>
        </r>
        <r>
          <rPr>
            <sz val="9"/>
            <color indexed="81"/>
            <rFont val="MS P ゴシック"/>
            <family val="3"/>
            <charset val="128"/>
          </rPr>
          <t xml:space="preserve">
MRP対象：0
MRP対象外：1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<sst xmlns="http://schemas.openxmlformats.org/spreadsheetml/2006/main" count="7695" uniqueCount="1944">
  <si>
    <t>itm_cd</t>
  </si>
  <si>
    <t>itm_sub1</t>
  </si>
  <si>
    <t>itm_sub2</t>
  </si>
  <si>
    <t>itm_sub3</t>
  </si>
  <si>
    <t>mfg_loc_cd</t>
  </si>
  <si>
    <t>sppl_cd</t>
  </si>
  <si>
    <t>maker_cd</t>
  </si>
  <si>
    <t>rqst_loc_cd</t>
  </si>
  <si>
    <t>st_dt</t>
  </si>
  <si>
    <t>end_dt</t>
  </si>
  <si>
    <t>oper_ptn</t>
  </si>
  <si>
    <t>mfg_lt</t>
  </si>
  <si>
    <t>mfg_lt_add_qty</t>
  </si>
  <si>
    <t>purc_lt</t>
  </si>
  <si>
    <t>purc_lt_add_qty</t>
  </si>
  <si>
    <t>accpt_insp_lt</t>
  </si>
  <si>
    <t>buf_lt</t>
  </si>
  <si>
    <t>ord_fix_pd</t>
  </si>
  <si>
    <t>sz_day_week_typ</t>
  </si>
  <si>
    <t>sz_week</t>
  </si>
  <si>
    <t>lot_sz_pd</t>
  </si>
  <si>
    <t>min_lot_qty</t>
  </si>
  <si>
    <t>batch_lot_qty</t>
  </si>
  <si>
    <t>max_lot_qty</t>
  </si>
  <si>
    <t>max_order</t>
  </si>
  <si>
    <t>prio</t>
  </si>
  <si>
    <t>order_ratio</t>
  </si>
  <si>
    <t>yield_schd_qty</t>
  </si>
  <si>
    <t>mfg_inst_qty</t>
  </si>
  <si>
    <t>fxd_rqmt_qty</t>
  </si>
  <si>
    <t>lot_issue_typ</t>
  </si>
  <si>
    <t>bkf_flg</t>
  </si>
  <si>
    <t>ln_stk_flg</t>
  </si>
  <si>
    <t>pre_po_tgt_flg</t>
  </si>
  <si>
    <t>inst_rec_issue_flg</t>
  </si>
  <si>
    <t>no_mfg_aprv_flg</t>
  </si>
  <si>
    <t>itm_lower_yield</t>
  </si>
  <si>
    <t>itm_std_yield</t>
  </si>
  <si>
    <t>itm_upper_yield</t>
  </si>
  <si>
    <t>rqst_wg_cd</t>
  </si>
  <si>
    <t>po_batch_flg</t>
  </si>
  <si>
    <t>rsrc_std_qty1</t>
  </si>
  <si>
    <t>rsrc_unit_qty1</t>
  </si>
  <si>
    <t>rsrc_std_qty2</t>
  </si>
  <si>
    <t>rsrc_unit_qty2</t>
  </si>
  <si>
    <t>sno1</t>
  </si>
  <si>
    <t>sno2</t>
  </si>
  <si>
    <t>sno3</t>
  </si>
  <si>
    <t>sno4</t>
  </si>
  <si>
    <t>not_mrp_flg</t>
  </si>
  <si>
    <t>cost_ratio</t>
  </si>
  <si>
    <t>memo1</t>
  </si>
  <si>
    <t>memo2</t>
  </si>
  <si>
    <t>memo3</t>
  </si>
  <si>
    <t>del_flg</t>
  </si>
  <si>
    <t>purc_basis_typ</t>
  </si>
  <si>
    <t>ワーキンググループＣＤ</t>
  </si>
  <si>
    <t>品目ＣＤ</t>
  </si>
  <si>
    <t>枝番１</t>
  </si>
  <si>
    <t>枝番２</t>
  </si>
  <si>
    <t>枝番３</t>
  </si>
  <si>
    <t>製造場所ＣＤ</t>
  </si>
  <si>
    <t>発注先ＣＤ</t>
  </si>
  <si>
    <t>メーカＣＤ</t>
  </si>
  <si>
    <t>依頼先場所ＣＤ</t>
  </si>
  <si>
    <t>構成パタン</t>
  </si>
  <si>
    <t>適用開始日</t>
  </si>
  <si>
    <t>適用終了日</t>
  </si>
  <si>
    <t>工程パタン</t>
  </si>
  <si>
    <t>製造ＬＴ</t>
  </si>
  <si>
    <t>製造ＬＴ加算基準数量</t>
  </si>
  <si>
    <t>購入ＬＴ</t>
  </si>
  <si>
    <t>購入ＬＴ加算基準数量</t>
  </si>
  <si>
    <t>検収ＬＴ</t>
  </si>
  <si>
    <t>安全ＬＴ</t>
  </si>
  <si>
    <t>オーダ自動確定期間（日）</t>
  </si>
  <si>
    <t>曜日まとめ区分</t>
  </si>
  <si>
    <t>曜日まとめ期間（週）</t>
  </si>
  <si>
    <t>ロットまとめ期間（日）</t>
  </si>
  <si>
    <t>最小ロット数量</t>
  </si>
  <si>
    <t>刻みロット数量</t>
  </si>
  <si>
    <t>最大ロット数量</t>
  </si>
  <si>
    <t>最大オーダ件数</t>
  </si>
  <si>
    <t>優先順</t>
  </si>
  <si>
    <t>オーダ比率</t>
  </si>
  <si>
    <t>出来高予定数量</t>
  </si>
  <si>
    <t>製造指図数量</t>
  </si>
  <si>
    <t>固定必要数量</t>
  </si>
  <si>
    <t>ロット発番タイミング区分</t>
  </si>
  <si>
    <t>バックフラッシュ許可</t>
  </si>
  <si>
    <t>棚・ライン格納</t>
  </si>
  <si>
    <t>先行手配対象</t>
  </si>
  <si>
    <t>製造指図時記録書発行</t>
  </si>
  <si>
    <t>製造承認対象外</t>
  </si>
  <si>
    <t>品目下限収率</t>
  </si>
  <si>
    <t>品目標準収率</t>
  </si>
  <si>
    <t>品目上限収率</t>
  </si>
  <si>
    <t>購買識別区分</t>
  </si>
  <si>
    <t>購買依頼先ワーキンググループＣＤ</t>
  </si>
  <si>
    <t>発注バッチ</t>
  </si>
  <si>
    <t>資源標準値１</t>
  </si>
  <si>
    <t>資源単位数量１</t>
  </si>
  <si>
    <t>資源標準値２</t>
  </si>
  <si>
    <t>資源単位数量２</t>
  </si>
  <si>
    <t>手配ＮＯ１</t>
  </si>
  <si>
    <t>手配ＮＯ２</t>
  </si>
  <si>
    <t>手配ＮＯ３</t>
  </si>
  <si>
    <t>手配ＮＯ４</t>
  </si>
  <si>
    <t>ＭＲＰ対象外</t>
  </si>
  <si>
    <t>原価比率</t>
  </si>
  <si>
    <t>メモ１</t>
  </si>
  <si>
    <t>メモ２</t>
  </si>
  <si>
    <t>メモ３</t>
  </si>
  <si>
    <t>論理削除</t>
  </si>
  <si>
    <t>仕入計上区分</t>
  </si>
  <si>
    <t/>
  </si>
  <si>
    <t>bom_ptn</t>
    <phoneticPr fontId="1"/>
  </si>
  <si>
    <t>wg_cd</t>
    <phoneticPr fontId="1"/>
  </si>
  <si>
    <t>purc_id_typ</t>
    <phoneticPr fontId="1"/>
  </si>
  <si>
    <t>購買識別区分</t>
    <phoneticPr fontId="1"/>
  </si>
  <si>
    <t>PLM品名</t>
    <rPh sb="3" eb="5">
      <t>ヒンメイ</t>
    </rPh>
    <phoneticPr fontId="1"/>
  </si>
  <si>
    <t>製造場所ＣＤ</t>
    <phoneticPr fontId="1"/>
  </si>
  <si>
    <t>発注先ＣＤ</t>
    <phoneticPr fontId="1"/>
  </si>
  <si>
    <t>図番記載</t>
    <rPh sb="0" eb="2">
      <t>ズバン</t>
    </rPh>
    <rPh sb="2" eb="4">
      <t>キサイ</t>
    </rPh>
    <phoneticPr fontId="1"/>
  </si>
  <si>
    <t>設計メモ記載</t>
    <rPh sb="0" eb="2">
      <t>セッケイ</t>
    </rPh>
    <rPh sb="4" eb="6">
      <t>キサイ</t>
    </rPh>
    <phoneticPr fontId="1"/>
  </si>
  <si>
    <t>図番</t>
    <rPh sb="0" eb="2">
      <t>ズバン</t>
    </rPh>
    <phoneticPr fontId="1"/>
  </si>
  <si>
    <t>型式</t>
    <rPh sb="0" eb="2">
      <t>カタシキ</t>
    </rPh>
    <phoneticPr fontId="1"/>
  </si>
  <si>
    <t>H0000097397</t>
  </si>
  <si>
    <t>H0000097398</t>
  </si>
  <si>
    <t>H0000097399</t>
  </si>
  <si>
    <t>H0000097400</t>
  </si>
  <si>
    <t>H0000097401</t>
  </si>
  <si>
    <t>H0000097402</t>
  </si>
  <si>
    <t>H0000097403</t>
  </si>
  <si>
    <t>H0000097404</t>
  </si>
  <si>
    <t>H0000097405</t>
  </si>
  <si>
    <t>H0000097406</t>
  </si>
  <si>
    <t>H0000097407</t>
  </si>
  <si>
    <t>H0000097408</t>
  </si>
  <si>
    <t>H0000097409</t>
  </si>
  <si>
    <t>H0000097410</t>
  </si>
  <si>
    <t>H0000097411</t>
  </si>
  <si>
    <t>H0000097412</t>
  </si>
  <si>
    <t>H0000097413</t>
  </si>
  <si>
    <t>H0000097414</t>
  </si>
  <si>
    <t>H0000097415</t>
  </si>
  <si>
    <t>H0000097416</t>
  </si>
  <si>
    <t>H0000097417</t>
  </si>
  <si>
    <t>H0000097418</t>
  </si>
  <si>
    <t>H0000097419</t>
  </si>
  <si>
    <t>H0000097420</t>
  </si>
  <si>
    <t>H0000097421</t>
  </si>
  <si>
    <t>H0000097422</t>
  </si>
  <si>
    <t>H0000097423</t>
  </si>
  <si>
    <t>H0000097424</t>
  </si>
  <si>
    <t>H0000097425</t>
  </si>
  <si>
    <t>H0000097426</t>
  </si>
  <si>
    <t>H0000097427</t>
  </si>
  <si>
    <t>H0000097428</t>
  </si>
  <si>
    <t>H0000097429</t>
  </si>
  <si>
    <t>H0000097430</t>
  </si>
  <si>
    <t>H0000097431</t>
  </si>
  <si>
    <t>H0000097432</t>
  </si>
  <si>
    <t>H0000097433</t>
  </si>
  <si>
    <t>H0000097434</t>
  </si>
  <si>
    <t>H0000097435</t>
  </si>
  <si>
    <t>H0000097436</t>
  </si>
  <si>
    <t>H0000097437</t>
  </si>
  <si>
    <t>H0000097438</t>
  </si>
  <si>
    <t>H0000097439</t>
  </si>
  <si>
    <t>H0000097440</t>
  </si>
  <si>
    <t>H0000097441</t>
  </si>
  <si>
    <t>H0000097442</t>
  </si>
  <si>
    <t>H0000097443</t>
  </si>
  <si>
    <t>H0000097444</t>
  </si>
  <si>
    <t>H0000097445</t>
  </si>
  <si>
    <t>H0000097446</t>
  </si>
  <si>
    <t>H0000097447</t>
  </si>
  <si>
    <t>H0000097448</t>
  </si>
  <si>
    <t>H0000097449</t>
  </si>
  <si>
    <t>H0000097450</t>
  </si>
  <si>
    <t>H0000097451</t>
  </si>
  <si>
    <t>H0000097452</t>
  </si>
  <si>
    <t>H0000097453</t>
  </si>
  <si>
    <t>H0000097454</t>
  </si>
  <si>
    <t>H0000097455</t>
  </si>
  <si>
    <t>H0000097456</t>
  </si>
  <si>
    <t>H0000097457</t>
  </si>
  <si>
    <t>H0000097458</t>
  </si>
  <si>
    <t>H0000097459</t>
  </si>
  <si>
    <t>H0000097460</t>
  </si>
  <si>
    <t>H0000097461</t>
  </si>
  <si>
    <t>H0000097462</t>
  </si>
  <si>
    <t>H0000097463</t>
  </si>
  <si>
    <t>H0000097464</t>
  </si>
  <si>
    <t>H0000097465</t>
  </si>
  <si>
    <t>H0000097466</t>
  </si>
  <si>
    <t>H0000097467</t>
  </si>
  <si>
    <t>H0000097468</t>
  </si>
  <si>
    <t>H0000097469</t>
  </si>
  <si>
    <t>H0000097470</t>
  </si>
  <si>
    <t>H0000097471</t>
  </si>
  <si>
    <t>H0000097472</t>
  </si>
  <si>
    <t>H0000097473</t>
  </si>
  <si>
    <t>H0000097474</t>
  </si>
  <si>
    <t>H0000097475</t>
  </si>
  <si>
    <t>H0000097476</t>
  </si>
  <si>
    <t>H0000097477</t>
  </si>
  <si>
    <t>H0000097478</t>
  </si>
  <si>
    <t>H0000097479</t>
  </si>
  <si>
    <t>H0000097480</t>
  </si>
  <si>
    <t>H0000097481</t>
  </si>
  <si>
    <t>H0000097482</t>
  </si>
  <si>
    <t>H0000097483</t>
  </si>
  <si>
    <t>H0000097484</t>
  </si>
  <si>
    <t>H0000097485</t>
  </si>
  <si>
    <t>H0000097486</t>
  </si>
  <si>
    <t>H0000097487</t>
  </si>
  <si>
    <t>H0000097488</t>
  </si>
  <si>
    <t>H0000097489</t>
  </si>
  <si>
    <t>H0000097490</t>
  </si>
  <si>
    <t>H0000097491</t>
  </si>
  <si>
    <t>H0000097492</t>
  </si>
  <si>
    <t>H0000097493</t>
  </si>
  <si>
    <t>H0000097494</t>
  </si>
  <si>
    <t>H0000097495</t>
  </si>
  <si>
    <t>H0000097496</t>
  </si>
  <si>
    <t>H0000097497</t>
  </si>
  <si>
    <t>H0000097498</t>
  </si>
  <si>
    <t>H0000097499</t>
  </si>
  <si>
    <t>H0000097500</t>
  </si>
  <si>
    <t>H0000097501</t>
  </si>
  <si>
    <t>H0000097502</t>
  </si>
  <si>
    <t>H0000097503</t>
  </si>
  <si>
    <t>H0000097504</t>
  </si>
  <si>
    <t>H0000097505</t>
  </si>
  <si>
    <t>H0000097506</t>
  </si>
  <si>
    <t>H0000097507</t>
  </si>
  <si>
    <t>H0000097508</t>
  </si>
  <si>
    <t>H0000097509</t>
  </si>
  <si>
    <t>H0000097510</t>
  </si>
  <si>
    <t>H0000097511</t>
  </si>
  <si>
    <t>H0000097512</t>
  </si>
  <si>
    <t>H0000097513</t>
  </si>
  <si>
    <t>H0000097514</t>
  </si>
  <si>
    <t>H0000097515</t>
  </si>
  <si>
    <t>H0000097516</t>
  </si>
  <si>
    <t>H0000097517</t>
  </si>
  <si>
    <t>H0000097518</t>
  </si>
  <si>
    <t>H0000097519</t>
  </si>
  <si>
    <t>H0000097520</t>
  </si>
  <si>
    <t>H0000097521</t>
  </si>
  <si>
    <t>H0000097522</t>
  </si>
  <si>
    <t>H0000097523</t>
  </si>
  <si>
    <t>H0000097524</t>
  </si>
  <si>
    <t>H0000097525</t>
  </si>
  <si>
    <t>H0000097526</t>
  </si>
  <si>
    <t>H0000097527</t>
  </si>
  <si>
    <t>H0000097528</t>
  </si>
  <si>
    <t>S-フレーム_CX-10_N_TTTT</t>
  </si>
  <si>
    <t>S-フレーム_CX-10_N_TKTK</t>
  </si>
  <si>
    <t>S-フレーム_CX-10_N_KTKT</t>
  </si>
  <si>
    <t>S-フレーム_CX-10_N_KKKK</t>
  </si>
  <si>
    <t>S-フレーム_CX-10_N_TKKT</t>
  </si>
  <si>
    <t>S-フレーム_CX-10_N_KTTK</t>
  </si>
  <si>
    <t>S-フレーム_ガス溶断_CX-10_N_1234</t>
  </si>
  <si>
    <t>S-フレーム_CX-10_H_TTTT</t>
  </si>
  <si>
    <t>S-フレーム_CX-10_H_TKTK</t>
  </si>
  <si>
    <t>S-フレーム_CX-10_H_KTKT</t>
  </si>
  <si>
    <t>S-フレーム_CX-10_H_KKKK</t>
  </si>
  <si>
    <t>S-フレーム_CX-10_H_TKKT</t>
  </si>
  <si>
    <t>S-フレーム_CX-10_H_KTTK</t>
  </si>
  <si>
    <t>S-フレーム_ガス溶断_CX-10_H_1234</t>
  </si>
  <si>
    <t>S-フレーム_CX-10_U_TTTT</t>
  </si>
  <si>
    <t>S-フレーム_CX-10_U_TKTK</t>
  </si>
  <si>
    <t>S-フレーム_CX-10_U_KTKT</t>
  </si>
  <si>
    <t>S-フレーム_CX-10_U_KKKK</t>
  </si>
  <si>
    <t>S-フレーム_CX-10_U_TKKT</t>
  </si>
  <si>
    <t>S-フレーム_CX-10_U_KTTK</t>
  </si>
  <si>
    <t>S-フレーム_ガス溶断_CX-10_U_1234</t>
  </si>
  <si>
    <t>S-フレーム_CX-10_S_TTTT</t>
  </si>
  <si>
    <t>S-フレーム_CX-10_S_TKTK</t>
  </si>
  <si>
    <t>S-フレーム_CX-10_S_KTKT</t>
  </si>
  <si>
    <t>S-フレーム_CX-10_S_KKKK</t>
  </si>
  <si>
    <t>S-フレーム_CX-10_S_TKKT</t>
  </si>
  <si>
    <t>S-フレーム_CX-10_S_KTTK</t>
  </si>
  <si>
    <t>S-フレーム_ガス溶断_CX-10_S_1234</t>
  </si>
  <si>
    <t>H0000102394</t>
  </si>
  <si>
    <t>H0000102395</t>
  </si>
  <si>
    <t>H0000102396</t>
  </si>
  <si>
    <t>H0000102397</t>
  </si>
  <si>
    <t>H0000102398</t>
  </si>
  <si>
    <t>H0000102399</t>
  </si>
  <si>
    <t>H0000102400</t>
  </si>
  <si>
    <t>H0000102401</t>
  </si>
  <si>
    <t>H0000102402</t>
  </si>
  <si>
    <t>H0000102403</t>
  </si>
  <si>
    <t>H0000102404</t>
  </si>
  <si>
    <t>H0000102405</t>
  </si>
  <si>
    <t>H0000102406</t>
  </si>
  <si>
    <t>H0000102407</t>
  </si>
  <si>
    <t>H0000102408</t>
  </si>
  <si>
    <t>H0000102409</t>
  </si>
  <si>
    <t>H0000102410</t>
  </si>
  <si>
    <t>H0000102411</t>
  </si>
  <si>
    <t>H0000102412</t>
  </si>
  <si>
    <t>H0000102413</t>
  </si>
  <si>
    <t>H0000102414</t>
  </si>
  <si>
    <t>H0000102415</t>
  </si>
  <si>
    <t>H0000102416</t>
  </si>
  <si>
    <t>H0000102417</t>
  </si>
  <si>
    <t>H0000102418</t>
  </si>
  <si>
    <t>H0000102419</t>
  </si>
  <si>
    <t>H0000102420</t>
  </si>
  <si>
    <t>H0000102421</t>
  </si>
  <si>
    <t>H0000102422</t>
  </si>
  <si>
    <t>H0000102423</t>
  </si>
  <si>
    <t>H0000102424</t>
  </si>
  <si>
    <t>H0000102425</t>
  </si>
  <si>
    <t>H0000102426</t>
  </si>
  <si>
    <t>H0000102427</t>
  </si>
  <si>
    <t>H0000102428</t>
  </si>
  <si>
    <t>H0000102429</t>
  </si>
  <si>
    <t>H0000102430</t>
  </si>
  <si>
    <t>H0000102431</t>
  </si>
  <si>
    <t>H0000102432</t>
  </si>
  <si>
    <t>H0000102433</t>
  </si>
  <si>
    <t>H0000102434</t>
  </si>
  <si>
    <t>H0000102435</t>
  </si>
  <si>
    <t>H0000102436</t>
  </si>
  <si>
    <t>H0000102437</t>
  </si>
  <si>
    <t>H0000102438</t>
  </si>
  <si>
    <t>H0000102439</t>
  </si>
  <si>
    <t>H0000102440</t>
  </si>
  <si>
    <t>H0000102441</t>
  </si>
  <si>
    <t>H0000102442</t>
  </si>
  <si>
    <t>H0000102443</t>
  </si>
  <si>
    <t>H0000102444</t>
  </si>
  <si>
    <t>H0000102445</t>
  </si>
  <si>
    <t>H0000102446</t>
  </si>
  <si>
    <t>H0000102447</t>
  </si>
  <si>
    <t>H0000102448</t>
  </si>
  <si>
    <t>H0000102449</t>
  </si>
  <si>
    <t>H0000102450</t>
  </si>
  <si>
    <t>H0000102451</t>
  </si>
  <si>
    <t>H0000102452</t>
  </si>
  <si>
    <t>H0000102453</t>
  </si>
  <si>
    <t>H0000102454</t>
  </si>
  <si>
    <t>H0000102455</t>
  </si>
  <si>
    <t>H0000102456</t>
  </si>
  <si>
    <t>H0000102457</t>
  </si>
  <si>
    <t>H0000102458</t>
  </si>
  <si>
    <t>H0000102459</t>
  </si>
  <si>
    <t>H0000102460</t>
  </si>
  <si>
    <t>H0000102461</t>
  </si>
  <si>
    <t>H0000102462</t>
  </si>
  <si>
    <t>H0000102463</t>
  </si>
  <si>
    <t>H0000102464</t>
  </si>
  <si>
    <t>H0000102465</t>
  </si>
  <si>
    <t>H0000102466</t>
  </si>
  <si>
    <t>H0000102467</t>
  </si>
  <si>
    <t>H0000102468</t>
  </si>
  <si>
    <t>H0000102469</t>
  </si>
  <si>
    <t>H0000102470</t>
  </si>
  <si>
    <t>H0000102471</t>
  </si>
  <si>
    <t>H0000102472</t>
  </si>
  <si>
    <t>H0000102473</t>
  </si>
  <si>
    <t>H0000102474</t>
  </si>
  <si>
    <t>H0000102475</t>
  </si>
  <si>
    <t>H0000102476</t>
  </si>
  <si>
    <t>H0000102477</t>
  </si>
  <si>
    <t>H0000102478</t>
  </si>
  <si>
    <t>H0000102479</t>
  </si>
  <si>
    <t>H0000102480</t>
  </si>
  <si>
    <t>H0000102481</t>
  </si>
  <si>
    <t>H0000102482</t>
  </si>
  <si>
    <t>H0000102483</t>
  </si>
  <si>
    <t>H0000102484</t>
  </si>
  <si>
    <t>H0000102485</t>
  </si>
  <si>
    <t>H0000102486</t>
  </si>
  <si>
    <t>H0000102487</t>
  </si>
  <si>
    <t>H0000102488</t>
  </si>
  <si>
    <t>H0000102489</t>
  </si>
  <si>
    <t>H0000102490</t>
  </si>
  <si>
    <t>H0000102491</t>
  </si>
  <si>
    <t>H0000102492</t>
  </si>
  <si>
    <t>H0000102493</t>
  </si>
  <si>
    <t>H0000102494</t>
  </si>
  <si>
    <t>H0000102495</t>
  </si>
  <si>
    <t>H0000102496</t>
  </si>
  <si>
    <t>H0000102497</t>
  </si>
  <si>
    <t>H0000102498</t>
  </si>
  <si>
    <t>H0000102499</t>
  </si>
  <si>
    <t>H0000102500</t>
  </si>
  <si>
    <t>H0000102501</t>
  </si>
  <si>
    <t>H0000102502</t>
  </si>
  <si>
    <t>H0000102503</t>
  </si>
  <si>
    <t>H0000102504</t>
  </si>
  <si>
    <t>H0000102505</t>
  </si>
  <si>
    <t>H0000102506</t>
  </si>
  <si>
    <t>H0000102507</t>
  </si>
  <si>
    <t>H0000102508</t>
  </si>
  <si>
    <t>H0000102509</t>
  </si>
  <si>
    <t>H0000102510</t>
  </si>
  <si>
    <t>H0000102511</t>
  </si>
  <si>
    <t>H0000102512</t>
  </si>
  <si>
    <t>H0000102513</t>
  </si>
  <si>
    <t>H0000102514</t>
  </si>
  <si>
    <t>H0000102515</t>
  </si>
  <si>
    <t>H0000102516</t>
  </si>
  <si>
    <t>H0000102517</t>
  </si>
  <si>
    <t>H0000102518</t>
  </si>
  <si>
    <t>H0000102519</t>
  </si>
  <si>
    <t>H0000102520</t>
  </si>
  <si>
    <t>H0000102521</t>
  </si>
  <si>
    <t>H0000102522</t>
  </si>
  <si>
    <t>H0000102523</t>
  </si>
  <si>
    <t>H0000102524</t>
  </si>
  <si>
    <t>H0000102525</t>
  </si>
  <si>
    <t>H0000102526</t>
  </si>
  <si>
    <t>H0000102527</t>
  </si>
  <si>
    <t>H0000102528</t>
  </si>
  <si>
    <t>H0000102529</t>
  </si>
  <si>
    <t>H0000102530</t>
  </si>
  <si>
    <t>H0000102531</t>
  </si>
  <si>
    <t>H0000102532</t>
  </si>
  <si>
    <t>H0000102533</t>
  </si>
  <si>
    <t>H0000102534</t>
  </si>
  <si>
    <t>H0000102535</t>
  </si>
  <si>
    <t>H0000102536</t>
  </si>
  <si>
    <t>H0000102537</t>
  </si>
  <si>
    <t>H0000102538</t>
  </si>
  <si>
    <t>H0000102539</t>
  </si>
  <si>
    <t>H0000102540</t>
  </si>
  <si>
    <t>H0000102541</t>
  </si>
  <si>
    <t>H0000102542</t>
  </si>
  <si>
    <t>H0000102543</t>
  </si>
  <si>
    <t>H0000102544</t>
  </si>
  <si>
    <t>H0000102545</t>
  </si>
  <si>
    <t>H0000102546</t>
  </si>
  <si>
    <t>H0000102547</t>
  </si>
  <si>
    <t>H0000102548</t>
  </si>
  <si>
    <t>H0000102549</t>
  </si>
  <si>
    <t>H0000102550</t>
  </si>
  <si>
    <t>H0000102551</t>
  </si>
  <si>
    <t>H0000102552</t>
  </si>
  <si>
    <t>H0000102553</t>
  </si>
  <si>
    <t>H0000102554</t>
  </si>
  <si>
    <t>H0000102555</t>
  </si>
  <si>
    <t>H0000102556</t>
  </si>
  <si>
    <t>H0000102557</t>
  </si>
  <si>
    <t>H0000102558</t>
  </si>
  <si>
    <t>H0000102559</t>
  </si>
  <si>
    <t>H0000102560</t>
  </si>
  <si>
    <t>H0000102561</t>
  </si>
  <si>
    <t>H0000102562</t>
  </si>
  <si>
    <t>H0000102563</t>
  </si>
  <si>
    <t>H0000102564</t>
  </si>
  <si>
    <t>H0000102565</t>
  </si>
  <si>
    <t>H0000102566</t>
  </si>
  <si>
    <t>H0000102567</t>
  </si>
  <si>
    <t>H0000102568</t>
  </si>
  <si>
    <t>H0000102569</t>
  </si>
  <si>
    <t>H0000102570</t>
  </si>
  <si>
    <t>H0000102571</t>
  </si>
  <si>
    <t>H0000102572</t>
  </si>
  <si>
    <t>H0000102573</t>
  </si>
  <si>
    <t>H0000102574</t>
  </si>
  <si>
    <t>H0000102575</t>
  </si>
  <si>
    <t>H0000102576</t>
  </si>
  <si>
    <t>H0000102577</t>
  </si>
  <si>
    <t>H0000102578</t>
  </si>
  <si>
    <t>H0000102579</t>
  </si>
  <si>
    <t>H0000102580</t>
  </si>
  <si>
    <t>H0000102581</t>
  </si>
  <si>
    <t>H0000102582</t>
  </si>
  <si>
    <t>H0000102583</t>
  </si>
  <si>
    <t>H0000102584</t>
  </si>
  <si>
    <t>H0000102585</t>
  </si>
  <si>
    <t>H0000102586</t>
  </si>
  <si>
    <t>H0000102587</t>
  </si>
  <si>
    <t>H0000102588</t>
  </si>
  <si>
    <t>H0000102589</t>
  </si>
  <si>
    <t>H0000102590</t>
  </si>
  <si>
    <t>H0000102591</t>
  </si>
  <si>
    <t>H0000102592</t>
  </si>
  <si>
    <t>H0000102593</t>
  </si>
  <si>
    <t>H0000102594</t>
  </si>
  <si>
    <t>H0000102595</t>
  </si>
  <si>
    <t>H0000102596</t>
  </si>
  <si>
    <t>H0000102597</t>
  </si>
  <si>
    <t>H0000102598</t>
  </si>
  <si>
    <t>H0000102599</t>
  </si>
  <si>
    <t>H0000102600</t>
  </si>
  <si>
    <t>H0000102601</t>
  </si>
  <si>
    <t>H0000102602</t>
  </si>
  <si>
    <t>H0000102603</t>
  </si>
  <si>
    <t>H0000102604</t>
  </si>
  <si>
    <t>H0000102605</t>
  </si>
  <si>
    <t>H0000102606</t>
  </si>
  <si>
    <t>H0000102607</t>
  </si>
  <si>
    <t>H0000102608</t>
  </si>
  <si>
    <t>H0000102609</t>
  </si>
  <si>
    <t>H0000102610</t>
  </si>
  <si>
    <t>H0000102611</t>
  </si>
  <si>
    <t>H0000102612</t>
  </si>
  <si>
    <t>H0000102613</t>
  </si>
  <si>
    <t>H0000102614</t>
  </si>
  <si>
    <t>H0000102615</t>
  </si>
  <si>
    <t>H0000102616</t>
  </si>
  <si>
    <t>H0000102617</t>
  </si>
  <si>
    <t>H0000102618</t>
  </si>
  <si>
    <t>H0000102619</t>
  </si>
  <si>
    <t>H0000102620</t>
  </si>
  <si>
    <t>H0000102621</t>
  </si>
  <si>
    <t>H0000102622</t>
  </si>
  <si>
    <t>H0000102623</t>
  </si>
  <si>
    <t>H0000102624</t>
  </si>
  <si>
    <t>H0000102625</t>
  </si>
  <si>
    <t>H0000102626</t>
  </si>
  <si>
    <t>H0000102627</t>
  </si>
  <si>
    <t>H0000102628</t>
  </si>
  <si>
    <t>H0000102629</t>
  </si>
  <si>
    <t>H0000102630</t>
  </si>
  <si>
    <t>H0000102631</t>
  </si>
  <si>
    <t>H0000102632</t>
  </si>
  <si>
    <t>H0000102633</t>
  </si>
  <si>
    <t>H0000102634</t>
  </si>
  <si>
    <t>H0000102635</t>
  </si>
  <si>
    <t>H0000102636</t>
  </si>
  <si>
    <t>H0000102637</t>
  </si>
  <si>
    <t>H0000102638</t>
  </si>
  <si>
    <t>H0000102639</t>
  </si>
  <si>
    <t>H0000102640</t>
  </si>
  <si>
    <t>H0000102641</t>
  </si>
  <si>
    <t>H0000102642</t>
  </si>
  <si>
    <t>H0000102643</t>
  </si>
  <si>
    <t>H0000102644</t>
  </si>
  <si>
    <t>H0000102645</t>
  </si>
  <si>
    <t>H0000102646</t>
  </si>
  <si>
    <t>H0000102647</t>
  </si>
  <si>
    <t>H0000102648</t>
  </si>
  <si>
    <t>H0000102649</t>
  </si>
  <si>
    <t>H0000102650</t>
  </si>
  <si>
    <t>H0000102651</t>
  </si>
  <si>
    <t>H0000102652</t>
  </si>
  <si>
    <t>H0000102653</t>
  </si>
  <si>
    <t>H0000102654</t>
  </si>
  <si>
    <t>H0000102655</t>
  </si>
  <si>
    <t>H0000102656</t>
  </si>
  <si>
    <t>H0000102657</t>
  </si>
  <si>
    <t>H0000102658</t>
  </si>
  <si>
    <t>H0000102659</t>
  </si>
  <si>
    <t>H0000102660</t>
  </si>
  <si>
    <t>H0000102661</t>
  </si>
  <si>
    <t>H0000102662</t>
  </si>
  <si>
    <t>H0000102663</t>
  </si>
  <si>
    <t>H0000102664</t>
  </si>
  <si>
    <t>H0000102665</t>
  </si>
  <si>
    <t>H0000102666</t>
  </si>
  <si>
    <t>H0000102667</t>
  </si>
  <si>
    <t>H0000102668</t>
  </si>
  <si>
    <t>H0000102669</t>
  </si>
  <si>
    <t>H0000102670</t>
  </si>
  <si>
    <t>H0000102671</t>
  </si>
  <si>
    <t>H0000102672</t>
  </si>
  <si>
    <t>H0000102673</t>
  </si>
  <si>
    <t>H0000102674</t>
  </si>
  <si>
    <t>H0000102675</t>
  </si>
  <si>
    <t>H0000102676</t>
  </si>
  <si>
    <t>H0000102677</t>
  </si>
  <si>
    <t>H0000102678</t>
  </si>
  <si>
    <t>H0000102679</t>
  </si>
  <si>
    <t>H0000102702</t>
  </si>
  <si>
    <t>H0000102703</t>
  </si>
  <si>
    <t>H0000102704</t>
  </si>
  <si>
    <t>H0000102705</t>
  </si>
  <si>
    <t>H0000102706</t>
  </si>
  <si>
    <t>H0000102707</t>
  </si>
  <si>
    <t>H0000102708</t>
  </si>
  <si>
    <t>H0000102709</t>
  </si>
  <si>
    <t>H0000102710</t>
  </si>
  <si>
    <t>H0000102711</t>
  </si>
  <si>
    <t>H0000102712</t>
  </si>
  <si>
    <t>H0000102713</t>
  </si>
  <si>
    <t>H0000102714</t>
  </si>
  <si>
    <t>H0000102715</t>
  </si>
  <si>
    <t>H0000102716</t>
  </si>
  <si>
    <t>H0000102717</t>
  </si>
  <si>
    <t>H0000102718</t>
  </si>
  <si>
    <t>H0000102719</t>
  </si>
  <si>
    <t>H0000102720</t>
  </si>
  <si>
    <t>H0000102721</t>
  </si>
  <si>
    <t>H0000102722</t>
  </si>
  <si>
    <t>H0000102723</t>
  </si>
  <si>
    <t>H0000102724</t>
  </si>
  <si>
    <t>H0000102725</t>
  </si>
  <si>
    <t>H0000102726</t>
  </si>
  <si>
    <t>H0000102727</t>
  </si>
  <si>
    <t>H0000102728</t>
  </si>
  <si>
    <t>H0000102729</t>
  </si>
  <si>
    <t>H0000102730</t>
  </si>
  <si>
    <t>H0000102731</t>
  </si>
  <si>
    <t>H0000102732</t>
  </si>
  <si>
    <t>H0000102733</t>
  </si>
  <si>
    <t>H0000102734</t>
  </si>
  <si>
    <t>H0000102735</t>
  </si>
  <si>
    <t>H0000102736</t>
  </si>
  <si>
    <t>H0000102737</t>
  </si>
  <si>
    <t>H0000102738</t>
  </si>
  <si>
    <t>H0000102739</t>
  </si>
  <si>
    <t>H0000102740</t>
  </si>
  <si>
    <t>H0000102741</t>
  </si>
  <si>
    <t>H0000102742</t>
  </si>
  <si>
    <t>H0000102743</t>
  </si>
  <si>
    <t>H0000102744</t>
  </si>
  <si>
    <t>H0000102745</t>
  </si>
  <si>
    <t>H0000102746</t>
  </si>
  <si>
    <t>H0000102747</t>
  </si>
  <si>
    <t>H0000102748</t>
  </si>
  <si>
    <t>H0000102749</t>
  </si>
  <si>
    <t>H0000102750</t>
  </si>
  <si>
    <t>H0000102751</t>
  </si>
  <si>
    <t>H0000102752</t>
  </si>
  <si>
    <t>H0000102753</t>
  </si>
  <si>
    <t>H0000102754</t>
  </si>
  <si>
    <t>H0000102755</t>
  </si>
  <si>
    <t>H0000102756</t>
  </si>
  <si>
    <t>H0000102757</t>
  </si>
  <si>
    <t>H0000102758</t>
  </si>
  <si>
    <t>H0000102759</t>
  </si>
  <si>
    <t>H0000102760</t>
  </si>
  <si>
    <t>H0000102761</t>
  </si>
  <si>
    <t>H0000102762</t>
  </si>
  <si>
    <t>H0000102763</t>
  </si>
  <si>
    <t>H0000102764</t>
  </si>
  <si>
    <t>H0000102765</t>
  </si>
  <si>
    <t>H0000102766</t>
  </si>
  <si>
    <t>H0000102767</t>
  </si>
  <si>
    <t>H0000102768</t>
  </si>
  <si>
    <t>H0000102769</t>
  </si>
  <si>
    <t>H0000102770</t>
  </si>
  <si>
    <t>H0000102771</t>
  </si>
  <si>
    <t>H0000102772</t>
  </si>
  <si>
    <t>H0000102773</t>
  </si>
  <si>
    <t>H0000102774</t>
  </si>
  <si>
    <t>H0000102775</t>
  </si>
  <si>
    <t>H0000102776</t>
  </si>
  <si>
    <t>H0000102777</t>
  </si>
  <si>
    <t>H0000102778</t>
  </si>
  <si>
    <t>H0000102779</t>
  </si>
  <si>
    <t>H0000102780</t>
  </si>
  <si>
    <t>H0000102781</t>
  </si>
  <si>
    <t>H0000102782</t>
  </si>
  <si>
    <t>H0000102783</t>
  </si>
  <si>
    <t>H0000102784</t>
  </si>
  <si>
    <t>H0000102785</t>
  </si>
  <si>
    <t>H0000102786</t>
  </si>
  <si>
    <t>H0000102787</t>
  </si>
  <si>
    <t>H0000102788</t>
  </si>
  <si>
    <t>H0000102789</t>
  </si>
  <si>
    <t>H0000102790</t>
  </si>
  <si>
    <t>H0000102791</t>
  </si>
  <si>
    <t>H0000102792</t>
  </si>
  <si>
    <t>H0000102793</t>
  </si>
  <si>
    <t>H0000102794</t>
  </si>
  <si>
    <t>H0000102795</t>
  </si>
  <si>
    <t>H0000102796</t>
  </si>
  <si>
    <t>H0000102797</t>
  </si>
  <si>
    <t>H0000102798</t>
  </si>
  <si>
    <t>H0000102799</t>
  </si>
  <si>
    <t>H0000102800</t>
  </si>
  <si>
    <t>H0000102801</t>
  </si>
  <si>
    <t>H0000102802</t>
  </si>
  <si>
    <t>H0000102803</t>
  </si>
  <si>
    <t>H0000102804</t>
  </si>
  <si>
    <t>H0000102805</t>
  </si>
  <si>
    <t>H0000102806</t>
  </si>
  <si>
    <t>H0000102807</t>
  </si>
  <si>
    <t>H0000102808</t>
  </si>
  <si>
    <t>H0000102809</t>
  </si>
  <si>
    <t>H0000102810</t>
  </si>
  <si>
    <t>H0000102811</t>
  </si>
  <si>
    <t>H0000102812</t>
  </si>
  <si>
    <t>H0000102813</t>
  </si>
  <si>
    <t>H0000102814</t>
  </si>
  <si>
    <t>H0000102815</t>
  </si>
  <si>
    <t>H0000102816</t>
  </si>
  <si>
    <t>H0000102817</t>
  </si>
  <si>
    <t>H0000102818</t>
  </si>
  <si>
    <t>H0000102819</t>
  </si>
  <si>
    <t>H0000102820</t>
  </si>
  <si>
    <t>H0000102821</t>
  </si>
  <si>
    <t>H0000102822</t>
  </si>
  <si>
    <t>H0000102823</t>
  </si>
  <si>
    <t>H0000102824</t>
  </si>
  <si>
    <t>H0000102825</t>
  </si>
  <si>
    <t>H0000102826</t>
  </si>
  <si>
    <t>H0000102827</t>
  </si>
  <si>
    <t>H0000102828</t>
  </si>
  <si>
    <t>H0000102829</t>
  </si>
  <si>
    <t>H0000102830</t>
  </si>
  <si>
    <t>H0000102831</t>
  </si>
  <si>
    <t>H0000102832</t>
  </si>
  <si>
    <t>H0000102833</t>
  </si>
  <si>
    <t>H0000102834</t>
  </si>
  <si>
    <t>H0000102835</t>
  </si>
  <si>
    <t>H0000102836</t>
  </si>
  <si>
    <t>H0000102837</t>
  </si>
  <si>
    <t>H0000102838</t>
  </si>
  <si>
    <t>H0000102839</t>
  </si>
  <si>
    <t>H0000102840</t>
  </si>
  <si>
    <t>H0000102841</t>
  </si>
  <si>
    <t>H0000102842</t>
  </si>
  <si>
    <t>H0000102843</t>
  </si>
  <si>
    <t>H0000102844</t>
  </si>
  <si>
    <t>H0000102845</t>
  </si>
  <si>
    <t>H0000102846</t>
  </si>
  <si>
    <t>H0000102847</t>
  </si>
  <si>
    <t>H0000102848</t>
  </si>
  <si>
    <t>H0000102849</t>
  </si>
  <si>
    <t>H0000102850</t>
  </si>
  <si>
    <t>H0000102851</t>
  </si>
  <si>
    <t>H0000102852</t>
  </si>
  <si>
    <t>H0000102853</t>
  </si>
  <si>
    <t>H0000102854</t>
  </si>
  <si>
    <t>H0000102855</t>
  </si>
  <si>
    <t>H0000102856</t>
  </si>
  <si>
    <t>H0000102857</t>
  </si>
  <si>
    <t>H0000102858</t>
  </si>
  <si>
    <t>H0000102859</t>
  </si>
  <si>
    <t>H0000102860</t>
  </si>
  <si>
    <t>H0000102861</t>
  </si>
  <si>
    <t>H0000102862</t>
  </si>
  <si>
    <t>H0000102863</t>
  </si>
  <si>
    <t>H0000102864</t>
  </si>
  <si>
    <t>H0000102865</t>
  </si>
  <si>
    <t>H0000102866</t>
  </si>
  <si>
    <t>H0000102867</t>
  </si>
  <si>
    <t>H0000102868</t>
  </si>
  <si>
    <t>H0000102869</t>
  </si>
  <si>
    <t>H0000102870</t>
  </si>
  <si>
    <t>H0000102871</t>
  </si>
  <si>
    <t>H0000102872</t>
  </si>
  <si>
    <t>H0000102873</t>
  </si>
  <si>
    <t>H0000102874</t>
  </si>
  <si>
    <t>H0000102875</t>
  </si>
  <si>
    <t>H0000102876</t>
  </si>
  <si>
    <t>H0000102877</t>
  </si>
  <si>
    <t>H0000102878</t>
  </si>
  <si>
    <t>H0000102879</t>
  </si>
  <si>
    <t>H0000102880</t>
  </si>
  <si>
    <t>H0000102881</t>
  </si>
  <si>
    <t>H0000102882</t>
  </si>
  <si>
    <t>H0000102883</t>
  </si>
  <si>
    <t>H0000102884</t>
  </si>
  <si>
    <t>H0000102885</t>
  </si>
  <si>
    <t>H0000102886</t>
  </si>
  <si>
    <t>H0000102887</t>
  </si>
  <si>
    <t>H0000102888</t>
  </si>
  <si>
    <t>H0000102889</t>
  </si>
  <si>
    <t>H0000102890</t>
  </si>
  <si>
    <t>H0000102891</t>
  </si>
  <si>
    <t>H0000102892</t>
  </si>
  <si>
    <t>H0000102893</t>
  </si>
  <si>
    <t>H0000102894</t>
  </si>
  <si>
    <t>H0000102895</t>
  </si>
  <si>
    <t>H0000102896</t>
  </si>
  <si>
    <t>H0000102897</t>
  </si>
  <si>
    <t>H0000102898</t>
  </si>
  <si>
    <t>H0000102899</t>
  </si>
  <si>
    <t>H0000102900</t>
  </si>
  <si>
    <t>H0000102901</t>
  </si>
  <si>
    <t>H0000102902</t>
  </si>
  <si>
    <t>H0000102903</t>
  </si>
  <si>
    <t>H0000102904</t>
  </si>
  <si>
    <t>H0000102905</t>
  </si>
  <si>
    <t>H0000102906</t>
  </si>
  <si>
    <t>H0000102907</t>
  </si>
  <si>
    <t>H0000102908</t>
  </si>
  <si>
    <t>H0000102909</t>
  </si>
  <si>
    <t>H0000102910</t>
  </si>
  <si>
    <t>H0000102911</t>
  </si>
  <si>
    <t>H0000102912</t>
  </si>
  <si>
    <t>H0000102913</t>
  </si>
  <si>
    <t>H0000102914</t>
  </si>
  <si>
    <t>H0000102915</t>
  </si>
  <si>
    <t>H0000102916</t>
  </si>
  <si>
    <t>H0000102917</t>
  </si>
  <si>
    <t>H0000102918</t>
  </si>
  <si>
    <t>H0000102919</t>
  </si>
  <si>
    <t>H0000102920</t>
  </si>
  <si>
    <t>H0000102921</t>
  </si>
  <si>
    <t>H0000102922</t>
  </si>
  <si>
    <t>H0000102923</t>
  </si>
  <si>
    <t>H0000102924</t>
  </si>
  <si>
    <t>H0000102925</t>
  </si>
  <si>
    <t>H0000102926</t>
  </si>
  <si>
    <t>H0000102927</t>
  </si>
  <si>
    <t>H0000102928</t>
  </si>
  <si>
    <t>H0000102929</t>
  </si>
  <si>
    <t>H0000102930</t>
  </si>
  <si>
    <t>H0000102931</t>
  </si>
  <si>
    <t>H0000102932</t>
  </si>
  <si>
    <t>H0000102933</t>
  </si>
  <si>
    <t>H0000102934</t>
  </si>
  <si>
    <t>H0000102935</t>
  </si>
  <si>
    <t>H0000102936</t>
  </si>
  <si>
    <t>H0000102937</t>
  </si>
  <si>
    <t>H0000102938</t>
  </si>
  <si>
    <t>H0000102939</t>
  </si>
  <si>
    <t>H0000102940</t>
  </si>
  <si>
    <t>H0000102941</t>
  </si>
  <si>
    <t>H0000102942</t>
  </si>
  <si>
    <t>H0000102943</t>
  </si>
  <si>
    <t>H0000102944</t>
  </si>
  <si>
    <t>H0000102945</t>
  </si>
  <si>
    <t>H0000102946</t>
  </si>
  <si>
    <t>H0000102947</t>
  </si>
  <si>
    <t>H0000102948</t>
  </si>
  <si>
    <t>H0000102949</t>
  </si>
  <si>
    <t>H0000102950</t>
  </si>
  <si>
    <t>H0000102951</t>
  </si>
  <si>
    <t>H0000102952</t>
  </si>
  <si>
    <t>H0000102953</t>
  </si>
  <si>
    <t>H0000102954</t>
  </si>
  <si>
    <t>H0000102955</t>
  </si>
  <si>
    <t>H0000102956</t>
  </si>
  <si>
    <t>H0000102957</t>
  </si>
  <si>
    <t>H0000102958</t>
  </si>
  <si>
    <t>H0000102959</t>
  </si>
  <si>
    <t>H0000102960</t>
  </si>
  <si>
    <t>H0000102961</t>
  </si>
  <si>
    <t>H0000102962</t>
  </si>
  <si>
    <t>H0000102963</t>
  </si>
  <si>
    <t>H0000102964</t>
  </si>
  <si>
    <t>H0000102965</t>
  </si>
  <si>
    <t>H0000102966</t>
  </si>
  <si>
    <t>H0000102967</t>
  </si>
  <si>
    <t>H0000102968</t>
  </si>
  <si>
    <t>H0000102969</t>
  </si>
  <si>
    <t>H0000102970</t>
  </si>
  <si>
    <t>H0000102971</t>
  </si>
  <si>
    <t>H0000102972</t>
  </si>
  <si>
    <t>H0000102973</t>
  </si>
  <si>
    <t>H0000102974</t>
  </si>
  <si>
    <t>H0000102975</t>
  </si>
  <si>
    <t>H0000102976</t>
  </si>
  <si>
    <t>H0000102977</t>
  </si>
  <si>
    <t>H0000102978</t>
  </si>
  <si>
    <t>H0000102979</t>
  </si>
  <si>
    <t>H0000102980</t>
  </si>
  <si>
    <t>H0000102981</t>
  </si>
  <si>
    <t>H0000102982</t>
  </si>
  <si>
    <t>H0000102983</t>
  </si>
  <si>
    <t>H0000102984</t>
  </si>
  <si>
    <t>H0000102985</t>
  </si>
  <si>
    <t>H0000102986</t>
  </si>
  <si>
    <t>H0000102987</t>
  </si>
  <si>
    <t>H0000102988</t>
  </si>
  <si>
    <t>H0000102989</t>
  </si>
  <si>
    <t>H0000102990</t>
  </si>
  <si>
    <t>H0000102991</t>
  </si>
  <si>
    <t>H0000102992</t>
  </si>
  <si>
    <t>H0000102993</t>
  </si>
  <si>
    <t>H0000102994</t>
  </si>
  <si>
    <t>H0000102995</t>
  </si>
  <si>
    <t>H0000102996</t>
  </si>
  <si>
    <t>H0000102997</t>
  </si>
  <si>
    <t>H0000102998</t>
  </si>
  <si>
    <t>H0000102999</t>
  </si>
  <si>
    <t>S-フレーム_LX-10_N_TTTT</t>
  </si>
  <si>
    <t>S-フレーム_LX-10_N_TKTK</t>
  </si>
  <si>
    <t>S-フレーム_LX-10_N_KTKT</t>
  </si>
  <si>
    <t>S-フレーム_LX-10_N_KKKK</t>
  </si>
  <si>
    <t>S-フレーム_LX-10_H_TTTT</t>
  </si>
  <si>
    <t>S-フレーム_LX-10_H_TKTK</t>
  </si>
  <si>
    <t>S-フレーム_LX-10_H_KTKT</t>
  </si>
  <si>
    <t>S-フレーム_LX-10_H_KKKK</t>
  </si>
  <si>
    <t>S-フレーム_ガス溶断_LX-10_N_1234</t>
  </si>
  <si>
    <t>S-フレーム_ガス溶断_LX-10_H_1234</t>
  </si>
  <si>
    <t>S-フレーム_LX-10_U_TTTT</t>
  </si>
  <si>
    <t>S-フレーム_LX-10_U_TKTK</t>
  </si>
  <si>
    <t>S-フレーム_LX-10_U_KTKT</t>
  </si>
  <si>
    <t>S-フレーム_LX-10_U_KKKK</t>
  </si>
  <si>
    <t>スペーサ―_LX-10__W363,H854,T2</t>
  </si>
  <si>
    <t>S-フレーム_ガス溶断_LX-10_U_1234</t>
  </si>
  <si>
    <t>S-フレーム_WX-10_N_TTTT</t>
  </si>
  <si>
    <t>S-フレーム_WX-10_N_TKTK</t>
  </si>
  <si>
    <t>S-フレーム_WX-10_N_KTKT</t>
  </si>
  <si>
    <t>S-フレーム_WX-10_N_KKKK</t>
  </si>
  <si>
    <t>S-フレーム_WX-10_H_TTTT</t>
  </si>
  <si>
    <t>S-フレーム_WX-10_H_TKTK</t>
  </si>
  <si>
    <t>S-フレーム_WX-10_H_KTKT</t>
  </si>
  <si>
    <t>S-フレーム_WX-10_H_KKKK</t>
  </si>
  <si>
    <t>S-フレーム_ガス溶断_WX-10_N_1234</t>
  </si>
  <si>
    <t>S-フレーム_ガス溶断_WX-10_H_1234</t>
  </si>
  <si>
    <t>S-フレーム_WX-10_U_TTTT</t>
  </si>
  <si>
    <t>S-フレーム_WX-10_U_TKTK</t>
  </si>
  <si>
    <t>S-フレーム_WX-10_U_KTKT</t>
  </si>
  <si>
    <t>S-フレーム_WX-10_U_KKKK</t>
  </si>
  <si>
    <t>S-フレーム_ガス溶断_WX-10_U_1234</t>
  </si>
  <si>
    <t>S-フレーム_WX-10_S_TTTT</t>
  </si>
  <si>
    <t>S-フレーム_WX-10_S_TKTK</t>
  </si>
  <si>
    <t>S-フレーム_WX-10_S_KTKT</t>
  </si>
  <si>
    <t>S-フレーム_WX-10_S_KKKK</t>
  </si>
  <si>
    <t>S-フレーム_ガス溶断_WX-10_S_1234</t>
  </si>
  <si>
    <t>S-フレーム_RX-50_N_NNNN</t>
  </si>
  <si>
    <t>S-フレーム_RX-50_N_TTTT</t>
  </si>
  <si>
    <t>S-フレーム_RX-50_N_TKTK</t>
  </si>
  <si>
    <t>S-フレーム_RX-50_N_KTKT</t>
  </si>
  <si>
    <t>S-フレーム_RX-50_N_KKKK</t>
  </si>
  <si>
    <t>S-フレーム_ガス溶断_RX-50_N_1234</t>
  </si>
  <si>
    <t>S-フレーム_RX-50_H_NNNN</t>
  </si>
  <si>
    <t>S-フレーム_RX-50_H_TTTT</t>
  </si>
  <si>
    <t>S-フレーム_RX-50_H_TKTK</t>
  </si>
  <si>
    <t>S-フレーム_RX-50_H_KTKT</t>
  </si>
  <si>
    <t>S-フレーム_RX-50_H_KKKK</t>
  </si>
  <si>
    <t>S-フレーム_ガス溶断_RX-50_H_1234</t>
  </si>
  <si>
    <t>S-フレーム_RX-50_U_TTTT</t>
  </si>
  <si>
    <t>S-フレーム_RX-50_U_TKTK</t>
  </si>
  <si>
    <t>S-フレーム_RX-50_U_KTKT</t>
  </si>
  <si>
    <t>S-フレーム_RX-50_U_KKKK</t>
  </si>
  <si>
    <t>S-フレーム_ガス溶断_RX-50_U_1234</t>
  </si>
  <si>
    <t>S-フレーム_RX-50_S_TTTT</t>
  </si>
  <si>
    <t>S-フレーム_RX-50_S_TKTK</t>
  </si>
  <si>
    <t>S-フレーム_RX-50_S_KTKT</t>
  </si>
  <si>
    <t>S-フレーム_RX-50_S_KKKK</t>
  </si>
  <si>
    <t>S-フレーム_ガス溶断_RX-50_S_1234</t>
  </si>
  <si>
    <t>H0000108339</t>
  </si>
  <si>
    <t>H0000108340</t>
  </si>
  <si>
    <t>H0000108341</t>
  </si>
  <si>
    <t>H0000108342</t>
  </si>
  <si>
    <t>H0000108343</t>
  </si>
  <si>
    <t>H0000108344</t>
  </si>
  <si>
    <t>H0000108345</t>
  </si>
  <si>
    <t>H0000108346</t>
  </si>
  <si>
    <t>H0000108347</t>
  </si>
  <si>
    <t>H0000108348</t>
  </si>
  <si>
    <t>H0000108349</t>
  </si>
  <si>
    <t>H0000108350</t>
  </si>
  <si>
    <t>H0000108351</t>
  </si>
  <si>
    <t>H0000108352</t>
  </si>
  <si>
    <t>H0000108353</t>
  </si>
  <si>
    <t>H0000108354</t>
  </si>
  <si>
    <t>H0000108355</t>
  </si>
  <si>
    <t>H0000108356</t>
  </si>
  <si>
    <t>H0000108357</t>
  </si>
  <si>
    <t>H0000108358</t>
  </si>
  <si>
    <t>H0000108359</t>
  </si>
  <si>
    <t>H0000108360</t>
  </si>
  <si>
    <t>H0000108361</t>
  </si>
  <si>
    <t>H0000108362</t>
  </si>
  <si>
    <t>H0000108363</t>
  </si>
  <si>
    <t>H0000108364</t>
  </si>
  <si>
    <t>H0000108365</t>
  </si>
  <si>
    <t>H0000108366</t>
  </si>
  <si>
    <t>H0000108367</t>
  </si>
  <si>
    <t>H0000108368</t>
  </si>
  <si>
    <t>H0000108369</t>
  </si>
  <si>
    <t>H0000108370</t>
  </si>
  <si>
    <t>H0000108371</t>
  </si>
  <si>
    <t>H0000108372</t>
  </si>
  <si>
    <t>H0000108373</t>
  </si>
  <si>
    <t>H0000108374</t>
  </si>
  <si>
    <t>H0000108375</t>
  </si>
  <si>
    <t>H0000108376</t>
  </si>
  <si>
    <t>H0000108377</t>
  </si>
  <si>
    <t>H0000108378</t>
  </si>
  <si>
    <t>H0000108379</t>
  </si>
  <si>
    <t>H0000108380</t>
  </si>
  <si>
    <t>H0000108381</t>
  </si>
  <si>
    <t>H0000108382</t>
  </si>
  <si>
    <t>H0000108383</t>
  </si>
  <si>
    <t>H0000108384</t>
  </si>
  <si>
    <t>H0000108385</t>
  </si>
  <si>
    <t>H0000108386</t>
  </si>
  <si>
    <t>H0000108387</t>
  </si>
  <si>
    <t>H0000108388</t>
  </si>
  <si>
    <t>H0000108389</t>
  </si>
  <si>
    <t>H0000108390</t>
  </si>
  <si>
    <t>H0000108391</t>
  </si>
  <si>
    <t>H0000108392</t>
  </si>
  <si>
    <t>H0000108393</t>
  </si>
  <si>
    <t>H0000108394</t>
  </si>
  <si>
    <t>H0000108395</t>
  </si>
  <si>
    <t>H0000108396</t>
  </si>
  <si>
    <t>H0000108397</t>
  </si>
  <si>
    <t>H0000108398</t>
  </si>
  <si>
    <t>H0000108399</t>
  </si>
  <si>
    <t>H0000108400</t>
  </si>
  <si>
    <t>H0000108401</t>
  </si>
  <si>
    <t>H0000108402</t>
  </si>
  <si>
    <t>H0000108403</t>
  </si>
  <si>
    <t>H0000108404</t>
  </si>
  <si>
    <t>H0000108405</t>
  </si>
  <si>
    <t>H0000108406</t>
  </si>
  <si>
    <t>H0000108407</t>
  </si>
  <si>
    <t>H0000108408</t>
  </si>
  <si>
    <t>H0000108409</t>
  </si>
  <si>
    <t>H0000108410</t>
  </si>
  <si>
    <t>H0000108411</t>
  </si>
  <si>
    <t>H0000108412</t>
  </si>
  <si>
    <t>H0000108413</t>
  </si>
  <si>
    <t>H0000108414</t>
  </si>
  <si>
    <t>H0000108415</t>
  </si>
  <si>
    <t>H0000108416</t>
  </si>
  <si>
    <t>H0000108417</t>
  </si>
  <si>
    <t>H0000108418</t>
  </si>
  <si>
    <t>H0000108419</t>
  </si>
  <si>
    <t>H0000108420</t>
  </si>
  <si>
    <t>H0000108421</t>
  </si>
  <si>
    <t>H0000108422</t>
  </si>
  <si>
    <t>H0000108423</t>
  </si>
  <si>
    <t>H0000108424</t>
  </si>
  <si>
    <t>H0000108425</t>
  </si>
  <si>
    <t>H0000108426</t>
  </si>
  <si>
    <t>H0000108427</t>
  </si>
  <si>
    <t>H0000108428</t>
  </si>
  <si>
    <t>H0000108429</t>
  </si>
  <si>
    <t>H0000108430</t>
  </si>
  <si>
    <t>H0000108431</t>
  </si>
  <si>
    <t>H0000108432</t>
  </si>
  <si>
    <t>H0000108433</t>
  </si>
  <si>
    <t>H0000108434</t>
  </si>
  <si>
    <t>H0000108435</t>
  </si>
  <si>
    <t>H0000108436</t>
  </si>
  <si>
    <t>H0000108437</t>
  </si>
  <si>
    <t>H0000108438</t>
  </si>
  <si>
    <t>H0000108439</t>
  </si>
  <si>
    <t>H0000108440</t>
  </si>
  <si>
    <t>H0000108441</t>
  </si>
  <si>
    <t>H0000108442</t>
  </si>
  <si>
    <t>H0000108443</t>
  </si>
  <si>
    <t>H0000108444</t>
  </si>
  <si>
    <t>H0000108445</t>
  </si>
  <si>
    <t>H0000108446</t>
  </si>
  <si>
    <t>H0000108447</t>
  </si>
  <si>
    <t>H0000108448</t>
  </si>
  <si>
    <t>H0000108449</t>
  </si>
  <si>
    <t>H0000108450</t>
  </si>
  <si>
    <t>H0000108451</t>
  </si>
  <si>
    <t>H0000108452</t>
  </si>
  <si>
    <t>H0000108453</t>
  </si>
  <si>
    <t>H0000108454</t>
  </si>
  <si>
    <t>H0000108455</t>
  </si>
  <si>
    <t>H0000108456</t>
  </si>
  <si>
    <t>H0000108457</t>
  </si>
  <si>
    <t>H0000108458</t>
  </si>
  <si>
    <t>H0000108459</t>
  </si>
  <si>
    <t>H0000108460</t>
  </si>
  <si>
    <t>H0000108461</t>
  </si>
  <si>
    <t>H0000108462</t>
  </si>
  <si>
    <t>H0000108463</t>
  </si>
  <si>
    <t>H0000108464</t>
  </si>
  <si>
    <t>H0000108465</t>
  </si>
  <si>
    <t>H0000108466</t>
  </si>
  <si>
    <t>H0000108467</t>
  </si>
  <si>
    <t>H0000108468</t>
  </si>
  <si>
    <t>H0000108469</t>
  </si>
  <si>
    <t>H0000108470</t>
  </si>
  <si>
    <t>H0000108471</t>
  </si>
  <si>
    <t>H0000108472</t>
  </si>
  <si>
    <t>H0000108473</t>
  </si>
  <si>
    <t>H0000108474</t>
  </si>
  <si>
    <t>H0000108475</t>
  </si>
  <si>
    <t>H0000108476</t>
  </si>
  <si>
    <t>H0000108477</t>
  </si>
  <si>
    <t>H0000108478</t>
  </si>
  <si>
    <t>H0000108479</t>
  </si>
  <si>
    <t>H0000108480</t>
  </si>
  <si>
    <t>H0000108481</t>
  </si>
  <si>
    <t>H0000108482</t>
  </si>
  <si>
    <t>H0000108483</t>
  </si>
  <si>
    <t>H0000108484</t>
  </si>
  <si>
    <t>H0000108485</t>
  </si>
  <si>
    <t>H0000108486</t>
  </si>
  <si>
    <t>H0000108487</t>
  </si>
  <si>
    <t>H0000108488</t>
  </si>
  <si>
    <t>H0000108489</t>
  </si>
  <si>
    <t>H0000108490</t>
  </si>
  <si>
    <t>H0000108491</t>
  </si>
  <si>
    <t>H0000108492</t>
  </si>
  <si>
    <t>H0000108493</t>
  </si>
  <si>
    <t>H0000108494</t>
  </si>
  <si>
    <t>H0000108495</t>
  </si>
  <si>
    <t>H0000108496</t>
  </si>
  <si>
    <t>H0000108497</t>
  </si>
  <si>
    <t>H0000108498</t>
  </si>
  <si>
    <t>H0000108499</t>
  </si>
  <si>
    <t>H0000108500</t>
  </si>
  <si>
    <t>H0000108501</t>
  </si>
  <si>
    <t>H0000108502</t>
  </si>
  <si>
    <t>H0000108503</t>
  </si>
  <si>
    <t>H0000108504</t>
  </si>
  <si>
    <t>H0000108505</t>
  </si>
  <si>
    <t>H0000108506</t>
  </si>
  <si>
    <t>H0000108507</t>
  </si>
  <si>
    <t>H0000108508</t>
  </si>
  <si>
    <t>H0000108509</t>
  </si>
  <si>
    <t>H0000108510</t>
  </si>
  <si>
    <t>H0000108511</t>
  </si>
  <si>
    <t>H0000108512</t>
  </si>
  <si>
    <t>H0000108513</t>
  </si>
  <si>
    <t>H0000108514</t>
  </si>
  <si>
    <t>H0000108515</t>
  </si>
  <si>
    <t>H0000108516</t>
  </si>
  <si>
    <t>H0000108517</t>
  </si>
  <si>
    <t>H0000108518</t>
  </si>
  <si>
    <t>H0000108519</t>
  </si>
  <si>
    <t>H0000108520</t>
  </si>
  <si>
    <t>H0000108521</t>
  </si>
  <si>
    <t>H0000108522</t>
  </si>
  <si>
    <t>H0000108523</t>
  </si>
  <si>
    <t>H0000108524</t>
  </si>
  <si>
    <t>H0000108525</t>
  </si>
  <si>
    <t>H0000108526</t>
  </si>
  <si>
    <t>H0000108527</t>
  </si>
  <si>
    <t>H0000108528</t>
  </si>
  <si>
    <t>H0000108529</t>
  </si>
  <si>
    <t>H0000108530</t>
  </si>
  <si>
    <t>H0000108531</t>
  </si>
  <si>
    <t>H0000108532</t>
  </si>
  <si>
    <t>H0000108533</t>
  </si>
  <si>
    <t>H0000108534</t>
  </si>
  <si>
    <t>H0000108535</t>
  </si>
  <si>
    <t>H0000108536</t>
  </si>
  <si>
    <t>H0000108537</t>
  </si>
  <si>
    <t>H0000108538</t>
  </si>
  <si>
    <t>H0000108539</t>
  </si>
  <si>
    <t>H0000108540</t>
  </si>
  <si>
    <t>H0000108541</t>
  </si>
  <si>
    <t>H0000108542</t>
  </si>
  <si>
    <t>H0000108543</t>
  </si>
  <si>
    <t>H0000108544</t>
  </si>
  <si>
    <t>H0000108545</t>
  </si>
  <si>
    <t>H0000108546</t>
  </si>
  <si>
    <t>H0000108547</t>
  </si>
  <si>
    <t>H0000108548</t>
  </si>
  <si>
    <t>H0000108549</t>
  </si>
  <si>
    <t>H0000108550</t>
  </si>
  <si>
    <t>H0000108551</t>
  </si>
  <si>
    <t>H0000108552</t>
  </si>
  <si>
    <t>H0000108553</t>
  </si>
  <si>
    <t>H0000108554</t>
  </si>
  <si>
    <t>H0000108555</t>
  </si>
  <si>
    <t>H0000108556</t>
  </si>
  <si>
    <t>H0000108557</t>
  </si>
  <si>
    <t>H0000108558</t>
  </si>
  <si>
    <t>H0000108559</t>
  </si>
  <si>
    <t>H0000108560</t>
  </si>
  <si>
    <t>H0000108561</t>
  </si>
  <si>
    <t>H0000108562</t>
  </si>
  <si>
    <t>H0000108563</t>
  </si>
  <si>
    <t>H0000108564</t>
  </si>
  <si>
    <t>H0000108565</t>
  </si>
  <si>
    <t>H0000108566</t>
  </si>
  <si>
    <t>H0000108567</t>
  </si>
  <si>
    <t>H0000108568</t>
  </si>
  <si>
    <t>H0000108569</t>
  </si>
  <si>
    <t>H0000108570</t>
  </si>
  <si>
    <t>H0000108571</t>
  </si>
  <si>
    <t>H0000108572</t>
  </si>
  <si>
    <t>H0000108573</t>
  </si>
  <si>
    <t>H0000108574</t>
  </si>
  <si>
    <t>H0000108575</t>
  </si>
  <si>
    <t>H0000108576</t>
  </si>
  <si>
    <t>H0000108577</t>
  </si>
  <si>
    <t>H0000108578</t>
  </si>
  <si>
    <t>H0000108579</t>
  </si>
  <si>
    <t>H0000108580</t>
  </si>
  <si>
    <t>H0000108581</t>
  </si>
  <si>
    <t>H0000108582</t>
  </si>
  <si>
    <t>H0000108583</t>
  </si>
  <si>
    <t>H0000108584</t>
  </si>
  <si>
    <t>H0000108585</t>
  </si>
  <si>
    <t>H0000108586</t>
  </si>
  <si>
    <t>H0000108587</t>
  </si>
  <si>
    <t>H0000108588</t>
  </si>
  <si>
    <t>H0000108589</t>
  </si>
  <si>
    <t>H0000108590</t>
  </si>
  <si>
    <t>H0000108591</t>
  </si>
  <si>
    <t>H0000108592</t>
  </si>
  <si>
    <t>H0000108593</t>
  </si>
  <si>
    <t>H0000108594</t>
  </si>
  <si>
    <t>H0000108595</t>
  </si>
  <si>
    <t>H0000108596</t>
  </si>
  <si>
    <t>H0000108597</t>
  </si>
  <si>
    <t>H0000108598</t>
  </si>
  <si>
    <t>H0000108599</t>
  </si>
  <si>
    <t>H0000108600</t>
  </si>
  <si>
    <t>H0000108601</t>
  </si>
  <si>
    <t>H0000108602</t>
  </si>
  <si>
    <t>H0000108603</t>
  </si>
  <si>
    <t>H0000108604</t>
  </si>
  <si>
    <t>H0000108605</t>
  </si>
  <si>
    <t>H0000108606</t>
  </si>
  <si>
    <t>H0000108607</t>
  </si>
  <si>
    <t>H0000108608</t>
  </si>
  <si>
    <t>H0000108609</t>
  </si>
  <si>
    <t>H0000108610</t>
  </si>
  <si>
    <t>H0000108611</t>
  </si>
  <si>
    <t>H0000108612</t>
  </si>
  <si>
    <t>H0000108613</t>
  </si>
  <si>
    <t>H0000108614</t>
  </si>
  <si>
    <t>H0000108615</t>
  </si>
  <si>
    <t>H0000108616</t>
  </si>
  <si>
    <t>H0000108617</t>
  </si>
  <si>
    <t>H0000108618</t>
  </si>
  <si>
    <t>H0000108619</t>
  </si>
  <si>
    <t>H0000108620</t>
  </si>
  <si>
    <t>H0000108621</t>
  </si>
  <si>
    <t>H0000108622</t>
  </si>
  <si>
    <t>H0000108623</t>
  </si>
  <si>
    <t>H0000108624</t>
  </si>
  <si>
    <t>H0000108625</t>
  </si>
  <si>
    <t>H0000108626</t>
  </si>
  <si>
    <t>H0000108627</t>
  </si>
  <si>
    <t>H0000108628</t>
  </si>
  <si>
    <t>H0000108629</t>
  </si>
  <si>
    <t>H0000108630</t>
  </si>
  <si>
    <t>H0000108631</t>
  </si>
  <si>
    <t>H0000108632</t>
  </si>
  <si>
    <t>H0000108633</t>
  </si>
  <si>
    <t>H0000108634</t>
  </si>
  <si>
    <t>H0000108635</t>
  </si>
  <si>
    <t>H0000108636</t>
  </si>
  <si>
    <t>H0000108637</t>
  </si>
  <si>
    <t>H0000108638</t>
  </si>
  <si>
    <t>H0000108639</t>
  </si>
  <si>
    <t>H0000108640</t>
  </si>
  <si>
    <t>H0000108641</t>
  </si>
  <si>
    <t>H0000108642</t>
  </si>
  <si>
    <t>H0000108643</t>
  </si>
  <si>
    <t>H0000108644</t>
  </si>
  <si>
    <t>H0000108645</t>
  </si>
  <si>
    <t>H0000108646</t>
  </si>
  <si>
    <t>H0000108647</t>
  </si>
  <si>
    <t>H0000108648</t>
  </si>
  <si>
    <t>H0000108649</t>
  </si>
  <si>
    <t>H0000108650</t>
  </si>
  <si>
    <t>H0000108651</t>
  </si>
  <si>
    <t>H0000108652</t>
  </si>
  <si>
    <t>H0000108653</t>
  </si>
  <si>
    <t>H0000108654</t>
  </si>
  <si>
    <t>H0000108655</t>
  </si>
  <si>
    <t>H0000108656</t>
  </si>
  <si>
    <t>H0000108657</t>
  </si>
  <si>
    <t>H0000108658</t>
  </si>
  <si>
    <t>H0000108659</t>
  </si>
  <si>
    <t>H0000108660</t>
  </si>
  <si>
    <t>H0000108661</t>
  </si>
  <si>
    <t>H0000108662</t>
  </si>
  <si>
    <t>H0000108663</t>
  </si>
  <si>
    <t>H0000108664</t>
  </si>
  <si>
    <t>H0000108665</t>
  </si>
  <si>
    <t>H0000108666</t>
  </si>
  <si>
    <t>H0000108667</t>
  </si>
  <si>
    <t>H0000108668</t>
  </si>
  <si>
    <t>H0000108669</t>
  </si>
  <si>
    <t>H0000108670</t>
  </si>
  <si>
    <t>H0000108671</t>
  </si>
  <si>
    <t>H0000108672</t>
  </si>
  <si>
    <t>H0000108673</t>
  </si>
  <si>
    <t>H0000108674</t>
  </si>
  <si>
    <t>H0000108675</t>
  </si>
  <si>
    <t>H0000108676</t>
  </si>
  <si>
    <t>H0000108677</t>
  </si>
  <si>
    <t>H0000108678</t>
  </si>
  <si>
    <t>H0000108679</t>
  </si>
  <si>
    <t>H0000108680</t>
  </si>
  <si>
    <t>H0000108681</t>
  </si>
  <si>
    <t>H0000108682</t>
  </si>
  <si>
    <t>H0000108683</t>
  </si>
  <si>
    <t>H0000108684</t>
  </si>
  <si>
    <t>H0000108685</t>
  </si>
  <si>
    <t>H0000108686</t>
  </si>
  <si>
    <t>H0000108687</t>
  </si>
  <si>
    <t>H0000108688</t>
  </si>
  <si>
    <t>H0000108689</t>
  </si>
  <si>
    <t>H0000108690</t>
  </si>
  <si>
    <t>H0000108691</t>
  </si>
  <si>
    <t>H0000108692</t>
  </si>
  <si>
    <t>H0000108693</t>
  </si>
  <si>
    <t>H0000108694</t>
  </si>
  <si>
    <t>H0000108695</t>
  </si>
  <si>
    <t>H0000108696</t>
  </si>
  <si>
    <t>H0000108697</t>
  </si>
  <si>
    <t>H0000108698</t>
  </si>
  <si>
    <t>H0000108699</t>
  </si>
  <si>
    <t>H0000108700</t>
  </si>
  <si>
    <t>H0000108701</t>
  </si>
  <si>
    <t>H0000108702</t>
  </si>
  <si>
    <t>H0000108703</t>
  </si>
  <si>
    <t>H0000108704</t>
  </si>
  <si>
    <t>H0000108705</t>
  </si>
  <si>
    <t>H0000108706</t>
  </si>
  <si>
    <t>H0000108707</t>
  </si>
  <si>
    <t>H0000108708</t>
  </si>
  <si>
    <t>H0000108709</t>
  </si>
  <si>
    <t>H0000108710</t>
  </si>
  <si>
    <t>H0000108711</t>
  </si>
  <si>
    <t>H0000108712</t>
  </si>
  <si>
    <t>H0000108713</t>
  </si>
  <si>
    <t>H0000108714</t>
  </si>
  <si>
    <t>H0000108715</t>
  </si>
  <si>
    <t>H0000108716</t>
  </si>
  <si>
    <t>H0000108717</t>
  </si>
  <si>
    <t>H0000108718</t>
  </si>
  <si>
    <t>H0000108719</t>
  </si>
  <si>
    <t>H0000108720</t>
  </si>
  <si>
    <t>H0000108721</t>
  </si>
  <si>
    <t>H0000108722</t>
  </si>
  <si>
    <t>H0000108723</t>
  </si>
  <si>
    <t>H0000108724</t>
  </si>
  <si>
    <t>H0000108725</t>
  </si>
  <si>
    <t>H0000108726</t>
  </si>
  <si>
    <t>H0000108727</t>
  </si>
  <si>
    <t>H0000108728</t>
  </si>
  <si>
    <t>H0000108729</t>
  </si>
  <si>
    <t>H0000108730</t>
  </si>
  <si>
    <t>H0000108731</t>
  </si>
  <si>
    <t>H0000108732</t>
  </si>
  <si>
    <t>H0000108733</t>
  </si>
  <si>
    <t>H0000108734</t>
  </si>
  <si>
    <t>H0000108735</t>
  </si>
  <si>
    <t>H0000108736</t>
  </si>
  <si>
    <t>H0000108737</t>
  </si>
  <si>
    <t>H0000108738</t>
  </si>
  <si>
    <t>H0000108739</t>
  </si>
  <si>
    <t>H0000108740</t>
  </si>
  <si>
    <t>H0000108741</t>
  </si>
  <si>
    <t>H0000108742</t>
  </si>
  <si>
    <t>H0000108743</t>
  </si>
  <si>
    <t>H0000108744</t>
  </si>
  <si>
    <t>H0000108745</t>
  </si>
  <si>
    <t>H0000108746</t>
  </si>
  <si>
    <t>H0000108747</t>
  </si>
  <si>
    <t>H0000108748</t>
  </si>
  <si>
    <t>H0000108749</t>
  </si>
  <si>
    <t>H0000108750</t>
  </si>
  <si>
    <t>H0000108751</t>
  </si>
  <si>
    <t>H0000108752</t>
  </si>
  <si>
    <t>H0000108753</t>
  </si>
  <si>
    <t>H0000108754</t>
  </si>
  <si>
    <t>H0000108755</t>
  </si>
  <si>
    <t>H0000108756</t>
  </si>
  <si>
    <t>H0000108757</t>
  </si>
  <si>
    <t>H0000108758</t>
  </si>
  <si>
    <t>H0000108759</t>
  </si>
  <si>
    <t>H0000108760</t>
  </si>
  <si>
    <t>H0000108761</t>
  </si>
  <si>
    <t>H0000108762</t>
  </si>
  <si>
    <t>H0000108763</t>
  </si>
  <si>
    <t>H0000108764</t>
  </si>
  <si>
    <t>H0000108765</t>
  </si>
  <si>
    <t>H0000108766</t>
  </si>
  <si>
    <t>H0000108767</t>
  </si>
  <si>
    <t>H0000108768</t>
  </si>
  <si>
    <t>H0000108769</t>
  </si>
  <si>
    <t>H0000108770</t>
  </si>
  <si>
    <t>H0000108771</t>
  </si>
  <si>
    <t>H0000108772</t>
  </si>
  <si>
    <t>H0000108773</t>
  </si>
  <si>
    <t>H0000108774</t>
  </si>
  <si>
    <t>H0000108775</t>
  </si>
  <si>
    <t>H0000108776</t>
  </si>
  <si>
    <t>H0000108777</t>
  </si>
  <si>
    <t>H0000108778</t>
  </si>
  <si>
    <t>H0000108779</t>
  </si>
  <si>
    <t>H0000108780</t>
  </si>
  <si>
    <t>H0000108781</t>
  </si>
  <si>
    <t>H0000108782</t>
  </si>
  <si>
    <t>H0000108783</t>
  </si>
  <si>
    <t>H0000108784</t>
  </si>
  <si>
    <t>H0000108785</t>
  </si>
  <si>
    <t>H0000108786</t>
  </si>
  <si>
    <t>H0000108787</t>
  </si>
  <si>
    <t>H0000108788</t>
  </si>
  <si>
    <t>H0000108789</t>
  </si>
  <si>
    <t>H0000108790</t>
  </si>
  <si>
    <t>H0000108791</t>
  </si>
  <si>
    <t>H0000108792</t>
  </si>
  <si>
    <t>H0000108793</t>
  </si>
  <si>
    <t>H0000108794</t>
  </si>
  <si>
    <t>H0000108795</t>
  </si>
  <si>
    <t>H0000108796</t>
  </si>
  <si>
    <t>H0000108797</t>
  </si>
  <si>
    <t>H0000108798</t>
  </si>
  <si>
    <t>H0000108799</t>
  </si>
  <si>
    <t>H0000108800</t>
  </si>
  <si>
    <t>H0000108801</t>
  </si>
  <si>
    <t>H0000108802</t>
  </si>
  <si>
    <t>H0000108803</t>
  </si>
  <si>
    <t>H0000108804</t>
  </si>
  <si>
    <t>H0000108805</t>
  </si>
  <si>
    <t>H0000108806</t>
  </si>
  <si>
    <t>H0000108807</t>
  </si>
  <si>
    <t>H0000108808</t>
  </si>
  <si>
    <t>H0000108809</t>
  </si>
  <si>
    <t>H0000108810</t>
  </si>
  <si>
    <t>H0000108811</t>
  </si>
  <si>
    <t>H0000108812</t>
  </si>
  <si>
    <t>H0000108813</t>
  </si>
  <si>
    <t>H0000108814</t>
  </si>
  <si>
    <t>H0000108815</t>
  </si>
  <si>
    <t>H0000108816</t>
  </si>
  <si>
    <t>H0000108817</t>
  </si>
  <si>
    <t>H0000108818</t>
  </si>
  <si>
    <t>H0000108819</t>
  </si>
  <si>
    <t>H0000108820</t>
  </si>
  <si>
    <t>H0000108821</t>
  </si>
  <si>
    <t>H0000108822</t>
  </si>
  <si>
    <t>H0000108823</t>
  </si>
  <si>
    <t>H0000108824</t>
  </si>
  <si>
    <t>H0000108825</t>
  </si>
  <si>
    <t>H0000108826</t>
  </si>
  <si>
    <t>H0000108827</t>
  </si>
  <si>
    <t>H0000108828</t>
  </si>
  <si>
    <t>H0000108829</t>
  </si>
  <si>
    <t>H0000108830</t>
  </si>
  <si>
    <t>H0000108831</t>
  </si>
  <si>
    <t>H0000108832</t>
  </si>
  <si>
    <t>H0000108833</t>
  </si>
  <si>
    <t>H0000108834</t>
  </si>
  <si>
    <t>H0000108835</t>
  </si>
  <si>
    <t>H0000108836</t>
  </si>
  <si>
    <t>H0000108837</t>
  </si>
  <si>
    <t>H0000108838</t>
  </si>
  <si>
    <t>H0000108839</t>
  </si>
  <si>
    <t>H0000108840</t>
  </si>
  <si>
    <t>H0000108841</t>
  </si>
  <si>
    <t>H0000108842</t>
  </si>
  <si>
    <t>H0000108843</t>
  </si>
  <si>
    <t>H0000108844</t>
  </si>
  <si>
    <t>H0000108845</t>
  </si>
  <si>
    <t>H0000108846</t>
  </si>
  <si>
    <t>H0000108847</t>
  </si>
  <si>
    <t>H0000108848</t>
  </si>
  <si>
    <t>H0000108849</t>
  </si>
  <si>
    <t>H0000108850</t>
  </si>
  <si>
    <t>H0000108851</t>
  </si>
  <si>
    <t>H0000108852</t>
  </si>
  <si>
    <t>H0000108853</t>
  </si>
  <si>
    <t>H0000108854</t>
  </si>
  <si>
    <t>H0000108855</t>
  </si>
  <si>
    <t>H0000108856</t>
  </si>
  <si>
    <t>H0000108857</t>
  </si>
  <si>
    <t>H0000108858</t>
  </si>
  <si>
    <t>H0000108859</t>
  </si>
  <si>
    <t>H0000108860</t>
  </si>
  <si>
    <t>H0000108861</t>
  </si>
  <si>
    <t>H0000108862</t>
  </si>
  <si>
    <t>H0000108863</t>
  </si>
  <si>
    <t>H0000108864</t>
  </si>
  <si>
    <t>H0000108865</t>
  </si>
  <si>
    <t>H0000108866</t>
  </si>
  <si>
    <t>H0000108867</t>
  </si>
  <si>
    <t>H0000108868</t>
  </si>
  <si>
    <t>H0000108869</t>
  </si>
  <si>
    <t>H0000108870</t>
  </si>
  <si>
    <t>H0000171757</t>
  </si>
  <si>
    <t>H0000171758</t>
  </si>
  <si>
    <t>H0000171759</t>
  </si>
  <si>
    <t>H0000171760</t>
  </si>
  <si>
    <t>H0000171761</t>
  </si>
  <si>
    <t>H0000171762</t>
  </si>
  <si>
    <t>H0000171763</t>
  </si>
  <si>
    <t>H0000171764</t>
  </si>
  <si>
    <t>H0000171765</t>
  </si>
  <si>
    <t>H0000171766</t>
  </si>
  <si>
    <t>H0000171767</t>
  </si>
  <si>
    <t>H0000171768</t>
  </si>
  <si>
    <t>H0000171769</t>
  </si>
  <si>
    <t>H0000171770</t>
  </si>
  <si>
    <t>H0000171771</t>
  </si>
  <si>
    <t>H0000171772</t>
  </si>
  <si>
    <t>H0000171773</t>
  </si>
  <si>
    <t>H0000171774</t>
  </si>
  <si>
    <t>H0000171775</t>
  </si>
  <si>
    <t>H0000171776</t>
  </si>
  <si>
    <t>H0000171777</t>
  </si>
  <si>
    <t>H0000171778</t>
  </si>
  <si>
    <t>H0000171779</t>
  </si>
  <si>
    <t>H0000171780</t>
  </si>
  <si>
    <t>H0000171781</t>
  </si>
  <si>
    <t>H0000171782</t>
  </si>
  <si>
    <t>H0000171783</t>
  </si>
  <si>
    <t>H0000171784</t>
  </si>
  <si>
    <t>H0000171785</t>
  </si>
  <si>
    <t>H0000171786</t>
  </si>
  <si>
    <t>H0000171787</t>
  </si>
  <si>
    <t>H0000171788</t>
  </si>
  <si>
    <t>H0000171789</t>
  </si>
  <si>
    <t>H0000171790</t>
  </si>
  <si>
    <t>H0000171791</t>
  </si>
  <si>
    <t>H0000171792</t>
  </si>
  <si>
    <t>H0000171793</t>
  </si>
  <si>
    <t>H0000171794</t>
  </si>
  <si>
    <t>H0000171795</t>
  </si>
  <si>
    <t>H0000171796</t>
  </si>
  <si>
    <t>H0000171797</t>
  </si>
  <si>
    <t>H0000171798</t>
  </si>
  <si>
    <t>H0000171799</t>
  </si>
  <si>
    <t>H0000171800</t>
  </si>
  <si>
    <t>H0000171801</t>
  </si>
  <si>
    <t>H0000171802</t>
  </si>
  <si>
    <t>H0000171803</t>
  </si>
  <si>
    <t>H0000171804</t>
  </si>
  <si>
    <t>H0000171805</t>
  </si>
  <si>
    <t>S-フレーム_SX-40_N_TTTT</t>
  </si>
  <si>
    <t>S-フレーム_SX-40_N_TKTK</t>
  </si>
  <si>
    <t>S-フレーム_SX-40_N_KTKT</t>
  </si>
  <si>
    <t>S-フレーム_SX-40_N_KKKK</t>
  </si>
  <si>
    <t>S-フレーム_ガス溶断_SX-40_N_1234</t>
  </si>
  <si>
    <t>S-フレーム_SX-40_H_TTTT</t>
  </si>
  <si>
    <t>S-フレーム_SX-40_H_TKTK</t>
  </si>
  <si>
    <t>S-フレーム_SX-40_H_KTKT</t>
  </si>
  <si>
    <t>S-フレーム_SX-40_H_KKKK</t>
  </si>
  <si>
    <t>S-フレーム_ガス溶断_SX-40_H_1234</t>
  </si>
  <si>
    <t>S-フレーム_SX-40_U_TTTT</t>
  </si>
  <si>
    <t>S-フレーム_SX-40_U_TKTK</t>
  </si>
  <si>
    <t>S-フレーム_SX-40_U_KTKT</t>
  </si>
  <si>
    <t>S-フレーム_SX-40_U_KKKK</t>
  </si>
  <si>
    <t>S-フレーム_ガス溶断_SX-40_U_1234</t>
  </si>
  <si>
    <t>S-フレーム_SX-40_S_TTTT</t>
  </si>
  <si>
    <t>S-フレーム_SX-40_S_TKTK</t>
  </si>
  <si>
    <t>S-フレーム_SX-40_S_KTKT</t>
  </si>
  <si>
    <t>S-フレーム_SX-40_S_KKKK</t>
  </si>
  <si>
    <t>S-フレーム_ガス溶断_SX-40_S_1234</t>
  </si>
  <si>
    <t>S-フレーム_WX-50_N_TTTT</t>
  </si>
  <si>
    <t>S-フレーム_WX-50_N_TKTK</t>
  </si>
  <si>
    <t>S-フレーム_WX-50_N_KTKT</t>
  </si>
  <si>
    <t>S-フレーム_WX-50_N_KKKK</t>
  </si>
  <si>
    <t>S-フレーム_ガス溶断_WX-50_N_1234</t>
  </si>
  <si>
    <t>S-フレーム_WX-50_H_TTTT</t>
  </si>
  <si>
    <t>S-フレーム_WX-50_H_TKTK</t>
  </si>
  <si>
    <t>S-フレーム_WX-50_H_KTKT</t>
  </si>
  <si>
    <t>S-フレーム_WX-50_H_KKKK</t>
  </si>
  <si>
    <t>S-フレーム_ガス溶断_WX-50_H_1234</t>
  </si>
  <si>
    <t>S-フレーム_WX-50_U_KKKK</t>
  </si>
  <si>
    <t>S-フレーム_ガス溶断_WX-50_U_1234</t>
  </si>
  <si>
    <t>S-フレーム_WX-50_S_KKKK</t>
  </si>
  <si>
    <t>S-フレーム_ガス溶断_WX-50_S_1234</t>
  </si>
  <si>
    <t>S-フレーム_RX-70_N_NNNN</t>
  </si>
  <si>
    <t>S-フレーム_RX-70_N_TTTT</t>
  </si>
  <si>
    <t>S-フレーム_RX-70_N_TKTK</t>
  </si>
  <si>
    <t>S-フレーム_RX-70_N_KTKT</t>
  </si>
  <si>
    <t>S-フレーム_RX-70_N_KKKK</t>
  </si>
  <si>
    <t>S-フレーム_ガス溶断_RX-70_N_KKKK</t>
  </si>
  <si>
    <t>S-フレーム_ガス溶断_RX-70_N_TTTT</t>
  </si>
  <si>
    <t>S-フレーム_ガス溶断_RX-70_N_TKTK</t>
  </si>
  <si>
    <t>S-フレーム_ガス溶断_RX-70_N_KTKT</t>
  </si>
  <si>
    <t>S-フレーム_RX-70_H_NNNN</t>
  </si>
  <si>
    <t>S-フレーム_RX-70_H_TTTT</t>
  </si>
  <si>
    <t>S-フレーム_RX-70_H_TKTK</t>
  </si>
  <si>
    <t>S-フレーム_RX-70_H_KTKT</t>
  </si>
  <si>
    <t>S-フレーム_RX-70_H_KKKK</t>
  </si>
  <si>
    <t>S-フレーム_ガス溶断_RX-70_H_KKKK</t>
  </si>
  <si>
    <t>S-フレーム_ガス溶断_RX-70_H_TTTT</t>
  </si>
  <si>
    <t>S-フレーム_ガス溶断_RX-70_H_TKTK</t>
  </si>
  <si>
    <t>S-フレーム_ガス溶断_RX-70_H_KTKT</t>
  </si>
  <si>
    <t>H0000173776</t>
  </si>
  <si>
    <t>H0000173777</t>
  </si>
  <si>
    <t>H0000173778</t>
  </si>
  <si>
    <t>H0000173779</t>
  </si>
  <si>
    <t>H0000173780</t>
  </si>
  <si>
    <t>H0000173781</t>
  </si>
  <si>
    <t>H0000173782</t>
  </si>
  <si>
    <t>H0000173783</t>
  </si>
  <si>
    <t>H0000173784</t>
  </si>
  <si>
    <t>H0000173785</t>
  </si>
  <si>
    <t>H0000173786</t>
  </si>
  <si>
    <t>H0000173787</t>
  </si>
  <si>
    <t>H0000173788</t>
  </si>
  <si>
    <t>H0000173789</t>
  </si>
  <si>
    <t>H0000173790</t>
  </si>
  <si>
    <t>H0000173791</t>
  </si>
  <si>
    <t>H0000173792</t>
  </si>
  <si>
    <t>H0000173793</t>
  </si>
  <si>
    <t>H0000173794</t>
  </si>
  <si>
    <t>H0000173795</t>
  </si>
  <si>
    <t>H0000173796</t>
  </si>
  <si>
    <t>H0000173797</t>
  </si>
  <si>
    <t>H0000173798</t>
  </si>
  <si>
    <t>H0000173799</t>
  </si>
  <si>
    <t>H0000173800</t>
  </si>
  <si>
    <t>H0000173801</t>
  </si>
  <si>
    <t>H0000173802</t>
  </si>
  <si>
    <t>H0000173803</t>
  </si>
  <si>
    <t>H0000173804</t>
  </si>
  <si>
    <t>H0000173805</t>
  </si>
  <si>
    <t>H0000173806</t>
  </si>
  <si>
    <t>H0000173807</t>
  </si>
  <si>
    <t>H0000173808</t>
  </si>
  <si>
    <t>H0000173809</t>
  </si>
  <si>
    <t>H0000173810</t>
  </si>
  <si>
    <t>H0000173811</t>
  </si>
  <si>
    <t>H0000173812</t>
  </si>
  <si>
    <t>H0000173813</t>
  </si>
  <si>
    <t>H0000173814</t>
  </si>
  <si>
    <t>H0000173815</t>
  </si>
  <si>
    <t>H0000173816</t>
  </si>
  <si>
    <t>H0000173817</t>
  </si>
  <si>
    <t>H0000173818</t>
  </si>
  <si>
    <t>H0000173819</t>
  </si>
  <si>
    <t>H0000173820</t>
  </si>
  <si>
    <t>H0000173821</t>
  </si>
  <si>
    <t>H0000173822</t>
  </si>
  <si>
    <t>H0000173823</t>
  </si>
  <si>
    <t>H0000173824</t>
  </si>
  <si>
    <t>H0000173825</t>
  </si>
  <si>
    <t>H0000173826</t>
  </si>
  <si>
    <t>H0000173827</t>
  </si>
  <si>
    <t>H0000173828</t>
  </si>
  <si>
    <t>H0000173829</t>
  </si>
  <si>
    <t>H0000173830</t>
  </si>
  <si>
    <t>H0000173831</t>
  </si>
  <si>
    <t>H0000173832</t>
  </si>
  <si>
    <t>H0000173833</t>
  </si>
  <si>
    <t>H0000173834</t>
  </si>
  <si>
    <t>H0000173835</t>
  </si>
  <si>
    <t>H0000173836</t>
  </si>
  <si>
    <t>H0000173837</t>
  </si>
  <si>
    <t>H0000173838</t>
  </si>
  <si>
    <t>H0000173839</t>
  </si>
  <si>
    <t>H0000173840</t>
  </si>
  <si>
    <t>H0000173841</t>
  </si>
  <si>
    <t>H0000173842</t>
  </si>
  <si>
    <t>H0000173843</t>
  </si>
  <si>
    <t>H0000173844</t>
  </si>
  <si>
    <t>H0000173845</t>
  </si>
  <si>
    <t>H0000173846</t>
  </si>
  <si>
    <t>H0000173847</t>
  </si>
  <si>
    <t>H0000173848</t>
  </si>
  <si>
    <t>H0000173849</t>
  </si>
  <si>
    <t>H0000173850</t>
  </si>
  <si>
    <t>H0000173851</t>
  </si>
  <si>
    <t>H0000173852</t>
  </si>
  <si>
    <t>H0000173853</t>
  </si>
  <si>
    <t>H0000173854</t>
  </si>
  <si>
    <t>H0000173855</t>
  </si>
  <si>
    <t>H0000173856</t>
  </si>
  <si>
    <t>H0000173857</t>
  </si>
  <si>
    <t>H0000173858</t>
  </si>
  <si>
    <t>H0000173859</t>
  </si>
  <si>
    <t>H0000173860</t>
  </si>
  <si>
    <t>H0000173861</t>
  </si>
  <si>
    <t>H0000173862</t>
  </si>
  <si>
    <t>H0000173863</t>
  </si>
  <si>
    <t>H0000173864</t>
  </si>
  <si>
    <t>H0000173865</t>
  </si>
  <si>
    <t>H0000173866</t>
  </si>
  <si>
    <t>H0000173867</t>
  </si>
  <si>
    <t>H0000173868</t>
  </si>
  <si>
    <t>H0000173869</t>
  </si>
  <si>
    <t>H0000173870</t>
  </si>
  <si>
    <t>H0000173871</t>
  </si>
  <si>
    <t>H0000173872</t>
  </si>
  <si>
    <t>H0000173873</t>
  </si>
  <si>
    <t>H0000173874</t>
  </si>
  <si>
    <t>H0000173875</t>
  </si>
  <si>
    <t>H0000173876</t>
  </si>
  <si>
    <t>H0000173877</t>
  </si>
  <si>
    <t>H0000173878</t>
  </si>
  <si>
    <t>H0000173879</t>
  </si>
  <si>
    <t>H0000173880</t>
  </si>
  <si>
    <t>H0000173881</t>
  </si>
  <si>
    <t>H0000173882</t>
  </si>
  <si>
    <t>H0000173883</t>
  </si>
  <si>
    <t>H0000173884</t>
  </si>
  <si>
    <t>H0000173885</t>
  </si>
  <si>
    <t>H0000173886</t>
  </si>
  <si>
    <t>H0000173887</t>
  </si>
  <si>
    <t>H0000173888</t>
  </si>
  <si>
    <t>H0000173889</t>
  </si>
  <si>
    <t>H0000173890</t>
  </si>
  <si>
    <t>H0000173891</t>
  </si>
  <si>
    <t>H0000173892</t>
  </si>
  <si>
    <t>H0000173893</t>
  </si>
  <si>
    <t>H0000173894</t>
  </si>
  <si>
    <t>H0000173895</t>
  </si>
  <si>
    <t>H0000173896</t>
  </si>
  <si>
    <t>H0000173897</t>
  </si>
  <si>
    <t>H0000173898</t>
  </si>
  <si>
    <t>H0000173899</t>
  </si>
  <si>
    <t>H0000173900</t>
  </si>
  <si>
    <t>H0000173901</t>
  </si>
  <si>
    <t>H0000173902</t>
  </si>
  <si>
    <t>H0000173903</t>
  </si>
  <si>
    <t>H0000173904</t>
  </si>
  <si>
    <t>H0000173905</t>
  </si>
  <si>
    <t>H0000173906</t>
  </si>
  <si>
    <t>H0000173907</t>
  </si>
  <si>
    <t>H0000173908</t>
  </si>
  <si>
    <t>H0000173909</t>
  </si>
  <si>
    <t>H0000173910</t>
  </si>
  <si>
    <t>H0000173911</t>
  </si>
  <si>
    <t>H0000173912</t>
  </si>
  <si>
    <t>H0000173913</t>
  </si>
  <si>
    <t>H0000173914</t>
  </si>
  <si>
    <t>H0000173915</t>
  </si>
  <si>
    <t>H0000173916</t>
  </si>
  <si>
    <t>H0000173917</t>
  </si>
  <si>
    <t>H0000173918</t>
  </si>
  <si>
    <t>H0000173919</t>
  </si>
  <si>
    <t>H0000173920</t>
  </si>
  <si>
    <t>H0000173921</t>
  </si>
  <si>
    <t>H0000173922</t>
  </si>
  <si>
    <t>H0000173923</t>
  </si>
  <si>
    <t>H0000173924</t>
  </si>
  <si>
    <t>H0000173925</t>
  </si>
  <si>
    <t>H0000173926</t>
  </si>
  <si>
    <t>H0000173927</t>
  </si>
  <si>
    <t>H0000173928</t>
  </si>
  <si>
    <t>H0000173929</t>
  </si>
  <si>
    <t>H0000173930</t>
  </si>
  <si>
    <t>H0000173931</t>
  </si>
  <si>
    <t>H0000173932</t>
  </si>
  <si>
    <t>H0000173933</t>
  </si>
  <si>
    <t>H0000173934</t>
  </si>
  <si>
    <t>H0000173935</t>
  </si>
  <si>
    <t>H0000173936</t>
  </si>
  <si>
    <t>H0000173937</t>
  </si>
  <si>
    <t>H0000173938</t>
  </si>
  <si>
    <t>H0000173939</t>
  </si>
  <si>
    <t>H0000173940</t>
  </si>
  <si>
    <t>H0000173941</t>
  </si>
  <si>
    <t>H0000173942</t>
  </si>
  <si>
    <t>H0000173943</t>
  </si>
  <si>
    <t>H0000173944</t>
  </si>
  <si>
    <t>H0000173945</t>
  </si>
  <si>
    <t>H0000173946</t>
  </si>
  <si>
    <t>H0000173947</t>
  </si>
  <si>
    <t>H0000173948</t>
  </si>
  <si>
    <t>H0000173949</t>
  </si>
  <si>
    <t>H0000173950</t>
  </si>
  <si>
    <t>H0000173951</t>
  </si>
  <si>
    <t>H0000173952</t>
  </si>
  <si>
    <t>H0000173953</t>
  </si>
  <si>
    <t>H0000173954</t>
  </si>
  <si>
    <t>H0000173955</t>
  </si>
  <si>
    <t>H0000173956</t>
  </si>
  <si>
    <t>H0000173957</t>
  </si>
  <si>
    <t>H0000173958</t>
  </si>
  <si>
    <t>H0000173959</t>
  </si>
  <si>
    <t>H0000173960</t>
  </si>
  <si>
    <t>H0000173961</t>
  </si>
  <si>
    <t>H0000173962</t>
  </si>
  <si>
    <t>H0000173963</t>
  </si>
  <si>
    <t>H0000173964</t>
  </si>
  <si>
    <t>H0000173965</t>
  </si>
  <si>
    <t>H0000173966</t>
  </si>
  <si>
    <t>H0000173967</t>
  </si>
  <si>
    <t>H0000173968</t>
  </si>
  <si>
    <t>H0000173969</t>
  </si>
  <si>
    <t>H0000173970</t>
  </si>
  <si>
    <t>H0000173971</t>
  </si>
  <si>
    <t>H0000173972</t>
  </si>
  <si>
    <t>H0000173973</t>
  </si>
  <si>
    <t>H0000173974</t>
  </si>
  <si>
    <t>H0000173975</t>
  </si>
  <si>
    <t>H0000173976</t>
  </si>
  <si>
    <t>H0000173977</t>
  </si>
  <si>
    <t>H0000173978</t>
  </si>
  <si>
    <t>H0000173979</t>
  </si>
  <si>
    <t>H0000173980</t>
  </si>
  <si>
    <t>H0000173981</t>
  </si>
  <si>
    <t>H0000173982</t>
  </si>
  <si>
    <t>H0000173983</t>
  </si>
  <si>
    <t>H0000173984</t>
  </si>
  <si>
    <t>H0000173985</t>
  </si>
  <si>
    <t>H0000173986</t>
  </si>
  <si>
    <t>H0000173987</t>
  </si>
  <si>
    <t>H0000173988</t>
  </si>
  <si>
    <t>H0000173989</t>
  </si>
  <si>
    <t>H0000173990</t>
  </si>
  <si>
    <t>H0000173991</t>
  </si>
  <si>
    <t>H0000173992</t>
  </si>
  <si>
    <t>H0000173993</t>
  </si>
  <si>
    <t>H0000173994</t>
  </si>
  <si>
    <t>H0000173995</t>
  </si>
  <si>
    <t>H0000173996</t>
  </si>
  <si>
    <t>H0000173997</t>
  </si>
  <si>
    <t>H0000173998</t>
  </si>
  <si>
    <t>H0000173999</t>
  </si>
  <si>
    <t>H0000174000</t>
  </si>
  <si>
    <t>H0000174001</t>
  </si>
  <si>
    <t>H0000174002</t>
  </si>
  <si>
    <t>H0000174003</t>
  </si>
  <si>
    <t>H0000174004</t>
  </si>
  <si>
    <t>H0000174005</t>
  </si>
  <si>
    <t>H0000174006</t>
  </si>
  <si>
    <t>H0000174007</t>
  </si>
  <si>
    <t>H0000174008</t>
  </si>
  <si>
    <t>H0000174009</t>
  </si>
  <si>
    <t>H0000174010</t>
  </si>
  <si>
    <t>H0000174011</t>
  </si>
  <si>
    <t>H0000174012</t>
  </si>
  <si>
    <t>H0000174013</t>
  </si>
  <si>
    <t>H0000174014</t>
  </si>
  <si>
    <t>H0000174015</t>
  </si>
  <si>
    <t>H0000174016</t>
  </si>
  <si>
    <t>H0000174017</t>
  </si>
  <si>
    <t>H0000174018</t>
  </si>
  <si>
    <t>H0000174019</t>
  </si>
  <si>
    <t>H0000174020</t>
  </si>
  <si>
    <t>H0000174021</t>
  </si>
  <si>
    <t>H0000174022</t>
  </si>
  <si>
    <t>H0000174023</t>
  </si>
  <si>
    <t>H0000174024</t>
  </si>
  <si>
    <t>H0000174025</t>
  </si>
  <si>
    <t>H0000174026</t>
  </si>
  <si>
    <t>H0000174027</t>
  </si>
  <si>
    <t>H0000174028</t>
  </si>
  <si>
    <t>H0000174029</t>
  </si>
  <si>
    <t>H0000174030</t>
  </si>
  <si>
    <t>H0000174031</t>
  </si>
  <si>
    <t>H0000174032</t>
  </si>
  <si>
    <t>H0000174033</t>
  </si>
  <si>
    <t>H0000174034</t>
  </si>
  <si>
    <t>H0000174035</t>
  </si>
  <si>
    <t>H0000174036</t>
  </si>
  <si>
    <t>H0000174037</t>
  </si>
  <si>
    <t>H0000174038</t>
  </si>
  <si>
    <t>H0000174039</t>
  </si>
  <si>
    <t>H0000174040</t>
  </si>
  <si>
    <t>H0000174041</t>
  </si>
  <si>
    <t>H0000174042</t>
  </si>
  <si>
    <t>H0000174043</t>
  </si>
  <si>
    <t>H0000174044</t>
  </si>
  <si>
    <t>H0000174045</t>
  </si>
  <si>
    <t>H0000174046</t>
  </si>
  <si>
    <t>H0000174047</t>
  </si>
  <si>
    <t>H0000174048</t>
  </si>
  <si>
    <t>H0000174049</t>
  </si>
  <si>
    <t>H0000174050</t>
  </si>
  <si>
    <t>H0000174051</t>
  </si>
  <si>
    <t>H0000174052</t>
  </si>
  <si>
    <t>H0000174053</t>
  </si>
  <si>
    <t>H0000174054</t>
  </si>
  <si>
    <t>H0000174055</t>
  </si>
  <si>
    <t>H0000174056</t>
  </si>
  <si>
    <t>H0000174057</t>
  </si>
  <si>
    <t>H0000174058</t>
  </si>
  <si>
    <t>H0000174059</t>
  </si>
  <si>
    <t>H0000174060</t>
  </si>
  <si>
    <t>H0000174061</t>
  </si>
  <si>
    <t>H0000174062</t>
  </si>
  <si>
    <t>H0000174063</t>
  </si>
  <si>
    <t>H0000174064</t>
  </si>
  <si>
    <t>H0000174065</t>
  </si>
  <si>
    <t>H0000174066</t>
  </si>
  <si>
    <t>H0000174067</t>
  </si>
  <si>
    <t>H0000174068</t>
  </si>
  <si>
    <t>H0000174069</t>
  </si>
  <si>
    <t>H0000174070</t>
  </si>
  <si>
    <t>H0000174071</t>
  </si>
  <si>
    <t>H0000174072</t>
  </si>
  <si>
    <t>H0000174073</t>
  </si>
  <si>
    <t>H0000174074</t>
  </si>
  <si>
    <t>H0000174075</t>
  </si>
  <si>
    <t>H0000174076</t>
  </si>
  <si>
    <t>H0000174077</t>
  </si>
  <si>
    <t>H0000174078</t>
  </si>
  <si>
    <t>H0000174079</t>
  </si>
  <si>
    <t>H0000174080</t>
  </si>
  <si>
    <t>H0000174081</t>
  </si>
  <si>
    <t>H0000174082</t>
  </si>
  <si>
    <t>H0000174083</t>
  </si>
  <si>
    <t>H0000174084</t>
  </si>
  <si>
    <t>H0000174085</t>
  </si>
  <si>
    <t>H0000174086</t>
  </si>
  <si>
    <t>H0000174087</t>
  </si>
  <si>
    <t>H0000174088</t>
  </si>
  <si>
    <t>H0000174089</t>
  </si>
  <si>
    <t>H0000174090</t>
  </si>
  <si>
    <t>H0000174091</t>
  </si>
  <si>
    <t>H0000174092</t>
  </si>
  <si>
    <t>H0000174093</t>
  </si>
  <si>
    <t>H0000174094</t>
  </si>
  <si>
    <t>H0000174095</t>
  </si>
  <si>
    <t>H0000174096</t>
  </si>
  <si>
    <t>H0000174097</t>
  </si>
  <si>
    <t>H0000174098</t>
  </si>
  <si>
    <t>H0000174099</t>
  </si>
  <si>
    <t>H0000174100</t>
  </si>
  <si>
    <t>H0000174101</t>
  </si>
  <si>
    <t>H0000174102</t>
  </si>
  <si>
    <t>H0000174103</t>
  </si>
  <si>
    <t>H0000174104</t>
  </si>
  <si>
    <t>H0000174105</t>
  </si>
  <si>
    <t>H0000174106</t>
  </si>
  <si>
    <t>H0000174107</t>
  </si>
  <si>
    <t>H0000174108</t>
  </si>
  <si>
    <t>H0000174109</t>
  </si>
  <si>
    <t>H0000174110</t>
  </si>
  <si>
    <t>S-フレーム_SX-80S_N_NNNN</t>
  </si>
  <si>
    <t>S-フレーム_SX-80S_N_KKKK</t>
  </si>
  <si>
    <t>S-フレーム_ガス溶断_SX-80S_N_1234</t>
  </si>
  <si>
    <t>リブ_SX-80S_N_W950,H140,T50</t>
  </si>
  <si>
    <t>S-フレーム_SX-80S_H_NNNN</t>
  </si>
  <si>
    <t>S-フレーム_SX-80S_H_KKKK</t>
  </si>
  <si>
    <t>S-フレーム_ガス溶断_SX-80S_H_1234</t>
  </si>
  <si>
    <t>リブ_SX-80S_H_W950,H220,T50</t>
  </si>
  <si>
    <t>S-フレーム_SX-80S_U_KKKK</t>
  </si>
  <si>
    <t>S-フレーム_ガス溶断_SX-80S_U_1234</t>
  </si>
  <si>
    <t>リブ_SX-80S_U_W950,H210,T60</t>
  </si>
  <si>
    <t>S-フレーム_SX-80S_S_KKKK</t>
  </si>
  <si>
    <t>S-フレーム_ガス溶断_SX-80S_S_1234</t>
  </si>
  <si>
    <t>リブ_SX-80S_S_W1090,H250,T60</t>
  </si>
  <si>
    <t>S-フレーム_SX-80M_N_NNNN</t>
  </si>
  <si>
    <t>S-フレーム_SX-80M_N_KKKK</t>
  </si>
  <si>
    <t>S-フレーム_ガス溶断_SX-80M_N_1234</t>
  </si>
  <si>
    <t>リブ_SX-80M_N_W950,H180,T50</t>
  </si>
  <si>
    <t>S-フレーム_SX-80M_H_NNNN</t>
  </si>
  <si>
    <t>S-フレーム_SX-80M_H_KKKK</t>
  </si>
  <si>
    <t>S-フレーム_ガス溶断_SX-80M_H_1234</t>
  </si>
  <si>
    <t>リブ_SX-80M_H_W950,H210,T50</t>
  </si>
  <si>
    <t>S-フレーム_SX-80M_U_KKKK</t>
  </si>
  <si>
    <t>S-フレーム_ガス溶断_SX-80M_U_1234</t>
  </si>
  <si>
    <t>リブ_SX-80M_U_W1090,H230,T60</t>
  </si>
  <si>
    <t>S-フレーム_SX-80M_S_KKKK</t>
  </si>
  <si>
    <t>S-フレーム_ガス溶断_SX-80M_S_1234</t>
  </si>
  <si>
    <t>リブ_SX-80M_S_W1090,H260,T60</t>
  </si>
  <si>
    <t>S-フレーム_SX-80L_N_NNNN</t>
  </si>
  <si>
    <t>S-フレーム_SX-80L_N_KKKK</t>
  </si>
  <si>
    <t>S-フレーム_ガス溶断_SX-80L_N_1234</t>
  </si>
  <si>
    <t>S-フレーム_SX-80L_H_NNNN</t>
  </si>
  <si>
    <t>S-フレーム_SX-80L_H_KKKK</t>
  </si>
  <si>
    <t>S-フレーム_ガス溶断_SX-80L_H_1234</t>
  </si>
  <si>
    <t>リブ_SX-80L_H_W950,H260,T60</t>
  </si>
  <si>
    <t>S-フレーム_SX-80L_U_KKKK</t>
  </si>
  <si>
    <t>S-フレーム_ガス溶断_SX-80L_U_1234</t>
  </si>
  <si>
    <t>S-フレーム_SX-80L_S_KKKK</t>
  </si>
  <si>
    <t>S-フレーム_ガス溶断_SX-80L_S_1234</t>
  </si>
  <si>
    <t>リブ_SX-80L_S_W1090,H260,T70</t>
  </si>
  <si>
    <t>00144</t>
    <phoneticPr fontId="1"/>
  </si>
  <si>
    <t>WP009</t>
    <phoneticPr fontId="1"/>
  </si>
  <si>
    <t>WP010</t>
    <phoneticPr fontId="1"/>
  </si>
  <si>
    <t>04842</t>
    <phoneticPr fontId="1"/>
  </si>
  <si>
    <t>リブ_RX-70_H_W695,H120,T40</t>
    <phoneticPr fontId="1"/>
  </si>
  <si>
    <t>購買単価</t>
    <rPh sb="0" eb="2">
      <t>コウバイ</t>
    </rPh>
    <rPh sb="2" eb="4">
      <t>タンカ</t>
    </rPh>
    <phoneticPr fontId="1"/>
  </si>
  <si>
    <t>加工単価</t>
    <rPh sb="0" eb="2">
      <t>カコウ</t>
    </rPh>
    <rPh sb="2" eb="4">
      <t>タンカ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</si>
</sst>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General;General;"/>
  </numFmts>
  <fonts count="5">
    <font>
      <sz val="11"/>
      <color indexed="8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b/>
      <sz val="9"/>
      <color indexed="81"/>
      <name val="MS P ゴシック"/>
      <family val="3"/>
      <charset val="128"/>
    </font>
    <font>
      <sz val="9"/>
      <color indexed="81"/>
      <name val="MS P ゴシック"/>
      <family val="3"/>
      <charset val="128"/>
    </font>
    <font>
      <sz val="10"/>
      <color indexed="8"/>
      <name val="游ゴシック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176" fontId="0" fillId="0" borderId="0" xfId="0" applyNumberFormat="1">
      <alignment vertical="center"/>
    </xf>
    <xf numFmtId="176" fontId="0" fillId="2" borderId="0" xfId="0" applyNumberForma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177" fontId="0" fillId="0" borderId="0" xfId="0" applyNumberFormat="1">
      <alignment vertical="center"/>
    </xf>
    <xf numFmtId="1" fontId="0" fillId="0" borderId="0" xfId="0" applyNumberFormat="1" applyAlignment="1"/>
    <xf numFmtId="0" fontId="4" fillId="0" borderId="0" xfId="0" applyFont="1">
      <alignment vertical="center"/>
    </xf>
    <xf numFmtId="0" fontId="0" fillId="0" borderId="0" xfId="0" quotePrefix="1">
      <alignment vertical="center"/>
    </xf>
    <xf numFmtId="0" fontId="0" fillId="5" borderId="0" xfId="0" applyFill="1">
      <alignment vertical="center"/>
    </xf>
    <xf numFmtId="177" fontId="0" fillId="5" borderId="0" xfId="0" applyNumberFormat="1" applyFill="1">
      <alignment vertical="center"/>
    </xf>
    <xf numFmtId="0" fontId="0" fillId="6" borderId="0" xfId="0" applyFill="1">
      <alignment vertical="center"/>
    </xf>
    <xf numFmtId="177" fontId="0" fillId="6" borderId="0" xfId="0" applyNumberFormat="1" applyFill="1">
      <alignment vertical="center"/>
    </xf>
    <xf numFmtId="0" fontId="0" fillId="7" borderId="0" xfId="0" applyFill="1">
      <alignment vertical="center"/>
    </xf>
    <xf numFmtId="177" fontId="0" fillId="7" borderId="0" xfId="0" applyNumberFormat="1" applyFill="1">
      <alignment vertical="center"/>
    </xf>
    <xf numFmtId="0" fontId="0" fillId="8" borderId="0" xfId="0" applyFill="1">
      <alignment vertical="center"/>
    </xf>
    <xf numFmtId="177" fontId="0" fillId="8" borderId="0" xfId="0" applyNumberFormat="1" applyFill="1">
      <alignment vertical="center"/>
    </xf>
    <xf numFmtId="49" fontId="0" fillId="0" borderId="0" xfId="0" applyNumberFormat="1">
      <alignment vertical="center"/>
    </xf>
    <xf numFmtId="176" fontId="0" fillId="2" borderId="0" xfId="0" applyNumberFormat="1" applyFill="1" applyAlignment="1">
      <alignment horizontal="center" vertical="center"/>
    </xf>
    <xf numFmtId="0" fontId="0" fillId="7" borderId="0" xfId="0" applyFill="1" applyAlignment="1">
      <alignment horizontal="right" vertical="center"/>
    </xf>
  </cellXfs>
  <cellStyles count="1">
    <cellStyle name="標準" xfId="0" builtinId="0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CCFFCC"/>
      <color rgb="FFCCFFFF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0</xdr:row>
      <xdr:rowOff>139700</xdr:rowOff>
    </xdr:from>
    <xdr:to>
      <xdr:col>2</xdr:col>
      <xdr:colOff>717550</xdr:colOff>
      <xdr:row>0</xdr:row>
      <xdr:rowOff>438150</xdr:rowOff>
    </xdr:to>
    <xdr:sp macro="[0]!PLM品名付与" textlink="">
      <xdr:nvSpPr>
        <xdr:cNvPr id="11" name="四角形: 角度付き 10">
          <a:extLst>
            <a:ext uri="{FF2B5EF4-FFF2-40B4-BE49-F238E27FC236}">
              <a16:creationId xmlns:a16="http://schemas.microsoft.com/office/drawing/2014/main" id="{4FB78149-1EF6-CFA2-F80C-0BA9382D47E5}"/>
            </a:ext>
          </a:extLst>
        </xdr:cNvPr>
        <xdr:cNvSpPr/>
      </xdr:nvSpPr>
      <xdr:spPr>
        <a:xfrm>
          <a:off x="3149600" y="139700"/>
          <a:ext cx="679450" cy="298450"/>
        </a:xfrm>
        <a:prstGeom prst="bevel">
          <a:avLst/>
        </a:prstGeom>
        <a:solidFill>
          <a:srgbClr val="CCFFC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100" kern="1200">
              <a:solidFill>
                <a:sysClr val="windowText" lastClr="000000"/>
              </a:solidFill>
            </a:rPr>
            <a:t>New</a:t>
          </a:r>
          <a:endParaRPr kumimoji="1" lang="ja-JP" altLang="en-US" sz="1100" kern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1898650</xdr:colOff>
      <xdr:row>0</xdr:row>
      <xdr:rowOff>146050</xdr:rowOff>
    </xdr:from>
    <xdr:to>
      <xdr:col>2</xdr:col>
      <xdr:colOff>2578100</xdr:colOff>
      <xdr:row>0</xdr:row>
      <xdr:rowOff>444500</xdr:rowOff>
    </xdr:to>
    <xdr:sp macro="[0]!PLM品名付与Add" textlink="">
      <xdr:nvSpPr>
        <xdr:cNvPr id="12" name="四角形: 角度付き 11">
          <a:extLst>
            <a:ext uri="{FF2B5EF4-FFF2-40B4-BE49-F238E27FC236}">
              <a16:creationId xmlns:a16="http://schemas.microsoft.com/office/drawing/2014/main" id="{301E6788-9D4B-548D-00CD-BEA8A572F405}"/>
            </a:ext>
          </a:extLst>
        </xdr:cNvPr>
        <xdr:cNvSpPr/>
      </xdr:nvSpPr>
      <xdr:spPr>
        <a:xfrm>
          <a:off x="5010150" y="146050"/>
          <a:ext cx="679450" cy="298450"/>
        </a:xfrm>
        <a:prstGeom prst="bevel">
          <a:avLst/>
        </a:prstGeom>
        <a:solidFill>
          <a:srgbClr val="FFFFC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100" kern="1200">
              <a:solidFill>
                <a:sysClr val="windowText" lastClr="000000"/>
              </a:solidFill>
            </a:rPr>
            <a:t>Add</a:t>
          </a:r>
          <a:endParaRPr kumimoji="1" lang="ja-JP" altLang="en-US" sz="1100" kern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28</xdr:col>
      <xdr:colOff>1136650</xdr:colOff>
      <xdr:row>0</xdr:row>
      <xdr:rowOff>0</xdr:rowOff>
    </xdr:from>
    <xdr:to>
      <xdr:col>35</xdr:col>
      <xdr:colOff>31750</xdr:colOff>
      <xdr:row>0</xdr:row>
      <xdr:rowOff>469900</xdr:rowOff>
    </xdr:to>
    <xdr:sp macro="[0]!空白チェック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BE8D1566-8CA8-D8EB-2922-B604C5355E21}"/>
            </a:ext>
          </a:extLst>
        </xdr:cNvPr>
        <xdr:cNvSpPr/>
      </xdr:nvSpPr>
      <xdr:spPr>
        <a:xfrm>
          <a:off x="18510250" y="0"/>
          <a:ext cx="882650" cy="469900"/>
        </a:xfrm>
        <a:prstGeom prst="bevel">
          <a:avLst/>
        </a:prstGeom>
        <a:solidFill>
          <a:srgbClr val="CC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kern="1200">
              <a:solidFill>
                <a:sysClr val="windowText" lastClr="000000"/>
              </a:solidFill>
            </a:rPr>
            <a:t>チェック</a:t>
          </a:r>
        </a:p>
      </xdr:txBody>
    </xdr:sp>
    <xdr:clientData/>
  </xdr:twoCellAnchor>
  <xdr:twoCellAnchor>
    <xdr:from>
      <xdr:col>3</xdr:col>
      <xdr:colOff>31750</xdr:colOff>
      <xdr:row>0</xdr:row>
      <xdr:rowOff>50800</xdr:rowOff>
    </xdr:from>
    <xdr:to>
      <xdr:col>4</xdr:col>
      <xdr:colOff>571500</xdr:colOff>
      <xdr:row>0</xdr:row>
      <xdr:rowOff>425450</xdr:rowOff>
    </xdr:to>
    <xdr:sp macro="[0]!内製品ファイル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8D9D0589-09B0-2739-E0A3-B23666682781}"/>
            </a:ext>
          </a:extLst>
        </xdr:cNvPr>
        <xdr:cNvSpPr/>
      </xdr:nvSpPr>
      <xdr:spPr>
        <a:xfrm>
          <a:off x="4787900" y="50800"/>
          <a:ext cx="1263650" cy="374650"/>
        </a:xfrm>
        <a:prstGeom prst="bevel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 kern="1200">
              <a:solidFill>
                <a:sysClr val="windowText" lastClr="000000"/>
              </a:solidFill>
            </a:rPr>
            <a:t>内製品ファイル</a:t>
          </a:r>
        </a:p>
      </xdr:txBody>
    </xdr:sp>
    <xdr:clientData/>
  </xdr:twoCellAnchor>
  <xdr:twoCellAnchor>
    <xdr:from>
      <xdr:col>4</xdr:col>
      <xdr:colOff>628650</xdr:colOff>
      <xdr:row>0</xdr:row>
      <xdr:rowOff>50800</xdr:rowOff>
    </xdr:from>
    <xdr:to>
      <xdr:col>6</xdr:col>
      <xdr:colOff>1168400</xdr:colOff>
      <xdr:row>0</xdr:row>
      <xdr:rowOff>425450</xdr:rowOff>
    </xdr:to>
    <xdr:sp macro="[0]!外注品ファイル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6CA81825-189F-4C0E-4452-59152DE66F50}"/>
            </a:ext>
          </a:extLst>
        </xdr:cNvPr>
        <xdr:cNvSpPr/>
      </xdr:nvSpPr>
      <xdr:spPr>
        <a:xfrm>
          <a:off x="6108700" y="50800"/>
          <a:ext cx="1263650" cy="374650"/>
        </a:xfrm>
        <a:prstGeom prst="bevel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 kern="1200">
              <a:solidFill>
                <a:sysClr val="windowText" lastClr="000000"/>
              </a:solidFill>
            </a:rPr>
            <a:t>外注品ファイル</a:t>
          </a:r>
        </a:p>
      </xdr:txBody>
    </xdr:sp>
    <xdr:clientData/>
  </xdr:twoCellAnchor>
  <xdr:twoCellAnchor>
    <xdr:from>
      <xdr:col>2</xdr:col>
      <xdr:colOff>2667000</xdr:colOff>
      <xdr:row>0</xdr:row>
      <xdr:rowOff>146050</xdr:rowOff>
    </xdr:from>
    <xdr:to>
      <xdr:col>2</xdr:col>
      <xdr:colOff>3346450</xdr:colOff>
      <xdr:row>0</xdr:row>
      <xdr:rowOff>444500</xdr:rowOff>
    </xdr:to>
    <xdr:sp macro="[0]!サマリ" textlink="">
      <xdr:nvSpPr>
        <xdr:cNvPr id="6" name="四角形: 角度付き 5">
          <a:extLst>
            <a:ext uri="{FF2B5EF4-FFF2-40B4-BE49-F238E27FC236}">
              <a16:creationId xmlns:a16="http://schemas.microsoft.com/office/drawing/2014/main" id="{A87EBCDC-AE04-162B-2DFA-96525E816418}"/>
            </a:ext>
          </a:extLst>
        </xdr:cNvPr>
        <xdr:cNvSpPr/>
      </xdr:nvSpPr>
      <xdr:spPr>
        <a:xfrm>
          <a:off x="5778500" y="146050"/>
          <a:ext cx="679450" cy="298450"/>
        </a:xfrm>
        <a:prstGeom prst="bevel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kern="1200">
              <a:solidFill>
                <a:sysClr val="windowText" lastClr="000000"/>
              </a:solidFill>
            </a:rPr>
            <a:t>サマリ</a:t>
          </a:r>
        </a:p>
      </xdr:txBody>
    </xdr:sp>
    <xdr:clientData/>
  </xdr:twoCellAnchor>
  <xdr:twoCellAnchor>
    <xdr:from>
      <xdr:col>6</xdr:col>
      <xdr:colOff>1219200</xdr:colOff>
      <xdr:row>0</xdr:row>
      <xdr:rowOff>50800</xdr:rowOff>
    </xdr:from>
    <xdr:to>
      <xdr:col>7</xdr:col>
      <xdr:colOff>787400</xdr:colOff>
      <xdr:row>0</xdr:row>
      <xdr:rowOff>425450</xdr:rowOff>
    </xdr:to>
    <xdr:sp macro="[0]!一行複写" textlink="">
      <xdr:nvSpPr>
        <xdr:cNvPr id="7" name="四角形: 角度付き 6">
          <a:extLst>
            <a:ext uri="{FF2B5EF4-FFF2-40B4-BE49-F238E27FC236}">
              <a16:creationId xmlns:a16="http://schemas.microsoft.com/office/drawing/2014/main" id="{FFE376E4-075E-A7B7-D366-E6D37D685DCF}"/>
            </a:ext>
          </a:extLst>
        </xdr:cNvPr>
        <xdr:cNvSpPr/>
      </xdr:nvSpPr>
      <xdr:spPr>
        <a:xfrm>
          <a:off x="7423150" y="50800"/>
          <a:ext cx="958850" cy="374650"/>
        </a:xfrm>
        <a:prstGeom prst="bevel">
          <a:avLst/>
        </a:prstGeom>
        <a:solidFill>
          <a:srgbClr val="FFFFC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 kern="1200">
              <a:solidFill>
                <a:sysClr val="windowText" lastClr="000000"/>
              </a:solidFill>
            </a:rPr>
            <a:t>１行複写</a:t>
          </a:r>
        </a:p>
      </xdr:txBody>
    </xdr:sp>
    <xdr:clientData/>
  </xdr:twoCellAnchor>
  <xdr:twoCellAnchor>
    <xdr:from>
      <xdr:col>10</xdr:col>
      <xdr:colOff>12700</xdr:colOff>
      <xdr:row>0</xdr:row>
      <xdr:rowOff>44450</xdr:rowOff>
    </xdr:from>
    <xdr:to>
      <xdr:col>10</xdr:col>
      <xdr:colOff>1276350</xdr:colOff>
      <xdr:row>0</xdr:row>
      <xdr:rowOff>419100</xdr:rowOff>
    </xdr:to>
    <xdr:sp macro="[0]!指定行複写" textlink="">
      <xdr:nvSpPr>
        <xdr:cNvPr id="8" name="四角形: 角度付き 7">
          <a:extLst>
            <a:ext uri="{FF2B5EF4-FFF2-40B4-BE49-F238E27FC236}">
              <a16:creationId xmlns:a16="http://schemas.microsoft.com/office/drawing/2014/main" id="{FC9987B9-AF0E-4E84-81AB-FA76B956BF36}"/>
            </a:ext>
          </a:extLst>
        </xdr:cNvPr>
        <xdr:cNvSpPr/>
      </xdr:nvSpPr>
      <xdr:spPr>
        <a:xfrm>
          <a:off x="10236200" y="44450"/>
          <a:ext cx="1263650" cy="374650"/>
        </a:xfrm>
        <a:prstGeom prst="bevel">
          <a:avLst/>
        </a:prstGeom>
        <a:solidFill>
          <a:srgbClr val="FFFFC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 kern="1200">
              <a:solidFill>
                <a:sysClr val="windowText" lastClr="000000"/>
              </a:solidFill>
            </a:rPr>
            <a:t>指定行複写</a:t>
          </a:r>
        </a:p>
      </xdr:txBody>
    </xdr:sp>
    <xdr:clientData/>
  </xdr:twoCellAnchor>
  <xdr:twoCellAnchor>
    <xdr:from>
      <xdr:col>1</xdr:col>
      <xdr:colOff>476250</xdr:colOff>
      <xdr:row>0</xdr:row>
      <xdr:rowOff>139700</xdr:rowOff>
    </xdr:from>
    <xdr:to>
      <xdr:col>1</xdr:col>
      <xdr:colOff>1155700</xdr:colOff>
      <xdr:row>0</xdr:row>
      <xdr:rowOff>438150</xdr:rowOff>
    </xdr:to>
    <xdr:sp macro="[0]!Filecopy" textlink="">
      <xdr:nvSpPr>
        <xdr:cNvPr id="9" name="四角形: 角度付き 8">
          <a:extLst>
            <a:ext uri="{FF2B5EF4-FFF2-40B4-BE49-F238E27FC236}">
              <a16:creationId xmlns:a16="http://schemas.microsoft.com/office/drawing/2014/main" id="{1818FA25-9653-4D12-8452-7AADC2AD09D4}"/>
            </a:ext>
          </a:extLst>
        </xdr:cNvPr>
        <xdr:cNvSpPr/>
      </xdr:nvSpPr>
      <xdr:spPr>
        <a:xfrm>
          <a:off x="2266950" y="139700"/>
          <a:ext cx="679450" cy="298450"/>
        </a:xfrm>
        <a:prstGeom prst="bevel">
          <a:avLst/>
        </a:prstGeom>
        <a:solidFill>
          <a:srgbClr val="CCFFC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100" kern="1200">
              <a:solidFill>
                <a:sysClr val="windowText" lastClr="000000"/>
              </a:solidFill>
            </a:rPr>
            <a:t>FileCP</a:t>
          </a:r>
          <a:endParaRPr kumimoji="1" lang="ja-JP" altLang="en-US" sz="1100" kern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1682750</xdr:colOff>
      <xdr:row>0</xdr:row>
      <xdr:rowOff>0</xdr:rowOff>
    </xdr:from>
    <xdr:to>
      <xdr:col>3</xdr:col>
      <xdr:colOff>50800</xdr:colOff>
      <xdr:row>0</xdr:row>
      <xdr:rowOff>482600</xdr:rowOff>
    </xdr:to>
    <xdr:sp macro="" textlink="">
      <xdr:nvSpPr>
        <xdr:cNvPr id="5" name="四角形: 角度付き 4">
          <a:extLst>
            <a:ext uri="{FF2B5EF4-FFF2-40B4-BE49-F238E27FC236}">
              <a16:creationId xmlns:a16="http://schemas.microsoft.com/office/drawing/2014/main" id="{1197C2C3-98C2-04E8-3B9A-24F3F010D0E5}"/>
            </a:ext>
          </a:extLst>
        </xdr:cNvPr>
        <xdr:cNvSpPr/>
      </xdr:nvSpPr>
      <xdr:spPr>
        <a:xfrm>
          <a:off x="1682750" y="0"/>
          <a:ext cx="4914900" cy="4826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1297214</xdr:colOff>
      <xdr:row>1397</xdr:row>
      <xdr:rowOff>208643</xdr:rowOff>
    </xdr:from>
    <xdr:to>
      <xdr:col>2</xdr:col>
      <xdr:colOff>2966357</xdr:colOff>
      <xdr:row>1399</xdr:row>
      <xdr:rowOff>172357</xdr:rowOff>
    </xdr:to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E5E582DF-D67D-AFE7-564F-41EE5DE7DE31}"/>
            </a:ext>
          </a:extLst>
        </xdr:cNvPr>
        <xdr:cNvSpPr txBox="1"/>
      </xdr:nvSpPr>
      <xdr:spPr>
        <a:xfrm>
          <a:off x="4408714" y="979714"/>
          <a:ext cx="1669143" cy="41728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フレーム型式</a:t>
          </a:r>
          <a:r>
            <a:rPr kumimoji="1" lang="en-US" altLang="ja-JP" sz="1100"/>
            <a:t>N</a:t>
          </a:r>
          <a:r>
            <a:rPr kumimoji="1" lang="ja-JP" altLang="en-US" sz="1100"/>
            <a:t>→</a:t>
          </a:r>
          <a:r>
            <a:rPr kumimoji="1" lang="en-US" altLang="ja-JP" sz="1100"/>
            <a:t>H</a:t>
          </a:r>
          <a:endParaRPr kumimoji="1" lang="ja-JP" alt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S:\HERP\01_&#12522;&#12503;&#12521;&#12531;\002_&#26989;&#21209;&#35201;&#20214;&#23450;&#32681;&#65288;ToBe&#65289;\02_PLM_Obbligato\02_BOM\02_&#26908;&#35342;&#36039;&#26009;\E-BOM&#12510;&#12473;&#12479;&#12540;\00_&#12510;&#12473;&#12479;&#20316;&#26989;&#29992;\&#21697;&#30446;&#35443;&#32048;\&#21697;&#30446;&#36039;&#26009;\&#12522;&#12495;1\model_S&#12501;&#12524;&#12540;&#12512;_S-Frame.xlsx" TargetMode="External"/><Relationship Id="rId1" Type="http://schemas.openxmlformats.org/officeDocument/2006/relationships/externalLinkPath" Target="/HERP/01_&#12522;&#12503;&#12521;&#12531;/002_&#26989;&#21209;&#35201;&#20214;&#23450;&#32681;&#65288;ToBe&#65289;/02_PLM_Obbligato/02_BOM/02_&#26908;&#35342;&#36039;&#26009;/E-BOM&#12510;&#12473;&#12479;&#12540;/00_&#12510;&#12473;&#12479;&#20316;&#26989;&#29992;/&#21697;&#30446;&#35443;&#32048;/&#21697;&#30446;&#36039;&#26009;/&#12522;&#12495;1/model_S&#12501;&#12524;&#12540;&#12512;_S-Fram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odel_S-フレーム"/>
      <sheetName val="削除履歴"/>
      <sheetName val="PLMマスター"/>
      <sheetName val="model_S-フレーム(DACAPO_20241209連携)"/>
      <sheetName val="DACAPOマスター"/>
    </sheetNames>
    <sheetDataSet>
      <sheetData sheetId="0">
        <row r="5">
          <cell r="F5" t="str">
            <v>H0000006401</v>
          </cell>
          <cell r="I5" t="str">
            <v>フレーム</v>
          </cell>
          <cell r="J5" t="str">
            <v>S-Frame_RX-10_N_NNNN</v>
          </cell>
          <cell r="K5" t="str">
            <v>S-フレーム_RX-10_N_NNNN</v>
          </cell>
          <cell r="L5" t="str">
            <v>S-Frame</v>
          </cell>
          <cell r="M5" t="str">
            <v>S-フレーム</v>
          </cell>
          <cell r="P5" t="str">
            <v>31B0</v>
          </cell>
          <cell r="Q5" t="str">
            <v>SS400</v>
          </cell>
          <cell r="R5" t="str">
            <v>E354421_01</v>
          </cell>
          <cell r="S5">
            <v>108</v>
          </cell>
          <cell r="T5" t="str">
            <v>標準</v>
          </cell>
        </row>
        <row r="6">
          <cell r="F6" t="str">
            <v>H0000006402</v>
          </cell>
          <cell r="I6" t="str">
            <v>フレーム</v>
          </cell>
          <cell r="J6" t="str">
            <v>S-Frame_RX-10_N_TTTT</v>
          </cell>
          <cell r="K6" t="str">
            <v>S-フレーム_RX-10_N_TTTT</v>
          </cell>
          <cell r="L6" t="str">
            <v>S-Frame</v>
          </cell>
          <cell r="M6" t="str">
            <v>S-フレーム</v>
          </cell>
          <cell r="P6" t="str">
            <v>31B0</v>
          </cell>
          <cell r="Q6" t="str">
            <v>SS400</v>
          </cell>
          <cell r="R6" t="str">
            <v>E354421_01</v>
          </cell>
          <cell r="S6">
            <v>108</v>
          </cell>
          <cell r="T6" t="str">
            <v>標準</v>
          </cell>
        </row>
        <row r="7">
          <cell r="F7" t="str">
            <v>H0000006403</v>
          </cell>
          <cell r="I7" t="str">
            <v>フレーム</v>
          </cell>
          <cell r="J7" t="str">
            <v>S-Frame_RX-10_N_KKKK</v>
          </cell>
          <cell r="K7" t="str">
            <v>S-フレーム_RX-10_N_KKKK</v>
          </cell>
          <cell r="L7" t="str">
            <v>S-Frame</v>
          </cell>
          <cell r="M7" t="str">
            <v>S-フレーム</v>
          </cell>
          <cell r="P7" t="str">
            <v>31B0</v>
          </cell>
          <cell r="Q7" t="str">
            <v>SS400</v>
          </cell>
          <cell r="R7" t="str">
            <v>E354421_01</v>
          </cell>
          <cell r="S7">
            <v>108</v>
          </cell>
          <cell r="T7" t="str">
            <v>標準</v>
          </cell>
        </row>
        <row r="8">
          <cell r="F8" t="str">
            <v>H0000006404</v>
          </cell>
          <cell r="I8" t="str">
            <v>フレーム</v>
          </cell>
          <cell r="J8" t="str">
            <v>S-Frame_RX-10_N_TKTK</v>
          </cell>
          <cell r="K8" t="str">
            <v>S-フレーム_RX-10_N_TKTK</v>
          </cell>
          <cell r="L8" t="str">
            <v>S-Frame</v>
          </cell>
          <cell r="M8" t="str">
            <v>S-フレーム</v>
          </cell>
          <cell r="P8" t="str">
            <v>31B0</v>
          </cell>
          <cell r="Q8" t="str">
            <v>SS400</v>
          </cell>
          <cell r="R8" t="str">
            <v>E354421_01</v>
          </cell>
          <cell r="S8">
            <v>108</v>
          </cell>
          <cell r="T8" t="str">
            <v>標準</v>
          </cell>
        </row>
        <row r="9">
          <cell r="F9" t="str">
            <v>H0000006405</v>
          </cell>
          <cell r="I9" t="str">
            <v>フレーム</v>
          </cell>
          <cell r="J9" t="str">
            <v>S-Frame_RX-10_N_KTKT</v>
          </cell>
          <cell r="K9" t="str">
            <v>S-フレーム_RX-10_N_KTKT</v>
          </cell>
          <cell r="L9" t="str">
            <v>S-Frame</v>
          </cell>
          <cell r="M9" t="str">
            <v>S-フレーム</v>
          </cell>
          <cell r="P9" t="str">
            <v>31B0</v>
          </cell>
          <cell r="Q9" t="str">
            <v>SS400</v>
          </cell>
          <cell r="R9" t="str">
            <v>E354421_01</v>
          </cell>
          <cell r="S9">
            <v>108</v>
          </cell>
          <cell r="T9" t="str">
            <v>標準</v>
          </cell>
        </row>
        <row r="10">
          <cell r="F10" t="str">
            <v>H0000006406</v>
          </cell>
          <cell r="I10" t="str">
            <v>フレーム</v>
          </cell>
          <cell r="J10" t="str">
            <v>S-Frame_RX-10_N_NNNN</v>
          </cell>
          <cell r="K10" t="str">
            <v>S-フレーム_RX-10_N_NNNN</v>
          </cell>
          <cell r="L10" t="str">
            <v>S-Frame</v>
          </cell>
          <cell r="M10" t="str">
            <v>S-フレーム</v>
          </cell>
          <cell r="P10" t="str">
            <v>31B0</v>
          </cell>
          <cell r="Q10" t="str">
            <v>SS400</v>
          </cell>
          <cell r="R10" t="str">
            <v>E354421_01</v>
          </cell>
          <cell r="S10">
            <v>108</v>
          </cell>
          <cell r="T10" t="str">
            <v>標準</v>
          </cell>
        </row>
        <row r="11">
          <cell r="F11" t="str">
            <v>H0000006407</v>
          </cell>
          <cell r="I11" t="str">
            <v>フレーム</v>
          </cell>
          <cell r="J11" t="str">
            <v>S-Frame_RX-10_N_TTTT</v>
          </cell>
          <cell r="K11" t="str">
            <v>S-フレーム_RX-10_N_TTTT</v>
          </cell>
          <cell r="L11" t="str">
            <v>S-Frame</v>
          </cell>
          <cell r="M11" t="str">
            <v>S-フレーム</v>
          </cell>
          <cell r="P11" t="str">
            <v>31B0</v>
          </cell>
          <cell r="Q11" t="str">
            <v>SS400</v>
          </cell>
          <cell r="R11" t="str">
            <v>E354421_01</v>
          </cell>
          <cell r="S11">
            <v>108</v>
          </cell>
          <cell r="T11" t="str">
            <v>標準</v>
          </cell>
        </row>
        <row r="12">
          <cell r="F12" t="str">
            <v>H0000006408</v>
          </cell>
          <cell r="I12" t="str">
            <v>フレーム</v>
          </cell>
          <cell r="J12" t="str">
            <v>S-Frame_RX-10_N_KKKK</v>
          </cell>
          <cell r="K12" t="str">
            <v>S-フレーム_RX-10_N_KKKK</v>
          </cell>
          <cell r="L12" t="str">
            <v>S-Frame</v>
          </cell>
          <cell r="M12" t="str">
            <v>S-フレーム</v>
          </cell>
          <cell r="P12" t="str">
            <v>31B0</v>
          </cell>
          <cell r="Q12" t="str">
            <v>SS400</v>
          </cell>
          <cell r="R12" t="str">
            <v>E354421_01</v>
          </cell>
          <cell r="S12">
            <v>108</v>
          </cell>
          <cell r="T12" t="str">
            <v>標準</v>
          </cell>
        </row>
        <row r="13">
          <cell r="F13" t="str">
            <v>H0000006409</v>
          </cell>
          <cell r="I13" t="str">
            <v>フレーム</v>
          </cell>
          <cell r="J13" t="str">
            <v>S-Frame_RX-10_N_TKTK</v>
          </cell>
          <cell r="K13" t="str">
            <v>S-フレーム_RX-10_N_TKTK</v>
          </cell>
          <cell r="L13" t="str">
            <v>S-Frame</v>
          </cell>
          <cell r="M13" t="str">
            <v>S-フレーム</v>
          </cell>
          <cell r="P13" t="str">
            <v>31B0</v>
          </cell>
          <cell r="Q13" t="str">
            <v>SS400</v>
          </cell>
          <cell r="R13" t="str">
            <v>E354421_01</v>
          </cell>
          <cell r="S13">
            <v>108</v>
          </cell>
          <cell r="T13" t="str">
            <v>標準</v>
          </cell>
        </row>
        <row r="14">
          <cell r="F14" t="str">
            <v>H0000006410</v>
          </cell>
          <cell r="I14" t="str">
            <v>フレーム</v>
          </cell>
          <cell r="J14" t="str">
            <v>S-Frame_RX-10_N_KTKT</v>
          </cell>
          <cell r="K14" t="str">
            <v>S-フレーム_RX-10_N_KTKT</v>
          </cell>
          <cell r="L14" t="str">
            <v>S-Frame</v>
          </cell>
          <cell r="M14" t="str">
            <v>S-フレーム</v>
          </cell>
          <cell r="P14" t="str">
            <v>31B0</v>
          </cell>
          <cell r="Q14" t="str">
            <v>SS400</v>
          </cell>
          <cell r="R14" t="str">
            <v>E354421_01</v>
          </cell>
          <cell r="S14">
            <v>108</v>
          </cell>
          <cell r="T14" t="str">
            <v>標準</v>
          </cell>
        </row>
        <row r="15">
          <cell r="F15" t="str">
            <v>H0000006416</v>
          </cell>
          <cell r="I15" t="str">
            <v>フレーム</v>
          </cell>
          <cell r="J15" t="str">
            <v>S-Frame_RX-10_N_NNNN</v>
          </cell>
          <cell r="K15" t="str">
            <v>S-フレーム_RX-10_N_NNNN</v>
          </cell>
          <cell r="L15" t="str">
            <v>S-Frame</v>
          </cell>
          <cell r="M15" t="str">
            <v>S-フレーム</v>
          </cell>
          <cell r="P15" t="str">
            <v>31B0</v>
          </cell>
          <cell r="Q15" t="str">
            <v>SS400</v>
          </cell>
          <cell r="R15" t="str">
            <v>E354421_01</v>
          </cell>
          <cell r="S15">
            <v>108</v>
          </cell>
          <cell r="T15" t="str">
            <v>標準</v>
          </cell>
        </row>
        <row r="16">
          <cell r="F16" t="str">
            <v>H0000006417</v>
          </cell>
          <cell r="I16" t="str">
            <v>フレーム</v>
          </cell>
          <cell r="J16" t="str">
            <v>S-Frame_RX-10_N_TTTT</v>
          </cell>
          <cell r="K16" t="str">
            <v>S-フレーム_RX-10_N_TTTT</v>
          </cell>
          <cell r="L16" t="str">
            <v>S-Frame</v>
          </cell>
          <cell r="M16" t="str">
            <v>S-フレーム</v>
          </cell>
          <cell r="P16" t="str">
            <v>31B0</v>
          </cell>
          <cell r="Q16" t="str">
            <v>SS400</v>
          </cell>
          <cell r="R16" t="str">
            <v>E354421_01</v>
          </cell>
          <cell r="S16">
            <v>108</v>
          </cell>
          <cell r="T16" t="str">
            <v>標準</v>
          </cell>
        </row>
        <row r="17">
          <cell r="F17" t="str">
            <v>H0000006418</v>
          </cell>
          <cell r="I17" t="str">
            <v>フレーム</v>
          </cell>
          <cell r="J17" t="str">
            <v>S-Frame_RX-10_N_KKKK</v>
          </cell>
          <cell r="K17" t="str">
            <v>S-フレーム_RX-10_N_KKKK</v>
          </cell>
          <cell r="L17" t="str">
            <v>S-Frame</v>
          </cell>
          <cell r="M17" t="str">
            <v>S-フレーム</v>
          </cell>
          <cell r="P17" t="str">
            <v>31B0</v>
          </cell>
          <cell r="Q17" t="str">
            <v>SS400</v>
          </cell>
          <cell r="R17" t="str">
            <v>E354421_01</v>
          </cell>
          <cell r="S17">
            <v>108</v>
          </cell>
          <cell r="T17" t="str">
            <v>標準</v>
          </cell>
        </row>
        <row r="18">
          <cell r="F18" t="str">
            <v>H0000006419</v>
          </cell>
          <cell r="I18" t="str">
            <v>フレーム</v>
          </cell>
          <cell r="J18" t="str">
            <v>S-Frame_RX-10_N_TKTK</v>
          </cell>
          <cell r="K18" t="str">
            <v>S-フレーム_RX-10_N_TKTK</v>
          </cell>
          <cell r="L18" t="str">
            <v>S-Frame</v>
          </cell>
          <cell r="M18" t="str">
            <v>S-フレーム</v>
          </cell>
          <cell r="P18" t="str">
            <v>31B0</v>
          </cell>
          <cell r="Q18" t="str">
            <v>SS400</v>
          </cell>
          <cell r="R18" t="str">
            <v>E354421_01</v>
          </cell>
          <cell r="S18">
            <v>108</v>
          </cell>
          <cell r="T18" t="str">
            <v>標準</v>
          </cell>
        </row>
        <row r="19">
          <cell r="F19" t="str">
            <v>H0000006420</v>
          </cell>
          <cell r="I19" t="str">
            <v>フレーム</v>
          </cell>
          <cell r="J19" t="str">
            <v>S-Frame_RX-10_N_KTKT</v>
          </cell>
          <cell r="K19" t="str">
            <v>S-フレーム_RX-10_N_KTKT</v>
          </cell>
          <cell r="L19" t="str">
            <v>S-Frame</v>
          </cell>
          <cell r="M19" t="str">
            <v>S-フレーム</v>
          </cell>
          <cell r="P19" t="str">
            <v>31B0</v>
          </cell>
          <cell r="Q19" t="str">
            <v>SS400</v>
          </cell>
          <cell r="R19" t="str">
            <v>E354421_01</v>
          </cell>
          <cell r="S19">
            <v>108</v>
          </cell>
          <cell r="T19" t="str">
            <v>標準</v>
          </cell>
        </row>
        <row r="20">
          <cell r="F20" t="str">
            <v>H0000006436</v>
          </cell>
          <cell r="I20" t="str">
            <v>フレーム</v>
          </cell>
          <cell r="J20" t="str">
            <v>S-Frame_RX-10_N_NNNN</v>
          </cell>
          <cell r="K20" t="str">
            <v>S-フレーム_RX-10_N_NNNN</v>
          </cell>
          <cell r="L20" t="str">
            <v>S-Frame</v>
          </cell>
          <cell r="M20" t="str">
            <v>S-フレーム</v>
          </cell>
          <cell r="P20" t="str">
            <v>31B0</v>
          </cell>
          <cell r="Q20" t="str">
            <v>SS400</v>
          </cell>
          <cell r="R20" t="str">
            <v>E354421_01</v>
          </cell>
          <cell r="S20">
            <v>108</v>
          </cell>
          <cell r="T20" t="str">
            <v>標準</v>
          </cell>
        </row>
        <row r="21">
          <cell r="F21" t="str">
            <v>H0000006437</v>
          </cell>
          <cell r="I21" t="str">
            <v>フレーム</v>
          </cell>
          <cell r="J21" t="str">
            <v>S-Frame_RX-10_N_TTTT</v>
          </cell>
          <cell r="K21" t="str">
            <v>S-フレーム_RX-10_N_TTTT</v>
          </cell>
          <cell r="L21" t="str">
            <v>S-Frame</v>
          </cell>
          <cell r="M21" t="str">
            <v>S-フレーム</v>
          </cell>
          <cell r="P21" t="str">
            <v>31B0</v>
          </cell>
          <cell r="Q21" t="str">
            <v>SS400</v>
          </cell>
          <cell r="R21" t="str">
            <v>E354421_01</v>
          </cell>
          <cell r="S21">
            <v>108</v>
          </cell>
          <cell r="T21" t="str">
            <v>標準</v>
          </cell>
        </row>
        <row r="22">
          <cell r="F22" t="str">
            <v>H0000006438</v>
          </cell>
          <cell r="I22" t="str">
            <v>フレーム</v>
          </cell>
          <cell r="J22" t="str">
            <v>S-Frame_RX-10_N_KKKK</v>
          </cell>
          <cell r="K22" t="str">
            <v>S-フレーム_RX-10_N_KKKK</v>
          </cell>
          <cell r="L22" t="str">
            <v>S-Frame</v>
          </cell>
          <cell r="M22" t="str">
            <v>S-フレーム</v>
          </cell>
          <cell r="P22" t="str">
            <v>31B0</v>
          </cell>
          <cell r="Q22" t="str">
            <v>SS400</v>
          </cell>
          <cell r="R22" t="str">
            <v>E354421_01</v>
          </cell>
          <cell r="S22">
            <v>108</v>
          </cell>
          <cell r="T22" t="str">
            <v>標準</v>
          </cell>
        </row>
        <row r="23">
          <cell r="F23" t="str">
            <v>H0000006439</v>
          </cell>
          <cell r="I23" t="str">
            <v>フレーム</v>
          </cell>
          <cell r="J23" t="str">
            <v>S-Frame_RX-10_N_TKTK</v>
          </cell>
          <cell r="K23" t="str">
            <v>S-フレーム_RX-10_N_TKTK</v>
          </cell>
          <cell r="L23" t="str">
            <v>S-Frame</v>
          </cell>
          <cell r="M23" t="str">
            <v>S-フレーム</v>
          </cell>
          <cell r="P23" t="str">
            <v>31B0</v>
          </cell>
          <cell r="Q23" t="str">
            <v>SS400</v>
          </cell>
          <cell r="R23" t="str">
            <v>E354421_01</v>
          </cell>
          <cell r="S23">
            <v>108</v>
          </cell>
          <cell r="T23" t="str">
            <v>標準</v>
          </cell>
        </row>
        <row r="24">
          <cell r="F24" t="str">
            <v>H0000006440</v>
          </cell>
          <cell r="I24" t="str">
            <v>フレーム</v>
          </cell>
          <cell r="J24" t="str">
            <v>S-Frame_RX-10_N_KTKT</v>
          </cell>
          <cell r="K24" t="str">
            <v>S-フレーム_RX-10_N_KTKT</v>
          </cell>
          <cell r="L24" t="str">
            <v>S-Frame</v>
          </cell>
          <cell r="M24" t="str">
            <v>S-フレーム</v>
          </cell>
          <cell r="P24" t="str">
            <v>31B0</v>
          </cell>
          <cell r="Q24" t="str">
            <v>SS400</v>
          </cell>
          <cell r="R24" t="str">
            <v>E354421_01</v>
          </cell>
          <cell r="S24">
            <v>108</v>
          </cell>
          <cell r="T24" t="str">
            <v>標準</v>
          </cell>
        </row>
        <row r="25">
          <cell r="F25" t="str">
            <v>H0000006446</v>
          </cell>
          <cell r="I25" t="str">
            <v>フレーム</v>
          </cell>
          <cell r="J25" t="str">
            <v>S-Frame_RX-10_N_NNNN</v>
          </cell>
          <cell r="K25" t="str">
            <v>S-フレーム_RX-10_N_NNNN</v>
          </cell>
          <cell r="L25" t="str">
            <v>S-Frame</v>
          </cell>
          <cell r="M25" t="str">
            <v>S-フレーム</v>
          </cell>
          <cell r="P25" t="str">
            <v>31B0</v>
          </cell>
          <cell r="Q25" t="str">
            <v>SS400</v>
          </cell>
          <cell r="R25" t="str">
            <v>E354421_01</v>
          </cell>
          <cell r="S25">
            <v>108</v>
          </cell>
          <cell r="T25" t="str">
            <v>標準</v>
          </cell>
        </row>
        <row r="26">
          <cell r="F26" t="str">
            <v>H0000006447</v>
          </cell>
          <cell r="I26" t="str">
            <v>フレーム</v>
          </cell>
          <cell r="J26" t="str">
            <v>S-Frame_RX-10_N_TTTT</v>
          </cell>
          <cell r="K26" t="str">
            <v>S-フレーム_RX-10_N_TTTT</v>
          </cell>
          <cell r="L26" t="str">
            <v>S-Frame</v>
          </cell>
          <cell r="M26" t="str">
            <v>S-フレーム</v>
          </cell>
          <cell r="P26" t="str">
            <v>31B0</v>
          </cell>
          <cell r="Q26" t="str">
            <v>SS400</v>
          </cell>
          <cell r="R26" t="str">
            <v>E354421_01</v>
          </cell>
          <cell r="S26">
            <v>108</v>
          </cell>
          <cell r="T26" t="str">
            <v>標準</v>
          </cell>
        </row>
        <row r="27">
          <cell r="F27" t="str">
            <v>H0000006448</v>
          </cell>
          <cell r="I27" t="str">
            <v>フレーム</v>
          </cell>
          <cell r="J27" t="str">
            <v>S-Frame_RX-10_N_KKKK</v>
          </cell>
          <cell r="K27" t="str">
            <v>S-フレーム_RX-10_N_KKKK</v>
          </cell>
          <cell r="L27" t="str">
            <v>S-Frame</v>
          </cell>
          <cell r="M27" t="str">
            <v>S-フレーム</v>
          </cell>
          <cell r="P27" t="str">
            <v>31B0</v>
          </cell>
          <cell r="Q27" t="str">
            <v>SS400</v>
          </cell>
          <cell r="R27" t="str">
            <v>E354421_01</v>
          </cell>
          <cell r="S27">
            <v>108</v>
          </cell>
          <cell r="T27" t="str">
            <v>標準</v>
          </cell>
        </row>
        <row r="28">
          <cell r="F28" t="str">
            <v>H0000006449</v>
          </cell>
          <cell r="I28" t="str">
            <v>フレーム</v>
          </cell>
          <cell r="J28" t="str">
            <v>S-Frame_RX-10_N_TKTK</v>
          </cell>
          <cell r="K28" t="str">
            <v>S-フレーム_RX-10_N_TKTK</v>
          </cell>
          <cell r="L28" t="str">
            <v>S-Frame</v>
          </cell>
          <cell r="M28" t="str">
            <v>S-フレーム</v>
          </cell>
          <cell r="P28" t="str">
            <v>31B0</v>
          </cell>
          <cell r="Q28" t="str">
            <v>SS400</v>
          </cell>
          <cell r="R28" t="str">
            <v>E354421_01</v>
          </cell>
          <cell r="S28">
            <v>108</v>
          </cell>
          <cell r="T28" t="str">
            <v>標準</v>
          </cell>
        </row>
        <row r="29">
          <cell r="F29" t="str">
            <v>H0000006450</v>
          </cell>
          <cell r="I29" t="str">
            <v>フレーム</v>
          </cell>
          <cell r="J29" t="str">
            <v>S-Frame_RX-10_N_KTKT</v>
          </cell>
          <cell r="K29" t="str">
            <v>S-フレーム_RX-10_N_KTKT</v>
          </cell>
          <cell r="L29" t="str">
            <v>S-Frame</v>
          </cell>
          <cell r="M29" t="str">
            <v>S-フレーム</v>
          </cell>
          <cell r="P29" t="str">
            <v>31B0</v>
          </cell>
          <cell r="Q29" t="str">
            <v>SS400</v>
          </cell>
          <cell r="R29" t="str">
            <v>E354421_01</v>
          </cell>
          <cell r="S29">
            <v>108</v>
          </cell>
          <cell r="T29" t="str">
            <v>標準</v>
          </cell>
        </row>
        <row r="30">
          <cell r="F30" t="str">
            <v>H0000006451</v>
          </cell>
          <cell r="I30" t="str">
            <v>フレーム</v>
          </cell>
          <cell r="J30" t="str">
            <v>S-Frame_RX-10_N_NNNN</v>
          </cell>
          <cell r="K30" t="str">
            <v>S-フレーム_RX-10_N_NNNN</v>
          </cell>
          <cell r="L30" t="str">
            <v>S-Frame</v>
          </cell>
          <cell r="M30" t="str">
            <v>S-フレーム</v>
          </cell>
          <cell r="P30" t="str">
            <v>31B0</v>
          </cell>
          <cell r="Q30" t="str">
            <v>SS400</v>
          </cell>
          <cell r="R30" t="str">
            <v>E354421_01</v>
          </cell>
          <cell r="S30">
            <v>108</v>
          </cell>
          <cell r="T30" t="str">
            <v>標準</v>
          </cell>
        </row>
        <row r="31">
          <cell r="F31" t="str">
            <v>H0000006452</v>
          </cell>
          <cell r="I31" t="str">
            <v>フレーム</v>
          </cell>
          <cell r="J31" t="str">
            <v>S-Frame_RX-10_N_TTTT</v>
          </cell>
          <cell r="K31" t="str">
            <v>S-フレーム_RX-10_N_TTTT</v>
          </cell>
          <cell r="L31" t="str">
            <v>S-Frame</v>
          </cell>
          <cell r="M31" t="str">
            <v>S-フレーム</v>
          </cell>
          <cell r="P31" t="str">
            <v>31B0</v>
          </cell>
          <cell r="Q31" t="str">
            <v>SS400</v>
          </cell>
          <cell r="R31" t="str">
            <v>E354421_01</v>
          </cell>
          <cell r="S31">
            <v>108</v>
          </cell>
          <cell r="T31" t="str">
            <v>標準</v>
          </cell>
        </row>
        <row r="32">
          <cell r="F32" t="str">
            <v>H0000006453</v>
          </cell>
          <cell r="I32" t="str">
            <v>フレーム</v>
          </cell>
          <cell r="J32" t="str">
            <v>S-Frame_RX-10_N_KKKK</v>
          </cell>
          <cell r="K32" t="str">
            <v>S-フレーム_RX-10_N_KKKK</v>
          </cell>
          <cell r="L32" t="str">
            <v>S-Frame</v>
          </cell>
          <cell r="M32" t="str">
            <v>S-フレーム</v>
          </cell>
          <cell r="P32" t="str">
            <v>31B0</v>
          </cell>
          <cell r="Q32" t="str">
            <v>SS400</v>
          </cell>
          <cell r="R32" t="str">
            <v>E354421_01</v>
          </cell>
          <cell r="S32">
            <v>108</v>
          </cell>
          <cell r="T32" t="str">
            <v>標準</v>
          </cell>
        </row>
        <row r="33">
          <cell r="F33" t="str">
            <v>H0000006454</v>
          </cell>
          <cell r="I33" t="str">
            <v>フレーム</v>
          </cell>
          <cell r="J33" t="str">
            <v>S-Frame_RX-10_N_TKTK</v>
          </cell>
          <cell r="K33" t="str">
            <v>S-フレーム_RX-10_N_TKTK</v>
          </cell>
          <cell r="L33" t="str">
            <v>S-Frame</v>
          </cell>
          <cell r="M33" t="str">
            <v>S-フレーム</v>
          </cell>
          <cell r="P33" t="str">
            <v>31B0</v>
          </cell>
          <cell r="Q33" t="str">
            <v>SS400</v>
          </cell>
          <cell r="R33" t="str">
            <v>E354421_01</v>
          </cell>
          <cell r="S33">
            <v>108</v>
          </cell>
          <cell r="T33" t="str">
            <v>標準</v>
          </cell>
        </row>
        <row r="34">
          <cell r="F34" t="str">
            <v>H0000006455</v>
          </cell>
          <cell r="I34" t="str">
            <v>フレーム</v>
          </cell>
          <cell r="J34" t="str">
            <v>S-Frame_RX-10_N_KTKT</v>
          </cell>
          <cell r="K34" t="str">
            <v>S-フレーム_RX-10_N_KTKT</v>
          </cell>
          <cell r="L34" t="str">
            <v>S-Frame</v>
          </cell>
          <cell r="M34" t="str">
            <v>S-フレーム</v>
          </cell>
          <cell r="P34" t="str">
            <v>31B0</v>
          </cell>
          <cell r="Q34" t="str">
            <v>SS400</v>
          </cell>
          <cell r="R34" t="str">
            <v>E354421_01</v>
          </cell>
          <cell r="S34">
            <v>108</v>
          </cell>
          <cell r="T34" t="str">
            <v>標準</v>
          </cell>
        </row>
        <row r="35">
          <cell r="F35" t="str">
            <v>H0000006461</v>
          </cell>
          <cell r="I35" t="str">
            <v>フレーム</v>
          </cell>
          <cell r="J35" t="str">
            <v>S-Frame_RX-10_N_NNNN</v>
          </cell>
          <cell r="K35" t="str">
            <v>S-フレーム_RX-10_N_NNNN</v>
          </cell>
          <cell r="L35" t="str">
            <v>S-Frame</v>
          </cell>
          <cell r="M35" t="str">
            <v>S-フレーム</v>
          </cell>
          <cell r="P35" t="str">
            <v>31B0</v>
          </cell>
          <cell r="Q35" t="str">
            <v>SS400</v>
          </cell>
          <cell r="R35" t="str">
            <v>E354421_01</v>
          </cell>
          <cell r="S35">
            <v>108</v>
          </cell>
          <cell r="T35" t="str">
            <v>標準</v>
          </cell>
        </row>
        <row r="36">
          <cell r="F36" t="str">
            <v>H0000006462</v>
          </cell>
          <cell r="I36" t="str">
            <v>フレーム</v>
          </cell>
          <cell r="J36" t="str">
            <v>S-Frame_RX-10_N_TTTT</v>
          </cell>
          <cell r="K36" t="str">
            <v>S-フレーム_RX-10_N_TTTT</v>
          </cell>
          <cell r="L36" t="str">
            <v>S-Frame</v>
          </cell>
          <cell r="M36" t="str">
            <v>S-フレーム</v>
          </cell>
          <cell r="P36" t="str">
            <v>31B0</v>
          </cell>
          <cell r="Q36" t="str">
            <v>SS400</v>
          </cell>
          <cell r="R36" t="str">
            <v>E354421_01</v>
          </cell>
          <cell r="S36">
            <v>108</v>
          </cell>
          <cell r="T36" t="str">
            <v>標準</v>
          </cell>
        </row>
        <row r="37">
          <cell r="F37" t="str">
            <v>H0000006463</v>
          </cell>
          <cell r="I37" t="str">
            <v>フレーム</v>
          </cell>
          <cell r="J37" t="str">
            <v>S-Frame_RX-10_N_KKKK</v>
          </cell>
          <cell r="K37" t="str">
            <v>S-フレーム_RX-10_N_KKKK</v>
          </cell>
          <cell r="L37" t="str">
            <v>S-Frame</v>
          </cell>
          <cell r="M37" t="str">
            <v>S-フレーム</v>
          </cell>
          <cell r="P37" t="str">
            <v>31B0</v>
          </cell>
          <cell r="Q37" t="str">
            <v>SS400</v>
          </cell>
          <cell r="R37" t="str">
            <v>E354421_01</v>
          </cell>
          <cell r="S37">
            <v>108</v>
          </cell>
          <cell r="T37" t="str">
            <v>標準</v>
          </cell>
        </row>
        <row r="38">
          <cell r="F38" t="str">
            <v>H0000006464</v>
          </cell>
          <cell r="I38" t="str">
            <v>フレーム</v>
          </cell>
          <cell r="J38" t="str">
            <v>S-Frame_RX-10_N_TKTK</v>
          </cell>
          <cell r="K38" t="str">
            <v>S-フレーム_RX-10_N_TKTK</v>
          </cell>
          <cell r="L38" t="str">
            <v>S-Frame</v>
          </cell>
          <cell r="M38" t="str">
            <v>S-フレーム</v>
          </cell>
          <cell r="P38" t="str">
            <v>31B0</v>
          </cell>
          <cell r="Q38" t="str">
            <v>SS400</v>
          </cell>
          <cell r="R38" t="str">
            <v>E354421_01</v>
          </cell>
          <cell r="S38">
            <v>108</v>
          </cell>
          <cell r="T38" t="str">
            <v>標準</v>
          </cell>
        </row>
        <row r="39">
          <cell r="F39" t="str">
            <v>H0000006465</v>
          </cell>
          <cell r="I39" t="str">
            <v>フレーム</v>
          </cell>
          <cell r="J39" t="str">
            <v>S-Frame_RX-10_N_KTKT</v>
          </cell>
          <cell r="K39" t="str">
            <v>S-フレーム_RX-10_N_KTKT</v>
          </cell>
          <cell r="L39" t="str">
            <v>S-Frame</v>
          </cell>
          <cell r="M39" t="str">
            <v>S-フレーム</v>
          </cell>
          <cell r="P39" t="str">
            <v>31B0</v>
          </cell>
          <cell r="Q39" t="str">
            <v>SS400</v>
          </cell>
          <cell r="R39" t="str">
            <v>E354421_01</v>
          </cell>
          <cell r="S39">
            <v>108</v>
          </cell>
          <cell r="T39" t="str">
            <v>標準</v>
          </cell>
        </row>
        <row r="40">
          <cell r="F40" t="str">
            <v>H0000006481</v>
          </cell>
          <cell r="I40" t="str">
            <v>フレーム</v>
          </cell>
          <cell r="J40" t="str">
            <v>S-Frame_RX-10_N_NNNN</v>
          </cell>
          <cell r="K40" t="str">
            <v>S-フレーム_RX-10_N_NNNN</v>
          </cell>
          <cell r="L40" t="str">
            <v>S-Frame</v>
          </cell>
          <cell r="M40" t="str">
            <v>S-フレーム</v>
          </cell>
          <cell r="P40" t="str">
            <v>31B0</v>
          </cell>
          <cell r="Q40" t="str">
            <v>SS400</v>
          </cell>
          <cell r="R40" t="str">
            <v>E354421_01</v>
          </cell>
          <cell r="S40">
            <v>108</v>
          </cell>
          <cell r="T40" t="str">
            <v>標準</v>
          </cell>
        </row>
        <row r="41">
          <cell r="F41" t="str">
            <v>H0000006482</v>
          </cell>
          <cell r="I41" t="str">
            <v>フレーム</v>
          </cell>
          <cell r="J41" t="str">
            <v>S-Frame_RX-10_N_TTTT</v>
          </cell>
          <cell r="K41" t="str">
            <v>S-フレーム_RX-10_N_TTTT</v>
          </cell>
          <cell r="L41" t="str">
            <v>S-Frame</v>
          </cell>
          <cell r="M41" t="str">
            <v>S-フレーム</v>
          </cell>
          <cell r="P41" t="str">
            <v>31B0</v>
          </cell>
          <cell r="Q41" t="str">
            <v>SS400</v>
          </cell>
          <cell r="R41" t="str">
            <v>E354421_01</v>
          </cell>
          <cell r="S41">
            <v>108</v>
          </cell>
          <cell r="T41" t="str">
            <v>標準</v>
          </cell>
        </row>
        <row r="42">
          <cell r="F42" t="str">
            <v>H0000006483</v>
          </cell>
          <cell r="I42" t="str">
            <v>フレーム</v>
          </cell>
          <cell r="J42" t="str">
            <v>S-Frame_RX-10_N_KKKK</v>
          </cell>
          <cell r="K42" t="str">
            <v>S-フレーム_RX-10_N_KKKK</v>
          </cell>
          <cell r="L42" t="str">
            <v>S-Frame</v>
          </cell>
          <cell r="M42" t="str">
            <v>S-フレーム</v>
          </cell>
          <cell r="P42" t="str">
            <v>31B0</v>
          </cell>
          <cell r="Q42" t="str">
            <v>SS400</v>
          </cell>
          <cell r="R42" t="str">
            <v>E354421_01</v>
          </cell>
          <cell r="S42">
            <v>108</v>
          </cell>
          <cell r="T42" t="str">
            <v>標準</v>
          </cell>
        </row>
        <row r="43">
          <cell r="F43" t="str">
            <v>H0000006484</v>
          </cell>
          <cell r="I43" t="str">
            <v>フレーム</v>
          </cell>
          <cell r="J43" t="str">
            <v>S-Frame_RX-10_N_TKTK</v>
          </cell>
          <cell r="K43" t="str">
            <v>S-フレーム_RX-10_N_TKTK</v>
          </cell>
          <cell r="L43" t="str">
            <v>S-Frame</v>
          </cell>
          <cell r="M43" t="str">
            <v>S-フレーム</v>
          </cell>
          <cell r="P43" t="str">
            <v>31B0</v>
          </cell>
          <cell r="Q43" t="str">
            <v>SS400</v>
          </cell>
          <cell r="R43" t="str">
            <v>E354421_01</v>
          </cell>
          <cell r="S43">
            <v>108</v>
          </cell>
          <cell r="T43" t="str">
            <v>標準</v>
          </cell>
        </row>
        <row r="44">
          <cell r="F44" t="str">
            <v>H0000006485</v>
          </cell>
          <cell r="I44" t="str">
            <v>フレーム</v>
          </cell>
          <cell r="J44" t="str">
            <v>S-Frame_RX-10_N_KTKT</v>
          </cell>
          <cell r="K44" t="str">
            <v>S-フレーム_RX-10_N_KTKT</v>
          </cell>
          <cell r="L44" t="str">
            <v>S-Frame</v>
          </cell>
          <cell r="M44" t="str">
            <v>S-フレーム</v>
          </cell>
          <cell r="P44" t="str">
            <v>31B0</v>
          </cell>
          <cell r="Q44" t="str">
            <v>SS400</v>
          </cell>
          <cell r="R44" t="str">
            <v>E354421_01</v>
          </cell>
          <cell r="S44">
            <v>108</v>
          </cell>
          <cell r="T44" t="str">
            <v>標準</v>
          </cell>
        </row>
        <row r="45">
          <cell r="F45" t="str">
            <v>H0000006536</v>
          </cell>
          <cell r="I45" t="str">
            <v>フレーム</v>
          </cell>
          <cell r="J45" t="str">
            <v>S-Frame_RX-10_N_NNNN</v>
          </cell>
          <cell r="K45" t="str">
            <v>S-フレーム_RX-10_N_NNNN</v>
          </cell>
          <cell r="L45" t="str">
            <v>S-Frame</v>
          </cell>
          <cell r="M45" t="str">
            <v>S-フレーム</v>
          </cell>
          <cell r="P45" t="str">
            <v>31B0</v>
          </cell>
          <cell r="Q45" t="str">
            <v>SS400</v>
          </cell>
          <cell r="R45" t="str">
            <v>E354421_01</v>
          </cell>
          <cell r="S45">
            <v>108</v>
          </cell>
          <cell r="T45" t="str">
            <v>標準</v>
          </cell>
        </row>
        <row r="46">
          <cell r="F46" t="str">
            <v>H0000006537</v>
          </cell>
          <cell r="I46" t="str">
            <v>フレーム</v>
          </cell>
          <cell r="J46" t="str">
            <v>S-Frame_RX-10_N_TTTT</v>
          </cell>
          <cell r="K46" t="str">
            <v>S-フレーム_RX-10_N_TTTT</v>
          </cell>
          <cell r="L46" t="str">
            <v>S-Frame</v>
          </cell>
          <cell r="M46" t="str">
            <v>S-フレーム</v>
          </cell>
          <cell r="P46" t="str">
            <v>31B0</v>
          </cell>
          <cell r="Q46" t="str">
            <v>SS400</v>
          </cell>
          <cell r="R46" t="str">
            <v>E354421_01</v>
          </cell>
          <cell r="S46">
            <v>108</v>
          </cell>
          <cell r="T46" t="str">
            <v>標準</v>
          </cell>
        </row>
        <row r="47">
          <cell r="F47" t="str">
            <v>H0000006538</v>
          </cell>
          <cell r="I47" t="str">
            <v>フレーム</v>
          </cell>
          <cell r="J47" t="str">
            <v>S-Frame_RX-10_N_KKKK</v>
          </cell>
          <cell r="K47" t="str">
            <v>S-フレーム_RX-10_N_KKKK</v>
          </cell>
          <cell r="L47" t="str">
            <v>S-Frame</v>
          </cell>
          <cell r="M47" t="str">
            <v>S-フレーム</v>
          </cell>
          <cell r="P47" t="str">
            <v>31B0</v>
          </cell>
          <cell r="Q47" t="str">
            <v>SS400</v>
          </cell>
          <cell r="R47" t="str">
            <v>E354421_01</v>
          </cell>
          <cell r="S47">
            <v>108</v>
          </cell>
          <cell r="T47" t="str">
            <v>標準</v>
          </cell>
        </row>
        <row r="48">
          <cell r="F48" t="str">
            <v>H0000006539</v>
          </cell>
          <cell r="I48" t="str">
            <v>フレーム</v>
          </cell>
          <cell r="J48" t="str">
            <v>S-Frame_RX-10_N_TKTK</v>
          </cell>
          <cell r="K48" t="str">
            <v>S-フレーム_RX-10_N_TKTK</v>
          </cell>
          <cell r="L48" t="str">
            <v>S-Frame</v>
          </cell>
          <cell r="M48" t="str">
            <v>S-フレーム</v>
          </cell>
          <cell r="P48" t="str">
            <v>31B0</v>
          </cell>
          <cell r="Q48" t="str">
            <v>SS400</v>
          </cell>
          <cell r="R48" t="str">
            <v>E354421_01</v>
          </cell>
          <cell r="S48">
            <v>108</v>
          </cell>
          <cell r="T48" t="str">
            <v>標準</v>
          </cell>
        </row>
        <row r="49">
          <cell r="F49" t="str">
            <v>H0000006540</v>
          </cell>
          <cell r="I49" t="str">
            <v>フレーム</v>
          </cell>
          <cell r="J49" t="str">
            <v>S-Frame_RX-10_N_KTKT</v>
          </cell>
          <cell r="K49" t="str">
            <v>S-フレーム_RX-10_N_KTKT</v>
          </cell>
          <cell r="L49" t="str">
            <v>S-Frame</v>
          </cell>
          <cell r="M49" t="str">
            <v>S-フレーム</v>
          </cell>
          <cell r="P49" t="str">
            <v>31B0</v>
          </cell>
          <cell r="Q49" t="str">
            <v>SS400</v>
          </cell>
          <cell r="R49" t="str">
            <v>E354421_01</v>
          </cell>
          <cell r="S49">
            <v>108</v>
          </cell>
          <cell r="T49" t="str">
            <v>標準</v>
          </cell>
        </row>
        <row r="50">
          <cell r="F50" t="str">
            <v>H0000006541</v>
          </cell>
          <cell r="I50" t="str">
            <v>フレーム</v>
          </cell>
          <cell r="J50" t="str">
            <v>S-Frame_RX-10_N_NNNN</v>
          </cell>
          <cell r="K50" t="str">
            <v>S-フレーム_RX-10_N_NNNN</v>
          </cell>
          <cell r="L50" t="str">
            <v>S-Frame</v>
          </cell>
          <cell r="M50" t="str">
            <v>S-フレーム</v>
          </cell>
          <cell r="P50" t="str">
            <v>31B0</v>
          </cell>
          <cell r="Q50" t="str">
            <v>SS400</v>
          </cell>
          <cell r="R50" t="str">
            <v>E354421_01</v>
          </cell>
          <cell r="S50">
            <v>108</v>
          </cell>
          <cell r="T50" t="str">
            <v>標準</v>
          </cell>
        </row>
        <row r="51">
          <cell r="F51" t="str">
            <v>H0000006542</v>
          </cell>
          <cell r="I51" t="str">
            <v>フレーム</v>
          </cell>
          <cell r="J51" t="str">
            <v>S-Frame_RX-10_N_TTTT</v>
          </cell>
          <cell r="K51" t="str">
            <v>S-フレーム_RX-10_N_TTTT</v>
          </cell>
          <cell r="L51" t="str">
            <v>S-Frame</v>
          </cell>
          <cell r="M51" t="str">
            <v>S-フレーム</v>
          </cell>
          <cell r="P51" t="str">
            <v>31B0</v>
          </cell>
          <cell r="Q51" t="str">
            <v>SS400</v>
          </cell>
          <cell r="R51" t="str">
            <v>E354421_01</v>
          </cell>
          <cell r="S51">
            <v>108</v>
          </cell>
          <cell r="T51" t="str">
            <v>標準</v>
          </cell>
        </row>
        <row r="52">
          <cell r="F52" t="str">
            <v>H0000006543</v>
          </cell>
          <cell r="I52" t="str">
            <v>フレーム</v>
          </cell>
          <cell r="J52" t="str">
            <v>S-Frame_RX-10_N_KKKK</v>
          </cell>
          <cell r="K52" t="str">
            <v>S-フレーム_RX-10_N_KKKK</v>
          </cell>
          <cell r="L52" t="str">
            <v>S-Frame</v>
          </cell>
          <cell r="M52" t="str">
            <v>S-フレーム</v>
          </cell>
          <cell r="P52" t="str">
            <v>31B0</v>
          </cell>
          <cell r="Q52" t="str">
            <v>SS400</v>
          </cell>
          <cell r="R52" t="str">
            <v>E354421_01</v>
          </cell>
          <cell r="S52">
            <v>108</v>
          </cell>
          <cell r="T52" t="str">
            <v>標準</v>
          </cell>
        </row>
        <row r="53">
          <cell r="F53" t="str">
            <v>H0000006544</v>
          </cell>
          <cell r="I53" t="str">
            <v>フレーム</v>
          </cell>
          <cell r="J53" t="str">
            <v>S-Frame_RX-10_N_TKTK</v>
          </cell>
          <cell r="K53" t="str">
            <v>S-フレーム_RX-10_N_TKTK</v>
          </cell>
          <cell r="L53" t="str">
            <v>S-Frame</v>
          </cell>
          <cell r="M53" t="str">
            <v>S-フレーム</v>
          </cell>
          <cell r="P53" t="str">
            <v>31B0</v>
          </cell>
          <cell r="Q53" t="str">
            <v>SS400</v>
          </cell>
          <cell r="R53" t="str">
            <v>E354421_01</v>
          </cell>
          <cell r="S53">
            <v>108</v>
          </cell>
          <cell r="T53" t="str">
            <v>標準</v>
          </cell>
        </row>
        <row r="54">
          <cell r="F54" t="str">
            <v>H0000006545</v>
          </cell>
          <cell r="I54" t="str">
            <v>フレーム</v>
          </cell>
          <cell r="J54" t="str">
            <v>S-Frame_RX-10_N_KTKT</v>
          </cell>
          <cell r="K54" t="str">
            <v>S-フレーム_RX-10_N_KTKT</v>
          </cell>
          <cell r="L54" t="str">
            <v>S-Frame</v>
          </cell>
          <cell r="M54" t="str">
            <v>S-フレーム</v>
          </cell>
          <cell r="P54" t="str">
            <v>31B0</v>
          </cell>
          <cell r="Q54" t="str">
            <v>SS400</v>
          </cell>
          <cell r="R54" t="str">
            <v>E354421_01</v>
          </cell>
          <cell r="S54">
            <v>108</v>
          </cell>
          <cell r="T54" t="str">
            <v>標準</v>
          </cell>
        </row>
        <row r="55">
          <cell r="F55" t="str">
            <v>H0000006551</v>
          </cell>
          <cell r="I55" t="str">
            <v>フレーム</v>
          </cell>
          <cell r="J55" t="str">
            <v>S-Frame_RX-10_N_NNNN</v>
          </cell>
          <cell r="K55" t="str">
            <v>S-フレーム_RX-10_N_NNNN</v>
          </cell>
          <cell r="L55" t="str">
            <v>S-Frame</v>
          </cell>
          <cell r="M55" t="str">
            <v>S-フレーム</v>
          </cell>
          <cell r="P55" t="str">
            <v>31B0</v>
          </cell>
          <cell r="Q55" t="str">
            <v>SS400</v>
          </cell>
          <cell r="R55" t="str">
            <v>E354421_01</v>
          </cell>
          <cell r="S55">
            <v>108</v>
          </cell>
          <cell r="T55" t="str">
            <v>標準</v>
          </cell>
        </row>
        <row r="56">
          <cell r="F56" t="str">
            <v>H0000006552</v>
          </cell>
          <cell r="I56" t="str">
            <v>フレーム</v>
          </cell>
          <cell r="J56" t="str">
            <v>S-Frame_RX-10_N_TTTT</v>
          </cell>
          <cell r="K56" t="str">
            <v>S-フレーム_RX-10_N_TTTT</v>
          </cell>
          <cell r="L56" t="str">
            <v>S-Frame</v>
          </cell>
          <cell r="M56" t="str">
            <v>S-フレーム</v>
          </cell>
          <cell r="P56" t="str">
            <v>31B0</v>
          </cell>
          <cell r="Q56" t="str">
            <v>SS400</v>
          </cell>
          <cell r="R56" t="str">
            <v>E354421_01</v>
          </cell>
          <cell r="S56">
            <v>108</v>
          </cell>
          <cell r="T56" t="str">
            <v>標準</v>
          </cell>
        </row>
        <row r="57">
          <cell r="F57" t="str">
            <v>H0000006553</v>
          </cell>
          <cell r="I57" t="str">
            <v>フレーム</v>
          </cell>
          <cell r="J57" t="str">
            <v>S-Frame_RX-10_N_KKKK</v>
          </cell>
          <cell r="K57" t="str">
            <v>S-フレーム_RX-10_N_KKKK</v>
          </cell>
          <cell r="L57" t="str">
            <v>S-Frame</v>
          </cell>
          <cell r="M57" t="str">
            <v>S-フレーム</v>
          </cell>
          <cell r="P57" t="str">
            <v>31B0</v>
          </cell>
          <cell r="Q57" t="str">
            <v>SS400</v>
          </cell>
          <cell r="R57" t="str">
            <v>E354421_01</v>
          </cell>
          <cell r="S57">
            <v>108</v>
          </cell>
          <cell r="T57" t="str">
            <v>標準</v>
          </cell>
        </row>
        <row r="58">
          <cell r="F58" t="str">
            <v>H0000006554</v>
          </cell>
          <cell r="I58" t="str">
            <v>フレーム</v>
          </cell>
          <cell r="J58" t="str">
            <v>S-Frame_RX-10_N_TKTK</v>
          </cell>
          <cell r="K58" t="str">
            <v>S-フレーム_RX-10_N_TKTK</v>
          </cell>
          <cell r="L58" t="str">
            <v>S-Frame</v>
          </cell>
          <cell r="M58" t="str">
            <v>S-フレーム</v>
          </cell>
          <cell r="P58" t="str">
            <v>31B0</v>
          </cell>
          <cell r="Q58" t="str">
            <v>SS400</v>
          </cell>
          <cell r="R58" t="str">
            <v>E354421_01</v>
          </cell>
          <cell r="S58">
            <v>108</v>
          </cell>
          <cell r="T58" t="str">
            <v>標準</v>
          </cell>
        </row>
        <row r="59">
          <cell r="F59" t="str">
            <v>H0000006555</v>
          </cell>
          <cell r="I59" t="str">
            <v>フレーム</v>
          </cell>
          <cell r="J59" t="str">
            <v>S-Frame_RX-10_N_KTKT</v>
          </cell>
          <cell r="K59" t="str">
            <v>S-フレーム_RX-10_N_KTKT</v>
          </cell>
          <cell r="L59" t="str">
            <v>S-Frame</v>
          </cell>
          <cell r="M59" t="str">
            <v>S-フレーム</v>
          </cell>
          <cell r="P59" t="str">
            <v>31B0</v>
          </cell>
          <cell r="Q59" t="str">
            <v>SS400</v>
          </cell>
          <cell r="R59" t="str">
            <v>E354421_01</v>
          </cell>
          <cell r="S59">
            <v>108</v>
          </cell>
          <cell r="T59" t="str">
            <v>標準</v>
          </cell>
        </row>
        <row r="60">
          <cell r="F60" t="str">
            <v>H0000006571</v>
          </cell>
          <cell r="I60" t="str">
            <v>フレーム</v>
          </cell>
          <cell r="J60" t="str">
            <v>S-Frame_RX-10_N_NNNN</v>
          </cell>
          <cell r="K60" t="str">
            <v>S-フレーム_RX-10_N_NNNN</v>
          </cell>
          <cell r="L60" t="str">
            <v>S-Frame</v>
          </cell>
          <cell r="M60" t="str">
            <v>S-フレーム</v>
          </cell>
          <cell r="P60" t="str">
            <v>31B0</v>
          </cell>
          <cell r="Q60" t="str">
            <v>SS400</v>
          </cell>
          <cell r="R60" t="str">
            <v>E354421_01</v>
          </cell>
          <cell r="S60">
            <v>108</v>
          </cell>
          <cell r="T60" t="str">
            <v>標準</v>
          </cell>
        </row>
        <row r="61">
          <cell r="F61" t="str">
            <v>H0000006572</v>
          </cell>
          <cell r="I61" t="str">
            <v>フレーム</v>
          </cell>
          <cell r="J61" t="str">
            <v>S-Frame_RX-10_N_TTTT</v>
          </cell>
          <cell r="K61" t="str">
            <v>S-フレーム_RX-10_N_TTTT</v>
          </cell>
          <cell r="L61" t="str">
            <v>S-Frame</v>
          </cell>
          <cell r="M61" t="str">
            <v>S-フレーム</v>
          </cell>
          <cell r="P61" t="str">
            <v>31B0</v>
          </cell>
          <cell r="Q61" t="str">
            <v>SS400</v>
          </cell>
          <cell r="R61" t="str">
            <v>E354421_01</v>
          </cell>
          <cell r="S61">
            <v>108</v>
          </cell>
          <cell r="T61" t="str">
            <v>標準</v>
          </cell>
        </row>
        <row r="62">
          <cell r="F62" t="str">
            <v>H0000006573</v>
          </cell>
          <cell r="I62" t="str">
            <v>フレーム</v>
          </cell>
          <cell r="J62" t="str">
            <v>S-Frame_RX-10_N_KKKK</v>
          </cell>
          <cell r="K62" t="str">
            <v>S-フレーム_RX-10_N_KKKK</v>
          </cell>
          <cell r="L62" t="str">
            <v>S-Frame</v>
          </cell>
          <cell r="M62" t="str">
            <v>S-フレーム</v>
          </cell>
          <cell r="P62" t="str">
            <v>31B0</v>
          </cell>
          <cell r="Q62" t="str">
            <v>SS400</v>
          </cell>
          <cell r="R62" t="str">
            <v>E354421_01</v>
          </cell>
          <cell r="S62">
            <v>108</v>
          </cell>
          <cell r="T62" t="str">
            <v>標準</v>
          </cell>
        </row>
        <row r="63">
          <cell r="F63" t="str">
            <v>H0000006574</v>
          </cell>
          <cell r="I63" t="str">
            <v>フレーム</v>
          </cell>
          <cell r="J63" t="str">
            <v>S-Frame_RX-10_N_TKTK</v>
          </cell>
          <cell r="K63" t="str">
            <v>S-フレーム_RX-10_N_TKTK</v>
          </cell>
          <cell r="L63" t="str">
            <v>S-Frame</v>
          </cell>
          <cell r="M63" t="str">
            <v>S-フレーム</v>
          </cell>
          <cell r="P63" t="str">
            <v>31B0</v>
          </cell>
          <cell r="Q63" t="str">
            <v>SS400</v>
          </cell>
          <cell r="R63" t="str">
            <v>E354421_01</v>
          </cell>
          <cell r="S63">
            <v>108</v>
          </cell>
          <cell r="T63" t="str">
            <v>標準</v>
          </cell>
        </row>
        <row r="64">
          <cell r="F64" t="str">
            <v>H0000006575</v>
          </cell>
          <cell r="I64" t="str">
            <v>フレーム</v>
          </cell>
          <cell r="J64" t="str">
            <v>S-Frame_RX-10_N_KTKT</v>
          </cell>
          <cell r="K64" t="str">
            <v>S-フレーム_RX-10_N_KTKT</v>
          </cell>
          <cell r="L64" t="str">
            <v>S-Frame</v>
          </cell>
          <cell r="M64" t="str">
            <v>S-フレーム</v>
          </cell>
          <cell r="P64" t="str">
            <v>31B0</v>
          </cell>
          <cell r="Q64" t="str">
            <v>SS400</v>
          </cell>
          <cell r="R64" t="str">
            <v>E354421_01</v>
          </cell>
          <cell r="S64">
            <v>108</v>
          </cell>
          <cell r="T64" t="str">
            <v>標準</v>
          </cell>
        </row>
        <row r="65">
          <cell r="F65" t="str">
            <v>H0000006716</v>
          </cell>
          <cell r="I65" t="str">
            <v>フレーム</v>
          </cell>
          <cell r="J65" t="str">
            <v>S-Frame_RX-10_N_NNNN</v>
          </cell>
          <cell r="K65" t="str">
            <v>S-フレーム_RX-10_N_NNNN</v>
          </cell>
          <cell r="L65" t="str">
            <v>S-Frame</v>
          </cell>
          <cell r="M65" t="str">
            <v>S-フレーム</v>
          </cell>
          <cell r="P65" t="str">
            <v>31B0</v>
          </cell>
          <cell r="Q65" t="str">
            <v>SS400</v>
          </cell>
          <cell r="R65" t="str">
            <v>E354421_01</v>
          </cell>
          <cell r="S65">
            <v>108</v>
          </cell>
          <cell r="T65" t="str">
            <v>標準</v>
          </cell>
        </row>
        <row r="66">
          <cell r="F66" t="str">
            <v>H0000006717</v>
          </cell>
          <cell r="I66" t="str">
            <v>フレーム</v>
          </cell>
          <cell r="J66" t="str">
            <v>S-Frame_RX-10_N_TTTT</v>
          </cell>
          <cell r="K66" t="str">
            <v>S-フレーム_RX-10_N_TTTT</v>
          </cell>
          <cell r="L66" t="str">
            <v>S-Frame</v>
          </cell>
          <cell r="M66" t="str">
            <v>S-フレーム</v>
          </cell>
          <cell r="P66" t="str">
            <v>31B0</v>
          </cell>
          <cell r="Q66" t="str">
            <v>SS400</v>
          </cell>
          <cell r="R66" t="str">
            <v>E354421_01</v>
          </cell>
          <cell r="S66">
            <v>108</v>
          </cell>
          <cell r="T66" t="str">
            <v>標準</v>
          </cell>
        </row>
        <row r="67">
          <cell r="F67" t="str">
            <v>H0000006718</v>
          </cell>
          <cell r="I67" t="str">
            <v>フレーム</v>
          </cell>
          <cell r="J67" t="str">
            <v>S-Frame_RX-10_N_KKKK</v>
          </cell>
          <cell r="K67" t="str">
            <v>S-フレーム_RX-10_N_KKKK</v>
          </cell>
          <cell r="L67" t="str">
            <v>S-Frame</v>
          </cell>
          <cell r="M67" t="str">
            <v>S-フレーム</v>
          </cell>
          <cell r="P67" t="str">
            <v>31B0</v>
          </cell>
          <cell r="Q67" t="str">
            <v>SS400</v>
          </cell>
          <cell r="R67" t="str">
            <v>E354421_01</v>
          </cell>
          <cell r="S67">
            <v>108</v>
          </cell>
          <cell r="T67" t="str">
            <v>標準</v>
          </cell>
        </row>
        <row r="68">
          <cell r="F68" t="str">
            <v>H0000006719</v>
          </cell>
          <cell r="I68" t="str">
            <v>フレーム</v>
          </cell>
          <cell r="J68" t="str">
            <v>S-Frame_RX-10_N_TKTK</v>
          </cell>
          <cell r="K68" t="str">
            <v>S-フレーム_RX-10_N_TKTK</v>
          </cell>
          <cell r="L68" t="str">
            <v>S-Frame</v>
          </cell>
          <cell r="M68" t="str">
            <v>S-フレーム</v>
          </cell>
          <cell r="P68" t="str">
            <v>31B0</v>
          </cell>
          <cell r="Q68" t="str">
            <v>SS400</v>
          </cell>
          <cell r="R68" t="str">
            <v>E354421_01</v>
          </cell>
          <cell r="S68">
            <v>108</v>
          </cell>
          <cell r="T68" t="str">
            <v>標準</v>
          </cell>
        </row>
        <row r="69">
          <cell r="F69" t="str">
            <v>H0000006720</v>
          </cell>
          <cell r="I69" t="str">
            <v>フレーム</v>
          </cell>
          <cell r="J69" t="str">
            <v>S-Frame_RX-10_N_KTKT</v>
          </cell>
          <cell r="K69" t="str">
            <v>S-フレーム_RX-10_N_KTKT</v>
          </cell>
          <cell r="L69" t="str">
            <v>S-Frame</v>
          </cell>
          <cell r="M69" t="str">
            <v>S-フレーム</v>
          </cell>
          <cell r="P69" t="str">
            <v>31B0</v>
          </cell>
          <cell r="Q69" t="str">
            <v>SS400</v>
          </cell>
          <cell r="R69" t="str">
            <v>E354421_01</v>
          </cell>
          <cell r="S69">
            <v>108</v>
          </cell>
          <cell r="T69" t="str">
            <v>標準</v>
          </cell>
        </row>
        <row r="70">
          <cell r="F70" t="str">
            <v>H0000006721</v>
          </cell>
          <cell r="I70" t="str">
            <v>フレーム</v>
          </cell>
          <cell r="J70" t="str">
            <v>S-Frame_RX-10_N_NNNN</v>
          </cell>
          <cell r="K70" t="str">
            <v>S-フレーム_RX-10_N_NNNN</v>
          </cell>
          <cell r="L70" t="str">
            <v>S-Frame</v>
          </cell>
          <cell r="M70" t="str">
            <v>S-フレーム</v>
          </cell>
          <cell r="P70" t="str">
            <v>31B0</v>
          </cell>
          <cell r="Q70" t="str">
            <v>SS400</v>
          </cell>
          <cell r="R70" t="str">
            <v>E354421_01</v>
          </cell>
          <cell r="S70">
            <v>108</v>
          </cell>
          <cell r="T70" t="str">
            <v>標準</v>
          </cell>
        </row>
        <row r="71">
          <cell r="F71" t="str">
            <v>H0000006722</v>
          </cell>
          <cell r="I71" t="str">
            <v>フレーム</v>
          </cell>
          <cell r="J71" t="str">
            <v>S-Frame_RX-10_N_TTTT</v>
          </cell>
          <cell r="K71" t="str">
            <v>S-フレーム_RX-10_N_TTTT</v>
          </cell>
          <cell r="L71" t="str">
            <v>S-Frame</v>
          </cell>
          <cell r="M71" t="str">
            <v>S-フレーム</v>
          </cell>
          <cell r="P71" t="str">
            <v>31B0</v>
          </cell>
          <cell r="Q71" t="str">
            <v>SS400</v>
          </cell>
          <cell r="R71" t="str">
            <v>E354421_01</v>
          </cell>
          <cell r="S71">
            <v>108</v>
          </cell>
          <cell r="T71" t="str">
            <v>標準</v>
          </cell>
        </row>
        <row r="72">
          <cell r="F72" t="str">
            <v>H0000006723</v>
          </cell>
          <cell r="I72" t="str">
            <v>フレーム</v>
          </cell>
          <cell r="J72" t="str">
            <v>S-Frame_RX-10_N_KKKK</v>
          </cell>
          <cell r="K72" t="str">
            <v>S-フレーム_RX-10_N_KKKK</v>
          </cell>
          <cell r="L72" t="str">
            <v>S-Frame</v>
          </cell>
          <cell r="M72" t="str">
            <v>S-フレーム</v>
          </cell>
          <cell r="P72" t="str">
            <v>31B0</v>
          </cell>
          <cell r="Q72" t="str">
            <v>SS400</v>
          </cell>
          <cell r="R72" t="str">
            <v>E354421_01</v>
          </cell>
          <cell r="S72">
            <v>108</v>
          </cell>
          <cell r="T72" t="str">
            <v>標準</v>
          </cell>
        </row>
        <row r="73">
          <cell r="F73" t="str">
            <v>H0000006724</v>
          </cell>
          <cell r="I73" t="str">
            <v>フレーム</v>
          </cell>
          <cell r="J73" t="str">
            <v>S-Frame_RX-10_N_TKTK</v>
          </cell>
          <cell r="K73" t="str">
            <v>S-フレーム_RX-10_N_TKTK</v>
          </cell>
          <cell r="L73" t="str">
            <v>S-Frame</v>
          </cell>
          <cell r="M73" t="str">
            <v>S-フレーム</v>
          </cell>
          <cell r="P73" t="str">
            <v>31B0</v>
          </cell>
          <cell r="Q73" t="str">
            <v>SS400</v>
          </cell>
          <cell r="R73" t="str">
            <v>E354421_01</v>
          </cell>
          <cell r="S73">
            <v>108</v>
          </cell>
          <cell r="T73" t="str">
            <v>標準</v>
          </cell>
        </row>
        <row r="74">
          <cell r="F74" t="str">
            <v>H0000006725</v>
          </cell>
          <cell r="I74" t="str">
            <v>フレーム</v>
          </cell>
          <cell r="J74" t="str">
            <v>S-Frame_RX-10_N_KTKT</v>
          </cell>
          <cell r="K74" t="str">
            <v>S-フレーム_RX-10_N_KTKT</v>
          </cell>
          <cell r="L74" t="str">
            <v>S-Frame</v>
          </cell>
          <cell r="M74" t="str">
            <v>S-フレーム</v>
          </cell>
          <cell r="P74" t="str">
            <v>31B0</v>
          </cell>
          <cell r="Q74" t="str">
            <v>SS400</v>
          </cell>
          <cell r="R74" t="str">
            <v>E354421_01</v>
          </cell>
          <cell r="S74">
            <v>108</v>
          </cell>
          <cell r="T74" t="str">
            <v>標準</v>
          </cell>
        </row>
        <row r="75">
          <cell r="F75" t="str">
            <v>H0000006731</v>
          </cell>
          <cell r="I75" t="str">
            <v>フレーム</v>
          </cell>
          <cell r="J75" t="str">
            <v>S-Frame_RX-10_N_NNNN</v>
          </cell>
          <cell r="K75" t="str">
            <v>S-フレーム_RX-10_N_NNNN</v>
          </cell>
          <cell r="L75" t="str">
            <v>S-Frame</v>
          </cell>
          <cell r="M75" t="str">
            <v>S-フレーム</v>
          </cell>
          <cell r="P75" t="str">
            <v>31B0</v>
          </cell>
          <cell r="Q75" t="str">
            <v>SS400</v>
          </cell>
          <cell r="R75" t="str">
            <v>E354421_01</v>
          </cell>
          <cell r="S75">
            <v>108</v>
          </cell>
          <cell r="T75" t="str">
            <v>標準</v>
          </cell>
        </row>
        <row r="76">
          <cell r="F76" t="str">
            <v>H0000006732</v>
          </cell>
          <cell r="I76" t="str">
            <v>フレーム</v>
          </cell>
          <cell r="J76" t="str">
            <v>S-Frame_RX-10_N_TTTT</v>
          </cell>
          <cell r="K76" t="str">
            <v>S-フレーム_RX-10_N_TTTT</v>
          </cell>
          <cell r="L76" t="str">
            <v>S-Frame</v>
          </cell>
          <cell r="M76" t="str">
            <v>S-フレーム</v>
          </cell>
          <cell r="P76" t="str">
            <v>31B0</v>
          </cell>
          <cell r="Q76" t="str">
            <v>SS400</v>
          </cell>
          <cell r="R76" t="str">
            <v>E354421_01</v>
          </cell>
          <cell r="S76">
            <v>108</v>
          </cell>
          <cell r="T76" t="str">
            <v>標準</v>
          </cell>
        </row>
        <row r="77">
          <cell r="F77" t="str">
            <v>H0000006733</v>
          </cell>
          <cell r="I77" t="str">
            <v>フレーム</v>
          </cell>
          <cell r="J77" t="str">
            <v>S-Frame_RX-10_N_KKKK</v>
          </cell>
          <cell r="K77" t="str">
            <v>S-フレーム_RX-10_N_KKKK</v>
          </cell>
          <cell r="L77" t="str">
            <v>S-Frame</v>
          </cell>
          <cell r="M77" t="str">
            <v>S-フレーム</v>
          </cell>
          <cell r="P77" t="str">
            <v>31B0</v>
          </cell>
          <cell r="Q77" t="str">
            <v>SS400</v>
          </cell>
          <cell r="R77" t="str">
            <v>E354421_01</v>
          </cell>
          <cell r="S77">
            <v>108</v>
          </cell>
          <cell r="T77" t="str">
            <v>標準</v>
          </cell>
        </row>
        <row r="78">
          <cell r="F78" t="str">
            <v>H0000006734</v>
          </cell>
          <cell r="I78" t="str">
            <v>フレーム</v>
          </cell>
          <cell r="J78" t="str">
            <v>S-Frame_RX-10_N_TKTK</v>
          </cell>
          <cell r="K78" t="str">
            <v>S-フレーム_RX-10_N_TKTK</v>
          </cell>
          <cell r="L78" t="str">
            <v>S-Frame</v>
          </cell>
          <cell r="M78" t="str">
            <v>S-フレーム</v>
          </cell>
          <cell r="P78" t="str">
            <v>31B0</v>
          </cell>
          <cell r="Q78" t="str">
            <v>SS400</v>
          </cell>
          <cell r="R78" t="str">
            <v>E354421_01</v>
          </cell>
          <cell r="S78">
            <v>108</v>
          </cell>
          <cell r="T78" t="str">
            <v>標準</v>
          </cell>
        </row>
        <row r="79">
          <cell r="F79" t="str">
            <v>H0000006735</v>
          </cell>
          <cell r="I79" t="str">
            <v>フレーム</v>
          </cell>
          <cell r="J79" t="str">
            <v>S-Frame_RX-10_N_KTKT</v>
          </cell>
          <cell r="K79" t="str">
            <v>S-フレーム_RX-10_N_KTKT</v>
          </cell>
          <cell r="L79" t="str">
            <v>S-Frame</v>
          </cell>
          <cell r="M79" t="str">
            <v>S-フレーム</v>
          </cell>
          <cell r="P79" t="str">
            <v>31B0</v>
          </cell>
          <cell r="Q79" t="str">
            <v>SS400</v>
          </cell>
          <cell r="R79" t="str">
            <v>E354421_01</v>
          </cell>
          <cell r="S79">
            <v>108</v>
          </cell>
          <cell r="T79" t="str">
            <v>標準</v>
          </cell>
        </row>
        <row r="80">
          <cell r="F80" t="str">
            <v>H0000006751</v>
          </cell>
          <cell r="I80" t="str">
            <v>フレーム</v>
          </cell>
          <cell r="J80" t="str">
            <v>S-Frame_RX-10_N_NNNN</v>
          </cell>
          <cell r="K80" t="str">
            <v>S-フレーム_RX-10_N_NNNN</v>
          </cell>
          <cell r="L80" t="str">
            <v>S-Frame</v>
          </cell>
          <cell r="M80" t="str">
            <v>S-フレーム</v>
          </cell>
          <cell r="P80" t="str">
            <v>31B0</v>
          </cell>
          <cell r="Q80" t="str">
            <v>SS400</v>
          </cell>
          <cell r="R80" t="str">
            <v>E354421_01</v>
          </cell>
          <cell r="S80">
            <v>108</v>
          </cell>
          <cell r="T80" t="str">
            <v>標準</v>
          </cell>
        </row>
        <row r="81">
          <cell r="F81" t="str">
            <v>H0000006752</v>
          </cell>
          <cell r="I81" t="str">
            <v>フレーム</v>
          </cell>
          <cell r="J81" t="str">
            <v>S-Frame_RX-10_N_TTTT</v>
          </cell>
          <cell r="K81" t="str">
            <v>S-フレーム_RX-10_N_TTTT</v>
          </cell>
          <cell r="L81" t="str">
            <v>S-Frame</v>
          </cell>
          <cell r="M81" t="str">
            <v>S-フレーム</v>
          </cell>
          <cell r="P81" t="str">
            <v>31B0</v>
          </cell>
          <cell r="Q81" t="str">
            <v>SS400</v>
          </cell>
          <cell r="R81" t="str">
            <v>E354421_01</v>
          </cell>
          <cell r="S81">
            <v>108</v>
          </cell>
          <cell r="T81" t="str">
            <v>標準</v>
          </cell>
        </row>
        <row r="82">
          <cell r="F82" t="str">
            <v>H0000006753</v>
          </cell>
          <cell r="I82" t="str">
            <v>フレーム</v>
          </cell>
          <cell r="J82" t="str">
            <v>S-Frame_RX-10_N_KKKK</v>
          </cell>
          <cell r="K82" t="str">
            <v>S-フレーム_RX-10_N_KKKK</v>
          </cell>
          <cell r="L82" t="str">
            <v>S-Frame</v>
          </cell>
          <cell r="M82" t="str">
            <v>S-フレーム</v>
          </cell>
          <cell r="P82" t="str">
            <v>31B0</v>
          </cell>
          <cell r="Q82" t="str">
            <v>SS400</v>
          </cell>
          <cell r="R82" t="str">
            <v>E354421_01</v>
          </cell>
          <cell r="S82">
            <v>108</v>
          </cell>
          <cell r="T82" t="str">
            <v>標準</v>
          </cell>
        </row>
        <row r="83">
          <cell r="F83" t="str">
            <v>H0000006754</v>
          </cell>
          <cell r="I83" t="str">
            <v>フレーム</v>
          </cell>
          <cell r="J83" t="str">
            <v>S-Frame_RX-10_N_TKTK</v>
          </cell>
          <cell r="K83" t="str">
            <v>S-フレーム_RX-10_N_TKTK</v>
          </cell>
          <cell r="L83" t="str">
            <v>S-Frame</v>
          </cell>
          <cell r="M83" t="str">
            <v>S-フレーム</v>
          </cell>
          <cell r="P83" t="str">
            <v>31B0</v>
          </cell>
          <cell r="Q83" t="str">
            <v>SS400</v>
          </cell>
          <cell r="R83" t="str">
            <v>E354421_01</v>
          </cell>
          <cell r="S83">
            <v>108</v>
          </cell>
          <cell r="T83" t="str">
            <v>標準</v>
          </cell>
        </row>
        <row r="84">
          <cell r="F84" t="str">
            <v>H0000006755</v>
          </cell>
          <cell r="I84" t="str">
            <v>フレーム</v>
          </cell>
          <cell r="J84" t="str">
            <v>S-Frame_RX-10_N_KTKT</v>
          </cell>
          <cell r="K84" t="str">
            <v>S-フレーム_RX-10_N_KTKT</v>
          </cell>
          <cell r="L84" t="str">
            <v>S-Frame</v>
          </cell>
          <cell r="M84" t="str">
            <v>S-フレーム</v>
          </cell>
          <cell r="P84" t="str">
            <v>31B0</v>
          </cell>
          <cell r="Q84" t="str">
            <v>SS400</v>
          </cell>
          <cell r="R84" t="str">
            <v>E354421_01</v>
          </cell>
          <cell r="S84">
            <v>108</v>
          </cell>
          <cell r="T84" t="str">
            <v>標準</v>
          </cell>
        </row>
        <row r="85">
          <cell r="F85" t="str">
            <v>H0000006806</v>
          </cell>
          <cell r="I85" t="str">
            <v>フレーム</v>
          </cell>
          <cell r="J85" t="str">
            <v>S-Frame_RX-10_H_NNNN</v>
          </cell>
          <cell r="K85" t="str">
            <v>S-フレーム_RX-10_H_NNNN</v>
          </cell>
          <cell r="L85" t="str">
            <v>S-Frame</v>
          </cell>
          <cell r="M85" t="str">
            <v>S-フレーム</v>
          </cell>
          <cell r="P85" t="str">
            <v>31B0</v>
          </cell>
          <cell r="Q85" t="str">
            <v>SS400</v>
          </cell>
          <cell r="R85" t="str">
            <v>E354421_01</v>
          </cell>
          <cell r="S85">
            <v>139</v>
          </cell>
          <cell r="T85" t="str">
            <v>標準</v>
          </cell>
        </row>
        <row r="86">
          <cell r="F86" t="str">
            <v>H0000006807</v>
          </cell>
          <cell r="I86" t="str">
            <v>フレーム</v>
          </cell>
          <cell r="J86" t="str">
            <v>S-Frame_RX-10_H_TTTT</v>
          </cell>
          <cell r="K86" t="str">
            <v>S-フレーム_RX-10_H_TTTT</v>
          </cell>
          <cell r="L86" t="str">
            <v>S-Frame</v>
          </cell>
          <cell r="M86" t="str">
            <v>S-フレーム</v>
          </cell>
          <cell r="P86" t="str">
            <v>31B0</v>
          </cell>
          <cell r="Q86" t="str">
            <v>SS400</v>
          </cell>
          <cell r="R86" t="str">
            <v>E354421_01</v>
          </cell>
          <cell r="S86">
            <v>139</v>
          </cell>
          <cell r="T86" t="str">
            <v>標準</v>
          </cell>
        </row>
        <row r="87">
          <cell r="F87" t="str">
            <v>H0000006808</v>
          </cell>
          <cell r="I87" t="str">
            <v>フレーム</v>
          </cell>
          <cell r="J87" t="str">
            <v>S-Frame_RX-10_H_KKKK</v>
          </cell>
          <cell r="K87" t="str">
            <v>S-フレーム_RX-10_H_KKKK</v>
          </cell>
          <cell r="L87" t="str">
            <v>S-Frame</v>
          </cell>
          <cell r="M87" t="str">
            <v>S-フレーム</v>
          </cell>
          <cell r="P87" t="str">
            <v>31B0</v>
          </cell>
          <cell r="Q87" t="str">
            <v>SS400</v>
          </cell>
          <cell r="R87" t="str">
            <v>E354421_01</v>
          </cell>
          <cell r="S87">
            <v>139</v>
          </cell>
          <cell r="T87" t="str">
            <v>標準</v>
          </cell>
        </row>
        <row r="88">
          <cell r="F88" t="str">
            <v>H0000006809</v>
          </cell>
          <cell r="I88" t="str">
            <v>フレーム</v>
          </cell>
          <cell r="J88" t="str">
            <v>S-Frame_RX-10_H_TKTK</v>
          </cell>
          <cell r="K88" t="str">
            <v>S-フレーム_RX-10_H_TKTK</v>
          </cell>
          <cell r="L88" t="str">
            <v>S-Frame</v>
          </cell>
          <cell r="M88" t="str">
            <v>S-フレーム</v>
          </cell>
          <cell r="P88" t="str">
            <v>31B0</v>
          </cell>
          <cell r="Q88" t="str">
            <v>SS400</v>
          </cell>
          <cell r="R88" t="str">
            <v>E354421_01</v>
          </cell>
          <cell r="S88">
            <v>139</v>
          </cell>
          <cell r="T88" t="str">
            <v>標準</v>
          </cell>
        </row>
        <row r="89">
          <cell r="F89" t="str">
            <v>H0000006810</v>
          </cell>
          <cell r="I89" t="str">
            <v>フレーム</v>
          </cell>
          <cell r="J89" t="str">
            <v>S-Frame_RX-10_H_KTKT</v>
          </cell>
          <cell r="K89" t="str">
            <v>S-フレーム_RX-10_H_KTKT</v>
          </cell>
          <cell r="L89" t="str">
            <v>S-Frame</v>
          </cell>
          <cell r="M89" t="str">
            <v>S-フレーム</v>
          </cell>
          <cell r="P89" t="str">
            <v>31B0</v>
          </cell>
          <cell r="Q89" t="str">
            <v>SS400</v>
          </cell>
          <cell r="R89" t="str">
            <v>E354421_01</v>
          </cell>
          <cell r="S89">
            <v>139</v>
          </cell>
          <cell r="T89" t="str">
            <v>標準</v>
          </cell>
        </row>
        <row r="90">
          <cell r="F90" t="str">
            <v>H0000006811</v>
          </cell>
          <cell r="I90" t="str">
            <v>フレーム</v>
          </cell>
          <cell r="J90" t="str">
            <v>S-Frame_RX-10_H_NNNN</v>
          </cell>
          <cell r="K90" t="str">
            <v>S-フレーム_RX-10_H_NNNN</v>
          </cell>
          <cell r="L90" t="str">
            <v>S-Frame</v>
          </cell>
          <cell r="M90" t="str">
            <v>S-フレーム</v>
          </cell>
          <cell r="P90" t="str">
            <v>31B0</v>
          </cell>
          <cell r="Q90" t="str">
            <v>SS400</v>
          </cell>
          <cell r="R90" t="str">
            <v>E354421_01</v>
          </cell>
          <cell r="S90">
            <v>139</v>
          </cell>
          <cell r="T90" t="str">
            <v>標準</v>
          </cell>
        </row>
        <row r="91">
          <cell r="F91" t="str">
            <v>H0000006812</v>
          </cell>
          <cell r="I91" t="str">
            <v>フレーム</v>
          </cell>
          <cell r="J91" t="str">
            <v>S-Frame_RX-10_H_TTTT</v>
          </cell>
          <cell r="K91" t="str">
            <v>S-フレーム_RX-10_H_TTTT</v>
          </cell>
          <cell r="L91" t="str">
            <v>S-Frame</v>
          </cell>
          <cell r="M91" t="str">
            <v>S-フレーム</v>
          </cell>
          <cell r="P91" t="str">
            <v>31B0</v>
          </cell>
          <cell r="Q91" t="str">
            <v>SS400</v>
          </cell>
          <cell r="R91" t="str">
            <v>E354421_01</v>
          </cell>
          <cell r="S91">
            <v>139</v>
          </cell>
          <cell r="T91" t="str">
            <v>標準</v>
          </cell>
        </row>
        <row r="92">
          <cell r="F92" t="str">
            <v>H0000006813</v>
          </cell>
          <cell r="I92" t="str">
            <v>フレーム</v>
          </cell>
          <cell r="J92" t="str">
            <v>S-Frame_RX-10_H_KKKK</v>
          </cell>
          <cell r="K92" t="str">
            <v>S-フレーム_RX-10_H_KKKK</v>
          </cell>
          <cell r="L92" t="str">
            <v>S-Frame</v>
          </cell>
          <cell r="M92" t="str">
            <v>S-フレーム</v>
          </cell>
          <cell r="P92" t="str">
            <v>31B0</v>
          </cell>
          <cell r="Q92" t="str">
            <v>SS400</v>
          </cell>
          <cell r="R92" t="str">
            <v>E354421_01</v>
          </cell>
          <cell r="S92">
            <v>139</v>
          </cell>
          <cell r="T92" t="str">
            <v>標準</v>
          </cell>
        </row>
        <row r="93">
          <cell r="F93" t="str">
            <v>H0000006814</v>
          </cell>
          <cell r="I93" t="str">
            <v>フレーム</v>
          </cell>
          <cell r="J93" t="str">
            <v>S-Frame_RX-10_H_TKTK</v>
          </cell>
          <cell r="K93" t="str">
            <v>S-フレーム_RX-10_H_TKTK</v>
          </cell>
          <cell r="L93" t="str">
            <v>S-Frame</v>
          </cell>
          <cell r="M93" t="str">
            <v>S-フレーム</v>
          </cell>
          <cell r="P93" t="str">
            <v>31B0</v>
          </cell>
          <cell r="Q93" t="str">
            <v>SS400</v>
          </cell>
          <cell r="R93" t="str">
            <v>E354421_01</v>
          </cell>
          <cell r="S93">
            <v>139</v>
          </cell>
          <cell r="T93" t="str">
            <v>標準</v>
          </cell>
        </row>
        <row r="94">
          <cell r="F94" t="str">
            <v>H0000006815</v>
          </cell>
          <cell r="I94" t="str">
            <v>フレーム</v>
          </cell>
          <cell r="J94" t="str">
            <v>S-Frame_RX-10_H_KTKT</v>
          </cell>
          <cell r="K94" t="str">
            <v>S-フレーム_RX-10_H_KTKT</v>
          </cell>
          <cell r="L94" t="str">
            <v>S-Frame</v>
          </cell>
          <cell r="M94" t="str">
            <v>S-フレーム</v>
          </cell>
          <cell r="P94" t="str">
            <v>31B0</v>
          </cell>
          <cell r="Q94" t="str">
            <v>SS400</v>
          </cell>
          <cell r="R94" t="str">
            <v>E354421_01</v>
          </cell>
          <cell r="S94">
            <v>139</v>
          </cell>
          <cell r="T94" t="str">
            <v>標準</v>
          </cell>
        </row>
        <row r="95">
          <cell r="F95" t="str">
            <v>H0000006821</v>
          </cell>
          <cell r="I95" t="str">
            <v>フレーム</v>
          </cell>
          <cell r="J95" t="str">
            <v>S-Frame_RX-10_H_NNNN</v>
          </cell>
          <cell r="K95" t="str">
            <v>S-フレーム_RX-10_H_NNNN</v>
          </cell>
          <cell r="L95" t="str">
            <v>S-Frame</v>
          </cell>
          <cell r="M95" t="str">
            <v>S-フレーム</v>
          </cell>
          <cell r="P95" t="str">
            <v>31B0</v>
          </cell>
          <cell r="Q95" t="str">
            <v>SS400</v>
          </cell>
          <cell r="R95" t="str">
            <v>E354421_01</v>
          </cell>
          <cell r="S95">
            <v>139</v>
          </cell>
          <cell r="T95" t="str">
            <v>標準</v>
          </cell>
        </row>
        <row r="96">
          <cell r="F96" t="str">
            <v>H0000006822</v>
          </cell>
          <cell r="I96" t="str">
            <v>フレーム</v>
          </cell>
          <cell r="J96" t="str">
            <v>S-Frame_RX-10_H_TTTT</v>
          </cell>
          <cell r="K96" t="str">
            <v>S-フレーム_RX-10_H_TTTT</v>
          </cell>
          <cell r="L96" t="str">
            <v>S-Frame</v>
          </cell>
          <cell r="M96" t="str">
            <v>S-フレーム</v>
          </cell>
          <cell r="P96" t="str">
            <v>31B0</v>
          </cell>
          <cell r="Q96" t="str">
            <v>SS400</v>
          </cell>
          <cell r="R96" t="str">
            <v>E354421_01</v>
          </cell>
          <cell r="S96">
            <v>139</v>
          </cell>
          <cell r="T96" t="str">
            <v>標準</v>
          </cell>
        </row>
        <row r="97">
          <cell r="F97" t="str">
            <v>H0000006823</v>
          </cell>
          <cell r="I97" t="str">
            <v>フレーム</v>
          </cell>
          <cell r="J97" t="str">
            <v>S-Frame_RX-10_H_KKKK</v>
          </cell>
          <cell r="K97" t="str">
            <v>S-フレーム_RX-10_H_KKKK</v>
          </cell>
          <cell r="L97" t="str">
            <v>S-Frame</v>
          </cell>
          <cell r="M97" t="str">
            <v>S-フレーム</v>
          </cell>
          <cell r="P97" t="str">
            <v>31B0</v>
          </cell>
          <cell r="Q97" t="str">
            <v>SS400</v>
          </cell>
          <cell r="R97" t="str">
            <v>E354421_01</v>
          </cell>
          <cell r="S97">
            <v>139</v>
          </cell>
          <cell r="T97" t="str">
            <v>標準</v>
          </cell>
        </row>
        <row r="98">
          <cell r="F98" t="str">
            <v>H0000006824</v>
          </cell>
          <cell r="I98" t="str">
            <v>フレーム</v>
          </cell>
          <cell r="J98" t="str">
            <v>S-Frame_RX-10_H_TKTK</v>
          </cell>
          <cell r="K98" t="str">
            <v>S-フレーム_RX-10_H_TKTK</v>
          </cell>
          <cell r="L98" t="str">
            <v>S-Frame</v>
          </cell>
          <cell r="M98" t="str">
            <v>S-フレーム</v>
          </cell>
          <cell r="P98" t="str">
            <v>31B0</v>
          </cell>
          <cell r="Q98" t="str">
            <v>SS400</v>
          </cell>
          <cell r="R98" t="str">
            <v>E354421_01</v>
          </cell>
          <cell r="S98">
            <v>139</v>
          </cell>
          <cell r="T98" t="str">
            <v>標準</v>
          </cell>
        </row>
        <row r="99">
          <cell r="F99" t="str">
            <v>H0000006825</v>
          </cell>
          <cell r="I99" t="str">
            <v>フレーム</v>
          </cell>
          <cell r="J99" t="str">
            <v>S-Frame_RX-10_H_KTKT</v>
          </cell>
          <cell r="K99" t="str">
            <v>S-フレーム_RX-10_H_KTKT</v>
          </cell>
          <cell r="L99" t="str">
            <v>S-Frame</v>
          </cell>
          <cell r="M99" t="str">
            <v>S-フレーム</v>
          </cell>
          <cell r="P99" t="str">
            <v>31B0</v>
          </cell>
          <cell r="Q99" t="str">
            <v>SS400</v>
          </cell>
          <cell r="R99" t="str">
            <v>E354421_01</v>
          </cell>
          <cell r="S99">
            <v>139</v>
          </cell>
          <cell r="T99" t="str">
            <v>標準</v>
          </cell>
        </row>
        <row r="100">
          <cell r="F100" t="str">
            <v>H0000006841</v>
          </cell>
          <cell r="I100" t="str">
            <v>フレーム</v>
          </cell>
          <cell r="J100" t="str">
            <v>S-Frame_RX-10_H_NNNN</v>
          </cell>
          <cell r="K100" t="str">
            <v>S-フレーム_RX-10_H_NNNN</v>
          </cell>
          <cell r="L100" t="str">
            <v>S-Frame</v>
          </cell>
          <cell r="M100" t="str">
            <v>S-フレーム</v>
          </cell>
          <cell r="P100" t="str">
            <v>31B0</v>
          </cell>
          <cell r="Q100" t="str">
            <v>SS400</v>
          </cell>
          <cell r="R100" t="str">
            <v>E354421_01</v>
          </cell>
          <cell r="S100">
            <v>139</v>
          </cell>
          <cell r="T100" t="str">
            <v>標準</v>
          </cell>
        </row>
        <row r="101">
          <cell r="F101" t="str">
            <v>H0000006842</v>
          </cell>
          <cell r="I101" t="str">
            <v>フレーム</v>
          </cell>
          <cell r="J101" t="str">
            <v>S-Frame_RX-10_H_TTTT</v>
          </cell>
          <cell r="K101" t="str">
            <v>S-フレーム_RX-10_H_TTTT</v>
          </cell>
          <cell r="L101" t="str">
            <v>S-Frame</v>
          </cell>
          <cell r="M101" t="str">
            <v>S-フレーム</v>
          </cell>
          <cell r="P101" t="str">
            <v>31B0</v>
          </cell>
          <cell r="Q101" t="str">
            <v>SS400</v>
          </cell>
          <cell r="R101" t="str">
            <v>E354421_01</v>
          </cell>
          <cell r="S101">
            <v>139</v>
          </cell>
          <cell r="T101" t="str">
            <v>標準</v>
          </cell>
        </row>
        <row r="102">
          <cell r="F102" t="str">
            <v>H0000006843</v>
          </cell>
          <cell r="I102" t="str">
            <v>フレーム</v>
          </cell>
          <cell r="J102" t="str">
            <v>S-Frame_RX-10_H_KKKK</v>
          </cell>
          <cell r="K102" t="str">
            <v>S-フレーム_RX-10_H_KKKK</v>
          </cell>
          <cell r="L102" t="str">
            <v>S-Frame</v>
          </cell>
          <cell r="M102" t="str">
            <v>S-フレーム</v>
          </cell>
          <cell r="P102" t="str">
            <v>31B0</v>
          </cell>
          <cell r="Q102" t="str">
            <v>SS400</v>
          </cell>
          <cell r="R102" t="str">
            <v>E354421_01</v>
          </cell>
          <cell r="S102">
            <v>139</v>
          </cell>
          <cell r="T102" t="str">
            <v>標準</v>
          </cell>
        </row>
        <row r="103">
          <cell r="F103" t="str">
            <v>H0000006844</v>
          </cell>
          <cell r="I103" t="str">
            <v>フレーム</v>
          </cell>
          <cell r="J103" t="str">
            <v>S-Frame_RX-10_H_TKTK</v>
          </cell>
          <cell r="K103" t="str">
            <v>S-フレーム_RX-10_H_TKTK</v>
          </cell>
          <cell r="L103" t="str">
            <v>S-Frame</v>
          </cell>
          <cell r="M103" t="str">
            <v>S-フレーム</v>
          </cell>
          <cell r="P103" t="str">
            <v>31B0</v>
          </cell>
          <cell r="Q103" t="str">
            <v>SS400</v>
          </cell>
          <cell r="R103" t="str">
            <v>E354421_01</v>
          </cell>
          <cell r="S103">
            <v>139</v>
          </cell>
          <cell r="T103" t="str">
            <v>標準</v>
          </cell>
        </row>
        <row r="104">
          <cell r="F104" t="str">
            <v>H0000006845</v>
          </cell>
          <cell r="I104" t="str">
            <v>フレーム</v>
          </cell>
          <cell r="J104" t="str">
            <v>S-Frame_RX-10_H_KTKT</v>
          </cell>
          <cell r="K104" t="str">
            <v>S-フレーム_RX-10_H_KTKT</v>
          </cell>
          <cell r="L104" t="str">
            <v>S-Frame</v>
          </cell>
          <cell r="M104" t="str">
            <v>S-フレーム</v>
          </cell>
          <cell r="P104" t="str">
            <v>31B0</v>
          </cell>
          <cell r="Q104" t="str">
            <v>SS400</v>
          </cell>
          <cell r="R104" t="str">
            <v>E354421_01</v>
          </cell>
          <cell r="S104">
            <v>139</v>
          </cell>
          <cell r="T104" t="str">
            <v>標準</v>
          </cell>
        </row>
        <row r="105">
          <cell r="F105" t="str">
            <v>H0000006851</v>
          </cell>
          <cell r="I105" t="str">
            <v>フレーム</v>
          </cell>
          <cell r="J105" t="str">
            <v>S-Frame_RX-10_H_NNNN</v>
          </cell>
          <cell r="K105" t="str">
            <v>S-フレーム_RX-10_H_NNNN</v>
          </cell>
          <cell r="L105" t="str">
            <v>S-Frame</v>
          </cell>
          <cell r="M105" t="str">
            <v>S-フレーム</v>
          </cell>
          <cell r="P105" t="str">
            <v>31B0</v>
          </cell>
          <cell r="Q105" t="str">
            <v>SS400</v>
          </cell>
          <cell r="R105" t="str">
            <v>E354421_01</v>
          </cell>
          <cell r="S105">
            <v>139</v>
          </cell>
          <cell r="T105" t="str">
            <v>標準</v>
          </cell>
        </row>
        <row r="106">
          <cell r="F106" t="str">
            <v>H0000006852</v>
          </cell>
          <cell r="I106" t="str">
            <v>フレーム</v>
          </cell>
          <cell r="J106" t="str">
            <v>S-Frame_RX-10_H_TTTT</v>
          </cell>
          <cell r="K106" t="str">
            <v>S-フレーム_RX-10_H_TTTT</v>
          </cell>
          <cell r="L106" t="str">
            <v>S-Frame</v>
          </cell>
          <cell r="M106" t="str">
            <v>S-フレーム</v>
          </cell>
          <cell r="P106" t="str">
            <v>31B0</v>
          </cell>
          <cell r="Q106" t="str">
            <v>SS400</v>
          </cell>
          <cell r="R106" t="str">
            <v>E354421_01</v>
          </cell>
          <cell r="S106">
            <v>139</v>
          </cell>
          <cell r="T106" t="str">
            <v>標準</v>
          </cell>
        </row>
        <row r="107">
          <cell r="F107" t="str">
            <v>H0000006853</v>
          </cell>
          <cell r="I107" t="str">
            <v>フレーム</v>
          </cell>
          <cell r="J107" t="str">
            <v>S-Frame_RX-10_H_KKKK</v>
          </cell>
          <cell r="K107" t="str">
            <v>S-フレーム_RX-10_H_KKKK</v>
          </cell>
          <cell r="L107" t="str">
            <v>S-Frame</v>
          </cell>
          <cell r="M107" t="str">
            <v>S-フレーム</v>
          </cell>
          <cell r="P107" t="str">
            <v>31B0</v>
          </cell>
          <cell r="Q107" t="str">
            <v>SS400</v>
          </cell>
          <cell r="R107" t="str">
            <v>E354421_01</v>
          </cell>
          <cell r="S107">
            <v>139</v>
          </cell>
          <cell r="T107" t="str">
            <v>標準</v>
          </cell>
        </row>
        <row r="108">
          <cell r="F108" t="str">
            <v>H0000006854</v>
          </cell>
          <cell r="I108" t="str">
            <v>フレーム</v>
          </cell>
          <cell r="J108" t="str">
            <v>S-Frame_RX-10_H_TKTK</v>
          </cell>
          <cell r="K108" t="str">
            <v>S-フレーム_RX-10_H_TKTK</v>
          </cell>
          <cell r="L108" t="str">
            <v>S-Frame</v>
          </cell>
          <cell r="M108" t="str">
            <v>S-フレーム</v>
          </cell>
          <cell r="P108" t="str">
            <v>31B0</v>
          </cell>
          <cell r="Q108" t="str">
            <v>SS400</v>
          </cell>
          <cell r="R108" t="str">
            <v>E354421_01</v>
          </cell>
          <cell r="S108">
            <v>139</v>
          </cell>
          <cell r="T108" t="str">
            <v>標準</v>
          </cell>
        </row>
        <row r="109">
          <cell r="F109" t="str">
            <v>H0000006855</v>
          </cell>
          <cell r="I109" t="str">
            <v>フレーム</v>
          </cell>
          <cell r="J109" t="str">
            <v>S-Frame_RX-10_H_KTKT</v>
          </cell>
          <cell r="K109" t="str">
            <v>S-フレーム_RX-10_H_KTKT</v>
          </cell>
          <cell r="L109" t="str">
            <v>S-Frame</v>
          </cell>
          <cell r="M109" t="str">
            <v>S-フレーム</v>
          </cell>
          <cell r="P109" t="str">
            <v>31B0</v>
          </cell>
          <cell r="Q109" t="str">
            <v>SS400</v>
          </cell>
          <cell r="R109" t="str">
            <v>E354421_01</v>
          </cell>
          <cell r="S109">
            <v>139</v>
          </cell>
          <cell r="T109" t="str">
            <v>標準</v>
          </cell>
        </row>
        <row r="110">
          <cell r="F110" t="str">
            <v>H0000006856</v>
          </cell>
          <cell r="I110" t="str">
            <v>フレーム</v>
          </cell>
          <cell r="J110" t="str">
            <v>S-Frame_RX-10_H_NNNN</v>
          </cell>
          <cell r="K110" t="str">
            <v>S-フレーム_RX-10_H_NNNN</v>
          </cell>
          <cell r="L110" t="str">
            <v>S-Frame</v>
          </cell>
          <cell r="M110" t="str">
            <v>S-フレーム</v>
          </cell>
          <cell r="P110" t="str">
            <v>31B0</v>
          </cell>
          <cell r="Q110" t="str">
            <v>SS400</v>
          </cell>
          <cell r="R110" t="str">
            <v>E354421_01</v>
          </cell>
          <cell r="S110">
            <v>139</v>
          </cell>
          <cell r="T110" t="str">
            <v>標準</v>
          </cell>
        </row>
        <row r="111">
          <cell r="F111" t="str">
            <v>H0000006857</v>
          </cell>
          <cell r="I111" t="str">
            <v>フレーム</v>
          </cell>
          <cell r="J111" t="str">
            <v>S-Frame_RX-10_H_TTTT</v>
          </cell>
          <cell r="K111" t="str">
            <v>S-フレーム_RX-10_H_TTTT</v>
          </cell>
          <cell r="L111" t="str">
            <v>S-Frame</v>
          </cell>
          <cell r="M111" t="str">
            <v>S-フレーム</v>
          </cell>
          <cell r="P111" t="str">
            <v>31B0</v>
          </cell>
          <cell r="Q111" t="str">
            <v>SS400</v>
          </cell>
          <cell r="R111" t="str">
            <v>E354421_01</v>
          </cell>
          <cell r="S111">
            <v>139</v>
          </cell>
          <cell r="T111" t="str">
            <v>標準</v>
          </cell>
        </row>
        <row r="112">
          <cell r="F112" t="str">
            <v>H0000006858</v>
          </cell>
          <cell r="I112" t="str">
            <v>フレーム</v>
          </cell>
          <cell r="J112" t="str">
            <v>S-Frame_RX-10_H_KKKK</v>
          </cell>
          <cell r="K112" t="str">
            <v>S-フレーム_RX-10_H_KKKK</v>
          </cell>
          <cell r="L112" t="str">
            <v>S-Frame</v>
          </cell>
          <cell r="M112" t="str">
            <v>S-フレーム</v>
          </cell>
          <cell r="P112" t="str">
            <v>31B0</v>
          </cell>
          <cell r="Q112" t="str">
            <v>SS400</v>
          </cell>
          <cell r="R112" t="str">
            <v>E354421_01</v>
          </cell>
          <cell r="S112">
            <v>139</v>
          </cell>
          <cell r="T112" t="str">
            <v>標準</v>
          </cell>
        </row>
        <row r="113">
          <cell r="F113" t="str">
            <v>H0000006859</v>
          </cell>
          <cell r="I113" t="str">
            <v>フレーム</v>
          </cell>
          <cell r="J113" t="str">
            <v>S-Frame_RX-10_H_TKTK</v>
          </cell>
          <cell r="K113" t="str">
            <v>S-フレーム_RX-10_H_TKTK</v>
          </cell>
          <cell r="L113" t="str">
            <v>S-Frame</v>
          </cell>
          <cell r="M113" t="str">
            <v>S-フレーム</v>
          </cell>
          <cell r="P113" t="str">
            <v>31B0</v>
          </cell>
          <cell r="Q113" t="str">
            <v>SS400</v>
          </cell>
          <cell r="R113" t="str">
            <v>E354421_01</v>
          </cell>
          <cell r="S113">
            <v>139</v>
          </cell>
          <cell r="T113" t="str">
            <v>標準</v>
          </cell>
        </row>
        <row r="114">
          <cell r="F114" t="str">
            <v>H0000006860</v>
          </cell>
          <cell r="I114" t="str">
            <v>フレーム</v>
          </cell>
          <cell r="J114" t="str">
            <v>S-Frame_RX-10_H_KTKT</v>
          </cell>
          <cell r="K114" t="str">
            <v>S-フレーム_RX-10_H_KTKT</v>
          </cell>
          <cell r="L114" t="str">
            <v>S-Frame</v>
          </cell>
          <cell r="M114" t="str">
            <v>S-フレーム</v>
          </cell>
          <cell r="P114" t="str">
            <v>31B0</v>
          </cell>
          <cell r="Q114" t="str">
            <v>SS400</v>
          </cell>
          <cell r="R114" t="str">
            <v>E354421_01</v>
          </cell>
          <cell r="S114">
            <v>139</v>
          </cell>
          <cell r="T114" t="str">
            <v>標準</v>
          </cell>
        </row>
        <row r="115">
          <cell r="F115" t="str">
            <v>H0000006866</v>
          </cell>
          <cell r="I115" t="str">
            <v>フレーム</v>
          </cell>
          <cell r="J115" t="str">
            <v>S-Frame_RX-10_H_NNNN</v>
          </cell>
          <cell r="K115" t="str">
            <v>S-フレーム_RX-10_H_NNNN</v>
          </cell>
          <cell r="L115" t="str">
            <v>S-Frame</v>
          </cell>
          <cell r="M115" t="str">
            <v>S-フレーム</v>
          </cell>
          <cell r="P115" t="str">
            <v>31B0</v>
          </cell>
          <cell r="Q115" t="str">
            <v>SS400</v>
          </cell>
          <cell r="R115" t="str">
            <v>E354421_01</v>
          </cell>
          <cell r="S115">
            <v>139</v>
          </cell>
          <cell r="T115" t="str">
            <v>標準</v>
          </cell>
        </row>
        <row r="116">
          <cell r="F116" t="str">
            <v>H0000006867</v>
          </cell>
          <cell r="I116" t="str">
            <v>フレーム</v>
          </cell>
          <cell r="J116" t="str">
            <v>S-Frame_RX-10_H_TTTT</v>
          </cell>
          <cell r="K116" t="str">
            <v>S-フレーム_RX-10_H_TTTT</v>
          </cell>
          <cell r="L116" t="str">
            <v>S-Frame</v>
          </cell>
          <cell r="M116" t="str">
            <v>S-フレーム</v>
          </cell>
          <cell r="P116" t="str">
            <v>31B0</v>
          </cell>
          <cell r="Q116" t="str">
            <v>SS400</v>
          </cell>
          <cell r="R116" t="str">
            <v>E354421_01</v>
          </cell>
          <cell r="S116">
            <v>139</v>
          </cell>
          <cell r="T116" t="str">
            <v>標準</v>
          </cell>
        </row>
        <row r="117">
          <cell r="F117" t="str">
            <v>H0000006868</v>
          </cell>
          <cell r="I117" t="str">
            <v>フレーム</v>
          </cell>
          <cell r="J117" t="str">
            <v>S-Frame_RX-10_H_KKKK</v>
          </cell>
          <cell r="K117" t="str">
            <v>S-フレーム_RX-10_H_KKKK</v>
          </cell>
          <cell r="L117" t="str">
            <v>S-Frame</v>
          </cell>
          <cell r="M117" t="str">
            <v>S-フレーム</v>
          </cell>
          <cell r="P117" t="str">
            <v>31B0</v>
          </cell>
          <cell r="Q117" t="str">
            <v>SS400</v>
          </cell>
          <cell r="R117" t="str">
            <v>E354421_01</v>
          </cell>
          <cell r="S117">
            <v>139</v>
          </cell>
          <cell r="T117" t="str">
            <v>標準</v>
          </cell>
        </row>
        <row r="118">
          <cell r="F118" t="str">
            <v>H0000006869</v>
          </cell>
          <cell r="I118" t="str">
            <v>フレーム</v>
          </cell>
          <cell r="J118" t="str">
            <v>S-Frame_RX-10_H_TKTK</v>
          </cell>
          <cell r="K118" t="str">
            <v>S-フレーム_RX-10_H_TKTK</v>
          </cell>
          <cell r="L118" t="str">
            <v>S-Frame</v>
          </cell>
          <cell r="M118" t="str">
            <v>S-フレーム</v>
          </cell>
          <cell r="P118" t="str">
            <v>31B0</v>
          </cell>
          <cell r="Q118" t="str">
            <v>SS400</v>
          </cell>
          <cell r="R118" t="str">
            <v>E354421_01</v>
          </cell>
          <cell r="S118">
            <v>139</v>
          </cell>
          <cell r="T118" t="str">
            <v>標準</v>
          </cell>
        </row>
        <row r="119">
          <cell r="F119" t="str">
            <v>H0000006870</v>
          </cell>
          <cell r="I119" t="str">
            <v>フレーム</v>
          </cell>
          <cell r="J119" t="str">
            <v>S-Frame_RX-10_H_KTKT</v>
          </cell>
          <cell r="K119" t="str">
            <v>S-フレーム_RX-10_H_KTKT</v>
          </cell>
          <cell r="L119" t="str">
            <v>S-Frame</v>
          </cell>
          <cell r="M119" t="str">
            <v>S-フレーム</v>
          </cell>
          <cell r="P119" t="str">
            <v>31B0</v>
          </cell>
          <cell r="Q119" t="str">
            <v>SS400</v>
          </cell>
          <cell r="R119" t="str">
            <v>E354421_01</v>
          </cell>
          <cell r="S119">
            <v>139</v>
          </cell>
          <cell r="T119" t="str">
            <v>標準</v>
          </cell>
        </row>
        <row r="120">
          <cell r="F120" t="str">
            <v>H0000006886</v>
          </cell>
          <cell r="I120" t="str">
            <v>フレーム</v>
          </cell>
          <cell r="J120" t="str">
            <v>S-Frame_RX-10_H_NNNN</v>
          </cell>
          <cell r="K120" t="str">
            <v>S-フレーム_RX-10_H_NNNN</v>
          </cell>
          <cell r="L120" t="str">
            <v>S-Frame</v>
          </cell>
          <cell r="M120" t="str">
            <v>S-フレーム</v>
          </cell>
          <cell r="P120" t="str">
            <v>31B0</v>
          </cell>
          <cell r="Q120" t="str">
            <v>SS400</v>
          </cell>
          <cell r="R120" t="str">
            <v>E354421_01</v>
          </cell>
          <cell r="S120">
            <v>139</v>
          </cell>
          <cell r="T120" t="str">
            <v>標準</v>
          </cell>
        </row>
        <row r="121">
          <cell r="F121" t="str">
            <v>H0000006887</v>
          </cell>
          <cell r="I121" t="str">
            <v>フレーム</v>
          </cell>
          <cell r="J121" t="str">
            <v>S-Frame_RX-10_H_TTTT</v>
          </cell>
          <cell r="K121" t="str">
            <v>S-フレーム_RX-10_H_TTTT</v>
          </cell>
          <cell r="L121" t="str">
            <v>S-Frame</v>
          </cell>
          <cell r="M121" t="str">
            <v>S-フレーム</v>
          </cell>
          <cell r="P121" t="str">
            <v>31B0</v>
          </cell>
          <cell r="Q121" t="str">
            <v>SS400</v>
          </cell>
          <cell r="R121" t="str">
            <v>E354421_01</v>
          </cell>
          <cell r="S121">
            <v>139</v>
          </cell>
          <cell r="T121" t="str">
            <v>標準</v>
          </cell>
        </row>
        <row r="122">
          <cell r="F122" t="str">
            <v>H0000006888</v>
          </cell>
          <cell r="I122" t="str">
            <v>フレーム</v>
          </cell>
          <cell r="J122" t="str">
            <v>S-Frame_RX-10_H_KKKK</v>
          </cell>
          <cell r="K122" t="str">
            <v>S-フレーム_RX-10_H_KKKK</v>
          </cell>
          <cell r="L122" t="str">
            <v>S-Frame</v>
          </cell>
          <cell r="M122" t="str">
            <v>S-フレーム</v>
          </cell>
          <cell r="P122" t="str">
            <v>31B0</v>
          </cell>
          <cell r="Q122" t="str">
            <v>SS400</v>
          </cell>
          <cell r="R122" t="str">
            <v>E354421_01</v>
          </cell>
          <cell r="S122">
            <v>139</v>
          </cell>
          <cell r="T122" t="str">
            <v>標準</v>
          </cell>
        </row>
        <row r="123">
          <cell r="F123" t="str">
            <v>H0000006889</v>
          </cell>
          <cell r="I123" t="str">
            <v>フレーム</v>
          </cell>
          <cell r="J123" t="str">
            <v>S-Frame_RX-10_H_TKTK</v>
          </cell>
          <cell r="K123" t="str">
            <v>S-フレーム_RX-10_H_TKTK</v>
          </cell>
          <cell r="L123" t="str">
            <v>S-Frame</v>
          </cell>
          <cell r="M123" t="str">
            <v>S-フレーム</v>
          </cell>
          <cell r="P123" t="str">
            <v>31B0</v>
          </cell>
          <cell r="Q123" t="str">
            <v>SS400</v>
          </cell>
          <cell r="R123" t="str">
            <v>E354421_01</v>
          </cell>
          <cell r="S123">
            <v>139</v>
          </cell>
          <cell r="T123" t="str">
            <v>標準</v>
          </cell>
        </row>
        <row r="124">
          <cell r="F124" t="str">
            <v>H0000006890</v>
          </cell>
          <cell r="I124" t="str">
            <v>フレーム</v>
          </cell>
          <cell r="J124" t="str">
            <v>S-Frame_RX-10_H_KTKT</v>
          </cell>
          <cell r="K124" t="str">
            <v>S-フレーム_RX-10_H_KTKT</v>
          </cell>
          <cell r="L124" t="str">
            <v>S-Frame</v>
          </cell>
          <cell r="M124" t="str">
            <v>S-フレーム</v>
          </cell>
          <cell r="P124" t="str">
            <v>31B0</v>
          </cell>
          <cell r="Q124" t="str">
            <v>SS400</v>
          </cell>
          <cell r="R124" t="str">
            <v>E354421_01</v>
          </cell>
          <cell r="S124">
            <v>139</v>
          </cell>
          <cell r="T124" t="str">
            <v>標準</v>
          </cell>
        </row>
        <row r="125">
          <cell r="F125" t="str">
            <v>H0000006941</v>
          </cell>
          <cell r="I125" t="str">
            <v>フレーム</v>
          </cell>
          <cell r="J125" t="str">
            <v>S-Frame_RX-10_H_NNNN</v>
          </cell>
          <cell r="K125" t="str">
            <v>S-フレーム_RX-10_H_NNNN</v>
          </cell>
          <cell r="L125" t="str">
            <v>S-Frame</v>
          </cell>
          <cell r="M125" t="str">
            <v>S-フレーム</v>
          </cell>
          <cell r="P125" t="str">
            <v>31B0</v>
          </cell>
          <cell r="Q125" t="str">
            <v>SS400</v>
          </cell>
          <cell r="R125" t="str">
            <v>E354421_01</v>
          </cell>
          <cell r="S125">
            <v>139</v>
          </cell>
          <cell r="T125" t="str">
            <v>標準</v>
          </cell>
        </row>
        <row r="126">
          <cell r="F126" t="str">
            <v>H0000006942</v>
          </cell>
          <cell r="I126" t="str">
            <v>フレーム</v>
          </cell>
          <cell r="J126" t="str">
            <v>S-Frame_RX-10_H_TTTT</v>
          </cell>
          <cell r="K126" t="str">
            <v>S-フレーム_RX-10_H_TTTT</v>
          </cell>
          <cell r="L126" t="str">
            <v>S-Frame</v>
          </cell>
          <cell r="M126" t="str">
            <v>S-フレーム</v>
          </cell>
          <cell r="P126" t="str">
            <v>31B0</v>
          </cell>
          <cell r="Q126" t="str">
            <v>SS400</v>
          </cell>
          <cell r="R126" t="str">
            <v>E354421_01</v>
          </cell>
          <cell r="S126">
            <v>139</v>
          </cell>
          <cell r="T126" t="str">
            <v>標準</v>
          </cell>
        </row>
        <row r="127">
          <cell r="F127" t="str">
            <v>H0000006943</v>
          </cell>
          <cell r="I127" t="str">
            <v>フレーム</v>
          </cell>
          <cell r="J127" t="str">
            <v>S-Frame_RX-10_H_KKKK</v>
          </cell>
          <cell r="K127" t="str">
            <v>S-フレーム_RX-10_H_KKKK</v>
          </cell>
          <cell r="L127" t="str">
            <v>S-Frame</v>
          </cell>
          <cell r="M127" t="str">
            <v>S-フレーム</v>
          </cell>
          <cell r="P127" t="str">
            <v>31B0</v>
          </cell>
          <cell r="Q127" t="str">
            <v>SS400</v>
          </cell>
          <cell r="R127" t="str">
            <v>E354421_01</v>
          </cell>
          <cell r="S127">
            <v>139</v>
          </cell>
          <cell r="T127" t="str">
            <v>標準</v>
          </cell>
        </row>
        <row r="128">
          <cell r="F128" t="str">
            <v>H0000006944</v>
          </cell>
          <cell r="I128" t="str">
            <v>フレーム</v>
          </cell>
          <cell r="J128" t="str">
            <v>S-Frame_RX-10_H_TKTK</v>
          </cell>
          <cell r="K128" t="str">
            <v>S-フレーム_RX-10_H_TKTK</v>
          </cell>
          <cell r="L128" t="str">
            <v>S-Frame</v>
          </cell>
          <cell r="M128" t="str">
            <v>S-フレーム</v>
          </cell>
          <cell r="P128" t="str">
            <v>31B0</v>
          </cell>
          <cell r="Q128" t="str">
            <v>SS400</v>
          </cell>
          <cell r="R128" t="str">
            <v>E354421_01</v>
          </cell>
          <cell r="S128">
            <v>139</v>
          </cell>
          <cell r="T128" t="str">
            <v>標準</v>
          </cell>
        </row>
        <row r="129">
          <cell r="F129" t="str">
            <v>H0000006945</v>
          </cell>
          <cell r="I129" t="str">
            <v>フレーム</v>
          </cell>
          <cell r="J129" t="str">
            <v>S-Frame_RX-10_H_KTKT</v>
          </cell>
          <cell r="K129" t="str">
            <v>S-フレーム_RX-10_H_KTKT</v>
          </cell>
          <cell r="L129" t="str">
            <v>S-Frame</v>
          </cell>
          <cell r="M129" t="str">
            <v>S-フレーム</v>
          </cell>
          <cell r="P129" t="str">
            <v>31B0</v>
          </cell>
          <cell r="Q129" t="str">
            <v>SS400</v>
          </cell>
          <cell r="R129" t="str">
            <v>E354421_01</v>
          </cell>
          <cell r="S129">
            <v>139</v>
          </cell>
          <cell r="T129" t="str">
            <v>標準</v>
          </cell>
        </row>
        <row r="130">
          <cell r="F130" t="str">
            <v>H0000006946</v>
          </cell>
          <cell r="I130" t="str">
            <v>フレーム</v>
          </cell>
          <cell r="J130" t="str">
            <v>S-Frame_RX-10_H_NNNN</v>
          </cell>
          <cell r="K130" t="str">
            <v>S-フレーム_RX-10_H_NNNN</v>
          </cell>
          <cell r="L130" t="str">
            <v>S-Frame</v>
          </cell>
          <cell r="M130" t="str">
            <v>S-フレーム</v>
          </cell>
          <cell r="P130" t="str">
            <v>31B0</v>
          </cell>
          <cell r="Q130" t="str">
            <v>SS400</v>
          </cell>
          <cell r="R130" t="str">
            <v>E354421_01</v>
          </cell>
          <cell r="S130">
            <v>139</v>
          </cell>
          <cell r="T130" t="str">
            <v>標準</v>
          </cell>
        </row>
        <row r="131">
          <cell r="F131" t="str">
            <v>H0000006947</v>
          </cell>
          <cell r="I131" t="str">
            <v>フレーム</v>
          </cell>
          <cell r="J131" t="str">
            <v>S-Frame_RX-10_H_TTTT</v>
          </cell>
          <cell r="K131" t="str">
            <v>S-フレーム_RX-10_H_TTTT</v>
          </cell>
          <cell r="L131" t="str">
            <v>S-Frame</v>
          </cell>
          <cell r="M131" t="str">
            <v>S-フレーム</v>
          </cell>
          <cell r="P131" t="str">
            <v>31B0</v>
          </cell>
          <cell r="Q131" t="str">
            <v>SS400</v>
          </cell>
          <cell r="R131" t="str">
            <v>E354421_01</v>
          </cell>
          <cell r="S131">
            <v>139</v>
          </cell>
          <cell r="T131" t="str">
            <v>標準</v>
          </cell>
        </row>
        <row r="132">
          <cell r="F132" t="str">
            <v>H0000006948</v>
          </cell>
          <cell r="I132" t="str">
            <v>フレーム</v>
          </cell>
          <cell r="J132" t="str">
            <v>S-Frame_RX-10_H_KKKK</v>
          </cell>
          <cell r="K132" t="str">
            <v>S-フレーム_RX-10_H_KKKK</v>
          </cell>
          <cell r="L132" t="str">
            <v>S-Frame</v>
          </cell>
          <cell r="M132" t="str">
            <v>S-フレーム</v>
          </cell>
          <cell r="P132" t="str">
            <v>31B0</v>
          </cell>
          <cell r="Q132" t="str">
            <v>SS400</v>
          </cell>
          <cell r="R132" t="str">
            <v>E354421_01</v>
          </cell>
          <cell r="S132">
            <v>139</v>
          </cell>
          <cell r="T132" t="str">
            <v>標準</v>
          </cell>
        </row>
        <row r="133">
          <cell r="F133" t="str">
            <v>H0000006949</v>
          </cell>
          <cell r="I133" t="str">
            <v>フレーム</v>
          </cell>
          <cell r="J133" t="str">
            <v>S-Frame_RX-10_H_TKTK</v>
          </cell>
          <cell r="K133" t="str">
            <v>S-フレーム_RX-10_H_TKTK</v>
          </cell>
          <cell r="L133" t="str">
            <v>S-Frame</v>
          </cell>
          <cell r="M133" t="str">
            <v>S-フレーム</v>
          </cell>
          <cell r="P133" t="str">
            <v>31B0</v>
          </cell>
          <cell r="Q133" t="str">
            <v>SS400</v>
          </cell>
          <cell r="R133" t="str">
            <v>E354421_01</v>
          </cell>
          <cell r="S133">
            <v>139</v>
          </cell>
          <cell r="T133" t="str">
            <v>標準</v>
          </cell>
        </row>
        <row r="134">
          <cell r="F134" t="str">
            <v>H0000006950</v>
          </cell>
          <cell r="I134" t="str">
            <v>フレーム</v>
          </cell>
          <cell r="J134" t="str">
            <v>S-Frame_RX-10_H_KTKT</v>
          </cell>
          <cell r="K134" t="str">
            <v>S-フレーム_RX-10_H_KTKT</v>
          </cell>
          <cell r="L134" t="str">
            <v>S-Frame</v>
          </cell>
          <cell r="M134" t="str">
            <v>S-フレーム</v>
          </cell>
          <cell r="P134" t="str">
            <v>31B0</v>
          </cell>
          <cell r="Q134" t="str">
            <v>SS400</v>
          </cell>
          <cell r="R134" t="str">
            <v>E354421_01</v>
          </cell>
          <cell r="S134">
            <v>139</v>
          </cell>
          <cell r="T134" t="str">
            <v>標準</v>
          </cell>
        </row>
        <row r="135">
          <cell r="F135" t="str">
            <v>H0000006956</v>
          </cell>
          <cell r="I135" t="str">
            <v>フレーム</v>
          </cell>
          <cell r="J135" t="str">
            <v>S-Frame_RX-10_H_NNNN</v>
          </cell>
          <cell r="K135" t="str">
            <v>S-フレーム_RX-10_H_NNNN</v>
          </cell>
          <cell r="L135" t="str">
            <v>S-Frame</v>
          </cell>
          <cell r="M135" t="str">
            <v>S-フレーム</v>
          </cell>
          <cell r="P135" t="str">
            <v>31B0</v>
          </cell>
          <cell r="Q135" t="str">
            <v>SS400</v>
          </cell>
          <cell r="R135" t="str">
            <v>E354421_01</v>
          </cell>
          <cell r="S135">
            <v>139</v>
          </cell>
          <cell r="T135" t="str">
            <v>標準</v>
          </cell>
        </row>
        <row r="136">
          <cell r="F136" t="str">
            <v>H0000006957</v>
          </cell>
          <cell r="I136" t="str">
            <v>フレーム</v>
          </cell>
          <cell r="J136" t="str">
            <v>S-Frame_RX-10_H_TTTT</v>
          </cell>
          <cell r="K136" t="str">
            <v>S-フレーム_RX-10_H_TTTT</v>
          </cell>
          <cell r="L136" t="str">
            <v>S-Frame</v>
          </cell>
          <cell r="M136" t="str">
            <v>S-フレーム</v>
          </cell>
          <cell r="P136" t="str">
            <v>31B0</v>
          </cell>
          <cell r="Q136" t="str">
            <v>SS400</v>
          </cell>
          <cell r="R136" t="str">
            <v>E354421_01</v>
          </cell>
          <cell r="S136">
            <v>139</v>
          </cell>
          <cell r="T136" t="str">
            <v>標準</v>
          </cell>
        </row>
        <row r="137">
          <cell r="F137" t="str">
            <v>H0000006958</v>
          </cell>
          <cell r="I137" t="str">
            <v>フレーム</v>
          </cell>
          <cell r="J137" t="str">
            <v>S-Frame_RX-10_H_KKKK</v>
          </cell>
          <cell r="K137" t="str">
            <v>S-フレーム_RX-10_H_KKKK</v>
          </cell>
          <cell r="L137" t="str">
            <v>S-Frame</v>
          </cell>
          <cell r="M137" t="str">
            <v>S-フレーム</v>
          </cell>
          <cell r="P137" t="str">
            <v>31B0</v>
          </cell>
          <cell r="Q137" t="str">
            <v>SS400</v>
          </cell>
          <cell r="R137" t="str">
            <v>E354421_01</v>
          </cell>
          <cell r="S137">
            <v>139</v>
          </cell>
          <cell r="T137" t="str">
            <v>標準</v>
          </cell>
        </row>
        <row r="138">
          <cell r="F138" t="str">
            <v>H0000006959</v>
          </cell>
          <cell r="I138" t="str">
            <v>フレーム</v>
          </cell>
          <cell r="J138" t="str">
            <v>S-Frame_RX-10_H_TKTK</v>
          </cell>
          <cell r="K138" t="str">
            <v>S-フレーム_RX-10_H_TKTK</v>
          </cell>
          <cell r="L138" t="str">
            <v>S-Frame</v>
          </cell>
          <cell r="M138" t="str">
            <v>S-フレーム</v>
          </cell>
          <cell r="P138" t="str">
            <v>31B0</v>
          </cell>
          <cell r="Q138" t="str">
            <v>SS400</v>
          </cell>
          <cell r="R138" t="str">
            <v>E354421_01</v>
          </cell>
          <cell r="S138">
            <v>139</v>
          </cell>
          <cell r="T138" t="str">
            <v>標準</v>
          </cell>
        </row>
        <row r="139">
          <cell r="F139" t="str">
            <v>H0000006960</v>
          </cell>
          <cell r="I139" t="str">
            <v>フレーム</v>
          </cell>
          <cell r="J139" t="str">
            <v>S-Frame_RX-10_H_KTKT</v>
          </cell>
          <cell r="K139" t="str">
            <v>S-フレーム_RX-10_H_KTKT</v>
          </cell>
          <cell r="L139" t="str">
            <v>S-Frame</v>
          </cell>
          <cell r="M139" t="str">
            <v>S-フレーム</v>
          </cell>
          <cell r="P139" t="str">
            <v>31B0</v>
          </cell>
          <cell r="Q139" t="str">
            <v>SS400</v>
          </cell>
          <cell r="R139" t="str">
            <v>E354421_01</v>
          </cell>
          <cell r="S139">
            <v>139</v>
          </cell>
          <cell r="T139" t="str">
            <v>標準</v>
          </cell>
        </row>
        <row r="140">
          <cell r="F140" t="str">
            <v>H0000006976</v>
          </cell>
          <cell r="I140" t="str">
            <v>フレーム</v>
          </cell>
          <cell r="J140" t="str">
            <v>S-Frame_RX-10_H_NNNN</v>
          </cell>
          <cell r="K140" t="str">
            <v>S-フレーム_RX-10_H_NNNN</v>
          </cell>
          <cell r="L140" t="str">
            <v>S-Frame</v>
          </cell>
          <cell r="M140" t="str">
            <v>S-フレーム</v>
          </cell>
          <cell r="P140" t="str">
            <v>31B0</v>
          </cell>
          <cell r="Q140" t="str">
            <v>SS400</v>
          </cell>
          <cell r="R140" t="str">
            <v>E354421_01</v>
          </cell>
          <cell r="S140">
            <v>139</v>
          </cell>
          <cell r="T140" t="str">
            <v>標準</v>
          </cell>
        </row>
        <row r="141">
          <cell r="F141" t="str">
            <v>H0000006977</v>
          </cell>
          <cell r="I141" t="str">
            <v>フレーム</v>
          </cell>
          <cell r="J141" t="str">
            <v>S-Frame_RX-10_H_TTTT</v>
          </cell>
          <cell r="K141" t="str">
            <v>S-フレーム_RX-10_H_TTTT</v>
          </cell>
          <cell r="L141" t="str">
            <v>S-Frame</v>
          </cell>
          <cell r="M141" t="str">
            <v>S-フレーム</v>
          </cell>
          <cell r="P141" t="str">
            <v>31B0</v>
          </cell>
          <cell r="Q141" t="str">
            <v>SS400</v>
          </cell>
          <cell r="R141" t="str">
            <v>E354421_01</v>
          </cell>
          <cell r="S141">
            <v>139</v>
          </cell>
          <cell r="T141" t="str">
            <v>標準</v>
          </cell>
        </row>
        <row r="142">
          <cell r="F142" t="str">
            <v>H0000006978</v>
          </cell>
          <cell r="I142" t="str">
            <v>フレーム</v>
          </cell>
          <cell r="J142" t="str">
            <v>S-Frame_RX-10_H_KKKK</v>
          </cell>
          <cell r="K142" t="str">
            <v>S-フレーム_RX-10_H_KKKK</v>
          </cell>
          <cell r="L142" t="str">
            <v>S-Frame</v>
          </cell>
          <cell r="M142" t="str">
            <v>S-フレーム</v>
          </cell>
          <cell r="P142" t="str">
            <v>31B0</v>
          </cell>
          <cell r="Q142" t="str">
            <v>SS400</v>
          </cell>
          <cell r="R142" t="str">
            <v>E354421_01</v>
          </cell>
          <cell r="S142">
            <v>139</v>
          </cell>
          <cell r="T142" t="str">
            <v>標準</v>
          </cell>
        </row>
        <row r="143">
          <cell r="F143" t="str">
            <v>H0000006979</v>
          </cell>
          <cell r="I143" t="str">
            <v>フレーム</v>
          </cell>
          <cell r="J143" t="str">
            <v>S-Frame_RX-10_H_TKTK</v>
          </cell>
          <cell r="K143" t="str">
            <v>S-フレーム_RX-10_H_TKTK</v>
          </cell>
          <cell r="L143" t="str">
            <v>S-Frame</v>
          </cell>
          <cell r="M143" t="str">
            <v>S-フレーム</v>
          </cell>
          <cell r="P143" t="str">
            <v>31B0</v>
          </cell>
          <cell r="Q143" t="str">
            <v>SS400</v>
          </cell>
          <cell r="R143" t="str">
            <v>E354421_01</v>
          </cell>
          <cell r="S143">
            <v>139</v>
          </cell>
          <cell r="T143" t="str">
            <v>標準</v>
          </cell>
        </row>
        <row r="144">
          <cell r="F144" t="str">
            <v>H0000006980</v>
          </cell>
          <cell r="I144" t="str">
            <v>フレーム</v>
          </cell>
          <cell r="J144" t="str">
            <v>S-Frame_RX-10_H_KTKT</v>
          </cell>
          <cell r="K144" t="str">
            <v>S-フレーム_RX-10_H_KTKT</v>
          </cell>
          <cell r="L144" t="str">
            <v>S-Frame</v>
          </cell>
          <cell r="M144" t="str">
            <v>S-フレーム</v>
          </cell>
          <cell r="P144" t="str">
            <v>31B0</v>
          </cell>
          <cell r="Q144" t="str">
            <v>SS400</v>
          </cell>
          <cell r="R144" t="str">
            <v>E354421_01</v>
          </cell>
          <cell r="S144">
            <v>139</v>
          </cell>
          <cell r="T144" t="str">
            <v>標準</v>
          </cell>
        </row>
        <row r="145">
          <cell r="F145" t="str">
            <v>H0000007121</v>
          </cell>
          <cell r="I145" t="str">
            <v>フレーム</v>
          </cell>
          <cell r="J145" t="str">
            <v>S-Frame_RX-10_H_NNNN</v>
          </cell>
          <cell r="K145" t="str">
            <v>S-フレーム_RX-10_H_NNNN</v>
          </cell>
          <cell r="L145" t="str">
            <v>S-Frame</v>
          </cell>
          <cell r="M145" t="str">
            <v>S-フレーム</v>
          </cell>
          <cell r="P145" t="str">
            <v>31B0</v>
          </cell>
          <cell r="Q145" t="str">
            <v>SS400</v>
          </cell>
          <cell r="R145" t="str">
            <v>E354421_01</v>
          </cell>
          <cell r="S145">
            <v>139</v>
          </cell>
          <cell r="T145" t="str">
            <v>標準</v>
          </cell>
        </row>
        <row r="146">
          <cell r="F146" t="str">
            <v>H0000007122</v>
          </cell>
          <cell r="I146" t="str">
            <v>フレーム</v>
          </cell>
          <cell r="J146" t="str">
            <v>S-Frame_RX-10_H_TTTT</v>
          </cell>
          <cell r="K146" t="str">
            <v>S-フレーム_RX-10_H_TTTT</v>
          </cell>
          <cell r="L146" t="str">
            <v>S-Frame</v>
          </cell>
          <cell r="M146" t="str">
            <v>S-フレーム</v>
          </cell>
          <cell r="P146" t="str">
            <v>31B0</v>
          </cell>
          <cell r="Q146" t="str">
            <v>SS400</v>
          </cell>
          <cell r="R146" t="str">
            <v>E354421_01</v>
          </cell>
          <cell r="S146">
            <v>139</v>
          </cell>
          <cell r="T146" t="str">
            <v>標準</v>
          </cell>
        </row>
        <row r="147">
          <cell r="F147" t="str">
            <v>H0000007123</v>
          </cell>
          <cell r="I147" t="str">
            <v>フレーム</v>
          </cell>
          <cell r="J147" t="str">
            <v>S-Frame_RX-10_H_KKKK</v>
          </cell>
          <cell r="K147" t="str">
            <v>S-フレーム_RX-10_H_KKKK</v>
          </cell>
          <cell r="L147" t="str">
            <v>S-Frame</v>
          </cell>
          <cell r="M147" t="str">
            <v>S-フレーム</v>
          </cell>
          <cell r="P147" t="str">
            <v>31B0</v>
          </cell>
          <cell r="Q147" t="str">
            <v>SS400</v>
          </cell>
          <cell r="R147" t="str">
            <v>E354421_01</v>
          </cell>
          <cell r="S147">
            <v>139</v>
          </cell>
          <cell r="T147" t="str">
            <v>標準</v>
          </cell>
        </row>
        <row r="148">
          <cell r="F148" t="str">
            <v>H0000007124</v>
          </cell>
          <cell r="I148" t="str">
            <v>フレーム</v>
          </cell>
          <cell r="J148" t="str">
            <v>S-Frame_RX-10_H_TKTK</v>
          </cell>
          <cell r="K148" t="str">
            <v>S-フレーム_RX-10_H_TKTK</v>
          </cell>
          <cell r="L148" t="str">
            <v>S-Frame</v>
          </cell>
          <cell r="M148" t="str">
            <v>S-フレーム</v>
          </cell>
          <cell r="P148" t="str">
            <v>31B0</v>
          </cell>
          <cell r="Q148" t="str">
            <v>SS400</v>
          </cell>
          <cell r="R148" t="str">
            <v>E354421_01</v>
          </cell>
          <cell r="S148">
            <v>139</v>
          </cell>
          <cell r="T148" t="str">
            <v>標準</v>
          </cell>
        </row>
        <row r="149">
          <cell r="F149" t="str">
            <v>H0000007125</v>
          </cell>
          <cell r="I149" t="str">
            <v>フレーム</v>
          </cell>
          <cell r="J149" t="str">
            <v>S-Frame_RX-10_H_KTKT</v>
          </cell>
          <cell r="K149" t="str">
            <v>S-フレーム_RX-10_H_KTKT</v>
          </cell>
          <cell r="L149" t="str">
            <v>S-Frame</v>
          </cell>
          <cell r="M149" t="str">
            <v>S-フレーム</v>
          </cell>
          <cell r="P149" t="str">
            <v>31B0</v>
          </cell>
          <cell r="Q149" t="str">
            <v>SS400</v>
          </cell>
          <cell r="R149" t="str">
            <v>E354421_01</v>
          </cell>
          <cell r="S149">
            <v>139</v>
          </cell>
          <cell r="T149" t="str">
            <v>標準</v>
          </cell>
        </row>
        <row r="150">
          <cell r="F150" t="str">
            <v>H0000007126</v>
          </cell>
          <cell r="I150" t="str">
            <v>フレーム</v>
          </cell>
          <cell r="J150" t="str">
            <v>S-Frame_RX-10_H_NNNN</v>
          </cell>
          <cell r="K150" t="str">
            <v>S-フレーム_RX-10_H_NNNN</v>
          </cell>
          <cell r="L150" t="str">
            <v>S-Frame</v>
          </cell>
          <cell r="M150" t="str">
            <v>S-フレーム</v>
          </cell>
          <cell r="P150" t="str">
            <v>31B0</v>
          </cell>
          <cell r="Q150" t="str">
            <v>SS400</v>
          </cell>
          <cell r="R150" t="str">
            <v>E354421_01</v>
          </cell>
          <cell r="S150">
            <v>139</v>
          </cell>
          <cell r="T150" t="str">
            <v>標準</v>
          </cell>
        </row>
        <row r="151">
          <cell r="F151" t="str">
            <v>H0000007127</v>
          </cell>
          <cell r="I151" t="str">
            <v>フレーム</v>
          </cell>
          <cell r="J151" t="str">
            <v>S-Frame_RX-10_H_TTTT</v>
          </cell>
          <cell r="K151" t="str">
            <v>S-フレーム_RX-10_H_TTTT</v>
          </cell>
          <cell r="L151" t="str">
            <v>S-Frame</v>
          </cell>
          <cell r="M151" t="str">
            <v>S-フレーム</v>
          </cell>
          <cell r="P151" t="str">
            <v>31B0</v>
          </cell>
          <cell r="Q151" t="str">
            <v>SS400</v>
          </cell>
          <cell r="R151" t="str">
            <v>E354421_01</v>
          </cell>
          <cell r="S151">
            <v>139</v>
          </cell>
          <cell r="T151" t="str">
            <v>標準</v>
          </cell>
        </row>
        <row r="152">
          <cell r="F152" t="str">
            <v>H0000007128</v>
          </cell>
          <cell r="I152" t="str">
            <v>フレーム</v>
          </cell>
          <cell r="J152" t="str">
            <v>S-Frame_RX-10_H_KKKK</v>
          </cell>
          <cell r="K152" t="str">
            <v>S-フレーム_RX-10_H_KKKK</v>
          </cell>
          <cell r="L152" t="str">
            <v>S-Frame</v>
          </cell>
          <cell r="M152" t="str">
            <v>S-フレーム</v>
          </cell>
          <cell r="P152" t="str">
            <v>31B0</v>
          </cell>
          <cell r="Q152" t="str">
            <v>SS400</v>
          </cell>
          <cell r="R152" t="str">
            <v>E354421_01</v>
          </cell>
          <cell r="S152">
            <v>139</v>
          </cell>
          <cell r="T152" t="str">
            <v>標準</v>
          </cell>
        </row>
        <row r="153">
          <cell r="F153" t="str">
            <v>H0000007129</v>
          </cell>
          <cell r="I153" t="str">
            <v>フレーム</v>
          </cell>
          <cell r="J153" t="str">
            <v>S-Frame_RX-10_H_TKTK</v>
          </cell>
          <cell r="K153" t="str">
            <v>S-フレーム_RX-10_H_TKTK</v>
          </cell>
          <cell r="L153" t="str">
            <v>S-Frame</v>
          </cell>
          <cell r="M153" t="str">
            <v>S-フレーム</v>
          </cell>
          <cell r="P153" t="str">
            <v>31B0</v>
          </cell>
          <cell r="Q153" t="str">
            <v>SS400</v>
          </cell>
          <cell r="R153" t="str">
            <v>E354421_01</v>
          </cell>
          <cell r="S153">
            <v>139</v>
          </cell>
          <cell r="T153" t="str">
            <v>標準</v>
          </cell>
        </row>
        <row r="154">
          <cell r="F154" t="str">
            <v>H0000007130</v>
          </cell>
          <cell r="I154" t="str">
            <v>フレーム</v>
          </cell>
          <cell r="J154" t="str">
            <v>S-Frame_RX-10_H_KTKT</v>
          </cell>
          <cell r="K154" t="str">
            <v>S-フレーム_RX-10_H_KTKT</v>
          </cell>
          <cell r="L154" t="str">
            <v>S-Frame</v>
          </cell>
          <cell r="M154" t="str">
            <v>S-フレーム</v>
          </cell>
          <cell r="P154" t="str">
            <v>31B0</v>
          </cell>
          <cell r="Q154" t="str">
            <v>SS400</v>
          </cell>
          <cell r="R154" t="str">
            <v>E354421_01</v>
          </cell>
          <cell r="S154">
            <v>139</v>
          </cell>
          <cell r="T154" t="str">
            <v>標準</v>
          </cell>
        </row>
        <row r="155">
          <cell r="F155" t="str">
            <v>H0000007136</v>
          </cell>
          <cell r="I155" t="str">
            <v>フレーム</v>
          </cell>
          <cell r="J155" t="str">
            <v>S-Frame_RX-10_H_NNNN</v>
          </cell>
          <cell r="K155" t="str">
            <v>S-フレーム_RX-10_H_NNNN</v>
          </cell>
          <cell r="L155" t="str">
            <v>S-Frame</v>
          </cell>
          <cell r="M155" t="str">
            <v>S-フレーム</v>
          </cell>
          <cell r="P155" t="str">
            <v>31B0</v>
          </cell>
          <cell r="Q155" t="str">
            <v>SS400</v>
          </cell>
          <cell r="R155" t="str">
            <v>E354421_01</v>
          </cell>
          <cell r="S155">
            <v>139</v>
          </cell>
          <cell r="T155" t="str">
            <v>標準</v>
          </cell>
        </row>
        <row r="156">
          <cell r="F156" t="str">
            <v>H0000007137</v>
          </cell>
          <cell r="I156" t="str">
            <v>フレーム</v>
          </cell>
          <cell r="J156" t="str">
            <v>S-Frame_RX-10_H_TTTT</v>
          </cell>
          <cell r="K156" t="str">
            <v>S-フレーム_RX-10_H_TTTT</v>
          </cell>
          <cell r="L156" t="str">
            <v>S-Frame</v>
          </cell>
          <cell r="M156" t="str">
            <v>S-フレーム</v>
          </cell>
          <cell r="P156" t="str">
            <v>31B0</v>
          </cell>
          <cell r="Q156" t="str">
            <v>SS400</v>
          </cell>
          <cell r="R156" t="str">
            <v>E354421_01</v>
          </cell>
          <cell r="S156">
            <v>139</v>
          </cell>
          <cell r="T156" t="str">
            <v>標準</v>
          </cell>
        </row>
        <row r="157">
          <cell r="F157" t="str">
            <v>H0000007138</v>
          </cell>
          <cell r="I157" t="str">
            <v>フレーム</v>
          </cell>
          <cell r="J157" t="str">
            <v>S-Frame_RX-10_H_KKKK</v>
          </cell>
          <cell r="K157" t="str">
            <v>S-フレーム_RX-10_H_KKKK</v>
          </cell>
          <cell r="L157" t="str">
            <v>S-Frame</v>
          </cell>
          <cell r="M157" t="str">
            <v>S-フレーム</v>
          </cell>
          <cell r="P157" t="str">
            <v>31B0</v>
          </cell>
          <cell r="Q157" t="str">
            <v>SS400</v>
          </cell>
          <cell r="R157" t="str">
            <v>E354421_01</v>
          </cell>
          <cell r="S157">
            <v>139</v>
          </cell>
          <cell r="T157" t="str">
            <v>標準</v>
          </cell>
        </row>
        <row r="158">
          <cell r="F158" t="str">
            <v>H0000007139</v>
          </cell>
          <cell r="I158" t="str">
            <v>フレーム</v>
          </cell>
          <cell r="J158" t="str">
            <v>S-Frame_RX-10_H_TKTK</v>
          </cell>
          <cell r="K158" t="str">
            <v>S-フレーム_RX-10_H_TKTK</v>
          </cell>
          <cell r="L158" t="str">
            <v>S-Frame</v>
          </cell>
          <cell r="M158" t="str">
            <v>S-フレーム</v>
          </cell>
          <cell r="P158" t="str">
            <v>31B0</v>
          </cell>
          <cell r="Q158" t="str">
            <v>SS400</v>
          </cell>
          <cell r="R158" t="str">
            <v>E354421_01</v>
          </cell>
          <cell r="S158">
            <v>139</v>
          </cell>
          <cell r="T158" t="str">
            <v>標準</v>
          </cell>
        </row>
        <row r="159">
          <cell r="F159" t="str">
            <v>H0000007140</v>
          </cell>
          <cell r="I159" t="str">
            <v>フレーム</v>
          </cell>
          <cell r="J159" t="str">
            <v>S-Frame_RX-10_H_KTKT</v>
          </cell>
          <cell r="K159" t="str">
            <v>S-フレーム_RX-10_H_KTKT</v>
          </cell>
          <cell r="L159" t="str">
            <v>S-Frame</v>
          </cell>
          <cell r="M159" t="str">
            <v>S-フレーム</v>
          </cell>
          <cell r="P159" t="str">
            <v>31B0</v>
          </cell>
          <cell r="Q159" t="str">
            <v>SS400</v>
          </cell>
          <cell r="R159" t="str">
            <v>E354421_01</v>
          </cell>
          <cell r="S159">
            <v>139</v>
          </cell>
          <cell r="T159" t="str">
            <v>標準</v>
          </cell>
        </row>
        <row r="160">
          <cell r="F160" t="str">
            <v>H0000007156</v>
          </cell>
          <cell r="I160" t="str">
            <v>フレーム</v>
          </cell>
          <cell r="J160" t="str">
            <v>S-Frame_RX-10_H_NNNN</v>
          </cell>
          <cell r="K160" t="str">
            <v>S-フレーム_RX-10_H_NNNN</v>
          </cell>
          <cell r="L160" t="str">
            <v>S-Frame</v>
          </cell>
          <cell r="M160" t="str">
            <v>S-フレーム</v>
          </cell>
          <cell r="P160" t="str">
            <v>31B0</v>
          </cell>
          <cell r="Q160" t="str">
            <v>SS400</v>
          </cell>
          <cell r="R160" t="str">
            <v>E354421_01</v>
          </cell>
          <cell r="S160">
            <v>139</v>
          </cell>
          <cell r="T160" t="str">
            <v>標準</v>
          </cell>
        </row>
        <row r="161">
          <cell r="F161" t="str">
            <v>H0000007157</v>
          </cell>
          <cell r="I161" t="str">
            <v>フレーム</v>
          </cell>
          <cell r="J161" t="str">
            <v>S-Frame_RX-10_H_TTTT</v>
          </cell>
          <cell r="K161" t="str">
            <v>S-フレーム_RX-10_H_TTTT</v>
          </cell>
          <cell r="L161" t="str">
            <v>S-Frame</v>
          </cell>
          <cell r="M161" t="str">
            <v>S-フレーム</v>
          </cell>
          <cell r="P161" t="str">
            <v>31B0</v>
          </cell>
          <cell r="Q161" t="str">
            <v>SS400</v>
          </cell>
          <cell r="R161" t="str">
            <v>E354421_01</v>
          </cell>
          <cell r="S161">
            <v>139</v>
          </cell>
          <cell r="T161" t="str">
            <v>標準</v>
          </cell>
        </row>
        <row r="162">
          <cell r="F162" t="str">
            <v>H0000007158</v>
          </cell>
          <cell r="I162" t="str">
            <v>フレーム</v>
          </cell>
          <cell r="J162" t="str">
            <v>S-Frame_RX-10_H_KKKK</v>
          </cell>
          <cell r="K162" t="str">
            <v>S-フレーム_RX-10_H_KKKK</v>
          </cell>
          <cell r="L162" t="str">
            <v>S-Frame</v>
          </cell>
          <cell r="M162" t="str">
            <v>S-フレーム</v>
          </cell>
          <cell r="P162" t="str">
            <v>31B0</v>
          </cell>
          <cell r="Q162" t="str">
            <v>SS400</v>
          </cell>
          <cell r="R162" t="str">
            <v>E354421_01</v>
          </cell>
          <cell r="S162">
            <v>139</v>
          </cell>
          <cell r="T162" t="str">
            <v>標準</v>
          </cell>
        </row>
        <row r="163">
          <cell r="F163" t="str">
            <v>H0000007159</v>
          </cell>
          <cell r="I163" t="str">
            <v>フレーム</v>
          </cell>
          <cell r="J163" t="str">
            <v>S-Frame_RX-10_H_TKTK</v>
          </cell>
          <cell r="K163" t="str">
            <v>S-フレーム_RX-10_H_TKTK</v>
          </cell>
          <cell r="L163" t="str">
            <v>S-Frame</v>
          </cell>
          <cell r="M163" t="str">
            <v>S-フレーム</v>
          </cell>
          <cell r="P163" t="str">
            <v>31B0</v>
          </cell>
          <cell r="Q163" t="str">
            <v>SS400</v>
          </cell>
          <cell r="R163" t="str">
            <v>E354421_01</v>
          </cell>
          <cell r="S163">
            <v>139</v>
          </cell>
          <cell r="T163" t="str">
            <v>標準</v>
          </cell>
        </row>
        <row r="164">
          <cell r="F164" t="str">
            <v>H0000007160</v>
          </cell>
          <cell r="I164" t="str">
            <v>フレーム</v>
          </cell>
          <cell r="J164" t="str">
            <v>S-Frame_RX-10_H_KTKT</v>
          </cell>
          <cell r="K164" t="str">
            <v>S-フレーム_RX-10_H_KTKT</v>
          </cell>
          <cell r="L164" t="str">
            <v>S-Frame</v>
          </cell>
          <cell r="M164" t="str">
            <v>S-フレーム</v>
          </cell>
          <cell r="P164" t="str">
            <v>31B0</v>
          </cell>
          <cell r="Q164" t="str">
            <v>SS400</v>
          </cell>
          <cell r="R164" t="str">
            <v>E354421_01</v>
          </cell>
          <cell r="S164">
            <v>139</v>
          </cell>
          <cell r="T164" t="str">
            <v>標準</v>
          </cell>
        </row>
        <row r="165">
          <cell r="F165" t="str">
            <v>H0000007211</v>
          </cell>
          <cell r="I165" t="str">
            <v>フレーム</v>
          </cell>
          <cell r="J165" t="str">
            <v>S-Frame_RX-10_U_TTTT</v>
          </cell>
          <cell r="K165" t="str">
            <v>S-フレーム_RX-10_U_TTTT</v>
          </cell>
          <cell r="L165" t="str">
            <v>S-Frame</v>
          </cell>
          <cell r="M165" t="str">
            <v>S-フレーム</v>
          </cell>
          <cell r="P165" t="str">
            <v>31B0</v>
          </cell>
          <cell r="Q165" t="str">
            <v>SS400</v>
          </cell>
          <cell r="R165" t="str">
            <v>E354517_01</v>
          </cell>
          <cell r="S165">
            <v>154</v>
          </cell>
          <cell r="T165" t="str">
            <v>標準</v>
          </cell>
        </row>
        <row r="166">
          <cell r="F166" t="str">
            <v>H0000007212</v>
          </cell>
          <cell r="I166" t="str">
            <v>フレーム</v>
          </cell>
          <cell r="J166" t="str">
            <v>S-Frame_RX-10_U_KKKK</v>
          </cell>
          <cell r="K166" t="str">
            <v>S-フレーム_RX-10_U_KKKK</v>
          </cell>
          <cell r="L166" t="str">
            <v>S-Frame</v>
          </cell>
          <cell r="M166" t="str">
            <v>S-フレーム</v>
          </cell>
          <cell r="P166" t="str">
            <v>31B0</v>
          </cell>
          <cell r="Q166" t="str">
            <v>SS400</v>
          </cell>
          <cell r="R166" t="str">
            <v>E354517_01</v>
          </cell>
          <cell r="S166">
            <v>154</v>
          </cell>
          <cell r="T166" t="str">
            <v>標準</v>
          </cell>
        </row>
        <row r="167">
          <cell r="F167" t="str">
            <v>H0000007213</v>
          </cell>
          <cell r="I167" t="str">
            <v>フレーム</v>
          </cell>
          <cell r="J167" t="str">
            <v>S-Frame_RX-10_U_TKTK</v>
          </cell>
          <cell r="K167" t="str">
            <v>S-フレーム_RX-10_U_TKTK</v>
          </cell>
          <cell r="L167" t="str">
            <v>S-Frame</v>
          </cell>
          <cell r="M167" t="str">
            <v>S-フレーム</v>
          </cell>
          <cell r="P167" t="str">
            <v>31B0</v>
          </cell>
          <cell r="Q167" t="str">
            <v>SS400</v>
          </cell>
          <cell r="R167" t="str">
            <v>E354517_01</v>
          </cell>
          <cell r="S167">
            <v>154</v>
          </cell>
          <cell r="T167" t="str">
            <v>標準</v>
          </cell>
        </row>
        <row r="168">
          <cell r="F168" t="str">
            <v>H0000007214</v>
          </cell>
          <cell r="I168" t="str">
            <v>フレーム</v>
          </cell>
          <cell r="J168" t="str">
            <v>S-Frame_RX-10_U_KTKT</v>
          </cell>
          <cell r="K168" t="str">
            <v>S-フレーム_RX-10_U_KTKT</v>
          </cell>
          <cell r="L168" t="str">
            <v>S-Frame</v>
          </cell>
          <cell r="M168" t="str">
            <v>S-フレーム</v>
          </cell>
          <cell r="P168" t="str">
            <v>31B0</v>
          </cell>
          <cell r="Q168" t="str">
            <v>SS400</v>
          </cell>
          <cell r="R168" t="str">
            <v>E354517_01</v>
          </cell>
          <cell r="S168">
            <v>154</v>
          </cell>
          <cell r="T168" t="str">
            <v>標準</v>
          </cell>
        </row>
        <row r="169">
          <cell r="F169" t="str">
            <v>H0000007215</v>
          </cell>
          <cell r="I169" t="str">
            <v>フレーム</v>
          </cell>
          <cell r="J169" t="str">
            <v>S-Frame_RX-10_U_TTTT</v>
          </cell>
          <cell r="K169" t="str">
            <v>S-フレーム_RX-10_U_TTTT</v>
          </cell>
          <cell r="L169" t="str">
            <v>S-Frame</v>
          </cell>
          <cell r="M169" t="str">
            <v>S-フレーム</v>
          </cell>
          <cell r="P169" t="str">
            <v>31B0</v>
          </cell>
          <cell r="Q169" t="str">
            <v>SS400</v>
          </cell>
          <cell r="R169" t="str">
            <v>E354517_01</v>
          </cell>
          <cell r="S169">
            <v>154</v>
          </cell>
          <cell r="T169" t="str">
            <v>標準</v>
          </cell>
        </row>
        <row r="170">
          <cell r="F170" t="str">
            <v>H0000007216</v>
          </cell>
          <cell r="I170" t="str">
            <v>フレーム</v>
          </cell>
          <cell r="J170" t="str">
            <v>S-Frame_RX-10_U_KKKK</v>
          </cell>
          <cell r="K170" t="str">
            <v>S-フレーム_RX-10_U_KKKK</v>
          </cell>
          <cell r="L170" t="str">
            <v>S-Frame</v>
          </cell>
          <cell r="M170" t="str">
            <v>S-フレーム</v>
          </cell>
          <cell r="P170" t="str">
            <v>31B0</v>
          </cell>
          <cell r="Q170" t="str">
            <v>SS400</v>
          </cell>
          <cell r="R170" t="str">
            <v>E354517_01</v>
          </cell>
          <cell r="S170">
            <v>154</v>
          </cell>
          <cell r="T170" t="str">
            <v>標準</v>
          </cell>
        </row>
        <row r="171">
          <cell r="F171" t="str">
            <v>H0000007217</v>
          </cell>
          <cell r="I171" t="str">
            <v>フレーム</v>
          </cell>
          <cell r="J171" t="str">
            <v>S-Frame_RX-10_U_TKTK</v>
          </cell>
          <cell r="K171" t="str">
            <v>S-フレーム_RX-10_U_TKTK</v>
          </cell>
          <cell r="L171" t="str">
            <v>S-Frame</v>
          </cell>
          <cell r="M171" t="str">
            <v>S-フレーム</v>
          </cell>
          <cell r="P171" t="str">
            <v>31B0</v>
          </cell>
          <cell r="Q171" t="str">
            <v>SS400</v>
          </cell>
          <cell r="R171" t="str">
            <v>E354517_01</v>
          </cell>
          <cell r="S171">
            <v>154</v>
          </cell>
          <cell r="T171" t="str">
            <v>標準</v>
          </cell>
        </row>
        <row r="172">
          <cell r="F172" t="str">
            <v>H0000007218</v>
          </cell>
          <cell r="I172" t="str">
            <v>フレーム</v>
          </cell>
          <cell r="J172" t="str">
            <v>S-Frame_RX-10_U_KTKT</v>
          </cell>
          <cell r="K172" t="str">
            <v>S-フレーム_RX-10_U_KTKT</v>
          </cell>
          <cell r="L172" t="str">
            <v>S-Frame</v>
          </cell>
          <cell r="M172" t="str">
            <v>S-フレーム</v>
          </cell>
          <cell r="P172" t="str">
            <v>31B0</v>
          </cell>
          <cell r="Q172" t="str">
            <v>SS400</v>
          </cell>
          <cell r="R172" t="str">
            <v>E354517_01</v>
          </cell>
          <cell r="S172">
            <v>154</v>
          </cell>
          <cell r="T172" t="str">
            <v>標準</v>
          </cell>
        </row>
        <row r="173">
          <cell r="F173" t="str">
            <v>H0000007223</v>
          </cell>
          <cell r="I173" t="str">
            <v>フレーム</v>
          </cell>
          <cell r="J173" t="str">
            <v>S-Frame_RX-10_U_TTTT</v>
          </cell>
          <cell r="K173" t="str">
            <v>S-フレーム_RX-10_U_TTTT</v>
          </cell>
          <cell r="L173" t="str">
            <v>S-Frame</v>
          </cell>
          <cell r="M173" t="str">
            <v>S-フレーム</v>
          </cell>
          <cell r="P173" t="str">
            <v>31B0</v>
          </cell>
          <cell r="Q173" t="str">
            <v>SS400</v>
          </cell>
          <cell r="R173" t="str">
            <v>E354517_01</v>
          </cell>
          <cell r="S173">
            <v>154</v>
          </cell>
          <cell r="T173" t="str">
            <v>標準</v>
          </cell>
        </row>
        <row r="174">
          <cell r="F174" t="str">
            <v>H0000007224</v>
          </cell>
          <cell r="I174" t="str">
            <v>フレーム</v>
          </cell>
          <cell r="J174" t="str">
            <v>S-Frame_RX-10_U_KKKK</v>
          </cell>
          <cell r="K174" t="str">
            <v>S-フレーム_RX-10_U_KKKK</v>
          </cell>
          <cell r="L174" t="str">
            <v>S-Frame</v>
          </cell>
          <cell r="M174" t="str">
            <v>S-フレーム</v>
          </cell>
          <cell r="P174" t="str">
            <v>31B0</v>
          </cell>
          <cell r="Q174" t="str">
            <v>SS400</v>
          </cell>
          <cell r="R174" t="str">
            <v>E354517_01</v>
          </cell>
          <cell r="S174">
            <v>154</v>
          </cell>
          <cell r="T174" t="str">
            <v>標準</v>
          </cell>
        </row>
        <row r="175">
          <cell r="F175" t="str">
            <v>H0000007225</v>
          </cell>
          <cell r="I175" t="str">
            <v>フレーム</v>
          </cell>
          <cell r="J175" t="str">
            <v>S-Frame_RX-10_U_TKTK</v>
          </cell>
          <cell r="K175" t="str">
            <v>S-フレーム_RX-10_U_TKTK</v>
          </cell>
          <cell r="L175" t="str">
            <v>S-Frame</v>
          </cell>
          <cell r="M175" t="str">
            <v>S-フレーム</v>
          </cell>
          <cell r="P175" t="str">
            <v>31B0</v>
          </cell>
          <cell r="Q175" t="str">
            <v>SS400</v>
          </cell>
          <cell r="R175" t="str">
            <v>E354517_01</v>
          </cell>
          <cell r="S175">
            <v>154</v>
          </cell>
          <cell r="T175" t="str">
            <v>標準</v>
          </cell>
        </row>
        <row r="176">
          <cell r="F176" t="str">
            <v>H0000007226</v>
          </cell>
          <cell r="I176" t="str">
            <v>フレーム</v>
          </cell>
          <cell r="J176" t="str">
            <v>S-Frame_RX-10_U_KTKT</v>
          </cell>
          <cell r="K176" t="str">
            <v>S-フレーム_RX-10_U_KTKT</v>
          </cell>
          <cell r="L176" t="str">
            <v>S-Frame</v>
          </cell>
          <cell r="M176" t="str">
            <v>S-フレーム</v>
          </cell>
          <cell r="P176" t="str">
            <v>31B0</v>
          </cell>
          <cell r="Q176" t="str">
            <v>SS400</v>
          </cell>
          <cell r="R176" t="str">
            <v>E354517_01</v>
          </cell>
          <cell r="S176">
            <v>154</v>
          </cell>
          <cell r="T176" t="str">
            <v>標準</v>
          </cell>
        </row>
        <row r="177">
          <cell r="F177" t="str">
            <v>H0000007239</v>
          </cell>
          <cell r="I177" t="str">
            <v>フレーム</v>
          </cell>
          <cell r="J177" t="str">
            <v>S-Frame_RX-10_U_TTTT</v>
          </cell>
          <cell r="K177" t="str">
            <v>S-フレーム_RX-10_U_TTTT</v>
          </cell>
          <cell r="L177" t="str">
            <v>S-Frame</v>
          </cell>
          <cell r="M177" t="str">
            <v>S-フレーム</v>
          </cell>
          <cell r="P177" t="str">
            <v>31B0</v>
          </cell>
          <cell r="Q177" t="str">
            <v>SS400</v>
          </cell>
          <cell r="R177" t="str">
            <v>E354517_01</v>
          </cell>
          <cell r="S177">
            <v>154</v>
          </cell>
          <cell r="T177" t="str">
            <v>標準</v>
          </cell>
        </row>
        <row r="178">
          <cell r="F178" t="str">
            <v>H0000007240</v>
          </cell>
          <cell r="I178" t="str">
            <v>フレーム</v>
          </cell>
          <cell r="J178" t="str">
            <v>S-Frame_RX-10_U_KKKK</v>
          </cell>
          <cell r="K178" t="str">
            <v>S-フレーム_RX-10_U_KKKK</v>
          </cell>
          <cell r="L178" t="str">
            <v>S-Frame</v>
          </cell>
          <cell r="M178" t="str">
            <v>S-フレーム</v>
          </cell>
          <cell r="P178" t="str">
            <v>31B0</v>
          </cell>
          <cell r="Q178" t="str">
            <v>SS400</v>
          </cell>
          <cell r="R178" t="str">
            <v>E354517_01</v>
          </cell>
          <cell r="S178">
            <v>154</v>
          </cell>
          <cell r="T178" t="str">
            <v>標準</v>
          </cell>
        </row>
        <row r="179">
          <cell r="F179" t="str">
            <v>H0000007241</v>
          </cell>
          <cell r="I179" t="str">
            <v>フレーム</v>
          </cell>
          <cell r="J179" t="str">
            <v>S-Frame_RX-10_U_TKTK</v>
          </cell>
          <cell r="K179" t="str">
            <v>S-フレーム_RX-10_U_TKTK</v>
          </cell>
          <cell r="L179" t="str">
            <v>S-Frame</v>
          </cell>
          <cell r="M179" t="str">
            <v>S-フレーム</v>
          </cell>
          <cell r="P179" t="str">
            <v>31B0</v>
          </cell>
          <cell r="Q179" t="str">
            <v>SS400</v>
          </cell>
          <cell r="R179" t="str">
            <v>E354517_01</v>
          </cell>
          <cell r="S179">
            <v>154</v>
          </cell>
          <cell r="T179" t="str">
            <v>標準</v>
          </cell>
        </row>
        <row r="180">
          <cell r="F180" t="str">
            <v>H0000007242</v>
          </cell>
          <cell r="I180" t="str">
            <v>フレーム</v>
          </cell>
          <cell r="J180" t="str">
            <v>S-Frame_RX-10_U_KTKT</v>
          </cell>
          <cell r="K180" t="str">
            <v>S-フレーム_RX-10_U_KTKT</v>
          </cell>
          <cell r="L180" t="str">
            <v>S-Frame</v>
          </cell>
          <cell r="M180" t="str">
            <v>S-フレーム</v>
          </cell>
          <cell r="P180" t="str">
            <v>31B0</v>
          </cell>
          <cell r="Q180" t="str">
            <v>SS400</v>
          </cell>
          <cell r="R180" t="str">
            <v>E354517_01</v>
          </cell>
          <cell r="S180">
            <v>154</v>
          </cell>
          <cell r="T180" t="str">
            <v>標準</v>
          </cell>
        </row>
        <row r="181">
          <cell r="F181" t="str">
            <v>H0000007247</v>
          </cell>
          <cell r="I181" t="str">
            <v>フレーム</v>
          </cell>
          <cell r="J181" t="str">
            <v>S-Frame_RX-10_U_TTTT</v>
          </cell>
          <cell r="K181" t="str">
            <v>S-フレーム_RX-10_U_TTTT</v>
          </cell>
          <cell r="L181" t="str">
            <v>S-Frame</v>
          </cell>
          <cell r="M181" t="str">
            <v>S-フレーム</v>
          </cell>
          <cell r="P181" t="str">
            <v>31B0</v>
          </cell>
          <cell r="Q181" t="str">
            <v>SS400</v>
          </cell>
          <cell r="R181" t="str">
            <v>E354517_01</v>
          </cell>
          <cell r="S181">
            <v>154</v>
          </cell>
          <cell r="T181" t="str">
            <v>標準</v>
          </cell>
        </row>
        <row r="182">
          <cell r="F182" t="str">
            <v>H0000007248</v>
          </cell>
          <cell r="I182" t="str">
            <v>フレーム</v>
          </cell>
          <cell r="J182" t="str">
            <v>S-Frame_RX-10_U_KKKK</v>
          </cell>
          <cell r="K182" t="str">
            <v>S-フレーム_RX-10_U_KKKK</v>
          </cell>
          <cell r="L182" t="str">
            <v>S-Frame</v>
          </cell>
          <cell r="M182" t="str">
            <v>S-フレーム</v>
          </cell>
          <cell r="P182" t="str">
            <v>31B0</v>
          </cell>
          <cell r="Q182" t="str">
            <v>SS400</v>
          </cell>
          <cell r="R182" t="str">
            <v>E354517_01</v>
          </cell>
          <cell r="S182">
            <v>154</v>
          </cell>
          <cell r="T182" t="str">
            <v>標準</v>
          </cell>
        </row>
        <row r="183">
          <cell r="F183" t="str">
            <v>H0000007249</v>
          </cell>
          <cell r="I183" t="str">
            <v>フレーム</v>
          </cell>
          <cell r="J183" t="str">
            <v>S-Frame_RX-10_U_TKTK</v>
          </cell>
          <cell r="K183" t="str">
            <v>S-フレーム_RX-10_U_TKTK</v>
          </cell>
          <cell r="L183" t="str">
            <v>S-Frame</v>
          </cell>
          <cell r="M183" t="str">
            <v>S-フレーム</v>
          </cell>
          <cell r="P183" t="str">
            <v>31B0</v>
          </cell>
          <cell r="Q183" t="str">
            <v>SS400</v>
          </cell>
          <cell r="R183" t="str">
            <v>E354517_01</v>
          </cell>
          <cell r="S183">
            <v>154</v>
          </cell>
          <cell r="T183" t="str">
            <v>標準</v>
          </cell>
        </row>
        <row r="184">
          <cell r="F184" t="str">
            <v>H0000007250</v>
          </cell>
          <cell r="I184" t="str">
            <v>フレーム</v>
          </cell>
          <cell r="J184" t="str">
            <v>S-Frame_RX-10_U_KTKT</v>
          </cell>
          <cell r="K184" t="str">
            <v>S-フレーム_RX-10_U_KTKT</v>
          </cell>
          <cell r="L184" t="str">
            <v>S-Frame</v>
          </cell>
          <cell r="M184" t="str">
            <v>S-フレーム</v>
          </cell>
          <cell r="P184" t="str">
            <v>31B0</v>
          </cell>
          <cell r="Q184" t="str">
            <v>SS400</v>
          </cell>
          <cell r="R184" t="str">
            <v>E354517_01</v>
          </cell>
          <cell r="S184">
            <v>154</v>
          </cell>
          <cell r="T184" t="str">
            <v>標準</v>
          </cell>
        </row>
        <row r="185">
          <cell r="F185" t="str">
            <v>H0000007251</v>
          </cell>
          <cell r="I185" t="str">
            <v>フレーム</v>
          </cell>
          <cell r="J185" t="str">
            <v>S-Frame_RX-10_U_TTTT</v>
          </cell>
          <cell r="K185" t="str">
            <v>S-フレーム_RX-10_U_TTTT</v>
          </cell>
          <cell r="L185" t="str">
            <v>S-Frame</v>
          </cell>
          <cell r="M185" t="str">
            <v>S-フレーム</v>
          </cell>
          <cell r="P185" t="str">
            <v>31B0</v>
          </cell>
          <cell r="Q185" t="str">
            <v>SS400</v>
          </cell>
          <cell r="R185" t="str">
            <v>E354517_01</v>
          </cell>
          <cell r="S185">
            <v>154</v>
          </cell>
          <cell r="T185" t="str">
            <v>標準</v>
          </cell>
        </row>
        <row r="186">
          <cell r="F186" t="str">
            <v>H0000007252</v>
          </cell>
          <cell r="I186" t="str">
            <v>フレーム</v>
          </cell>
          <cell r="J186" t="str">
            <v>S-Frame_RX-10_U_KKKK</v>
          </cell>
          <cell r="K186" t="str">
            <v>S-フレーム_RX-10_U_KKKK</v>
          </cell>
          <cell r="L186" t="str">
            <v>S-Frame</v>
          </cell>
          <cell r="M186" t="str">
            <v>S-フレーム</v>
          </cell>
          <cell r="P186" t="str">
            <v>31B0</v>
          </cell>
          <cell r="Q186" t="str">
            <v>SS400</v>
          </cell>
          <cell r="R186" t="str">
            <v>E354517_01</v>
          </cell>
          <cell r="S186">
            <v>154</v>
          </cell>
          <cell r="T186" t="str">
            <v>標準</v>
          </cell>
        </row>
        <row r="187">
          <cell r="F187" t="str">
            <v>H0000007253</v>
          </cell>
          <cell r="I187" t="str">
            <v>フレーム</v>
          </cell>
          <cell r="J187" t="str">
            <v>S-Frame_RX-10_U_TKTK</v>
          </cell>
          <cell r="K187" t="str">
            <v>S-フレーム_RX-10_U_TKTK</v>
          </cell>
          <cell r="L187" t="str">
            <v>S-Frame</v>
          </cell>
          <cell r="M187" t="str">
            <v>S-フレーム</v>
          </cell>
          <cell r="P187" t="str">
            <v>31B0</v>
          </cell>
          <cell r="Q187" t="str">
            <v>SS400</v>
          </cell>
          <cell r="R187" t="str">
            <v>E354517_01</v>
          </cell>
          <cell r="S187">
            <v>154</v>
          </cell>
          <cell r="T187" t="str">
            <v>標準</v>
          </cell>
        </row>
        <row r="188">
          <cell r="F188" t="str">
            <v>H0000007254</v>
          </cell>
          <cell r="I188" t="str">
            <v>フレーム</v>
          </cell>
          <cell r="J188" t="str">
            <v>S-Frame_RX-10_U_KTKT</v>
          </cell>
          <cell r="K188" t="str">
            <v>S-フレーム_RX-10_U_KTKT</v>
          </cell>
          <cell r="L188" t="str">
            <v>S-Frame</v>
          </cell>
          <cell r="M188" t="str">
            <v>S-フレーム</v>
          </cell>
          <cell r="P188" t="str">
            <v>31B0</v>
          </cell>
          <cell r="Q188" t="str">
            <v>SS400</v>
          </cell>
          <cell r="R188" t="str">
            <v>E354517_01</v>
          </cell>
          <cell r="S188">
            <v>154</v>
          </cell>
          <cell r="T188" t="str">
            <v>標準</v>
          </cell>
        </row>
        <row r="189">
          <cell r="F189" t="str">
            <v>H0000007259</v>
          </cell>
          <cell r="I189" t="str">
            <v>フレーム</v>
          </cell>
          <cell r="J189" t="str">
            <v>S-Frame_RX-10_U_TTTT</v>
          </cell>
          <cell r="K189" t="str">
            <v>S-フレーム_RX-10_U_TTTT</v>
          </cell>
          <cell r="L189" t="str">
            <v>S-Frame</v>
          </cell>
          <cell r="M189" t="str">
            <v>S-フレーム</v>
          </cell>
          <cell r="P189" t="str">
            <v>31B0</v>
          </cell>
          <cell r="Q189" t="str">
            <v>SS400</v>
          </cell>
          <cell r="R189" t="str">
            <v>E354517_01</v>
          </cell>
          <cell r="S189">
            <v>154</v>
          </cell>
          <cell r="T189" t="str">
            <v>標準</v>
          </cell>
        </row>
        <row r="190">
          <cell r="F190" t="str">
            <v>H0000007260</v>
          </cell>
          <cell r="I190" t="str">
            <v>フレーム</v>
          </cell>
          <cell r="J190" t="str">
            <v>S-Frame_RX-10_U_KKKK</v>
          </cell>
          <cell r="K190" t="str">
            <v>S-フレーム_RX-10_U_KKKK</v>
          </cell>
          <cell r="L190" t="str">
            <v>S-Frame</v>
          </cell>
          <cell r="M190" t="str">
            <v>S-フレーム</v>
          </cell>
          <cell r="P190" t="str">
            <v>31B0</v>
          </cell>
          <cell r="Q190" t="str">
            <v>SS400</v>
          </cell>
          <cell r="R190" t="str">
            <v>E354517_01</v>
          </cell>
          <cell r="S190">
            <v>154</v>
          </cell>
          <cell r="T190" t="str">
            <v>標準</v>
          </cell>
        </row>
        <row r="191">
          <cell r="F191" t="str">
            <v>H0000007261</v>
          </cell>
          <cell r="I191" t="str">
            <v>フレーム</v>
          </cell>
          <cell r="J191" t="str">
            <v>S-Frame_RX-10_U_TKTK</v>
          </cell>
          <cell r="K191" t="str">
            <v>S-フレーム_RX-10_U_TKTK</v>
          </cell>
          <cell r="L191" t="str">
            <v>S-Frame</v>
          </cell>
          <cell r="M191" t="str">
            <v>S-フレーム</v>
          </cell>
          <cell r="P191" t="str">
            <v>31B0</v>
          </cell>
          <cell r="Q191" t="str">
            <v>SS400</v>
          </cell>
          <cell r="R191" t="str">
            <v>E354517_01</v>
          </cell>
          <cell r="S191">
            <v>154</v>
          </cell>
          <cell r="T191" t="str">
            <v>標準</v>
          </cell>
        </row>
        <row r="192">
          <cell r="F192" t="str">
            <v>H0000007262</v>
          </cell>
          <cell r="I192" t="str">
            <v>フレーム</v>
          </cell>
          <cell r="J192" t="str">
            <v>S-Frame_RX-10_U_KTKT</v>
          </cell>
          <cell r="K192" t="str">
            <v>S-フレーム_RX-10_U_KTKT</v>
          </cell>
          <cell r="L192" t="str">
            <v>S-Frame</v>
          </cell>
          <cell r="M192" t="str">
            <v>S-フレーム</v>
          </cell>
          <cell r="P192" t="str">
            <v>31B0</v>
          </cell>
          <cell r="Q192" t="str">
            <v>SS400</v>
          </cell>
          <cell r="R192" t="str">
            <v>E354517_01</v>
          </cell>
          <cell r="S192">
            <v>154</v>
          </cell>
          <cell r="T192" t="str">
            <v>標準</v>
          </cell>
        </row>
        <row r="193">
          <cell r="F193" t="str">
            <v>H0000007275</v>
          </cell>
          <cell r="I193" t="str">
            <v>フレーム</v>
          </cell>
          <cell r="J193" t="str">
            <v>S-Frame_RX-10_U_TTTT</v>
          </cell>
          <cell r="K193" t="str">
            <v>S-フレーム_RX-10_U_TTTT</v>
          </cell>
          <cell r="L193" t="str">
            <v>S-Frame</v>
          </cell>
          <cell r="M193" t="str">
            <v>S-フレーム</v>
          </cell>
          <cell r="P193" t="str">
            <v>31B0</v>
          </cell>
          <cell r="Q193" t="str">
            <v>SS400</v>
          </cell>
          <cell r="R193" t="str">
            <v>E354517_01</v>
          </cell>
          <cell r="S193">
            <v>154</v>
          </cell>
          <cell r="T193" t="str">
            <v>標準</v>
          </cell>
        </row>
        <row r="194">
          <cell r="F194" t="str">
            <v>H0000007276</v>
          </cell>
          <cell r="I194" t="str">
            <v>フレーム</v>
          </cell>
          <cell r="J194" t="str">
            <v>S-Frame_RX-10_U_KKKK</v>
          </cell>
          <cell r="K194" t="str">
            <v>S-フレーム_RX-10_U_KKKK</v>
          </cell>
          <cell r="L194" t="str">
            <v>S-Frame</v>
          </cell>
          <cell r="M194" t="str">
            <v>S-フレーム</v>
          </cell>
          <cell r="P194" t="str">
            <v>31B0</v>
          </cell>
          <cell r="Q194" t="str">
            <v>SS400</v>
          </cell>
          <cell r="R194" t="str">
            <v>E354517_01</v>
          </cell>
          <cell r="S194">
            <v>154</v>
          </cell>
          <cell r="T194" t="str">
            <v>標準</v>
          </cell>
        </row>
        <row r="195">
          <cell r="F195" t="str">
            <v>H0000007277</v>
          </cell>
          <cell r="I195" t="str">
            <v>フレーム</v>
          </cell>
          <cell r="J195" t="str">
            <v>S-Frame_RX-10_U_TKTK</v>
          </cell>
          <cell r="K195" t="str">
            <v>S-フレーム_RX-10_U_TKTK</v>
          </cell>
          <cell r="L195" t="str">
            <v>S-Frame</v>
          </cell>
          <cell r="M195" t="str">
            <v>S-フレーム</v>
          </cell>
          <cell r="P195" t="str">
            <v>31B0</v>
          </cell>
          <cell r="Q195" t="str">
            <v>SS400</v>
          </cell>
          <cell r="R195" t="str">
            <v>E354517_01</v>
          </cell>
          <cell r="S195">
            <v>154</v>
          </cell>
          <cell r="T195" t="str">
            <v>標準</v>
          </cell>
        </row>
        <row r="196">
          <cell r="F196" t="str">
            <v>H0000007278</v>
          </cell>
          <cell r="I196" t="str">
            <v>フレーム</v>
          </cell>
          <cell r="J196" t="str">
            <v>S-Frame_RX-10_U_KTKT</v>
          </cell>
          <cell r="K196" t="str">
            <v>S-フレーム_RX-10_U_KTKT</v>
          </cell>
          <cell r="L196" t="str">
            <v>S-Frame</v>
          </cell>
          <cell r="M196" t="str">
            <v>S-フレーム</v>
          </cell>
          <cell r="P196" t="str">
            <v>31B0</v>
          </cell>
          <cell r="Q196" t="str">
            <v>SS400</v>
          </cell>
          <cell r="R196" t="str">
            <v>E354517_01</v>
          </cell>
          <cell r="S196">
            <v>154</v>
          </cell>
          <cell r="T196" t="str">
            <v>標準</v>
          </cell>
        </row>
        <row r="197">
          <cell r="F197" t="str">
            <v>H0000007319</v>
          </cell>
          <cell r="I197" t="str">
            <v>フレーム</v>
          </cell>
          <cell r="J197" t="str">
            <v>S-Frame_RX-10_U_TTTT</v>
          </cell>
          <cell r="K197" t="str">
            <v>S-フレーム_RX-10_U_TTTT</v>
          </cell>
          <cell r="L197" t="str">
            <v>S-Frame</v>
          </cell>
          <cell r="M197" t="str">
            <v>S-フレーム</v>
          </cell>
          <cell r="P197" t="str">
            <v>31B0</v>
          </cell>
          <cell r="Q197" t="str">
            <v>SS400</v>
          </cell>
          <cell r="R197" t="str">
            <v>E354517_01</v>
          </cell>
          <cell r="S197">
            <v>154</v>
          </cell>
          <cell r="T197" t="str">
            <v>標準</v>
          </cell>
        </row>
        <row r="198">
          <cell r="F198" t="str">
            <v>H0000007320</v>
          </cell>
          <cell r="I198" t="str">
            <v>フレーム</v>
          </cell>
          <cell r="J198" t="str">
            <v>S-Frame_RX-10_U_KKKK</v>
          </cell>
          <cell r="K198" t="str">
            <v>S-フレーム_RX-10_U_KKKK</v>
          </cell>
          <cell r="L198" t="str">
            <v>S-Frame</v>
          </cell>
          <cell r="M198" t="str">
            <v>S-フレーム</v>
          </cell>
          <cell r="P198" t="str">
            <v>31B0</v>
          </cell>
          <cell r="Q198" t="str">
            <v>SS400</v>
          </cell>
          <cell r="R198" t="str">
            <v>E354517_01</v>
          </cell>
          <cell r="S198">
            <v>154</v>
          </cell>
          <cell r="T198" t="str">
            <v>標準</v>
          </cell>
        </row>
        <row r="199">
          <cell r="F199" t="str">
            <v>H0000007321</v>
          </cell>
          <cell r="I199" t="str">
            <v>フレーム</v>
          </cell>
          <cell r="J199" t="str">
            <v>S-Frame_RX-10_U_TKTK</v>
          </cell>
          <cell r="K199" t="str">
            <v>S-フレーム_RX-10_U_TKTK</v>
          </cell>
          <cell r="L199" t="str">
            <v>S-Frame</v>
          </cell>
          <cell r="M199" t="str">
            <v>S-フレーム</v>
          </cell>
          <cell r="P199" t="str">
            <v>31B0</v>
          </cell>
          <cell r="Q199" t="str">
            <v>SS400</v>
          </cell>
          <cell r="R199" t="str">
            <v>E354517_01</v>
          </cell>
          <cell r="S199">
            <v>154</v>
          </cell>
          <cell r="T199" t="str">
            <v>標準</v>
          </cell>
        </row>
        <row r="200">
          <cell r="F200" t="str">
            <v>H0000007322</v>
          </cell>
          <cell r="I200" t="str">
            <v>フレーム</v>
          </cell>
          <cell r="J200" t="str">
            <v>S-Frame_RX-10_U_KTKT</v>
          </cell>
          <cell r="K200" t="str">
            <v>S-フレーム_RX-10_U_KTKT</v>
          </cell>
          <cell r="L200" t="str">
            <v>S-Frame</v>
          </cell>
          <cell r="M200" t="str">
            <v>S-フレーム</v>
          </cell>
          <cell r="P200" t="str">
            <v>31B0</v>
          </cell>
          <cell r="Q200" t="str">
            <v>SS400</v>
          </cell>
          <cell r="R200" t="str">
            <v>E354517_01</v>
          </cell>
          <cell r="S200">
            <v>154</v>
          </cell>
          <cell r="T200" t="str">
            <v>標準</v>
          </cell>
        </row>
        <row r="201">
          <cell r="F201" t="str">
            <v>H0000007323</v>
          </cell>
          <cell r="I201" t="str">
            <v>フレーム</v>
          </cell>
          <cell r="J201" t="str">
            <v>S-Frame_RX-10_U_TTTT</v>
          </cell>
          <cell r="K201" t="str">
            <v>S-フレーム_RX-10_U_TTTT</v>
          </cell>
          <cell r="L201" t="str">
            <v>S-Frame</v>
          </cell>
          <cell r="M201" t="str">
            <v>S-フレーム</v>
          </cell>
          <cell r="P201" t="str">
            <v>31B0</v>
          </cell>
          <cell r="Q201" t="str">
            <v>SS400</v>
          </cell>
          <cell r="R201" t="str">
            <v>E354517_01</v>
          </cell>
          <cell r="S201">
            <v>154</v>
          </cell>
          <cell r="T201" t="str">
            <v>標準</v>
          </cell>
        </row>
        <row r="202">
          <cell r="F202" t="str">
            <v>H0000007324</v>
          </cell>
          <cell r="I202" t="str">
            <v>フレーム</v>
          </cell>
          <cell r="J202" t="str">
            <v>S-Frame_RX-10_U_KKKK</v>
          </cell>
          <cell r="K202" t="str">
            <v>S-フレーム_RX-10_U_KKKK</v>
          </cell>
          <cell r="L202" t="str">
            <v>S-Frame</v>
          </cell>
          <cell r="M202" t="str">
            <v>S-フレーム</v>
          </cell>
          <cell r="P202" t="str">
            <v>31B0</v>
          </cell>
          <cell r="Q202" t="str">
            <v>SS400</v>
          </cell>
          <cell r="R202" t="str">
            <v>E354517_01</v>
          </cell>
          <cell r="S202">
            <v>154</v>
          </cell>
          <cell r="T202" t="str">
            <v>標準</v>
          </cell>
        </row>
        <row r="203">
          <cell r="F203" t="str">
            <v>H0000007325</v>
          </cell>
          <cell r="I203" t="str">
            <v>フレーム</v>
          </cell>
          <cell r="J203" t="str">
            <v>S-Frame_RX-10_U_TKTK</v>
          </cell>
          <cell r="K203" t="str">
            <v>S-フレーム_RX-10_U_TKTK</v>
          </cell>
          <cell r="L203" t="str">
            <v>S-Frame</v>
          </cell>
          <cell r="M203" t="str">
            <v>S-フレーム</v>
          </cell>
          <cell r="P203" t="str">
            <v>31B0</v>
          </cell>
          <cell r="Q203" t="str">
            <v>SS400</v>
          </cell>
          <cell r="R203" t="str">
            <v>E354517_01</v>
          </cell>
          <cell r="S203">
            <v>154</v>
          </cell>
          <cell r="T203" t="str">
            <v>標準</v>
          </cell>
        </row>
        <row r="204">
          <cell r="F204" t="str">
            <v>H0000007326</v>
          </cell>
          <cell r="I204" t="str">
            <v>フレーム</v>
          </cell>
          <cell r="J204" t="str">
            <v>S-Frame_RX-10_U_KTKT</v>
          </cell>
          <cell r="K204" t="str">
            <v>S-フレーム_RX-10_U_KTKT</v>
          </cell>
          <cell r="L204" t="str">
            <v>S-Frame</v>
          </cell>
          <cell r="M204" t="str">
            <v>S-フレーム</v>
          </cell>
          <cell r="P204" t="str">
            <v>31B0</v>
          </cell>
          <cell r="Q204" t="str">
            <v>SS400</v>
          </cell>
          <cell r="R204" t="str">
            <v>E354517_01</v>
          </cell>
          <cell r="S204">
            <v>154</v>
          </cell>
          <cell r="T204" t="str">
            <v>標準</v>
          </cell>
        </row>
        <row r="205">
          <cell r="F205" t="str">
            <v>H0000007331</v>
          </cell>
          <cell r="I205" t="str">
            <v>フレーム</v>
          </cell>
          <cell r="J205" t="str">
            <v>S-Frame_RX-10_U_TTTT</v>
          </cell>
          <cell r="K205" t="str">
            <v>S-フレーム_RX-10_U_TTTT</v>
          </cell>
          <cell r="L205" t="str">
            <v>S-Frame</v>
          </cell>
          <cell r="M205" t="str">
            <v>S-フレーム</v>
          </cell>
          <cell r="P205" t="str">
            <v>31B0</v>
          </cell>
          <cell r="Q205" t="str">
            <v>SS400</v>
          </cell>
          <cell r="R205" t="str">
            <v>E354517_01</v>
          </cell>
          <cell r="S205">
            <v>154</v>
          </cell>
          <cell r="T205" t="str">
            <v>標準</v>
          </cell>
        </row>
        <row r="206">
          <cell r="F206" t="str">
            <v>H0000007332</v>
          </cell>
          <cell r="I206" t="str">
            <v>フレーム</v>
          </cell>
          <cell r="J206" t="str">
            <v>S-Frame_RX-10_U_KKKK</v>
          </cell>
          <cell r="K206" t="str">
            <v>S-フレーム_RX-10_U_KKKK</v>
          </cell>
          <cell r="L206" t="str">
            <v>S-Frame</v>
          </cell>
          <cell r="M206" t="str">
            <v>S-フレーム</v>
          </cell>
          <cell r="P206" t="str">
            <v>31B0</v>
          </cell>
          <cell r="Q206" t="str">
            <v>SS400</v>
          </cell>
          <cell r="R206" t="str">
            <v>E354517_01</v>
          </cell>
          <cell r="S206">
            <v>154</v>
          </cell>
          <cell r="T206" t="str">
            <v>標準</v>
          </cell>
        </row>
        <row r="207">
          <cell r="F207" t="str">
            <v>H0000007333</v>
          </cell>
          <cell r="I207" t="str">
            <v>フレーム</v>
          </cell>
          <cell r="J207" t="str">
            <v>S-Frame_RX-10_U_TKTK</v>
          </cell>
          <cell r="K207" t="str">
            <v>S-フレーム_RX-10_U_TKTK</v>
          </cell>
          <cell r="L207" t="str">
            <v>S-Frame</v>
          </cell>
          <cell r="M207" t="str">
            <v>S-フレーム</v>
          </cell>
          <cell r="P207" t="str">
            <v>31B0</v>
          </cell>
          <cell r="Q207" t="str">
            <v>SS400</v>
          </cell>
          <cell r="R207" t="str">
            <v>E354517_01</v>
          </cell>
          <cell r="S207">
            <v>154</v>
          </cell>
          <cell r="T207" t="str">
            <v>標準</v>
          </cell>
        </row>
        <row r="208">
          <cell r="F208" t="str">
            <v>H0000007334</v>
          </cell>
          <cell r="I208" t="str">
            <v>フレーム</v>
          </cell>
          <cell r="J208" t="str">
            <v>S-Frame_RX-10_U_KTKT</v>
          </cell>
          <cell r="K208" t="str">
            <v>S-フレーム_RX-10_U_KTKT</v>
          </cell>
          <cell r="L208" t="str">
            <v>S-Frame</v>
          </cell>
          <cell r="M208" t="str">
            <v>S-フレーム</v>
          </cell>
          <cell r="P208" t="str">
            <v>31B0</v>
          </cell>
          <cell r="Q208" t="str">
            <v>SS400</v>
          </cell>
          <cell r="R208" t="str">
            <v>E354517_01</v>
          </cell>
          <cell r="S208">
            <v>154</v>
          </cell>
          <cell r="T208" t="str">
            <v>標準</v>
          </cell>
        </row>
        <row r="209">
          <cell r="F209" t="str">
            <v>H0000007347</v>
          </cell>
          <cell r="I209" t="str">
            <v>フレーム</v>
          </cell>
          <cell r="J209" t="str">
            <v>S-Frame_RX-10_U_TTTT</v>
          </cell>
          <cell r="K209" t="str">
            <v>S-フレーム_RX-10_U_TTTT</v>
          </cell>
          <cell r="L209" t="str">
            <v>S-Frame</v>
          </cell>
          <cell r="M209" t="str">
            <v>S-フレーム</v>
          </cell>
          <cell r="P209" t="str">
            <v>31B0</v>
          </cell>
          <cell r="Q209" t="str">
            <v>SS400</v>
          </cell>
          <cell r="R209" t="str">
            <v>E354517_01</v>
          </cell>
          <cell r="S209">
            <v>154</v>
          </cell>
          <cell r="T209" t="str">
            <v>標準</v>
          </cell>
        </row>
        <row r="210">
          <cell r="F210" t="str">
            <v>H0000007348</v>
          </cell>
          <cell r="I210" t="str">
            <v>フレーム</v>
          </cell>
          <cell r="J210" t="str">
            <v>S-Frame_RX-10_U_KKKK</v>
          </cell>
          <cell r="K210" t="str">
            <v>S-フレーム_RX-10_U_KKKK</v>
          </cell>
          <cell r="L210" t="str">
            <v>S-Frame</v>
          </cell>
          <cell r="M210" t="str">
            <v>S-フレーム</v>
          </cell>
          <cell r="P210" t="str">
            <v>31B0</v>
          </cell>
          <cell r="Q210" t="str">
            <v>SS400</v>
          </cell>
          <cell r="R210" t="str">
            <v>E354517_01</v>
          </cell>
          <cell r="S210">
            <v>154</v>
          </cell>
          <cell r="T210" t="str">
            <v>標準</v>
          </cell>
        </row>
        <row r="211">
          <cell r="F211" t="str">
            <v>H0000007349</v>
          </cell>
          <cell r="I211" t="str">
            <v>フレーム</v>
          </cell>
          <cell r="J211" t="str">
            <v>S-Frame_RX-10_U_TKTK</v>
          </cell>
          <cell r="K211" t="str">
            <v>S-フレーム_RX-10_U_TKTK</v>
          </cell>
          <cell r="L211" t="str">
            <v>S-Frame</v>
          </cell>
          <cell r="M211" t="str">
            <v>S-フレーム</v>
          </cell>
          <cell r="P211" t="str">
            <v>31B0</v>
          </cell>
          <cell r="Q211" t="str">
            <v>SS400</v>
          </cell>
          <cell r="R211" t="str">
            <v>E354517_01</v>
          </cell>
          <cell r="S211">
            <v>154</v>
          </cell>
          <cell r="T211" t="str">
            <v>標準</v>
          </cell>
        </row>
        <row r="212">
          <cell r="F212" t="str">
            <v>H0000007350</v>
          </cell>
          <cell r="I212" t="str">
            <v>フレーム</v>
          </cell>
          <cell r="J212" t="str">
            <v>S-Frame_RX-10_U_KTKT</v>
          </cell>
          <cell r="K212" t="str">
            <v>S-フレーム_RX-10_U_KTKT</v>
          </cell>
          <cell r="L212" t="str">
            <v>S-Frame</v>
          </cell>
          <cell r="M212" t="str">
            <v>S-フレーム</v>
          </cell>
          <cell r="P212" t="str">
            <v>31B0</v>
          </cell>
          <cell r="Q212" t="str">
            <v>SS400</v>
          </cell>
          <cell r="R212" t="str">
            <v>E354517_01</v>
          </cell>
          <cell r="S212">
            <v>154</v>
          </cell>
          <cell r="T212" t="str">
            <v>標準</v>
          </cell>
        </row>
        <row r="213">
          <cell r="F213" t="str">
            <v>H0000007463</v>
          </cell>
          <cell r="I213" t="str">
            <v>フレーム</v>
          </cell>
          <cell r="J213" t="str">
            <v>S-Frame_RX-10_U_TTTT</v>
          </cell>
          <cell r="K213" t="str">
            <v>S-フレーム_RX-10_U_TTTT</v>
          </cell>
          <cell r="L213" t="str">
            <v>S-Frame</v>
          </cell>
          <cell r="M213" t="str">
            <v>S-フレーム</v>
          </cell>
          <cell r="P213" t="str">
            <v>31B0</v>
          </cell>
          <cell r="Q213" t="str">
            <v>SS400</v>
          </cell>
          <cell r="R213" t="str">
            <v>E354517_01</v>
          </cell>
          <cell r="S213">
            <v>154</v>
          </cell>
          <cell r="T213" t="str">
            <v>標準</v>
          </cell>
        </row>
        <row r="214">
          <cell r="F214" t="str">
            <v>H0000007464</v>
          </cell>
          <cell r="I214" t="str">
            <v>フレーム</v>
          </cell>
          <cell r="J214" t="str">
            <v>S-Frame_RX-10_U_KKKK</v>
          </cell>
          <cell r="K214" t="str">
            <v>S-フレーム_RX-10_U_KKKK</v>
          </cell>
          <cell r="L214" t="str">
            <v>S-Frame</v>
          </cell>
          <cell r="M214" t="str">
            <v>S-フレーム</v>
          </cell>
          <cell r="P214" t="str">
            <v>31B0</v>
          </cell>
          <cell r="Q214" t="str">
            <v>SS400</v>
          </cell>
          <cell r="R214" t="str">
            <v>E354517_01</v>
          </cell>
          <cell r="S214">
            <v>154</v>
          </cell>
          <cell r="T214" t="str">
            <v>標準</v>
          </cell>
        </row>
        <row r="215">
          <cell r="F215" t="str">
            <v>H0000007465</v>
          </cell>
          <cell r="I215" t="str">
            <v>フレーム</v>
          </cell>
          <cell r="J215" t="str">
            <v>S-Frame_RX-10_U_TKTK</v>
          </cell>
          <cell r="K215" t="str">
            <v>S-フレーム_RX-10_U_TKTK</v>
          </cell>
          <cell r="L215" t="str">
            <v>S-Frame</v>
          </cell>
          <cell r="M215" t="str">
            <v>S-フレーム</v>
          </cell>
          <cell r="P215" t="str">
            <v>31B0</v>
          </cell>
          <cell r="Q215" t="str">
            <v>SS400</v>
          </cell>
          <cell r="R215" t="str">
            <v>E354517_01</v>
          </cell>
          <cell r="S215">
            <v>154</v>
          </cell>
          <cell r="T215" t="str">
            <v>標準</v>
          </cell>
        </row>
        <row r="216">
          <cell r="F216" t="str">
            <v>H0000007466</v>
          </cell>
          <cell r="I216" t="str">
            <v>フレーム</v>
          </cell>
          <cell r="J216" t="str">
            <v>S-Frame_RX-10_U_KTKT</v>
          </cell>
          <cell r="K216" t="str">
            <v>S-フレーム_RX-10_U_KTKT</v>
          </cell>
          <cell r="L216" t="str">
            <v>S-Frame</v>
          </cell>
          <cell r="M216" t="str">
            <v>S-フレーム</v>
          </cell>
          <cell r="P216" t="str">
            <v>31B0</v>
          </cell>
          <cell r="Q216" t="str">
            <v>SS400</v>
          </cell>
          <cell r="R216" t="str">
            <v>E354517_01</v>
          </cell>
          <cell r="S216">
            <v>154</v>
          </cell>
          <cell r="T216" t="str">
            <v>標準</v>
          </cell>
        </row>
        <row r="217">
          <cell r="F217" t="str">
            <v>H0000007467</v>
          </cell>
          <cell r="I217" t="str">
            <v>フレーム</v>
          </cell>
          <cell r="J217" t="str">
            <v>S-Frame_RX-10_U_TTTT</v>
          </cell>
          <cell r="K217" t="str">
            <v>S-フレーム_RX-10_U_TTTT</v>
          </cell>
          <cell r="L217" t="str">
            <v>S-Frame</v>
          </cell>
          <cell r="M217" t="str">
            <v>S-フレーム</v>
          </cell>
          <cell r="P217" t="str">
            <v>31B0</v>
          </cell>
          <cell r="Q217" t="str">
            <v>SS400</v>
          </cell>
          <cell r="R217" t="str">
            <v>E354517_01</v>
          </cell>
          <cell r="S217">
            <v>154</v>
          </cell>
          <cell r="T217" t="str">
            <v>標準</v>
          </cell>
        </row>
        <row r="218">
          <cell r="F218" t="str">
            <v>H0000007468</v>
          </cell>
          <cell r="I218" t="str">
            <v>フレーム</v>
          </cell>
          <cell r="J218" t="str">
            <v>S-Frame_RX-10_U_KKKK</v>
          </cell>
          <cell r="K218" t="str">
            <v>S-フレーム_RX-10_U_KKKK</v>
          </cell>
          <cell r="L218" t="str">
            <v>S-Frame</v>
          </cell>
          <cell r="M218" t="str">
            <v>S-フレーム</v>
          </cell>
          <cell r="P218" t="str">
            <v>31B0</v>
          </cell>
          <cell r="Q218" t="str">
            <v>SS400</v>
          </cell>
          <cell r="R218" t="str">
            <v>E354517_01</v>
          </cell>
          <cell r="S218">
            <v>154</v>
          </cell>
          <cell r="T218" t="str">
            <v>標準</v>
          </cell>
        </row>
        <row r="219">
          <cell r="F219" t="str">
            <v>H0000007469</v>
          </cell>
          <cell r="I219" t="str">
            <v>フレーム</v>
          </cell>
          <cell r="J219" t="str">
            <v>S-Frame_RX-10_U_TKTK</v>
          </cell>
          <cell r="K219" t="str">
            <v>S-フレーム_RX-10_U_TKTK</v>
          </cell>
          <cell r="L219" t="str">
            <v>S-Frame</v>
          </cell>
          <cell r="M219" t="str">
            <v>S-フレーム</v>
          </cell>
          <cell r="P219" t="str">
            <v>31B0</v>
          </cell>
          <cell r="Q219" t="str">
            <v>SS400</v>
          </cell>
          <cell r="R219" t="str">
            <v>E354517_01</v>
          </cell>
          <cell r="S219">
            <v>154</v>
          </cell>
          <cell r="T219" t="str">
            <v>標準</v>
          </cell>
        </row>
        <row r="220">
          <cell r="F220" t="str">
            <v>H0000007470</v>
          </cell>
          <cell r="I220" t="str">
            <v>フレーム</v>
          </cell>
          <cell r="J220" t="str">
            <v>S-Frame_RX-10_U_KTKT</v>
          </cell>
          <cell r="K220" t="str">
            <v>S-フレーム_RX-10_U_KTKT</v>
          </cell>
          <cell r="L220" t="str">
            <v>S-Frame</v>
          </cell>
          <cell r="M220" t="str">
            <v>S-フレーム</v>
          </cell>
          <cell r="P220" t="str">
            <v>31B0</v>
          </cell>
          <cell r="Q220" t="str">
            <v>SS400</v>
          </cell>
          <cell r="R220" t="str">
            <v>E354517_01</v>
          </cell>
          <cell r="S220">
            <v>154</v>
          </cell>
          <cell r="T220" t="str">
            <v>標準</v>
          </cell>
        </row>
        <row r="221">
          <cell r="F221" t="str">
            <v>H0000007475</v>
          </cell>
          <cell r="I221" t="str">
            <v>フレーム</v>
          </cell>
          <cell r="J221" t="str">
            <v>S-Frame_RX-10_U_TTTT</v>
          </cell>
          <cell r="K221" t="str">
            <v>S-フレーム_RX-10_U_TTTT</v>
          </cell>
          <cell r="L221" t="str">
            <v>S-Frame</v>
          </cell>
          <cell r="M221" t="str">
            <v>S-フレーム</v>
          </cell>
          <cell r="P221" t="str">
            <v>31B0</v>
          </cell>
          <cell r="Q221" t="str">
            <v>SS400</v>
          </cell>
          <cell r="R221" t="str">
            <v>E354517_01</v>
          </cell>
          <cell r="S221">
            <v>154</v>
          </cell>
          <cell r="T221" t="str">
            <v>標準</v>
          </cell>
        </row>
        <row r="222">
          <cell r="F222" t="str">
            <v>H0000007476</v>
          </cell>
          <cell r="I222" t="str">
            <v>フレーム</v>
          </cell>
          <cell r="J222" t="str">
            <v>S-Frame_RX-10_U_KKKK</v>
          </cell>
          <cell r="K222" t="str">
            <v>S-フレーム_RX-10_U_KKKK</v>
          </cell>
          <cell r="L222" t="str">
            <v>S-Frame</v>
          </cell>
          <cell r="M222" t="str">
            <v>S-フレーム</v>
          </cell>
          <cell r="P222" t="str">
            <v>31B0</v>
          </cell>
          <cell r="Q222" t="str">
            <v>SS400</v>
          </cell>
          <cell r="R222" t="str">
            <v>E354517_01</v>
          </cell>
          <cell r="S222">
            <v>154</v>
          </cell>
          <cell r="T222" t="str">
            <v>標準</v>
          </cell>
        </row>
        <row r="223">
          <cell r="F223" t="str">
            <v>H0000007477</v>
          </cell>
          <cell r="I223" t="str">
            <v>フレーム</v>
          </cell>
          <cell r="J223" t="str">
            <v>S-Frame_RX-10_U_TKTK</v>
          </cell>
          <cell r="K223" t="str">
            <v>S-フレーム_RX-10_U_TKTK</v>
          </cell>
          <cell r="L223" t="str">
            <v>S-Frame</v>
          </cell>
          <cell r="M223" t="str">
            <v>S-フレーム</v>
          </cell>
          <cell r="P223" t="str">
            <v>31B0</v>
          </cell>
          <cell r="Q223" t="str">
            <v>SS400</v>
          </cell>
          <cell r="R223" t="str">
            <v>E354517_01</v>
          </cell>
          <cell r="S223">
            <v>154</v>
          </cell>
          <cell r="T223" t="str">
            <v>標準</v>
          </cell>
        </row>
        <row r="224">
          <cell r="F224" t="str">
            <v>H0000007478</v>
          </cell>
          <cell r="I224" t="str">
            <v>フレーム</v>
          </cell>
          <cell r="J224" t="str">
            <v>S-Frame_RX-10_U_KTKT</v>
          </cell>
          <cell r="K224" t="str">
            <v>S-フレーム_RX-10_U_KTKT</v>
          </cell>
          <cell r="L224" t="str">
            <v>S-Frame</v>
          </cell>
          <cell r="M224" t="str">
            <v>S-フレーム</v>
          </cell>
          <cell r="P224" t="str">
            <v>31B0</v>
          </cell>
          <cell r="Q224" t="str">
            <v>SS400</v>
          </cell>
          <cell r="R224" t="str">
            <v>E354517_01</v>
          </cell>
          <cell r="S224">
            <v>154</v>
          </cell>
          <cell r="T224" t="str">
            <v>標準</v>
          </cell>
        </row>
        <row r="225">
          <cell r="F225" t="str">
            <v>H0000007491</v>
          </cell>
          <cell r="I225" t="str">
            <v>フレーム</v>
          </cell>
          <cell r="J225" t="str">
            <v>S-Frame_RX-10_U_TTTT</v>
          </cell>
          <cell r="K225" t="str">
            <v>S-フレーム_RX-10_U_TTTT</v>
          </cell>
          <cell r="L225" t="str">
            <v>S-Frame</v>
          </cell>
          <cell r="M225" t="str">
            <v>S-フレーム</v>
          </cell>
          <cell r="P225" t="str">
            <v>31B0</v>
          </cell>
          <cell r="Q225" t="str">
            <v>SS400</v>
          </cell>
          <cell r="R225" t="str">
            <v>E354517_01</v>
          </cell>
          <cell r="S225">
            <v>154</v>
          </cell>
          <cell r="T225" t="str">
            <v>標準</v>
          </cell>
        </row>
        <row r="226">
          <cell r="F226" t="str">
            <v>H0000007492</v>
          </cell>
          <cell r="I226" t="str">
            <v>フレーム</v>
          </cell>
          <cell r="J226" t="str">
            <v>S-Frame_RX-10_U_KKKK</v>
          </cell>
          <cell r="K226" t="str">
            <v>S-フレーム_RX-10_U_KKKK</v>
          </cell>
          <cell r="L226" t="str">
            <v>S-Frame</v>
          </cell>
          <cell r="M226" t="str">
            <v>S-フレーム</v>
          </cell>
          <cell r="P226" t="str">
            <v>31B0</v>
          </cell>
          <cell r="Q226" t="str">
            <v>SS400</v>
          </cell>
          <cell r="R226" t="str">
            <v>E354517_01</v>
          </cell>
          <cell r="S226">
            <v>154</v>
          </cell>
          <cell r="T226" t="str">
            <v>標準</v>
          </cell>
        </row>
        <row r="227">
          <cell r="F227" t="str">
            <v>H0000007493</v>
          </cell>
          <cell r="I227" t="str">
            <v>フレーム</v>
          </cell>
          <cell r="J227" t="str">
            <v>S-Frame_RX-10_U_TKTK</v>
          </cell>
          <cell r="K227" t="str">
            <v>S-フレーム_RX-10_U_TKTK</v>
          </cell>
          <cell r="L227" t="str">
            <v>S-Frame</v>
          </cell>
          <cell r="M227" t="str">
            <v>S-フレーム</v>
          </cell>
          <cell r="P227" t="str">
            <v>31B0</v>
          </cell>
          <cell r="Q227" t="str">
            <v>SS400</v>
          </cell>
          <cell r="R227" t="str">
            <v>E354517_01</v>
          </cell>
          <cell r="S227">
            <v>154</v>
          </cell>
          <cell r="T227" t="str">
            <v>標準</v>
          </cell>
        </row>
        <row r="228">
          <cell r="F228" t="str">
            <v>H0000007494</v>
          </cell>
          <cell r="I228" t="str">
            <v>フレーム</v>
          </cell>
          <cell r="J228" t="str">
            <v>S-Frame_RX-10_U_KTKT</v>
          </cell>
          <cell r="K228" t="str">
            <v>S-フレーム_RX-10_U_KTKT</v>
          </cell>
          <cell r="L228" t="str">
            <v>S-Frame</v>
          </cell>
          <cell r="M228" t="str">
            <v>S-フレーム</v>
          </cell>
          <cell r="P228" t="str">
            <v>31B0</v>
          </cell>
          <cell r="Q228" t="str">
            <v>SS400</v>
          </cell>
          <cell r="R228" t="str">
            <v>E354517_01</v>
          </cell>
          <cell r="S228">
            <v>154</v>
          </cell>
          <cell r="T228" t="str">
            <v>標準</v>
          </cell>
        </row>
        <row r="229">
          <cell r="F229" t="str">
            <v>H0000007535</v>
          </cell>
          <cell r="I229" t="str">
            <v>フレーム</v>
          </cell>
          <cell r="J229" t="str">
            <v>S-Frame_RX-10_S_TTTT</v>
          </cell>
          <cell r="K229" t="str">
            <v>S-フレーム_RX-10_S_TTTT</v>
          </cell>
          <cell r="L229" t="str">
            <v>S-Frame</v>
          </cell>
          <cell r="M229" t="str">
            <v>S-フレーム</v>
          </cell>
          <cell r="P229" t="str">
            <v>31B0</v>
          </cell>
          <cell r="Q229" t="str">
            <v>SS400</v>
          </cell>
          <cell r="R229" t="str">
            <v>E354517_01</v>
          </cell>
          <cell r="S229">
            <v>173</v>
          </cell>
          <cell r="T229" t="str">
            <v>標準</v>
          </cell>
        </row>
        <row r="230">
          <cell r="F230" t="str">
            <v>H0000007536</v>
          </cell>
          <cell r="I230" t="str">
            <v>フレーム</v>
          </cell>
          <cell r="J230" t="str">
            <v>S-Frame_RX-10_S_KKKK</v>
          </cell>
          <cell r="K230" t="str">
            <v>S-フレーム_RX-10_S_KKKK</v>
          </cell>
          <cell r="L230" t="str">
            <v>S-Frame</v>
          </cell>
          <cell r="M230" t="str">
            <v>S-フレーム</v>
          </cell>
          <cell r="P230" t="str">
            <v>31B0</v>
          </cell>
          <cell r="Q230" t="str">
            <v>SS400</v>
          </cell>
          <cell r="R230" t="str">
            <v>E354517_01</v>
          </cell>
          <cell r="S230">
            <v>173</v>
          </cell>
          <cell r="T230" t="str">
            <v>標準</v>
          </cell>
        </row>
        <row r="231">
          <cell r="F231" t="str">
            <v>H0000007537</v>
          </cell>
          <cell r="I231" t="str">
            <v>フレーム</v>
          </cell>
          <cell r="J231" t="str">
            <v>S-Frame_RX-10_S_TKTK</v>
          </cell>
          <cell r="K231" t="str">
            <v>S-フレーム_RX-10_S_TKTK</v>
          </cell>
          <cell r="L231" t="str">
            <v>S-Frame</v>
          </cell>
          <cell r="M231" t="str">
            <v>S-フレーム</v>
          </cell>
          <cell r="P231" t="str">
            <v>31B0</v>
          </cell>
          <cell r="Q231" t="str">
            <v>SS400</v>
          </cell>
          <cell r="R231" t="str">
            <v>E354517_01</v>
          </cell>
          <cell r="S231">
            <v>173</v>
          </cell>
          <cell r="T231" t="str">
            <v>標準</v>
          </cell>
        </row>
        <row r="232">
          <cell r="F232" t="str">
            <v>H0000007538</v>
          </cell>
          <cell r="I232" t="str">
            <v>フレーム</v>
          </cell>
          <cell r="J232" t="str">
            <v>S-Frame_RX-10_S_KTKT</v>
          </cell>
          <cell r="K232" t="str">
            <v>S-フレーム_RX-10_S_KTKT</v>
          </cell>
          <cell r="L232" t="str">
            <v>S-Frame</v>
          </cell>
          <cell r="M232" t="str">
            <v>S-フレーム</v>
          </cell>
          <cell r="P232" t="str">
            <v>31B0</v>
          </cell>
          <cell r="Q232" t="str">
            <v>SS400</v>
          </cell>
          <cell r="R232" t="str">
            <v>E354517_01</v>
          </cell>
          <cell r="S232">
            <v>173</v>
          </cell>
          <cell r="T232" t="str">
            <v>標準</v>
          </cell>
        </row>
        <row r="233">
          <cell r="F233" t="str">
            <v>H0000007539</v>
          </cell>
          <cell r="I233" t="str">
            <v>フレーム</v>
          </cell>
          <cell r="J233" t="str">
            <v>S-Frame_RX-10_S_TTTT</v>
          </cell>
          <cell r="K233" t="str">
            <v>S-フレーム_RX-10_S_TTTT</v>
          </cell>
          <cell r="L233" t="str">
            <v>S-Frame</v>
          </cell>
          <cell r="M233" t="str">
            <v>S-フレーム</v>
          </cell>
          <cell r="P233" t="str">
            <v>31B0</v>
          </cell>
          <cell r="Q233" t="str">
            <v>SS400</v>
          </cell>
          <cell r="R233" t="str">
            <v>E354517_01</v>
          </cell>
          <cell r="S233">
            <v>173</v>
          </cell>
          <cell r="T233" t="str">
            <v>標準</v>
          </cell>
        </row>
        <row r="234">
          <cell r="F234" t="str">
            <v>H0000007540</v>
          </cell>
          <cell r="I234" t="str">
            <v>フレーム</v>
          </cell>
          <cell r="J234" t="str">
            <v>S-Frame_RX-10_S_KKKK</v>
          </cell>
          <cell r="K234" t="str">
            <v>S-フレーム_RX-10_S_KKKK</v>
          </cell>
          <cell r="L234" t="str">
            <v>S-Frame</v>
          </cell>
          <cell r="M234" t="str">
            <v>S-フレーム</v>
          </cell>
          <cell r="P234" t="str">
            <v>31B0</v>
          </cell>
          <cell r="Q234" t="str">
            <v>SS400</v>
          </cell>
          <cell r="R234" t="str">
            <v>E354517_01</v>
          </cell>
          <cell r="S234">
            <v>173</v>
          </cell>
          <cell r="T234" t="str">
            <v>標準</v>
          </cell>
        </row>
        <row r="235">
          <cell r="F235" t="str">
            <v>H0000007541</v>
          </cell>
          <cell r="I235" t="str">
            <v>フレーム</v>
          </cell>
          <cell r="J235" t="str">
            <v>S-Frame_RX-10_S_TKTK</v>
          </cell>
          <cell r="K235" t="str">
            <v>S-フレーム_RX-10_S_TKTK</v>
          </cell>
          <cell r="L235" t="str">
            <v>S-Frame</v>
          </cell>
          <cell r="M235" t="str">
            <v>S-フレーム</v>
          </cell>
          <cell r="P235" t="str">
            <v>31B0</v>
          </cell>
          <cell r="Q235" t="str">
            <v>SS400</v>
          </cell>
          <cell r="R235" t="str">
            <v>E354517_01</v>
          </cell>
          <cell r="S235">
            <v>173</v>
          </cell>
          <cell r="T235" t="str">
            <v>標準</v>
          </cell>
        </row>
        <row r="236">
          <cell r="F236" t="str">
            <v>H0000007542</v>
          </cell>
          <cell r="I236" t="str">
            <v>フレーム</v>
          </cell>
          <cell r="J236" t="str">
            <v>S-Frame_RX-10_S_KTKT</v>
          </cell>
          <cell r="K236" t="str">
            <v>S-フレーム_RX-10_S_KTKT</v>
          </cell>
          <cell r="L236" t="str">
            <v>S-Frame</v>
          </cell>
          <cell r="M236" t="str">
            <v>S-フレーム</v>
          </cell>
          <cell r="P236" t="str">
            <v>31B0</v>
          </cell>
          <cell r="Q236" t="str">
            <v>SS400</v>
          </cell>
          <cell r="R236" t="str">
            <v>E354517_01</v>
          </cell>
          <cell r="S236">
            <v>173</v>
          </cell>
          <cell r="T236" t="str">
            <v>標準</v>
          </cell>
        </row>
        <row r="237">
          <cell r="F237" t="str">
            <v>H0000007547</v>
          </cell>
          <cell r="I237" t="str">
            <v>フレーム</v>
          </cell>
          <cell r="J237" t="str">
            <v>S-Frame_RX-10_S_TTTT</v>
          </cell>
          <cell r="K237" t="str">
            <v>S-フレーム_RX-10_S_TTTT</v>
          </cell>
          <cell r="L237" t="str">
            <v>S-Frame</v>
          </cell>
          <cell r="M237" t="str">
            <v>S-フレーム</v>
          </cell>
          <cell r="P237" t="str">
            <v>31B0</v>
          </cell>
          <cell r="Q237" t="str">
            <v>SS400</v>
          </cell>
          <cell r="R237" t="str">
            <v>E354517_01</v>
          </cell>
          <cell r="S237">
            <v>173</v>
          </cell>
          <cell r="T237" t="str">
            <v>標準</v>
          </cell>
        </row>
        <row r="238">
          <cell r="F238" t="str">
            <v>H0000007548</v>
          </cell>
          <cell r="I238" t="str">
            <v>フレーム</v>
          </cell>
          <cell r="J238" t="str">
            <v>S-Frame_RX-10_S_KKKK</v>
          </cell>
          <cell r="K238" t="str">
            <v>S-フレーム_RX-10_S_KKKK</v>
          </cell>
          <cell r="L238" t="str">
            <v>S-Frame</v>
          </cell>
          <cell r="M238" t="str">
            <v>S-フレーム</v>
          </cell>
          <cell r="P238" t="str">
            <v>31B0</v>
          </cell>
          <cell r="Q238" t="str">
            <v>SS400</v>
          </cell>
          <cell r="R238" t="str">
            <v>E354517_01</v>
          </cell>
          <cell r="S238">
            <v>173</v>
          </cell>
          <cell r="T238" t="str">
            <v>標準</v>
          </cell>
        </row>
        <row r="239">
          <cell r="F239" t="str">
            <v>H0000007549</v>
          </cell>
          <cell r="I239" t="str">
            <v>フレーム</v>
          </cell>
          <cell r="J239" t="str">
            <v>S-Frame_RX-10_S_TKTK</v>
          </cell>
          <cell r="K239" t="str">
            <v>S-フレーム_RX-10_S_TKTK</v>
          </cell>
          <cell r="L239" t="str">
            <v>S-Frame</v>
          </cell>
          <cell r="M239" t="str">
            <v>S-フレーム</v>
          </cell>
          <cell r="P239" t="str">
            <v>31B0</v>
          </cell>
          <cell r="Q239" t="str">
            <v>SS400</v>
          </cell>
          <cell r="R239" t="str">
            <v>E354517_01</v>
          </cell>
          <cell r="S239">
            <v>173</v>
          </cell>
          <cell r="T239" t="str">
            <v>標準</v>
          </cell>
        </row>
        <row r="240">
          <cell r="F240" t="str">
            <v>H0000007550</v>
          </cell>
          <cell r="I240" t="str">
            <v>フレーム</v>
          </cell>
          <cell r="J240" t="str">
            <v>S-Frame_RX-10_S_KTKT</v>
          </cell>
          <cell r="K240" t="str">
            <v>S-フレーム_RX-10_S_KTKT</v>
          </cell>
          <cell r="L240" t="str">
            <v>S-Frame</v>
          </cell>
          <cell r="M240" t="str">
            <v>S-フレーム</v>
          </cell>
          <cell r="P240" t="str">
            <v>31B0</v>
          </cell>
          <cell r="Q240" t="str">
            <v>SS400</v>
          </cell>
          <cell r="R240" t="str">
            <v>E354517_01</v>
          </cell>
          <cell r="S240">
            <v>173</v>
          </cell>
          <cell r="T240" t="str">
            <v>標準</v>
          </cell>
        </row>
        <row r="241">
          <cell r="F241" t="str">
            <v>H0000007563</v>
          </cell>
          <cell r="I241" t="str">
            <v>フレーム</v>
          </cell>
          <cell r="J241" t="str">
            <v>S-Frame_RX-10_S_TTTT</v>
          </cell>
          <cell r="K241" t="str">
            <v>S-フレーム_RX-10_S_TTTT</v>
          </cell>
          <cell r="L241" t="str">
            <v>S-Frame</v>
          </cell>
          <cell r="M241" t="str">
            <v>S-フレーム</v>
          </cell>
          <cell r="P241" t="str">
            <v>31B0</v>
          </cell>
          <cell r="Q241" t="str">
            <v>SS400</v>
          </cell>
          <cell r="R241" t="str">
            <v>E354517_01</v>
          </cell>
          <cell r="S241">
            <v>173</v>
          </cell>
          <cell r="T241" t="str">
            <v>標準</v>
          </cell>
        </row>
        <row r="242">
          <cell r="F242" t="str">
            <v>H0000007564</v>
          </cell>
          <cell r="I242" t="str">
            <v>フレーム</v>
          </cell>
          <cell r="J242" t="str">
            <v>S-Frame_RX-10_S_KKKK</v>
          </cell>
          <cell r="K242" t="str">
            <v>S-フレーム_RX-10_S_KKKK</v>
          </cell>
          <cell r="L242" t="str">
            <v>S-Frame</v>
          </cell>
          <cell r="M242" t="str">
            <v>S-フレーム</v>
          </cell>
          <cell r="P242" t="str">
            <v>31B0</v>
          </cell>
          <cell r="Q242" t="str">
            <v>SS400</v>
          </cell>
          <cell r="R242" t="str">
            <v>E354517_01</v>
          </cell>
          <cell r="S242">
            <v>173</v>
          </cell>
          <cell r="T242" t="str">
            <v>標準</v>
          </cell>
        </row>
        <row r="243">
          <cell r="F243" t="str">
            <v>H0000007565</v>
          </cell>
          <cell r="I243" t="str">
            <v>フレーム</v>
          </cell>
          <cell r="J243" t="str">
            <v>S-Frame_RX-10_S_TKTK</v>
          </cell>
          <cell r="K243" t="str">
            <v>S-フレーム_RX-10_S_TKTK</v>
          </cell>
          <cell r="L243" t="str">
            <v>S-Frame</v>
          </cell>
          <cell r="M243" t="str">
            <v>S-フレーム</v>
          </cell>
          <cell r="P243" t="str">
            <v>31B0</v>
          </cell>
          <cell r="Q243" t="str">
            <v>SS400</v>
          </cell>
          <cell r="R243" t="str">
            <v>E354517_01</v>
          </cell>
          <cell r="S243">
            <v>173</v>
          </cell>
          <cell r="T243" t="str">
            <v>標準</v>
          </cell>
        </row>
        <row r="244">
          <cell r="F244" t="str">
            <v>H0000007566</v>
          </cell>
          <cell r="I244" t="str">
            <v>フレーム</v>
          </cell>
          <cell r="J244" t="str">
            <v>S-Frame_RX-10_S_KTKT</v>
          </cell>
          <cell r="K244" t="str">
            <v>S-フレーム_RX-10_S_KTKT</v>
          </cell>
          <cell r="L244" t="str">
            <v>S-Frame</v>
          </cell>
          <cell r="M244" t="str">
            <v>S-フレーム</v>
          </cell>
          <cell r="P244" t="str">
            <v>31B0</v>
          </cell>
          <cell r="Q244" t="str">
            <v>SS400</v>
          </cell>
          <cell r="R244" t="str">
            <v>E354517_01</v>
          </cell>
          <cell r="S244">
            <v>173</v>
          </cell>
          <cell r="T244" t="str">
            <v>標準</v>
          </cell>
        </row>
        <row r="245">
          <cell r="F245" t="str">
            <v>H0000007571</v>
          </cell>
          <cell r="I245" t="str">
            <v>フレーム</v>
          </cell>
          <cell r="J245" t="str">
            <v>S-Frame_RX-10_S_TTTT</v>
          </cell>
          <cell r="K245" t="str">
            <v>S-フレーム_RX-10_S_TTTT</v>
          </cell>
          <cell r="L245" t="str">
            <v>S-Frame</v>
          </cell>
          <cell r="M245" t="str">
            <v>S-フレーム</v>
          </cell>
          <cell r="P245" t="str">
            <v>31B0</v>
          </cell>
          <cell r="Q245" t="str">
            <v>SS400</v>
          </cell>
          <cell r="R245" t="str">
            <v>E354517_01</v>
          </cell>
          <cell r="S245">
            <v>173</v>
          </cell>
          <cell r="T245" t="str">
            <v>標準</v>
          </cell>
        </row>
        <row r="246">
          <cell r="F246" t="str">
            <v>H0000007572</v>
          </cell>
          <cell r="I246" t="str">
            <v>フレーム</v>
          </cell>
          <cell r="J246" t="str">
            <v>S-Frame_RX-10_S_KKKK</v>
          </cell>
          <cell r="K246" t="str">
            <v>S-フレーム_RX-10_S_KKKK</v>
          </cell>
          <cell r="L246" t="str">
            <v>S-Frame</v>
          </cell>
          <cell r="M246" t="str">
            <v>S-フレーム</v>
          </cell>
          <cell r="P246" t="str">
            <v>31B0</v>
          </cell>
          <cell r="Q246" t="str">
            <v>SS400</v>
          </cell>
          <cell r="R246" t="str">
            <v>E354517_01</v>
          </cell>
          <cell r="S246">
            <v>173</v>
          </cell>
          <cell r="T246" t="str">
            <v>標準</v>
          </cell>
        </row>
        <row r="247">
          <cell r="F247" t="str">
            <v>H0000007573</v>
          </cell>
          <cell r="I247" t="str">
            <v>フレーム</v>
          </cell>
          <cell r="J247" t="str">
            <v>S-Frame_RX-10_S_TKTK</v>
          </cell>
          <cell r="K247" t="str">
            <v>S-フレーム_RX-10_S_TKTK</v>
          </cell>
          <cell r="L247" t="str">
            <v>S-Frame</v>
          </cell>
          <cell r="M247" t="str">
            <v>S-フレーム</v>
          </cell>
          <cell r="P247" t="str">
            <v>31B0</v>
          </cell>
          <cell r="Q247" t="str">
            <v>SS400</v>
          </cell>
          <cell r="R247" t="str">
            <v>E354517_01</v>
          </cell>
          <cell r="S247">
            <v>173</v>
          </cell>
          <cell r="T247" t="str">
            <v>標準</v>
          </cell>
        </row>
        <row r="248">
          <cell r="F248" t="str">
            <v>H0000007574</v>
          </cell>
          <cell r="I248" t="str">
            <v>フレーム</v>
          </cell>
          <cell r="J248" t="str">
            <v>S-Frame_RX-10_S_KTKT</v>
          </cell>
          <cell r="K248" t="str">
            <v>S-フレーム_RX-10_S_KTKT</v>
          </cell>
          <cell r="L248" t="str">
            <v>S-Frame</v>
          </cell>
          <cell r="M248" t="str">
            <v>S-フレーム</v>
          </cell>
          <cell r="P248" t="str">
            <v>31B0</v>
          </cell>
          <cell r="Q248" t="str">
            <v>SS400</v>
          </cell>
          <cell r="R248" t="str">
            <v>E354517_01</v>
          </cell>
          <cell r="S248">
            <v>173</v>
          </cell>
          <cell r="T248" t="str">
            <v>標準</v>
          </cell>
        </row>
        <row r="249">
          <cell r="F249" t="str">
            <v>H0000007575</v>
          </cell>
          <cell r="I249" t="str">
            <v>フレーム</v>
          </cell>
          <cell r="J249" t="str">
            <v>S-Frame_RX-10_S_TTTT</v>
          </cell>
          <cell r="K249" t="str">
            <v>S-フレーム_RX-10_S_TTTT</v>
          </cell>
          <cell r="L249" t="str">
            <v>S-Frame</v>
          </cell>
          <cell r="M249" t="str">
            <v>S-フレーム</v>
          </cell>
          <cell r="P249" t="str">
            <v>31B0</v>
          </cell>
          <cell r="Q249" t="str">
            <v>SS400</v>
          </cell>
          <cell r="R249" t="str">
            <v>E354517_01</v>
          </cell>
          <cell r="S249">
            <v>173</v>
          </cell>
          <cell r="T249" t="str">
            <v>標準</v>
          </cell>
        </row>
        <row r="250">
          <cell r="F250" t="str">
            <v>H0000007576</v>
          </cell>
          <cell r="I250" t="str">
            <v>フレーム</v>
          </cell>
          <cell r="J250" t="str">
            <v>S-Frame_RX-10_S_KKKK</v>
          </cell>
          <cell r="K250" t="str">
            <v>S-フレーム_RX-10_S_KKKK</v>
          </cell>
          <cell r="L250" t="str">
            <v>S-Frame</v>
          </cell>
          <cell r="M250" t="str">
            <v>S-フレーム</v>
          </cell>
          <cell r="P250" t="str">
            <v>31B0</v>
          </cell>
          <cell r="Q250" t="str">
            <v>SS400</v>
          </cell>
          <cell r="R250" t="str">
            <v>E354517_01</v>
          </cell>
          <cell r="S250">
            <v>173</v>
          </cell>
          <cell r="T250" t="str">
            <v>標準</v>
          </cell>
        </row>
        <row r="251">
          <cell r="F251" t="str">
            <v>H0000007577</v>
          </cell>
          <cell r="I251" t="str">
            <v>フレーム</v>
          </cell>
          <cell r="J251" t="str">
            <v>S-Frame_RX-10_S_TKTK</v>
          </cell>
          <cell r="K251" t="str">
            <v>S-フレーム_RX-10_S_TKTK</v>
          </cell>
          <cell r="L251" t="str">
            <v>S-Frame</v>
          </cell>
          <cell r="M251" t="str">
            <v>S-フレーム</v>
          </cell>
          <cell r="P251" t="str">
            <v>31B0</v>
          </cell>
          <cell r="Q251" t="str">
            <v>SS400</v>
          </cell>
          <cell r="R251" t="str">
            <v>E354517_01</v>
          </cell>
          <cell r="S251">
            <v>173</v>
          </cell>
          <cell r="T251" t="str">
            <v>標準</v>
          </cell>
        </row>
        <row r="252">
          <cell r="F252" t="str">
            <v>H0000007578</v>
          </cell>
          <cell r="I252" t="str">
            <v>フレーム</v>
          </cell>
          <cell r="J252" t="str">
            <v>S-Frame_RX-10_S_KTKT</v>
          </cell>
          <cell r="K252" t="str">
            <v>S-フレーム_RX-10_S_KTKT</v>
          </cell>
          <cell r="L252" t="str">
            <v>S-Frame</v>
          </cell>
          <cell r="M252" t="str">
            <v>S-フレーム</v>
          </cell>
          <cell r="P252" t="str">
            <v>31B0</v>
          </cell>
          <cell r="Q252" t="str">
            <v>SS400</v>
          </cell>
          <cell r="R252" t="str">
            <v>E354517_01</v>
          </cell>
          <cell r="S252">
            <v>173</v>
          </cell>
          <cell r="T252" t="str">
            <v>標準</v>
          </cell>
        </row>
        <row r="253">
          <cell r="F253" t="str">
            <v>H0000007583</v>
          </cell>
          <cell r="I253" t="str">
            <v>フレーム</v>
          </cell>
          <cell r="J253" t="str">
            <v>S-Frame_RX-10_S_TTTT</v>
          </cell>
          <cell r="K253" t="str">
            <v>S-フレーム_RX-10_S_TTTT</v>
          </cell>
          <cell r="L253" t="str">
            <v>S-Frame</v>
          </cell>
          <cell r="M253" t="str">
            <v>S-フレーム</v>
          </cell>
          <cell r="P253" t="str">
            <v>31B0</v>
          </cell>
          <cell r="Q253" t="str">
            <v>SS400</v>
          </cell>
          <cell r="R253" t="str">
            <v>E354517_01</v>
          </cell>
          <cell r="S253">
            <v>173</v>
          </cell>
          <cell r="T253" t="str">
            <v>標準</v>
          </cell>
        </row>
        <row r="254">
          <cell r="F254" t="str">
            <v>H0000007584</v>
          </cell>
          <cell r="I254" t="str">
            <v>フレーム</v>
          </cell>
          <cell r="J254" t="str">
            <v>S-Frame_RX-10_S_KKKK</v>
          </cell>
          <cell r="K254" t="str">
            <v>S-フレーム_RX-10_S_KKKK</v>
          </cell>
          <cell r="L254" t="str">
            <v>S-Frame</v>
          </cell>
          <cell r="M254" t="str">
            <v>S-フレーム</v>
          </cell>
          <cell r="P254" t="str">
            <v>31B0</v>
          </cell>
          <cell r="Q254" t="str">
            <v>SS400</v>
          </cell>
          <cell r="R254" t="str">
            <v>E354517_01</v>
          </cell>
          <cell r="S254">
            <v>173</v>
          </cell>
          <cell r="T254" t="str">
            <v>標準</v>
          </cell>
        </row>
        <row r="255">
          <cell r="F255" t="str">
            <v>H0000007585</v>
          </cell>
          <cell r="I255" t="str">
            <v>フレーム</v>
          </cell>
          <cell r="J255" t="str">
            <v>S-Frame_RX-10_S_TKTK</v>
          </cell>
          <cell r="K255" t="str">
            <v>S-フレーム_RX-10_S_TKTK</v>
          </cell>
          <cell r="L255" t="str">
            <v>S-Frame</v>
          </cell>
          <cell r="M255" t="str">
            <v>S-フレーム</v>
          </cell>
          <cell r="P255" t="str">
            <v>31B0</v>
          </cell>
          <cell r="Q255" t="str">
            <v>SS400</v>
          </cell>
          <cell r="R255" t="str">
            <v>E354517_01</v>
          </cell>
          <cell r="S255">
            <v>173</v>
          </cell>
          <cell r="T255" t="str">
            <v>標準</v>
          </cell>
        </row>
        <row r="256">
          <cell r="F256" t="str">
            <v>H0000007586</v>
          </cell>
          <cell r="I256" t="str">
            <v>フレーム</v>
          </cell>
          <cell r="J256" t="str">
            <v>S-Frame_RX-10_S_KTKT</v>
          </cell>
          <cell r="K256" t="str">
            <v>S-フレーム_RX-10_S_KTKT</v>
          </cell>
          <cell r="L256" t="str">
            <v>S-Frame</v>
          </cell>
          <cell r="M256" t="str">
            <v>S-フレーム</v>
          </cell>
          <cell r="P256" t="str">
            <v>31B0</v>
          </cell>
          <cell r="Q256" t="str">
            <v>SS400</v>
          </cell>
          <cell r="R256" t="str">
            <v>E354517_01</v>
          </cell>
          <cell r="S256">
            <v>173</v>
          </cell>
          <cell r="T256" t="str">
            <v>標準</v>
          </cell>
        </row>
        <row r="257">
          <cell r="F257" t="str">
            <v>H0000007599</v>
          </cell>
          <cell r="I257" t="str">
            <v>フレーム</v>
          </cell>
          <cell r="J257" t="str">
            <v>S-Frame_RX-10_S_TTTT</v>
          </cell>
          <cell r="K257" t="str">
            <v>S-フレーム_RX-10_S_TTTT</v>
          </cell>
          <cell r="L257" t="str">
            <v>S-Frame</v>
          </cell>
          <cell r="M257" t="str">
            <v>S-フレーム</v>
          </cell>
          <cell r="P257" t="str">
            <v>31B0</v>
          </cell>
          <cell r="Q257" t="str">
            <v>SS400</v>
          </cell>
          <cell r="R257" t="str">
            <v>E354517_01</v>
          </cell>
          <cell r="S257">
            <v>173</v>
          </cell>
          <cell r="T257" t="str">
            <v>標準</v>
          </cell>
        </row>
        <row r="258">
          <cell r="F258" t="str">
            <v>H0000007600</v>
          </cell>
          <cell r="I258" t="str">
            <v>フレーム</v>
          </cell>
          <cell r="J258" t="str">
            <v>S-Frame_RX-10_S_KKKK</v>
          </cell>
          <cell r="K258" t="str">
            <v>S-フレーム_RX-10_S_KKKK</v>
          </cell>
          <cell r="L258" t="str">
            <v>S-Frame</v>
          </cell>
          <cell r="M258" t="str">
            <v>S-フレーム</v>
          </cell>
          <cell r="P258" t="str">
            <v>31B0</v>
          </cell>
          <cell r="Q258" t="str">
            <v>SS400</v>
          </cell>
          <cell r="R258" t="str">
            <v>E354517_01</v>
          </cell>
          <cell r="S258">
            <v>173</v>
          </cell>
          <cell r="T258" t="str">
            <v>標準</v>
          </cell>
        </row>
        <row r="259">
          <cell r="F259" t="str">
            <v>H0000007601</v>
          </cell>
          <cell r="I259" t="str">
            <v>フレーム</v>
          </cell>
          <cell r="J259" t="str">
            <v>S-Frame_RX-10_S_TKTK</v>
          </cell>
          <cell r="K259" t="str">
            <v>S-フレーム_RX-10_S_TKTK</v>
          </cell>
          <cell r="L259" t="str">
            <v>S-Frame</v>
          </cell>
          <cell r="M259" t="str">
            <v>S-フレーム</v>
          </cell>
          <cell r="P259" t="str">
            <v>31B0</v>
          </cell>
          <cell r="Q259" t="str">
            <v>SS400</v>
          </cell>
          <cell r="R259" t="str">
            <v>E354517_01</v>
          </cell>
          <cell r="S259">
            <v>173</v>
          </cell>
          <cell r="T259" t="str">
            <v>標準</v>
          </cell>
        </row>
        <row r="260">
          <cell r="F260" t="str">
            <v>H0000007602</v>
          </cell>
          <cell r="I260" t="str">
            <v>フレーム</v>
          </cell>
          <cell r="J260" t="str">
            <v>S-Frame_RX-10_S_KTKT</v>
          </cell>
          <cell r="K260" t="str">
            <v>S-フレーム_RX-10_S_KTKT</v>
          </cell>
          <cell r="L260" t="str">
            <v>S-Frame</v>
          </cell>
          <cell r="M260" t="str">
            <v>S-フレーム</v>
          </cell>
          <cell r="P260" t="str">
            <v>31B0</v>
          </cell>
          <cell r="Q260" t="str">
            <v>SS400</v>
          </cell>
          <cell r="R260" t="str">
            <v>E354517_01</v>
          </cell>
          <cell r="S260">
            <v>173</v>
          </cell>
          <cell r="T260" t="str">
            <v>標準</v>
          </cell>
        </row>
        <row r="261">
          <cell r="F261" t="str">
            <v>H0000007643</v>
          </cell>
          <cell r="I261" t="str">
            <v>フレーム</v>
          </cell>
          <cell r="J261" t="str">
            <v>S-Frame_RX-10_S_TTTT</v>
          </cell>
          <cell r="K261" t="str">
            <v>S-フレーム_RX-10_S_TTTT</v>
          </cell>
          <cell r="L261" t="str">
            <v>S-Frame</v>
          </cell>
          <cell r="M261" t="str">
            <v>S-フレーム</v>
          </cell>
          <cell r="P261" t="str">
            <v>31B0</v>
          </cell>
          <cell r="Q261" t="str">
            <v>SS400</v>
          </cell>
          <cell r="R261" t="str">
            <v>E354517_01</v>
          </cell>
          <cell r="S261">
            <v>173</v>
          </cell>
          <cell r="T261" t="str">
            <v>標準</v>
          </cell>
        </row>
        <row r="262">
          <cell r="F262" t="str">
            <v>H0000007644</v>
          </cell>
          <cell r="I262" t="str">
            <v>フレーム</v>
          </cell>
          <cell r="J262" t="str">
            <v>S-Frame_RX-10_S_KKKK</v>
          </cell>
          <cell r="K262" t="str">
            <v>S-フレーム_RX-10_S_KKKK</v>
          </cell>
          <cell r="L262" t="str">
            <v>S-Frame</v>
          </cell>
          <cell r="M262" t="str">
            <v>S-フレーム</v>
          </cell>
          <cell r="P262" t="str">
            <v>31B0</v>
          </cell>
          <cell r="Q262" t="str">
            <v>SS400</v>
          </cell>
          <cell r="R262" t="str">
            <v>E354517_01</v>
          </cell>
          <cell r="S262">
            <v>173</v>
          </cell>
          <cell r="T262" t="str">
            <v>標準</v>
          </cell>
        </row>
        <row r="263">
          <cell r="F263" t="str">
            <v>H0000007645</v>
          </cell>
          <cell r="I263" t="str">
            <v>フレーム</v>
          </cell>
          <cell r="J263" t="str">
            <v>S-Frame_RX-10_S_TKTK</v>
          </cell>
          <cell r="K263" t="str">
            <v>S-フレーム_RX-10_S_TKTK</v>
          </cell>
          <cell r="L263" t="str">
            <v>S-Frame</v>
          </cell>
          <cell r="M263" t="str">
            <v>S-フレーム</v>
          </cell>
          <cell r="P263" t="str">
            <v>31B0</v>
          </cell>
          <cell r="Q263" t="str">
            <v>SS400</v>
          </cell>
          <cell r="R263" t="str">
            <v>E354517_01</v>
          </cell>
          <cell r="S263">
            <v>173</v>
          </cell>
          <cell r="T263" t="str">
            <v>標準</v>
          </cell>
        </row>
        <row r="264">
          <cell r="F264" t="str">
            <v>H0000007646</v>
          </cell>
          <cell r="I264" t="str">
            <v>フレーム</v>
          </cell>
          <cell r="J264" t="str">
            <v>S-Frame_RX-10_S_KTKT</v>
          </cell>
          <cell r="K264" t="str">
            <v>S-フレーム_RX-10_S_KTKT</v>
          </cell>
          <cell r="L264" t="str">
            <v>S-Frame</v>
          </cell>
          <cell r="M264" t="str">
            <v>S-フレーム</v>
          </cell>
          <cell r="P264" t="str">
            <v>31B0</v>
          </cell>
          <cell r="Q264" t="str">
            <v>SS400</v>
          </cell>
          <cell r="R264" t="str">
            <v>E354517_01</v>
          </cell>
          <cell r="S264">
            <v>173</v>
          </cell>
          <cell r="T264" t="str">
            <v>標準</v>
          </cell>
        </row>
        <row r="265">
          <cell r="F265" t="str">
            <v>H0000007647</v>
          </cell>
          <cell r="I265" t="str">
            <v>フレーム</v>
          </cell>
          <cell r="J265" t="str">
            <v>S-Frame_RX-10_S_TTTT</v>
          </cell>
          <cell r="K265" t="str">
            <v>S-フレーム_RX-10_S_TTTT</v>
          </cell>
          <cell r="L265" t="str">
            <v>S-Frame</v>
          </cell>
          <cell r="M265" t="str">
            <v>S-フレーム</v>
          </cell>
          <cell r="P265" t="str">
            <v>31B0</v>
          </cell>
          <cell r="Q265" t="str">
            <v>SS400</v>
          </cell>
          <cell r="R265" t="str">
            <v>E354517_01</v>
          </cell>
          <cell r="S265">
            <v>173</v>
          </cell>
          <cell r="T265" t="str">
            <v>標準</v>
          </cell>
        </row>
        <row r="266">
          <cell r="F266" t="str">
            <v>H0000007648</v>
          </cell>
          <cell r="I266" t="str">
            <v>フレーム</v>
          </cell>
          <cell r="J266" t="str">
            <v>S-Frame_RX-10_S_KKKK</v>
          </cell>
          <cell r="K266" t="str">
            <v>S-フレーム_RX-10_S_KKKK</v>
          </cell>
          <cell r="L266" t="str">
            <v>S-Frame</v>
          </cell>
          <cell r="M266" t="str">
            <v>S-フレーム</v>
          </cell>
          <cell r="P266" t="str">
            <v>31B0</v>
          </cell>
          <cell r="Q266" t="str">
            <v>SS400</v>
          </cell>
          <cell r="R266" t="str">
            <v>E354517_01</v>
          </cell>
          <cell r="S266">
            <v>173</v>
          </cell>
          <cell r="T266" t="str">
            <v>標準</v>
          </cell>
        </row>
        <row r="267">
          <cell r="F267" t="str">
            <v>H0000007649</v>
          </cell>
          <cell r="I267" t="str">
            <v>フレーム</v>
          </cell>
          <cell r="J267" t="str">
            <v>S-Frame_RX-10_S_TKTK</v>
          </cell>
          <cell r="K267" t="str">
            <v>S-フレーム_RX-10_S_TKTK</v>
          </cell>
          <cell r="L267" t="str">
            <v>S-Frame</v>
          </cell>
          <cell r="M267" t="str">
            <v>S-フレーム</v>
          </cell>
          <cell r="P267" t="str">
            <v>31B0</v>
          </cell>
          <cell r="Q267" t="str">
            <v>SS400</v>
          </cell>
          <cell r="R267" t="str">
            <v>E354517_01</v>
          </cell>
          <cell r="S267">
            <v>173</v>
          </cell>
          <cell r="T267" t="str">
            <v>標準</v>
          </cell>
        </row>
        <row r="268">
          <cell r="F268" t="str">
            <v>H0000007650</v>
          </cell>
          <cell r="I268" t="str">
            <v>フレーム</v>
          </cell>
          <cell r="J268" t="str">
            <v>S-Frame_RX-10_S_KTKT</v>
          </cell>
          <cell r="K268" t="str">
            <v>S-フレーム_RX-10_S_KTKT</v>
          </cell>
          <cell r="L268" t="str">
            <v>S-Frame</v>
          </cell>
          <cell r="M268" t="str">
            <v>S-フレーム</v>
          </cell>
          <cell r="P268" t="str">
            <v>31B0</v>
          </cell>
          <cell r="Q268" t="str">
            <v>SS400</v>
          </cell>
          <cell r="R268" t="str">
            <v>E354517_01</v>
          </cell>
          <cell r="S268">
            <v>173</v>
          </cell>
          <cell r="T268" t="str">
            <v>標準</v>
          </cell>
        </row>
        <row r="269">
          <cell r="F269" t="str">
            <v>H0000007655</v>
          </cell>
          <cell r="I269" t="str">
            <v>フレーム</v>
          </cell>
          <cell r="J269" t="str">
            <v>S-Frame_RX-10_S_TTTT</v>
          </cell>
          <cell r="K269" t="str">
            <v>S-フレーム_RX-10_S_TTTT</v>
          </cell>
          <cell r="L269" t="str">
            <v>S-Frame</v>
          </cell>
          <cell r="M269" t="str">
            <v>S-フレーム</v>
          </cell>
          <cell r="P269" t="str">
            <v>31B0</v>
          </cell>
          <cell r="Q269" t="str">
            <v>SS400</v>
          </cell>
          <cell r="R269" t="str">
            <v>E354517_01</v>
          </cell>
          <cell r="S269">
            <v>173</v>
          </cell>
          <cell r="T269" t="str">
            <v>標準</v>
          </cell>
        </row>
        <row r="270">
          <cell r="F270" t="str">
            <v>H0000007656</v>
          </cell>
          <cell r="I270" t="str">
            <v>フレーム</v>
          </cell>
          <cell r="J270" t="str">
            <v>S-Frame_RX-10_S_KKKK</v>
          </cell>
          <cell r="K270" t="str">
            <v>S-フレーム_RX-10_S_KKKK</v>
          </cell>
          <cell r="L270" t="str">
            <v>S-Frame</v>
          </cell>
          <cell r="M270" t="str">
            <v>S-フレーム</v>
          </cell>
          <cell r="P270" t="str">
            <v>31B0</v>
          </cell>
          <cell r="Q270" t="str">
            <v>SS400</v>
          </cell>
          <cell r="R270" t="str">
            <v>E354517_01</v>
          </cell>
          <cell r="S270">
            <v>173</v>
          </cell>
          <cell r="T270" t="str">
            <v>標準</v>
          </cell>
        </row>
        <row r="271">
          <cell r="F271" t="str">
            <v>H0000007657</v>
          </cell>
          <cell r="I271" t="str">
            <v>フレーム</v>
          </cell>
          <cell r="J271" t="str">
            <v>S-Frame_RX-10_S_TKTK</v>
          </cell>
          <cell r="K271" t="str">
            <v>S-フレーム_RX-10_S_TKTK</v>
          </cell>
          <cell r="L271" t="str">
            <v>S-Frame</v>
          </cell>
          <cell r="M271" t="str">
            <v>S-フレーム</v>
          </cell>
          <cell r="P271" t="str">
            <v>31B0</v>
          </cell>
          <cell r="Q271" t="str">
            <v>SS400</v>
          </cell>
          <cell r="R271" t="str">
            <v>E354517_01</v>
          </cell>
          <cell r="S271">
            <v>173</v>
          </cell>
          <cell r="T271" t="str">
            <v>標準</v>
          </cell>
        </row>
        <row r="272">
          <cell r="F272" t="str">
            <v>H0000007658</v>
          </cell>
          <cell r="I272" t="str">
            <v>フレーム</v>
          </cell>
          <cell r="J272" t="str">
            <v>S-Frame_RX-10_S_KTKT</v>
          </cell>
          <cell r="K272" t="str">
            <v>S-フレーム_RX-10_S_KTKT</v>
          </cell>
          <cell r="L272" t="str">
            <v>S-Frame</v>
          </cell>
          <cell r="M272" t="str">
            <v>S-フレーム</v>
          </cell>
          <cell r="P272" t="str">
            <v>31B0</v>
          </cell>
          <cell r="Q272" t="str">
            <v>SS400</v>
          </cell>
          <cell r="R272" t="str">
            <v>E354517_01</v>
          </cell>
          <cell r="S272">
            <v>173</v>
          </cell>
          <cell r="T272" t="str">
            <v>標準</v>
          </cell>
        </row>
        <row r="273">
          <cell r="F273" t="str">
            <v>H0000007671</v>
          </cell>
          <cell r="I273" t="str">
            <v>フレーム</v>
          </cell>
          <cell r="J273" t="str">
            <v>S-Frame_RX-10_S_TTTT</v>
          </cell>
          <cell r="K273" t="str">
            <v>S-フレーム_RX-10_S_TTTT</v>
          </cell>
          <cell r="L273" t="str">
            <v>S-Frame</v>
          </cell>
          <cell r="M273" t="str">
            <v>S-フレーム</v>
          </cell>
          <cell r="P273" t="str">
            <v>31B0</v>
          </cell>
          <cell r="Q273" t="str">
            <v>SS400</v>
          </cell>
          <cell r="R273" t="str">
            <v>E354517_01</v>
          </cell>
          <cell r="S273">
            <v>173</v>
          </cell>
          <cell r="T273" t="str">
            <v>標準</v>
          </cell>
        </row>
        <row r="274">
          <cell r="F274" t="str">
            <v>H0000007672</v>
          </cell>
          <cell r="I274" t="str">
            <v>フレーム</v>
          </cell>
          <cell r="J274" t="str">
            <v>S-Frame_RX-10_S_KKKK</v>
          </cell>
          <cell r="K274" t="str">
            <v>S-フレーム_RX-10_S_KKKK</v>
          </cell>
          <cell r="L274" t="str">
            <v>S-Frame</v>
          </cell>
          <cell r="M274" t="str">
            <v>S-フレーム</v>
          </cell>
          <cell r="P274" t="str">
            <v>31B0</v>
          </cell>
          <cell r="Q274" t="str">
            <v>SS400</v>
          </cell>
          <cell r="R274" t="str">
            <v>E354517_01</v>
          </cell>
          <cell r="S274">
            <v>173</v>
          </cell>
          <cell r="T274" t="str">
            <v>標準</v>
          </cell>
        </row>
        <row r="275">
          <cell r="F275" t="str">
            <v>H0000007673</v>
          </cell>
          <cell r="I275" t="str">
            <v>フレーム</v>
          </cell>
          <cell r="J275" t="str">
            <v>S-Frame_RX-10_S_TKTK</v>
          </cell>
          <cell r="K275" t="str">
            <v>S-フレーム_RX-10_S_TKTK</v>
          </cell>
          <cell r="L275" t="str">
            <v>S-Frame</v>
          </cell>
          <cell r="M275" t="str">
            <v>S-フレーム</v>
          </cell>
          <cell r="P275" t="str">
            <v>31B0</v>
          </cell>
          <cell r="Q275" t="str">
            <v>SS400</v>
          </cell>
          <cell r="R275" t="str">
            <v>E354517_01</v>
          </cell>
          <cell r="S275">
            <v>173</v>
          </cell>
          <cell r="T275" t="str">
            <v>標準</v>
          </cell>
        </row>
        <row r="276">
          <cell r="F276" t="str">
            <v>H0000007674</v>
          </cell>
          <cell r="I276" t="str">
            <v>フレーム</v>
          </cell>
          <cell r="J276" t="str">
            <v>S-Frame_RX-10_S_KTKT</v>
          </cell>
          <cell r="K276" t="str">
            <v>S-フレーム_RX-10_S_KTKT</v>
          </cell>
          <cell r="L276" t="str">
            <v>S-Frame</v>
          </cell>
          <cell r="M276" t="str">
            <v>S-フレーム</v>
          </cell>
          <cell r="P276" t="str">
            <v>31B0</v>
          </cell>
          <cell r="Q276" t="str">
            <v>SS400</v>
          </cell>
          <cell r="R276" t="str">
            <v>E354517_01</v>
          </cell>
          <cell r="S276">
            <v>173</v>
          </cell>
          <cell r="T276" t="str">
            <v>標準</v>
          </cell>
        </row>
        <row r="277">
          <cell r="F277" t="str">
            <v>H0000007787</v>
          </cell>
          <cell r="I277" t="str">
            <v>フレーム</v>
          </cell>
          <cell r="J277" t="str">
            <v>S-Frame_RX-10_S_TTTT</v>
          </cell>
          <cell r="K277" t="str">
            <v>S-フレーム_RX-10_S_TTTT</v>
          </cell>
          <cell r="L277" t="str">
            <v>S-Frame</v>
          </cell>
          <cell r="M277" t="str">
            <v>S-フレーム</v>
          </cell>
          <cell r="P277" t="str">
            <v>31B0</v>
          </cell>
          <cell r="Q277" t="str">
            <v>SS400</v>
          </cell>
          <cell r="R277" t="str">
            <v>E354517_01</v>
          </cell>
          <cell r="S277">
            <v>173</v>
          </cell>
          <cell r="T277" t="str">
            <v>標準</v>
          </cell>
        </row>
        <row r="278">
          <cell r="F278" t="str">
            <v>H0000007788</v>
          </cell>
          <cell r="I278" t="str">
            <v>フレーム</v>
          </cell>
          <cell r="J278" t="str">
            <v>S-Frame_RX-10_S_KKKK</v>
          </cell>
          <cell r="K278" t="str">
            <v>S-フレーム_RX-10_S_KKKK</v>
          </cell>
          <cell r="L278" t="str">
            <v>S-Frame</v>
          </cell>
          <cell r="M278" t="str">
            <v>S-フレーム</v>
          </cell>
          <cell r="P278" t="str">
            <v>31B0</v>
          </cell>
          <cell r="Q278" t="str">
            <v>SS400</v>
          </cell>
          <cell r="R278" t="str">
            <v>E354517_01</v>
          </cell>
          <cell r="S278">
            <v>173</v>
          </cell>
          <cell r="T278" t="str">
            <v>標準</v>
          </cell>
        </row>
        <row r="279">
          <cell r="F279" t="str">
            <v>H0000007789</v>
          </cell>
          <cell r="I279" t="str">
            <v>フレーム</v>
          </cell>
          <cell r="J279" t="str">
            <v>S-Frame_RX-10_S_TKTK</v>
          </cell>
          <cell r="K279" t="str">
            <v>S-フレーム_RX-10_S_TKTK</v>
          </cell>
          <cell r="L279" t="str">
            <v>S-Frame</v>
          </cell>
          <cell r="M279" t="str">
            <v>S-フレーム</v>
          </cell>
          <cell r="P279" t="str">
            <v>31B0</v>
          </cell>
          <cell r="Q279" t="str">
            <v>SS400</v>
          </cell>
          <cell r="R279" t="str">
            <v>E354517_01</v>
          </cell>
          <cell r="S279">
            <v>173</v>
          </cell>
          <cell r="T279" t="str">
            <v>標準</v>
          </cell>
        </row>
        <row r="280">
          <cell r="F280" t="str">
            <v>H0000007790</v>
          </cell>
          <cell r="I280" t="str">
            <v>フレーム</v>
          </cell>
          <cell r="J280" t="str">
            <v>S-Frame_RX-10_S_KTKT</v>
          </cell>
          <cell r="K280" t="str">
            <v>S-フレーム_RX-10_S_KTKT</v>
          </cell>
          <cell r="L280" t="str">
            <v>S-Frame</v>
          </cell>
          <cell r="M280" t="str">
            <v>S-フレーム</v>
          </cell>
          <cell r="P280" t="str">
            <v>31B0</v>
          </cell>
          <cell r="Q280" t="str">
            <v>SS400</v>
          </cell>
          <cell r="R280" t="str">
            <v>E354517_01</v>
          </cell>
          <cell r="S280">
            <v>173</v>
          </cell>
          <cell r="T280" t="str">
            <v>標準</v>
          </cell>
        </row>
        <row r="281">
          <cell r="F281" t="str">
            <v>H0000007791</v>
          </cell>
          <cell r="I281" t="str">
            <v>フレーム</v>
          </cell>
          <cell r="J281" t="str">
            <v>S-Frame_RX-10_S_TTTT</v>
          </cell>
          <cell r="K281" t="str">
            <v>S-フレーム_RX-10_S_TTTT</v>
          </cell>
          <cell r="L281" t="str">
            <v>S-Frame</v>
          </cell>
          <cell r="M281" t="str">
            <v>S-フレーム</v>
          </cell>
          <cell r="P281" t="str">
            <v>31B0</v>
          </cell>
          <cell r="Q281" t="str">
            <v>SS400</v>
          </cell>
          <cell r="R281" t="str">
            <v>E354517_01</v>
          </cell>
          <cell r="S281">
            <v>173</v>
          </cell>
          <cell r="T281" t="str">
            <v>標準</v>
          </cell>
        </row>
        <row r="282">
          <cell r="F282" t="str">
            <v>H0000007792</v>
          </cell>
          <cell r="I282" t="str">
            <v>フレーム</v>
          </cell>
          <cell r="J282" t="str">
            <v>S-Frame_RX-10_S_KKKK</v>
          </cell>
          <cell r="K282" t="str">
            <v>S-フレーム_RX-10_S_KKKK</v>
          </cell>
          <cell r="L282" t="str">
            <v>S-Frame</v>
          </cell>
          <cell r="M282" t="str">
            <v>S-フレーム</v>
          </cell>
          <cell r="P282" t="str">
            <v>31B0</v>
          </cell>
          <cell r="Q282" t="str">
            <v>SS400</v>
          </cell>
          <cell r="R282" t="str">
            <v>E354517_01</v>
          </cell>
          <cell r="S282">
            <v>173</v>
          </cell>
          <cell r="T282" t="str">
            <v>標準</v>
          </cell>
        </row>
        <row r="283">
          <cell r="F283" t="str">
            <v>H0000007793</v>
          </cell>
          <cell r="I283" t="str">
            <v>フレーム</v>
          </cell>
          <cell r="J283" t="str">
            <v>S-Frame_RX-10_S_TKTK</v>
          </cell>
          <cell r="K283" t="str">
            <v>S-フレーム_RX-10_S_TKTK</v>
          </cell>
          <cell r="L283" t="str">
            <v>S-Frame</v>
          </cell>
          <cell r="M283" t="str">
            <v>S-フレーム</v>
          </cell>
          <cell r="P283" t="str">
            <v>31B0</v>
          </cell>
          <cell r="Q283" t="str">
            <v>SS400</v>
          </cell>
          <cell r="R283" t="str">
            <v>E354517_01</v>
          </cell>
          <cell r="S283">
            <v>173</v>
          </cell>
          <cell r="T283" t="str">
            <v>標準</v>
          </cell>
        </row>
        <row r="284">
          <cell r="F284" t="str">
            <v>H0000007794</v>
          </cell>
          <cell r="I284" t="str">
            <v>フレーム</v>
          </cell>
          <cell r="J284" t="str">
            <v>S-Frame_RX-10_S_KTKT</v>
          </cell>
          <cell r="K284" t="str">
            <v>S-フレーム_RX-10_S_KTKT</v>
          </cell>
          <cell r="L284" t="str">
            <v>S-Frame</v>
          </cell>
          <cell r="M284" t="str">
            <v>S-フレーム</v>
          </cell>
          <cell r="P284" t="str">
            <v>31B0</v>
          </cell>
          <cell r="Q284" t="str">
            <v>SS400</v>
          </cell>
          <cell r="R284" t="str">
            <v>E354517_01</v>
          </cell>
          <cell r="S284">
            <v>173</v>
          </cell>
          <cell r="T284" t="str">
            <v>標準</v>
          </cell>
        </row>
        <row r="285">
          <cell r="F285" t="str">
            <v>H0000007799</v>
          </cell>
          <cell r="I285" t="str">
            <v>フレーム</v>
          </cell>
          <cell r="J285" t="str">
            <v>S-Frame_RX-10_S_TTTT</v>
          </cell>
          <cell r="K285" t="str">
            <v>S-フレーム_RX-10_S_TTTT</v>
          </cell>
          <cell r="L285" t="str">
            <v>S-Frame</v>
          </cell>
          <cell r="M285" t="str">
            <v>S-フレーム</v>
          </cell>
          <cell r="P285" t="str">
            <v>31B0</v>
          </cell>
          <cell r="Q285" t="str">
            <v>SS400</v>
          </cell>
          <cell r="R285" t="str">
            <v>E354517_01</v>
          </cell>
          <cell r="S285">
            <v>173</v>
          </cell>
          <cell r="T285" t="str">
            <v>標準</v>
          </cell>
        </row>
        <row r="286">
          <cell r="F286" t="str">
            <v>H0000007800</v>
          </cell>
          <cell r="I286" t="str">
            <v>フレーム</v>
          </cell>
          <cell r="J286" t="str">
            <v>S-Frame_RX-10_S_KKKK</v>
          </cell>
          <cell r="K286" t="str">
            <v>S-フレーム_RX-10_S_KKKK</v>
          </cell>
          <cell r="L286" t="str">
            <v>S-Frame</v>
          </cell>
          <cell r="M286" t="str">
            <v>S-フレーム</v>
          </cell>
          <cell r="P286" t="str">
            <v>31B0</v>
          </cell>
          <cell r="Q286" t="str">
            <v>SS400</v>
          </cell>
          <cell r="R286" t="str">
            <v>E354517_01</v>
          </cell>
          <cell r="S286">
            <v>173</v>
          </cell>
          <cell r="T286" t="str">
            <v>標準</v>
          </cell>
        </row>
        <row r="287">
          <cell r="F287" t="str">
            <v>H0000007801</v>
          </cell>
          <cell r="I287" t="str">
            <v>フレーム</v>
          </cell>
          <cell r="J287" t="str">
            <v>S-Frame_RX-10_S_TKTK</v>
          </cell>
          <cell r="K287" t="str">
            <v>S-フレーム_RX-10_S_TKTK</v>
          </cell>
          <cell r="L287" t="str">
            <v>S-Frame</v>
          </cell>
          <cell r="M287" t="str">
            <v>S-フレーム</v>
          </cell>
          <cell r="P287" t="str">
            <v>31B0</v>
          </cell>
          <cell r="Q287" t="str">
            <v>SS400</v>
          </cell>
          <cell r="R287" t="str">
            <v>E354517_01</v>
          </cell>
          <cell r="S287">
            <v>173</v>
          </cell>
          <cell r="T287" t="str">
            <v>標準</v>
          </cell>
        </row>
        <row r="288">
          <cell r="F288" t="str">
            <v>H0000007802</v>
          </cell>
          <cell r="I288" t="str">
            <v>フレーム</v>
          </cell>
          <cell r="J288" t="str">
            <v>S-Frame_RX-10_S_KTKT</v>
          </cell>
          <cell r="K288" t="str">
            <v>S-フレーム_RX-10_S_KTKT</v>
          </cell>
          <cell r="L288" t="str">
            <v>S-Frame</v>
          </cell>
          <cell r="M288" t="str">
            <v>S-フレーム</v>
          </cell>
          <cell r="P288" t="str">
            <v>31B0</v>
          </cell>
          <cell r="Q288" t="str">
            <v>SS400</v>
          </cell>
          <cell r="R288" t="str">
            <v>E354517_01</v>
          </cell>
          <cell r="S288">
            <v>173</v>
          </cell>
          <cell r="T288" t="str">
            <v>標準</v>
          </cell>
        </row>
        <row r="289">
          <cell r="F289" t="str">
            <v>H0000007815</v>
          </cell>
          <cell r="I289" t="str">
            <v>フレーム</v>
          </cell>
          <cell r="J289" t="str">
            <v>S-Frame_RX-10_S_TTTT</v>
          </cell>
          <cell r="K289" t="str">
            <v>S-フレーム_RX-10_S_TTTT</v>
          </cell>
          <cell r="L289" t="str">
            <v>S-Frame</v>
          </cell>
          <cell r="M289" t="str">
            <v>S-フレーム</v>
          </cell>
          <cell r="P289" t="str">
            <v>31B0</v>
          </cell>
          <cell r="Q289" t="str">
            <v>SS400</v>
          </cell>
          <cell r="R289" t="str">
            <v>E354517_01</v>
          </cell>
          <cell r="S289">
            <v>173</v>
          </cell>
          <cell r="T289" t="str">
            <v>標準</v>
          </cell>
        </row>
        <row r="290">
          <cell r="F290" t="str">
            <v>H0000007816</v>
          </cell>
          <cell r="I290" t="str">
            <v>フレーム</v>
          </cell>
          <cell r="J290" t="str">
            <v>S-Frame_RX-10_S_KKKK</v>
          </cell>
          <cell r="K290" t="str">
            <v>S-フレーム_RX-10_S_KKKK</v>
          </cell>
          <cell r="L290" t="str">
            <v>S-Frame</v>
          </cell>
          <cell r="M290" t="str">
            <v>S-フレーム</v>
          </cell>
          <cell r="P290" t="str">
            <v>31B0</v>
          </cell>
          <cell r="Q290" t="str">
            <v>SS400</v>
          </cell>
          <cell r="R290" t="str">
            <v>E354517_01</v>
          </cell>
          <cell r="S290">
            <v>173</v>
          </cell>
          <cell r="T290" t="str">
            <v>標準</v>
          </cell>
        </row>
        <row r="291">
          <cell r="F291" t="str">
            <v>H0000007817</v>
          </cell>
          <cell r="I291" t="str">
            <v>フレーム</v>
          </cell>
          <cell r="J291" t="str">
            <v>S-Frame_RX-10_S_TKTK</v>
          </cell>
          <cell r="K291" t="str">
            <v>S-フレーム_RX-10_S_TKTK</v>
          </cell>
          <cell r="L291" t="str">
            <v>S-Frame</v>
          </cell>
          <cell r="M291" t="str">
            <v>S-フレーム</v>
          </cell>
          <cell r="P291" t="str">
            <v>31B0</v>
          </cell>
          <cell r="Q291" t="str">
            <v>SS400</v>
          </cell>
          <cell r="R291" t="str">
            <v>E354517_01</v>
          </cell>
          <cell r="S291">
            <v>173</v>
          </cell>
          <cell r="T291" t="str">
            <v>標準</v>
          </cell>
        </row>
        <row r="292">
          <cell r="F292" t="str">
            <v>H0000007818</v>
          </cell>
          <cell r="I292" t="str">
            <v>フレーム</v>
          </cell>
          <cell r="J292" t="str">
            <v>S-Frame_RX-10_S_KTKT</v>
          </cell>
          <cell r="K292" t="str">
            <v>S-フレーム_RX-10_S_KTKT</v>
          </cell>
          <cell r="L292" t="str">
            <v>S-Frame</v>
          </cell>
          <cell r="M292" t="str">
            <v>S-フレーム</v>
          </cell>
          <cell r="P292" t="str">
            <v>31B0</v>
          </cell>
          <cell r="Q292" t="str">
            <v>SS400</v>
          </cell>
          <cell r="R292" t="str">
            <v>E354517_01</v>
          </cell>
          <cell r="S292">
            <v>173</v>
          </cell>
          <cell r="T292" t="str">
            <v>標準</v>
          </cell>
        </row>
        <row r="293">
          <cell r="F293" t="str">
            <v>H0000007859</v>
          </cell>
          <cell r="I293" t="str">
            <v>フレーム</v>
          </cell>
          <cell r="J293" t="str">
            <v>S-Frame_RX-10_E_TTTT</v>
          </cell>
          <cell r="K293" t="str">
            <v>S-フレーム_RX-10_E_TTTT</v>
          </cell>
          <cell r="L293" t="str">
            <v>S-Frame</v>
          </cell>
          <cell r="M293" t="str">
            <v>S-フレーム</v>
          </cell>
          <cell r="P293" t="str">
            <v>31B0</v>
          </cell>
          <cell r="Q293" t="str">
            <v>SS400</v>
          </cell>
          <cell r="R293" t="str">
            <v>E362953_01</v>
          </cell>
          <cell r="S293">
            <v>82</v>
          </cell>
          <cell r="T293" t="str">
            <v>標準</v>
          </cell>
        </row>
        <row r="294">
          <cell r="F294" t="str">
            <v>H0000007860</v>
          </cell>
          <cell r="I294" t="str">
            <v>フレーム</v>
          </cell>
          <cell r="J294" t="str">
            <v>S-Frame_RX-10_E_KKKK</v>
          </cell>
          <cell r="K294" t="str">
            <v>S-フレーム_RX-10_E_KKKK</v>
          </cell>
          <cell r="L294" t="str">
            <v>S-Frame</v>
          </cell>
          <cell r="M294" t="str">
            <v>S-フレーム</v>
          </cell>
          <cell r="P294" t="str">
            <v>31B0</v>
          </cell>
          <cell r="Q294" t="str">
            <v>SS400</v>
          </cell>
          <cell r="R294" t="str">
            <v>E362953_01</v>
          </cell>
          <cell r="S294">
            <v>82</v>
          </cell>
          <cell r="T294" t="str">
            <v>標準</v>
          </cell>
        </row>
        <row r="295">
          <cell r="F295" t="str">
            <v>H0000007861</v>
          </cell>
          <cell r="I295" t="str">
            <v>フレーム</v>
          </cell>
          <cell r="J295" t="str">
            <v>S-Frame_RX-10_E_TKTK</v>
          </cell>
          <cell r="K295" t="str">
            <v>S-フレーム_RX-10_E_TKTK</v>
          </cell>
          <cell r="L295" t="str">
            <v>S-Frame</v>
          </cell>
          <cell r="M295" t="str">
            <v>S-フレーム</v>
          </cell>
          <cell r="P295" t="str">
            <v>31B0</v>
          </cell>
          <cell r="Q295" t="str">
            <v>SS400</v>
          </cell>
          <cell r="R295" t="str">
            <v>E362953_01</v>
          </cell>
          <cell r="S295">
            <v>82</v>
          </cell>
          <cell r="T295" t="str">
            <v>標準</v>
          </cell>
        </row>
        <row r="296">
          <cell r="F296" t="str">
            <v>H0000007862</v>
          </cell>
          <cell r="I296" t="str">
            <v>フレーム</v>
          </cell>
          <cell r="J296" t="str">
            <v>S-Frame_RX-10_E_KTKT</v>
          </cell>
          <cell r="K296" t="str">
            <v>S-フレーム_RX-10_E_KTKT</v>
          </cell>
          <cell r="L296" t="str">
            <v>S-Frame</v>
          </cell>
          <cell r="M296" t="str">
            <v>S-フレーム</v>
          </cell>
          <cell r="P296" t="str">
            <v>31B0</v>
          </cell>
          <cell r="Q296" t="str">
            <v>SS400</v>
          </cell>
          <cell r="R296" t="str">
            <v>E362953_01</v>
          </cell>
          <cell r="S296">
            <v>82</v>
          </cell>
          <cell r="T296" t="str">
            <v>標準</v>
          </cell>
        </row>
        <row r="297">
          <cell r="F297" t="str">
            <v>H0000007863</v>
          </cell>
          <cell r="I297" t="str">
            <v>フレーム</v>
          </cell>
          <cell r="J297" t="str">
            <v>S-Frame_RX-10_E_TTTT</v>
          </cell>
          <cell r="K297" t="str">
            <v>S-フレーム_RX-10_E_TTTT</v>
          </cell>
          <cell r="L297" t="str">
            <v>S-Frame</v>
          </cell>
          <cell r="M297" t="str">
            <v>S-フレーム</v>
          </cell>
          <cell r="P297" t="str">
            <v>31B0</v>
          </cell>
          <cell r="Q297" t="str">
            <v>SS400</v>
          </cell>
          <cell r="R297" t="str">
            <v>E362953_01</v>
          </cell>
          <cell r="S297">
            <v>82</v>
          </cell>
          <cell r="T297" t="str">
            <v>標準</v>
          </cell>
        </row>
        <row r="298">
          <cell r="F298" t="str">
            <v>H0000007864</v>
          </cell>
          <cell r="I298" t="str">
            <v>フレーム</v>
          </cell>
          <cell r="J298" t="str">
            <v>S-Frame_RX-10_E_KKKK</v>
          </cell>
          <cell r="K298" t="str">
            <v>S-フレーム_RX-10_E_KKKK</v>
          </cell>
          <cell r="L298" t="str">
            <v>S-Frame</v>
          </cell>
          <cell r="M298" t="str">
            <v>S-フレーム</v>
          </cell>
          <cell r="P298" t="str">
            <v>31B0</v>
          </cell>
          <cell r="Q298" t="str">
            <v>SS400</v>
          </cell>
          <cell r="R298" t="str">
            <v>E362953_01</v>
          </cell>
          <cell r="S298">
            <v>82</v>
          </cell>
          <cell r="T298" t="str">
            <v>標準</v>
          </cell>
        </row>
        <row r="299">
          <cell r="F299" t="str">
            <v>H0000007865</v>
          </cell>
          <cell r="I299" t="str">
            <v>フレーム</v>
          </cell>
          <cell r="J299" t="str">
            <v>S-Frame_RX-10_E_TKTK</v>
          </cell>
          <cell r="K299" t="str">
            <v>S-フレーム_RX-10_E_TKTK</v>
          </cell>
          <cell r="L299" t="str">
            <v>S-Frame</v>
          </cell>
          <cell r="M299" t="str">
            <v>S-フレーム</v>
          </cell>
          <cell r="P299" t="str">
            <v>31B0</v>
          </cell>
          <cell r="Q299" t="str">
            <v>SS400</v>
          </cell>
          <cell r="R299" t="str">
            <v>E362953_01</v>
          </cell>
          <cell r="S299">
            <v>82</v>
          </cell>
          <cell r="T299" t="str">
            <v>標準</v>
          </cell>
        </row>
        <row r="300">
          <cell r="F300" t="str">
            <v>H0000007866</v>
          </cell>
          <cell r="I300" t="str">
            <v>フレーム</v>
          </cell>
          <cell r="J300" t="str">
            <v>S-Frame_RX-10_E_KTKT</v>
          </cell>
          <cell r="K300" t="str">
            <v>S-フレーム_RX-10_E_KTKT</v>
          </cell>
          <cell r="L300" t="str">
            <v>S-Frame</v>
          </cell>
          <cell r="M300" t="str">
            <v>S-フレーム</v>
          </cell>
          <cell r="P300" t="str">
            <v>31B0</v>
          </cell>
          <cell r="Q300" t="str">
            <v>SS400</v>
          </cell>
          <cell r="R300" t="str">
            <v>E362953_01</v>
          </cell>
          <cell r="S300">
            <v>82</v>
          </cell>
          <cell r="T300" t="str">
            <v>標準</v>
          </cell>
        </row>
        <row r="301">
          <cell r="F301" t="str">
            <v>H0000007879</v>
          </cell>
          <cell r="I301" t="str">
            <v>フレーム</v>
          </cell>
          <cell r="J301" t="str">
            <v>S-Frame_RX-10_E_TTTT</v>
          </cell>
          <cell r="K301" t="str">
            <v>S-フレーム_RX-10_E_TTTT</v>
          </cell>
          <cell r="L301" t="str">
            <v>S-Frame</v>
          </cell>
          <cell r="M301" t="str">
            <v>S-フレーム</v>
          </cell>
          <cell r="P301" t="str">
            <v>31B0</v>
          </cell>
          <cell r="Q301" t="str">
            <v>SS400</v>
          </cell>
          <cell r="R301" t="str">
            <v>E362953_01</v>
          </cell>
          <cell r="S301">
            <v>82</v>
          </cell>
          <cell r="T301" t="str">
            <v>標準</v>
          </cell>
        </row>
        <row r="302">
          <cell r="F302" t="str">
            <v>H0000007880</v>
          </cell>
          <cell r="I302" t="str">
            <v>フレーム</v>
          </cell>
          <cell r="J302" t="str">
            <v>S-Frame_RX-10_E_KKKK</v>
          </cell>
          <cell r="K302" t="str">
            <v>S-フレーム_RX-10_E_KKKK</v>
          </cell>
          <cell r="L302" t="str">
            <v>S-Frame</v>
          </cell>
          <cell r="M302" t="str">
            <v>S-フレーム</v>
          </cell>
          <cell r="P302" t="str">
            <v>31B0</v>
          </cell>
          <cell r="Q302" t="str">
            <v>SS400</v>
          </cell>
          <cell r="R302" t="str">
            <v>E362953_01</v>
          </cell>
          <cell r="S302">
            <v>82</v>
          </cell>
          <cell r="T302" t="str">
            <v>標準</v>
          </cell>
        </row>
        <row r="303">
          <cell r="F303" t="str">
            <v>H0000007881</v>
          </cell>
          <cell r="I303" t="str">
            <v>フレーム</v>
          </cell>
          <cell r="J303" t="str">
            <v>S-Frame_RX-10_E_TKTK</v>
          </cell>
          <cell r="K303" t="str">
            <v>S-フレーム_RX-10_E_TKTK</v>
          </cell>
          <cell r="L303" t="str">
            <v>S-Frame</v>
          </cell>
          <cell r="M303" t="str">
            <v>S-フレーム</v>
          </cell>
          <cell r="P303" t="str">
            <v>31B0</v>
          </cell>
          <cell r="Q303" t="str">
            <v>SS400</v>
          </cell>
          <cell r="R303" t="str">
            <v>E362953_01</v>
          </cell>
          <cell r="S303">
            <v>82</v>
          </cell>
          <cell r="T303" t="str">
            <v>標準</v>
          </cell>
        </row>
        <row r="304">
          <cell r="F304" t="str">
            <v>H0000007882</v>
          </cell>
          <cell r="I304" t="str">
            <v>フレーム</v>
          </cell>
          <cell r="J304" t="str">
            <v>S-Frame_RX-10_E_KTKT</v>
          </cell>
          <cell r="K304" t="str">
            <v>S-フレーム_RX-10_E_KTKT</v>
          </cell>
          <cell r="L304" t="str">
            <v>S-Frame</v>
          </cell>
          <cell r="M304" t="str">
            <v>S-フレーム</v>
          </cell>
          <cell r="P304" t="str">
            <v>31B0</v>
          </cell>
          <cell r="Q304" t="str">
            <v>SS400</v>
          </cell>
          <cell r="R304" t="str">
            <v>E362953_01</v>
          </cell>
          <cell r="S304">
            <v>82</v>
          </cell>
          <cell r="T304" t="str">
            <v>標準</v>
          </cell>
        </row>
        <row r="305">
          <cell r="F305" t="str">
            <v>H0000007887</v>
          </cell>
          <cell r="I305" t="str">
            <v>フレーム</v>
          </cell>
          <cell r="J305" t="str">
            <v>S-Frame_RX-10_E_TTTT</v>
          </cell>
          <cell r="K305" t="str">
            <v>S-フレーム_RX-10_E_TTTT</v>
          </cell>
          <cell r="L305" t="str">
            <v>S-Frame</v>
          </cell>
          <cell r="M305" t="str">
            <v>S-フレーム</v>
          </cell>
          <cell r="P305" t="str">
            <v>31B0</v>
          </cell>
          <cell r="Q305" t="str">
            <v>SS400</v>
          </cell>
          <cell r="R305" t="str">
            <v>E362953_01</v>
          </cell>
          <cell r="S305">
            <v>82</v>
          </cell>
          <cell r="T305" t="str">
            <v>標準</v>
          </cell>
        </row>
        <row r="306">
          <cell r="F306" t="str">
            <v>H0000007888</v>
          </cell>
          <cell r="I306" t="str">
            <v>フレーム</v>
          </cell>
          <cell r="J306" t="str">
            <v>S-Frame_RX-10_E_KKKK</v>
          </cell>
          <cell r="K306" t="str">
            <v>S-フレーム_RX-10_E_KKKK</v>
          </cell>
          <cell r="L306" t="str">
            <v>S-Frame</v>
          </cell>
          <cell r="M306" t="str">
            <v>S-フレーム</v>
          </cell>
          <cell r="P306" t="str">
            <v>31B0</v>
          </cell>
          <cell r="Q306" t="str">
            <v>SS400</v>
          </cell>
          <cell r="R306" t="str">
            <v>E362953_01</v>
          </cell>
          <cell r="S306">
            <v>82</v>
          </cell>
          <cell r="T306" t="str">
            <v>標準</v>
          </cell>
        </row>
        <row r="307">
          <cell r="F307" t="str">
            <v>H0000007889</v>
          </cell>
          <cell r="I307" t="str">
            <v>フレーム</v>
          </cell>
          <cell r="J307" t="str">
            <v>S-Frame_RX-10_E_TKTK</v>
          </cell>
          <cell r="K307" t="str">
            <v>S-フレーム_RX-10_E_TKTK</v>
          </cell>
          <cell r="L307" t="str">
            <v>S-Frame</v>
          </cell>
          <cell r="M307" t="str">
            <v>S-フレーム</v>
          </cell>
          <cell r="P307" t="str">
            <v>31B0</v>
          </cell>
          <cell r="Q307" t="str">
            <v>SS400</v>
          </cell>
          <cell r="R307" t="str">
            <v>E362953_01</v>
          </cell>
          <cell r="S307">
            <v>82</v>
          </cell>
          <cell r="T307" t="str">
            <v>標準</v>
          </cell>
        </row>
        <row r="308">
          <cell r="F308" t="str">
            <v>H0000007890</v>
          </cell>
          <cell r="I308" t="str">
            <v>フレーム</v>
          </cell>
          <cell r="J308" t="str">
            <v>S-Frame_RX-10_E_KTKT</v>
          </cell>
          <cell r="K308" t="str">
            <v>S-フレーム_RX-10_E_KTKT</v>
          </cell>
          <cell r="L308" t="str">
            <v>S-Frame</v>
          </cell>
          <cell r="M308" t="str">
            <v>S-フレーム</v>
          </cell>
          <cell r="P308" t="str">
            <v>31B0</v>
          </cell>
          <cell r="Q308" t="str">
            <v>SS400</v>
          </cell>
          <cell r="R308" t="str">
            <v>E362953_01</v>
          </cell>
          <cell r="S308">
            <v>82</v>
          </cell>
          <cell r="T308" t="str">
            <v>標準</v>
          </cell>
        </row>
        <row r="309">
          <cell r="F309" t="str">
            <v>H0000007891</v>
          </cell>
          <cell r="I309" t="str">
            <v>フレーム</v>
          </cell>
          <cell r="J309" t="str">
            <v>S-Frame_RX-10_E_TTTT</v>
          </cell>
          <cell r="K309" t="str">
            <v>S-フレーム_RX-10_E_TTTT</v>
          </cell>
          <cell r="L309" t="str">
            <v>S-Frame</v>
          </cell>
          <cell r="M309" t="str">
            <v>S-フレーム</v>
          </cell>
          <cell r="P309" t="str">
            <v>31B0</v>
          </cell>
          <cell r="Q309" t="str">
            <v>SS400</v>
          </cell>
          <cell r="R309" t="str">
            <v>E362953_01</v>
          </cell>
          <cell r="S309">
            <v>82</v>
          </cell>
          <cell r="T309" t="str">
            <v>標準</v>
          </cell>
        </row>
        <row r="310">
          <cell r="F310" t="str">
            <v>H0000007892</v>
          </cell>
          <cell r="I310" t="str">
            <v>フレーム</v>
          </cell>
          <cell r="J310" t="str">
            <v>S-Frame_RX-10_E_KKKK</v>
          </cell>
          <cell r="K310" t="str">
            <v>S-フレーム_RX-10_E_KKKK</v>
          </cell>
          <cell r="L310" t="str">
            <v>S-Frame</v>
          </cell>
          <cell r="M310" t="str">
            <v>S-フレーム</v>
          </cell>
          <cell r="P310" t="str">
            <v>31B0</v>
          </cell>
          <cell r="Q310" t="str">
            <v>SS400</v>
          </cell>
          <cell r="R310" t="str">
            <v>E362953_01</v>
          </cell>
          <cell r="S310">
            <v>82</v>
          </cell>
          <cell r="T310" t="str">
            <v>標準</v>
          </cell>
        </row>
        <row r="311">
          <cell r="F311" t="str">
            <v>H0000007893</v>
          </cell>
          <cell r="I311" t="str">
            <v>フレーム</v>
          </cell>
          <cell r="J311" t="str">
            <v>S-Frame_RX-10_E_TKTK</v>
          </cell>
          <cell r="K311" t="str">
            <v>S-フレーム_RX-10_E_TKTK</v>
          </cell>
          <cell r="L311" t="str">
            <v>S-Frame</v>
          </cell>
          <cell r="M311" t="str">
            <v>S-フレーム</v>
          </cell>
          <cell r="P311" t="str">
            <v>31B0</v>
          </cell>
          <cell r="Q311" t="str">
            <v>SS400</v>
          </cell>
          <cell r="R311" t="str">
            <v>E362953_01</v>
          </cell>
          <cell r="S311">
            <v>82</v>
          </cell>
          <cell r="T311" t="str">
            <v>標準</v>
          </cell>
        </row>
        <row r="312">
          <cell r="F312" t="str">
            <v>H0000007894</v>
          </cell>
          <cell r="I312" t="str">
            <v>フレーム</v>
          </cell>
          <cell r="J312" t="str">
            <v>S-Frame_RX-10_E_KTKT</v>
          </cell>
          <cell r="K312" t="str">
            <v>S-フレーム_RX-10_E_KTKT</v>
          </cell>
          <cell r="L312" t="str">
            <v>S-Frame</v>
          </cell>
          <cell r="M312" t="str">
            <v>S-フレーム</v>
          </cell>
          <cell r="P312" t="str">
            <v>31B0</v>
          </cell>
          <cell r="Q312" t="str">
            <v>SS400</v>
          </cell>
          <cell r="R312" t="str">
            <v>E362953_01</v>
          </cell>
          <cell r="S312">
            <v>82</v>
          </cell>
          <cell r="T312" t="str">
            <v>標準</v>
          </cell>
        </row>
        <row r="313">
          <cell r="F313" t="str">
            <v>H0000007907</v>
          </cell>
          <cell r="I313" t="str">
            <v>フレーム</v>
          </cell>
          <cell r="J313" t="str">
            <v>S-Frame_RX-10_E_TTTT</v>
          </cell>
          <cell r="K313" t="str">
            <v>S-フレーム_RX-10_E_TTTT</v>
          </cell>
          <cell r="L313" t="str">
            <v>S-Frame</v>
          </cell>
          <cell r="M313" t="str">
            <v>S-フレーム</v>
          </cell>
          <cell r="P313" t="str">
            <v>31B0</v>
          </cell>
          <cell r="Q313" t="str">
            <v>SS400</v>
          </cell>
          <cell r="R313" t="str">
            <v>E362953_01</v>
          </cell>
          <cell r="S313">
            <v>82</v>
          </cell>
          <cell r="T313" t="str">
            <v>標準</v>
          </cell>
        </row>
        <row r="314">
          <cell r="F314" t="str">
            <v>H0000007908</v>
          </cell>
          <cell r="I314" t="str">
            <v>フレーム</v>
          </cell>
          <cell r="J314" t="str">
            <v>S-Frame_RX-10_E_KKKK</v>
          </cell>
          <cell r="K314" t="str">
            <v>S-フレーム_RX-10_E_KKKK</v>
          </cell>
          <cell r="L314" t="str">
            <v>S-Frame</v>
          </cell>
          <cell r="M314" t="str">
            <v>S-フレーム</v>
          </cell>
          <cell r="P314" t="str">
            <v>31B0</v>
          </cell>
          <cell r="Q314" t="str">
            <v>SS400</v>
          </cell>
          <cell r="R314" t="str">
            <v>E362953_01</v>
          </cell>
          <cell r="S314">
            <v>82</v>
          </cell>
          <cell r="T314" t="str">
            <v>標準</v>
          </cell>
        </row>
        <row r="315">
          <cell r="F315" t="str">
            <v>H0000007909</v>
          </cell>
          <cell r="I315" t="str">
            <v>フレーム</v>
          </cell>
          <cell r="J315" t="str">
            <v>S-Frame_RX-10_E_TKTK</v>
          </cell>
          <cell r="K315" t="str">
            <v>S-フレーム_RX-10_E_TKTK</v>
          </cell>
          <cell r="L315" t="str">
            <v>S-Frame</v>
          </cell>
          <cell r="M315" t="str">
            <v>S-フレーム</v>
          </cell>
          <cell r="P315" t="str">
            <v>31B0</v>
          </cell>
          <cell r="Q315" t="str">
            <v>SS400</v>
          </cell>
          <cell r="R315" t="str">
            <v>E362953_01</v>
          </cell>
          <cell r="S315">
            <v>82</v>
          </cell>
          <cell r="T315" t="str">
            <v>標準</v>
          </cell>
        </row>
        <row r="316">
          <cell r="F316" t="str">
            <v>H0000007910</v>
          </cell>
          <cell r="I316" t="str">
            <v>フレーム</v>
          </cell>
          <cell r="J316" t="str">
            <v>S-Frame_RX-10_E_KTKT</v>
          </cell>
          <cell r="K316" t="str">
            <v>S-フレーム_RX-10_E_KTKT</v>
          </cell>
          <cell r="L316" t="str">
            <v>S-Frame</v>
          </cell>
          <cell r="M316" t="str">
            <v>S-フレーム</v>
          </cell>
          <cell r="P316" t="str">
            <v>31B0</v>
          </cell>
          <cell r="Q316" t="str">
            <v>SS400</v>
          </cell>
          <cell r="R316" t="str">
            <v>E362953_01</v>
          </cell>
          <cell r="S316">
            <v>82</v>
          </cell>
          <cell r="T316" t="str">
            <v>標準</v>
          </cell>
        </row>
        <row r="317">
          <cell r="F317" t="str">
            <v>H0000007999</v>
          </cell>
          <cell r="I317" t="str">
            <v>フレーム</v>
          </cell>
          <cell r="J317" t="str">
            <v>S-Frame_RX-10_E_TTTT</v>
          </cell>
          <cell r="K317" t="str">
            <v>S-フレーム_RX-10_E_TTTT</v>
          </cell>
          <cell r="L317" t="str">
            <v>S-Frame</v>
          </cell>
          <cell r="M317" t="str">
            <v>S-フレーム</v>
          </cell>
          <cell r="P317" t="str">
            <v>31B0</v>
          </cell>
          <cell r="Q317" t="str">
            <v>SS400</v>
          </cell>
          <cell r="R317" t="str">
            <v>E362953_01</v>
          </cell>
          <cell r="S317">
            <v>82</v>
          </cell>
          <cell r="T317" t="str">
            <v>標準</v>
          </cell>
        </row>
        <row r="318">
          <cell r="F318" t="str">
            <v>H0000008000</v>
          </cell>
          <cell r="I318" t="str">
            <v>フレーム</v>
          </cell>
          <cell r="J318" t="str">
            <v>S-Frame_RX-10_E_KKKK</v>
          </cell>
          <cell r="K318" t="str">
            <v>S-フレーム_RX-10_E_KKKK</v>
          </cell>
          <cell r="L318" t="str">
            <v>S-Frame</v>
          </cell>
          <cell r="M318" t="str">
            <v>S-フレーム</v>
          </cell>
          <cell r="P318" t="str">
            <v>31B0</v>
          </cell>
          <cell r="Q318" t="str">
            <v>SS400</v>
          </cell>
          <cell r="R318" t="str">
            <v>E362953_01</v>
          </cell>
          <cell r="S318">
            <v>82</v>
          </cell>
          <cell r="T318" t="str">
            <v>標準</v>
          </cell>
        </row>
        <row r="319">
          <cell r="F319" t="str">
            <v>H0000008001</v>
          </cell>
          <cell r="I319" t="str">
            <v>フレーム</v>
          </cell>
          <cell r="J319" t="str">
            <v>S-Frame_RX-10_E_TKTK</v>
          </cell>
          <cell r="K319" t="str">
            <v>S-フレーム_RX-10_E_TKTK</v>
          </cell>
          <cell r="L319" t="str">
            <v>S-Frame</v>
          </cell>
          <cell r="M319" t="str">
            <v>S-フレーム</v>
          </cell>
          <cell r="P319" t="str">
            <v>31B0</v>
          </cell>
          <cell r="Q319" t="str">
            <v>SS400</v>
          </cell>
          <cell r="R319" t="str">
            <v>E362953_01</v>
          </cell>
          <cell r="S319">
            <v>82</v>
          </cell>
          <cell r="T319" t="str">
            <v>標準</v>
          </cell>
        </row>
        <row r="320">
          <cell r="F320" t="str">
            <v>H0000008002</v>
          </cell>
          <cell r="I320" t="str">
            <v>フレーム</v>
          </cell>
          <cell r="J320" t="str">
            <v>S-Frame_RX-10_E_KTKT</v>
          </cell>
          <cell r="K320" t="str">
            <v>S-フレーム_RX-10_E_KTKT</v>
          </cell>
          <cell r="L320" t="str">
            <v>S-Frame</v>
          </cell>
          <cell r="M320" t="str">
            <v>S-フレーム</v>
          </cell>
          <cell r="P320" t="str">
            <v>31B0</v>
          </cell>
          <cell r="Q320" t="str">
            <v>SS400</v>
          </cell>
          <cell r="R320" t="str">
            <v>E362953_01</v>
          </cell>
          <cell r="S320">
            <v>82</v>
          </cell>
          <cell r="T320" t="str">
            <v>標準</v>
          </cell>
        </row>
        <row r="321">
          <cell r="F321" t="str">
            <v>H0000008003</v>
          </cell>
          <cell r="I321" t="str">
            <v>フレーム</v>
          </cell>
          <cell r="J321" t="str">
            <v>S-Frame_RX-10_E_TTTT</v>
          </cell>
          <cell r="K321" t="str">
            <v>S-フレーム_RX-10_E_TTTT</v>
          </cell>
          <cell r="L321" t="str">
            <v>S-Frame</v>
          </cell>
          <cell r="M321" t="str">
            <v>S-フレーム</v>
          </cell>
          <cell r="P321" t="str">
            <v>31B0</v>
          </cell>
          <cell r="Q321" t="str">
            <v>SS400</v>
          </cell>
          <cell r="R321" t="str">
            <v>E362953_01</v>
          </cell>
          <cell r="S321">
            <v>82</v>
          </cell>
          <cell r="T321" t="str">
            <v>標準</v>
          </cell>
        </row>
        <row r="322">
          <cell r="F322" t="str">
            <v>H0000008004</v>
          </cell>
          <cell r="I322" t="str">
            <v>フレーム</v>
          </cell>
          <cell r="J322" t="str">
            <v>S-Frame_RX-10_E_KKKK</v>
          </cell>
          <cell r="K322" t="str">
            <v>S-フレーム_RX-10_E_KKKK</v>
          </cell>
          <cell r="L322" t="str">
            <v>S-Frame</v>
          </cell>
          <cell r="M322" t="str">
            <v>S-フレーム</v>
          </cell>
          <cell r="P322" t="str">
            <v>31B0</v>
          </cell>
          <cell r="Q322" t="str">
            <v>SS400</v>
          </cell>
          <cell r="R322" t="str">
            <v>E362953_01</v>
          </cell>
          <cell r="S322">
            <v>82</v>
          </cell>
          <cell r="T322" t="str">
            <v>標準</v>
          </cell>
        </row>
        <row r="323">
          <cell r="F323" t="str">
            <v>H0000008005</v>
          </cell>
          <cell r="I323" t="str">
            <v>フレーム</v>
          </cell>
          <cell r="J323" t="str">
            <v>S-Frame_RX-10_E_TKTK</v>
          </cell>
          <cell r="K323" t="str">
            <v>S-フレーム_RX-10_E_TKTK</v>
          </cell>
          <cell r="L323" t="str">
            <v>S-Frame</v>
          </cell>
          <cell r="M323" t="str">
            <v>S-フレーム</v>
          </cell>
          <cell r="P323" t="str">
            <v>31B0</v>
          </cell>
          <cell r="Q323" t="str">
            <v>SS400</v>
          </cell>
          <cell r="R323" t="str">
            <v>E362953_01</v>
          </cell>
          <cell r="S323">
            <v>82</v>
          </cell>
          <cell r="T323" t="str">
            <v>標準</v>
          </cell>
        </row>
        <row r="324">
          <cell r="F324" t="str">
            <v>H0000008006</v>
          </cell>
          <cell r="I324" t="str">
            <v>フレーム</v>
          </cell>
          <cell r="J324" t="str">
            <v>S-Frame_RX-10_E_KTKT</v>
          </cell>
          <cell r="K324" t="str">
            <v>S-フレーム_RX-10_E_KTKT</v>
          </cell>
          <cell r="L324" t="str">
            <v>S-Frame</v>
          </cell>
          <cell r="M324" t="str">
            <v>S-フレーム</v>
          </cell>
          <cell r="P324" t="str">
            <v>31B0</v>
          </cell>
          <cell r="Q324" t="str">
            <v>SS400</v>
          </cell>
          <cell r="R324" t="str">
            <v>E362953_01</v>
          </cell>
          <cell r="S324">
            <v>82</v>
          </cell>
          <cell r="T324" t="str">
            <v>標準</v>
          </cell>
        </row>
        <row r="325">
          <cell r="F325" t="str">
            <v>H0000008019</v>
          </cell>
          <cell r="I325" t="str">
            <v>フレーム</v>
          </cell>
          <cell r="J325" t="str">
            <v>S-Frame_RX-10_E_TTTT</v>
          </cell>
          <cell r="K325" t="str">
            <v>S-フレーム_RX-10_E_TTTT</v>
          </cell>
          <cell r="L325" t="str">
            <v>S-Frame</v>
          </cell>
          <cell r="M325" t="str">
            <v>S-フレーム</v>
          </cell>
          <cell r="P325" t="str">
            <v>31B0</v>
          </cell>
          <cell r="Q325" t="str">
            <v>SS400</v>
          </cell>
          <cell r="R325" t="str">
            <v>E362953_01</v>
          </cell>
          <cell r="S325">
            <v>82</v>
          </cell>
          <cell r="T325" t="str">
            <v>標準</v>
          </cell>
        </row>
        <row r="326">
          <cell r="F326" t="str">
            <v>H0000008020</v>
          </cell>
          <cell r="I326" t="str">
            <v>フレーム</v>
          </cell>
          <cell r="J326" t="str">
            <v>S-Frame_RX-10_E_KKKK</v>
          </cell>
          <cell r="K326" t="str">
            <v>S-フレーム_RX-10_E_KKKK</v>
          </cell>
          <cell r="L326" t="str">
            <v>S-Frame</v>
          </cell>
          <cell r="M326" t="str">
            <v>S-フレーム</v>
          </cell>
          <cell r="P326" t="str">
            <v>31B0</v>
          </cell>
          <cell r="Q326" t="str">
            <v>SS400</v>
          </cell>
          <cell r="R326" t="str">
            <v>E362953_01</v>
          </cell>
          <cell r="S326">
            <v>82</v>
          </cell>
          <cell r="T326" t="str">
            <v>標準</v>
          </cell>
        </row>
        <row r="327">
          <cell r="F327" t="str">
            <v>H0000008021</v>
          </cell>
          <cell r="I327" t="str">
            <v>フレーム</v>
          </cell>
          <cell r="J327" t="str">
            <v>S-Frame_RX-10_E_TKTK</v>
          </cell>
          <cell r="K327" t="str">
            <v>S-フレーム_RX-10_E_TKTK</v>
          </cell>
          <cell r="L327" t="str">
            <v>S-Frame</v>
          </cell>
          <cell r="M327" t="str">
            <v>S-フレーム</v>
          </cell>
          <cell r="P327" t="str">
            <v>31B0</v>
          </cell>
          <cell r="Q327" t="str">
            <v>SS400</v>
          </cell>
          <cell r="R327" t="str">
            <v>E362953_01</v>
          </cell>
          <cell r="S327">
            <v>82</v>
          </cell>
          <cell r="T327" t="str">
            <v>標準</v>
          </cell>
        </row>
        <row r="328">
          <cell r="F328" t="str">
            <v>H0000008022</v>
          </cell>
          <cell r="I328" t="str">
            <v>フレーム</v>
          </cell>
          <cell r="J328" t="str">
            <v>S-Frame_RX-10_E_KTKT</v>
          </cell>
          <cell r="K328" t="str">
            <v>S-フレーム_RX-10_E_KTKT</v>
          </cell>
          <cell r="L328" t="str">
            <v>S-Frame</v>
          </cell>
          <cell r="M328" t="str">
            <v>S-フレーム</v>
          </cell>
          <cell r="P328" t="str">
            <v>31B0</v>
          </cell>
          <cell r="Q328" t="str">
            <v>SS400</v>
          </cell>
          <cell r="R328" t="str">
            <v>E362953_01</v>
          </cell>
          <cell r="S328">
            <v>82</v>
          </cell>
          <cell r="T328" t="str">
            <v>標準</v>
          </cell>
        </row>
        <row r="329">
          <cell r="F329" t="str">
            <v>H0000008055</v>
          </cell>
          <cell r="I329" t="str">
            <v>フレーム</v>
          </cell>
          <cell r="J329" t="str">
            <v>S-Frame_GasCutting_RX-10_N_1234</v>
          </cell>
          <cell r="K329" t="str">
            <v>S-フレーム_ガス溶断_RX-10_N_1234</v>
          </cell>
          <cell r="L329" t="str">
            <v>S-Frame</v>
          </cell>
          <cell r="M329" t="str">
            <v>S-フレーム</v>
          </cell>
          <cell r="N329" t="str">
            <v>GasCutting</v>
          </cell>
          <cell r="O329" t="str">
            <v>ガス溶断</v>
          </cell>
          <cell r="P329" t="str">
            <v>31B0</v>
          </cell>
          <cell r="Q329" t="str">
            <v>SS400</v>
          </cell>
          <cell r="R329" t="str">
            <v>E354421_01</v>
          </cell>
          <cell r="S329">
            <v>109</v>
          </cell>
          <cell r="T329" t="str">
            <v>標準</v>
          </cell>
        </row>
        <row r="330">
          <cell r="F330" t="str">
            <v>H0000008056</v>
          </cell>
          <cell r="I330" t="str">
            <v>フレーム</v>
          </cell>
          <cell r="J330" t="str">
            <v>S-Frame_GasCutting_RX-10_H_1234</v>
          </cell>
          <cell r="K330" t="str">
            <v>S-フレーム_ガス溶断_RX-10_H_1234</v>
          </cell>
          <cell r="L330" t="str">
            <v>S-Frame</v>
          </cell>
          <cell r="M330" t="str">
            <v>S-フレーム</v>
          </cell>
          <cell r="N330" t="str">
            <v>GasCutting</v>
          </cell>
          <cell r="O330" t="str">
            <v>ガス溶断</v>
          </cell>
          <cell r="P330" t="str">
            <v>31B0</v>
          </cell>
          <cell r="Q330" t="str">
            <v>SS400</v>
          </cell>
          <cell r="R330" t="str">
            <v>E354421_01</v>
          </cell>
          <cell r="S330">
            <v>140</v>
          </cell>
          <cell r="T330" t="str">
            <v>標準</v>
          </cell>
        </row>
        <row r="331">
          <cell r="F331" t="str">
            <v>H0000008057</v>
          </cell>
          <cell r="I331" t="str">
            <v>フレーム</v>
          </cell>
          <cell r="J331" t="str">
            <v>S-Frame_GasCutting_RX-10_U_1234</v>
          </cell>
          <cell r="K331" t="str">
            <v>S-フレーム_ガス溶断_RX-10_U_1234</v>
          </cell>
          <cell r="L331" t="str">
            <v>S-Frame</v>
          </cell>
          <cell r="M331" t="str">
            <v>S-フレーム</v>
          </cell>
          <cell r="N331" t="str">
            <v>GasCutting</v>
          </cell>
          <cell r="O331" t="str">
            <v>ガス溶断</v>
          </cell>
          <cell r="P331" t="str">
            <v>31B0</v>
          </cell>
          <cell r="Q331" t="str">
            <v>SS400</v>
          </cell>
          <cell r="R331" t="str">
            <v>E354421_01</v>
          </cell>
          <cell r="S331">
            <v>154</v>
          </cell>
          <cell r="T331" t="str">
            <v>標準</v>
          </cell>
        </row>
        <row r="332">
          <cell r="F332" t="str">
            <v>H0000008058</v>
          </cell>
          <cell r="I332" t="str">
            <v>フレーム</v>
          </cell>
          <cell r="J332" t="str">
            <v>S-Frame_GasCutting_RX-10_S_1234</v>
          </cell>
          <cell r="K332" t="str">
            <v>S-フレーム_ガス溶断_RX-10_S_1234</v>
          </cell>
          <cell r="L332" t="str">
            <v>S-Frame</v>
          </cell>
          <cell r="M332" t="str">
            <v>S-フレーム</v>
          </cell>
          <cell r="N332" t="str">
            <v>GasCutting</v>
          </cell>
          <cell r="O332" t="str">
            <v>ガス溶断</v>
          </cell>
          <cell r="P332" t="str">
            <v>31B0</v>
          </cell>
          <cell r="Q332" t="str">
            <v>SS400</v>
          </cell>
          <cell r="R332" t="str">
            <v>E354421_01</v>
          </cell>
          <cell r="S332">
            <v>174</v>
          </cell>
          <cell r="T332" t="str">
            <v>標準</v>
          </cell>
        </row>
        <row r="333">
          <cell r="F333" t="str">
            <v>H0000008059</v>
          </cell>
          <cell r="I333" t="str">
            <v>フレーム</v>
          </cell>
          <cell r="J333" t="str">
            <v>S-Frame_GasCutting_RX-10_E_1234</v>
          </cell>
          <cell r="K333" t="str">
            <v>S-フレーム_ガス溶断_RX-10_E_1234</v>
          </cell>
          <cell r="L333" t="str">
            <v>S-Frame</v>
          </cell>
          <cell r="M333" t="str">
            <v>S-フレーム</v>
          </cell>
          <cell r="N333" t="str">
            <v>GasCutting</v>
          </cell>
          <cell r="O333" t="str">
            <v>ガス溶断</v>
          </cell>
          <cell r="P333" t="str">
            <v>31B0</v>
          </cell>
          <cell r="Q333" t="str">
            <v>SS400</v>
          </cell>
          <cell r="R333" t="str">
            <v>E354421_01</v>
          </cell>
          <cell r="S333">
            <v>83</v>
          </cell>
          <cell r="T333" t="str">
            <v>標準</v>
          </cell>
        </row>
        <row r="334">
          <cell r="F334" t="str">
            <v>H0000008060</v>
          </cell>
          <cell r="I334" t="str">
            <v>フレーム</v>
          </cell>
          <cell r="J334" t="str">
            <v>S-Frame_UX-10_N_NNNN</v>
          </cell>
          <cell r="K334" t="str">
            <v>S-フレーム_UX-10_N_NNNN</v>
          </cell>
          <cell r="L334" t="str">
            <v>S-Frame</v>
          </cell>
          <cell r="M334" t="str">
            <v>S-フレーム</v>
          </cell>
          <cell r="P334" t="str">
            <v>31B0</v>
          </cell>
          <cell r="Q334" t="str">
            <v>SS400</v>
          </cell>
          <cell r="R334" t="str">
            <v>E349496_01</v>
          </cell>
          <cell r="S334">
            <v>84</v>
          </cell>
          <cell r="T334" t="str">
            <v>標準</v>
          </cell>
        </row>
        <row r="335">
          <cell r="F335" t="str">
            <v>H0000008061</v>
          </cell>
          <cell r="I335" t="str">
            <v>フレーム</v>
          </cell>
          <cell r="J335" t="str">
            <v>S-Frame_UX-10_N_TTTT</v>
          </cell>
          <cell r="K335" t="str">
            <v>S-フレーム_UX-10_N_TTTT</v>
          </cell>
          <cell r="L335" t="str">
            <v>S-Frame</v>
          </cell>
          <cell r="M335" t="str">
            <v>S-フレーム</v>
          </cell>
          <cell r="P335" t="str">
            <v>31B0</v>
          </cell>
          <cell r="Q335" t="str">
            <v>SS400</v>
          </cell>
          <cell r="R335" t="str">
            <v>E349496_01</v>
          </cell>
          <cell r="S335">
            <v>84</v>
          </cell>
          <cell r="T335" t="str">
            <v>標準</v>
          </cell>
        </row>
        <row r="336">
          <cell r="F336" t="str">
            <v>H0000008062</v>
          </cell>
          <cell r="I336" t="str">
            <v>フレーム</v>
          </cell>
          <cell r="J336" t="str">
            <v>S-Frame_UX-10_N_KKKK</v>
          </cell>
          <cell r="K336" t="str">
            <v>S-フレーム_UX-10_N_KKKK</v>
          </cell>
          <cell r="L336" t="str">
            <v>S-Frame</v>
          </cell>
          <cell r="M336" t="str">
            <v>S-フレーム</v>
          </cell>
          <cell r="P336" t="str">
            <v>31B0</v>
          </cell>
          <cell r="Q336" t="str">
            <v>SS400</v>
          </cell>
          <cell r="R336" t="str">
            <v>E349496_01</v>
          </cell>
          <cell r="S336">
            <v>84</v>
          </cell>
          <cell r="T336" t="str">
            <v>標準</v>
          </cell>
        </row>
        <row r="337">
          <cell r="F337" t="str">
            <v>H0000008063</v>
          </cell>
          <cell r="I337" t="str">
            <v>フレーム</v>
          </cell>
          <cell r="J337" t="str">
            <v>S-Frame_UX-10_N_TKTK</v>
          </cell>
          <cell r="K337" t="str">
            <v>S-フレーム_UX-10_N_TKTK</v>
          </cell>
          <cell r="L337" t="str">
            <v>S-Frame</v>
          </cell>
          <cell r="M337" t="str">
            <v>S-フレーム</v>
          </cell>
          <cell r="P337" t="str">
            <v>31B0</v>
          </cell>
          <cell r="Q337" t="str">
            <v>SS400</v>
          </cell>
          <cell r="R337" t="str">
            <v>E349496_01</v>
          </cell>
          <cell r="S337">
            <v>84</v>
          </cell>
          <cell r="T337" t="str">
            <v>標準</v>
          </cell>
        </row>
        <row r="338">
          <cell r="F338" t="str">
            <v>H0000008064</v>
          </cell>
          <cell r="I338" t="str">
            <v>フレーム</v>
          </cell>
          <cell r="J338" t="str">
            <v>S-Frame_UX-10_N_KTKT</v>
          </cell>
          <cell r="K338" t="str">
            <v>S-フレーム_UX-10_N_KTKT</v>
          </cell>
          <cell r="L338" t="str">
            <v>S-Frame</v>
          </cell>
          <cell r="M338" t="str">
            <v>S-フレーム</v>
          </cell>
          <cell r="P338" t="str">
            <v>31B0</v>
          </cell>
          <cell r="Q338" t="str">
            <v>SS400</v>
          </cell>
          <cell r="R338" t="str">
            <v>E349496_01</v>
          </cell>
          <cell r="S338">
            <v>84</v>
          </cell>
          <cell r="T338" t="str">
            <v>標準</v>
          </cell>
        </row>
        <row r="339">
          <cell r="F339" t="str">
            <v>H0000008065</v>
          </cell>
          <cell r="I339" t="str">
            <v>フレーム</v>
          </cell>
          <cell r="J339" t="str">
            <v>S-Frame_UX-10_N_NNNN</v>
          </cell>
          <cell r="K339" t="str">
            <v>S-フレーム_UX-10_N_NNNN</v>
          </cell>
          <cell r="L339" t="str">
            <v>S-Frame</v>
          </cell>
          <cell r="M339" t="str">
            <v>S-フレーム</v>
          </cell>
          <cell r="P339" t="str">
            <v>31B0</v>
          </cell>
          <cell r="Q339" t="str">
            <v>SS400</v>
          </cell>
          <cell r="R339" t="str">
            <v>E349496_01</v>
          </cell>
          <cell r="S339">
            <v>84</v>
          </cell>
          <cell r="T339" t="str">
            <v>標準</v>
          </cell>
        </row>
        <row r="340">
          <cell r="F340" t="str">
            <v>H0000008066</v>
          </cell>
          <cell r="I340" t="str">
            <v>フレーム</v>
          </cell>
          <cell r="J340" t="str">
            <v>S-Frame_UX-10_N_TTTT</v>
          </cell>
          <cell r="K340" t="str">
            <v>S-フレーム_UX-10_N_TTTT</v>
          </cell>
          <cell r="L340" t="str">
            <v>S-Frame</v>
          </cell>
          <cell r="M340" t="str">
            <v>S-フレーム</v>
          </cell>
          <cell r="P340" t="str">
            <v>31B0</v>
          </cell>
          <cell r="Q340" t="str">
            <v>SS400</v>
          </cell>
          <cell r="R340" t="str">
            <v>E349496_01</v>
          </cell>
          <cell r="S340">
            <v>84</v>
          </cell>
          <cell r="T340" t="str">
            <v>標準</v>
          </cell>
        </row>
        <row r="341">
          <cell r="F341" t="str">
            <v>H0000008067</v>
          </cell>
          <cell r="I341" t="str">
            <v>フレーム</v>
          </cell>
          <cell r="J341" t="str">
            <v>S-Frame_UX-10_N_KKKK</v>
          </cell>
          <cell r="K341" t="str">
            <v>S-フレーム_UX-10_N_KKKK</v>
          </cell>
          <cell r="L341" t="str">
            <v>S-Frame</v>
          </cell>
          <cell r="M341" t="str">
            <v>S-フレーム</v>
          </cell>
          <cell r="P341" t="str">
            <v>31B0</v>
          </cell>
          <cell r="Q341" t="str">
            <v>SS400</v>
          </cell>
          <cell r="R341" t="str">
            <v>E349496_01</v>
          </cell>
          <cell r="S341">
            <v>84</v>
          </cell>
          <cell r="T341" t="str">
            <v>標準</v>
          </cell>
        </row>
        <row r="342">
          <cell r="F342" t="str">
            <v>H0000008068</v>
          </cell>
          <cell r="I342" t="str">
            <v>フレーム</v>
          </cell>
          <cell r="J342" t="str">
            <v>S-Frame_UX-10_N_TKTK</v>
          </cell>
          <cell r="K342" t="str">
            <v>S-フレーム_UX-10_N_TKTK</v>
          </cell>
          <cell r="L342" t="str">
            <v>S-Frame</v>
          </cell>
          <cell r="M342" t="str">
            <v>S-フレーム</v>
          </cell>
          <cell r="P342" t="str">
            <v>31B0</v>
          </cell>
          <cell r="Q342" t="str">
            <v>SS400</v>
          </cell>
          <cell r="R342" t="str">
            <v>E349496_01</v>
          </cell>
          <cell r="S342">
            <v>84</v>
          </cell>
          <cell r="T342" t="str">
            <v>標準</v>
          </cell>
        </row>
        <row r="343">
          <cell r="F343" t="str">
            <v>H0000008069</v>
          </cell>
          <cell r="I343" t="str">
            <v>フレーム</v>
          </cell>
          <cell r="J343" t="str">
            <v>S-Frame_UX-10_N_KTKT</v>
          </cell>
          <cell r="K343" t="str">
            <v>S-フレーム_UX-10_N_KTKT</v>
          </cell>
          <cell r="L343" t="str">
            <v>S-Frame</v>
          </cell>
          <cell r="M343" t="str">
            <v>S-フレーム</v>
          </cell>
          <cell r="P343" t="str">
            <v>31B0</v>
          </cell>
          <cell r="Q343" t="str">
            <v>SS400</v>
          </cell>
          <cell r="R343" t="str">
            <v>E349496_01</v>
          </cell>
          <cell r="S343">
            <v>84</v>
          </cell>
          <cell r="T343" t="str">
            <v>標準</v>
          </cell>
        </row>
        <row r="344">
          <cell r="F344" t="str">
            <v>H0000008075</v>
          </cell>
          <cell r="I344" t="str">
            <v>フレーム</v>
          </cell>
          <cell r="J344" t="str">
            <v>S-Frame_UX-10_N_NNNN</v>
          </cell>
          <cell r="K344" t="str">
            <v>S-フレーム_UX-10_N_NNNN</v>
          </cell>
          <cell r="L344" t="str">
            <v>S-Frame</v>
          </cell>
          <cell r="M344" t="str">
            <v>S-フレーム</v>
          </cell>
          <cell r="P344" t="str">
            <v>31B0</v>
          </cell>
          <cell r="Q344" t="str">
            <v>SS400</v>
          </cell>
          <cell r="R344" t="str">
            <v>E349496_01</v>
          </cell>
          <cell r="S344">
            <v>84</v>
          </cell>
          <cell r="T344" t="str">
            <v>標準</v>
          </cell>
        </row>
        <row r="345">
          <cell r="F345" t="str">
            <v>H0000008076</v>
          </cell>
          <cell r="I345" t="str">
            <v>フレーム</v>
          </cell>
          <cell r="J345" t="str">
            <v>S-Frame_UX-10_N_TTTT</v>
          </cell>
          <cell r="K345" t="str">
            <v>S-フレーム_UX-10_N_TTTT</v>
          </cell>
          <cell r="L345" t="str">
            <v>S-Frame</v>
          </cell>
          <cell r="M345" t="str">
            <v>S-フレーム</v>
          </cell>
          <cell r="P345" t="str">
            <v>31B0</v>
          </cell>
          <cell r="Q345" t="str">
            <v>SS400</v>
          </cell>
          <cell r="R345" t="str">
            <v>E349496_01</v>
          </cell>
          <cell r="S345">
            <v>84</v>
          </cell>
          <cell r="T345" t="str">
            <v>標準</v>
          </cell>
        </row>
        <row r="346">
          <cell r="F346" t="str">
            <v>H0000008077</v>
          </cell>
          <cell r="I346" t="str">
            <v>フレーム</v>
          </cell>
          <cell r="J346" t="str">
            <v>S-Frame_UX-10_N_KKKK</v>
          </cell>
          <cell r="K346" t="str">
            <v>S-フレーム_UX-10_N_KKKK</v>
          </cell>
          <cell r="L346" t="str">
            <v>S-Frame</v>
          </cell>
          <cell r="M346" t="str">
            <v>S-フレーム</v>
          </cell>
          <cell r="P346" t="str">
            <v>31B0</v>
          </cell>
          <cell r="Q346" t="str">
            <v>SS400</v>
          </cell>
          <cell r="R346" t="str">
            <v>E349496_01</v>
          </cell>
          <cell r="S346">
            <v>84</v>
          </cell>
          <cell r="T346" t="str">
            <v>標準</v>
          </cell>
        </row>
        <row r="347">
          <cell r="F347" t="str">
            <v>H0000008078</v>
          </cell>
          <cell r="I347" t="str">
            <v>フレーム</v>
          </cell>
          <cell r="J347" t="str">
            <v>S-Frame_UX-10_N_TKTK</v>
          </cell>
          <cell r="K347" t="str">
            <v>S-フレーム_UX-10_N_TKTK</v>
          </cell>
          <cell r="L347" t="str">
            <v>S-Frame</v>
          </cell>
          <cell r="M347" t="str">
            <v>S-フレーム</v>
          </cell>
          <cell r="P347" t="str">
            <v>31B0</v>
          </cell>
          <cell r="Q347" t="str">
            <v>SS400</v>
          </cell>
          <cell r="R347" t="str">
            <v>E349496_01</v>
          </cell>
          <cell r="S347">
            <v>84</v>
          </cell>
          <cell r="T347" t="str">
            <v>標準</v>
          </cell>
        </row>
        <row r="348">
          <cell r="F348" t="str">
            <v>H0000008079</v>
          </cell>
          <cell r="I348" t="str">
            <v>フレーム</v>
          </cell>
          <cell r="J348" t="str">
            <v>S-Frame_UX-10_N_KTKT</v>
          </cell>
          <cell r="K348" t="str">
            <v>S-フレーム_UX-10_N_KTKT</v>
          </cell>
          <cell r="L348" t="str">
            <v>S-Frame</v>
          </cell>
          <cell r="M348" t="str">
            <v>S-フレーム</v>
          </cell>
          <cell r="P348" t="str">
            <v>31B0</v>
          </cell>
          <cell r="Q348" t="str">
            <v>SS400</v>
          </cell>
          <cell r="R348" t="str">
            <v>E349496_01</v>
          </cell>
          <cell r="S348">
            <v>84</v>
          </cell>
          <cell r="T348" t="str">
            <v>標準</v>
          </cell>
        </row>
        <row r="349">
          <cell r="F349" t="str">
            <v>H0000008115</v>
          </cell>
          <cell r="I349" t="str">
            <v>フレーム</v>
          </cell>
          <cell r="J349" t="str">
            <v>S-Frame_UX-10_N_NNNN</v>
          </cell>
          <cell r="K349" t="str">
            <v>S-フレーム_UX-10_N_NNNN</v>
          </cell>
          <cell r="L349" t="str">
            <v>S-Frame</v>
          </cell>
          <cell r="M349" t="str">
            <v>S-フレーム</v>
          </cell>
          <cell r="P349" t="str">
            <v>31B0</v>
          </cell>
          <cell r="Q349" t="str">
            <v>SS400</v>
          </cell>
          <cell r="R349" t="str">
            <v>E349496_01</v>
          </cell>
          <cell r="S349">
            <v>84</v>
          </cell>
          <cell r="T349" t="str">
            <v>標準</v>
          </cell>
        </row>
        <row r="350">
          <cell r="F350" t="str">
            <v>H0000008116</v>
          </cell>
          <cell r="I350" t="str">
            <v>フレーム</v>
          </cell>
          <cell r="J350" t="str">
            <v>S-Frame_UX-10_N_TTTT</v>
          </cell>
          <cell r="K350" t="str">
            <v>S-フレーム_UX-10_N_TTTT</v>
          </cell>
          <cell r="L350" t="str">
            <v>S-Frame</v>
          </cell>
          <cell r="M350" t="str">
            <v>S-フレーム</v>
          </cell>
          <cell r="P350" t="str">
            <v>31B0</v>
          </cell>
          <cell r="Q350" t="str">
            <v>SS400</v>
          </cell>
          <cell r="R350" t="str">
            <v>E349496_01</v>
          </cell>
          <cell r="S350">
            <v>84</v>
          </cell>
          <cell r="T350" t="str">
            <v>標準</v>
          </cell>
        </row>
        <row r="351">
          <cell r="F351" t="str">
            <v>H0000008117</v>
          </cell>
          <cell r="I351" t="str">
            <v>フレーム</v>
          </cell>
          <cell r="J351" t="str">
            <v>S-Frame_UX-10_N_KKKK</v>
          </cell>
          <cell r="K351" t="str">
            <v>S-フレーム_UX-10_N_KKKK</v>
          </cell>
          <cell r="L351" t="str">
            <v>S-Frame</v>
          </cell>
          <cell r="M351" t="str">
            <v>S-フレーム</v>
          </cell>
          <cell r="P351" t="str">
            <v>31B0</v>
          </cell>
          <cell r="Q351" t="str">
            <v>SS400</v>
          </cell>
          <cell r="R351" t="str">
            <v>E349496_01</v>
          </cell>
          <cell r="S351">
            <v>84</v>
          </cell>
          <cell r="T351" t="str">
            <v>標準</v>
          </cell>
        </row>
        <row r="352">
          <cell r="F352" t="str">
            <v>H0000008118</v>
          </cell>
          <cell r="I352" t="str">
            <v>フレーム</v>
          </cell>
          <cell r="J352" t="str">
            <v>S-Frame_UX-10_N_TKTK</v>
          </cell>
          <cell r="K352" t="str">
            <v>S-フレーム_UX-10_N_TKTK</v>
          </cell>
          <cell r="L352" t="str">
            <v>S-Frame</v>
          </cell>
          <cell r="M352" t="str">
            <v>S-フレーム</v>
          </cell>
          <cell r="P352" t="str">
            <v>31B0</v>
          </cell>
          <cell r="Q352" t="str">
            <v>SS400</v>
          </cell>
          <cell r="R352" t="str">
            <v>E349496_01</v>
          </cell>
          <cell r="S352">
            <v>84</v>
          </cell>
          <cell r="T352" t="str">
            <v>標準</v>
          </cell>
        </row>
        <row r="353">
          <cell r="F353" t="str">
            <v>H0000008119</v>
          </cell>
          <cell r="I353" t="str">
            <v>フレーム</v>
          </cell>
          <cell r="J353" t="str">
            <v>S-Frame_UX-10_N_KTKT</v>
          </cell>
          <cell r="K353" t="str">
            <v>S-フレーム_UX-10_N_KTKT</v>
          </cell>
          <cell r="L353" t="str">
            <v>S-Frame</v>
          </cell>
          <cell r="M353" t="str">
            <v>S-フレーム</v>
          </cell>
          <cell r="P353" t="str">
            <v>31B0</v>
          </cell>
          <cell r="Q353" t="str">
            <v>SS400</v>
          </cell>
          <cell r="R353" t="str">
            <v>E349496_01</v>
          </cell>
          <cell r="S353">
            <v>84</v>
          </cell>
          <cell r="T353" t="str">
            <v>標準</v>
          </cell>
        </row>
        <row r="354">
          <cell r="F354" t="str">
            <v>H0000008120</v>
          </cell>
          <cell r="I354" t="str">
            <v>フレーム</v>
          </cell>
          <cell r="J354" t="str">
            <v>S-Frame_UX-10_N_NNNN</v>
          </cell>
          <cell r="K354" t="str">
            <v>S-フレーム_UX-10_N_NNNN</v>
          </cell>
          <cell r="L354" t="str">
            <v>S-Frame</v>
          </cell>
          <cell r="M354" t="str">
            <v>S-フレーム</v>
          </cell>
          <cell r="P354" t="str">
            <v>31B0</v>
          </cell>
          <cell r="Q354" t="str">
            <v>SS400</v>
          </cell>
          <cell r="R354" t="str">
            <v>E349496_01</v>
          </cell>
          <cell r="S354">
            <v>84</v>
          </cell>
          <cell r="T354" t="str">
            <v>標準</v>
          </cell>
        </row>
        <row r="355">
          <cell r="F355" t="str">
            <v>H0000008121</v>
          </cell>
          <cell r="I355" t="str">
            <v>フレーム</v>
          </cell>
          <cell r="J355" t="str">
            <v>S-Frame_UX-10_N_TTTT</v>
          </cell>
          <cell r="K355" t="str">
            <v>S-フレーム_UX-10_N_TTTT</v>
          </cell>
          <cell r="L355" t="str">
            <v>S-Frame</v>
          </cell>
          <cell r="M355" t="str">
            <v>S-フレーム</v>
          </cell>
          <cell r="P355" t="str">
            <v>31B0</v>
          </cell>
          <cell r="Q355" t="str">
            <v>SS400</v>
          </cell>
          <cell r="R355" t="str">
            <v>E349496_01</v>
          </cell>
          <cell r="S355">
            <v>84</v>
          </cell>
          <cell r="T355" t="str">
            <v>標準</v>
          </cell>
        </row>
        <row r="356">
          <cell r="F356" t="str">
            <v>H0000008122</v>
          </cell>
          <cell r="I356" t="str">
            <v>フレーム</v>
          </cell>
          <cell r="J356" t="str">
            <v>S-Frame_UX-10_N_KKKK</v>
          </cell>
          <cell r="K356" t="str">
            <v>S-フレーム_UX-10_N_KKKK</v>
          </cell>
          <cell r="L356" t="str">
            <v>S-Frame</v>
          </cell>
          <cell r="M356" t="str">
            <v>S-フレーム</v>
          </cell>
          <cell r="P356" t="str">
            <v>31B0</v>
          </cell>
          <cell r="Q356" t="str">
            <v>SS400</v>
          </cell>
          <cell r="R356" t="str">
            <v>E349496_01</v>
          </cell>
          <cell r="S356">
            <v>84</v>
          </cell>
          <cell r="T356" t="str">
            <v>標準</v>
          </cell>
        </row>
        <row r="357">
          <cell r="F357" t="str">
            <v>H0000008123</v>
          </cell>
          <cell r="I357" t="str">
            <v>フレーム</v>
          </cell>
          <cell r="J357" t="str">
            <v>S-Frame_UX-10_N_TKTK</v>
          </cell>
          <cell r="K357" t="str">
            <v>S-フレーム_UX-10_N_TKTK</v>
          </cell>
          <cell r="L357" t="str">
            <v>S-Frame</v>
          </cell>
          <cell r="M357" t="str">
            <v>S-フレーム</v>
          </cell>
          <cell r="P357" t="str">
            <v>31B0</v>
          </cell>
          <cell r="Q357" t="str">
            <v>SS400</v>
          </cell>
          <cell r="R357" t="str">
            <v>E349496_01</v>
          </cell>
          <cell r="S357">
            <v>84</v>
          </cell>
          <cell r="T357" t="str">
            <v>標準</v>
          </cell>
        </row>
        <row r="358">
          <cell r="F358" t="str">
            <v>H0000008124</v>
          </cell>
          <cell r="I358" t="str">
            <v>フレーム</v>
          </cell>
          <cell r="J358" t="str">
            <v>S-Frame_UX-10_N_KTKT</v>
          </cell>
          <cell r="K358" t="str">
            <v>S-フレーム_UX-10_N_KTKT</v>
          </cell>
          <cell r="L358" t="str">
            <v>S-Frame</v>
          </cell>
          <cell r="M358" t="str">
            <v>S-フレーム</v>
          </cell>
          <cell r="P358" t="str">
            <v>31B0</v>
          </cell>
          <cell r="Q358" t="str">
            <v>SS400</v>
          </cell>
          <cell r="R358" t="str">
            <v>E349496_01</v>
          </cell>
          <cell r="S358">
            <v>84</v>
          </cell>
          <cell r="T358" t="str">
            <v>標準</v>
          </cell>
        </row>
        <row r="359">
          <cell r="F359" t="str">
            <v>H0000008135</v>
          </cell>
          <cell r="I359" t="str">
            <v>フレーム</v>
          </cell>
          <cell r="J359" t="str">
            <v>S-Frame_UX-10_N_NNNN</v>
          </cell>
          <cell r="K359" t="str">
            <v>S-フレーム_UX-10_N_NNNN</v>
          </cell>
          <cell r="L359" t="str">
            <v>S-Frame</v>
          </cell>
          <cell r="M359" t="str">
            <v>S-フレーム</v>
          </cell>
          <cell r="P359" t="str">
            <v>31B0</v>
          </cell>
          <cell r="Q359" t="str">
            <v>SS400</v>
          </cell>
          <cell r="R359" t="str">
            <v>E349496_01</v>
          </cell>
          <cell r="S359">
            <v>84</v>
          </cell>
          <cell r="T359" t="str">
            <v>標準</v>
          </cell>
        </row>
        <row r="360">
          <cell r="F360" t="str">
            <v>H0000008136</v>
          </cell>
          <cell r="I360" t="str">
            <v>フレーム</v>
          </cell>
          <cell r="J360" t="str">
            <v>S-Frame_UX-10_N_TTTT</v>
          </cell>
          <cell r="K360" t="str">
            <v>S-フレーム_UX-10_N_TTTT</v>
          </cell>
          <cell r="L360" t="str">
            <v>S-Frame</v>
          </cell>
          <cell r="M360" t="str">
            <v>S-フレーム</v>
          </cell>
          <cell r="P360" t="str">
            <v>31B0</v>
          </cell>
          <cell r="Q360" t="str">
            <v>SS400</v>
          </cell>
          <cell r="R360" t="str">
            <v>E349496_01</v>
          </cell>
          <cell r="S360">
            <v>84</v>
          </cell>
          <cell r="T360" t="str">
            <v>標準</v>
          </cell>
        </row>
        <row r="361">
          <cell r="F361" t="str">
            <v>H0000008137</v>
          </cell>
          <cell r="I361" t="str">
            <v>フレーム</v>
          </cell>
          <cell r="J361" t="str">
            <v>S-Frame_UX-10_N_KKKK</v>
          </cell>
          <cell r="K361" t="str">
            <v>S-フレーム_UX-10_N_KKKK</v>
          </cell>
          <cell r="L361" t="str">
            <v>S-Frame</v>
          </cell>
          <cell r="M361" t="str">
            <v>S-フレーム</v>
          </cell>
          <cell r="P361" t="str">
            <v>31B0</v>
          </cell>
          <cell r="Q361" t="str">
            <v>SS400</v>
          </cell>
          <cell r="R361" t="str">
            <v>E349496_01</v>
          </cell>
          <cell r="S361">
            <v>84</v>
          </cell>
          <cell r="T361" t="str">
            <v>標準</v>
          </cell>
        </row>
        <row r="362">
          <cell r="F362" t="str">
            <v>H0000008138</v>
          </cell>
          <cell r="I362" t="str">
            <v>フレーム</v>
          </cell>
          <cell r="J362" t="str">
            <v>S-Frame_UX-10_N_TKTK</v>
          </cell>
          <cell r="K362" t="str">
            <v>S-フレーム_UX-10_N_TKTK</v>
          </cell>
          <cell r="L362" t="str">
            <v>S-Frame</v>
          </cell>
          <cell r="M362" t="str">
            <v>S-フレーム</v>
          </cell>
          <cell r="P362" t="str">
            <v>31B0</v>
          </cell>
          <cell r="Q362" t="str">
            <v>SS400</v>
          </cell>
          <cell r="R362" t="str">
            <v>E349496_01</v>
          </cell>
          <cell r="S362">
            <v>84</v>
          </cell>
          <cell r="T362" t="str">
            <v>標準</v>
          </cell>
        </row>
        <row r="363">
          <cell r="F363" t="str">
            <v>H0000008139</v>
          </cell>
          <cell r="I363" t="str">
            <v>フレーム</v>
          </cell>
          <cell r="J363" t="str">
            <v>S-Frame_UX-10_N_KTKT</v>
          </cell>
          <cell r="K363" t="str">
            <v>S-フレーム_UX-10_N_KTKT</v>
          </cell>
          <cell r="L363" t="str">
            <v>S-Frame</v>
          </cell>
          <cell r="M363" t="str">
            <v>S-フレーム</v>
          </cell>
          <cell r="P363" t="str">
            <v>31B0</v>
          </cell>
          <cell r="Q363" t="str">
            <v>SS400</v>
          </cell>
          <cell r="R363" t="str">
            <v>E349496_01</v>
          </cell>
          <cell r="S363">
            <v>84</v>
          </cell>
          <cell r="T363" t="str">
            <v>標準</v>
          </cell>
        </row>
        <row r="364">
          <cell r="F364" t="str">
            <v>H0000008140</v>
          </cell>
          <cell r="I364" t="str">
            <v>フレーム</v>
          </cell>
          <cell r="J364" t="str">
            <v>S-Frame_UX-10_N_NNNN</v>
          </cell>
          <cell r="K364" t="str">
            <v>S-フレーム_UX-10_N_NNNN</v>
          </cell>
          <cell r="L364" t="str">
            <v>S-Frame</v>
          </cell>
          <cell r="M364" t="str">
            <v>S-フレーム</v>
          </cell>
          <cell r="P364" t="str">
            <v>31B0</v>
          </cell>
          <cell r="Q364" t="str">
            <v>SS400</v>
          </cell>
          <cell r="R364" t="str">
            <v>E349496_01</v>
          </cell>
          <cell r="S364">
            <v>84</v>
          </cell>
          <cell r="T364" t="str">
            <v>標準</v>
          </cell>
        </row>
        <row r="365">
          <cell r="F365" t="str">
            <v>H0000008141</v>
          </cell>
          <cell r="I365" t="str">
            <v>フレーム</v>
          </cell>
          <cell r="J365" t="str">
            <v>S-Frame_UX-10_N_TTTT</v>
          </cell>
          <cell r="K365" t="str">
            <v>S-フレーム_UX-10_N_TTTT</v>
          </cell>
          <cell r="L365" t="str">
            <v>S-Frame</v>
          </cell>
          <cell r="M365" t="str">
            <v>S-フレーム</v>
          </cell>
          <cell r="P365" t="str">
            <v>31B0</v>
          </cell>
          <cell r="Q365" t="str">
            <v>SS400</v>
          </cell>
          <cell r="R365" t="str">
            <v>E349496_01</v>
          </cell>
          <cell r="S365">
            <v>84</v>
          </cell>
          <cell r="T365" t="str">
            <v>標準</v>
          </cell>
        </row>
        <row r="366">
          <cell r="F366" t="str">
            <v>H0000008142</v>
          </cell>
          <cell r="I366" t="str">
            <v>フレーム</v>
          </cell>
          <cell r="J366" t="str">
            <v>S-Frame_UX-10_N_KKKK</v>
          </cell>
          <cell r="K366" t="str">
            <v>S-フレーム_UX-10_N_KKKK</v>
          </cell>
          <cell r="L366" t="str">
            <v>S-Frame</v>
          </cell>
          <cell r="M366" t="str">
            <v>S-フレーム</v>
          </cell>
          <cell r="P366" t="str">
            <v>31B0</v>
          </cell>
          <cell r="Q366" t="str">
            <v>SS400</v>
          </cell>
          <cell r="R366" t="str">
            <v>E349496_01</v>
          </cell>
          <cell r="S366">
            <v>84</v>
          </cell>
          <cell r="T366" t="str">
            <v>標準</v>
          </cell>
        </row>
        <row r="367">
          <cell r="F367" t="str">
            <v>H0000008143</v>
          </cell>
          <cell r="I367" t="str">
            <v>フレーム</v>
          </cell>
          <cell r="J367" t="str">
            <v>S-Frame_UX-10_N_TKTK</v>
          </cell>
          <cell r="K367" t="str">
            <v>S-フレーム_UX-10_N_TKTK</v>
          </cell>
          <cell r="L367" t="str">
            <v>S-Frame</v>
          </cell>
          <cell r="M367" t="str">
            <v>S-フレーム</v>
          </cell>
          <cell r="P367" t="str">
            <v>31B0</v>
          </cell>
          <cell r="Q367" t="str">
            <v>SS400</v>
          </cell>
          <cell r="R367" t="str">
            <v>E349496_01</v>
          </cell>
          <cell r="S367">
            <v>84</v>
          </cell>
          <cell r="T367" t="str">
            <v>標準</v>
          </cell>
        </row>
        <row r="368">
          <cell r="F368" t="str">
            <v>H0000008144</v>
          </cell>
          <cell r="I368" t="str">
            <v>フレーム</v>
          </cell>
          <cell r="J368" t="str">
            <v>S-Frame_UX-10_N_KTKT</v>
          </cell>
          <cell r="K368" t="str">
            <v>S-フレーム_UX-10_N_KTKT</v>
          </cell>
          <cell r="L368" t="str">
            <v>S-Frame</v>
          </cell>
          <cell r="M368" t="str">
            <v>S-フレーム</v>
          </cell>
          <cell r="P368" t="str">
            <v>31B0</v>
          </cell>
          <cell r="Q368" t="str">
            <v>SS400</v>
          </cell>
          <cell r="R368" t="str">
            <v>E349496_01</v>
          </cell>
          <cell r="S368">
            <v>84</v>
          </cell>
          <cell r="T368" t="str">
            <v>標準</v>
          </cell>
        </row>
        <row r="369">
          <cell r="F369" t="str">
            <v>H0000008150</v>
          </cell>
          <cell r="I369" t="str">
            <v>フレーム</v>
          </cell>
          <cell r="J369" t="str">
            <v>S-Frame_UX-10_N_NNNN</v>
          </cell>
          <cell r="K369" t="str">
            <v>S-フレーム_UX-10_N_NNNN</v>
          </cell>
          <cell r="L369" t="str">
            <v>S-Frame</v>
          </cell>
          <cell r="M369" t="str">
            <v>S-フレーム</v>
          </cell>
          <cell r="P369" t="str">
            <v>31B0</v>
          </cell>
          <cell r="Q369" t="str">
            <v>SS400</v>
          </cell>
          <cell r="R369" t="str">
            <v>E349496_01</v>
          </cell>
          <cell r="S369">
            <v>84</v>
          </cell>
          <cell r="T369" t="str">
            <v>標準</v>
          </cell>
        </row>
        <row r="370">
          <cell r="F370" t="str">
            <v>H0000008151</v>
          </cell>
          <cell r="I370" t="str">
            <v>フレーム</v>
          </cell>
          <cell r="J370" t="str">
            <v>S-Frame_UX-10_N_TTTT</v>
          </cell>
          <cell r="K370" t="str">
            <v>S-フレーム_UX-10_N_TTTT</v>
          </cell>
          <cell r="L370" t="str">
            <v>S-Frame</v>
          </cell>
          <cell r="M370" t="str">
            <v>S-フレーム</v>
          </cell>
          <cell r="P370" t="str">
            <v>31B0</v>
          </cell>
          <cell r="Q370" t="str">
            <v>SS400</v>
          </cell>
          <cell r="R370" t="str">
            <v>E349496_01</v>
          </cell>
          <cell r="S370">
            <v>84</v>
          </cell>
          <cell r="T370" t="str">
            <v>標準</v>
          </cell>
        </row>
        <row r="371">
          <cell r="F371" t="str">
            <v>H0000008152</v>
          </cell>
          <cell r="I371" t="str">
            <v>フレーム</v>
          </cell>
          <cell r="J371" t="str">
            <v>S-Frame_UX-10_N_KKKK</v>
          </cell>
          <cell r="K371" t="str">
            <v>S-フレーム_UX-10_N_KKKK</v>
          </cell>
          <cell r="L371" t="str">
            <v>S-Frame</v>
          </cell>
          <cell r="M371" t="str">
            <v>S-フレーム</v>
          </cell>
          <cell r="P371" t="str">
            <v>31B0</v>
          </cell>
          <cell r="Q371" t="str">
            <v>SS400</v>
          </cell>
          <cell r="R371" t="str">
            <v>E349496_01</v>
          </cell>
          <cell r="S371">
            <v>84</v>
          </cell>
          <cell r="T371" t="str">
            <v>標準</v>
          </cell>
        </row>
        <row r="372">
          <cell r="F372" t="str">
            <v>H0000008153</v>
          </cell>
          <cell r="I372" t="str">
            <v>フレーム</v>
          </cell>
          <cell r="J372" t="str">
            <v>S-Frame_UX-10_N_TKTK</v>
          </cell>
          <cell r="K372" t="str">
            <v>S-フレーム_UX-10_N_TKTK</v>
          </cell>
          <cell r="L372" t="str">
            <v>S-Frame</v>
          </cell>
          <cell r="M372" t="str">
            <v>S-フレーム</v>
          </cell>
          <cell r="P372" t="str">
            <v>31B0</v>
          </cell>
          <cell r="Q372" t="str">
            <v>SS400</v>
          </cell>
          <cell r="R372" t="str">
            <v>E349496_01</v>
          </cell>
          <cell r="S372">
            <v>84</v>
          </cell>
          <cell r="T372" t="str">
            <v>標準</v>
          </cell>
        </row>
        <row r="373">
          <cell r="F373" t="str">
            <v>H0000008154</v>
          </cell>
          <cell r="I373" t="str">
            <v>フレーム</v>
          </cell>
          <cell r="J373" t="str">
            <v>S-Frame_UX-10_N_KTKT</v>
          </cell>
          <cell r="K373" t="str">
            <v>S-フレーム_UX-10_N_KTKT</v>
          </cell>
          <cell r="L373" t="str">
            <v>S-Frame</v>
          </cell>
          <cell r="M373" t="str">
            <v>S-フレーム</v>
          </cell>
          <cell r="P373" t="str">
            <v>31B0</v>
          </cell>
          <cell r="Q373" t="str">
            <v>SS400</v>
          </cell>
          <cell r="R373" t="str">
            <v>E349496_01</v>
          </cell>
          <cell r="S373">
            <v>84</v>
          </cell>
          <cell r="T373" t="str">
            <v>標準</v>
          </cell>
        </row>
        <row r="374">
          <cell r="F374" t="str">
            <v>H0000008190</v>
          </cell>
          <cell r="I374" t="str">
            <v>フレーム</v>
          </cell>
          <cell r="J374" t="str">
            <v>S-Frame_UX-10_N_NNNN</v>
          </cell>
          <cell r="K374" t="str">
            <v>S-フレーム_UX-10_N_NNNN</v>
          </cell>
          <cell r="L374" t="str">
            <v>S-Frame</v>
          </cell>
          <cell r="M374" t="str">
            <v>S-フレーム</v>
          </cell>
          <cell r="P374" t="str">
            <v>31B0</v>
          </cell>
          <cell r="Q374" t="str">
            <v>SS400</v>
          </cell>
          <cell r="R374" t="str">
            <v>E349496_01</v>
          </cell>
          <cell r="S374">
            <v>84</v>
          </cell>
          <cell r="T374" t="str">
            <v>標準</v>
          </cell>
        </row>
        <row r="375">
          <cell r="F375" t="str">
            <v>H0000008191</v>
          </cell>
          <cell r="I375" t="str">
            <v>フレーム</v>
          </cell>
          <cell r="J375" t="str">
            <v>S-Frame_UX-10_N_TTTT</v>
          </cell>
          <cell r="K375" t="str">
            <v>S-フレーム_UX-10_N_TTTT</v>
          </cell>
          <cell r="L375" t="str">
            <v>S-Frame</v>
          </cell>
          <cell r="M375" t="str">
            <v>S-フレーム</v>
          </cell>
          <cell r="P375" t="str">
            <v>31B0</v>
          </cell>
          <cell r="Q375" t="str">
            <v>SS400</v>
          </cell>
          <cell r="R375" t="str">
            <v>E349496_01</v>
          </cell>
          <cell r="S375">
            <v>84</v>
          </cell>
          <cell r="T375" t="str">
            <v>標準</v>
          </cell>
        </row>
        <row r="376">
          <cell r="F376" t="str">
            <v>H0000008192</v>
          </cell>
          <cell r="I376" t="str">
            <v>フレーム</v>
          </cell>
          <cell r="J376" t="str">
            <v>S-Frame_UX-10_N_KKKK</v>
          </cell>
          <cell r="K376" t="str">
            <v>S-フレーム_UX-10_N_KKKK</v>
          </cell>
          <cell r="L376" t="str">
            <v>S-Frame</v>
          </cell>
          <cell r="M376" t="str">
            <v>S-フレーム</v>
          </cell>
          <cell r="P376" t="str">
            <v>31B0</v>
          </cell>
          <cell r="Q376" t="str">
            <v>SS400</v>
          </cell>
          <cell r="R376" t="str">
            <v>E349496_01</v>
          </cell>
          <cell r="S376">
            <v>84</v>
          </cell>
          <cell r="T376" t="str">
            <v>標準</v>
          </cell>
        </row>
        <row r="377">
          <cell r="F377" t="str">
            <v>H0000008193</v>
          </cell>
          <cell r="I377" t="str">
            <v>フレーム</v>
          </cell>
          <cell r="J377" t="str">
            <v>S-Frame_UX-10_N_TKTK</v>
          </cell>
          <cell r="K377" t="str">
            <v>S-フレーム_UX-10_N_TKTK</v>
          </cell>
          <cell r="L377" t="str">
            <v>S-Frame</v>
          </cell>
          <cell r="M377" t="str">
            <v>S-フレーム</v>
          </cell>
          <cell r="P377" t="str">
            <v>31B0</v>
          </cell>
          <cell r="Q377" t="str">
            <v>SS400</v>
          </cell>
          <cell r="R377" t="str">
            <v>E349496_01</v>
          </cell>
          <cell r="S377">
            <v>84</v>
          </cell>
          <cell r="T377" t="str">
            <v>標準</v>
          </cell>
        </row>
        <row r="378">
          <cell r="F378" t="str">
            <v>H0000008194</v>
          </cell>
          <cell r="I378" t="str">
            <v>フレーム</v>
          </cell>
          <cell r="J378" t="str">
            <v>S-Frame_UX-10_N_KTKT</v>
          </cell>
          <cell r="K378" t="str">
            <v>S-フレーム_UX-10_N_KTKT</v>
          </cell>
          <cell r="L378" t="str">
            <v>S-Frame</v>
          </cell>
          <cell r="M378" t="str">
            <v>S-フレーム</v>
          </cell>
          <cell r="P378" t="str">
            <v>31B0</v>
          </cell>
          <cell r="Q378" t="str">
            <v>SS400</v>
          </cell>
          <cell r="R378" t="str">
            <v>E349496_01</v>
          </cell>
          <cell r="S378">
            <v>84</v>
          </cell>
          <cell r="T378" t="str">
            <v>標準</v>
          </cell>
        </row>
        <row r="379">
          <cell r="F379" t="str">
            <v>H0000008195</v>
          </cell>
          <cell r="I379" t="str">
            <v>フレーム</v>
          </cell>
          <cell r="J379" t="str">
            <v>S-Frame_UX-10_N_NNNN</v>
          </cell>
          <cell r="K379" t="str">
            <v>S-フレーム_UX-10_N_NNNN</v>
          </cell>
          <cell r="L379" t="str">
            <v>S-Frame</v>
          </cell>
          <cell r="M379" t="str">
            <v>S-フレーム</v>
          </cell>
          <cell r="P379" t="str">
            <v>31B0</v>
          </cell>
          <cell r="Q379" t="str">
            <v>SS400</v>
          </cell>
          <cell r="R379" t="str">
            <v>E349496_01</v>
          </cell>
          <cell r="S379">
            <v>84</v>
          </cell>
          <cell r="T379" t="str">
            <v>標準</v>
          </cell>
        </row>
        <row r="380">
          <cell r="F380" t="str">
            <v>H0000008196</v>
          </cell>
          <cell r="I380" t="str">
            <v>フレーム</v>
          </cell>
          <cell r="J380" t="str">
            <v>S-Frame_UX-10_N_TTTT</v>
          </cell>
          <cell r="K380" t="str">
            <v>S-フレーム_UX-10_N_TTTT</v>
          </cell>
          <cell r="L380" t="str">
            <v>S-Frame</v>
          </cell>
          <cell r="M380" t="str">
            <v>S-フレーム</v>
          </cell>
          <cell r="P380" t="str">
            <v>31B0</v>
          </cell>
          <cell r="Q380" t="str">
            <v>SS400</v>
          </cell>
          <cell r="R380" t="str">
            <v>E349496_01</v>
          </cell>
          <cell r="S380">
            <v>84</v>
          </cell>
          <cell r="T380" t="str">
            <v>標準</v>
          </cell>
        </row>
        <row r="381">
          <cell r="F381" t="str">
            <v>H0000008197</v>
          </cell>
          <cell r="I381" t="str">
            <v>フレーム</v>
          </cell>
          <cell r="J381" t="str">
            <v>S-Frame_UX-10_N_KKKK</v>
          </cell>
          <cell r="K381" t="str">
            <v>S-フレーム_UX-10_N_KKKK</v>
          </cell>
          <cell r="L381" t="str">
            <v>S-Frame</v>
          </cell>
          <cell r="M381" t="str">
            <v>S-フレーム</v>
          </cell>
          <cell r="P381" t="str">
            <v>31B0</v>
          </cell>
          <cell r="Q381" t="str">
            <v>SS400</v>
          </cell>
          <cell r="R381" t="str">
            <v>E349496_01</v>
          </cell>
          <cell r="S381">
            <v>84</v>
          </cell>
          <cell r="T381" t="str">
            <v>標準</v>
          </cell>
        </row>
        <row r="382">
          <cell r="F382" t="str">
            <v>H0000008198</v>
          </cell>
          <cell r="I382" t="str">
            <v>フレーム</v>
          </cell>
          <cell r="J382" t="str">
            <v>S-Frame_UX-10_N_TKTK</v>
          </cell>
          <cell r="K382" t="str">
            <v>S-フレーム_UX-10_N_TKTK</v>
          </cell>
          <cell r="L382" t="str">
            <v>S-Frame</v>
          </cell>
          <cell r="M382" t="str">
            <v>S-フレーム</v>
          </cell>
          <cell r="P382" t="str">
            <v>31B0</v>
          </cell>
          <cell r="Q382" t="str">
            <v>SS400</v>
          </cell>
          <cell r="R382" t="str">
            <v>E349496_01</v>
          </cell>
          <cell r="S382">
            <v>84</v>
          </cell>
          <cell r="T382" t="str">
            <v>標準</v>
          </cell>
        </row>
        <row r="383">
          <cell r="F383" t="str">
            <v>H0000008199</v>
          </cell>
          <cell r="I383" t="str">
            <v>フレーム</v>
          </cell>
          <cell r="J383" t="str">
            <v>S-Frame_UX-10_N_KTKT</v>
          </cell>
          <cell r="K383" t="str">
            <v>S-フレーム_UX-10_N_KTKT</v>
          </cell>
          <cell r="L383" t="str">
            <v>S-Frame</v>
          </cell>
          <cell r="M383" t="str">
            <v>S-フレーム</v>
          </cell>
          <cell r="P383" t="str">
            <v>31B0</v>
          </cell>
          <cell r="Q383" t="str">
            <v>SS400</v>
          </cell>
          <cell r="R383" t="str">
            <v>E349496_01</v>
          </cell>
          <cell r="S383">
            <v>84</v>
          </cell>
          <cell r="T383" t="str">
            <v>標準</v>
          </cell>
        </row>
        <row r="384">
          <cell r="F384" t="str">
            <v>H0000008285</v>
          </cell>
          <cell r="I384" t="str">
            <v>フレーム</v>
          </cell>
          <cell r="J384" t="str">
            <v>S-Frame_UX-10_N_NNNN</v>
          </cell>
          <cell r="K384" t="str">
            <v>S-フレーム_UX-10_N_NNNN</v>
          </cell>
          <cell r="L384" t="str">
            <v>S-Frame</v>
          </cell>
          <cell r="M384" t="str">
            <v>S-フレーム</v>
          </cell>
          <cell r="P384" t="str">
            <v>31B0</v>
          </cell>
          <cell r="Q384" t="str">
            <v>SS400</v>
          </cell>
          <cell r="R384" t="str">
            <v>E349496_01</v>
          </cell>
          <cell r="S384">
            <v>84</v>
          </cell>
          <cell r="T384" t="str">
            <v>標準</v>
          </cell>
        </row>
        <row r="385">
          <cell r="F385" t="str">
            <v>H0000008286</v>
          </cell>
          <cell r="I385" t="str">
            <v>フレーム</v>
          </cell>
          <cell r="J385" t="str">
            <v>S-Frame_UX-10_N_TTTT</v>
          </cell>
          <cell r="K385" t="str">
            <v>S-フレーム_UX-10_N_TTTT</v>
          </cell>
          <cell r="L385" t="str">
            <v>S-Frame</v>
          </cell>
          <cell r="M385" t="str">
            <v>S-フレーム</v>
          </cell>
          <cell r="P385" t="str">
            <v>31B0</v>
          </cell>
          <cell r="Q385" t="str">
            <v>SS400</v>
          </cell>
          <cell r="R385" t="str">
            <v>E349496_01</v>
          </cell>
          <cell r="S385">
            <v>84</v>
          </cell>
          <cell r="T385" t="str">
            <v>標準</v>
          </cell>
        </row>
        <row r="386">
          <cell r="F386" t="str">
            <v>H0000008287</v>
          </cell>
          <cell r="I386" t="str">
            <v>フレーム</v>
          </cell>
          <cell r="J386" t="str">
            <v>S-Frame_UX-10_N_KKKK</v>
          </cell>
          <cell r="K386" t="str">
            <v>S-フレーム_UX-10_N_KKKK</v>
          </cell>
          <cell r="L386" t="str">
            <v>S-Frame</v>
          </cell>
          <cell r="M386" t="str">
            <v>S-フレーム</v>
          </cell>
          <cell r="P386" t="str">
            <v>31B0</v>
          </cell>
          <cell r="Q386" t="str">
            <v>SS400</v>
          </cell>
          <cell r="R386" t="str">
            <v>E349496_01</v>
          </cell>
          <cell r="S386">
            <v>84</v>
          </cell>
          <cell r="T386" t="str">
            <v>標準</v>
          </cell>
        </row>
        <row r="387">
          <cell r="F387" t="str">
            <v>H0000008288</v>
          </cell>
          <cell r="I387" t="str">
            <v>フレーム</v>
          </cell>
          <cell r="J387" t="str">
            <v>S-Frame_UX-10_N_TKTK</v>
          </cell>
          <cell r="K387" t="str">
            <v>S-フレーム_UX-10_N_TKTK</v>
          </cell>
          <cell r="L387" t="str">
            <v>S-Frame</v>
          </cell>
          <cell r="M387" t="str">
            <v>S-フレーム</v>
          </cell>
          <cell r="P387" t="str">
            <v>31B0</v>
          </cell>
          <cell r="Q387" t="str">
            <v>SS400</v>
          </cell>
          <cell r="R387" t="str">
            <v>E349496_01</v>
          </cell>
          <cell r="S387">
            <v>84</v>
          </cell>
          <cell r="T387" t="str">
            <v>標準</v>
          </cell>
        </row>
        <row r="388">
          <cell r="F388" t="str">
            <v>H0000008289</v>
          </cell>
          <cell r="I388" t="str">
            <v>フレーム</v>
          </cell>
          <cell r="J388" t="str">
            <v>S-Frame_UX-10_N_KTKT</v>
          </cell>
          <cell r="K388" t="str">
            <v>S-フレーム_UX-10_N_KTKT</v>
          </cell>
          <cell r="L388" t="str">
            <v>S-Frame</v>
          </cell>
          <cell r="M388" t="str">
            <v>S-フレーム</v>
          </cell>
          <cell r="P388" t="str">
            <v>31B0</v>
          </cell>
          <cell r="Q388" t="str">
            <v>SS400</v>
          </cell>
          <cell r="R388" t="str">
            <v>E349496_01</v>
          </cell>
          <cell r="S388">
            <v>84</v>
          </cell>
          <cell r="T388" t="str">
            <v>標準</v>
          </cell>
        </row>
        <row r="389">
          <cell r="F389" t="str">
            <v>H0000008290</v>
          </cell>
          <cell r="I389" t="str">
            <v>フレーム</v>
          </cell>
          <cell r="J389" t="str">
            <v>S-Frame_UX-10_N_NNNN</v>
          </cell>
          <cell r="K389" t="str">
            <v>S-フレーム_UX-10_N_NNNN</v>
          </cell>
          <cell r="L389" t="str">
            <v>S-Frame</v>
          </cell>
          <cell r="M389" t="str">
            <v>S-フレーム</v>
          </cell>
          <cell r="P389" t="str">
            <v>31B0</v>
          </cell>
          <cell r="Q389" t="str">
            <v>SS400</v>
          </cell>
          <cell r="R389" t="str">
            <v>E349496_01</v>
          </cell>
          <cell r="S389">
            <v>84</v>
          </cell>
          <cell r="T389" t="str">
            <v>標準</v>
          </cell>
        </row>
        <row r="390">
          <cell r="F390" t="str">
            <v>H0000008291</v>
          </cell>
          <cell r="I390" t="str">
            <v>フレーム</v>
          </cell>
          <cell r="J390" t="str">
            <v>S-Frame_UX-10_N_TTTT</v>
          </cell>
          <cell r="K390" t="str">
            <v>S-フレーム_UX-10_N_TTTT</v>
          </cell>
          <cell r="L390" t="str">
            <v>S-Frame</v>
          </cell>
          <cell r="M390" t="str">
            <v>S-フレーム</v>
          </cell>
          <cell r="P390" t="str">
            <v>31B0</v>
          </cell>
          <cell r="Q390" t="str">
            <v>SS400</v>
          </cell>
          <cell r="R390" t="str">
            <v>E349496_01</v>
          </cell>
          <cell r="S390">
            <v>84</v>
          </cell>
          <cell r="T390" t="str">
            <v>標準</v>
          </cell>
        </row>
        <row r="391">
          <cell r="F391" t="str">
            <v>H0000008292</v>
          </cell>
          <cell r="I391" t="str">
            <v>フレーム</v>
          </cell>
          <cell r="J391" t="str">
            <v>S-Frame_UX-10_N_KKKK</v>
          </cell>
          <cell r="K391" t="str">
            <v>S-フレーム_UX-10_N_KKKK</v>
          </cell>
          <cell r="L391" t="str">
            <v>S-Frame</v>
          </cell>
          <cell r="M391" t="str">
            <v>S-フレーム</v>
          </cell>
          <cell r="P391" t="str">
            <v>31B0</v>
          </cell>
          <cell r="Q391" t="str">
            <v>SS400</v>
          </cell>
          <cell r="R391" t="str">
            <v>E349496_01</v>
          </cell>
          <cell r="S391">
            <v>84</v>
          </cell>
          <cell r="T391" t="str">
            <v>標準</v>
          </cell>
        </row>
        <row r="392">
          <cell r="F392" t="str">
            <v>H0000008293</v>
          </cell>
          <cell r="I392" t="str">
            <v>フレーム</v>
          </cell>
          <cell r="J392" t="str">
            <v>S-Frame_UX-10_N_TKTK</v>
          </cell>
          <cell r="K392" t="str">
            <v>S-フレーム_UX-10_N_TKTK</v>
          </cell>
          <cell r="L392" t="str">
            <v>S-Frame</v>
          </cell>
          <cell r="M392" t="str">
            <v>S-フレーム</v>
          </cell>
          <cell r="P392" t="str">
            <v>31B0</v>
          </cell>
          <cell r="Q392" t="str">
            <v>SS400</v>
          </cell>
          <cell r="R392" t="str">
            <v>E349496_01</v>
          </cell>
          <cell r="S392">
            <v>84</v>
          </cell>
          <cell r="T392" t="str">
            <v>標準</v>
          </cell>
        </row>
        <row r="393">
          <cell r="F393" t="str">
            <v>H0000008294</v>
          </cell>
          <cell r="I393" t="str">
            <v>フレーム</v>
          </cell>
          <cell r="J393" t="str">
            <v>S-Frame_UX-10_N_KTKT</v>
          </cell>
          <cell r="K393" t="str">
            <v>S-フレーム_UX-10_N_KTKT</v>
          </cell>
          <cell r="L393" t="str">
            <v>S-Frame</v>
          </cell>
          <cell r="M393" t="str">
            <v>S-フレーム</v>
          </cell>
          <cell r="P393" t="str">
            <v>31B0</v>
          </cell>
          <cell r="Q393" t="str">
            <v>SS400</v>
          </cell>
          <cell r="R393" t="str">
            <v>E349496_01</v>
          </cell>
          <cell r="S393">
            <v>84</v>
          </cell>
          <cell r="T393" t="str">
            <v>標準</v>
          </cell>
        </row>
        <row r="394">
          <cell r="F394" t="str">
            <v>H0000008300</v>
          </cell>
          <cell r="I394" t="str">
            <v>フレーム</v>
          </cell>
          <cell r="J394" t="str">
            <v>S-Frame_UX-10_N_NNNN</v>
          </cell>
          <cell r="K394" t="str">
            <v>S-フレーム_UX-10_N_NNNN</v>
          </cell>
          <cell r="L394" t="str">
            <v>S-Frame</v>
          </cell>
          <cell r="M394" t="str">
            <v>S-フレーム</v>
          </cell>
          <cell r="P394" t="str">
            <v>31B0</v>
          </cell>
          <cell r="Q394" t="str">
            <v>SS400</v>
          </cell>
          <cell r="R394" t="str">
            <v>E349496_01</v>
          </cell>
          <cell r="S394">
            <v>84</v>
          </cell>
          <cell r="T394" t="str">
            <v>標準</v>
          </cell>
        </row>
        <row r="395">
          <cell r="F395" t="str">
            <v>H0000008301</v>
          </cell>
          <cell r="I395" t="str">
            <v>フレーム</v>
          </cell>
          <cell r="J395" t="str">
            <v>S-Frame_UX-10_N_TTTT</v>
          </cell>
          <cell r="K395" t="str">
            <v>S-フレーム_UX-10_N_TTTT</v>
          </cell>
          <cell r="L395" t="str">
            <v>S-Frame</v>
          </cell>
          <cell r="M395" t="str">
            <v>S-フレーム</v>
          </cell>
          <cell r="P395" t="str">
            <v>31B0</v>
          </cell>
          <cell r="Q395" t="str">
            <v>SS400</v>
          </cell>
          <cell r="R395" t="str">
            <v>E349496_01</v>
          </cell>
          <cell r="S395">
            <v>84</v>
          </cell>
          <cell r="T395" t="str">
            <v>標準</v>
          </cell>
        </row>
        <row r="396">
          <cell r="F396" t="str">
            <v>H0000008302</v>
          </cell>
          <cell r="I396" t="str">
            <v>フレーム</v>
          </cell>
          <cell r="J396" t="str">
            <v>S-Frame_UX-10_N_KKKK</v>
          </cell>
          <cell r="K396" t="str">
            <v>S-フレーム_UX-10_N_KKKK</v>
          </cell>
          <cell r="L396" t="str">
            <v>S-Frame</v>
          </cell>
          <cell r="M396" t="str">
            <v>S-フレーム</v>
          </cell>
          <cell r="P396" t="str">
            <v>31B0</v>
          </cell>
          <cell r="Q396" t="str">
            <v>SS400</v>
          </cell>
          <cell r="R396" t="str">
            <v>E349496_01</v>
          </cell>
          <cell r="S396">
            <v>84</v>
          </cell>
          <cell r="T396" t="str">
            <v>標準</v>
          </cell>
        </row>
        <row r="397">
          <cell r="F397" t="str">
            <v>H0000008303</v>
          </cell>
          <cell r="I397" t="str">
            <v>フレーム</v>
          </cell>
          <cell r="J397" t="str">
            <v>S-Frame_UX-10_N_TKTK</v>
          </cell>
          <cell r="K397" t="str">
            <v>S-フレーム_UX-10_N_TKTK</v>
          </cell>
          <cell r="L397" t="str">
            <v>S-Frame</v>
          </cell>
          <cell r="M397" t="str">
            <v>S-フレーム</v>
          </cell>
          <cell r="P397" t="str">
            <v>31B0</v>
          </cell>
          <cell r="Q397" t="str">
            <v>SS400</v>
          </cell>
          <cell r="R397" t="str">
            <v>E349496_01</v>
          </cell>
          <cell r="S397">
            <v>84</v>
          </cell>
          <cell r="T397" t="str">
            <v>標準</v>
          </cell>
        </row>
        <row r="398">
          <cell r="F398" t="str">
            <v>H0000008304</v>
          </cell>
          <cell r="I398" t="str">
            <v>フレーム</v>
          </cell>
          <cell r="J398" t="str">
            <v>S-Frame_UX-10_N_KTKT</v>
          </cell>
          <cell r="K398" t="str">
            <v>S-フレーム_UX-10_N_KTKT</v>
          </cell>
          <cell r="L398" t="str">
            <v>S-Frame</v>
          </cell>
          <cell r="M398" t="str">
            <v>S-フレーム</v>
          </cell>
          <cell r="P398" t="str">
            <v>31B0</v>
          </cell>
          <cell r="Q398" t="str">
            <v>SS400</v>
          </cell>
          <cell r="R398" t="str">
            <v>E349496_01</v>
          </cell>
          <cell r="S398">
            <v>84</v>
          </cell>
          <cell r="T398" t="str">
            <v>標準</v>
          </cell>
        </row>
        <row r="399">
          <cell r="F399" t="str">
            <v>H0000008340</v>
          </cell>
          <cell r="I399" t="str">
            <v>フレーム</v>
          </cell>
          <cell r="J399" t="str">
            <v>S-Frame_UX-10_N_NNNN</v>
          </cell>
          <cell r="K399" t="str">
            <v>S-フレーム_UX-10_N_NNNN</v>
          </cell>
          <cell r="L399" t="str">
            <v>S-Frame</v>
          </cell>
          <cell r="M399" t="str">
            <v>S-フレーム</v>
          </cell>
          <cell r="P399" t="str">
            <v>31B0</v>
          </cell>
          <cell r="Q399" t="str">
            <v>SS400</v>
          </cell>
          <cell r="R399" t="str">
            <v>E349496_01</v>
          </cell>
          <cell r="S399">
            <v>84</v>
          </cell>
          <cell r="T399" t="str">
            <v>標準</v>
          </cell>
        </row>
        <row r="400">
          <cell r="F400" t="str">
            <v>H0000008341</v>
          </cell>
          <cell r="I400" t="str">
            <v>フレーム</v>
          </cell>
          <cell r="J400" t="str">
            <v>S-Frame_UX-10_N_TTTT</v>
          </cell>
          <cell r="K400" t="str">
            <v>S-フレーム_UX-10_N_TTTT</v>
          </cell>
          <cell r="L400" t="str">
            <v>S-Frame</v>
          </cell>
          <cell r="M400" t="str">
            <v>S-フレーム</v>
          </cell>
          <cell r="P400" t="str">
            <v>31B0</v>
          </cell>
          <cell r="Q400" t="str">
            <v>SS400</v>
          </cell>
          <cell r="R400" t="str">
            <v>E349496_01</v>
          </cell>
          <cell r="S400">
            <v>84</v>
          </cell>
          <cell r="T400" t="str">
            <v>標準</v>
          </cell>
        </row>
        <row r="401">
          <cell r="F401" t="str">
            <v>H0000008342</v>
          </cell>
          <cell r="I401" t="str">
            <v>フレーム</v>
          </cell>
          <cell r="J401" t="str">
            <v>S-Frame_UX-10_N_KKKK</v>
          </cell>
          <cell r="K401" t="str">
            <v>S-フレーム_UX-10_N_KKKK</v>
          </cell>
          <cell r="L401" t="str">
            <v>S-Frame</v>
          </cell>
          <cell r="M401" t="str">
            <v>S-フレーム</v>
          </cell>
          <cell r="P401" t="str">
            <v>31B0</v>
          </cell>
          <cell r="Q401" t="str">
            <v>SS400</v>
          </cell>
          <cell r="R401" t="str">
            <v>E349496_01</v>
          </cell>
          <cell r="S401">
            <v>84</v>
          </cell>
          <cell r="T401" t="str">
            <v>標準</v>
          </cell>
        </row>
        <row r="402">
          <cell r="F402" t="str">
            <v>H0000008343</v>
          </cell>
          <cell r="I402" t="str">
            <v>フレーム</v>
          </cell>
          <cell r="J402" t="str">
            <v>S-Frame_UX-10_N_TKTK</v>
          </cell>
          <cell r="K402" t="str">
            <v>S-フレーム_UX-10_N_TKTK</v>
          </cell>
          <cell r="L402" t="str">
            <v>S-Frame</v>
          </cell>
          <cell r="M402" t="str">
            <v>S-フレーム</v>
          </cell>
          <cell r="P402" t="str">
            <v>31B0</v>
          </cell>
          <cell r="Q402" t="str">
            <v>SS400</v>
          </cell>
          <cell r="R402" t="str">
            <v>E349496_01</v>
          </cell>
          <cell r="S402">
            <v>84</v>
          </cell>
          <cell r="T402" t="str">
            <v>標準</v>
          </cell>
        </row>
        <row r="403">
          <cell r="F403" t="str">
            <v>H0000008344</v>
          </cell>
          <cell r="I403" t="str">
            <v>フレーム</v>
          </cell>
          <cell r="J403" t="str">
            <v>S-Frame_UX-10_N_KTKT</v>
          </cell>
          <cell r="K403" t="str">
            <v>S-フレーム_UX-10_N_KTKT</v>
          </cell>
          <cell r="L403" t="str">
            <v>S-Frame</v>
          </cell>
          <cell r="M403" t="str">
            <v>S-フレーム</v>
          </cell>
          <cell r="P403" t="str">
            <v>31B0</v>
          </cell>
          <cell r="Q403" t="str">
            <v>SS400</v>
          </cell>
          <cell r="R403" t="str">
            <v>E349496_01</v>
          </cell>
          <cell r="S403">
            <v>84</v>
          </cell>
          <cell r="T403" t="str">
            <v>標準</v>
          </cell>
        </row>
        <row r="404">
          <cell r="F404" t="str">
            <v>H0000008345</v>
          </cell>
          <cell r="I404" t="str">
            <v>フレーム</v>
          </cell>
          <cell r="J404" t="str">
            <v>S-Frame_UX-10_N_NNNN</v>
          </cell>
          <cell r="K404" t="str">
            <v>S-フレーム_UX-10_N_NNNN</v>
          </cell>
          <cell r="L404" t="str">
            <v>S-Frame</v>
          </cell>
          <cell r="M404" t="str">
            <v>S-フレーム</v>
          </cell>
          <cell r="P404" t="str">
            <v>31B0</v>
          </cell>
          <cell r="Q404" t="str">
            <v>SS400</v>
          </cell>
          <cell r="R404" t="str">
            <v>E349496_01</v>
          </cell>
          <cell r="S404">
            <v>84</v>
          </cell>
          <cell r="T404" t="str">
            <v>標準</v>
          </cell>
        </row>
        <row r="405">
          <cell r="F405" t="str">
            <v>H0000008346</v>
          </cell>
          <cell r="I405" t="str">
            <v>フレーム</v>
          </cell>
          <cell r="J405" t="str">
            <v>S-Frame_UX-10_N_TTTT</v>
          </cell>
          <cell r="K405" t="str">
            <v>S-フレーム_UX-10_N_TTTT</v>
          </cell>
          <cell r="L405" t="str">
            <v>S-Frame</v>
          </cell>
          <cell r="M405" t="str">
            <v>S-フレーム</v>
          </cell>
          <cell r="P405" t="str">
            <v>31B0</v>
          </cell>
          <cell r="Q405" t="str">
            <v>SS400</v>
          </cell>
          <cell r="R405" t="str">
            <v>E349496_01</v>
          </cell>
          <cell r="S405">
            <v>84</v>
          </cell>
          <cell r="T405" t="str">
            <v>標準</v>
          </cell>
        </row>
        <row r="406">
          <cell r="F406" t="str">
            <v>H0000008347</v>
          </cell>
          <cell r="I406" t="str">
            <v>フレーム</v>
          </cell>
          <cell r="J406" t="str">
            <v>S-Frame_UX-10_N_KKKK</v>
          </cell>
          <cell r="K406" t="str">
            <v>S-フレーム_UX-10_N_KKKK</v>
          </cell>
          <cell r="L406" t="str">
            <v>S-Frame</v>
          </cell>
          <cell r="M406" t="str">
            <v>S-フレーム</v>
          </cell>
          <cell r="P406" t="str">
            <v>31B0</v>
          </cell>
          <cell r="Q406" t="str">
            <v>SS400</v>
          </cell>
          <cell r="R406" t="str">
            <v>E349496_01</v>
          </cell>
          <cell r="S406">
            <v>84</v>
          </cell>
          <cell r="T406" t="str">
            <v>標準</v>
          </cell>
        </row>
        <row r="407">
          <cell r="F407" t="str">
            <v>H0000008348</v>
          </cell>
          <cell r="I407" t="str">
            <v>フレーム</v>
          </cell>
          <cell r="J407" t="str">
            <v>S-Frame_UX-10_N_TKTK</v>
          </cell>
          <cell r="K407" t="str">
            <v>S-フレーム_UX-10_N_TKTK</v>
          </cell>
          <cell r="L407" t="str">
            <v>S-Frame</v>
          </cell>
          <cell r="M407" t="str">
            <v>S-フレーム</v>
          </cell>
          <cell r="P407" t="str">
            <v>31B0</v>
          </cell>
          <cell r="Q407" t="str">
            <v>SS400</v>
          </cell>
          <cell r="R407" t="str">
            <v>E349496_01</v>
          </cell>
          <cell r="S407">
            <v>84</v>
          </cell>
          <cell r="T407" t="str">
            <v>標準</v>
          </cell>
        </row>
        <row r="408">
          <cell r="F408" t="str">
            <v>H0000008349</v>
          </cell>
          <cell r="I408" t="str">
            <v>フレーム</v>
          </cell>
          <cell r="J408" t="str">
            <v>S-Frame_UX-10_N_KTKT</v>
          </cell>
          <cell r="K408" t="str">
            <v>S-フレーム_UX-10_N_KTKT</v>
          </cell>
          <cell r="L408" t="str">
            <v>S-Frame</v>
          </cell>
          <cell r="M408" t="str">
            <v>S-フレーム</v>
          </cell>
          <cell r="P408" t="str">
            <v>31B0</v>
          </cell>
          <cell r="Q408" t="str">
            <v>SS400</v>
          </cell>
          <cell r="R408" t="str">
            <v>E349496_01</v>
          </cell>
          <cell r="S408">
            <v>84</v>
          </cell>
          <cell r="T408" t="str">
            <v>標準</v>
          </cell>
        </row>
        <row r="409">
          <cell r="F409" t="str">
            <v>H0000008885</v>
          </cell>
          <cell r="I409" t="str">
            <v>フレーム</v>
          </cell>
          <cell r="J409" t="str">
            <v>S-Frame_UX-10_N_NNNN</v>
          </cell>
          <cell r="K409" t="str">
            <v>S-フレーム_UX-10_N_NNNN</v>
          </cell>
          <cell r="L409" t="str">
            <v>S-Frame</v>
          </cell>
          <cell r="M409" t="str">
            <v>S-フレーム</v>
          </cell>
          <cell r="P409" t="str">
            <v>31B0</v>
          </cell>
          <cell r="Q409" t="str">
            <v>SS400</v>
          </cell>
          <cell r="R409" t="str">
            <v>E349496_01</v>
          </cell>
          <cell r="S409">
            <v>84</v>
          </cell>
          <cell r="T409" t="str">
            <v>標準</v>
          </cell>
        </row>
        <row r="410">
          <cell r="F410" t="str">
            <v>H0000008886</v>
          </cell>
          <cell r="I410" t="str">
            <v>フレーム</v>
          </cell>
          <cell r="J410" t="str">
            <v>S-Frame_UX-10_N_TTTT</v>
          </cell>
          <cell r="K410" t="str">
            <v>S-フレーム_UX-10_N_TTTT</v>
          </cell>
          <cell r="L410" t="str">
            <v>S-Frame</v>
          </cell>
          <cell r="M410" t="str">
            <v>S-フレーム</v>
          </cell>
          <cell r="P410" t="str">
            <v>31B0</v>
          </cell>
          <cell r="Q410" t="str">
            <v>SS400</v>
          </cell>
          <cell r="R410" t="str">
            <v>E349496_01</v>
          </cell>
          <cell r="S410">
            <v>84</v>
          </cell>
          <cell r="T410" t="str">
            <v>標準</v>
          </cell>
        </row>
        <row r="411">
          <cell r="F411" t="str">
            <v>H0000008887</v>
          </cell>
          <cell r="I411" t="str">
            <v>フレーム</v>
          </cell>
          <cell r="J411" t="str">
            <v>S-Frame_UX-10_N_KKKK</v>
          </cell>
          <cell r="K411" t="str">
            <v>S-フレーム_UX-10_N_KKKK</v>
          </cell>
          <cell r="L411" t="str">
            <v>S-Frame</v>
          </cell>
          <cell r="M411" t="str">
            <v>S-フレーム</v>
          </cell>
          <cell r="P411" t="str">
            <v>31B0</v>
          </cell>
          <cell r="Q411" t="str">
            <v>SS400</v>
          </cell>
          <cell r="R411" t="str">
            <v>E349496_01</v>
          </cell>
          <cell r="S411">
            <v>84</v>
          </cell>
          <cell r="T411" t="str">
            <v>標準</v>
          </cell>
        </row>
        <row r="412">
          <cell r="F412" t="str">
            <v>H0000008888</v>
          </cell>
          <cell r="I412" t="str">
            <v>フレーム</v>
          </cell>
          <cell r="J412" t="str">
            <v>S-Frame_UX-10_N_TKTK</v>
          </cell>
          <cell r="K412" t="str">
            <v>S-フレーム_UX-10_N_TKTK</v>
          </cell>
          <cell r="L412" t="str">
            <v>S-Frame</v>
          </cell>
          <cell r="M412" t="str">
            <v>S-フレーム</v>
          </cell>
          <cell r="P412" t="str">
            <v>31B0</v>
          </cell>
          <cell r="Q412" t="str">
            <v>SS400</v>
          </cell>
          <cell r="R412" t="str">
            <v>E349496_01</v>
          </cell>
          <cell r="S412">
            <v>84</v>
          </cell>
          <cell r="T412" t="str">
            <v>標準</v>
          </cell>
        </row>
        <row r="413">
          <cell r="F413" t="str">
            <v>H0000008889</v>
          </cell>
          <cell r="I413" t="str">
            <v>フレーム</v>
          </cell>
          <cell r="J413" t="str">
            <v>S-Frame_UX-10_N_KTKT</v>
          </cell>
          <cell r="K413" t="str">
            <v>S-フレーム_UX-10_N_KTKT</v>
          </cell>
          <cell r="L413" t="str">
            <v>S-Frame</v>
          </cell>
          <cell r="M413" t="str">
            <v>S-フレーム</v>
          </cell>
          <cell r="P413" t="str">
            <v>31B0</v>
          </cell>
          <cell r="Q413" t="str">
            <v>SS400</v>
          </cell>
          <cell r="R413" t="str">
            <v>E349496_01</v>
          </cell>
          <cell r="S413">
            <v>84</v>
          </cell>
          <cell r="T413" t="str">
            <v>標準</v>
          </cell>
        </row>
        <row r="414">
          <cell r="F414" t="str">
            <v>H0000008890</v>
          </cell>
          <cell r="I414" t="str">
            <v>フレーム</v>
          </cell>
          <cell r="J414" t="str">
            <v>S-Frame_UX-10_N_NNNN</v>
          </cell>
          <cell r="K414" t="str">
            <v>S-フレーム_UX-10_N_NNNN</v>
          </cell>
          <cell r="L414" t="str">
            <v>S-Frame</v>
          </cell>
          <cell r="M414" t="str">
            <v>S-フレーム</v>
          </cell>
          <cell r="P414" t="str">
            <v>31B0</v>
          </cell>
          <cell r="Q414" t="str">
            <v>SS400</v>
          </cell>
          <cell r="R414" t="str">
            <v>E349496_01</v>
          </cell>
          <cell r="S414">
            <v>84</v>
          </cell>
          <cell r="T414" t="str">
            <v>標準</v>
          </cell>
        </row>
        <row r="415">
          <cell r="F415" t="str">
            <v>H0000008891</v>
          </cell>
          <cell r="I415" t="str">
            <v>フレーム</v>
          </cell>
          <cell r="J415" t="str">
            <v>S-Frame_UX-10_N_TTTT</v>
          </cell>
          <cell r="K415" t="str">
            <v>S-フレーム_UX-10_N_TTTT</v>
          </cell>
          <cell r="L415" t="str">
            <v>S-Frame</v>
          </cell>
          <cell r="M415" t="str">
            <v>S-フレーム</v>
          </cell>
          <cell r="P415" t="str">
            <v>31B0</v>
          </cell>
          <cell r="Q415" t="str">
            <v>SS400</v>
          </cell>
          <cell r="R415" t="str">
            <v>E349496_01</v>
          </cell>
          <cell r="S415">
            <v>84</v>
          </cell>
          <cell r="T415" t="str">
            <v>標準</v>
          </cell>
        </row>
        <row r="416">
          <cell r="F416" t="str">
            <v>H0000008892</v>
          </cell>
          <cell r="I416" t="str">
            <v>フレーム</v>
          </cell>
          <cell r="J416" t="str">
            <v>S-Frame_UX-10_N_KKKK</v>
          </cell>
          <cell r="K416" t="str">
            <v>S-フレーム_UX-10_N_KKKK</v>
          </cell>
          <cell r="L416" t="str">
            <v>S-Frame</v>
          </cell>
          <cell r="M416" t="str">
            <v>S-フレーム</v>
          </cell>
          <cell r="P416" t="str">
            <v>31B0</v>
          </cell>
          <cell r="Q416" t="str">
            <v>SS400</v>
          </cell>
          <cell r="R416" t="str">
            <v>E349496_01</v>
          </cell>
          <cell r="S416">
            <v>84</v>
          </cell>
          <cell r="T416" t="str">
            <v>標準</v>
          </cell>
        </row>
        <row r="417">
          <cell r="F417" t="str">
            <v>H0000008893</v>
          </cell>
          <cell r="I417" t="str">
            <v>フレーム</v>
          </cell>
          <cell r="J417" t="str">
            <v>S-Frame_UX-10_N_TKTK</v>
          </cell>
          <cell r="K417" t="str">
            <v>S-フレーム_UX-10_N_TKTK</v>
          </cell>
          <cell r="L417" t="str">
            <v>S-Frame</v>
          </cell>
          <cell r="M417" t="str">
            <v>S-フレーム</v>
          </cell>
          <cell r="P417" t="str">
            <v>31B0</v>
          </cell>
          <cell r="Q417" t="str">
            <v>SS400</v>
          </cell>
          <cell r="R417" t="str">
            <v>E349496_01</v>
          </cell>
          <cell r="S417">
            <v>84</v>
          </cell>
          <cell r="T417" t="str">
            <v>標準</v>
          </cell>
        </row>
        <row r="418">
          <cell r="F418" t="str">
            <v>H0000008894</v>
          </cell>
          <cell r="I418" t="str">
            <v>フレーム</v>
          </cell>
          <cell r="J418" t="str">
            <v>S-Frame_UX-10_N_KTKT</v>
          </cell>
          <cell r="K418" t="str">
            <v>S-フレーム_UX-10_N_KTKT</v>
          </cell>
          <cell r="L418" t="str">
            <v>S-Frame</v>
          </cell>
          <cell r="M418" t="str">
            <v>S-フレーム</v>
          </cell>
          <cell r="P418" t="str">
            <v>31B0</v>
          </cell>
          <cell r="Q418" t="str">
            <v>SS400</v>
          </cell>
          <cell r="R418" t="str">
            <v>E349496_01</v>
          </cell>
          <cell r="S418">
            <v>84</v>
          </cell>
          <cell r="T418" t="str">
            <v>標準</v>
          </cell>
        </row>
        <row r="419">
          <cell r="F419" t="str">
            <v>H0000008900</v>
          </cell>
          <cell r="I419" t="str">
            <v>フレーム</v>
          </cell>
          <cell r="J419" t="str">
            <v>S-Frame_UX-10_N_NNNN</v>
          </cell>
          <cell r="K419" t="str">
            <v>S-フレーム_UX-10_N_NNNN</v>
          </cell>
          <cell r="L419" t="str">
            <v>S-Frame</v>
          </cell>
          <cell r="M419" t="str">
            <v>S-フレーム</v>
          </cell>
          <cell r="P419" t="str">
            <v>31B0</v>
          </cell>
          <cell r="Q419" t="str">
            <v>SS400</v>
          </cell>
          <cell r="R419" t="str">
            <v>E349496_01</v>
          </cell>
          <cell r="S419">
            <v>84</v>
          </cell>
          <cell r="T419" t="str">
            <v>標準</v>
          </cell>
        </row>
        <row r="420">
          <cell r="F420" t="str">
            <v>H0000008901</v>
          </cell>
          <cell r="I420" t="str">
            <v>フレーム</v>
          </cell>
          <cell r="J420" t="str">
            <v>S-Frame_UX-10_N_TTTT</v>
          </cell>
          <cell r="K420" t="str">
            <v>S-フレーム_UX-10_N_TTTT</v>
          </cell>
          <cell r="L420" t="str">
            <v>S-Frame</v>
          </cell>
          <cell r="M420" t="str">
            <v>S-フレーム</v>
          </cell>
          <cell r="P420" t="str">
            <v>31B0</v>
          </cell>
          <cell r="Q420" t="str">
            <v>SS400</v>
          </cell>
          <cell r="R420" t="str">
            <v>E349496_01</v>
          </cell>
          <cell r="S420">
            <v>84</v>
          </cell>
          <cell r="T420" t="str">
            <v>標準</v>
          </cell>
        </row>
        <row r="421">
          <cell r="F421" t="str">
            <v>H0000008902</v>
          </cell>
          <cell r="I421" t="str">
            <v>フレーム</v>
          </cell>
          <cell r="J421" t="str">
            <v>S-Frame_UX-10_N_KKKK</v>
          </cell>
          <cell r="K421" t="str">
            <v>S-フレーム_UX-10_N_KKKK</v>
          </cell>
          <cell r="L421" t="str">
            <v>S-Frame</v>
          </cell>
          <cell r="M421" t="str">
            <v>S-フレーム</v>
          </cell>
          <cell r="P421" t="str">
            <v>31B0</v>
          </cell>
          <cell r="Q421" t="str">
            <v>SS400</v>
          </cell>
          <cell r="R421" t="str">
            <v>E349496_01</v>
          </cell>
          <cell r="S421">
            <v>84</v>
          </cell>
          <cell r="T421" t="str">
            <v>標準</v>
          </cell>
        </row>
        <row r="422">
          <cell r="F422" t="str">
            <v>H0000008903</v>
          </cell>
          <cell r="I422" t="str">
            <v>フレーム</v>
          </cell>
          <cell r="J422" t="str">
            <v>S-Frame_UX-10_N_TKTK</v>
          </cell>
          <cell r="K422" t="str">
            <v>S-フレーム_UX-10_N_TKTK</v>
          </cell>
          <cell r="L422" t="str">
            <v>S-Frame</v>
          </cell>
          <cell r="M422" t="str">
            <v>S-フレーム</v>
          </cell>
          <cell r="P422" t="str">
            <v>31B0</v>
          </cell>
          <cell r="Q422" t="str">
            <v>SS400</v>
          </cell>
          <cell r="R422" t="str">
            <v>E349496_01</v>
          </cell>
          <cell r="S422">
            <v>84</v>
          </cell>
          <cell r="T422" t="str">
            <v>標準</v>
          </cell>
        </row>
        <row r="423">
          <cell r="F423" t="str">
            <v>H0000008904</v>
          </cell>
          <cell r="I423" t="str">
            <v>フレーム</v>
          </cell>
          <cell r="J423" t="str">
            <v>S-Frame_UX-10_N_KTKT</v>
          </cell>
          <cell r="K423" t="str">
            <v>S-フレーム_UX-10_N_KTKT</v>
          </cell>
          <cell r="L423" t="str">
            <v>S-Frame</v>
          </cell>
          <cell r="M423" t="str">
            <v>S-フレーム</v>
          </cell>
          <cell r="P423" t="str">
            <v>31B0</v>
          </cell>
          <cell r="Q423" t="str">
            <v>SS400</v>
          </cell>
          <cell r="R423" t="str">
            <v>E349496_01</v>
          </cell>
          <cell r="S423">
            <v>84</v>
          </cell>
          <cell r="T423" t="str">
            <v>標準</v>
          </cell>
        </row>
        <row r="424">
          <cell r="F424" t="str">
            <v>H0000008940</v>
          </cell>
          <cell r="I424" t="str">
            <v>フレーム</v>
          </cell>
          <cell r="J424" t="str">
            <v>S-Frame_UX-10_N_NNNN</v>
          </cell>
          <cell r="K424" t="str">
            <v>S-フレーム_UX-10_N_NNNN</v>
          </cell>
          <cell r="L424" t="str">
            <v>S-Frame</v>
          </cell>
          <cell r="M424" t="str">
            <v>S-フレーム</v>
          </cell>
          <cell r="P424" t="str">
            <v>31B0</v>
          </cell>
          <cell r="Q424" t="str">
            <v>SS400</v>
          </cell>
          <cell r="R424" t="str">
            <v>E349496_01</v>
          </cell>
          <cell r="S424">
            <v>84</v>
          </cell>
          <cell r="T424" t="str">
            <v>標準</v>
          </cell>
        </row>
        <row r="425">
          <cell r="F425" t="str">
            <v>H0000008941</v>
          </cell>
          <cell r="I425" t="str">
            <v>フレーム</v>
          </cell>
          <cell r="J425" t="str">
            <v>S-Frame_UX-10_N_TTTT</v>
          </cell>
          <cell r="K425" t="str">
            <v>S-フレーム_UX-10_N_TTTT</v>
          </cell>
          <cell r="L425" t="str">
            <v>S-Frame</v>
          </cell>
          <cell r="M425" t="str">
            <v>S-フレーム</v>
          </cell>
          <cell r="P425" t="str">
            <v>31B0</v>
          </cell>
          <cell r="Q425" t="str">
            <v>SS400</v>
          </cell>
          <cell r="R425" t="str">
            <v>E349496_01</v>
          </cell>
          <cell r="S425">
            <v>84</v>
          </cell>
          <cell r="T425" t="str">
            <v>標準</v>
          </cell>
        </row>
        <row r="426">
          <cell r="F426" t="str">
            <v>H0000008942</v>
          </cell>
          <cell r="I426" t="str">
            <v>フレーム</v>
          </cell>
          <cell r="J426" t="str">
            <v>S-Frame_UX-10_N_KKKK</v>
          </cell>
          <cell r="K426" t="str">
            <v>S-フレーム_UX-10_N_KKKK</v>
          </cell>
          <cell r="L426" t="str">
            <v>S-Frame</v>
          </cell>
          <cell r="M426" t="str">
            <v>S-フレーム</v>
          </cell>
          <cell r="P426" t="str">
            <v>31B0</v>
          </cell>
          <cell r="Q426" t="str">
            <v>SS400</v>
          </cell>
          <cell r="R426" t="str">
            <v>E349496_01</v>
          </cell>
          <cell r="S426">
            <v>84</v>
          </cell>
          <cell r="T426" t="str">
            <v>標準</v>
          </cell>
        </row>
        <row r="427">
          <cell r="F427" t="str">
            <v>H0000008943</v>
          </cell>
          <cell r="I427" t="str">
            <v>フレーム</v>
          </cell>
          <cell r="J427" t="str">
            <v>S-Frame_UX-10_N_TKTK</v>
          </cell>
          <cell r="K427" t="str">
            <v>S-フレーム_UX-10_N_TKTK</v>
          </cell>
          <cell r="L427" t="str">
            <v>S-Frame</v>
          </cell>
          <cell r="M427" t="str">
            <v>S-フレーム</v>
          </cell>
          <cell r="P427" t="str">
            <v>31B0</v>
          </cell>
          <cell r="Q427" t="str">
            <v>SS400</v>
          </cell>
          <cell r="R427" t="str">
            <v>E349496_01</v>
          </cell>
          <cell r="S427">
            <v>84</v>
          </cell>
          <cell r="T427" t="str">
            <v>標準</v>
          </cell>
        </row>
        <row r="428">
          <cell r="F428" t="str">
            <v>H0000008944</v>
          </cell>
          <cell r="I428" t="str">
            <v>フレーム</v>
          </cell>
          <cell r="J428" t="str">
            <v>S-Frame_UX-10_N_KTKT</v>
          </cell>
          <cell r="K428" t="str">
            <v>S-フレーム_UX-10_N_KTKT</v>
          </cell>
          <cell r="L428" t="str">
            <v>S-Frame</v>
          </cell>
          <cell r="M428" t="str">
            <v>S-フレーム</v>
          </cell>
          <cell r="P428" t="str">
            <v>31B0</v>
          </cell>
          <cell r="Q428" t="str">
            <v>SS400</v>
          </cell>
          <cell r="R428" t="str">
            <v>E349496_01</v>
          </cell>
          <cell r="S428">
            <v>84</v>
          </cell>
          <cell r="T428" t="str">
            <v>標準</v>
          </cell>
        </row>
        <row r="429">
          <cell r="F429" t="str">
            <v>H0000008945</v>
          </cell>
          <cell r="I429" t="str">
            <v>フレーム</v>
          </cell>
          <cell r="J429" t="str">
            <v>S-Frame_UX-10_N_NNNN</v>
          </cell>
          <cell r="K429" t="str">
            <v>S-フレーム_UX-10_N_NNNN</v>
          </cell>
          <cell r="L429" t="str">
            <v>S-Frame</v>
          </cell>
          <cell r="M429" t="str">
            <v>S-フレーム</v>
          </cell>
          <cell r="P429" t="str">
            <v>31B0</v>
          </cell>
          <cell r="Q429" t="str">
            <v>SS400</v>
          </cell>
          <cell r="R429" t="str">
            <v>E349496_01</v>
          </cell>
          <cell r="S429">
            <v>84</v>
          </cell>
          <cell r="T429" t="str">
            <v>標準</v>
          </cell>
        </row>
        <row r="430">
          <cell r="F430" t="str">
            <v>H0000008946</v>
          </cell>
          <cell r="I430" t="str">
            <v>フレーム</v>
          </cell>
          <cell r="J430" t="str">
            <v>S-Frame_UX-10_N_TTTT</v>
          </cell>
          <cell r="K430" t="str">
            <v>S-フレーム_UX-10_N_TTTT</v>
          </cell>
          <cell r="L430" t="str">
            <v>S-Frame</v>
          </cell>
          <cell r="M430" t="str">
            <v>S-フレーム</v>
          </cell>
          <cell r="P430" t="str">
            <v>31B0</v>
          </cell>
          <cell r="Q430" t="str">
            <v>SS400</v>
          </cell>
          <cell r="R430" t="str">
            <v>E349496_01</v>
          </cell>
          <cell r="S430">
            <v>84</v>
          </cell>
          <cell r="T430" t="str">
            <v>標準</v>
          </cell>
        </row>
        <row r="431">
          <cell r="F431" t="str">
            <v>H0000008947</v>
          </cell>
          <cell r="I431" t="str">
            <v>フレーム</v>
          </cell>
          <cell r="J431" t="str">
            <v>S-Frame_UX-10_N_KKKK</v>
          </cell>
          <cell r="K431" t="str">
            <v>S-フレーム_UX-10_N_KKKK</v>
          </cell>
          <cell r="L431" t="str">
            <v>S-Frame</v>
          </cell>
          <cell r="M431" t="str">
            <v>S-フレーム</v>
          </cell>
          <cell r="P431" t="str">
            <v>31B0</v>
          </cell>
          <cell r="Q431" t="str">
            <v>SS400</v>
          </cell>
          <cell r="R431" t="str">
            <v>E349496_01</v>
          </cell>
          <cell r="S431">
            <v>84</v>
          </cell>
          <cell r="T431" t="str">
            <v>標準</v>
          </cell>
        </row>
        <row r="432">
          <cell r="F432" t="str">
            <v>H0000008948</v>
          </cell>
          <cell r="I432" t="str">
            <v>フレーム</v>
          </cell>
          <cell r="J432" t="str">
            <v>S-Frame_UX-10_N_TKTK</v>
          </cell>
          <cell r="K432" t="str">
            <v>S-フレーム_UX-10_N_TKTK</v>
          </cell>
          <cell r="L432" t="str">
            <v>S-Frame</v>
          </cell>
          <cell r="M432" t="str">
            <v>S-フレーム</v>
          </cell>
          <cell r="P432" t="str">
            <v>31B0</v>
          </cell>
          <cell r="Q432" t="str">
            <v>SS400</v>
          </cell>
          <cell r="R432" t="str">
            <v>E349496_01</v>
          </cell>
          <cell r="S432">
            <v>84</v>
          </cell>
          <cell r="T432" t="str">
            <v>標準</v>
          </cell>
        </row>
        <row r="433">
          <cell r="F433" t="str">
            <v>H0000008949</v>
          </cell>
          <cell r="I433" t="str">
            <v>フレーム</v>
          </cell>
          <cell r="J433" t="str">
            <v>S-Frame_UX-10_N_KTKT</v>
          </cell>
          <cell r="K433" t="str">
            <v>S-フレーム_UX-10_N_KTKT</v>
          </cell>
          <cell r="L433" t="str">
            <v>S-Frame</v>
          </cell>
          <cell r="M433" t="str">
            <v>S-フレーム</v>
          </cell>
          <cell r="P433" t="str">
            <v>31B0</v>
          </cell>
          <cell r="Q433" t="str">
            <v>SS400</v>
          </cell>
          <cell r="R433" t="str">
            <v>E349496_01</v>
          </cell>
          <cell r="S433">
            <v>84</v>
          </cell>
          <cell r="T433" t="str">
            <v>標準</v>
          </cell>
        </row>
        <row r="434">
          <cell r="F434" t="str">
            <v>H0000008960</v>
          </cell>
          <cell r="I434" t="str">
            <v>フレーム</v>
          </cell>
          <cell r="J434" t="str">
            <v>S-Frame_UX-10_N_NNNN</v>
          </cell>
          <cell r="K434" t="str">
            <v>S-フレーム_UX-10_N_NNNN</v>
          </cell>
          <cell r="L434" t="str">
            <v>S-Frame</v>
          </cell>
          <cell r="M434" t="str">
            <v>S-フレーム</v>
          </cell>
          <cell r="P434" t="str">
            <v>31B0</v>
          </cell>
          <cell r="Q434" t="str">
            <v>SS400</v>
          </cell>
          <cell r="R434" t="str">
            <v>E349496_01</v>
          </cell>
          <cell r="S434">
            <v>84</v>
          </cell>
          <cell r="T434" t="str">
            <v>標準</v>
          </cell>
        </row>
        <row r="435">
          <cell r="F435" t="str">
            <v>H0000008961</v>
          </cell>
          <cell r="I435" t="str">
            <v>フレーム</v>
          </cell>
          <cell r="J435" t="str">
            <v>S-Frame_UX-10_N_TTTT</v>
          </cell>
          <cell r="K435" t="str">
            <v>S-フレーム_UX-10_N_TTTT</v>
          </cell>
          <cell r="L435" t="str">
            <v>S-Frame</v>
          </cell>
          <cell r="M435" t="str">
            <v>S-フレーム</v>
          </cell>
          <cell r="P435" t="str">
            <v>31B0</v>
          </cell>
          <cell r="Q435" t="str">
            <v>SS400</v>
          </cell>
          <cell r="R435" t="str">
            <v>E349496_01</v>
          </cell>
          <cell r="S435">
            <v>84</v>
          </cell>
          <cell r="T435" t="str">
            <v>標準</v>
          </cell>
        </row>
        <row r="436">
          <cell r="F436" t="str">
            <v>H0000008962</v>
          </cell>
          <cell r="I436" t="str">
            <v>フレーム</v>
          </cell>
          <cell r="J436" t="str">
            <v>S-Frame_UX-10_N_KKKK</v>
          </cell>
          <cell r="K436" t="str">
            <v>S-フレーム_UX-10_N_KKKK</v>
          </cell>
          <cell r="L436" t="str">
            <v>S-Frame</v>
          </cell>
          <cell r="M436" t="str">
            <v>S-フレーム</v>
          </cell>
          <cell r="P436" t="str">
            <v>31B0</v>
          </cell>
          <cell r="Q436" t="str">
            <v>SS400</v>
          </cell>
          <cell r="R436" t="str">
            <v>E349496_01</v>
          </cell>
          <cell r="S436">
            <v>84</v>
          </cell>
          <cell r="T436" t="str">
            <v>標準</v>
          </cell>
        </row>
        <row r="437">
          <cell r="F437" t="str">
            <v>H0000008963</v>
          </cell>
          <cell r="I437" t="str">
            <v>フレーム</v>
          </cell>
          <cell r="J437" t="str">
            <v>S-Frame_UX-10_N_TKTK</v>
          </cell>
          <cell r="K437" t="str">
            <v>S-フレーム_UX-10_N_TKTK</v>
          </cell>
          <cell r="L437" t="str">
            <v>S-Frame</v>
          </cell>
          <cell r="M437" t="str">
            <v>S-フレーム</v>
          </cell>
          <cell r="P437" t="str">
            <v>31B0</v>
          </cell>
          <cell r="Q437" t="str">
            <v>SS400</v>
          </cell>
          <cell r="R437" t="str">
            <v>E349496_01</v>
          </cell>
          <cell r="S437">
            <v>84</v>
          </cell>
          <cell r="T437" t="str">
            <v>標準</v>
          </cell>
        </row>
        <row r="438">
          <cell r="F438" t="str">
            <v>H0000008964</v>
          </cell>
          <cell r="I438" t="str">
            <v>フレーム</v>
          </cell>
          <cell r="J438" t="str">
            <v>S-Frame_UX-10_N_KTKT</v>
          </cell>
          <cell r="K438" t="str">
            <v>S-フレーム_UX-10_N_KTKT</v>
          </cell>
          <cell r="L438" t="str">
            <v>S-Frame</v>
          </cell>
          <cell r="M438" t="str">
            <v>S-フレーム</v>
          </cell>
          <cell r="P438" t="str">
            <v>31B0</v>
          </cell>
          <cell r="Q438" t="str">
            <v>SS400</v>
          </cell>
          <cell r="R438" t="str">
            <v>E349496_01</v>
          </cell>
          <cell r="S438">
            <v>84</v>
          </cell>
          <cell r="T438" t="str">
            <v>標準</v>
          </cell>
        </row>
        <row r="439">
          <cell r="F439" t="str">
            <v>H0000008965</v>
          </cell>
          <cell r="I439" t="str">
            <v>フレーム</v>
          </cell>
          <cell r="J439" t="str">
            <v>S-Frame_UX-10_N_NNNN</v>
          </cell>
          <cell r="K439" t="str">
            <v>S-フレーム_UX-10_N_NNNN</v>
          </cell>
          <cell r="L439" t="str">
            <v>S-Frame</v>
          </cell>
          <cell r="M439" t="str">
            <v>S-フレーム</v>
          </cell>
          <cell r="P439" t="str">
            <v>31B0</v>
          </cell>
          <cell r="Q439" t="str">
            <v>SS400</v>
          </cell>
          <cell r="R439" t="str">
            <v>E349496_01</v>
          </cell>
          <cell r="S439">
            <v>84</v>
          </cell>
          <cell r="T439" t="str">
            <v>標準</v>
          </cell>
        </row>
        <row r="440">
          <cell r="F440" t="str">
            <v>H0000008966</v>
          </cell>
          <cell r="I440" t="str">
            <v>フレーム</v>
          </cell>
          <cell r="J440" t="str">
            <v>S-Frame_UX-10_N_TTTT</v>
          </cell>
          <cell r="K440" t="str">
            <v>S-フレーム_UX-10_N_TTTT</v>
          </cell>
          <cell r="L440" t="str">
            <v>S-Frame</v>
          </cell>
          <cell r="M440" t="str">
            <v>S-フレーム</v>
          </cell>
          <cell r="P440" t="str">
            <v>31B0</v>
          </cell>
          <cell r="Q440" t="str">
            <v>SS400</v>
          </cell>
          <cell r="R440" t="str">
            <v>E349496_01</v>
          </cell>
          <cell r="S440">
            <v>84</v>
          </cell>
          <cell r="T440" t="str">
            <v>標準</v>
          </cell>
        </row>
        <row r="441">
          <cell r="F441" t="str">
            <v>H0000008967</v>
          </cell>
          <cell r="I441" t="str">
            <v>フレーム</v>
          </cell>
          <cell r="J441" t="str">
            <v>S-Frame_UX-10_N_KKKK</v>
          </cell>
          <cell r="K441" t="str">
            <v>S-フレーム_UX-10_N_KKKK</v>
          </cell>
          <cell r="L441" t="str">
            <v>S-Frame</v>
          </cell>
          <cell r="M441" t="str">
            <v>S-フレーム</v>
          </cell>
          <cell r="P441" t="str">
            <v>31B0</v>
          </cell>
          <cell r="Q441" t="str">
            <v>SS400</v>
          </cell>
          <cell r="R441" t="str">
            <v>E349496_01</v>
          </cell>
          <cell r="S441">
            <v>84</v>
          </cell>
          <cell r="T441" t="str">
            <v>標準</v>
          </cell>
        </row>
        <row r="442">
          <cell r="F442" t="str">
            <v>H0000008968</v>
          </cell>
          <cell r="I442" t="str">
            <v>フレーム</v>
          </cell>
          <cell r="J442" t="str">
            <v>S-Frame_UX-10_N_TKTK</v>
          </cell>
          <cell r="K442" t="str">
            <v>S-フレーム_UX-10_N_TKTK</v>
          </cell>
          <cell r="L442" t="str">
            <v>S-Frame</v>
          </cell>
          <cell r="M442" t="str">
            <v>S-フレーム</v>
          </cell>
          <cell r="P442" t="str">
            <v>31B0</v>
          </cell>
          <cell r="Q442" t="str">
            <v>SS400</v>
          </cell>
          <cell r="R442" t="str">
            <v>E349496_01</v>
          </cell>
          <cell r="S442">
            <v>84</v>
          </cell>
          <cell r="T442" t="str">
            <v>標準</v>
          </cell>
        </row>
        <row r="443">
          <cell r="F443" t="str">
            <v>H0000008969</v>
          </cell>
          <cell r="I443" t="str">
            <v>フレーム</v>
          </cell>
          <cell r="J443" t="str">
            <v>S-Frame_UX-10_N_KTKT</v>
          </cell>
          <cell r="K443" t="str">
            <v>S-フレーム_UX-10_N_KTKT</v>
          </cell>
          <cell r="L443" t="str">
            <v>S-Frame</v>
          </cell>
          <cell r="M443" t="str">
            <v>S-フレーム</v>
          </cell>
          <cell r="P443" t="str">
            <v>31B0</v>
          </cell>
          <cell r="Q443" t="str">
            <v>SS400</v>
          </cell>
          <cell r="R443" t="str">
            <v>E349496_01</v>
          </cell>
          <cell r="S443">
            <v>84</v>
          </cell>
          <cell r="T443" t="str">
            <v>標準</v>
          </cell>
        </row>
        <row r="444">
          <cell r="F444" t="str">
            <v>H0000008975</v>
          </cell>
          <cell r="I444" t="str">
            <v>フレーム</v>
          </cell>
          <cell r="J444" t="str">
            <v>S-Frame_UX-10_N_NNNN</v>
          </cell>
          <cell r="K444" t="str">
            <v>S-フレーム_UX-10_N_NNNN</v>
          </cell>
          <cell r="L444" t="str">
            <v>S-Frame</v>
          </cell>
          <cell r="M444" t="str">
            <v>S-フレーム</v>
          </cell>
          <cell r="P444" t="str">
            <v>31B0</v>
          </cell>
          <cell r="Q444" t="str">
            <v>SS400</v>
          </cell>
          <cell r="R444" t="str">
            <v>E349496_01</v>
          </cell>
          <cell r="S444">
            <v>84</v>
          </cell>
          <cell r="T444" t="str">
            <v>標準</v>
          </cell>
        </row>
        <row r="445">
          <cell r="F445" t="str">
            <v>H0000008976</v>
          </cell>
          <cell r="I445" t="str">
            <v>フレーム</v>
          </cell>
          <cell r="J445" t="str">
            <v>S-Frame_UX-10_N_TTTT</v>
          </cell>
          <cell r="K445" t="str">
            <v>S-フレーム_UX-10_N_TTTT</v>
          </cell>
          <cell r="L445" t="str">
            <v>S-Frame</v>
          </cell>
          <cell r="M445" t="str">
            <v>S-フレーム</v>
          </cell>
          <cell r="P445" t="str">
            <v>31B0</v>
          </cell>
          <cell r="Q445" t="str">
            <v>SS400</v>
          </cell>
          <cell r="R445" t="str">
            <v>E349496_01</v>
          </cell>
          <cell r="S445">
            <v>84</v>
          </cell>
          <cell r="T445" t="str">
            <v>標準</v>
          </cell>
        </row>
        <row r="446">
          <cell r="F446" t="str">
            <v>H0000008977</v>
          </cell>
          <cell r="I446" t="str">
            <v>フレーム</v>
          </cell>
          <cell r="J446" t="str">
            <v>S-Frame_UX-10_N_KKKK</v>
          </cell>
          <cell r="K446" t="str">
            <v>S-フレーム_UX-10_N_KKKK</v>
          </cell>
          <cell r="L446" t="str">
            <v>S-Frame</v>
          </cell>
          <cell r="M446" t="str">
            <v>S-フレーム</v>
          </cell>
          <cell r="P446" t="str">
            <v>31B0</v>
          </cell>
          <cell r="Q446" t="str">
            <v>SS400</v>
          </cell>
          <cell r="R446" t="str">
            <v>E349496_01</v>
          </cell>
          <cell r="S446">
            <v>84</v>
          </cell>
          <cell r="T446" t="str">
            <v>標準</v>
          </cell>
        </row>
        <row r="447">
          <cell r="F447" t="str">
            <v>H0000008978</v>
          </cell>
          <cell r="I447" t="str">
            <v>フレーム</v>
          </cell>
          <cell r="J447" t="str">
            <v>S-Frame_UX-10_N_TKTK</v>
          </cell>
          <cell r="K447" t="str">
            <v>S-フレーム_UX-10_N_TKTK</v>
          </cell>
          <cell r="L447" t="str">
            <v>S-Frame</v>
          </cell>
          <cell r="M447" t="str">
            <v>S-フレーム</v>
          </cell>
          <cell r="P447" t="str">
            <v>31B0</v>
          </cell>
          <cell r="Q447" t="str">
            <v>SS400</v>
          </cell>
          <cell r="R447" t="str">
            <v>E349496_01</v>
          </cell>
          <cell r="S447">
            <v>84</v>
          </cell>
          <cell r="T447" t="str">
            <v>標準</v>
          </cell>
        </row>
        <row r="448">
          <cell r="F448" t="str">
            <v>H0000008979</v>
          </cell>
          <cell r="I448" t="str">
            <v>フレーム</v>
          </cell>
          <cell r="J448" t="str">
            <v>S-Frame_UX-10_N_KTKT</v>
          </cell>
          <cell r="K448" t="str">
            <v>S-フレーム_UX-10_N_KTKT</v>
          </cell>
          <cell r="L448" t="str">
            <v>S-Frame</v>
          </cell>
          <cell r="M448" t="str">
            <v>S-フレーム</v>
          </cell>
          <cell r="P448" t="str">
            <v>31B0</v>
          </cell>
          <cell r="Q448" t="str">
            <v>SS400</v>
          </cell>
          <cell r="R448" t="str">
            <v>E349496_01</v>
          </cell>
          <cell r="S448">
            <v>84</v>
          </cell>
          <cell r="T448" t="str">
            <v>標準</v>
          </cell>
        </row>
        <row r="449">
          <cell r="F449" t="str">
            <v>H0000009015</v>
          </cell>
          <cell r="I449" t="str">
            <v>フレーム</v>
          </cell>
          <cell r="J449" t="str">
            <v>S-Frame_UX-10_N_NNNN</v>
          </cell>
          <cell r="K449" t="str">
            <v>S-フレーム_UX-10_N_NNNN</v>
          </cell>
          <cell r="L449" t="str">
            <v>S-Frame</v>
          </cell>
          <cell r="M449" t="str">
            <v>S-フレーム</v>
          </cell>
          <cell r="P449" t="str">
            <v>31B0</v>
          </cell>
          <cell r="Q449" t="str">
            <v>SS400</v>
          </cell>
          <cell r="R449" t="str">
            <v>E349496_01</v>
          </cell>
          <cell r="S449">
            <v>84</v>
          </cell>
          <cell r="T449" t="str">
            <v>標準</v>
          </cell>
        </row>
        <row r="450">
          <cell r="F450" t="str">
            <v>H0000009016</v>
          </cell>
          <cell r="I450" t="str">
            <v>フレーム</v>
          </cell>
          <cell r="J450" t="str">
            <v>S-Frame_UX-10_N_TTTT</v>
          </cell>
          <cell r="K450" t="str">
            <v>S-フレーム_UX-10_N_TTTT</v>
          </cell>
          <cell r="L450" t="str">
            <v>S-Frame</v>
          </cell>
          <cell r="M450" t="str">
            <v>S-フレーム</v>
          </cell>
          <cell r="P450" t="str">
            <v>31B0</v>
          </cell>
          <cell r="Q450" t="str">
            <v>SS400</v>
          </cell>
          <cell r="R450" t="str">
            <v>E349496_01</v>
          </cell>
          <cell r="S450">
            <v>84</v>
          </cell>
          <cell r="T450" t="str">
            <v>標準</v>
          </cell>
        </row>
        <row r="451">
          <cell r="F451" t="str">
            <v>H0000009017</v>
          </cell>
          <cell r="I451" t="str">
            <v>フレーム</v>
          </cell>
          <cell r="J451" t="str">
            <v>S-Frame_UX-10_N_KKKK</v>
          </cell>
          <cell r="K451" t="str">
            <v>S-フレーム_UX-10_N_KKKK</v>
          </cell>
          <cell r="L451" t="str">
            <v>S-Frame</v>
          </cell>
          <cell r="M451" t="str">
            <v>S-フレーム</v>
          </cell>
          <cell r="P451" t="str">
            <v>31B0</v>
          </cell>
          <cell r="Q451" t="str">
            <v>SS400</v>
          </cell>
          <cell r="R451" t="str">
            <v>E349496_01</v>
          </cell>
          <cell r="S451">
            <v>84</v>
          </cell>
          <cell r="T451" t="str">
            <v>標準</v>
          </cell>
        </row>
        <row r="452">
          <cell r="F452" t="str">
            <v>H0000009018</v>
          </cell>
          <cell r="I452" t="str">
            <v>フレーム</v>
          </cell>
          <cell r="J452" t="str">
            <v>S-Frame_UX-10_N_TKTK</v>
          </cell>
          <cell r="K452" t="str">
            <v>S-フレーム_UX-10_N_TKTK</v>
          </cell>
          <cell r="L452" t="str">
            <v>S-Frame</v>
          </cell>
          <cell r="M452" t="str">
            <v>S-フレーム</v>
          </cell>
          <cell r="P452" t="str">
            <v>31B0</v>
          </cell>
          <cell r="Q452" t="str">
            <v>SS400</v>
          </cell>
          <cell r="R452" t="str">
            <v>E349496_01</v>
          </cell>
          <cell r="S452">
            <v>84</v>
          </cell>
          <cell r="T452" t="str">
            <v>標準</v>
          </cell>
        </row>
        <row r="453">
          <cell r="F453" t="str">
            <v>H0000009019</v>
          </cell>
          <cell r="I453" t="str">
            <v>フレーム</v>
          </cell>
          <cell r="J453" t="str">
            <v>S-Frame_UX-10_N_KTKT</v>
          </cell>
          <cell r="K453" t="str">
            <v>S-フレーム_UX-10_N_KTKT</v>
          </cell>
          <cell r="L453" t="str">
            <v>S-Frame</v>
          </cell>
          <cell r="M453" t="str">
            <v>S-フレーム</v>
          </cell>
          <cell r="P453" t="str">
            <v>31B0</v>
          </cell>
          <cell r="Q453" t="str">
            <v>SS400</v>
          </cell>
          <cell r="R453" t="str">
            <v>E349496_01</v>
          </cell>
          <cell r="S453">
            <v>84</v>
          </cell>
          <cell r="T453" t="str">
            <v>標準</v>
          </cell>
        </row>
        <row r="454">
          <cell r="F454" t="str">
            <v>H0000009020</v>
          </cell>
          <cell r="I454" t="str">
            <v>フレーム</v>
          </cell>
          <cell r="J454" t="str">
            <v>S-Frame_UX-10_N_NNNN</v>
          </cell>
          <cell r="K454" t="str">
            <v>S-フレーム_UX-10_N_NNNN</v>
          </cell>
          <cell r="L454" t="str">
            <v>S-Frame</v>
          </cell>
          <cell r="M454" t="str">
            <v>S-フレーム</v>
          </cell>
          <cell r="P454" t="str">
            <v>31B0</v>
          </cell>
          <cell r="Q454" t="str">
            <v>SS400</v>
          </cell>
          <cell r="R454" t="str">
            <v>E349496_01</v>
          </cell>
          <cell r="S454">
            <v>84</v>
          </cell>
          <cell r="T454" t="str">
            <v>標準</v>
          </cell>
        </row>
        <row r="455">
          <cell r="F455" t="str">
            <v>H0000009021</v>
          </cell>
          <cell r="I455" t="str">
            <v>フレーム</v>
          </cell>
          <cell r="J455" t="str">
            <v>S-Frame_UX-10_N_TTTT</v>
          </cell>
          <cell r="K455" t="str">
            <v>S-フレーム_UX-10_N_TTTT</v>
          </cell>
          <cell r="L455" t="str">
            <v>S-Frame</v>
          </cell>
          <cell r="M455" t="str">
            <v>S-フレーム</v>
          </cell>
          <cell r="P455" t="str">
            <v>31B0</v>
          </cell>
          <cell r="Q455" t="str">
            <v>SS400</v>
          </cell>
          <cell r="R455" t="str">
            <v>E349496_01</v>
          </cell>
          <cell r="S455">
            <v>84</v>
          </cell>
          <cell r="T455" t="str">
            <v>標準</v>
          </cell>
        </row>
        <row r="456">
          <cell r="F456" t="str">
            <v>H0000009022</v>
          </cell>
          <cell r="I456" t="str">
            <v>フレーム</v>
          </cell>
          <cell r="J456" t="str">
            <v>S-Frame_UX-10_N_KKKK</v>
          </cell>
          <cell r="K456" t="str">
            <v>S-フレーム_UX-10_N_KKKK</v>
          </cell>
          <cell r="L456" t="str">
            <v>S-Frame</v>
          </cell>
          <cell r="M456" t="str">
            <v>S-フレーム</v>
          </cell>
          <cell r="P456" t="str">
            <v>31B0</v>
          </cell>
          <cell r="Q456" t="str">
            <v>SS400</v>
          </cell>
          <cell r="R456" t="str">
            <v>E349496_01</v>
          </cell>
          <cell r="S456">
            <v>84</v>
          </cell>
          <cell r="T456" t="str">
            <v>標準</v>
          </cell>
        </row>
        <row r="457">
          <cell r="F457" t="str">
            <v>H0000009023</v>
          </cell>
          <cell r="I457" t="str">
            <v>フレーム</v>
          </cell>
          <cell r="J457" t="str">
            <v>S-Frame_UX-10_N_TKTK</v>
          </cell>
          <cell r="K457" t="str">
            <v>S-フレーム_UX-10_N_TKTK</v>
          </cell>
          <cell r="L457" t="str">
            <v>S-Frame</v>
          </cell>
          <cell r="M457" t="str">
            <v>S-フレーム</v>
          </cell>
          <cell r="P457" t="str">
            <v>31B0</v>
          </cell>
          <cell r="Q457" t="str">
            <v>SS400</v>
          </cell>
          <cell r="R457" t="str">
            <v>E349496_01</v>
          </cell>
          <cell r="S457">
            <v>84</v>
          </cell>
          <cell r="T457" t="str">
            <v>標準</v>
          </cell>
        </row>
        <row r="458">
          <cell r="F458" t="str">
            <v>H0000009024</v>
          </cell>
          <cell r="I458" t="str">
            <v>フレーム</v>
          </cell>
          <cell r="J458" t="str">
            <v>S-Frame_UX-10_N_KTKT</v>
          </cell>
          <cell r="K458" t="str">
            <v>S-フレーム_UX-10_N_KTKT</v>
          </cell>
          <cell r="L458" t="str">
            <v>S-Frame</v>
          </cell>
          <cell r="M458" t="str">
            <v>S-フレーム</v>
          </cell>
          <cell r="P458" t="str">
            <v>31B0</v>
          </cell>
          <cell r="Q458" t="str">
            <v>SS400</v>
          </cell>
          <cell r="R458" t="str">
            <v>E349496_01</v>
          </cell>
          <cell r="S458">
            <v>84</v>
          </cell>
          <cell r="T458" t="str">
            <v>標準</v>
          </cell>
        </row>
        <row r="459">
          <cell r="F459" t="str">
            <v>H0000009185</v>
          </cell>
          <cell r="I459" t="str">
            <v>フレーム</v>
          </cell>
          <cell r="J459" t="str">
            <v>S-Frame_UX-10_H_NNNN</v>
          </cell>
          <cell r="K459" t="str">
            <v>S-フレーム_UX-10_H_NNNN</v>
          </cell>
          <cell r="L459" t="str">
            <v>S-Frame</v>
          </cell>
          <cell r="M459" t="str">
            <v>S-フレーム</v>
          </cell>
          <cell r="P459" t="str">
            <v>31B0</v>
          </cell>
          <cell r="Q459" t="str">
            <v>SS400</v>
          </cell>
          <cell r="R459" t="str">
            <v>E349496_01</v>
          </cell>
          <cell r="S459">
            <v>107</v>
          </cell>
          <cell r="T459" t="str">
            <v>標準</v>
          </cell>
        </row>
        <row r="460">
          <cell r="F460" t="str">
            <v>H0000009186</v>
          </cell>
          <cell r="I460" t="str">
            <v>フレーム</v>
          </cell>
          <cell r="J460" t="str">
            <v>S-Frame_UX-10_H_TTTT</v>
          </cell>
          <cell r="K460" t="str">
            <v>S-フレーム_UX-10_H_TTTT</v>
          </cell>
          <cell r="L460" t="str">
            <v>S-Frame</v>
          </cell>
          <cell r="M460" t="str">
            <v>S-フレーム</v>
          </cell>
          <cell r="P460" t="str">
            <v>31B0</v>
          </cell>
          <cell r="Q460" t="str">
            <v>SS400</v>
          </cell>
          <cell r="R460" t="str">
            <v>E349496_01</v>
          </cell>
          <cell r="S460">
            <v>107</v>
          </cell>
          <cell r="T460" t="str">
            <v>標準</v>
          </cell>
        </row>
        <row r="461">
          <cell r="F461" t="str">
            <v>H0000009187</v>
          </cell>
          <cell r="I461" t="str">
            <v>フレーム</v>
          </cell>
          <cell r="J461" t="str">
            <v>S-Frame_UX-10_H_KKKK</v>
          </cell>
          <cell r="K461" t="str">
            <v>S-フレーム_UX-10_H_KKKK</v>
          </cell>
          <cell r="L461" t="str">
            <v>S-Frame</v>
          </cell>
          <cell r="M461" t="str">
            <v>S-フレーム</v>
          </cell>
          <cell r="P461" t="str">
            <v>31B0</v>
          </cell>
          <cell r="Q461" t="str">
            <v>SS400</v>
          </cell>
          <cell r="R461" t="str">
            <v>E349496_01</v>
          </cell>
          <cell r="S461">
            <v>107</v>
          </cell>
          <cell r="T461" t="str">
            <v>標準</v>
          </cell>
        </row>
        <row r="462">
          <cell r="F462" t="str">
            <v>H0000009188</v>
          </cell>
          <cell r="I462" t="str">
            <v>フレーム</v>
          </cell>
          <cell r="J462" t="str">
            <v>S-Frame_UX-10_H_TKTK</v>
          </cell>
          <cell r="K462" t="str">
            <v>S-フレーム_UX-10_H_TKTK</v>
          </cell>
          <cell r="L462" t="str">
            <v>S-Frame</v>
          </cell>
          <cell r="M462" t="str">
            <v>S-フレーム</v>
          </cell>
          <cell r="P462" t="str">
            <v>31B0</v>
          </cell>
          <cell r="Q462" t="str">
            <v>SS400</v>
          </cell>
          <cell r="R462" t="str">
            <v>E349496_01</v>
          </cell>
          <cell r="S462">
            <v>107</v>
          </cell>
          <cell r="T462" t="str">
            <v>標準</v>
          </cell>
        </row>
        <row r="463">
          <cell r="F463" t="str">
            <v>H0000009189</v>
          </cell>
          <cell r="I463" t="str">
            <v>フレーム</v>
          </cell>
          <cell r="J463" t="str">
            <v>S-Frame_UX-10_H_KTKT</v>
          </cell>
          <cell r="K463" t="str">
            <v>S-フレーム_UX-10_H_KTKT</v>
          </cell>
          <cell r="L463" t="str">
            <v>S-Frame</v>
          </cell>
          <cell r="M463" t="str">
            <v>S-フレーム</v>
          </cell>
          <cell r="P463" t="str">
            <v>31B0</v>
          </cell>
          <cell r="Q463" t="str">
            <v>SS400</v>
          </cell>
          <cell r="R463" t="str">
            <v>E349496_01</v>
          </cell>
          <cell r="S463">
            <v>107</v>
          </cell>
          <cell r="T463" t="str">
            <v>標準</v>
          </cell>
        </row>
        <row r="464">
          <cell r="F464" t="str">
            <v>H0000009190</v>
          </cell>
          <cell r="I464" t="str">
            <v>フレーム</v>
          </cell>
          <cell r="J464" t="str">
            <v>S-Frame_UX-10_H_NNNN</v>
          </cell>
          <cell r="K464" t="str">
            <v>S-フレーム_UX-10_H_NNNN</v>
          </cell>
          <cell r="L464" t="str">
            <v>S-Frame</v>
          </cell>
          <cell r="M464" t="str">
            <v>S-フレーム</v>
          </cell>
          <cell r="P464" t="str">
            <v>31B0</v>
          </cell>
          <cell r="Q464" t="str">
            <v>SS400</v>
          </cell>
          <cell r="R464" t="str">
            <v>E349496_01</v>
          </cell>
          <cell r="S464">
            <v>107</v>
          </cell>
          <cell r="T464" t="str">
            <v>標準</v>
          </cell>
        </row>
        <row r="465">
          <cell r="F465" t="str">
            <v>H0000009191</v>
          </cell>
          <cell r="I465" t="str">
            <v>フレーム</v>
          </cell>
          <cell r="J465" t="str">
            <v>S-Frame_UX-10_H_TTTT</v>
          </cell>
          <cell r="K465" t="str">
            <v>S-フレーム_UX-10_H_TTTT</v>
          </cell>
          <cell r="L465" t="str">
            <v>S-Frame</v>
          </cell>
          <cell r="M465" t="str">
            <v>S-フレーム</v>
          </cell>
          <cell r="P465" t="str">
            <v>31B0</v>
          </cell>
          <cell r="Q465" t="str">
            <v>SS400</v>
          </cell>
          <cell r="R465" t="str">
            <v>E349496_01</v>
          </cell>
          <cell r="S465">
            <v>107</v>
          </cell>
          <cell r="T465" t="str">
            <v>標準</v>
          </cell>
        </row>
        <row r="466">
          <cell r="F466" t="str">
            <v>H0000009192</v>
          </cell>
          <cell r="I466" t="str">
            <v>フレーム</v>
          </cell>
          <cell r="J466" t="str">
            <v>S-Frame_UX-10_H_KKKK</v>
          </cell>
          <cell r="K466" t="str">
            <v>S-フレーム_UX-10_H_KKKK</v>
          </cell>
          <cell r="L466" t="str">
            <v>S-Frame</v>
          </cell>
          <cell r="M466" t="str">
            <v>S-フレーム</v>
          </cell>
          <cell r="P466" t="str">
            <v>31B0</v>
          </cell>
          <cell r="Q466" t="str">
            <v>SS400</v>
          </cell>
          <cell r="R466" t="str">
            <v>E349496_01</v>
          </cell>
          <cell r="S466">
            <v>107</v>
          </cell>
          <cell r="T466" t="str">
            <v>標準</v>
          </cell>
        </row>
        <row r="467">
          <cell r="F467" t="str">
            <v>H0000009193</v>
          </cell>
          <cell r="I467" t="str">
            <v>フレーム</v>
          </cell>
          <cell r="J467" t="str">
            <v>S-Frame_UX-10_H_TKTK</v>
          </cell>
          <cell r="K467" t="str">
            <v>S-フレーム_UX-10_H_TKTK</v>
          </cell>
          <cell r="L467" t="str">
            <v>S-Frame</v>
          </cell>
          <cell r="M467" t="str">
            <v>S-フレーム</v>
          </cell>
          <cell r="P467" t="str">
            <v>31B0</v>
          </cell>
          <cell r="Q467" t="str">
            <v>SS400</v>
          </cell>
          <cell r="R467" t="str">
            <v>E349496_01</v>
          </cell>
          <cell r="S467">
            <v>107</v>
          </cell>
          <cell r="T467" t="str">
            <v>標準</v>
          </cell>
        </row>
        <row r="468">
          <cell r="F468" t="str">
            <v>H0000009194</v>
          </cell>
          <cell r="I468" t="str">
            <v>フレーム</v>
          </cell>
          <cell r="J468" t="str">
            <v>S-Frame_UX-10_H_KTKT</v>
          </cell>
          <cell r="K468" t="str">
            <v>S-フレーム_UX-10_H_KTKT</v>
          </cell>
          <cell r="L468" t="str">
            <v>S-Frame</v>
          </cell>
          <cell r="M468" t="str">
            <v>S-フレーム</v>
          </cell>
          <cell r="P468" t="str">
            <v>31B0</v>
          </cell>
          <cell r="Q468" t="str">
            <v>SS400</v>
          </cell>
          <cell r="R468" t="str">
            <v>E349496_01</v>
          </cell>
          <cell r="S468">
            <v>107</v>
          </cell>
          <cell r="T468" t="str">
            <v>標準</v>
          </cell>
        </row>
        <row r="469">
          <cell r="F469" t="str">
            <v>H0000009200</v>
          </cell>
          <cell r="I469" t="str">
            <v>フレーム</v>
          </cell>
          <cell r="J469" t="str">
            <v>S-Frame_UX-10_H_NNNN</v>
          </cell>
          <cell r="K469" t="str">
            <v>S-フレーム_UX-10_H_NNNN</v>
          </cell>
          <cell r="L469" t="str">
            <v>S-Frame</v>
          </cell>
          <cell r="M469" t="str">
            <v>S-フレーム</v>
          </cell>
          <cell r="P469" t="str">
            <v>31B0</v>
          </cell>
          <cell r="Q469" t="str">
            <v>SS400</v>
          </cell>
          <cell r="R469" t="str">
            <v>E349496_01</v>
          </cell>
          <cell r="S469">
            <v>107</v>
          </cell>
          <cell r="T469" t="str">
            <v>標準</v>
          </cell>
        </row>
        <row r="470">
          <cell r="F470" t="str">
            <v>H0000009201</v>
          </cell>
          <cell r="I470" t="str">
            <v>フレーム</v>
          </cell>
          <cell r="J470" t="str">
            <v>S-Frame_UX-10_H_TTTT</v>
          </cell>
          <cell r="K470" t="str">
            <v>S-フレーム_UX-10_H_TTTT</v>
          </cell>
          <cell r="L470" t="str">
            <v>S-Frame</v>
          </cell>
          <cell r="M470" t="str">
            <v>S-フレーム</v>
          </cell>
          <cell r="P470" t="str">
            <v>31B0</v>
          </cell>
          <cell r="Q470" t="str">
            <v>SS400</v>
          </cell>
          <cell r="R470" t="str">
            <v>E349496_01</v>
          </cell>
          <cell r="S470">
            <v>107</v>
          </cell>
          <cell r="T470" t="str">
            <v>標準</v>
          </cell>
        </row>
        <row r="471">
          <cell r="F471" t="str">
            <v>H0000009202</v>
          </cell>
          <cell r="I471" t="str">
            <v>フレーム</v>
          </cell>
          <cell r="J471" t="str">
            <v>S-Frame_UX-10_H_KKKK</v>
          </cell>
          <cell r="K471" t="str">
            <v>S-フレーム_UX-10_H_KKKK</v>
          </cell>
          <cell r="L471" t="str">
            <v>S-Frame</v>
          </cell>
          <cell r="M471" t="str">
            <v>S-フレーム</v>
          </cell>
          <cell r="P471" t="str">
            <v>31B0</v>
          </cell>
          <cell r="Q471" t="str">
            <v>SS400</v>
          </cell>
          <cell r="R471" t="str">
            <v>E349496_01</v>
          </cell>
          <cell r="S471">
            <v>107</v>
          </cell>
          <cell r="T471" t="str">
            <v>標準</v>
          </cell>
        </row>
        <row r="472">
          <cell r="F472" t="str">
            <v>H0000009203</v>
          </cell>
          <cell r="I472" t="str">
            <v>フレーム</v>
          </cell>
          <cell r="J472" t="str">
            <v>S-Frame_UX-10_H_TKTK</v>
          </cell>
          <cell r="K472" t="str">
            <v>S-フレーム_UX-10_H_TKTK</v>
          </cell>
          <cell r="L472" t="str">
            <v>S-Frame</v>
          </cell>
          <cell r="M472" t="str">
            <v>S-フレーム</v>
          </cell>
          <cell r="P472" t="str">
            <v>31B0</v>
          </cell>
          <cell r="Q472" t="str">
            <v>SS400</v>
          </cell>
          <cell r="R472" t="str">
            <v>E349496_01</v>
          </cell>
          <cell r="S472">
            <v>107</v>
          </cell>
          <cell r="T472" t="str">
            <v>標準</v>
          </cell>
        </row>
        <row r="473">
          <cell r="F473" t="str">
            <v>H0000009204</v>
          </cell>
          <cell r="I473" t="str">
            <v>フレーム</v>
          </cell>
          <cell r="J473" t="str">
            <v>S-Frame_UX-10_H_KTKT</v>
          </cell>
          <cell r="K473" t="str">
            <v>S-フレーム_UX-10_H_KTKT</v>
          </cell>
          <cell r="L473" t="str">
            <v>S-Frame</v>
          </cell>
          <cell r="M473" t="str">
            <v>S-フレーム</v>
          </cell>
          <cell r="P473" t="str">
            <v>31B0</v>
          </cell>
          <cell r="Q473" t="str">
            <v>SS400</v>
          </cell>
          <cell r="R473" t="str">
            <v>E349496_01</v>
          </cell>
          <cell r="S473">
            <v>107</v>
          </cell>
          <cell r="T473" t="str">
            <v>標準</v>
          </cell>
        </row>
        <row r="474">
          <cell r="F474" t="str">
            <v>H0000009240</v>
          </cell>
          <cell r="I474" t="str">
            <v>フレーム</v>
          </cell>
          <cell r="J474" t="str">
            <v>S-Frame_UX-10_H_NNNN</v>
          </cell>
          <cell r="K474" t="str">
            <v>S-フレーム_UX-10_H_NNNN</v>
          </cell>
          <cell r="L474" t="str">
            <v>S-Frame</v>
          </cell>
          <cell r="M474" t="str">
            <v>S-フレーム</v>
          </cell>
          <cell r="P474" t="str">
            <v>31B0</v>
          </cell>
          <cell r="Q474" t="str">
            <v>SS400</v>
          </cell>
          <cell r="R474" t="str">
            <v>E349496_01</v>
          </cell>
          <cell r="S474">
            <v>107</v>
          </cell>
          <cell r="T474" t="str">
            <v>標準</v>
          </cell>
        </row>
        <row r="475">
          <cell r="F475" t="str">
            <v>H0000009241</v>
          </cell>
          <cell r="I475" t="str">
            <v>フレーム</v>
          </cell>
          <cell r="J475" t="str">
            <v>S-Frame_UX-10_H_TTTT</v>
          </cell>
          <cell r="K475" t="str">
            <v>S-フレーム_UX-10_H_TTTT</v>
          </cell>
          <cell r="L475" t="str">
            <v>S-Frame</v>
          </cell>
          <cell r="M475" t="str">
            <v>S-フレーム</v>
          </cell>
          <cell r="P475" t="str">
            <v>31B0</v>
          </cell>
          <cell r="Q475" t="str">
            <v>SS400</v>
          </cell>
          <cell r="R475" t="str">
            <v>E349496_01</v>
          </cell>
          <cell r="S475">
            <v>107</v>
          </cell>
          <cell r="T475" t="str">
            <v>標準</v>
          </cell>
        </row>
        <row r="476">
          <cell r="F476" t="str">
            <v>H0000009242</v>
          </cell>
          <cell r="I476" t="str">
            <v>フレーム</v>
          </cell>
          <cell r="J476" t="str">
            <v>S-Frame_UX-10_H_KKKK</v>
          </cell>
          <cell r="K476" t="str">
            <v>S-フレーム_UX-10_H_KKKK</v>
          </cell>
          <cell r="L476" t="str">
            <v>S-Frame</v>
          </cell>
          <cell r="M476" t="str">
            <v>S-フレーム</v>
          </cell>
          <cell r="P476" t="str">
            <v>31B0</v>
          </cell>
          <cell r="Q476" t="str">
            <v>SS400</v>
          </cell>
          <cell r="R476" t="str">
            <v>E349496_01</v>
          </cell>
          <cell r="S476">
            <v>107</v>
          </cell>
          <cell r="T476" t="str">
            <v>標準</v>
          </cell>
        </row>
        <row r="477">
          <cell r="F477" t="str">
            <v>H0000009243</v>
          </cell>
          <cell r="I477" t="str">
            <v>フレーム</v>
          </cell>
          <cell r="J477" t="str">
            <v>S-Frame_UX-10_H_TKTK</v>
          </cell>
          <cell r="K477" t="str">
            <v>S-フレーム_UX-10_H_TKTK</v>
          </cell>
          <cell r="L477" t="str">
            <v>S-Frame</v>
          </cell>
          <cell r="M477" t="str">
            <v>S-フレーム</v>
          </cell>
          <cell r="P477" t="str">
            <v>31B0</v>
          </cell>
          <cell r="Q477" t="str">
            <v>SS400</v>
          </cell>
          <cell r="R477" t="str">
            <v>E349496_01</v>
          </cell>
          <cell r="S477">
            <v>107</v>
          </cell>
          <cell r="T477" t="str">
            <v>標準</v>
          </cell>
        </row>
        <row r="478">
          <cell r="F478" t="str">
            <v>H0000009244</v>
          </cell>
          <cell r="I478" t="str">
            <v>フレーム</v>
          </cell>
          <cell r="J478" t="str">
            <v>S-Frame_UX-10_H_KTKT</v>
          </cell>
          <cell r="K478" t="str">
            <v>S-フレーム_UX-10_H_KTKT</v>
          </cell>
          <cell r="L478" t="str">
            <v>S-Frame</v>
          </cell>
          <cell r="M478" t="str">
            <v>S-フレーム</v>
          </cell>
          <cell r="P478" t="str">
            <v>31B0</v>
          </cell>
          <cell r="Q478" t="str">
            <v>SS400</v>
          </cell>
          <cell r="R478" t="str">
            <v>E349496_01</v>
          </cell>
          <cell r="S478">
            <v>107</v>
          </cell>
          <cell r="T478" t="str">
            <v>標準</v>
          </cell>
        </row>
        <row r="479">
          <cell r="F479" t="str">
            <v>H0000009245</v>
          </cell>
          <cell r="I479" t="str">
            <v>フレーム</v>
          </cell>
          <cell r="J479" t="str">
            <v>S-Frame_UX-10_H_NNNN</v>
          </cell>
          <cell r="K479" t="str">
            <v>S-フレーム_UX-10_H_NNNN</v>
          </cell>
          <cell r="L479" t="str">
            <v>S-Frame</v>
          </cell>
          <cell r="M479" t="str">
            <v>S-フレーム</v>
          </cell>
          <cell r="P479" t="str">
            <v>31B0</v>
          </cell>
          <cell r="Q479" t="str">
            <v>SS400</v>
          </cell>
          <cell r="R479" t="str">
            <v>E349496_01</v>
          </cell>
          <cell r="S479">
            <v>107</v>
          </cell>
          <cell r="T479" t="str">
            <v>標準</v>
          </cell>
        </row>
        <row r="480">
          <cell r="F480" t="str">
            <v>H0000009246</v>
          </cell>
          <cell r="I480" t="str">
            <v>フレーム</v>
          </cell>
          <cell r="J480" t="str">
            <v>S-Frame_UX-10_H_TTTT</v>
          </cell>
          <cell r="K480" t="str">
            <v>S-フレーム_UX-10_H_TTTT</v>
          </cell>
          <cell r="L480" t="str">
            <v>S-Frame</v>
          </cell>
          <cell r="M480" t="str">
            <v>S-フレーム</v>
          </cell>
          <cell r="P480" t="str">
            <v>31B0</v>
          </cell>
          <cell r="Q480" t="str">
            <v>SS400</v>
          </cell>
          <cell r="R480" t="str">
            <v>E349496_01</v>
          </cell>
          <cell r="S480">
            <v>107</v>
          </cell>
          <cell r="T480" t="str">
            <v>標準</v>
          </cell>
        </row>
        <row r="481">
          <cell r="F481" t="str">
            <v>H0000009247</v>
          </cell>
          <cell r="I481" t="str">
            <v>フレーム</v>
          </cell>
          <cell r="J481" t="str">
            <v>S-Frame_UX-10_H_KKKK</v>
          </cell>
          <cell r="K481" t="str">
            <v>S-フレーム_UX-10_H_KKKK</v>
          </cell>
          <cell r="L481" t="str">
            <v>S-Frame</v>
          </cell>
          <cell r="M481" t="str">
            <v>S-フレーム</v>
          </cell>
          <cell r="P481" t="str">
            <v>31B0</v>
          </cell>
          <cell r="Q481" t="str">
            <v>SS400</v>
          </cell>
          <cell r="R481" t="str">
            <v>E349496_01</v>
          </cell>
          <cell r="S481">
            <v>107</v>
          </cell>
          <cell r="T481" t="str">
            <v>標準</v>
          </cell>
        </row>
        <row r="482">
          <cell r="F482" t="str">
            <v>H0000009248</v>
          </cell>
          <cell r="I482" t="str">
            <v>フレーム</v>
          </cell>
          <cell r="J482" t="str">
            <v>S-Frame_UX-10_H_TKTK</v>
          </cell>
          <cell r="K482" t="str">
            <v>S-フレーム_UX-10_H_TKTK</v>
          </cell>
          <cell r="L482" t="str">
            <v>S-Frame</v>
          </cell>
          <cell r="M482" t="str">
            <v>S-フレーム</v>
          </cell>
          <cell r="P482" t="str">
            <v>31B0</v>
          </cell>
          <cell r="Q482" t="str">
            <v>SS400</v>
          </cell>
          <cell r="R482" t="str">
            <v>E349496_01</v>
          </cell>
          <cell r="S482">
            <v>107</v>
          </cell>
          <cell r="T482" t="str">
            <v>標準</v>
          </cell>
        </row>
        <row r="483">
          <cell r="F483" t="str">
            <v>H0000009249</v>
          </cell>
          <cell r="I483" t="str">
            <v>フレーム</v>
          </cell>
          <cell r="J483" t="str">
            <v>S-Frame_UX-10_H_KTKT</v>
          </cell>
          <cell r="K483" t="str">
            <v>S-フレーム_UX-10_H_KTKT</v>
          </cell>
          <cell r="L483" t="str">
            <v>S-Frame</v>
          </cell>
          <cell r="M483" t="str">
            <v>S-フレーム</v>
          </cell>
          <cell r="P483" t="str">
            <v>31B0</v>
          </cell>
          <cell r="Q483" t="str">
            <v>SS400</v>
          </cell>
          <cell r="R483" t="str">
            <v>E349496_01</v>
          </cell>
          <cell r="S483">
            <v>107</v>
          </cell>
          <cell r="T483" t="str">
            <v>標準</v>
          </cell>
        </row>
        <row r="484">
          <cell r="F484" t="str">
            <v>H0000009260</v>
          </cell>
          <cell r="I484" t="str">
            <v>フレーム</v>
          </cell>
          <cell r="J484" t="str">
            <v>S-Frame_UX-10_H_NNNN</v>
          </cell>
          <cell r="K484" t="str">
            <v>S-フレーム_UX-10_H_NNNN</v>
          </cell>
          <cell r="L484" t="str">
            <v>S-Frame</v>
          </cell>
          <cell r="M484" t="str">
            <v>S-フレーム</v>
          </cell>
          <cell r="P484" t="str">
            <v>31B0</v>
          </cell>
          <cell r="Q484" t="str">
            <v>SS400</v>
          </cell>
          <cell r="R484" t="str">
            <v>E349496_01</v>
          </cell>
          <cell r="S484">
            <v>107</v>
          </cell>
          <cell r="T484" t="str">
            <v>標準</v>
          </cell>
        </row>
        <row r="485">
          <cell r="F485" t="str">
            <v>H0000009261</v>
          </cell>
          <cell r="I485" t="str">
            <v>フレーム</v>
          </cell>
          <cell r="J485" t="str">
            <v>S-Frame_UX-10_H_TTTT</v>
          </cell>
          <cell r="K485" t="str">
            <v>S-フレーム_UX-10_H_TTTT</v>
          </cell>
          <cell r="L485" t="str">
            <v>S-Frame</v>
          </cell>
          <cell r="M485" t="str">
            <v>S-フレーム</v>
          </cell>
          <cell r="P485" t="str">
            <v>31B0</v>
          </cell>
          <cell r="Q485" t="str">
            <v>SS400</v>
          </cell>
          <cell r="R485" t="str">
            <v>E349496_01</v>
          </cell>
          <cell r="S485">
            <v>107</v>
          </cell>
          <cell r="T485" t="str">
            <v>標準</v>
          </cell>
        </row>
        <row r="486">
          <cell r="F486" t="str">
            <v>H0000009262</v>
          </cell>
          <cell r="I486" t="str">
            <v>フレーム</v>
          </cell>
          <cell r="J486" t="str">
            <v>S-Frame_UX-10_H_KKKK</v>
          </cell>
          <cell r="K486" t="str">
            <v>S-フレーム_UX-10_H_KKKK</v>
          </cell>
          <cell r="L486" t="str">
            <v>S-Frame</v>
          </cell>
          <cell r="M486" t="str">
            <v>S-フレーム</v>
          </cell>
          <cell r="P486" t="str">
            <v>31B0</v>
          </cell>
          <cell r="Q486" t="str">
            <v>SS400</v>
          </cell>
          <cell r="R486" t="str">
            <v>E349496_01</v>
          </cell>
          <cell r="S486">
            <v>107</v>
          </cell>
          <cell r="T486" t="str">
            <v>標準</v>
          </cell>
        </row>
        <row r="487">
          <cell r="F487" t="str">
            <v>H0000009263</v>
          </cell>
          <cell r="I487" t="str">
            <v>フレーム</v>
          </cell>
          <cell r="J487" t="str">
            <v>S-Frame_UX-10_H_TKTK</v>
          </cell>
          <cell r="K487" t="str">
            <v>S-フレーム_UX-10_H_TKTK</v>
          </cell>
          <cell r="L487" t="str">
            <v>S-Frame</v>
          </cell>
          <cell r="M487" t="str">
            <v>S-フレーム</v>
          </cell>
          <cell r="P487" t="str">
            <v>31B0</v>
          </cell>
          <cell r="Q487" t="str">
            <v>SS400</v>
          </cell>
          <cell r="R487" t="str">
            <v>E349496_01</v>
          </cell>
          <cell r="S487">
            <v>107</v>
          </cell>
          <cell r="T487" t="str">
            <v>標準</v>
          </cell>
        </row>
        <row r="488">
          <cell r="F488" t="str">
            <v>H0000009264</v>
          </cell>
          <cell r="I488" t="str">
            <v>フレーム</v>
          </cell>
          <cell r="J488" t="str">
            <v>S-Frame_UX-10_H_KTKT</v>
          </cell>
          <cell r="K488" t="str">
            <v>S-フレーム_UX-10_H_KTKT</v>
          </cell>
          <cell r="L488" t="str">
            <v>S-Frame</v>
          </cell>
          <cell r="M488" t="str">
            <v>S-フレーム</v>
          </cell>
          <cell r="P488" t="str">
            <v>31B0</v>
          </cell>
          <cell r="Q488" t="str">
            <v>SS400</v>
          </cell>
          <cell r="R488" t="str">
            <v>E349496_01</v>
          </cell>
          <cell r="S488">
            <v>107</v>
          </cell>
          <cell r="T488" t="str">
            <v>標準</v>
          </cell>
        </row>
        <row r="489">
          <cell r="F489" t="str">
            <v>H0000009265</v>
          </cell>
          <cell r="I489" t="str">
            <v>フレーム</v>
          </cell>
          <cell r="J489" t="str">
            <v>S-Frame_UX-10_H_NNNN</v>
          </cell>
          <cell r="K489" t="str">
            <v>S-フレーム_UX-10_H_NNNN</v>
          </cell>
          <cell r="L489" t="str">
            <v>S-Frame</v>
          </cell>
          <cell r="M489" t="str">
            <v>S-フレーム</v>
          </cell>
          <cell r="P489" t="str">
            <v>31B0</v>
          </cell>
          <cell r="Q489" t="str">
            <v>SS400</v>
          </cell>
          <cell r="R489" t="str">
            <v>E349496_01</v>
          </cell>
          <cell r="S489">
            <v>107</v>
          </cell>
          <cell r="T489" t="str">
            <v>標準</v>
          </cell>
        </row>
        <row r="490">
          <cell r="F490" t="str">
            <v>H0000009266</v>
          </cell>
          <cell r="I490" t="str">
            <v>フレーム</v>
          </cell>
          <cell r="J490" t="str">
            <v>S-Frame_UX-10_H_TTTT</v>
          </cell>
          <cell r="K490" t="str">
            <v>S-フレーム_UX-10_H_TTTT</v>
          </cell>
          <cell r="L490" t="str">
            <v>S-Frame</v>
          </cell>
          <cell r="M490" t="str">
            <v>S-フレーム</v>
          </cell>
          <cell r="P490" t="str">
            <v>31B0</v>
          </cell>
          <cell r="Q490" t="str">
            <v>SS400</v>
          </cell>
          <cell r="R490" t="str">
            <v>E349496_01</v>
          </cell>
          <cell r="S490">
            <v>107</v>
          </cell>
          <cell r="T490" t="str">
            <v>標準</v>
          </cell>
        </row>
        <row r="491">
          <cell r="F491" t="str">
            <v>H0000009267</v>
          </cell>
          <cell r="I491" t="str">
            <v>フレーム</v>
          </cell>
          <cell r="J491" t="str">
            <v>S-Frame_UX-10_H_KKKK</v>
          </cell>
          <cell r="K491" t="str">
            <v>S-フレーム_UX-10_H_KKKK</v>
          </cell>
          <cell r="L491" t="str">
            <v>S-Frame</v>
          </cell>
          <cell r="M491" t="str">
            <v>S-フレーム</v>
          </cell>
          <cell r="P491" t="str">
            <v>31B0</v>
          </cell>
          <cell r="Q491" t="str">
            <v>SS400</v>
          </cell>
          <cell r="R491" t="str">
            <v>E349496_01</v>
          </cell>
          <cell r="S491">
            <v>107</v>
          </cell>
          <cell r="T491" t="str">
            <v>標準</v>
          </cell>
        </row>
        <row r="492">
          <cell r="F492" t="str">
            <v>H0000009268</v>
          </cell>
          <cell r="I492" t="str">
            <v>フレーム</v>
          </cell>
          <cell r="J492" t="str">
            <v>S-Frame_UX-10_H_TKTK</v>
          </cell>
          <cell r="K492" t="str">
            <v>S-フレーム_UX-10_H_TKTK</v>
          </cell>
          <cell r="L492" t="str">
            <v>S-Frame</v>
          </cell>
          <cell r="M492" t="str">
            <v>S-フレーム</v>
          </cell>
          <cell r="P492" t="str">
            <v>31B0</v>
          </cell>
          <cell r="Q492" t="str">
            <v>SS400</v>
          </cell>
          <cell r="R492" t="str">
            <v>E349496_01</v>
          </cell>
          <cell r="S492">
            <v>107</v>
          </cell>
          <cell r="T492" t="str">
            <v>標準</v>
          </cell>
        </row>
        <row r="493">
          <cell r="F493" t="str">
            <v>H0000009269</v>
          </cell>
          <cell r="I493" t="str">
            <v>フレーム</v>
          </cell>
          <cell r="J493" t="str">
            <v>S-Frame_UX-10_H_KTKT</v>
          </cell>
          <cell r="K493" t="str">
            <v>S-フレーム_UX-10_H_KTKT</v>
          </cell>
          <cell r="L493" t="str">
            <v>S-Frame</v>
          </cell>
          <cell r="M493" t="str">
            <v>S-フレーム</v>
          </cell>
          <cell r="P493" t="str">
            <v>31B0</v>
          </cell>
          <cell r="Q493" t="str">
            <v>SS400</v>
          </cell>
          <cell r="R493" t="str">
            <v>E349496_01</v>
          </cell>
          <cell r="S493">
            <v>107</v>
          </cell>
          <cell r="T493" t="str">
            <v>標準</v>
          </cell>
        </row>
        <row r="494">
          <cell r="F494" t="str">
            <v>H0000009275</v>
          </cell>
          <cell r="I494" t="str">
            <v>フレーム</v>
          </cell>
          <cell r="J494" t="str">
            <v>S-Frame_UX-10_H_NNNN</v>
          </cell>
          <cell r="K494" t="str">
            <v>S-フレーム_UX-10_H_NNNN</v>
          </cell>
          <cell r="L494" t="str">
            <v>S-Frame</v>
          </cell>
          <cell r="M494" t="str">
            <v>S-フレーム</v>
          </cell>
          <cell r="P494" t="str">
            <v>31B0</v>
          </cell>
          <cell r="Q494" t="str">
            <v>SS400</v>
          </cell>
          <cell r="R494" t="str">
            <v>E349496_01</v>
          </cell>
          <cell r="S494">
            <v>107</v>
          </cell>
          <cell r="T494" t="str">
            <v>標準</v>
          </cell>
        </row>
        <row r="495">
          <cell r="F495" t="str">
            <v>H0000009276</v>
          </cell>
          <cell r="I495" t="str">
            <v>フレーム</v>
          </cell>
          <cell r="J495" t="str">
            <v>S-Frame_UX-10_H_TTTT</v>
          </cell>
          <cell r="K495" t="str">
            <v>S-フレーム_UX-10_H_TTTT</v>
          </cell>
          <cell r="L495" t="str">
            <v>S-Frame</v>
          </cell>
          <cell r="M495" t="str">
            <v>S-フレーム</v>
          </cell>
          <cell r="P495" t="str">
            <v>31B0</v>
          </cell>
          <cell r="Q495" t="str">
            <v>SS400</v>
          </cell>
          <cell r="R495" t="str">
            <v>E349496_01</v>
          </cell>
          <cell r="S495">
            <v>107</v>
          </cell>
          <cell r="T495" t="str">
            <v>標準</v>
          </cell>
        </row>
        <row r="496">
          <cell r="F496" t="str">
            <v>H0000009277</v>
          </cell>
          <cell r="I496" t="str">
            <v>フレーム</v>
          </cell>
          <cell r="J496" t="str">
            <v>S-Frame_UX-10_H_KKKK</v>
          </cell>
          <cell r="K496" t="str">
            <v>S-フレーム_UX-10_H_KKKK</v>
          </cell>
          <cell r="L496" t="str">
            <v>S-Frame</v>
          </cell>
          <cell r="M496" t="str">
            <v>S-フレーム</v>
          </cell>
          <cell r="P496" t="str">
            <v>31B0</v>
          </cell>
          <cell r="Q496" t="str">
            <v>SS400</v>
          </cell>
          <cell r="R496" t="str">
            <v>E349496_01</v>
          </cell>
          <cell r="S496">
            <v>107</v>
          </cell>
          <cell r="T496" t="str">
            <v>標準</v>
          </cell>
        </row>
        <row r="497">
          <cell r="F497" t="str">
            <v>H0000009278</v>
          </cell>
          <cell r="I497" t="str">
            <v>フレーム</v>
          </cell>
          <cell r="J497" t="str">
            <v>S-Frame_UX-10_H_TKTK</v>
          </cell>
          <cell r="K497" t="str">
            <v>S-フレーム_UX-10_H_TKTK</v>
          </cell>
          <cell r="L497" t="str">
            <v>S-Frame</v>
          </cell>
          <cell r="M497" t="str">
            <v>S-フレーム</v>
          </cell>
          <cell r="P497" t="str">
            <v>31B0</v>
          </cell>
          <cell r="Q497" t="str">
            <v>SS400</v>
          </cell>
          <cell r="R497" t="str">
            <v>E349496_01</v>
          </cell>
          <cell r="S497">
            <v>107</v>
          </cell>
          <cell r="T497" t="str">
            <v>標準</v>
          </cell>
        </row>
        <row r="498">
          <cell r="F498" t="str">
            <v>H0000009279</v>
          </cell>
          <cell r="I498" t="str">
            <v>フレーム</v>
          </cell>
          <cell r="J498" t="str">
            <v>S-Frame_UX-10_H_KTKT</v>
          </cell>
          <cell r="K498" t="str">
            <v>S-フレーム_UX-10_H_KTKT</v>
          </cell>
          <cell r="L498" t="str">
            <v>S-Frame</v>
          </cell>
          <cell r="M498" t="str">
            <v>S-フレーム</v>
          </cell>
          <cell r="P498" t="str">
            <v>31B0</v>
          </cell>
          <cell r="Q498" t="str">
            <v>SS400</v>
          </cell>
          <cell r="R498" t="str">
            <v>E349496_01</v>
          </cell>
          <cell r="S498">
            <v>107</v>
          </cell>
          <cell r="T498" t="str">
            <v>標準</v>
          </cell>
        </row>
        <row r="499">
          <cell r="F499" t="str">
            <v>H0000009315</v>
          </cell>
          <cell r="I499" t="str">
            <v>フレーム</v>
          </cell>
          <cell r="J499" t="str">
            <v>S-Frame_UX-10_H_NNNN</v>
          </cell>
          <cell r="K499" t="str">
            <v>S-フレーム_UX-10_H_NNNN</v>
          </cell>
          <cell r="L499" t="str">
            <v>S-Frame</v>
          </cell>
          <cell r="M499" t="str">
            <v>S-フレーム</v>
          </cell>
          <cell r="P499" t="str">
            <v>31B0</v>
          </cell>
          <cell r="Q499" t="str">
            <v>SS400</v>
          </cell>
          <cell r="R499" t="str">
            <v>E349496_01</v>
          </cell>
          <cell r="S499">
            <v>107</v>
          </cell>
          <cell r="T499" t="str">
            <v>標準</v>
          </cell>
        </row>
        <row r="500">
          <cell r="F500" t="str">
            <v>H0000009316</v>
          </cell>
          <cell r="I500" t="str">
            <v>フレーム</v>
          </cell>
          <cell r="J500" t="str">
            <v>S-Frame_UX-10_H_TTTT</v>
          </cell>
          <cell r="K500" t="str">
            <v>S-フレーム_UX-10_H_TTTT</v>
          </cell>
          <cell r="L500" t="str">
            <v>S-Frame</v>
          </cell>
          <cell r="M500" t="str">
            <v>S-フレーム</v>
          </cell>
          <cell r="P500" t="str">
            <v>31B0</v>
          </cell>
          <cell r="Q500" t="str">
            <v>SS400</v>
          </cell>
          <cell r="R500" t="str">
            <v>E349496_01</v>
          </cell>
          <cell r="S500">
            <v>107</v>
          </cell>
          <cell r="T500" t="str">
            <v>標準</v>
          </cell>
        </row>
        <row r="501">
          <cell r="F501" t="str">
            <v>H0000009317</v>
          </cell>
          <cell r="I501" t="str">
            <v>フレーム</v>
          </cell>
          <cell r="J501" t="str">
            <v>S-Frame_UX-10_H_KKKK</v>
          </cell>
          <cell r="K501" t="str">
            <v>S-フレーム_UX-10_H_KKKK</v>
          </cell>
          <cell r="L501" t="str">
            <v>S-Frame</v>
          </cell>
          <cell r="M501" t="str">
            <v>S-フレーム</v>
          </cell>
          <cell r="P501" t="str">
            <v>31B0</v>
          </cell>
          <cell r="Q501" t="str">
            <v>SS400</v>
          </cell>
          <cell r="R501" t="str">
            <v>E349496_01</v>
          </cell>
          <cell r="S501">
            <v>107</v>
          </cell>
          <cell r="T501" t="str">
            <v>標準</v>
          </cell>
        </row>
        <row r="502">
          <cell r="F502" t="str">
            <v>H0000009318</v>
          </cell>
          <cell r="I502" t="str">
            <v>フレーム</v>
          </cell>
          <cell r="J502" t="str">
            <v>S-Frame_UX-10_H_TKTK</v>
          </cell>
          <cell r="K502" t="str">
            <v>S-フレーム_UX-10_H_TKTK</v>
          </cell>
          <cell r="L502" t="str">
            <v>S-Frame</v>
          </cell>
          <cell r="M502" t="str">
            <v>S-フレーム</v>
          </cell>
          <cell r="P502" t="str">
            <v>31B0</v>
          </cell>
          <cell r="Q502" t="str">
            <v>SS400</v>
          </cell>
          <cell r="R502" t="str">
            <v>E349496_01</v>
          </cell>
          <cell r="S502">
            <v>107</v>
          </cell>
          <cell r="T502" t="str">
            <v>標準</v>
          </cell>
        </row>
        <row r="503">
          <cell r="F503" t="str">
            <v>H0000009319</v>
          </cell>
          <cell r="I503" t="str">
            <v>フレーム</v>
          </cell>
          <cell r="J503" t="str">
            <v>S-Frame_UX-10_H_KTKT</v>
          </cell>
          <cell r="K503" t="str">
            <v>S-フレーム_UX-10_H_KTKT</v>
          </cell>
          <cell r="L503" t="str">
            <v>S-Frame</v>
          </cell>
          <cell r="M503" t="str">
            <v>S-フレーム</v>
          </cell>
          <cell r="P503" t="str">
            <v>31B0</v>
          </cell>
          <cell r="Q503" t="str">
            <v>SS400</v>
          </cell>
          <cell r="R503" t="str">
            <v>E349496_01</v>
          </cell>
          <cell r="S503">
            <v>107</v>
          </cell>
          <cell r="T503" t="str">
            <v>標準</v>
          </cell>
        </row>
        <row r="504">
          <cell r="F504" t="str">
            <v>H0000009320</v>
          </cell>
          <cell r="I504" t="str">
            <v>フレーム</v>
          </cell>
          <cell r="J504" t="str">
            <v>S-Frame_UX-10_H_NNNN</v>
          </cell>
          <cell r="K504" t="str">
            <v>S-フレーム_UX-10_H_NNNN</v>
          </cell>
          <cell r="L504" t="str">
            <v>S-Frame</v>
          </cell>
          <cell r="M504" t="str">
            <v>S-フレーム</v>
          </cell>
          <cell r="P504" t="str">
            <v>31B0</v>
          </cell>
          <cell r="Q504" t="str">
            <v>SS400</v>
          </cell>
          <cell r="R504" t="str">
            <v>E349496_01</v>
          </cell>
          <cell r="S504">
            <v>107</v>
          </cell>
          <cell r="T504" t="str">
            <v>標準</v>
          </cell>
        </row>
        <row r="505">
          <cell r="F505" t="str">
            <v>H0000009321</v>
          </cell>
          <cell r="I505" t="str">
            <v>フレーム</v>
          </cell>
          <cell r="J505" t="str">
            <v>S-Frame_UX-10_H_TTTT</v>
          </cell>
          <cell r="K505" t="str">
            <v>S-フレーム_UX-10_H_TTTT</v>
          </cell>
          <cell r="L505" t="str">
            <v>S-Frame</v>
          </cell>
          <cell r="M505" t="str">
            <v>S-フレーム</v>
          </cell>
          <cell r="P505" t="str">
            <v>31B0</v>
          </cell>
          <cell r="Q505" t="str">
            <v>SS400</v>
          </cell>
          <cell r="R505" t="str">
            <v>E349496_01</v>
          </cell>
          <cell r="S505">
            <v>107</v>
          </cell>
          <cell r="T505" t="str">
            <v>標準</v>
          </cell>
        </row>
        <row r="506">
          <cell r="F506" t="str">
            <v>H0000009322</v>
          </cell>
          <cell r="I506" t="str">
            <v>フレーム</v>
          </cell>
          <cell r="J506" t="str">
            <v>S-Frame_UX-10_H_KKKK</v>
          </cell>
          <cell r="K506" t="str">
            <v>S-フレーム_UX-10_H_KKKK</v>
          </cell>
          <cell r="L506" t="str">
            <v>S-Frame</v>
          </cell>
          <cell r="M506" t="str">
            <v>S-フレーム</v>
          </cell>
          <cell r="P506" t="str">
            <v>31B0</v>
          </cell>
          <cell r="Q506" t="str">
            <v>SS400</v>
          </cell>
          <cell r="R506" t="str">
            <v>E349496_01</v>
          </cell>
          <cell r="S506">
            <v>107</v>
          </cell>
          <cell r="T506" t="str">
            <v>標準</v>
          </cell>
        </row>
        <row r="507">
          <cell r="F507" t="str">
            <v>H0000009323</v>
          </cell>
          <cell r="I507" t="str">
            <v>フレーム</v>
          </cell>
          <cell r="J507" t="str">
            <v>S-Frame_UX-10_H_TKTK</v>
          </cell>
          <cell r="K507" t="str">
            <v>S-フレーム_UX-10_H_TKTK</v>
          </cell>
          <cell r="L507" t="str">
            <v>S-Frame</v>
          </cell>
          <cell r="M507" t="str">
            <v>S-フレーム</v>
          </cell>
          <cell r="P507" t="str">
            <v>31B0</v>
          </cell>
          <cell r="Q507" t="str">
            <v>SS400</v>
          </cell>
          <cell r="R507" t="str">
            <v>E349496_01</v>
          </cell>
          <cell r="S507">
            <v>107</v>
          </cell>
          <cell r="T507" t="str">
            <v>標準</v>
          </cell>
        </row>
        <row r="508">
          <cell r="F508" t="str">
            <v>H0000009324</v>
          </cell>
          <cell r="I508" t="str">
            <v>フレーム</v>
          </cell>
          <cell r="J508" t="str">
            <v>S-Frame_UX-10_H_KTKT</v>
          </cell>
          <cell r="K508" t="str">
            <v>S-フレーム_UX-10_H_KTKT</v>
          </cell>
          <cell r="L508" t="str">
            <v>S-Frame</v>
          </cell>
          <cell r="M508" t="str">
            <v>S-フレーム</v>
          </cell>
          <cell r="P508" t="str">
            <v>31B0</v>
          </cell>
          <cell r="Q508" t="str">
            <v>SS400</v>
          </cell>
          <cell r="R508" t="str">
            <v>E349496_01</v>
          </cell>
          <cell r="S508">
            <v>107</v>
          </cell>
          <cell r="T508" t="str">
            <v>標準</v>
          </cell>
        </row>
        <row r="509">
          <cell r="F509" t="str">
            <v>H0000009410</v>
          </cell>
          <cell r="I509" t="str">
            <v>フレーム</v>
          </cell>
          <cell r="J509" t="str">
            <v>S-Frame_UX-10_H_NNNN</v>
          </cell>
          <cell r="K509" t="str">
            <v>S-フレーム_UX-10_H_NNNN</v>
          </cell>
          <cell r="L509" t="str">
            <v>S-Frame</v>
          </cell>
          <cell r="M509" t="str">
            <v>S-フレーム</v>
          </cell>
          <cell r="P509" t="str">
            <v>31B0</v>
          </cell>
          <cell r="Q509" t="str">
            <v>SS400</v>
          </cell>
          <cell r="R509" t="str">
            <v>E349496_01</v>
          </cell>
          <cell r="S509">
            <v>107</v>
          </cell>
          <cell r="T509" t="str">
            <v>標準</v>
          </cell>
        </row>
        <row r="510">
          <cell r="F510" t="str">
            <v>H0000009411</v>
          </cell>
          <cell r="I510" t="str">
            <v>フレーム</v>
          </cell>
          <cell r="J510" t="str">
            <v>S-Frame_UX-10_H_TTTT</v>
          </cell>
          <cell r="K510" t="str">
            <v>S-フレーム_UX-10_H_TTTT</v>
          </cell>
          <cell r="L510" t="str">
            <v>S-Frame</v>
          </cell>
          <cell r="M510" t="str">
            <v>S-フレーム</v>
          </cell>
          <cell r="P510" t="str">
            <v>31B0</v>
          </cell>
          <cell r="Q510" t="str">
            <v>SS400</v>
          </cell>
          <cell r="R510" t="str">
            <v>E349496_01</v>
          </cell>
          <cell r="S510">
            <v>107</v>
          </cell>
          <cell r="T510" t="str">
            <v>標準</v>
          </cell>
        </row>
        <row r="511">
          <cell r="F511" t="str">
            <v>H0000009412</v>
          </cell>
          <cell r="I511" t="str">
            <v>フレーム</v>
          </cell>
          <cell r="J511" t="str">
            <v>S-Frame_UX-10_H_KKKK</v>
          </cell>
          <cell r="K511" t="str">
            <v>S-フレーム_UX-10_H_KKKK</v>
          </cell>
          <cell r="L511" t="str">
            <v>S-Frame</v>
          </cell>
          <cell r="M511" t="str">
            <v>S-フレーム</v>
          </cell>
          <cell r="P511" t="str">
            <v>31B0</v>
          </cell>
          <cell r="Q511" t="str">
            <v>SS400</v>
          </cell>
          <cell r="R511" t="str">
            <v>E349496_01</v>
          </cell>
          <cell r="S511">
            <v>107</v>
          </cell>
          <cell r="T511" t="str">
            <v>標準</v>
          </cell>
        </row>
        <row r="512">
          <cell r="F512" t="str">
            <v>H0000009413</v>
          </cell>
          <cell r="I512" t="str">
            <v>フレーム</v>
          </cell>
          <cell r="J512" t="str">
            <v>S-Frame_UX-10_H_TKTK</v>
          </cell>
          <cell r="K512" t="str">
            <v>S-フレーム_UX-10_H_TKTK</v>
          </cell>
          <cell r="L512" t="str">
            <v>S-Frame</v>
          </cell>
          <cell r="M512" t="str">
            <v>S-フレーム</v>
          </cell>
          <cell r="P512" t="str">
            <v>31B0</v>
          </cell>
          <cell r="Q512" t="str">
            <v>SS400</v>
          </cell>
          <cell r="R512" t="str">
            <v>E349496_01</v>
          </cell>
          <cell r="S512">
            <v>107</v>
          </cell>
          <cell r="T512" t="str">
            <v>標準</v>
          </cell>
        </row>
        <row r="513">
          <cell r="F513" t="str">
            <v>H0000009414</v>
          </cell>
          <cell r="I513" t="str">
            <v>フレーム</v>
          </cell>
          <cell r="J513" t="str">
            <v>S-Frame_UX-10_H_KTKT</v>
          </cell>
          <cell r="K513" t="str">
            <v>S-フレーム_UX-10_H_KTKT</v>
          </cell>
          <cell r="L513" t="str">
            <v>S-Frame</v>
          </cell>
          <cell r="M513" t="str">
            <v>S-フレーム</v>
          </cell>
          <cell r="P513" t="str">
            <v>31B0</v>
          </cell>
          <cell r="Q513" t="str">
            <v>SS400</v>
          </cell>
          <cell r="R513" t="str">
            <v>E349496_01</v>
          </cell>
          <cell r="S513">
            <v>107</v>
          </cell>
          <cell r="T513" t="str">
            <v>標準</v>
          </cell>
        </row>
        <row r="514">
          <cell r="F514" t="str">
            <v>H0000009415</v>
          </cell>
          <cell r="I514" t="str">
            <v>フレーム</v>
          </cell>
          <cell r="J514" t="str">
            <v>S-Frame_UX-10_H_NNNN</v>
          </cell>
          <cell r="K514" t="str">
            <v>S-フレーム_UX-10_H_NNNN</v>
          </cell>
          <cell r="L514" t="str">
            <v>S-Frame</v>
          </cell>
          <cell r="M514" t="str">
            <v>S-フレーム</v>
          </cell>
          <cell r="P514" t="str">
            <v>31B0</v>
          </cell>
          <cell r="Q514" t="str">
            <v>SS400</v>
          </cell>
          <cell r="R514" t="str">
            <v>E349496_01</v>
          </cell>
          <cell r="S514">
            <v>107</v>
          </cell>
          <cell r="T514" t="str">
            <v>標準</v>
          </cell>
        </row>
        <row r="515">
          <cell r="F515" t="str">
            <v>H0000009416</v>
          </cell>
          <cell r="I515" t="str">
            <v>フレーム</v>
          </cell>
          <cell r="J515" t="str">
            <v>S-Frame_UX-10_H_TTTT</v>
          </cell>
          <cell r="K515" t="str">
            <v>S-フレーム_UX-10_H_TTTT</v>
          </cell>
          <cell r="L515" t="str">
            <v>S-Frame</v>
          </cell>
          <cell r="M515" t="str">
            <v>S-フレーム</v>
          </cell>
          <cell r="P515" t="str">
            <v>31B0</v>
          </cell>
          <cell r="Q515" t="str">
            <v>SS400</v>
          </cell>
          <cell r="R515" t="str">
            <v>E349496_01</v>
          </cell>
          <cell r="S515">
            <v>107</v>
          </cell>
          <cell r="T515" t="str">
            <v>標準</v>
          </cell>
        </row>
        <row r="516">
          <cell r="F516" t="str">
            <v>H0000009417</v>
          </cell>
          <cell r="I516" t="str">
            <v>フレーム</v>
          </cell>
          <cell r="J516" t="str">
            <v>S-Frame_UX-10_H_KKKK</v>
          </cell>
          <cell r="K516" t="str">
            <v>S-フレーム_UX-10_H_KKKK</v>
          </cell>
          <cell r="L516" t="str">
            <v>S-Frame</v>
          </cell>
          <cell r="M516" t="str">
            <v>S-フレーム</v>
          </cell>
          <cell r="P516" t="str">
            <v>31B0</v>
          </cell>
          <cell r="Q516" t="str">
            <v>SS400</v>
          </cell>
          <cell r="R516" t="str">
            <v>E349496_01</v>
          </cell>
          <cell r="S516">
            <v>107</v>
          </cell>
          <cell r="T516" t="str">
            <v>標準</v>
          </cell>
        </row>
        <row r="517">
          <cell r="F517" t="str">
            <v>H0000009418</v>
          </cell>
          <cell r="I517" t="str">
            <v>フレーム</v>
          </cell>
          <cell r="J517" t="str">
            <v>S-Frame_UX-10_H_TKTK</v>
          </cell>
          <cell r="K517" t="str">
            <v>S-フレーム_UX-10_H_TKTK</v>
          </cell>
          <cell r="L517" t="str">
            <v>S-Frame</v>
          </cell>
          <cell r="M517" t="str">
            <v>S-フレーム</v>
          </cell>
          <cell r="P517" t="str">
            <v>31B0</v>
          </cell>
          <cell r="Q517" t="str">
            <v>SS400</v>
          </cell>
          <cell r="R517" t="str">
            <v>E349496_01</v>
          </cell>
          <cell r="S517">
            <v>107</v>
          </cell>
          <cell r="T517" t="str">
            <v>標準</v>
          </cell>
        </row>
        <row r="518">
          <cell r="F518" t="str">
            <v>H0000009419</v>
          </cell>
          <cell r="I518" t="str">
            <v>フレーム</v>
          </cell>
          <cell r="J518" t="str">
            <v>S-Frame_UX-10_H_KTKT</v>
          </cell>
          <cell r="K518" t="str">
            <v>S-フレーム_UX-10_H_KTKT</v>
          </cell>
          <cell r="L518" t="str">
            <v>S-Frame</v>
          </cell>
          <cell r="M518" t="str">
            <v>S-フレーム</v>
          </cell>
          <cell r="P518" t="str">
            <v>31B0</v>
          </cell>
          <cell r="Q518" t="str">
            <v>SS400</v>
          </cell>
          <cell r="R518" t="str">
            <v>E349496_01</v>
          </cell>
          <cell r="S518">
            <v>107</v>
          </cell>
          <cell r="T518" t="str">
            <v>標準</v>
          </cell>
        </row>
        <row r="519">
          <cell r="F519" t="str">
            <v>H0000009425</v>
          </cell>
          <cell r="I519" t="str">
            <v>フレーム</v>
          </cell>
          <cell r="J519" t="str">
            <v>S-Frame_UX-10_H_NNNN</v>
          </cell>
          <cell r="K519" t="str">
            <v>S-フレーム_UX-10_H_NNNN</v>
          </cell>
          <cell r="L519" t="str">
            <v>S-Frame</v>
          </cell>
          <cell r="M519" t="str">
            <v>S-フレーム</v>
          </cell>
          <cell r="P519" t="str">
            <v>31B0</v>
          </cell>
          <cell r="Q519" t="str">
            <v>SS400</v>
          </cell>
          <cell r="R519" t="str">
            <v>E349496_01</v>
          </cell>
          <cell r="S519">
            <v>107</v>
          </cell>
          <cell r="T519" t="str">
            <v>標準</v>
          </cell>
        </row>
        <row r="520">
          <cell r="F520" t="str">
            <v>H0000009426</v>
          </cell>
          <cell r="I520" t="str">
            <v>フレーム</v>
          </cell>
          <cell r="J520" t="str">
            <v>S-Frame_UX-10_H_TTTT</v>
          </cell>
          <cell r="K520" t="str">
            <v>S-フレーム_UX-10_H_TTTT</v>
          </cell>
          <cell r="L520" t="str">
            <v>S-Frame</v>
          </cell>
          <cell r="M520" t="str">
            <v>S-フレーム</v>
          </cell>
          <cell r="P520" t="str">
            <v>31B0</v>
          </cell>
          <cell r="Q520" t="str">
            <v>SS400</v>
          </cell>
          <cell r="R520" t="str">
            <v>E349496_01</v>
          </cell>
          <cell r="S520">
            <v>107</v>
          </cell>
          <cell r="T520" t="str">
            <v>標準</v>
          </cell>
        </row>
        <row r="521">
          <cell r="F521" t="str">
            <v>H0000009427</v>
          </cell>
          <cell r="I521" t="str">
            <v>フレーム</v>
          </cell>
          <cell r="J521" t="str">
            <v>S-Frame_UX-10_H_KKKK</v>
          </cell>
          <cell r="K521" t="str">
            <v>S-フレーム_UX-10_H_KKKK</v>
          </cell>
          <cell r="L521" t="str">
            <v>S-Frame</v>
          </cell>
          <cell r="M521" t="str">
            <v>S-フレーム</v>
          </cell>
          <cell r="P521" t="str">
            <v>31B0</v>
          </cell>
          <cell r="Q521" t="str">
            <v>SS400</v>
          </cell>
          <cell r="R521" t="str">
            <v>E349496_01</v>
          </cell>
          <cell r="S521">
            <v>107</v>
          </cell>
          <cell r="T521" t="str">
            <v>標準</v>
          </cell>
        </row>
        <row r="522">
          <cell r="F522" t="str">
            <v>H0000009428</v>
          </cell>
          <cell r="I522" t="str">
            <v>フレーム</v>
          </cell>
          <cell r="J522" t="str">
            <v>S-Frame_UX-10_H_TKTK</v>
          </cell>
          <cell r="K522" t="str">
            <v>S-フレーム_UX-10_H_TKTK</v>
          </cell>
          <cell r="L522" t="str">
            <v>S-Frame</v>
          </cell>
          <cell r="M522" t="str">
            <v>S-フレーム</v>
          </cell>
          <cell r="P522" t="str">
            <v>31B0</v>
          </cell>
          <cell r="Q522" t="str">
            <v>SS400</v>
          </cell>
          <cell r="R522" t="str">
            <v>E349496_01</v>
          </cell>
          <cell r="S522">
            <v>107</v>
          </cell>
          <cell r="T522" t="str">
            <v>標準</v>
          </cell>
        </row>
        <row r="523">
          <cell r="F523" t="str">
            <v>H0000009429</v>
          </cell>
          <cell r="I523" t="str">
            <v>フレーム</v>
          </cell>
          <cell r="J523" t="str">
            <v>S-Frame_UX-10_H_KTKT</v>
          </cell>
          <cell r="K523" t="str">
            <v>S-フレーム_UX-10_H_KTKT</v>
          </cell>
          <cell r="L523" t="str">
            <v>S-Frame</v>
          </cell>
          <cell r="M523" t="str">
            <v>S-フレーム</v>
          </cell>
          <cell r="P523" t="str">
            <v>31B0</v>
          </cell>
          <cell r="Q523" t="str">
            <v>SS400</v>
          </cell>
          <cell r="R523" t="str">
            <v>E349496_01</v>
          </cell>
          <cell r="S523">
            <v>107</v>
          </cell>
          <cell r="T523" t="str">
            <v>標準</v>
          </cell>
        </row>
        <row r="524">
          <cell r="F524" t="str">
            <v>H0000009465</v>
          </cell>
          <cell r="I524" t="str">
            <v>フレーム</v>
          </cell>
          <cell r="J524" t="str">
            <v>S-Frame_UX-10_H_NNNN</v>
          </cell>
          <cell r="K524" t="str">
            <v>S-フレーム_UX-10_H_NNNN</v>
          </cell>
          <cell r="L524" t="str">
            <v>S-Frame</v>
          </cell>
          <cell r="M524" t="str">
            <v>S-フレーム</v>
          </cell>
          <cell r="P524" t="str">
            <v>31B0</v>
          </cell>
          <cell r="Q524" t="str">
            <v>SS400</v>
          </cell>
          <cell r="R524" t="str">
            <v>E349496_01</v>
          </cell>
          <cell r="S524">
            <v>107</v>
          </cell>
          <cell r="T524" t="str">
            <v>標準</v>
          </cell>
        </row>
        <row r="525">
          <cell r="F525" t="str">
            <v>H0000009466</v>
          </cell>
          <cell r="I525" t="str">
            <v>フレーム</v>
          </cell>
          <cell r="J525" t="str">
            <v>S-Frame_UX-10_H_TTTT</v>
          </cell>
          <cell r="K525" t="str">
            <v>S-フレーム_UX-10_H_TTTT</v>
          </cell>
          <cell r="L525" t="str">
            <v>S-Frame</v>
          </cell>
          <cell r="M525" t="str">
            <v>S-フレーム</v>
          </cell>
          <cell r="P525" t="str">
            <v>31B0</v>
          </cell>
          <cell r="Q525" t="str">
            <v>SS400</v>
          </cell>
          <cell r="R525" t="str">
            <v>E349496_01</v>
          </cell>
          <cell r="S525">
            <v>107</v>
          </cell>
          <cell r="T525" t="str">
            <v>標準</v>
          </cell>
        </row>
        <row r="526">
          <cell r="F526" t="str">
            <v>H0000009467</v>
          </cell>
          <cell r="I526" t="str">
            <v>フレーム</v>
          </cell>
          <cell r="J526" t="str">
            <v>S-Frame_UX-10_H_KKKK</v>
          </cell>
          <cell r="K526" t="str">
            <v>S-フレーム_UX-10_H_KKKK</v>
          </cell>
          <cell r="L526" t="str">
            <v>S-Frame</v>
          </cell>
          <cell r="M526" t="str">
            <v>S-フレーム</v>
          </cell>
          <cell r="P526" t="str">
            <v>31B0</v>
          </cell>
          <cell r="Q526" t="str">
            <v>SS400</v>
          </cell>
          <cell r="R526" t="str">
            <v>E349496_01</v>
          </cell>
          <cell r="S526">
            <v>107</v>
          </cell>
          <cell r="T526" t="str">
            <v>標準</v>
          </cell>
        </row>
        <row r="527">
          <cell r="F527" t="str">
            <v>H0000009468</v>
          </cell>
          <cell r="I527" t="str">
            <v>フレーム</v>
          </cell>
          <cell r="J527" t="str">
            <v>S-Frame_UX-10_H_TKTK</v>
          </cell>
          <cell r="K527" t="str">
            <v>S-フレーム_UX-10_H_TKTK</v>
          </cell>
          <cell r="L527" t="str">
            <v>S-Frame</v>
          </cell>
          <cell r="M527" t="str">
            <v>S-フレーム</v>
          </cell>
          <cell r="P527" t="str">
            <v>31B0</v>
          </cell>
          <cell r="Q527" t="str">
            <v>SS400</v>
          </cell>
          <cell r="R527" t="str">
            <v>E349496_01</v>
          </cell>
          <cell r="S527">
            <v>107</v>
          </cell>
          <cell r="T527" t="str">
            <v>標準</v>
          </cell>
        </row>
        <row r="528">
          <cell r="F528" t="str">
            <v>H0000009469</v>
          </cell>
          <cell r="I528" t="str">
            <v>フレーム</v>
          </cell>
          <cell r="J528" t="str">
            <v>S-Frame_UX-10_H_KTKT</v>
          </cell>
          <cell r="K528" t="str">
            <v>S-フレーム_UX-10_H_KTKT</v>
          </cell>
          <cell r="L528" t="str">
            <v>S-Frame</v>
          </cell>
          <cell r="M528" t="str">
            <v>S-フレーム</v>
          </cell>
          <cell r="P528" t="str">
            <v>31B0</v>
          </cell>
          <cell r="Q528" t="str">
            <v>SS400</v>
          </cell>
          <cell r="R528" t="str">
            <v>E349496_01</v>
          </cell>
          <cell r="S528">
            <v>107</v>
          </cell>
          <cell r="T528" t="str">
            <v>標準</v>
          </cell>
        </row>
        <row r="529">
          <cell r="F529" t="str">
            <v>H0000009470</v>
          </cell>
          <cell r="I529" t="str">
            <v>フレーム</v>
          </cell>
          <cell r="J529" t="str">
            <v>S-Frame_UX-10_H_NNNN</v>
          </cell>
          <cell r="K529" t="str">
            <v>S-フレーム_UX-10_H_NNNN</v>
          </cell>
          <cell r="L529" t="str">
            <v>S-Frame</v>
          </cell>
          <cell r="M529" t="str">
            <v>S-フレーム</v>
          </cell>
          <cell r="P529" t="str">
            <v>31B0</v>
          </cell>
          <cell r="Q529" t="str">
            <v>SS400</v>
          </cell>
          <cell r="R529" t="str">
            <v>E349496_01</v>
          </cell>
          <cell r="S529">
            <v>107</v>
          </cell>
          <cell r="T529" t="str">
            <v>標準</v>
          </cell>
        </row>
        <row r="530">
          <cell r="F530" t="str">
            <v>H0000009471</v>
          </cell>
          <cell r="I530" t="str">
            <v>フレーム</v>
          </cell>
          <cell r="J530" t="str">
            <v>S-Frame_UX-10_H_TTTT</v>
          </cell>
          <cell r="K530" t="str">
            <v>S-フレーム_UX-10_H_TTTT</v>
          </cell>
          <cell r="L530" t="str">
            <v>S-Frame</v>
          </cell>
          <cell r="M530" t="str">
            <v>S-フレーム</v>
          </cell>
          <cell r="P530" t="str">
            <v>31B0</v>
          </cell>
          <cell r="Q530" t="str">
            <v>SS400</v>
          </cell>
          <cell r="R530" t="str">
            <v>E349496_01</v>
          </cell>
          <cell r="S530">
            <v>107</v>
          </cell>
          <cell r="T530" t="str">
            <v>標準</v>
          </cell>
        </row>
        <row r="531">
          <cell r="F531" t="str">
            <v>H0000009472</v>
          </cell>
          <cell r="I531" t="str">
            <v>フレーム</v>
          </cell>
          <cell r="J531" t="str">
            <v>S-Frame_UX-10_H_KKKK</v>
          </cell>
          <cell r="K531" t="str">
            <v>S-フレーム_UX-10_H_KKKK</v>
          </cell>
          <cell r="L531" t="str">
            <v>S-Frame</v>
          </cell>
          <cell r="M531" t="str">
            <v>S-フレーム</v>
          </cell>
          <cell r="P531" t="str">
            <v>31B0</v>
          </cell>
          <cell r="Q531" t="str">
            <v>SS400</v>
          </cell>
          <cell r="R531" t="str">
            <v>E349496_01</v>
          </cell>
          <cell r="S531">
            <v>107</v>
          </cell>
          <cell r="T531" t="str">
            <v>標準</v>
          </cell>
        </row>
        <row r="532">
          <cell r="F532" t="str">
            <v>H0000009473</v>
          </cell>
          <cell r="I532" t="str">
            <v>フレーム</v>
          </cell>
          <cell r="J532" t="str">
            <v>S-Frame_UX-10_H_TKTK</v>
          </cell>
          <cell r="K532" t="str">
            <v>S-フレーム_UX-10_H_TKTK</v>
          </cell>
          <cell r="L532" t="str">
            <v>S-Frame</v>
          </cell>
          <cell r="M532" t="str">
            <v>S-フレーム</v>
          </cell>
          <cell r="P532" t="str">
            <v>31B0</v>
          </cell>
          <cell r="Q532" t="str">
            <v>SS400</v>
          </cell>
          <cell r="R532" t="str">
            <v>E349496_01</v>
          </cell>
          <cell r="S532">
            <v>107</v>
          </cell>
          <cell r="T532" t="str">
            <v>標準</v>
          </cell>
        </row>
        <row r="533">
          <cell r="F533" t="str">
            <v>H0000009474</v>
          </cell>
          <cell r="I533" t="str">
            <v>フレーム</v>
          </cell>
          <cell r="J533" t="str">
            <v>S-Frame_UX-10_H_KTKT</v>
          </cell>
          <cell r="K533" t="str">
            <v>S-フレーム_UX-10_H_KTKT</v>
          </cell>
          <cell r="L533" t="str">
            <v>S-Frame</v>
          </cell>
          <cell r="M533" t="str">
            <v>S-フレーム</v>
          </cell>
          <cell r="P533" t="str">
            <v>31B0</v>
          </cell>
          <cell r="Q533" t="str">
            <v>SS400</v>
          </cell>
          <cell r="R533" t="str">
            <v>E349496_01</v>
          </cell>
          <cell r="S533">
            <v>107</v>
          </cell>
          <cell r="T533" t="str">
            <v>標準</v>
          </cell>
        </row>
        <row r="534">
          <cell r="F534" t="str">
            <v>H0000010010</v>
          </cell>
          <cell r="I534" t="str">
            <v>フレーム</v>
          </cell>
          <cell r="J534" t="str">
            <v>S-Frame_UX-10_H_NNNN</v>
          </cell>
          <cell r="K534" t="str">
            <v>S-フレーム_UX-10_H_NNNN</v>
          </cell>
          <cell r="L534" t="str">
            <v>S-Frame</v>
          </cell>
          <cell r="M534" t="str">
            <v>S-フレーム</v>
          </cell>
          <cell r="P534" t="str">
            <v>31B0</v>
          </cell>
          <cell r="Q534" t="str">
            <v>SS400</v>
          </cell>
          <cell r="R534" t="str">
            <v>E349496_01</v>
          </cell>
          <cell r="S534">
            <v>107</v>
          </cell>
          <cell r="T534" t="str">
            <v>標準</v>
          </cell>
        </row>
        <row r="535">
          <cell r="F535" t="str">
            <v>H0000010011</v>
          </cell>
          <cell r="I535" t="str">
            <v>フレーム</v>
          </cell>
          <cell r="J535" t="str">
            <v>S-Frame_UX-10_H_TTTT</v>
          </cell>
          <cell r="K535" t="str">
            <v>S-フレーム_UX-10_H_TTTT</v>
          </cell>
          <cell r="L535" t="str">
            <v>S-Frame</v>
          </cell>
          <cell r="M535" t="str">
            <v>S-フレーム</v>
          </cell>
          <cell r="P535" t="str">
            <v>31B0</v>
          </cell>
          <cell r="Q535" t="str">
            <v>SS400</v>
          </cell>
          <cell r="R535" t="str">
            <v>E349496_01</v>
          </cell>
          <cell r="S535">
            <v>107</v>
          </cell>
          <cell r="T535" t="str">
            <v>標準</v>
          </cell>
        </row>
        <row r="536">
          <cell r="F536" t="str">
            <v>H0000010012</v>
          </cell>
          <cell r="I536" t="str">
            <v>フレーム</v>
          </cell>
          <cell r="J536" t="str">
            <v>S-Frame_UX-10_H_KKKK</v>
          </cell>
          <cell r="K536" t="str">
            <v>S-フレーム_UX-10_H_KKKK</v>
          </cell>
          <cell r="L536" t="str">
            <v>S-Frame</v>
          </cell>
          <cell r="M536" t="str">
            <v>S-フレーム</v>
          </cell>
          <cell r="P536" t="str">
            <v>31B0</v>
          </cell>
          <cell r="Q536" t="str">
            <v>SS400</v>
          </cell>
          <cell r="R536" t="str">
            <v>E349496_01</v>
          </cell>
          <cell r="S536">
            <v>107</v>
          </cell>
          <cell r="T536" t="str">
            <v>標準</v>
          </cell>
        </row>
        <row r="537">
          <cell r="F537" t="str">
            <v>H0000010013</v>
          </cell>
          <cell r="I537" t="str">
            <v>フレーム</v>
          </cell>
          <cell r="J537" t="str">
            <v>S-Frame_UX-10_H_TKTK</v>
          </cell>
          <cell r="K537" t="str">
            <v>S-フレーム_UX-10_H_TKTK</v>
          </cell>
          <cell r="L537" t="str">
            <v>S-Frame</v>
          </cell>
          <cell r="M537" t="str">
            <v>S-フレーム</v>
          </cell>
          <cell r="P537" t="str">
            <v>31B0</v>
          </cell>
          <cell r="Q537" t="str">
            <v>SS400</v>
          </cell>
          <cell r="R537" t="str">
            <v>E349496_01</v>
          </cell>
          <cell r="S537">
            <v>107</v>
          </cell>
          <cell r="T537" t="str">
            <v>標準</v>
          </cell>
        </row>
        <row r="538">
          <cell r="F538" t="str">
            <v>H0000010014</v>
          </cell>
          <cell r="I538" t="str">
            <v>フレーム</v>
          </cell>
          <cell r="J538" t="str">
            <v>S-Frame_UX-10_H_KTKT</v>
          </cell>
          <cell r="K538" t="str">
            <v>S-フレーム_UX-10_H_KTKT</v>
          </cell>
          <cell r="L538" t="str">
            <v>S-Frame</v>
          </cell>
          <cell r="M538" t="str">
            <v>S-フレーム</v>
          </cell>
          <cell r="P538" t="str">
            <v>31B0</v>
          </cell>
          <cell r="Q538" t="str">
            <v>SS400</v>
          </cell>
          <cell r="R538" t="str">
            <v>E349496_01</v>
          </cell>
          <cell r="S538">
            <v>107</v>
          </cell>
          <cell r="T538" t="str">
            <v>標準</v>
          </cell>
        </row>
        <row r="539">
          <cell r="F539" t="str">
            <v>H0000010015</v>
          </cell>
          <cell r="I539" t="str">
            <v>フレーム</v>
          </cell>
          <cell r="J539" t="str">
            <v>S-Frame_UX-10_H_NNNN</v>
          </cell>
          <cell r="K539" t="str">
            <v>S-フレーム_UX-10_H_NNNN</v>
          </cell>
          <cell r="L539" t="str">
            <v>S-Frame</v>
          </cell>
          <cell r="M539" t="str">
            <v>S-フレーム</v>
          </cell>
          <cell r="P539" t="str">
            <v>31B0</v>
          </cell>
          <cell r="Q539" t="str">
            <v>SS400</v>
          </cell>
          <cell r="R539" t="str">
            <v>E349496_01</v>
          </cell>
          <cell r="S539">
            <v>107</v>
          </cell>
          <cell r="T539" t="str">
            <v>標準</v>
          </cell>
        </row>
        <row r="540">
          <cell r="F540" t="str">
            <v>H0000010016</v>
          </cell>
          <cell r="I540" t="str">
            <v>フレーム</v>
          </cell>
          <cell r="J540" t="str">
            <v>S-Frame_UX-10_H_TTTT</v>
          </cell>
          <cell r="K540" t="str">
            <v>S-フレーム_UX-10_H_TTTT</v>
          </cell>
          <cell r="L540" t="str">
            <v>S-Frame</v>
          </cell>
          <cell r="M540" t="str">
            <v>S-フレーム</v>
          </cell>
          <cell r="P540" t="str">
            <v>31B0</v>
          </cell>
          <cell r="Q540" t="str">
            <v>SS400</v>
          </cell>
          <cell r="R540" t="str">
            <v>E349496_01</v>
          </cell>
          <cell r="S540">
            <v>107</v>
          </cell>
          <cell r="T540" t="str">
            <v>標準</v>
          </cell>
        </row>
        <row r="541">
          <cell r="F541" t="str">
            <v>H0000010017</v>
          </cell>
          <cell r="I541" t="str">
            <v>フレーム</v>
          </cell>
          <cell r="J541" t="str">
            <v>S-Frame_UX-10_H_KKKK</v>
          </cell>
          <cell r="K541" t="str">
            <v>S-フレーム_UX-10_H_KKKK</v>
          </cell>
          <cell r="L541" t="str">
            <v>S-Frame</v>
          </cell>
          <cell r="M541" t="str">
            <v>S-フレーム</v>
          </cell>
          <cell r="P541" t="str">
            <v>31B0</v>
          </cell>
          <cell r="Q541" t="str">
            <v>SS400</v>
          </cell>
          <cell r="R541" t="str">
            <v>E349496_01</v>
          </cell>
          <cell r="S541">
            <v>107</v>
          </cell>
          <cell r="T541" t="str">
            <v>標準</v>
          </cell>
        </row>
        <row r="542">
          <cell r="F542" t="str">
            <v>H0000010018</v>
          </cell>
          <cell r="I542" t="str">
            <v>フレーム</v>
          </cell>
          <cell r="J542" t="str">
            <v>S-Frame_UX-10_H_TKTK</v>
          </cell>
          <cell r="K542" t="str">
            <v>S-フレーム_UX-10_H_TKTK</v>
          </cell>
          <cell r="L542" t="str">
            <v>S-Frame</v>
          </cell>
          <cell r="M542" t="str">
            <v>S-フレーム</v>
          </cell>
          <cell r="P542" t="str">
            <v>31B0</v>
          </cell>
          <cell r="Q542" t="str">
            <v>SS400</v>
          </cell>
          <cell r="R542" t="str">
            <v>E349496_01</v>
          </cell>
          <cell r="S542">
            <v>107</v>
          </cell>
          <cell r="T542" t="str">
            <v>標準</v>
          </cell>
        </row>
        <row r="543">
          <cell r="F543" t="str">
            <v>H0000010019</v>
          </cell>
          <cell r="I543" t="str">
            <v>フレーム</v>
          </cell>
          <cell r="J543" t="str">
            <v>S-Frame_UX-10_H_KTKT</v>
          </cell>
          <cell r="K543" t="str">
            <v>S-フレーム_UX-10_H_KTKT</v>
          </cell>
          <cell r="L543" t="str">
            <v>S-Frame</v>
          </cell>
          <cell r="M543" t="str">
            <v>S-フレーム</v>
          </cell>
          <cell r="P543" t="str">
            <v>31B0</v>
          </cell>
          <cell r="Q543" t="str">
            <v>SS400</v>
          </cell>
          <cell r="R543" t="str">
            <v>E349496_01</v>
          </cell>
          <cell r="S543">
            <v>107</v>
          </cell>
          <cell r="T543" t="str">
            <v>標準</v>
          </cell>
        </row>
        <row r="544">
          <cell r="F544" t="str">
            <v>H0000010025</v>
          </cell>
          <cell r="I544" t="str">
            <v>フレーム</v>
          </cell>
          <cell r="J544" t="str">
            <v>S-Frame_UX-10_H_NNNN</v>
          </cell>
          <cell r="K544" t="str">
            <v>S-フレーム_UX-10_H_NNNN</v>
          </cell>
          <cell r="L544" t="str">
            <v>S-Frame</v>
          </cell>
          <cell r="M544" t="str">
            <v>S-フレーム</v>
          </cell>
          <cell r="P544" t="str">
            <v>31B0</v>
          </cell>
          <cell r="Q544" t="str">
            <v>SS400</v>
          </cell>
          <cell r="R544" t="str">
            <v>E349496_01</v>
          </cell>
          <cell r="S544">
            <v>107</v>
          </cell>
          <cell r="T544" t="str">
            <v>標準</v>
          </cell>
        </row>
        <row r="545">
          <cell r="F545" t="str">
            <v>H0000010026</v>
          </cell>
          <cell r="I545" t="str">
            <v>フレーム</v>
          </cell>
          <cell r="J545" t="str">
            <v>S-Frame_UX-10_H_TTTT</v>
          </cell>
          <cell r="K545" t="str">
            <v>S-フレーム_UX-10_H_TTTT</v>
          </cell>
          <cell r="L545" t="str">
            <v>S-Frame</v>
          </cell>
          <cell r="M545" t="str">
            <v>S-フレーム</v>
          </cell>
          <cell r="P545" t="str">
            <v>31B0</v>
          </cell>
          <cell r="Q545" t="str">
            <v>SS400</v>
          </cell>
          <cell r="R545" t="str">
            <v>E349496_01</v>
          </cell>
          <cell r="S545">
            <v>107</v>
          </cell>
          <cell r="T545" t="str">
            <v>標準</v>
          </cell>
        </row>
        <row r="546">
          <cell r="F546" t="str">
            <v>H0000010027</v>
          </cell>
          <cell r="I546" t="str">
            <v>フレーム</v>
          </cell>
          <cell r="J546" t="str">
            <v>S-Frame_UX-10_H_KKKK</v>
          </cell>
          <cell r="K546" t="str">
            <v>S-フレーム_UX-10_H_KKKK</v>
          </cell>
          <cell r="L546" t="str">
            <v>S-Frame</v>
          </cell>
          <cell r="M546" t="str">
            <v>S-フレーム</v>
          </cell>
          <cell r="P546" t="str">
            <v>31B0</v>
          </cell>
          <cell r="Q546" t="str">
            <v>SS400</v>
          </cell>
          <cell r="R546" t="str">
            <v>E349496_01</v>
          </cell>
          <cell r="S546">
            <v>107</v>
          </cell>
          <cell r="T546" t="str">
            <v>標準</v>
          </cell>
        </row>
        <row r="547">
          <cell r="F547" t="str">
            <v>H0000010028</v>
          </cell>
          <cell r="I547" t="str">
            <v>フレーム</v>
          </cell>
          <cell r="J547" t="str">
            <v>S-Frame_UX-10_H_TKTK</v>
          </cell>
          <cell r="K547" t="str">
            <v>S-フレーム_UX-10_H_TKTK</v>
          </cell>
          <cell r="L547" t="str">
            <v>S-Frame</v>
          </cell>
          <cell r="M547" t="str">
            <v>S-フレーム</v>
          </cell>
          <cell r="P547" t="str">
            <v>31B0</v>
          </cell>
          <cell r="Q547" t="str">
            <v>SS400</v>
          </cell>
          <cell r="R547" t="str">
            <v>E349496_01</v>
          </cell>
          <cell r="S547">
            <v>107</v>
          </cell>
          <cell r="T547" t="str">
            <v>標準</v>
          </cell>
        </row>
        <row r="548">
          <cell r="F548" t="str">
            <v>H0000010029</v>
          </cell>
          <cell r="I548" t="str">
            <v>フレーム</v>
          </cell>
          <cell r="J548" t="str">
            <v>S-Frame_UX-10_H_KTKT</v>
          </cell>
          <cell r="K548" t="str">
            <v>S-フレーム_UX-10_H_KTKT</v>
          </cell>
          <cell r="L548" t="str">
            <v>S-Frame</v>
          </cell>
          <cell r="M548" t="str">
            <v>S-フレーム</v>
          </cell>
          <cell r="P548" t="str">
            <v>31B0</v>
          </cell>
          <cell r="Q548" t="str">
            <v>SS400</v>
          </cell>
          <cell r="R548" t="str">
            <v>E349496_01</v>
          </cell>
          <cell r="S548">
            <v>107</v>
          </cell>
          <cell r="T548" t="str">
            <v>標準</v>
          </cell>
        </row>
        <row r="549">
          <cell r="F549" t="str">
            <v>H0000010065</v>
          </cell>
          <cell r="I549" t="str">
            <v>フレーム</v>
          </cell>
          <cell r="J549" t="str">
            <v>S-Frame_UX-10_H_NNNN</v>
          </cell>
          <cell r="K549" t="str">
            <v>S-フレーム_UX-10_H_NNNN</v>
          </cell>
          <cell r="L549" t="str">
            <v>S-Frame</v>
          </cell>
          <cell r="M549" t="str">
            <v>S-フレーム</v>
          </cell>
          <cell r="P549" t="str">
            <v>31B0</v>
          </cell>
          <cell r="Q549" t="str">
            <v>SS400</v>
          </cell>
          <cell r="R549" t="str">
            <v>E349496_01</v>
          </cell>
          <cell r="S549">
            <v>107</v>
          </cell>
          <cell r="T549" t="str">
            <v>標準</v>
          </cell>
        </row>
        <row r="550">
          <cell r="F550" t="str">
            <v>H0000010066</v>
          </cell>
          <cell r="I550" t="str">
            <v>フレーム</v>
          </cell>
          <cell r="J550" t="str">
            <v>S-Frame_UX-10_H_TTTT</v>
          </cell>
          <cell r="K550" t="str">
            <v>S-フレーム_UX-10_H_TTTT</v>
          </cell>
          <cell r="L550" t="str">
            <v>S-Frame</v>
          </cell>
          <cell r="M550" t="str">
            <v>S-フレーム</v>
          </cell>
          <cell r="P550" t="str">
            <v>31B0</v>
          </cell>
          <cell r="Q550" t="str">
            <v>SS400</v>
          </cell>
          <cell r="R550" t="str">
            <v>E349496_01</v>
          </cell>
          <cell r="S550">
            <v>107</v>
          </cell>
          <cell r="T550" t="str">
            <v>標準</v>
          </cell>
        </row>
        <row r="551">
          <cell r="F551" t="str">
            <v>H0000010067</v>
          </cell>
          <cell r="I551" t="str">
            <v>フレーム</v>
          </cell>
          <cell r="J551" t="str">
            <v>S-Frame_UX-10_H_KKKK</v>
          </cell>
          <cell r="K551" t="str">
            <v>S-フレーム_UX-10_H_KKKK</v>
          </cell>
          <cell r="L551" t="str">
            <v>S-Frame</v>
          </cell>
          <cell r="M551" t="str">
            <v>S-フレーム</v>
          </cell>
          <cell r="P551" t="str">
            <v>31B0</v>
          </cell>
          <cell r="Q551" t="str">
            <v>SS400</v>
          </cell>
          <cell r="R551" t="str">
            <v>E349496_01</v>
          </cell>
          <cell r="S551">
            <v>107</v>
          </cell>
          <cell r="T551" t="str">
            <v>標準</v>
          </cell>
        </row>
        <row r="552">
          <cell r="F552" t="str">
            <v>H0000010068</v>
          </cell>
          <cell r="I552" t="str">
            <v>フレーム</v>
          </cell>
          <cell r="J552" t="str">
            <v>S-Frame_UX-10_H_TKTK</v>
          </cell>
          <cell r="K552" t="str">
            <v>S-フレーム_UX-10_H_TKTK</v>
          </cell>
          <cell r="L552" t="str">
            <v>S-Frame</v>
          </cell>
          <cell r="M552" t="str">
            <v>S-フレーム</v>
          </cell>
          <cell r="P552" t="str">
            <v>31B0</v>
          </cell>
          <cell r="Q552" t="str">
            <v>SS400</v>
          </cell>
          <cell r="R552" t="str">
            <v>E349496_01</v>
          </cell>
          <cell r="S552">
            <v>107</v>
          </cell>
          <cell r="T552" t="str">
            <v>標準</v>
          </cell>
        </row>
        <row r="553">
          <cell r="F553" t="str">
            <v>H0000010069</v>
          </cell>
          <cell r="I553" t="str">
            <v>フレーム</v>
          </cell>
          <cell r="J553" t="str">
            <v>S-Frame_UX-10_H_KTKT</v>
          </cell>
          <cell r="K553" t="str">
            <v>S-フレーム_UX-10_H_KTKT</v>
          </cell>
          <cell r="L553" t="str">
            <v>S-Frame</v>
          </cell>
          <cell r="M553" t="str">
            <v>S-フレーム</v>
          </cell>
          <cell r="P553" t="str">
            <v>31B0</v>
          </cell>
          <cell r="Q553" t="str">
            <v>SS400</v>
          </cell>
          <cell r="R553" t="str">
            <v>E349496_01</v>
          </cell>
          <cell r="S553">
            <v>107</v>
          </cell>
          <cell r="T553" t="str">
            <v>標準</v>
          </cell>
        </row>
        <row r="554">
          <cell r="F554" t="str">
            <v>H0000010070</v>
          </cell>
          <cell r="I554" t="str">
            <v>フレーム</v>
          </cell>
          <cell r="J554" t="str">
            <v>S-Frame_UX-10_H_NNNN</v>
          </cell>
          <cell r="K554" t="str">
            <v>S-フレーム_UX-10_H_NNNN</v>
          </cell>
          <cell r="L554" t="str">
            <v>S-Frame</v>
          </cell>
          <cell r="M554" t="str">
            <v>S-フレーム</v>
          </cell>
          <cell r="P554" t="str">
            <v>31B0</v>
          </cell>
          <cell r="Q554" t="str">
            <v>SS400</v>
          </cell>
          <cell r="R554" t="str">
            <v>E349496_01</v>
          </cell>
          <cell r="S554">
            <v>107</v>
          </cell>
          <cell r="T554" t="str">
            <v>標準</v>
          </cell>
        </row>
        <row r="555">
          <cell r="F555" t="str">
            <v>H0000010071</v>
          </cell>
          <cell r="I555" t="str">
            <v>フレーム</v>
          </cell>
          <cell r="J555" t="str">
            <v>S-Frame_UX-10_H_TTTT</v>
          </cell>
          <cell r="K555" t="str">
            <v>S-フレーム_UX-10_H_TTTT</v>
          </cell>
          <cell r="L555" t="str">
            <v>S-Frame</v>
          </cell>
          <cell r="M555" t="str">
            <v>S-フレーム</v>
          </cell>
          <cell r="P555" t="str">
            <v>31B0</v>
          </cell>
          <cell r="Q555" t="str">
            <v>SS400</v>
          </cell>
          <cell r="R555" t="str">
            <v>E349496_01</v>
          </cell>
          <cell r="S555">
            <v>107</v>
          </cell>
          <cell r="T555" t="str">
            <v>標準</v>
          </cell>
        </row>
        <row r="556">
          <cell r="F556" t="str">
            <v>H0000010072</v>
          </cell>
          <cell r="I556" t="str">
            <v>フレーム</v>
          </cell>
          <cell r="J556" t="str">
            <v>S-Frame_UX-10_H_KKKK</v>
          </cell>
          <cell r="K556" t="str">
            <v>S-フレーム_UX-10_H_KKKK</v>
          </cell>
          <cell r="L556" t="str">
            <v>S-Frame</v>
          </cell>
          <cell r="M556" t="str">
            <v>S-フレーム</v>
          </cell>
          <cell r="P556" t="str">
            <v>31B0</v>
          </cell>
          <cell r="Q556" t="str">
            <v>SS400</v>
          </cell>
          <cell r="R556" t="str">
            <v>E349496_01</v>
          </cell>
          <cell r="S556">
            <v>107</v>
          </cell>
          <cell r="T556" t="str">
            <v>標準</v>
          </cell>
        </row>
        <row r="557">
          <cell r="F557" t="str">
            <v>H0000010073</v>
          </cell>
          <cell r="I557" t="str">
            <v>フレーム</v>
          </cell>
          <cell r="J557" t="str">
            <v>S-Frame_UX-10_H_TKTK</v>
          </cell>
          <cell r="K557" t="str">
            <v>S-フレーム_UX-10_H_TKTK</v>
          </cell>
          <cell r="L557" t="str">
            <v>S-Frame</v>
          </cell>
          <cell r="M557" t="str">
            <v>S-フレーム</v>
          </cell>
          <cell r="P557" t="str">
            <v>31B0</v>
          </cell>
          <cell r="Q557" t="str">
            <v>SS400</v>
          </cell>
          <cell r="R557" t="str">
            <v>E349496_01</v>
          </cell>
          <cell r="S557">
            <v>107</v>
          </cell>
          <cell r="T557" t="str">
            <v>標準</v>
          </cell>
        </row>
        <row r="558">
          <cell r="F558" t="str">
            <v>H0000010074</v>
          </cell>
          <cell r="I558" t="str">
            <v>フレーム</v>
          </cell>
          <cell r="J558" t="str">
            <v>S-Frame_UX-10_H_KTKT</v>
          </cell>
          <cell r="K558" t="str">
            <v>S-フレーム_UX-10_H_KTKT</v>
          </cell>
          <cell r="L558" t="str">
            <v>S-Frame</v>
          </cell>
          <cell r="M558" t="str">
            <v>S-フレーム</v>
          </cell>
          <cell r="P558" t="str">
            <v>31B0</v>
          </cell>
          <cell r="Q558" t="str">
            <v>SS400</v>
          </cell>
          <cell r="R558" t="str">
            <v>E349496_01</v>
          </cell>
          <cell r="S558">
            <v>107</v>
          </cell>
          <cell r="T558" t="str">
            <v>標準</v>
          </cell>
        </row>
        <row r="559">
          <cell r="F559" t="str">
            <v>H0000010085</v>
          </cell>
          <cell r="I559" t="str">
            <v>フレーム</v>
          </cell>
          <cell r="J559" t="str">
            <v>S-Frame_UX-10_H_NNNN</v>
          </cell>
          <cell r="K559" t="str">
            <v>S-フレーム_UX-10_H_NNNN</v>
          </cell>
          <cell r="L559" t="str">
            <v>S-Frame</v>
          </cell>
          <cell r="M559" t="str">
            <v>S-フレーム</v>
          </cell>
          <cell r="P559" t="str">
            <v>31B0</v>
          </cell>
          <cell r="Q559" t="str">
            <v>SS400</v>
          </cell>
          <cell r="R559" t="str">
            <v>E349496_01</v>
          </cell>
          <cell r="S559">
            <v>107</v>
          </cell>
          <cell r="T559" t="str">
            <v>標準</v>
          </cell>
        </row>
        <row r="560">
          <cell r="F560" t="str">
            <v>H0000010086</v>
          </cell>
          <cell r="I560" t="str">
            <v>フレーム</v>
          </cell>
          <cell r="J560" t="str">
            <v>S-Frame_UX-10_H_TTTT</v>
          </cell>
          <cell r="K560" t="str">
            <v>S-フレーム_UX-10_H_TTTT</v>
          </cell>
          <cell r="L560" t="str">
            <v>S-Frame</v>
          </cell>
          <cell r="M560" t="str">
            <v>S-フレーム</v>
          </cell>
          <cell r="P560" t="str">
            <v>31B0</v>
          </cell>
          <cell r="Q560" t="str">
            <v>SS400</v>
          </cell>
          <cell r="R560" t="str">
            <v>E349496_01</v>
          </cell>
          <cell r="S560">
            <v>107</v>
          </cell>
          <cell r="T560" t="str">
            <v>標準</v>
          </cell>
        </row>
        <row r="561">
          <cell r="F561" t="str">
            <v>H0000010087</v>
          </cell>
          <cell r="I561" t="str">
            <v>フレーム</v>
          </cell>
          <cell r="J561" t="str">
            <v>S-Frame_UX-10_H_KKKK</v>
          </cell>
          <cell r="K561" t="str">
            <v>S-フレーム_UX-10_H_KKKK</v>
          </cell>
          <cell r="L561" t="str">
            <v>S-Frame</v>
          </cell>
          <cell r="M561" t="str">
            <v>S-フレーム</v>
          </cell>
          <cell r="P561" t="str">
            <v>31B0</v>
          </cell>
          <cell r="Q561" t="str">
            <v>SS400</v>
          </cell>
          <cell r="R561" t="str">
            <v>E349496_01</v>
          </cell>
          <cell r="S561">
            <v>107</v>
          </cell>
          <cell r="T561" t="str">
            <v>標準</v>
          </cell>
        </row>
        <row r="562">
          <cell r="F562" t="str">
            <v>H0000010088</v>
          </cell>
          <cell r="I562" t="str">
            <v>フレーム</v>
          </cell>
          <cell r="J562" t="str">
            <v>S-Frame_UX-10_H_TKTK</v>
          </cell>
          <cell r="K562" t="str">
            <v>S-フレーム_UX-10_H_TKTK</v>
          </cell>
          <cell r="L562" t="str">
            <v>S-Frame</v>
          </cell>
          <cell r="M562" t="str">
            <v>S-フレーム</v>
          </cell>
          <cell r="P562" t="str">
            <v>31B0</v>
          </cell>
          <cell r="Q562" t="str">
            <v>SS400</v>
          </cell>
          <cell r="R562" t="str">
            <v>E349496_01</v>
          </cell>
          <cell r="S562">
            <v>107</v>
          </cell>
          <cell r="T562" t="str">
            <v>標準</v>
          </cell>
        </row>
        <row r="563">
          <cell r="F563" t="str">
            <v>H0000010089</v>
          </cell>
          <cell r="I563" t="str">
            <v>フレーム</v>
          </cell>
          <cell r="J563" t="str">
            <v>S-Frame_UX-10_H_KTKT</v>
          </cell>
          <cell r="K563" t="str">
            <v>S-フレーム_UX-10_H_KTKT</v>
          </cell>
          <cell r="L563" t="str">
            <v>S-Frame</v>
          </cell>
          <cell r="M563" t="str">
            <v>S-フレーム</v>
          </cell>
          <cell r="P563" t="str">
            <v>31B0</v>
          </cell>
          <cell r="Q563" t="str">
            <v>SS400</v>
          </cell>
          <cell r="R563" t="str">
            <v>E349496_01</v>
          </cell>
          <cell r="S563">
            <v>107</v>
          </cell>
          <cell r="T563" t="str">
            <v>標準</v>
          </cell>
        </row>
        <row r="564">
          <cell r="F564" t="str">
            <v>H0000010090</v>
          </cell>
          <cell r="I564" t="str">
            <v>フレーム</v>
          </cell>
          <cell r="J564" t="str">
            <v>S-Frame_UX-10_H_NNNN</v>
          </cell>
          <cell r="K564" t="str">
            <v>S-フレーム_UX-10_H_NNNN</v>
          </cell>
          <cell r="L564" t="str">
            <v>S-Frame</v>
          </cell>
          <cell r="M564" t="str">
            <v>S-フレーム</v>
          </cell>
          <cell r="P564" t="str">
            <v>31B0</v>
          </cell>
          <cell r="Q564" t="str">
            <v>SS400</v>
          </cell>
          <cell r="R564" t="str">
            <v>E349496_01</v>
          </cell>
          <cell r="S564">
            <v>107</v>
          </cell>
          <cell r="T564" t="str">
            <v>標準</v>
          </cell>
        </row>
        <row r="565">
          <cell r="F565" t="str">
            <v>H0000010091</v>
          </cell>
          <cell r="I565" t="str">
            <v>フレーム</v>
          </cell>
          <cell r="J565" t="str">
            <v>S-Frame_UX-10_H_TTTT</v>
          </cell>
          <cell r="K565" t="str">
            <v>S-フレーム_UX-10_H_TTTT</v>
          </cell>
          <cell r="L565" t="str">
            <v>S-Frame</v>
          </cell>
          <cell r="M565" t="str">
            <v>S-フレーム</v>
          </cell>
          <cell r="P565" t="str">
            <v>31B0</v>
          </cell>
          <cell r="Q565" t="str">
            <v>SS400</v>
          </cell>
          <cell r="R565" t="str">
            <v>E349496_01</v>
          </cell>
          <cell r="S565">
            <v>107</v>
          </cell>
          <cell r="T565" t="str">
            <v>標準</v>
          </cell>
        </row>
        <row r="566">
          <cell r="F566" t="str">
            <v>H0000010092</v>
          </cell>
          <cell r="I566" t="str">
            <v>フレーム</v>
          </cell>
          <cell r="J566" t="str">
            <v>S-Frame_UX-10_H_KKKK</v>
          </cell>
          <cell r="K566" t="str">
            <v>S-フレーム_UX-10_H_KKKK</v>
          </cell>
          <cell r="L566" t="str">
            <v>S-Frame</v>
          </cell>
          <cell r="M566" t="str">
            <v>S-フレーム</v>
          </cell>
          <cell r="P566" t="str">
            <v>31B0</v>
          </cell>
          <cell r="Q566" t="str">
            <v>SS400</v>
          </cell>
          <cell r="R566" t="str">
            <v>E349496_01</v>
          </cell>
          <cell r="S566">
            <v>107</v>
          </cell>
          <cell r="T566" t="str">
            <v>標準</v>
          </cell>
        </row>
        <row r="567">
          <cell r="F567" t="str">
            <v>H0000010093</v>
          </cell>
          <cell r="I567" t="str">
            <v>フレーム</v>
          </cell>
          <cell r="J567" t="str">
            <v>S-Frame_UX-10_H_TKTK</v>
          </cell>
          <cell r="K567" t="str">
            <v>S-フレーム_UX-10_H_TKTK</v>
          </cell>
          <cell r="L567" t="str">
            <v>S-Frame</v>
          </cell>
          <cell r="M567" t="str">
            <v>S-フレーム</v>
          </cell>
          <cell r="P567" t="str">
            <v>31B0</v>
          </cell>
          <cell r="Q567" t="str">
            <v>SS400</v>
          </cell>
          <cell r="R567" t="str">
            <v>E349496_01</v>
          </cell>
          <cell r="S567">
            <v>107</v>
          </cell>
          <cell r="T567" t="str">
            <v>標準</v>
          </cell>
        </row>
        <row r="568">
          <cell r="F568" t="str">
            <v>H0000010094</v>
          </cell>
          <cell r="I568" t="str">
            <v>フレーム</v>
          </cell>
          <cell r="J568" t="str">
            <v>S-Frame_UX-10_H_KTKT</v>
          </cell>
          <cell r="K568" t="str">
            <v>S-フレーム_UX-10_H_KTKT</v>
          </cell>
          <cell r="L568" t="str">
            <v>S-Frame</v>
          </cell>
          <cell r="M568" t="str">
            <v>S-フレーム</v>
          </cell>
          <cell r="P568" t="str">
            <v>31B0</v>
          </cell>
          <cell r="Q568" t="str">
            <v>SS400</v>
          </cell>
          <cell r="R568" t="str">
            <v>E349496_01</v>
          </cell>
          <cell r="S568">
            <v>107</v>
          </cell>
          <cell r="T568" t="str">
            <v>標準</v>
          </cell>
        </row>
        <row r="569">
          <cell r="F569" t="str">
            <v>H0000010100</v>
          </cell>
          <cell r="I569" t="str">
            <v>フレーム</v>
          </cell>
          <cell r="J569" t="str">
            <v>S-Frame_UX-10_H_NNNN</v>
          </cell>
          <cell r="K569" t="str">
            <v>S-フレーム_UX-10_H_NNNN</v>
          </cell>
          <cell r="L569" t="str">
            <v>S-Frame</v>
          </cell>
          <cell r="M569" t="str">
            <v>S-フレーム</v>
          </cell>
          <cell r="P569" t="str">
            <v>31B0</v>
          </cell>
          <cell r="Q569" t="str">
            <v>SS400</v>
          </cell>
          <cell r="R569" t="str">
            <v>E349496_01</v>
          </cell>
          <cell r="S569">
            <v>107</v>
          </cell>
          <cell r="T569" t="str">
            <v>標準</v>
          </cell>
        </row>
        <row r="570">
          <cell r="F570" t="str">
            <v>H0000010101</v>
          </cell>
          <cell r="I570" t="str">
            <v>フレーム</v>
          </cell>
          <cell r="J570" t="str">
            <v>S-Frame_UX-10_H_TTTT</v>
          </cell>
          <cell r="K570" t="str">
            <v>S-フレーム_UX-10_H_TTTT</v>
          </cell>
          <cell r="L570" t="str">
            <v>S-Frame</v>
          </cell>
          <cell r="M570" t="str">
            <v>S-フレーム</v>
          </cell>
          <cell r="P570" t="str">
            <v>31B0</v>
          </cell>
          <cell r="Q570" t="str">
            <v>SS400</v>
          </cell>
          <cell r="R570" t="str">
            <v>E349496_01</v>
          </cell>
          <cell r="S570">
            <v>107</v>
          </cell>
          <cell r="T570" t="str">
            <v>標準</v>
          </cell>
        </row>
        <row r="571">
          <cell r="F571" t="str">
            <v>H0000010102</v>
          </cell>
          <cell r="I571" t="str">
            <v>フレーム</v>
          </cell>
          <cell r="J571" t="str">
            <v>S-Frame_UX-10_H_KKKK</v>
          </cell>
          <cell r="K571" t="str">
            <v>S-フレーム_UX-10_H_KKKK</v>
          </cell>
          <cell r="L571" t="str">
            <v>S-Frame</v>
          </cell>
          <cell r="M571" t="str">
            <v>S-フレーム</v>
          </cell>
          <cell r="P571" t="str">
            <v>31B0</v>
          </cell>
          <cell r="Q571" t="str">
            <v>SS400</v>
          </cell>
          <cell r="R571" t="str">
            <v>E349496_01</v>
          </cell>
          <cell r="S571">
            <v>107</v>
          </cell>
          <cell r="T571" t="str">
            <v>標準</v>
          </cell>
        </row>
        <row r="572">
          <cell r="F572" t="str">
            <v>H0000010103</v>
          </cell>
          <cell r="I572" t="str">
            <v>フレーム</v>
          </cell>
          <cell r="J572" t="str">
            <v>S-Frame_UX-10_H_TKTK</v>
          </cell>
          <cell r="K572" t="str">
            <v>S-フレーム_UX-10_H_TKTK</v>
          </cell>
          <cell r="L572" t="str">
            <v>S-Frame</v>
          </cell>
          <cell r="M572" t="str">
            <v>S-フレーム</v>
          </cell>
          <cell r="P572" t="str">
            <v>31B0</v>
          </cell>
          <cell r="Q572" t="str">
            <v>SS400</v>
          </cell>
          <cell r="R572" t="str">
            <v>E349496_01</v>
          </cell>
          <cell r="S572">
            <v>107</v>
          </cell>
          <cell r="T572" t="str">
            <v>標準</v>
          </cell>
        </row>
        <row r="573">
          <cell r="F573" t="str">
            <v>H0000010104</v>
          </cell>
          <cell r="I573" t="str">
            <v>フレーム</v>
          </cell>
          <cell r="J573" t="str">
            <v>S-Frame_UX-10_H_KTKT</v>
          </cell>
          <cell r="K573" t="str">
            <v>S-フレーム_UX-10_H_KTKT</v>
          </cell>
          <cell r="L573" t="str">
            <v>S-Frame</v>
          </cell>
          <cell r="M573" t="str">
            <v>S-フレーム</v>
          </cell>
          <cell r="P573" t="str">
            <v>31B0</v>
          </cell>
          <cell r="Q573" t="str">
            <v>SS400</v>
          </cell>
          <cell r="R573" t="str">
            <v>E349496_01</v>
          </cell>
          <cell r="S573">
            <v>107</v>
          </cell>
          <cell r="T573" t="str">
            <v>標準</v>
          </cell>
        </row>
        <row r="574">
          <cell r="F574" t="str">
            <v>H0000010140</v>
          </cell>
          <cell r="I574" t="str">
            <v>フレーム</v>
          </cell>
          <cell r="J574" t="str">
            <v>S-Frame_UX-10_H_NNNN</v>
          </cell>
          <cell r="K574" t="str">
            <v>S-フレーム_UX-10_H_NNNN</v>
          </cell>
          <cell r="L574" t="str">
            <v>S-Frame</v>
          </cell>
          <cell r="M574" t="str">
            <v>S-フレーム</v>
          </cell>
          <cell r="P574" t="str">
            <v>31B0</v>
          </cell>
          <cell r="Q574" t="str">
            <v>SS400</v>
          </cell>
          <cell r="R574" t="str">
            <v>E349496_01</v>
          </cell>
          <cell r="S574">
            <v>107</v>
          </cell>
          <cell r="T574" t="str">
            <v>標準</v>
          </cell>
        </row>
        <row r="575">
          <cell r="F575" t="str">
            <v>H0000010141</v>
          </cell>
          <cell r="I575" t="str">
            <v>フレーム</v>
          </cell>
          <cell r="J575" t="str">
            <v>S-Frame_UX-10_H_TTTT</v>
          </cell>
          <cell r="K575" t="str">
            <v>S-フレーム_UX-10_H_TTTT</v>
          </cell>
          <cell r="L575" t="str">
            <v>S-Frame</v>
          </cell>
          <cell r="M575" t="str">
            <v>S-フレーム</v>
          </cell>
          <cell r="P575" t="str">
            <v>31B0</v>
          </cell>
          <cell r="Q575" t="str">
            <v>SS400</v>
          </cell>
          <cell r="R575" t="str">
            <v>E349496_01</v>
          </cell>
          <cell r="S575">
            <v>107</v>
          </cell>
          <cell r="T575" t="str">
            <v>標準</v>
          </cell>
        </row>
        <row r="576">
          <cell r="F576" t="str">
            <v>H0000010142</v>
          </cell>
          <cell r="I576" t="str">
            <v>フレーム</v>
          </cell>
          <cell r="J576" t="str">
            <v>S-Frame_UX-10_H_KKKK</v>
          </cell>
          <cell r="K576" t="str">
            <v>S-フレーム_UX-10_H_KKKK</v>
          </cell>
          <cell r="L576" t="str">
            <v>S-Frame</v>
          </cell>
          <cell r="M576" t="str">
            <v>S-フレーム</v>
          </cell>
          <cell r="P576" t="str">
            <v>31B0</v>
          </cell>
          <cell r="Q576" t="str">
            <v>SS400</v>
          </cell>
          <cell r="R576" t="str">
            <v>E349496_01</v>
          </cell>
          <cell r="S576">
            <v>107</v>
          </cell>
          <cell r="T576" t="str">
            <v>標準</v>
          </cell>
        </row>
        <row r="577">
          <cell r="F577" t="str">
            <v>H0000010143</v>
          </cell>
          <cell r="I577" t="str">
            <v>フレーム</v>
          </cell>
          <cell r="J577" t="str">
            <v>S-Frame_UX-10_H_TKTK</v>
          </cell>
          <cell r="K577" t="str">
            <v>S-フレーム_UX-10_H_TKTK</v>
          </cell>
          <cell r="L577" t="str">
            <v>S-Frame</v>
          </cell>
          <cell r="M577" t="str">
            <v>S-フレーム</v>
          </cell>
          <cell r="P577" t="str">
            <v>31B0</v>
          </cell>
          <cell r="Q577" t="str">
            <v>SS400</v>
          </cell>
          <cell r="R577" t="str">
            <v>E349496_01</v>
          </cell>
          <cell r="S577">
            <v>107</v>
          </cell>
          <cell r="T577" t="str">
            <v>標準</v>
          </cell>
        </row>
        <row r="578">
          <cell r="F578" t="str">
            <v>H0000010144</v>
          </cell>
          <cell r="I578" t="str">
            <v>フレーム</v>
          </cell>
          <cell r="J578" t="str">
            <v>S-Frame_UX-10_H_KTKT</v>
          </cell>
          <cell r="K578" t="str">
            <v>S-フレーム_UX-10_H_KTKT</v>
          </cell>
          <cell r="L578" t="str">
            <v>S-Frame</v>
          </cell>
          <cell r="M578" t="str">
            <v>S-フレーム</v>
          </cell>
          <cell r="P578" t="str">
            <v>31B0</v>
          </cell>
          <cell r="Q578" t="str">
            <v>SS400</v>
          </cell>
          <cell r="R578" t="str">
            <v>E349496_01</v>
          </cell>
          <cell r="S578">
            <v>107</v>
          </cell>
          <cell r="T578" t="str">
            <v>標準</v>
          </cell>
        </row>
        <row r="579">
          <cell r="F579" t="str">
            <v>H0000010145</v>
          </cell>
          <cell r="I579" t="str">
            <v>フレーム</v>
          </cell>
          <cell r="J579" t="str">
            <v>S-Frame_UX-10_H_NNNN</v>
          </cell>
          <cell r="K579" t="str">
            <v>S-フレーム_UX-10_H_NNNN</v>
          </cell>
          <cell r="L579" t="str">
            <v>S-Frame</v>
          </cell>
          <cell r="M579" t="str">
            <v>S-フレーム</v>
          </cell>
          <cell r="P579" t="str">
            <v>31B0</v>
          </cell>
          <cell r="Q579" t="str">
            <v>SS400</v>
          </cell>
          <cell r="R579" t="str">
            <v>E349496_01</v>
          </cell>
          <cell r="S579">
            <v>107</v>
          </cell>
          <cell r="T579" t="str">
            <v>標準</v>
          </cell>
        </row>
        <row r="580">
          <cell r="F580" t="str">
            <v>H0000010146</v>
          </cell>
          <cell r="I580" t="str">
            <v>フレーム</v>
          </cell>
          <cell r="J580" t="str">
            <v>S-Frame_UX-10_H_TTTT</v>
          </cell>
          <cell r="K580" t="str">
            <v>S-フレーム_UX-10_H_TTTT</v>
          </cell>
          <cell r="L580" t="str">
            <v>S-Frame</v>
          </cell>
          <cell r="M580" t="str">
            <v>S-フレーム</v>
          </cell>
          <cell r="P580" t="str">
            <v>31B0</v>
          </cell>
          <cell r="Q580" t="str">
            <v>SS400</v>
          </cell>
          <cell r="R580" t="str">
            <v>E349496_01</v>
          </cell>
          <cell r="S580">
            <v>107</v>
          </cell>
          <cell r="T580" t="str">
            <v>標準</v>
          </cell>
        </row>
        <row r="581">
          <cell r="F581" t="str">
            <v>H0000010147</v>
          </cell>
          <cell r="I581" t="str">
            <v>フレーム</v>
          </cell>
          <cell r="J581" t="str">
            <v>S-Frame_UX-10_H_KKKK</v>
          </cell>
          <cell r="K581" t="str">
            <v>S-フレーム_UX-10_H_KKKK</v>
          </cell>
          <cell r="L581" t="str">
            <v>S-Frame</v>
          </cell>
          <cell r="M581" t="str">
            <v>S-フレーム</v>
          </cell>
          <cell r="P581" t="str">
            <v>31B0</v>
          </cell>
          <cell r="Q581" t="str">
            <v>SS400</v>
          </cell>
          <cell r="R581" t="str">
            <v>E349496_01</v>
          </cell>
          <cell r="S581">
            <v>107</v>
          </cell>
          <cell r="T581" t="str">
            <v>標準</v>
          </cell>
        </row>
        <row r="582">
          <cell r="F582" t="str">
            <v>H0000010148</v>
          </cell>
          <cell r="I582" t="str">
            <v>フレーム</v>
          </cell>
          <cell r="J582" t="str">
            <v>S-Frame_UX-10_H_TKTK</v>
          </cell>
          <cell r="K582" t="str">
            <v>S-フレーム_UX-10_H_TKTK</v>
          </cell>
          <cell r="L582" t="str">
            <v>S-Frame</v>
          </cell>
          <cell r="M582" t="str">
            <v>S-フレーム</v>
          </cell>
          <cell r="P582" t="str">
            <v>31B0</v>
          </cell>
          <cell r="Q582" t="str">
            <v>SS400</v>
          </cell>
          <cell r="R582" t="str">
            <v>E349496_01</v>
          </cell>
          <cell r="S582">
            <v>107</v>
          </cell>
          <cell r="T582" t="str">
            <v>標準</v>
          </cell>
        </row>
        <row r="583">
          <cell r="F583" t="str">
            <v>H0000010149</v>
          </cell>
          <cell r="I583" t="str">
            <v>フレーム</v>
          </cell>
          <cell r="J583" t="str">
            <v>S-Frame_UX-10_H_KTKT</v>
          </cell>
          <cell r="K583" t="str">
            <v>S-フレーム_UX-10_H_KTKT</v>
          </cell>
          <cell r="L583" t="str">
            <v>S-Frame</v>
          </cell>
          <cell r="M583" t="str">
            <v>S-フレーム</v>
          </cell>
          <cell r="P583" t="str">
            <v>31B0</v>
          </cell>
          <cell r="Q583" t="str">
            <v>SS400</v>
          </cell>
          <cell r="R583" t="str">
            <v>E349496_01</v>
          </cell>
          <cell r="S583">
            <v>107</v>
          </cell>
          <cell r="T583" t="str">
            <v>標準</v>
          </cell>
        </row>
        <row r="584">
          <cell r="F584" t="str">
            <v>H0000010310</v>
          </cell>
          <cell r="I584" t="str">
            <v>フレーム</v>
          </cell>
          <cell r="J584" t="str">
            <v>S-Frame_UX-10_U_TTTT</v>
          </cell>
          <cell r="K584" t="str">
            <v>S-フレーム_UX-10_U_TTTT</v>
          </cell>
          <cell r="L584" t="str">
            <v>S-Frame</v>
          </cell>
          <cell r="M584" t="str">
            <v>S-フレーム</v>
          </cell>
          <cell r="P584" t="str">
            <v>31B0</v>
          </cell>
          <cell r="Q584" t="str">
            <v>SS400</v>
          </cell>
          <cell r="R584" t="str">
            <v>E349496_01</v>
          </cell>
          <cell r="S584">
            <v>120</v>
          </cell>
          <cell r="T584" t="str">
            <v>標準</v>
          </cell>
        </row>
        <row r="585">
          <cell r="F585" t="str">
            <v>H0000010311</v>
          </cell>
          <cell r="I585" t="str">
            <v>フレーム</v>
          </cell>
          <cell r="J585" t="str">
            <v>S-Frame_UX-10_U_KKKK</v>
          </cell>
          <cell r="K585" t="str">
            <v>S-フレーム_UX-10_U_KKKK</v>
          </cell>
          <cell r="L585" t="str">
            <v>S-Frame</v>
          </cell>
          <cell r="M585" t="str">
            <v>S-フレーム</v>
          </cell>
          <cell r="P585" t="str">
            <v>31B0</v>
          </cell>
          <cell r="Q585" t="str">
            <v>SS400</v>
          </cell>
          <cell r="R585" t="str">
            <v>E349496_01</v>
          </cell>
          <cell r="S585">
            <v>120</v>
          </cell>
          <cell r="T585" t="str">
            <v>標準</v>
          </cell>
        </row>
        <row r="586">
          <cell r="F586" t="str">
            <v>H0000010312</v>
          </cell>
          <cell r="I586" t="str">
            <v>フレーム</v>
          </cell>
          <cell r="J586" t="str">
            <v>S-Frame_UX-10_U_TKTK</v>
          </cell>
          <cell r="K586" t="str">
            <v>S-フレーム_UX-10_U_TKTK</v>
          </cell>
          <cell r="L586" t="str">
            <v>S-Frame</v>
          </cell>
          <cell r="M586" t="str">
            <v>S-フレーム</v>
          </cell>
          <cell r="P586" t="str">
            <v>31B0</v>
          </cell>
          <cell r="Q586" t="str">
            <v>SS400</v>
          </cell>
          <cell r="R586" t="str">
            <v>E349496_01</v>
          </cell>
          <cell r="S586">
            <v>120</v>
          </cell>
          <cell r="T586" t="str">
            <v>標準</v>
          </cell>
        </row>
        <row r="587">
          <cell r="F587" t="str">
            <v>H0000010313</v>
          </cell>
          <cell r="I587" t="str">
            <v>フレーム</v>
          </cell>
          <cell r="J587" t="str">
            <v>S-Frame_UX-10_U_KTKT</v>
          </cell>
          <cell r="K587" t="str">
            <v>S-フレーム_UX-10_U_KTKT</v>
          </cell>
          <cell r="L587" t="str">
            <v>S-Frame</v>
          </cell>
          <cell r="M587" t="str">
            <v>S-フレーム</v>
          </cell>
          <cell r="P587" t="str">
            <v>31B0</v>
          </cell>
          <cell r="Q587" t="str">
            <v>SS400</v>
          </cell>
          <cell r="R587" t="str">
            <v>E349496_01</v>
          </cell>
          <cell r="S587">
            <v>120</v>
          </cell>
          <cell r="T587" t="str">
            <v>標準</v>
          </cell>
        </row>
        <row r="588">
          <cell r="F588" t="str">
            <v>H0000010314</v>
          </cell>
          <cell r="I588" t="str">
            <v>フレーム</v>
          </cell>
          <cell r="J588" t="str">
            <v>S-Frame_UX-10_U_TTTT</v>
          </cell>
          <cell r="K588" t="str">
            <v>S-フレーム_UX-10_U_TTTT</v>
          </cell>
          <cell r="L588" t="str">
            <v>S-Frame</v>
          </cell>
          <cell r="M588" t="str">
            <v>S-フレーム</v>
          </cell>
          <cell r="P588" t="str">
            <v>31B0</v>
          </cell>
          <cell r="Q588" t="str">
            <v>SS400</v>
          </cell>
          <cell r="R588" t="str">
            <v>E349496_01</v>
          </cell>
          <cell r="S588">
            <v>120</v>
          </cell>
          <cell r="T588" t="str">
            <v>標準</v>
          </cell>
        </row>
        <row r="589">
          <cell r="F589" t="str">
            <v>H0000010315</v>
          </cell>
          <cell r="I589" t="str">
            <v>フレーム</v>
          </cell>
          <cell r="J589" t="str">
            <v>S-Frame_UX-10_U_KKKK</v>
          </cell>
          <cell r="K589" t="str">
            <v>S-フレーム_UX-10_U_KKKK</v>
          </cell>
          <cell r="L589" t="str">
            <v>S-Frame</v>
          </cell>
          <cell r="M589" t="str">
            <v>S-フレーム</v>
          </cell>
          <cell r="P589" t="str">
            <v>31B0</v>
          </cell>
          <cell r="Q589" t="str">
            <v>SS400</v>
          </cell>
          <cell r="R589" t="str">
            <v>E349496_01</v>
          </cell>
          <cell r="S589">
            <v>120</v>
          </cell>
          <cell r="T589" t="str">
            <v>標準</v>
          </cell>
        </row>
        <row r="590">
          <cell r="F590" t="str">
            <v>H0000010316</v>
          </cell>
          <cell r="I590" t="str">
            <v>フレーム</v>
          </cell>
          <cell r="J590" t="str">
            <v>S-Frame_UX-10_U_TKTK</v>
          </cell>
          <cell r="K590" t="str">
            <v>S-フレーム_UX-10_U_TKTK</v>
          </cell>
          <cell r="L590" t="str">
            <v>S-Frame</v>
          </cell>
          <cell r="M590" t="str">
            <v>S-フレーム</v>
          </cell>
          <cell r="P590" t="str">
            <v>31B0</v>
          </cell>
          <cell r="Q590" t="str">
            <v>SS400</v>
          </cell>
          <cell r="R590" t="str">
            <v>E349496_01</v>
          </cell>
          <cell r="S590">
            <v>120</v>
          </cell>
          <cell r="T590" t="str">
            <v>標準</v>
          </cell>
        </row>
        <row r="591">
          <cell r="F591" t="str">
            <v>H0000010317</v>
          </cell>
          <cell r="I591" t="str">
            <v>フレーム</v>
          </cell>
          <cell r="J591" t="str">
            <v>S-Frame_UX-10_U_KTKT</v>
          </cell>
          <cell r="K591" t="str">
            <v>S-フレーム_UX-10_U_KTKT</v>
          </cell>
          <cell r="L591" t="str">
            <v>S-Frame</v>
          </cell>
          <cell r="M591" t="str">
            <v>S-フレーム</v>
          </cell>
          <cell r="P591" t="str">
            <v>31B0</v>
          </cell>
          <cell r="Q591" t="str">
            <v>SS400</v>
          </cell>
          <cell r="R591" t="str">
            <v>E349496_01</v>
          </cell>
          <cell r="S591">
            <v>120</v>
          </cell>
          <cell r="T591" t="str">
            <v>標準</v>
          </cell>
        </row>
        <row r="592">
          <cell r="F592" t="str">
            <v>H0000010322</v>
          </cell>
          <cell r="I592" t="str">
            <v>フレーム</v>
          </cell>
          <cell r="J592" t="str">
            <v>S-Frame_UX-10_U_TTTT</v>
          </cell>
          <cell r="K592" t="str">
            <v>S-フレーム_UX-10_U_TTTT</v>
          </cell>
          <cell r="L592" t="str">
            <v>S-Frame</v>
          </cell>
          <cell r="M592" t="str">
            <v>S-フレーム</v>
          </cell>
          <cell r="P592" t="str">
            <v>31B0</v>
          </cell>
          <cell r="Q592" t="str">
            <v>SS400</v>
          </cell>
          <cell r="R592" t="str">
            <v>E349496_01</v>
          </cell>
          <cell r="S592">
            <v>120</v>
          </cell>
          <cell r="T592" t="str">
            <v>標準</v>
          </cell>
        </row>
        <row r="593">
          <cell r="F593" t="str">
            <v>H0000010323</v>
          </cell>
          <cell r="I593" t="str">
            <v>フレーム</v>
          </cell>
          <cell r="J593" t="str">
            <v>S-Frame_UX-10_U_KKKK</v>
          </cell>
          <cell r="K593" t="str">
            <v>S-フレーム_UX-10_U_KKKK</v>
          </cell>
          <cell r="L593" t="str">
            <v>S-Frame</v>
          </cell>
          <cell r="M593" t="str">
            <v>S-フレーム</v>
          </cell>
          <cell r="P593" t="str">
            <v>31B0</v>
          </cell>
          <cell r="Q593" t="str">
            <v>SS400</v>
          </cell>
          <cell r="R593" t="str">
            <v>E349496_01</v>
          </cell>
          <cell r="S593">
            <v>120</v>
          </cell>
          <cell r="T593" t="str">
            <v>標準</v>
          </cell>
        </row>
        <row r="594">
          <cell r="F594" t="str">
            <v>H0000010324</v>
          </cell>
          <cell r="I594" t="str">
            <v>フレーム</v>
          </cell>
          <cell r="J594" t="str">
            <v>S-Frame_UX-10_U_TKTK</v>
          </cell>
          <cell r="K594" t="str">
            <v>S-フレーム_UX-10_U_TKTK</v>
          </cell>
          <cell r="L594" t="str">
            <v>S-Frame</v>
          </cell>
          <cell r="M594" t="str">
            <v>S-フレーム</v>
          </cell>
          <cell r="P594" t="str">
            <v>31B0</v>
          </cell>
          <cell r="Q594" t="str">
            <v>SS400</v>
          </cell>
          <cell r="R594" t="str">
            <v>E349496_01</v>
          </cell>
          <cell r="S594">
            <v>120</v>
          </cell>
          <cell r="T594" t="str">
            <v>標準</v>
          </cell>
        </row>
        <row r="595">
          <cell r="F595" t="str">
            <v>H0000010325</v>
          </cell>
          <cell r="I595" t="str">
            <v>フレーム</v>
          </cell>
          <cell r="J595" t="str">
            <v>S-Frame_UX-10_U_KTKT</v>
          </cell>
          <cell r="K595" t="str">
            <v>S-フレーム_UX-10_U_KTKT</v>
          </cell>
          <cell r="L595" t="str">
            <v>S-Frame</v>
          </cell>
          <cell r="M595" t="str">
            <v>S-フレーム</v>
          </cell>
          <cell r="P595" t="str">
            <v>31B0</v>
          </cell>
          <cell r="Q595" t="str">
            <v>SS400</v>
          </cell>
          <cell r="R595" t="str">
            <v>E349496_01</v>
          </cell>
          <cell r="S595">
            <v>120</v>
          </cell>
          <cell r="T595" t="str">
            <v>標準</v>
          </cell>
        </row>
        <row r="596">
          <cell r="F596" t="str">
            <v>H0000010354</v>
          </cell>
          <cell r="I596" t="str">
            <v>フレーム</v>
          </cell>
          <cell r="J596" t="str">
            <v>S-Frame_UX-10_U_TTTT</v>
          </cell>
          <cell r="K596" t="str">
            <v>S-フレーム_UX-10_U_TTTT</v>
          </cell>
          <cell r="L596" t="str">
            <v>S-Frame</v>
          </cell>
          <cell r="M596" t="str">
            <v>S-フレーム</v>
          </cell>
          <cell r="P596" t="str">
            <v>31B0</v>
          </cell>
          <cell r="Q596" t="str">
            <v>SS400</v>
          </cell>
          <cell r="R596" t="str">
            <v>E349496_01</v>
          </cell>
          <cell r="S596">
            <v>120</v>
          </cell>
          <cell r="T596" t="str">
            <v>標準</v>
          </cell>
        </row>
        <row r="597">
          <cell r="F597" t="str">
            <v>H0000010355</v>
          </cell>
          <cell r="I597" t="str">
            <v>フレーム</v>
          </cell>
          <cell r="J597" t="str">
            <v>S-Frame_UX-10_U_KKKK</v>
          </cell>
          <cell r="K597" t="str">
            <v>S-フレーム_UX-10_U_KKKK</v>
          </cell>
          <cell r="L597" t="str">
            <v>S-Frame</v>
          </cell>
          <cell r="M597" t="str">
            <v>S-フレーム</v>
          </cell>
          <cell r="P597" t="str">
            <v>31B0</v>
          </cell>
          <cell r="Q597" t="str">
            <v>SS400</v>
          </cell>
          <cell r="R597" t="str">
            <v>E349496_01</v>
          </cell>
          <cell r="S597">
            <v>120</v>
          </cell>
          <cell r="T597" t="str">
            <v>標準</v>
          </cell>
        </row>
        <row r="598">
          <cell r="F598" t="str">
            <v>H0000010356</v>
          </cell>
          <cell r="I598" t="str">
            <v>フレーム</v>
          </cell>
          <cell r="J598" t="str">
            <v>S-Frame_UX-10_U_TKTK</v>
          </cell>
          <cell r="K598" t="str">
            <v>S-フレーム_UX-10_U_TKTK</v>
          </cell>
          <cell r="L598" t="str">
            <v>S-Frame</v>
          </cell>
          <cell r="M598" t="str">
            <v>S-フレーム</v>
          </cell>
          <cell r="P598" t="str">
            <v>31B0</v>
          </cell>
          <cell r="Q598" t="str">
            <v>SS400</v>
          </cell>
          <cell r="R598" t="str">
            <v>E349496_01</v>
          </cell>
          <cell r="S598">
            <v>120</v>
          </cell>
          <cell r="T598" t="str">
            <v>標準</v>
          </cell>
        </row>
        <row r="599">
          <cell r="F599" t="str">
            <v>H0000010357</v>
          </cell>
          <cell r="I599" t="str">
            <v>フレーム</v>
          </cell>
          <cell r="J599" t="str">
            <v>S-Frame_UX-10_U_KTKT</v>
          </cell>
          <cell r="K599" t="str">
            <v>S-フレーム_UX-10_U_KTKT</v>
          </cell>
          <cell r="L599" t="str">
            <v>S-Frame</v>
          </cell>
          <cell r="M599" t="str">
            <v>S-フレーム</v>
          </cell>
          <cell r="P599" t="str">
            <v>31B0</v>
          </cell>
          <cell r="Q599" t="str">
            <v>SS400</v>
          </cell>
          <cell r="R599" t="str">
            <v>E349496_01</v>
          </cell>
          <cell r="S599">
            <v>120</v>
          </cell>
          <cell r="T599" t="str">
            <v>標準</v>
          </cell>
        </row>
        <row r="600">
          <cell r="F600" t="str">
            <v>H0000010358</v>
          </cell>
          <cell r="I600" t="str">
            <v>フレーム</v>
          </cell>
          <cell r="J600" t="str">
            <v>S-Frame_UX-10_U_TTTT</v>
          </cell>
          <cell r="K600" t="str">
            <v>S-フレーム_UX-10_U_TTTT</v>
          </cell>
          <cell r="L600" t="str">
            <v>S-Frame</v>
          </cell>
          <cell r="M600" t="str">
            <v>S-フレーム</v>
          </cell>
          <cell r="P600" t="str">
            <v>31B0</v>
          </cell>
          <cell r="Q600" t="str">
            <v>SS400</v>
          </cell>
          <cell r="R600" t="str">
            <v>E349496_01</v>
          </cell>
          <cell r="S600">
            <v>120</v>
          </cell>
          <cell r="T600" t="str">
            <v>標準</v>
          </cell>
        </row>
        <row r="601">
          <cell r="F601" t="str">
            <v>H0000010359</v>
          </cell>
          <cell r="I601" t="str">
            <v>フレーム</v>
          </cell>
          <cell r="J601" t="str">
            <v>S-Frame_UX-10_U_KKKK</v>
          </cell>
          <cell r="K601" t="str">
            <v>S-フレーム_UX-10_U_KKKK</v>
          </cell>
          <cell r="L601" t="str">
            <v>S-Frame</v>
          </cell>
          <cell r="M601" t="str">
            <v>S-フレーム</v>
          </cell>
          <cell r="P601" t="str">
            <v>31B0</v>
          </cell>
          <cell r="Q601" t="str">
            <v>SS400</v>
          </cell>
          <cell r="R601" t="str">
            <v>E349496_01</v>
          </cell>
          <cell r="S601">
            <v>120</v>
          </cell>
          <cell r="T601" t="str">
            <v>標準</v>
          </cell>
        </row>
        <row r="602">
          <cell r="F602" t="str">
            <v>H0000010360</v>
          </cell>
          <cell r="I602" t="str">
            <v>フレーム</v>
          </cell>
          <cell r="J602" t="str">
            <v>S-Frame_UX-10_U_TKTK</v>
          </cell>
          <cell r="K602" t="str">
            <v>S-フレーム_UX-10_U_TKTK</v>
          </cell>
          <cell r="L602" t="str">
            <v>S-Frame</v>
          </cell>
          <cell r="M602" t="str">
            <v>S-フレーム</v>
          </cell>
          <cell r="P602" t="str">
            <v>31B0</v>
          </cell>
          <cell r="Q602" t="str">
            <v>SS400</v>
          </cell>
          <cell r="R602" t="str">
            <v>E349496_01</v>
          </cell>
          <cell r="S602">
            <v>120</v>
          </cell>
          <cell r="T602" t="str">
            <v>標準</v>
          </cell>
        </row>
        <row r="603">
          <cell r="F603" t="str">
            <v>H0000010361</v>
          </cell>
          <cell r="I603" t="str">
            <v>フレーム</v>
          </cell>
          <cell r="J603" t="str">
            <v>S-Frame_UX-10_U_KTKT</v>
          </cell>
          <cell r="K603" t="str">
            <v>S-フレーム_UX-10_U_KTKT</v>
          </cell>
          <cell r="L603" t="str">
            <v>S-Frame</v>
          </cell>
          <cell r="M603" t="str">
            <v>S-フレーム</v>
          </cell>
          <cell r="P603" t="str">
            <v>31B0</v>
          </cell>
          <cell r="Q603" t="str">
            <v>SS400</v>
          </cell>
          <cell r="R603" t="str">
            <v>E349496_01</v>
          </cell>
          <cell r="S603">
            <v>120</v>
          </cell>
          <cell r="T603" t="str">
            <v>標準</v>
          </cell>
        </row>
        <row r="604">
          <cell r="F604" t="str">
            <v>H0000010370</v>
          </cell>
          <cell r="I604" t="str">
            <v>フレーム</v>
          </cell>
          <cell r="J604" t="str">
            <v>S-Frame_UX-10_U_TTTT</v>
          </cell>
          <cell r="K604" t="str">
            <v>S-フレーム_UX-10_U_TTTT</v>
          </cell>
          <cell r="L604" t="str">
            <v>S-Frame</v>
          </cell>
          <cell r="M604" t="str">
            <v>S-フレーム</v>
          </cell>
          <cell r="P604" t="str">
            <v>31B0</v>
          </cell>
          <cell r="Q604" t="str">
            <v>SS400</v>
          </cell>
          <cell r="R604" t="str">
            <v>E349496_01</v>
          </cell>
          <cell r="S604">
            <v>120</v>
          </cell>
          <cell r="T604" t="str">
            <v>標準</v>
          </cell>
        </row>
        <row r="605">
          <cell r="F605" t="str">
            <v>H0000010371</v>
          </cell>
          <cell r="I605" t="str">
            <v>フレーム</v>
          </cell>
          <cell r="J605" t="str">
            <v>S-Frame_UX-10_U_KKKK</v>
          </cell>
          <cell r="K605" t="str">
            <v>S-フレーム_UX-10_U_KKKK</v>
          </cell>
          <cell r="L605" t="str">
            <v>S-Frame</v>
          </cell>
          <cell r="M605" t="str">
            <v>S-フレーム</v>
          </cell>
          <cell r="P605" t="str">
            <v>31B0</v>
          </cell>
          <cell r="Q605" t="str">
            <v>SS400</v>
          </cell>
          <cell r="R605" t="str">
            <v>E349496_01</v>
          </cell>
          <cell r="S605">
            <v>120</v>
          </cell>
          <cell r="T605" t="str">
            <v>標準</v>
          </cell>
        </row>
        <row r="606">
          <cell r="F606" t="str">
            <v>H0000010372</v>
          </cell>
          <cell r="I606" t="str">
            <v>フレーム</v>
          </cell>
          <cell r="J606" t="str">
            <v>S-Frame_UX-10_U_TKTK</v>
          </cell>
          <cell r="K606" t="str">
            <v>S-フレーム_UX-10_U_TKTK</v>
          </cell>
          <cell r="L606" t="str">
            <v>S-Frame</v>
          </cell>
          <cell r="M606" t="str">
            <v>S-フレーム</v>
          </cell>
          <cell r="P606" t="str">
            <v>31B0</v>
          </cell>
          <cell r="Q606" t="str">
            <v>SS400</v>
          </cell>
          <cell r="R606" t="str">
            <v>E349496_01</v>
          </cell>
          <cell r="S606">
            <v>120</v>
          </cell>
          <cell r="T606" t="str">
            <v>標準</v>
          </cell>
        </row>
        <row r="607">
          <cell r="F607" t="str">
            <v>H0000010373</v>
          </cell>
          <cell r="I607" t="str">
            <v>フレーム</v>
          </cell>
          <cell r="J607" t="str">
            <v>S-Frame_UX-10_U_KTKT</v>
          </cell>
          <cell r="K607" t="str">
            <v>S-フレーム_UX-10_U_KTKT</v>
          </cell>
          <cell r="L607" t="str">
            <v>S-Frame</v>
          </cell>
          <cell r="M607" t="str">
            <v>S-フレーム</v>
          </cell>
          <cell r="P607" t="str">
            <v>31B0</v>
          </cell>
          <cell r="Q607" t="str">
            <v>SS400</v>
          </cell>
          <cell r="R607" t="str">
            <v>E349496_01</v>
          </cell>
          <cell r="S607">
            <v>120</v>
          </cell>
          <cell r="T607" t="str">
            <v>標準</v>
          </cell>
        </row>
        <row r="608">
          <cell r="F608" t="str">
            <v>H0000010374</v>
          </cell>
          <cell r="I608" t="str">
            <v>フレーム</v>
          </cell>
          <cell r="J608" t="str">
            <v>S-Frame_UX-10_U_TTTT</v>
          </cell>
          <cell r="K608" t="str">
            <v>S-フレーム_UX-10_U_TTTT</v>
          </cell>
          <cell r="L608" t="str">
            <v>S-Frame</v>
          </cell>
          <cell r="M608" t="str">
            <v>S-フレーム</v>
          </cell>
          <cell r="P608" t="str">
            <v>31B0</v>
          </cell>
          <cell r="Q608" t="str">
            <v>SS400</v>
          </cell>
          <cell r="R608" t="str">
            <v>E349496_01</v>
          </cell>
          <cell r="S608">
            <v>120</v>
          </cell>
          <cell r="T608" t="str">
            <v>標準</v>
          </cell>
        </row>
        <row r="609">
          <cell r="F609" t="str">
            <v>H0000010375</v>
          </cell>
          <cell r="I609" t="str">
            <v>フレーム</v>
          </cell>
          <cell r="J609" t="str">
            <v>S-Frame_UX-10_U_KKKK</v>
          </cell>
          <cell r="K609" t="str">
            <v>S-フレーム_UX-10_U_KKKK</v>
          </cell>
          <cell r="L609" t="str">
            <v>S-Frame</v>
          </cell>
          <cell r="M609" t="str">
            <v>S-フレーム</v>
          </cell>
          <cell r="P609" t="str">
            <v>31B0</v>
          </cell>
          <cell r="Q609" t="str">
            <v>SS400</v>
          </cell>
          <cell r="R609" t="str">
            <v>E349496_01</v>
          </cell>
          <cell r="S609">
            <v>120</v>
          </cell>
          <cell r="T609" t="str">
            <v>標準</v>
          </cell>
        </row>
        <row r="610">
          <cell r="F610" t="str">
            <v>H0000010376</v>
          </cell>
          <cell r="I610" t="str">
            <v>フレーム</v>
          </cell>
          <cell r="J610" t="str">
            <v>S-Frame_UX-10_U_TKTK</v>
          </cell>
          <cell r="K610" t="str">
            <v>S-フレーム_UX-10_U_TKTK</v>
          </cell>
          <cell r="L610" t="str">
            <v>S-Frame</v>
          </cell>
          <cell r="M610" t="str">
            <v>S-フレーム</v>
          </cell>
          <cell r="P610" t="str">
            <v>31B0</v>
          </cell>
          <cell r="Q610" t="str">
            <v>SS400</v>
          </cell>
          <cell r="R610" t="str">
            <v>E349496_01</v>
          </cell>
          <cell r="S610">
            <v>120</v>
          </cell>
          <cell r="T610" t="str">
            <v>標準</v>
          </cell>
        </row>
        <row r="611">
          <cell r="F611" t="str">
            <v>H0000010377</v>
          </cell>
          <cell r="I611" t="str">
            <v>フレーム</v>
          </cell>
          <cell r="J611" t="str">
            <v>S-Frame_UX-10_U_KTKT</v>
          </cell>
          <cell r="K611" t="str">
            <v>S-フレーム_UX-10_U_KTKT</v>
          </cell>
          <cell r="L611" t="str">
            <v>S-Frame</v>
          </cell>
          <cell r="M611" t="str">
            <v>S-フレーム</v>
          </cell>
          <cell r="P611" t="str">
            <v>31B0</v>
          </cell>
          <cell r="Q611" t="str">
            <v>SS400</v>
          </cell>
          <cell r="R611" t="str">
            <v>E349496_01</v>
          </cell>
          <cell r="S611">
            <v>120</v>
          </cell>
          <cell r="T611" t="str">
            <v>標準</v>
          </cell>
        </row>
        <row r="612">
          <cell r="F612" t="str">
            <v>H0000010382</v>
          </cell>
          <cell r="I612" t="str">
            <v>フレーム</v>
          </cell>
          <cell r="J612" t="str">
            <v>S-Frame_UX-10_U_TTTT</v>
          </cell>
          <cell r="K612" t="str">
            <v>S-フレーム_UX-10_U_TTTT</v>
          </cell>
          <cell r="L612" t="str">
            <v>S-Frame</v>
          </cell>
          <cell r="M612" t="str">
            <v>S-フレーム</v>
          </cell>
          <cell r="P612" t="str">
            <v>31B0</v>
          </cell>
          <cell r="Q612" t="str">
            <v>SS400</v>
          </cell>
          <cell r="R612" t="str">
            <v>E349496_01</v>
          </cell>
          <cell r="S612">
            <v>120</v>
          </cell>
          <cell r="T612" t="str">
            <v>標準</v>
          </cell>
        </row>
        <row r="613">
          <cell r="F613" t="str">
            <v>H0000010383</v>
          </cell>
          <cell r="I613" t="str">
            <v>フレーム</v>
          </cell>
          <cell r="J613" t="str">
            <v>S-Frame_UX-10_U_KKKK</v>
          </cell>
          <cell r="K613" t="str">
            <v>S-フレーム_UX-10_U_KKKK</v>
          </cell>
          <cell r="L613" t="str">
            <v>S-Frame</v>
          </cell>
          <cell r="M613" t="str">
            <v>S-フレーム</v>
          </cell>
          <cell r="P613" t="str">
            <v>31B0</v>
          </cell>
          <cell r="Q613" t="str">
            <v>SS400</v>
          </cell>
          <cell r="R613" t="str">
            <v>E349496_01</v>
          </cell>
          <cell r="S613">
            <v>120</v>
          </cell>
          <cell r="T613" t="str">
            <v>標準</v>
          </cell>
        </row>
        <row r="614">
          <cell r="F614" t="str">
            <v>H0000010384</v>
          </cell>
          <cell r="I614" t="str">
            <v>フレーム</v>
          </cell>
          <cell r="J614" t="str">
            <v>S-Frame_UX-10_U_TKTK</v>
          </cell>
          <cell r="K614" t="str">
            <v>S-フレーム_UX-10_U_TKTK</v>
          </cell>
          <cell r="L614" t="str">
            <v>S-Frame</v>
          </cell>
          <cell r="M614" t="str">
            <v>S-フレーム</v>
          </cell>
          <cell r="P614" t="str">
            <v>31B0</v>
          </cell>
          <cell r="Q614" t="str">
            <v>SS400</v>
          </cell>
          <cell r="R614" t="str">
            <v>E349496_01</v>
          </cell>
          <cell r="S614">
            <v>120</v>
          </cell>
          <cell r="T614" t="str">
            <v>標準</v>
          </cell>
        </row>
        <row r="615">
          <cell r="F615" t="str">
            <v>H0000010385</v>
          </cell>
          <cell r="I615" t="str">
            <v>フレーム</v>
          </cell>
          <cell r="J615" t="str">
            <v>S-Frame_UX-10_U_KTKT</v>
          </cell>
          <cell r="K615" t="str">
            <v>S-フレーム_UX-10_U_KTKT</v>
          </cell>
          <cell r="L615" t="str">
            <v>S-Frame</v>
          </cell>
          <cell r="M615" t="str">
            <v>S-フレーム</v>
          </cell>
          <cell r="P615" t="str">
            <v>31B0</v>
          </cell>
          <cell r="Q615" t="str">
            <v>SS400</v>
          </cell>
          <cell r="R615" t="str">
            <v>E349496_01</v>
          </cell>
          <cell r="S615">
            <v>120</v>
          </cell>
          <cell r="T615" t="str">
            <v>標準</v>
          </cell>
        </row>
        <row r="616">
          <cell r="F616" t="str">
            <v>H0000010414</v>
          </cell>
          <cell r="I616" t="str">
            <v>フレーム</v>
          </cell>
          <cell r="J616" t="str">
            <v>S-Frame_UX-10_U_TTTT</v>
          </cell>
          <cell r="K616" t="str">
            <v>S-フレーム_UX-10_U_TTTT</v>
          </cell>
          <cell r="L616" t="str">
            <v>S-Frame</v>
          </cell>
          <cell r="M616" t="str">
            <v>S-フレーム</v>
          </cell>
          <cell r="P616" t="str">
            <v>31B0</v>
          </cell>
          <cell r="Q616" t="str">
            <v>SS400</v>
          </cell>
          <cell r="R616" t="str">
            <v>E349496_01</v>
          </cell>
          <cell r="S616">
            <v>120</v>
          </cell>
          <cell r="T616" t="str">
            <v>標準</v>
          </cell>
        </row>
        <row r="617">
          <cell r="F617" t="str">
            <v>H0000010415</v>
          </cell>
          <cell r="I617" t="str">
            <v>フレーム</v>
          </cell>
          <cell r="J617" t="str">
            <v>S-Frame_UX-10_U_KKKK</v>
          </cell>
          <cell r="K617" t="str">
            <v>S-フレーム_UX-10_U_KKKK</v>
          </cell>
          <cell r="L617" t="str">
            <v>S-Frame</v>
          </cell>
          <cell r="M617" t="str">
            <v>S-フレーム</v>
          </cell>
          <cell r="P617" t="str">
            <v>31B0</v>
          </cell>
          <cell r="Q617" t="str">
            <v>SS400</v>
          </cell>
          <cell r="R617" t="str">
            <v>E349496_01</v>
          </cell>
          <cell r="S617">
            <v>120</v>
          </cell>
          <cell r="T617" t="str">
            <v>標準</v>
          </cell>
        </row>
        <row r="618">
          <cell r="F618" t="str">
            <v>H0000010416</v>
          </cell>
          <cell r="I618" t="str">
            <v>フレーム</v>
          </cell>
          <cell r="J618" t="str">
            <v>S-Frame_UX-10_U_TKTK</v>
          </cell>
          <cell r="K618" t="str">
            <v>S-フレーム_UX-10_U_TKTK</v>
          </cell>
          <cell r="L618" t="str">
            <v>S-Frame</v>
          </cell>
          <cell r="M618" t="str">
            <v>S-フレーム</v>
          </cell>
          <cell r="P618" t="str">
            <v>31B0</v>
          </cell>
          <cell r="Q618" t="str">
            <v>SS400</v>
          </cell>
          <cell r="R618" t="str">
            <v>E349496_01</v>
          </cell>
          <cell r="S618">
            <v>120</v>
          </cell>
          <cell r="T618" t="str">
            <v>標準</v>
          </cell>
        </row>
        <row r="619">
          <cell r="F619" t="str">
            <v>H0000010417</v>
          </cell>
          <cell r="I619" t="str">
            <v>フレーム</v>
          </cell>
          <cell r="J619" t="str">
            <v>S-Frame_UX-10_U_KTKT</v>
          </cell>
          <cell r="K619" t="str">
            <v>S-フレーム_UX-10_U_KTKT</v>
          </cell>
          <cell r="L619" t="str">
            <v>S-Frame</v>
          </cell>
          <cell r="M619" t="str">
            <v>S-フレーム</v>
          </cell>
          <cell r="P619" t="str">
            <v>31B0</v>
          </cell>
          <cell r="Q619" t="str">
            <v>SS400</v>
          </cell>
          <cell r="R619" t="str">
            <v>E349496_01</v>
          </cell>
          <cell r="S619">
            <v>120</v>
          </cell>
          <cell r="T619" t="str">
            <v>標準</v>
          </cell>
        </row>
        <row r="620">
          <cell r="F620" t="str">
            <v>H0000010418</v>
          </cell>
          <cell r="I620" t="str">
            <v>フレーム</v>
          </cell>
          <cell r="J620" t="str">
            <v>S-Frame_UX-10_U_TTTT</v>
          </cell>
          <cell r="K620" t="str">
            <v>S-フレーム_UX-10_U_TTTT</v>
          </cell>
          <cell r="L620" t="str">
            <v>S-Frame</v>
          </cell>
          <cell r="M620" t="str">
            <v>S-フレーム</v>
          </cell>
          <cell r="P620" t="str">
            <v>31B0</v>
          </cell>
          <cell r="Q620" t="str">
            <v>SS400</v>
          </cell>
          <cell r="R620" t="str">
            <v>E349496_01</v>
          </cell>
          <cell r="S620">
            <v>120</v>
          </cell>
          <cell r="T620" t="str">
            <v>標準</v>
          </cell>
        </row>
        <row r="621">
          <cell r="F621" t="str">
            <v>H0000010419</v>
          </cell>
          <cell r="I621" t="str">
            <v>フレーム</v>
          </cell>
          <cell r="J621" t="str">
            <v>S-Frame_UX-10_U_KKKK</v>
          </cell>
          <cell r="K621" t="str">
            <v>S-フレーム_UX-10_U_KKKK</v>
          </cell>
          <cell r="L621" t="str">
            <v>S-Frame</v>
          </cell>
          <cell r="M621" t="str">
            <v>S-フレーム</v>
          </cell>
          <cell r="P621" t="str">
            <v>31B0</v>
          </cell>
          <cell r="Q621" t="str">
            <v>SS400</v>
          </cell>
          <cell r="R621" t="str">
            <v>E349496_01</v>
          </cell>
          <cell r="S621">
            <v>120</v>
          </cell>
          <cell r="T621" t="str">
            <v>標準</v>
          </cell>
        </row>
        <row r="622">
          <cell r="F622" t="str">
            <v>H0000010420</v>
          </cell>
          <cell r="I622" t="str">
            <v>フレーム</v>
          </cell>
          <cell r="J622" t="str">
            <v>S-Frame_UX-10_U_TKTK</v>
          </cell>
          <cell r="K622" t="str">
            <v>S-フレーム_UX-10_U_TKTK</v>
          </cell>
          <cell r="L622" t="str">
            <v>S-Frame</v>
          </cell>
          <cell r="M622" t="str">
            <v>S-フレーム</v>
          </cell>
          <cell r="P622" t="str">
            <v>31B0</v>
          </cell>
          <cell r="Q622" t="str">
            <v>SS400</v>
          </cell>
          <cell r="R622" t="str">
            <v>E349496_01</v>
          </cell>
          <cell r="S622">
            <v>120</v>
          </cell>
          <cell r="T622" t="str">
            <v>標準</v>
          </cell>
        </row>
        <row r="623">
          <cell r="F623" t="str">
            <v>H0000010421</v>
          </cell>
          <cell r="I623" t="str">
            <v>フレーム</v>
          </cell>
          <cell r="J623" t="str">
            <v>S-Frame_UX-10_U_KTKT</v>
          </cell>
          <cell r="K623" t="str">
            <v>S-フレーム_UX-10_U_KTKT</v>
          </cell>
          <cell r="L623" t="str">
            <v>S-Frame</v>
          </cell>
          <cell r="M623" t="str">
            <v>S-フレーム</v>
          </cell>
          <cell r="P623" t="str">
            <v>31B0</v>
          </cell>
          <cell r="Q623" t="str">
            <v>SS400</v>
          </cell>
          <cell r="R623" t="str">
            <v>E349496_01</v>
          </cell>
          <cell r="S623">
            <v>120</v>
          </cell>
          <cell r="T623" t="str">
            <v>標準</v>
          </cell>
        </row>
        <row r="624">
          <cell r="F624" t="str">
            <v>H0000010490</v>
          </cell>
          <cell r="I624" t="str">
            <v>フレーム</v>
          </cell>
          <cell r="J624" t="str">
            <v>S-Frame_UX-10_U_TTTT</v>
          </cell>
          <cell r="K624" t="str">
            <v>S-フレーム_UX-10_U_TTTT</v>
          </cell>
          <cell r="L624" t="str">
            <v>S-Frame</v>
          </cell>
          <cell r="M624" t="str">
            <v>S-フレーム</v>
          </cell>
          <cell r="P624" t="str">
            <v>31B0</v>
          </cell>
          <cell r="Q624" t="str">
            <v>SS400</v>
          </cell>
          <cell r="R624" t="str">
            <v>E349496_01</v>
          </cell>
          <cell r="S624">
            <v>120</v>
          </cell>
          <cell r="T624" t="str">
            <v>標準</v>
          </cell>
        </row>
        <row r="625">
          <cell r="F625" t="str">
            <v>H0000010491</v>
          </cell>
          <cell r="I625" t="str">
            <v>フレーム</v>
          </cell>
          <cell r="J625" t="str">
            <v>S-Frame_UX-10_U_KKKK</v>
          </cell>
          <cell r="K625" t="str">
            <v>S-フレーム_UX-10_U_KKKK</v>
          </cell>
          <cell r="L625" t="str">
            <v>S-Frame</v>
          </cell>
          <cell r="M625" t="str">
            <v>S-フレーム</v>
          </cell>
          <cell r="P625" t="str">
            <v>31B0</v>
          </cell>
          <cell r="Q625" t="str">
            <v>SS400</v>
          </cell>
          <cell r="R625" t="str">
            <v>E349496_01</v>
          </cell>
          <cell r="S625">
            <v>120</v>
          </cell>
          <cell r="T625" t="str">
            <v>標準</v>
          </cell>
        </row>
        <row r="626">
          <cell r="F626" t="str">
            <v>H0000010492</v>
          </cell>
          <cell r="I626" t="str">
            <v>フレーム</v>
          </cell>
          <cell r="J626" t="str">
            <v>S-Frame_UX-10_U_TKTK</v>
          </cell>
          <cell r="K626" t="str">
            <v>S-フレーム_UX-10_U_TKTK</v>
          </cell>
          <cell r="L626" t="str">
            <v>S-Frame</v>
          </cell>
          <cell r="M626" t="str">
            <v>S-フレーム</v>
          </cell>
          <cell r="P626" t="str">
            <v>31B0</v>
          </cell>
          <cell r="Q626" t="str">
            <v>SS400</v>
          </cell>
          <cell r="R626" t="str">
            <v>E349496_01</v>
          </cell>
          <cell r="S626">
            <v>120</v>
          </cell>
          <cell r="T626" t="str">
            <v>標準</v>
          </cell>
        </row>
        <row r="627">
          <cell r="F627" t="str">
            <v>H0000010493</v>
          </cell>
          <cell r="I627" t="str">
            <v>フレーム</v>
          </cell>
          <cell r="J627" t="str">
            <v>S-Frame_UX-10_U_KTKT</v>
          </cell>
          <cell r="K627" t="str">
            <v>S-フレーム_UX-10_U_KTKT</v>
          </cell>
          <cell r="L627" t="str">
            <v>S-Frame</v>
          </cell>
          <cell r="M627" t="str">
            <v>S-フレーム</v>
          </cell>
          <cell r="P627" t="str">
            <v>31B0</v>
          </cell>
          <cell r="Q627" t="str">
            <v>SS400</v>
          </cell>
          <cell r="R627" t="str">
            <v>E349496_01</v>
          </cell>
          <cell r="S627">
            <v>120</v>
          </cell>
          <cell r="T627" t="str">
            <v>標準</v>
          </cell>
        </row>
        <row r="628">
          <cell r="F628" t="str">
            <v>H0000010494</v>
          </cell>
          <cell r="I628" t="str">
            <v>フレーム</v>
          </cell>
          <cell r="J628" t="str">
            <v>S-Frame_UX-10_U_TTTT</v>
          </cell>
          <cell r="K628" t="str">
            <v>S-フレーム_UX-10_U_TTTT</v>
          </cell>
          <cell r="L628" t="str">
            <v>S-Frame</v>
          </cell>
          <cell r="M628" t="str">
            <v>S-フレーム</v>
          </cell>
          <cell r="P628" t="str">
            <v>31B0</v>
          </cell>
          <cell r="Q628" t="str">
            <v>SS400</v>
          </cell>
          <cell r="R628" t="str">
            <v>E349496_01</v>
          </cell>
          <cell r="S628">
            <v>120</v>
          </cell>
          <cell r="T628" t="str">
            <v>標準</v>
          </cell>
        </row>
        <row r="629">
          <cell r="F629" t="str">
            <v>H0000010495</v>
          </cell>
          <cell r="I629" t="str">
            <v>フレーム</v>
          </cell>
          <cell r="J629" t="str">
            <v>S-Frame_UX-10_U_KKKK</v>
          </cell>
          <cell r="K629" t="str">
            <v>S-フレーム_UX-10_U_KKKK</v>
          </cell>
          <cell r="L629" t="str">
            <v>S-Frame</v>
          </cell>
          <cell r="M629" t="str">
            <v>S-フレーム</v>
          </cell>
          <cell r="P629" t="str">
            <v>31B0</v>
          </cell>
          <cell r="Q629" t="str">
            <v>SS400</v>
          </cell>
          <cell r="R629" t="str">
            <v>E349496_01</v>
          </cell>
          <cell r="S629">
            <v>120</v>
          </cell>
          <cell r="T629" t="str">
            <v>標準</v>
          </cell>
        </row>
        <row r="630">
          <cell r="F630" t="str">
            <v>H0000010496</v>
          </cell>
          <cell r="I630" t="str">
            <v>フレーム</v>
          </cell>
          <cell r="J630" t="str">
            <v>S-Frame_UX-10_U_TKTK</v>
          </cell>
          <cell r="K630" t="str">
            <v>S-フレーム_UX-10_U_TKTK</v>
          </cell>
          <cell r="L630" t="str">
            <v>S-Frame</v>
          </cell>
          <cell r="M630" t="str">
            <v>S-フレーム</v>
          </cell>
          <cell r="P630" t="str">
            <v>31B0</v>
          </cell>
          <cell r="Q630" t="str">
            <v>SS400</v>
          </cell>
          <cell r="R630" t="str">
            <v>E349496_01</v>
          </cell>
          <cell r="S630">
            <v>120</v>
          </cell>
          <cell r="T630" t="str">
            <v>標準</v>
          </cell>
        </row>
        <row r="631">
          <cell r="F631" t="str">
            <v>H0000010497</v>
          </cell>
          <cell r="I631" t="str">
            <v>フレーム</v>
          </cell>
          <cell r="J631" t="str">
            <v>S-Frame_UX-10_U_KTKT</v>
          </cell>
          <cell r="K631" t="str">
            <v>S-フレーム_UX-10_U_KTKT</v>
          </cell>
          <cell r="L631" t="str">
            <v>S-Frame</v>
          </cell>
          <cell r="M631" t="str">
            <v>S-フレーム</v>
          </cell>
          <cell r="P631" t="str">
            <v>31B0</v>
          </cell>
          <cell r="Q631" t="str">
            <v>SS400</v>
          </cell>
          <cell r="R631" t="str">
            <v>E349496_01</v>
          </cell>
          <cell r="S631">
            <v>120</v>
          </cell>
          <cell r="T631" t="str">
            <v>標準</v>
          </cell>
        </row>
        <row r="632">
          <cell r="F632" t="str">
            <v>H0000010502</v>
          </cell>
          <cell r="I632" t="str">
            <v>フレーム</v>
          </cell>
          <cell r="J632" t="str">
            <v>S-Frame_UX-10_U_TTTT</v>
          </cell>
          <cell r="K632" t="str">
            <v>S-フレーム_UX-10_U_TTTT</v>
          </cell>
          <cell r="L632" t="str">
            <v>S-Frame</v>
          </cell>
          <cell r="M632" t="str">
            <v>S-フレーム</v>
          </cell>
          <cell r="P632" t="str">
            <v>31B0</v>
          </cell>
          <cell r="Q632" t="str">
            <v>SS400</v>
          </cell>
          <cell r="R632" t="str">
            <v>E349496_01</v>
          </cell>
          <cell r="S632">
            <v>120</v>
          </cell>
          <cell r="T632" t="str">
            <v>標準</v>
          </cell>
        </row>
        <row r="633">
          <cell r="F633" t="str">
            <v>H0000010503</v>
          </cell>
          <cell r="I633" t="str">
            <v>フレーム</v>
          </cell>
          <cell r="J633" t="str">
            <v>S-Frame_UX-10_U_KKKK</v>
          </cell>
          <cell r="K633" t="str">
            <v>S-フレーム_UX-10_U_KKKK</v>
          </cell>
          <cell r="L633" t="str">
            <v>S-Frame</v>
          </cell>
          <cell r="M633" t="str">
            <v>S-フレーム</v>
          </cell>
          <cell r="P633" t="str">
            <v>31B0</v>
          </cell>
          <cell r="Q633" t="str">
            <v>SS400</v>
          </cell>
          <cell r="R633" t="str">
            <v>E349496_01</v>
          </cell>
          <cell r="S633">
            <v>120</v>
          </cell>
          <cell r="T633" t="str">
            <v>標準</v>
          </cell>
        </row>
        <row r="634">
          <cell r="F634" t="str">
            <v>H0000010504</v>
          </cell>
          <cell r="I634" t="str">
            <v>フレーム</v>
          </cell>
          <cell r="J634" t="str">
            <v>S-Frame_UX-10_U_TKTK</v>
          </cell>
          <cell r="K634" t="str">
            <v>S-フレーム_UX-10_U_TKTK</v>
          </cell>
          <cell r="L634" t="str">
            <v>S-Frame</v>
          </cell>
          <cell r="M634" t="str">
            <v>S-フレーム</v>
          </cell>
          <cell r="P634" t="str">
            <v>31B0</v>
          </cell>
          <cell r="Q634" t="str">
            <v>SS400</v>
          </cell>
          <cell r="R634" t="str">
            <v>E349496_01</v>
          </cell>
          <cell r="S634">
            <v>120</v>
          </cell>
          <cell r="T634" t="str">
            <v>標準</v>
          </cell>
        </row>
        <row r="635">
          <cell r="F635" t="str">
            <v>H0000010505</v>
          </cell>
          <cell r="I635" t="str">
            <v>フレーム</v>
          </cell>
          <cell r="J635" t="str">
            <v>S-Frame_UX-10_U_KTKT</v>
          </cell>
          <cell r="K635" t="str">
            <v>S-フレーム_UX-10_U_KTKT</v>
          </cell>
          <cell r="L635" t="str">
            <v>S-Frame</v>
          </cell>
          <cell r="M635" t="str">
            <v>S-フレーム</v>
          </cell>
          <cell r="P635" t="str">
            <v>31B0</v>
          </cell>
          <cell r="Q635" t="str">
            <v>SS400</v>
          </cell>
          <cell r="R635" t="str">
            <v>E349496_01</v>
          </cell>
          <cell r="S635">
            <v>120</v>
          </cell>
          <cell r="T635" t="str">
            <v>標準</v>
          </cell>
        </row>
        <row r="636">
          <cell r="F636" t="str">
            <v>H0000010534</v>
          </cell>
          <cell r="I636" t="str">
            <v>フレーム</v>
          </cell>
          <cell r="J636" t="str">
            <v>S-Frame_UX-10_U_TTTT</v>
          </cell>
          <cell r="K636" t="str">
            <v>S-フレーム_UX-10_U_TTTT</v>
          </cell>
          <cell r="L636" t="str">
            <v>S-Frame</v>
          </cell>
          <cell r="M636" t="str">
            <v>S-フレーム</v>
          </cell>
          <cell r="P636" t="str">
            <v>31B0</v>
          </cell>
          <cell r="Q636" t="str">
            <v>SS400</v>
          </cell>
          <cell r="R636" t="str">
            <v>E349496_01</v>
          </cell>
          <cell r="S636">
            <v>120</v>
          </cell>
          <cell r="T636" t="str">
            <v>標準</v>
          </cell>
        </row>
        <row r="637">
          <cell r="F637" t="str">
            <v>H0000010535</v>
          </cell>
          <cell r="I637" t="str">
            <v>フレーム</v>
          </cell>
          <cell r="J637" t="str">
            <v>S-Frame_UX-10_U_KKKK</v>
          </cell>
          <cell r="K637" t="str">
            <v>S-フレーム_UX-10_U_KKKK</v>
          </cell>
          <cell r="L637" t="str">
            <v>S-Frame</v>
          </cell>
          <cell r="M637" t="str">
            <v>S-フレーム</v>
          </cell>
          <cell r="P637" t="str">
            <v>31B0</v>
          </cell>
          <cell r="Q637" t="str">
            <v>SS400</v>
          </cell>
          <cell r="R637" t="str">
            <v>E349496_01</v>
          </cell>
          <cell r="S637">
            <v>120</v>
          </cell>
          <cell r="T637" t="str">
            <v>標準</v>
          </cell>
        </row>
        <row r="638">
          <cell r="F638" t="str">
            <v>H0000010536</v>
          </cell>
          <cell r="I638" t="str">
            <v>フレーム</v>
          </cell>
          <cell r="J638" t="str">
            <v>S-Frame_UX-10_U_TKTK</v>
          </cell>
          <cell r="K638" t="str">
            <v>S-フレーム_UX-10_U_TKTK</v>
          </cell>
          <cell r="L638" t="str">
            <v>S-Frame</v>
          </cell>
          <cell r="M638" t="str">
            <v>S-フレーム</v>
          </cell>
          <cell r="P638" t="str">
            <v>31B0</v>
          </cell>
          <cell r="Q638" t="str">
            <v>SS400</v>
          </cell>
          <cell r="R638" t="str">
            <v>E349496_01</v>
          </cell>
          <cell r="S638">
            <v>120</v>
          </cell>
          <cell r="T638" t="str">
            <v>標準</v>
          </cell>
        </row>
        <row r="639">
          <cell r="F639" t="str">
            <v>H0000010537</v>
          </cell>
          <cell r="I639" t="str">
            <v>フレーム</v>
          </cell>
          <cell r="J639" t="str">
            <v>S-Frame_UX-10_U_KTKT</v>
          </cell>
          <cell r="K639" t="str">
            <v>S-フレーム_UX-10_U_KTKT</v>
          </cell>
          <cell r="L639" t="str">
            <v>S-Frame</v>
          </cell>
          <cell r="M639" t="str">
            <v>S-フレーム</v>
          </cell>
          <cell r="P639" t="str">
            <v>31B0</v>
          </cell>
          <cell r="Q639" t="str">
            <v>SS400</v>
          </cell>
          <cell r="R639" t="str">
            <v>E349496_01</v>
          </cell>
          <cell r="S639">
            <v>120</v>
          </cell>
          <cell r="T639" t="str">
            <v>標準</v>
          </cell>
        </row>
        <row r="640">
          <cell r="F640" t="str">
            <v>H0000010538</v>
          </cell>
          <cell r="I640" t="str">
            <v>フレーム</v>
          </cell>
          <cell r="J640" t="str">
            <v>S-Frame_UX-10_U_TTTT</v>
          </cell>
          <cell r="K640" t="str">
            <v>S-フレーム_UX-10_U_TTTT</v>
          </cell>
          <cell r="L640" t="str">
            <v>S-Frame</v>
          </cell>
          <cell r="M640" t="str">
            <v>S-フレーム</v>
          </cell>
          <cell r="P640" t="str">
            <v>31B0</v>
          </cell>
          <cell r="Q640" t="str">
            <v>SS400</v>
          </cell>
          <cell r="R640" t="str">
            <v>E349496_01</v>
          </cell>
          <cell r="S640">
            <v>120</v>
          </cell>
          <cell r="T640" t="str">
            <v>標準</v>
          </cell>
        </row>
        <row r="641">
          <cell r="F641" t="str">
            <v>H0000010539</v>
          </cell>
          <cell r="I641" t="str">
            <v>フレーム</v>
          </cell>
          <cell r="J641" t="str">
            <v>S-Frame_UX-10_U_KKKK</v>
          </cell>
          <cell r="K641" t="str">
            <v>S-フレーム_UX-10_U_KKKK</v>
          </cell>
          <cell r="L641" t="str">
            <v>S-Frame</v>
          </cell>
          <cell r="M641" t="str">
            <v>S-フレーム</v>
          </cell>
          <cell r="P641" t="str">
            <v>31B0</v>
          </cell>
          <cell r="Q641" t="str">
            <v>SS400</v>
          </cell>
          <cell r="R641" t="str">
            <v>E349496_01</v>
          </cell>
          <cell r="S641">
            <v>120</v>
          </cell>
          <cell r="T641" t="str">
            <v>標準</v>
          </cell>
        </row>
        <row r="642">
          <cell r="F642" t="str">
            <v>H0000010540</v>
          </cell>
          <cell r="I642" t="str">
            <v>フレーム</v>
          </cell>
          <cell r="J642" t="str">
            <v>S-Frame_UX-10_U_TKTK</v>
          </cell>
          <cell r="K642" t="str">
            <v>S-フレーム_UX-10_U_TKTK</v>
          </cell>
          <cell r="L642" t="str">
            <v>S-Frame</v>
          </cell>
          <cell r="M642" t="str">
            <v>S-フレーム</v>
          </cell>
          <cell r="P642" t="str">
            <v>31B0</v>
          </cell>
          <cell r="Q642" t="str">
            <v>SS400</v>
          </cell>
          <cell r="R642" t="str">
            <v>E349496_01</v>
          </cell>
          <cell r="S642">
            <v>120</v>
          </cell>
          <cell r="T642" t="str">
            <v>標準</v>
          </cell>
        </row>
        <row r="643">
          <cell r="F643" t="str">
            <v>H0000010541</v>
          </cell>
          <cell r="I643" t="str">
            <v>フレーム</v>
          </cell>
          <cell r="J643" t="str">
            <v>S-Frame_UX-10_U_KTKT</v>
          </cell>
          <cell r="K643" t="str">
            <v>S-フレーム_UX-10_U_KTKT</v>
          </cell>
          <cell r="L643" t="str">
            <v>S-Frame</v>
          </cell>
          <cell r="M643" t="str">
            <v>S-フレーム</v>
          </cell>
          <cell r="P643" t="str">
            <v>31B0</v>
          </cell>
          <cell r="Q643" t="str">
            <v>SS400</v>
          </cell>
          <cell r="R643" t="str">
            <v>E349496_01</v>
          </cell>
          <cell r="S643">
            <v>120</v>
          </cell>
          <cell r="T643" t="str">
            <v>標準</v>
          </cell>
        </row>
        <row r="644">
          <cell r="F644" t="str">
            <v>H0000010970</v>
          </cell>
          <cell r="I644" t="str">
            <v>フレーム</v>
          </cell>
          <cell r="J644" t="str">
            <v>S-Frame_UX-10_U_TTTT</v>
          </cell>
          <cell r="K644" t="str">
            <v>S-フレーム_UX-10_U_TTTT</v>
          </cell>
          <cell r="L644" t="str">
            <v>S-Frame</v>
          </cell>
          <cell r="M644" t="str">
            <v>S-フレーム</v>
          </cell>
          <cell r="P644" t="str">
            <v>31B0</v>
          </cell>
          <cell r="Q644" t="str">
            <v>SS400</v>
          </cell>
          <cell r="R644" t="str">
            <v>E349496_01</v>
          </cell>
          <cell r="S644">
            <v>120</v>
          </cell>
          <cell r="T644" t="str">
            <v>標準</v>
          </cell>
        </row>
        <row r="645">
          <cell r="F645" t="str">
            <v>H0000010971</v>
          </cell>
          <cell r="I645" t="str">
            <v>フレーム</v>
          </cell>
          <cell r="J645" t="str">
            <v>S-Frame_UX-10_U_KKKK</v>
          </cell>
          <cell r="K645" t="str">
            <v>S-フレーム_UX-10_U_KKKK</v>
          </cell>
          <cell r="L645" t="str">
            <v>S-Frame</v>
          </cell>
          <cell r="M645" t="str">
            <v>S-フレーム</v>
          </cell>
          <cell r="P645" t="str">
            <v>31B0</v>
          </cell>
          <cell r="Q645" t="str">
            <v>SS400</v>
          </cell>
          <cell r="R645" t="str">
            <v>E349496_01</v>
          </cell>
          <cell r="S645">
            <v>120</v>
          </cell>
          <cell r="T645" t="str">
            <v>標準</v>
          </cell>
        </row>
        <row r="646">
          <cell r="F646" t="str">
            <v>H0000010972</v>
          </cell>
          <cell r="I646" t="str">
            <v>フレーム</v>
          </cell>
          <cell r="J646" t="str">
            <v>S-Frame_UX-10_U_TKTK</v>
          </cell>
          <cell r="K646" t="str">
            <v>S-フレーム_UX-10_U_TKTK</v>
          </cell>
          <cell r="L646" t="str">
            <v>S-Frame</v>
          </cell>
          <cell r="M646" t="str">
            <v>S-フレーム</v>
          </cell>
          <cell r="P646" t="str">
            <v>31B0</v>
          </cell>
          <cell r="Q646" t="str">
            <v>SS400</v>
          </cell>
          <cell r="R646" t="str">
            <v>E349496_01</v>
          </cell>
          <cell r="S646">
            <v>120</v>
          </cell>
          <cell r="T646" t="str">
            <v>標準</v>
          </cell>
        </row>
        <row r="647">
          <cell r="F647" t="str">
            <v>H0000010973</v>
          </cell>
          <cell r="I647" t="str">
            <v>フレーム</v>
          </cell>
          <cell r="J647" t="str">
            <v>S-Frame_UX-10_U_KTKT</v>
          </cell>
          <cell r="K647" t="str">
            <v>S-フレーム_UX-10_U_KTKT</v>
          </cell>
          <cell r="L647" t="str">
            <v>S-Frame</v>
          </cell>
          <cell r="M647" t="str">
            <v>S-フレーム</v>
          </cell>
          <cell r="P647" t="str">
            <v>31B0</v>
          </cell>
          <cell r="Q647" t="str">
            <v>SS400</v>
          </cell>
          <cell r="R647" t="str">
            <v>E349496_01</v>
          </cell>
          <cell r="S647">
            <v>120</v>
          </cell>
          <cell r="T647" t="str">
            <v>標準</v>
          </cell>
        </row>
        <row r="648">
          <cell r="F648" t="str">
            <v>H0000010974</v>
          </cell>
          <cell r="I648" t="str">
            <v>フレーム</v>
          </cell>
          <cell r="J648" t="str">
            <v>S-Frame_UX-10_U_TTTT</v>
          </cell>
          <cell r="K648" t="str">
            <v>S-フレーム_UX-10_U_TTTT</v>
          </cell>
          <cell r="L648" t="str">
            <v>S-Frame</v>
          </cell>
          <cell r="M648" t="str">
            <v>S-フレーム</v>
          </cell>
          <cell r="P648" t="str">
            <v>31B0</v>
          </cell>
          <cell r="Q648" t="str">
            <v>SS400</v>
          </cell>
          <cell r="R648" t="str">
            <v>E349496_01</v>
          </cell>
          <cell r="S648">
            <v>120</v>
          </cell>
          <cell r="T648" t="str">
            <v>標準</v>
          </cell>
        </row>
        <row r="649">
          <cell r="F649" t="str">
            <v>H0000010975</v>
          </cell>
          <cell r="I649" t="str">
            <v>フレーム</v>
          </cell>
          <cell r="J649" t="str">
            <v>S-Frame_UX-10_U_KKKK</v>
          </cell>
          <cell r="K649" t="str">
            <v>S-フレーム_UX-10_U_KKKK</v>
          </cell>
          <cell r="L649" t="str">
            <v>S-Frame</v>
          </cell>
          <cell r="M649" t="str">
            <v>S-フレーム</v>
          </cell>
          <cell r="P649" t="str">
            <v>31B0</v>
          </cell>
          <cell r="Q649" t="str">
            <v>SS400</v>
          </cell>
          <cell r="R649" t="str">
            <v>E349496_01</v>
          </cell>
          <cell r="S649">
            <v>120</v>
          </cell>
          <cell r="T649" t="str">
            <v>標準</v>
          </cell>
        </row>
        <row r="650">
          <cell r="F650" t="str">
            <v>H0000010976</v>
          </cell>
          <cell r="I650" t="str">
            <v>フレーム</v>
          </cell>
          <cell r="J650" t="str">
            <v>S-Frame_UX-10_U_TKTK</v>
          </cell>
          <cell r="K650" t="str">
            <v>S-フレーム_UX-10_U_TKTK</v>
          </cell>
          <cell r="L650" t="str">
            <v>S-Frame</v>
          </cell>
          <cell r="M650" t="str">
            <v>S-フレーム</v>
          </cell>
          <cell r="P650" t="str">
            <v>31B0</v>
          </cell>
          <cell r="Q650" t="str">
            <v>SS400</v>
          </cell>
          <cell r="R650" t="str">
            <v>E349496_01</v>
          </cell>
          <cell r="S650">
            <v>120</v>
          </cell>
          <cell r="T650" t="str">
            <v>標準</v>
          </cell>
        </row>
        <row r="651">
          <cell r="F651" t="str">
            <v>H0000010977</v>
          </cell>
          <cell r="I651" t="str">
            <v>フレーム</v>
          </cell>
          <cell r="J651" t="str">
            <v>S-Frame_UX-10_U_KTKT</v>
          </cell>
          <cell r="K651" t="str">
            <v>S-フレーム_UX-10_U_KTKT</v>
          </cell>
          <cell r="L651" t="str">
            <v>S-Frame</v>
          </cell>
          <cell r="M651" t="str">
            <v>S-フレーム</v>
          </cell>
          <cell r="P651" t="str">
            <v>31B0</v>
          </cell>
          <cell r="Q651" t="str">
            <v>SS400</v>
          </cell>
          <cell r="R651" t="str">
            <v>E349496_01</v>
          </cell>
          <cell r="S651">
            <v>120</v>
          </cell>
          <cell r="T651" t="str">
            <v>標準</v>
          </cell>
        </row>
        <row r="652">
          <cell r="F652" t="str">
            <v>H0000010982</v>
          </cell>
          <cell r="I652" t="str">
            <v>フレーム</v>
          </cell>
          <cell r="J652" t="str">
            <v>S-Frame_UX-10_U_TTTT</v>
          </cell>
          <cell r="K652" t="str">
            <v>S-フレーム_UX-10_U_TTTT</v>
          </cell>
          <cell r="L652" t="str">
            <v>S-Frame</v>
          </cell>
          <cell r="M652" t="str">
            <v>S-フレーム</v>
          </cell>
          <cell r="P652" t="str">
            <v>31B0</v>
          </cell>
          <cell r="Q652" t="str">
            <v>SS400</v>
          </cell>
          <cell r="R652" t="str">
            <v>E349496_01</v>
          </cell>
          <cell r="S652">
            <v>120</v>
          </cell>
          <cell r="T652" t="str">
            <v>標準</v>
          </cell>
        </row>
        <row r="653">
          <cell r="F653" t="str">
            <v>H0000010983</v>
          </cell>
          <cell r="I653" t="str">
            <v>フレーム</v>
          </cell>
          <cell r="J653" t="str">
            <v>S-Frame_UX-10_U_KKKK</v>
          </cell>
          <cell r="K653" t="str">
            <v>S-フレーム_UX-10_U_KKKK</v>
          </cell>
          <cell r="L653" t="str">
            <v>S-Frame</v>
          </cell>
          <cell r="M653" t="str">
            <v>S-フレーム</v>
          </cell>
          <cell r="P653" t="str">
            <v>31B0</v>
          </cell>
          <cell r="Q653" t="str">
            <v>SS400</v>
          </cell>
          <cell r="R653" t="str">
            <v>E349496_01</v>
          </cell>
          <cell r="S653">
            <v>120</v>
          </cell>
          <cell r="T653" t="str">
            <v>標準</v>
          </cell>
        </row>
        <row r="654">
          <cell r="F654" t="str">
            <v>H0000010984</v>
          </cell>
          <cell r="I654" t="str">
            <v>フレーム</v>
          </cell>
          <cell r="J654" t="str">
            <v>S-Frame_UX-10_U_TKTK</v>
          </cell>
          <cell r="K654" t="str">
            <v>S-フレーム_UX-10_U_TKTK</v>
          </cell>
          <cell r="L654" t="str">
            <v>S-Frame</v>
          </cell>
          <cell r="M654" t="str">
            <v>S-フレーム</v>
          </cell>
          <cell r="P654" t="str">
            <v>31B0</v>
          </cell>
          <cell r="Q654" t="str">
            <v>SS400</v>
          </cell>
          <cell r="R654" t="str">
            <v>E349496_01</v>
          </cell>
          <cell r="S654">
            <v>120</v>
          </cell>
          <cell r="T654" t="str">
            <v>標準</v>
          </cell>
        </row>
        <row r="655">
          <cell r="F655" t="str">
            <v>H0000010985</v>
          </cell>
          <cell r="I655" t="str">
            <v>フレーム</v>
          </cell>
          <cell r="J655" t="str">
            <v>S-Frame_UX-10_U_KTKT</v>
          </cell>
          <cell r="K655" t="str">
            <v>S-フレーム_UX-10_U_KTKT</v>
          </cell>
          <cell r="L655" t="str">
            <v>S-Frame</v>
          </cell>
          <cell r="M655" t="str">
            <v>S-フレーム</v>
          </cell>
          <cell r="P655" t="str">
            <v>31B0</v>
          </cell>
          <cell r="Q655" t="str">
            <v>SS400</v>
          </cell>
          <cell r="R655" t="str">
            <v>E349496_01</v>
          </cell>
          <cell r="S655">
            <v>120</v>
          </cell>
          <cell r="T655" t="str">
            <v>標準</v>
          </cell>
        </row>
        <row r="656">
          <cell r="F656" t="str">
            <v>H0000011014</v>
          </cell>
          <cell r="I656" t="str">
            <v>フレーム</v>
          </cell>
          <cell r="J656" t="str">
            <v>S-Frame_UX-10_U_TTTT</v>
          </cell>
          <cell r="K656" t="str">
            <v>S-フレーム_UX-10_U_TTTT</v>
          </cell>
          <cell r="L656" t="str">
            <v>S-Frame</v>
          </cell>
          <cell r="M656" t="str">
            <v>S-フレーム</v>
          </cell>
          <cell r="P656" t="str">
            <v>31B0</v>
          </cell>
          <cell r="Q656" t="str">
            <v>SS400</v>
          </cell>
          <cell r="R656" t="str">
            <v>E349496_01</v>
          </cell>
          <cell r="S656">
            <v>120</v>
          </cell>
          <cell r="T656" t="str">
            <v>標準</v>
          </cell>
        </row>
        <row r="657">
          <cell r="F657" t="str">
            <v>H0000011015</v>
          </cell>
          <cell r="I657" t="str">
            <v>フレーム</v>
          </cell>
          <cell r="J657" t="str">
            <v>S-Frame_UX-10_U_KKKK</v>
          </cell>
          <cell r="K657" t="str">
            <v>S-フレーム_UX-10_U_KKKK</v>
          </cell>
          <cell r="L657" t="str">
            <v>S-Frame</v>
          </cell>
          <cell r="M657" t="str">
            <v>S-フレーム</v>
          </cell>
          <cell r="P657" t="str">
            <v>31B0</v>
          </cell>
          <cell r="Q657" t="str">
            <v>SS400</v>
          </cell>
          <cell r="R657" t="str">
            <v>E349496_01</v>
          </cell>
          <cell r="S657">
            <v>120</v>
          </cell>
          <cell r="T657" t="str">
            <v>標準</v>
          </cell>
        </row>
        <row r="658">
          <cell r="F658" t="str">
            <v>H0000011016</v>
          </cell>
          <cell r="I658" t="str">
            <v>フレーム</v>
          </cell>
          <cell r="J658" t="str">
            <v>S-Frame_UX-10_U_TKTK</v>
          </cell>
          <cell r="K658" t="str">
            <v>S-フレーム_UX-10_U_TKTK</v>
          </cell>
          <cell r="L658" t="str">
            <v>S-Frame</v>
          </cell>
          <cell r="M658" t="str">
            <v>S-フレーム</v>
          </cell>
          <cell r="P658" t="str">
            <v>31B0</v>
          </cell>
          <cell r="Q658" t="str">
            <v>SS400</v>
          </cell>
          <cell r="R658" t="str">
            <v>E349496_01</v>
          </cell>
          <cell r="S658">
            <v>120</v>
          </cell>
          <cell r="T658" t="str">
            <v>標準</v>
          </cell>
        </row>
        <row r="659">
          <cell r="F659" t="str">
            <v>H0000011017</v>
          </cell>
          <cell r="I659" t="str">
            <v>フレーム</v>
          </cell>
          <cell r="J659" t="str">
            <v>S-Frame_UX-10_U_KTKT</v>
          </cell>
          <cell r="K659" t="str">
            <v>S-フレーム_UX-10_U_KTKT</v>
          </cell>
          <cell r="L659" t="str">
            <v>S-Frame</v>
          </cell>
          <cell r="M659" t="str">
            <v>S-フレーム</v>
          </cell>
          <cell r="P659" t="str">
            <v>31B0</v>
          </cell>
          <cell r="Q659" t="str">
            <v>SS400</v>
          </cell>
          <cell r="R659" t="str">
            <v>E349496_01</v>
          </cell>
          <cell r="S659">
            <v>120</v>
          </cell>
          <cell r="T659" t="str">
            <v>標準</v>
          </cell>
        </row>
        <row r="660">
          <cell r="F660" t="str">
            <v>H0000011018</v>
          </cell>
          <cell r="I660" t="str">
            <v>フレーム</v>
          </cell>
          <cell r="J660" t="str">
            <v>S-Frame_UX-10_U_TTTT</v>
          </cell>
          <cell r="K660" t="str">
            <v>S-フレーム_UX-10_U_TTTT</v>
          </cell>
          <cell r="L660" t="str">
            <v>S-Frame</v>
          </cell>
          <cell r="M660" t="str">
            <v>S-フレーム</v>
          </cell>
          <cell r="P660" t="str">
            <v>31B0</v>
          </cell>
          <cell r="Q660" t="str">
            <v>SS400</v>
          </cell>
          <cell r="R660" t="str">
            <v>E349496_01</v>
          </cell>
          <cell r="S660">
            <v>120</v>
          </cell>
          <cell r="T660" t="str">
            <v>標準</v>
          </cell>
        </row>
        <row r="661">
          <cell r="F661" t="str">
            <v>H0000011019</v>
          </cell>
          <cell r="I661" t="str">
            <v>フレーム</v>
          </cell>
          <cell r="J661" t="str">
            <v>S-Frame_UX-10_U_KKKK</v>
          </cell>
          <cell r="K661" t="str">
            <v>S-フレーム_UX-10_U_KKKK</v>
          </cell>
          <cell r="L661" t="str">
            <v>S-Frame</v>
          </cell>
          <cell r="M661" t="str">
            <v>S-フレーム</v>
          </cell>
          <cell r="P661" t="str">
            <v>31B0</v>
          </cell>
          <cell r="Q661" t="str">
            <v>SS400</v>
          </cell>
          <cell r="R661" t="str">
            <v>E349496_01</v>
          </cell>
          <cell r="S661">
            <v>120</v>
          </cell>
          <cell r="T661" t="str">
            <v>標準</v>
          </cell>
        </row>
        <row r="662">
          <cell r="F662" t="str">
            <v>H0000011020</v>
          </cell>
          <cell r="I662" t="str">
            <v>フレーム</v>
          </cell>
          <cell r="J662" t="str">
            <v>S-Frame_UX-10_U_TKTK</v>
          </cell>
          <cell r="K662" t="str">
            <v>S-フレーム_UX-10_U_TKTK</v>
          </cell>
          <cell r="L662" t="str">
            <v>S-Frame</v>
          </cell>
          <cell r="M662" t="str">
            <v>S-フレーム</v>
          </cell>
          <cell r="P662" t="str">
            <v>31B0</v>
          </cell>
          <cell r="Q662" t="str">
            <v>SS400</v>
          </cell>
          <cell r="R662" t="str">
            <v>E349496_01</v>
          </cell>
          <cell r="S662">
            <v>120</v>
          </cell>
          <cell r="T662" t="str">
            <v>標準</v>
          </cell>
        </row>
        <row r="663">
          <cell r="F663" t="str">
            <v>H0000011021</v>
          </cell>
          <cell r="I663" t="str">
            <v>フレーム</v>
          </cell>
          <cell r="J663" t="str">
            <v>S-Frame_UX-10_U_KTKT</v>
          </cell>
          <cell r="K663" t="str">
            <v>S-フレーム_UX-10_U_KTKT</v>
          </cell>
          <cell r="L663" t="str">
            <v>S-Frame</v>
          </cell>
          <cell r="M663" t="str">
            <v>S-フレーム</v>
          </cell>
          <cell r="P663" t="str">
            <v>31B0</v>
          </cell>
          <cell r="Q663" t="str">
            <v>SS400</v>
          </cell>
          <cell r="R663" t="str">
            <v>E349496_01</v>
          </cell>
          <cell r="S663">
            <v>120</v>
          </cell>
          <cell r="T663" t="str">
            <v>標準</v>
          </cell>
        </row>
        <row r="664">
          <cell r="F664" t="str">
            <v>H0000011030</v>
          </cell>
          <cell r="I664" t="str">
            <v>フレーム</v>
          </cell>
          <cell r="J664" t="str">
            <v>S-Frame_UX-10_U_TTTT</v>
          </cell>
          <cell r="K664" t="str">
            <v>S-フレーム_UX-10_U_TTTT</v>
          </cell>
          <cell r="L664" t="str">
            <v>S-Frame</v>
          </cell>
          <cell r="M664" t="str">
            <v>S-フレーム</v>
          </cell>
          <cell r="P664" t="str">
            <v>31B0</v>
          </cell>
          <cell r="Q664" t="str">
            <v>SS400</v>
          </cell>
          <cell r="R664" t="str">
            <v>E349496_01</v>
          </cell>
          <cell r="S664">
            <v>120</v>
          </cell>
          <cell r="T664" t="str">
            <v>標準</v>
          </cell>
        </row>
        <row r="665">
          <cell r="F665" t="str">
            <v>H0000011031</v>
          </cell>
          <cell r="I665" t="str">
            <v>フレーム</v>
          </cell>
          <cell r="J665" t="str">
            <v>S-Frame_UX-10_U_KKKK</v>
          </cell>
          <cell r="K665" t="str">
            <v>S-フレーム_UX-10_U_KKKK</v>
          </cell>
          <cell r="L665" t="str">
            <v>S-Frame</v>
          </cell>
          <cell r="M665" t="str">
            <v>S-フレーム</v>
          </cell>
          <cell r="P665" t="str">
            <v>31B0</v>
          </cell>
          <cell r="Q665" t="str">
            <v>SS400</v>
          </cell>
          <cell r="R665" t="str">
            <v>E349496_01</v>
          </cell>
          <cell r="S665">
            <v>120</v>
          </cell>
          <cell r="T665" t="str">
            <v>標準</v>
          </cell>
        </row>
        <row r="666">
          <cell r="F666" t="str">
            <v>H0000011032</v>
          </cell>
          <cell r="I666" t="str">
            <v>フレーム</v>
          </cell>
          <cell r="J666" t="str">
            <v>S-Frame_UX-10_U_TKTK</v>
          </cell>
          <cell r="K666" t="str">
            <v>S-フレーム_UX-10_U_TKTK</v>
          </cell>
          <cell r="L666" t="str">
            <v>S-Frame</v>
          </cell>
          <cell r="M666" t="str">
            <v>S-フレーム</v>
          </cell>
          <cell r="P666" t="str">
            <v>31B0</v>
          </cell>
          <cell r="Q666" t="str">
            <v>SS400</v>
          </cell>
          <cell r="R666" t="str">
            <v>E349496_01</v>
          </cell>
          <cell r="S666">
            <v>120</v>
          </cell>
          <cell r="T666" t="str">
            <v>標準</v>
          </cell>
        </row>
        <row r="667">
          <cell r="F667" t="str">
            <v>H0000011033</v>
          </cell>
          <cell r="I667" t="str">
            <v>フレーム</v>
          </cell>
          <cell r="J667" t="str">
            <v>S-Frame_UX-10_U_KTKT</v>
          </cell>
          <cell r="K667" t="str">
            <v>S-フレーム_UX-10_U_KTKT</v>
          </cell>
          <cell r="L667" t="str">
            <v>S-Frame</v>
          </cell>
          <cell r="M667" t="str">
            <v>S-フレーム</v>
          </cell>
          <cell r="P667" t="str">
            <v>31B0</v>
          </cell>
          <cell r="Q667" t="str">
            <v>SS400</v>
          </cell>
          <cell r="R667" t="str">
            <v>E349496_01</v>
          </cell>
          <cell r="S667">
            <v>120</v>
          </cell>
          <cell r="T667" t="str">
            <v>標準</v>
          </cell>
        </row>
        <row r="668">
          <cell r="F668" t="str">
            <v>H0000011034</v>
          </cell>
          <cell r="I668" t="str">
            <v>フレーム</v>
          </cell>
          <cell r="J668" t="str">
            <v>S-Frame_UX-10_U_TTTT</v>
          </cell>
          <cell r="K668" t="str">
            <v>S-フレーム_UX-10_U_TTTT</v>
          </cell>
          <cell r="L668" t="str">
            <v>S-Frame</v>
          </cell>
          <cell r="M668" t="str">
            <v>S-フレーム</v>
          </cell>
          <cell r="P668" t="str">
            <v>31B0</v>
          </cell>
          <cell r="Q668" t="str">
            <v>SS400</v>
          </cell>
          <cell r="R668" t="str">
            <v>E349496_01</v>
          </cell>
          <cell r="S668">
            <v>120</v>
          </cell>
          <cell r="T668" t="str">
            <v>標準</v>
          </cell>
        </row>
        <row r="669">
          <cell r="F669" t="str">
            <v>H0000011035</v>
          </cell>
          <cell r="I669" t="str">
            <v>フレーム</v>
          </cell>
          <cell r="J669" t="str">
            <v>S-Frame_UX-10_U_KKKK</v>
          </cell>
          <cell r="K669" t="str">
            <v>S-フレーム_UX-10_U_KKKK</v>
          </cell>
          <cell r="L669" t="str">
            <v>S-Frame</v>
          </cell>
          <cell r="M669" t="str">
            <v>S-フレーム</v>
          </cell>
          <cell r="P669" t="str">
            <v>31B0</v>
          </cell>
          <cell r="Q669" t="str">
            <v>SS400</v>
          </cell>
          <cell r="R669" t="str">
            <v>E349496_01</v>
          </cell>
          <cell r="S669">
            <v>120</v>
          </cell>
          <cell r="T669" t="str">
            <v>標準</v>
          </cell>
        </row>
        <row r="670">
          <cell r="F670" t="str">
            <v>H0000011036</v>
          </cell>
          <cell r="I670" t="str">
            <v>フレーム</v>
          </cell>
          <cell r="J670" t="str">
            <v>S-Frame_UX-10_U_TKTK</v>
          </cell>
          <cell r="K670" t="str">
            <v>S-フレーム_UX-10_U_TKTK</v>
          </cell>
          <cell r="L670" t="str">
            <v>S-Frame</v>
          </cell>
          <cell r="M670" t="str">
            <v>S-フレーム</v>
          </cell>
          <cell r="P670" t="str">
            <v>31B0</v>
          </cell>
          <cell r="Q670" t="str">
            <v>SS400</v>
          </cell>
          <cell r="R670" t="str">
            <v>E349496_01</v>
          </cell>
          <cell r="S670">
            <v>120</v>
          </cell>
          <cell r="T670" t="str">
            <v>標準</v>
          </cell>
        </row>
        <row r="671">
          <cell r="F671" t="str">
            <v>H0000011037</v>
          </cell>
          <cell r="I671" t="str">
            <v>フレーム</v>
          </cell>
          <cell r="J671" t="str">
            <v>S-Frame_UX-10_U_KTKT</v>
          </cell>
          <cell r="K671" t="str">
            <v>S-フレーム_UX-10_U_KTKT</v>
          </cell>
          <cell r="L671" t="str">
            <v>S-Frame</v>
          </cell>
          <cell r="M671" t="str">
            <v>S-フレーム</v>
          </cell>
          <cell r="P671" t="str">
            <v>31B0</v>
          </cell>
          <cell r="Q671" t="str">
            <v>SS400</v>
          </cell>
          <cell r="R671" t="str">
            <v>E349496_01</v>
          </cell>
          <cell r="S671">
            <v>120</v>
          </cell>
          <cell r="T671" t="str">
            <v>標準</v>
          </cell>
        </row>
        <row r="672">
          <cell r="F672" t="str">
            <v>H0000011042</v>
          </cell>
          <cell r="I672" t="str">
            <v>フレーム</v>
          </cell>
          <cell r="J672" t="str">
            <v>S-Frame_UX-10_U_TTTT</v>
          </cell>
          <cell r="K672" t="str">
            <v>S-フレーム_UX-10_U_TTTT</v>
          </cell>
          <cell r="L672" t="str">
            <v>S-Frame</v>
          </cell>
          <cell r="M672" t="str">
            <v>S-フレーム</v>
          </cell>
          <cell r="P672" t="str">
            <v>31B0</v>
          </cell>
          <cell r="Q672" t="str">
            <v>SS400</v>
          </cell>
          <cell r="R672" t="str">
            <v>E349496_01</v>
          </cell>
          <cell r="S672">
            <v>120</v>
          </cell>
          <cell r="T672" t="str">
            <v>標準</v>
          </cell>
        </row>
        <row r="673">
          <cell r="F673" t="str">
            <v>H0000011043</v>
          </cell>
          <cell r="I673" t="str">
            <v>フレーム</v>
          </cell>
          <cell r="J673" t="str">
            <v>S-Frame_UX-10_U_KKKK</v>
          </cell>
          <cell r="K673" t="str">
            <v>S-フレーム_UX-10_U_KKKK</v>
          </cell>
          <cell r="L673" t="str">
            <v>S-Frame</v>
          </cell>
          <cell r="M673" t="str">
            <v>S-フレーム</v>
          </cell>
          <cell r="P673" t="str">
            <v>31B0</v>
          </cell>
          <cell r="Q673" t="str">
            <v>SS400</v>
          </cell>
          <cell r="R673" t="str">
            <v>E349496_01</v>
          </cell>
          <cell r="S673">
            <v>120</v>
          </cell>
          <cell r="T673" t="str">
            <v>標準</v>
          </cell>
        </row>
        <row r="674">
          <cell r="F674" t="str">
            <v>H0000011044</v>
          </cell>
          <cell r="I674" t="str">
            <v>フレーム</v>
          </cell>
          <cell r="J674" t="str">
            <v>S-Frame_UX-10_U_TKTK</v>
          </cell>
          <cell r="K674" t="str">
            <v>S-フレーム_UX-10_U_TKTK</v>
          </cell>
          <cell r="L674" t="str">
            <v>S-Frame</v>
          </cell>
          <cell r="M674" t="str">
            <v>S-フレーム</v>
          </cell>
          <cell r="P674" t="str">
            <v>31B0</v>
          </cell>
          <cell r="Q674" t="str">
            <v>SS400</v>
          </cell>
          <cell r="R674" t="str">
            <v>E349496_01</v>
          </cell>
          <cell r="S674">
            <v>120</v>
          </cell>
          <cell r="T674" t="str">
            <v>標準</v>
          </cell>
        </row>
        <row r="675">
          <cell r="F675" t="str">
            <v>H0000011045</v>
          </cell>
          <cell r="I675" t="str">
            <v>フレーム</v>
          </cell>
          <cell r="J675" t="str">
            <v>S-Frame_UX-10_U_KTKT</v>
          </cell>
          <cell r="K675" t="str">
            <v>S-フレーム_UX-10_U_KTKT</v>
          </cell>
          <cell r="L675" t="str">
            <v>S-Frame</v>
          </cell>
          <cell r="M675" t="str">
            <v>S-フレーム</v>
          </cell>
          <cell r="P675" t="str">
            <v>31B0</v>
          </cell>
          <cell r="Q675" t="str">
            <v>SS400</v>
          </cell>
          <cell r="R675" t="str">
            <v>E349496_01</v>
          </cell>
          <cell r="S675">
            <v>120</v>
          </cell>
          <cell r="T675" t="str">
            <v>標準</v>
          </cell>
        </row>
        <row r="676">
          <cell r="F676" t="str">
            <v>H0000011074</v>
          </cell>
          <cell r="I676" t="str">
            <v>フレーム</v>
          </cell>
          <cell r="J676" t="str">
            <v>S-Frame_UX-10_U_TTTT</v>
          </cell>
          <cell r="K676" t="str">
            <v>S-フレーム_UX-10_U_TTTT</v>
          </cell>
          <cell r="L676" t="str">
            <v>S-Frame</v>
          </cell>
          <cell r="M676" t="str">
            <v>S-フレーム</v>
          </cell>
          <cell r="P676" t="str">
            <v>31B0</v>
          </cell>
          <cell r="Q676" t="str">
            <v>SS400</v>
          </cell>
          <cell r="R676" t="str">
            <v>E349496_01</v>
          </cell>
          <cell r="S676">
            <v>120</v>
          </cell>
          <cell r="T676" t="str">
            <v>標準</v>
          </cell>
        </row>
        <row r="677">
          <cell r="F677" t="str">
            <v>H0000011075</v>
          </cell>
          <cell r="I677" t="str">
            <v>フレーム</v>
          </cell>
          <cell r="J677" t="str">
            <v>S-Frame_UX-10_U_KKKK</v>
          </cell>
          <cell r="K677" t="str">
            <v>S-フレーム_UX-10_U_KKKK</v>
          </cell>
          <cell r="L677" t="str">
            <v>S-Frame</v>
          </cell>
          <cell r="M677" t="str">
            <v>S-フレーム</v>
          </cell>
          <cell r="P677" t="str">
            <v>31B0</v>
          </cell>
          <cell r="Q677" t="str">
            <v>SS400</v>
          </cell>
          <cell r="R677" t="str">
            <v>E349496_01</v>
          </cell>
          <cell r="S677">
            <v>120</v>
          </cell>
          <cell r="T677" t="str">
            <v>標準</v>
          </cell>
        </row>
        <row r="678">
          <cell r="F678" t="str">
            <v>H0000011076</v>
          </cell>
          <cell r="I678" t="str">
            <v>フレーム</v>
          </cell>
          <cell r="J678" t="str">
            <v>S-Frame_UX-10_U_TKTK</v>
          </cell>
          <cell r="K678" t="str">
            <v>S-フレーム_UX-10_U_TKTK</v>
          </cell>
          <cell r="L678" t="str">
            <v>S-Frame</v>
          </cell>
          <cell r="M678" t="str">
            <v>S-フレーム</v>
          </cell>
          <cell r="P678" t="str">
            <v>31B0</v>
          </cell>
          <cell r="Q678" t="str">
            <v>SS400</v>
          </cell>
          <cell r="R678" t="str">
            <v>E349496_01</v>
          </cell>
          <cell r="S678">
            <v>120</v>
          </cell>
          <cell r="T678" t="str">
            <v>標準</v>
          </cell>
        </row>
        <row r="679">
          <cell r="F679" t="str">
            <v>H0000011077</v>
          </cell>
          <cell r="I679" t="str">
            <v>フレーム</v>
          </cell>
          <cell r="J679" t="str">
            <v>S-Frame_UX-10_U_KTKT</v>
          </cell>
          <cell r="K679" t="str">
            <v>S-フレーム_UX-10_U_KTKT</v>
          </cell>
          <cell r="L679" t="str">
            <v>S-Frame</v>
          </cell>
          <cell r="M679" t="str">
            <v>S-フレーム</v>
          </cell>
          <cell r="P679" t="str">
            <v>31B0</v>
          </cell>
          <cell r="Q679" t="str">
            <v>SS400</v>
          </cell>
          <cell r="R679" t="str">
            <v>E349496_01</v>
          </cell>
          <cell r="S679">
            <v>120</v>
          </cell>
          <cell r="T679" t="str">
            <v>標準</v>
          </cell>
        </row>
        <row r="680">
          <cell r="F680" t="str">
            <v>H0000011078</v>
          </cell>
          <cell r="I680" t="str">
            <v>フレーム</v>
          </cell>
          <cell r="J680" t="str">
            <v>S-Frame_UX-10_U_TTTT</v>
          </cell>
          <cell r="K680" t="str">
            <v>S-フレーム_UX-10_U_TTTT</v>
          </cell>
          <cell r="L680" t="str">
            <v>S-Frame</v>
          </cell>
          <cell r="M680" t="str">
            <v>S-フレーム</v>
          </cell>
          <cell r="P680" t="str">
            <v>31B0</v>
          </cell>
          <cell r="Q680" t="str">
            <v>SS400</v>
          </cell>
          <cell r="R680" t="str">
            <v>E349496_01</v>
          </cell>
          <cell r="S680">
            <v>120</v>
          </cell>
          <cell r="T680" t="str">
            <v>標準</v>
          </cell>
        </row>
        <row r="681">
          <cell r="F681" t="str">
            <v>H0000011079</v>
          </cell>
          <cell r="I681" t="str">
            <v>フレーム</v>
          </cell>
          <cell r="J681" t="str">
            <v>S-Frame_UX-10_U_KKKK</v>
          </cell>
          <cell r="K681" t="str">
            <v>S-フレーム_UX-10_U_KKKK</v>
          </cell>
          <cell r="L681" t="str">
            <v>S-Frame</v>
          </cell>
          <cell r="M681" t="str">
            <v>S-フレーム</v>
          </cell>
          <cell r="P681" t="str">
            <v>31B0</v>
          </cell>
          <cell r="Q681" t="str">
            <v>SS400</v>
          </cell>
          <cell r="R681" t="str">
            <v>E349496_01</v>
          </cell>
          <cell r="S681">
            <v>120</v>
          </cell>
          <cell r="T681" t="str">
            <v>標準</v>
          </cell>
        </row>
        <row r="682">
          <cell r="F682" t="str">
            <v>H0000011080</v>
          </cell>
          <cell r="I682" t="str">
            <v>フレーム</v>
          </cell>
          <cell r="J682" t="str">
            <v>S-Frame_UX-10_U_TKTK</v>
          </cell>
          <cell r="K682" t="str">
            <v>S-フレーム_UX-10_U_TKTK</v>
          </cell>
          <cell r="L682" t="str">
            <v>S-Frame</v>
          </cell>
          <cell r="M682" t="str">
            <v>S-フレーム</v>
          </cell>
          <cell r="P682" t="str">
            <v>31B0</v>
          </cell>
          <cell r="Q682" t="str">
            <v>SS400</v>
          </cell>
          <cell r="R682" t="str">
            <v>E349496_01</v>
          </cell>
          <cell r="S682">
            <v>120</v>
          </cell>
          <cell r="T682" t="str">
            <v>標準</v>
          </cell>
        </row>
        <row r="683">
          <cell r="F683" t="str">
            <v>H0000011081</v>
          </cell>
          <cell r="I683" t="str">
            <v>フレーム</v>
          </cell>
          <cell r="J683" t="str">
            <v>S-Frame_UX-10_U_KTKT</v>
          </cell>
          <cell r="K683" t="str">
            <v>S-フレーム_UX-10_U_KTKT</v>
          </cell>
          <cell r="L683" t="str">
            <v>S-Frame</v>
          </cell>
          <cell r="M683" t="str">
            <v>S-フレーム</v>
          </cell>
          <cell r="P683" t="str">
            <v>31B0</v>
          </cell>
          <cell r="Q683" t="str">
            <v>SS400</v>
          </cell>
          <cell r="R683" t="str">
            <v>E349496_01</v>
          </cell>
          <cell r="S683">
            <v>120</v>
          </cell>
          <cell r="T683" t="str">
            <v>標準</v>
          </cell>
        </row>
        <row r="684">
          <cell r="F684" t="str">
            <v>H0000011210</v>
          </cell>
          <cell r="I684" t="str">
            <v>フレーム</v>
          </cell>
          <cell r="J684" t="str">
            <v>S-Frame_UX-10_S_TTTT</v>
          </cell>
          <cell r="K684" t="str">
            <v>S-フレーム_UX-10_S_TTTT</v>
          </cell>
          <cell r="L684" t="str">
            <v>S-Frame</v>
          </cell>
          <cell r="M684" t="str">
            <v>S-フレーム</v>
          </cell>
          <cell r="P684" t="str">
            <v>31B0</v>
          </cell>
          <cell r="Q684" t="str">
            <v>SS400</v>
          </cell>
          <cell r="R684" t="str">
            <v>E349496_01</v>
          </cell>
          <cell r="S684">
            <v>134</v>
          </cell>
          <cell r="T684" t="str">
            <v>標準</v>
          </cell>
        </row>
        <row r="685">
          <cell r="F685" t="str">
            <v>H0000011211</v>
          </cell>
          <cell r="I685" t="str">
            <v>フレーム</v>
          </cell>
          <cell r="J685" t="str">
            <v>S-Frame_UX-10_S_KKKK</v>
          </cell>
          <cell r="K685" t="str">
            <v>S-フレーム_UX-10_S_KKKK</v>
          </cell>
          <cell r="L685" t="str">
            <v>S-Frame</v>
          </cell>
          <cell r="M685" t="str">
            <v>S-フレーム</v>
          </cell>
          <cell r="P685" t="str">
            <v>31B0</v>
          </cell>
          <cell r="Q685" t="str">
            <v>SS400</v>
          </cell>
          <cell r="R685" t="str">
            <v>E349496_01</v>
          </cell>
          <cell r="S685">
            <v>134</v>
          </cell>
          <cell r="T685" t="str">
            <v>標準</v>
          </cell>
        </row>
        <row r="686">
          <cell r="F686" t="str">
            <v>H0000011212</v>
          </cell>
          <cell r="I686" t="str">
            <v>フレーム</v>
          </cell>
          <cell r="J686" t="str">
            <v>S-Frame_UX-10_S_TKTK</v>
          </cell>
          <cell r="K686" t="str">
            <v>S-フレーム_UX-10_S_TKTK</v>
          </cell>
          <cell r="L686" t="str">
            <v>S-Frame</v>
          </cell>
          <cell r="M686" t="str">
            <v>S-フレーム</v>
          </cell>
          <cell r="P686" t="str">
            <v>31B0</v>
          </cell>
          <cell r="Q686" t="str">
            <v>SS400</v>
          </cell>
          <cell r="R686" t="str">
            <v>E349496_01</v>
          </cell>
          <cell r="S686">
            <v>134</v>
          </cell>
          <cell r="T686" t="str">
            <v>標準</v>
          </cell>
        </row>
        <row r="687">
          <cell r="F687" t="str">
            <v>H0000011213</v>
          </cell>
          <cell r="I687" t="str">
            <v>フレーム</v>
          </cell>
          <cell r="J687" t="str">
            <v>S-Frame_UX-10_S_KTKT</v>
          </cell>
          <cell r="K687" t="str">
            <v>S-フレーム_UX-10_S_KTKT</v>
          </cell>
          <cell r="L687" t="str">
            <v>S-Frame</v>
          </cell>
          <cell r="M687" t="str">
            <v>S-フレーム</v>
          </cell>
          <cell r="P687" t="str">
            <v>31B0</v>
          </cell>
          <cell r="Q687" t="str">
            <v>SS400</v>
          </cell>
          <cell r="R687" t="str">
            <v>E349496_01</v>
          </cell>
          <cell r="S687">
            <v>134</v>
          </cell>
          <cell r="T687" t="str">
            <v>標準</v>
          </cell>
        </row>
        <row r="688">
          <cell r="F688" t="str">
            <v>H0000011214</v>
          </cell>
          <cell r="I688" t="str">
            <v>フレーム</v>
          </cell>
          <cell r="J688" t="str">
            <v>S-Frame_UX-10_S_TTTT</v>
          </cell>
          <cell r="K688" t="str">
            <v>S-フレーム_UX-10_S_TTTT</v>
          </cell>
          <cell r="L688" t="str">
            <v>S-Frame</v>
          </cell>
          <cell r="M688" t="str">
            <v>S-フレーム</v>
          </cell>
          <cell r="P688" t="str">
            <v>31B0</v>
          </cell>
          <cell r="Q688" t="str">
            <v>SS400</v>
          </cell>
          <cell r="R688" t="str">
            <v>E349496_01</v>
          </cell>
          <cell r="S688">
            <v>134</v>
          </cell>
          <cell r="T688" t="str">
            <v>標準</v>
          </cell>
        </row>
        <row r="689">
          <cell r="F689" t="str">
            <v>H0000011215</v>
          </cell>
          <cell r="I689" t="str">
            <v>フレーム</v>
          </cell>
          <cell r="J689" t="str">
            <v>S-Frame_UX-10_S_KKKK</v>
          </cell>
          <cell r="K689" t="str">
            <v>S-フレーム_UX-10_S_KKKK</v>
          </cell>
          <cell r="L689" t="str">
            <v>S-Frame</v>
          </cell>
          <cell r="M689" t="str">
            <v>S-フレーム</v>
          </cell>
          <cell r="P689" t="str">
            <v>31B0</v>
          </cell>
          <cell r="Q689" t="str">
            <v>SS400</v>
          </cell>
          <cell r="R689" t="str">
            <v>E349496_01</v>
          </cell>
          <cell r="S689">
            <v>134</v>
          </cell>
          <cell r="T689" t="str">
            <v>標準</v>
          </cell>
        </row>
        <row r="690">
          <cell r="F690" t="str">
            <v>H0000011216</v>
          </cell>
          <cell r="I690" t="str">
            <v>フレーム</v>
          </cell>
          <cell r="J690" t="str">
            <v>S-Frame_UX-10_S_TKTK</v>
          </cell>
          <cell r="K690" t="str">
            <v>S-フレーム_UX-10_S_TKTK</v>
          </cell>
          <cell r="L690" t="str">
            <v>S-Frame</v>
          </cell>
          <cell r="M690" t="str">
            <v>S-フレーム</v>
          </cell>
          <cell r="P690" t="str">
            <v>31B0</v>
          </cell>
          <cell r="Q690" t="str">
            <v>SS400</v>
          </cell>
          <cell r="R690" t="str">
            <v>E349496_01</v>
          </cell>
          <cell r="S690">
            <v>134</v>
          </cell>
          <cell r="T690" t="str">
            <v>標準</v>
          </cell>
        </row>
        <row r="691">
          <cell r="F691" t="str">
            <v>H0000011217</v>
          </cell>
          <cell r="I691" t="str">
            <v>フレーム</v>
          </cell>
          <cell r="J691" t="str">
            <v>S-Frame_UX-10_S_KTKT</v>
          </cell>
          <cell r="K691" t="str">
            <v>S-フレーム_UX-10_S_KTKT</v>
          </cell>
          <cell r="L691" t="str">
            <v>S-Frame</v>
          </cell>
          <cell r="M691" t="str">
            <v>S-フレーム</v>
          </cell>
          <cell r="P691" t="str">
            <v>31B0</v>
          </cell>
          <cell r="Q691" t="str">
            <v>SS400</v>
          </cell>
          <cell r="R691" t="str">
            <v>E349496_01</v>
          </cell>
          <cell r="S691">
            <v>134</v>
          </cell>
          <cell r="T691" t="str">
            <v>標準</v>
          </cell>
        </row>
        <row r="692">
          <cell r="F692" t="str">
            <v>H0000011222</v>
          </cell>
          <cell r="I692" t="str">
            <v>フレーム</v>
          </cell>
          <cell r="J692" t="str">
            <v>S-Frame_UX-10_S_TTTT</v>
          </cell>
          <cell r="K692" t="str">
            <v>S-フレーム_UX-10_S_TTTT</v>
          </cell>
          <cell r="L692" t="str">
            <v>S-Frame</v>
          </cell>
          <cell r="M692" t="str">
            <v>S-フレーム</v>
          </cell>
          <cell r="P692" t="str">
            <v>31B0</v>
          </cell>
          <cell r="Q692" t="str">
            <v>SS400</v>
          </cell>
          <cell r="R692" t="str">
            <v>E349496_01</v>
          </cell>
          <cell r="S692">
            <v>134</v>
          </cell>
          <cell r="T692" t="str">
            <v>標準</v>
          </cell>
        </row>
        <row r="693">
          <cell r="F693" t="str">
            <v>H0000011223</v>
          </cell>
          <cell r="I693" t="str">
            <v>フレーム</v>
          </cell>
          <cell r="J693" t="str">
            <v>S-Frame_UX-10_S_KKKK</v>
          </cell>
          <cell r="K693" t="str">
            <v>S-フレーム_UX-10_S_KKKK</v>
          </cell>
          <cell r="L693" t="str">
            <v>S-Frame</v>
          </cell>
          <cell r="M693" t="str">
            <v>S-フレーム</v>
          </cell>
          <cell r="P693" t="str">
            <v>31B0</v>
          </cell>
          <cell r="Q693" t="str">
            <v>SS400</v>
          </cell>
          <cell r="R693" t="str">
            <v>E349496_01</v>
          </cell>
          <cell r="S693">
            <v>134</v>
          </cell>
          <cell r="T693" t="str">
            <v>標準</v>
          </cell>
        </row>
        <row r="694">
          <cell r="F694" t="str">
            <v>H0000011224</v>
          </cell>
          <cell r="I694" t="str">
            <v>フレーム</v>
          </cell>
          <cell r="J694" t="str">
            <v>S-Frame_UX-10_S_TKTK</v>
          </cell>
          <cell r="K694" t="str">
            <v>S-フレーム_UX-10_S_TKTK</v>
          </cell>
          <cell r="L694" t="str">
            <v>S-Frame</v>
          </cell>
          <cell r="M694" t="str">
            <v>S-フレーム</v>
          </cell>
          <cell r="P694" t="str">
            <v>31B0</v>
          </cell>
          <cell r="Q694" t="str">
            <v>SS400</v>
          </cell>
          <cell r="R694" t="str">
            <v>E349496_01</v>
          </cell>
          <cell r="S694">
            <v>134</v>
          </cell>
          <cell r="T694" t="str">
            <v>標準</v>
          </cell>
        </row>
        <row r="695">
          <cell r="F695" t="str">
            <v>H0000011225</v>
          </cell>
          <cell r="I695" t="str">
            <v>フレーム</v>
          </cell>
          <cell r="J695" t="str">
            <v>S-Frame_UX-10_S_KTKT</v>
          </cell>
          <cell r="K695" t="str">
            <v>S-フレーム_UX-10_S_KTKT</v>
          </cell>
          <cell r="L695" t="str">
            <v>S-Frame</v>
          </cell>
          <cell r="M695" t="str">
            <v>S-フレーム</v>
          </cell>
          <cell r="P695" t="str">
            <v>31B0</v>
          </cell>
          <cell r="Q695" t="str">
            <v>SS400</v>
          </cell>
          <cell r="R695" t="str">
            <v>E349496_01</v>
          </cell>
          <cell r="S695">
            <v>134</v>
          </cell>
          <cell r="T695" t="str">
            <v>標準</v>
          </cell>
        </row>
        <row r="696">
          <cell r="F696" t="str">
            <v>H0000011254</v>
          </cell>
          <cell r="I696" t="str">
            <v>フレーム</v>
          </cell>
          <cell r="J696" t="str">
            <v>S-Frame_UX-10_S_TTTT</v>
          </cell>
          <cell r="K696" t="str">
            <v>S-フレーム_UX-10_S_TTTT</v>
          </cell>
          <cell r="L696" t="str">
            <v>S-Frame</v>
          </cell>
          <cell r="M696" t="str">
            <v>S-フレーム</v>
          </cell>
          <cell r="P696" t="str">
            <v>31B0</v>
          </cell>
          <cell r="Q696" t="str">
            <v>SS400</v>
          </cell>
          <cell r="R696" t="str">
            <v>E349496_01</v>
          </cell>
          <cell r="S696">
            <v>134</v>
          </cell>
          <cell r="T696" t="str">
            <v>標準</v>
          </cell>
        </row>
        <row r="697">
          <cell r="F697" t="str">
            <v>H0000011255</v>
          </cell>
          <cell r="I697" t="str">
            <v>フレーム</v>
          </cell>
          <cell r="J697" t="str">
            <v>S-Frame_UX-10_S_KKKK</v>
          </cell>
          <cell r="K697" t="str">
            <v>S-フレーム_UX-10_S_KKKK</v>
          </cell>
          <cell r="L697" t="str">
            <v>S-Frame</v>
          </cell>
          <cell r="M697" t="str">
            <v>S-フレーム</v>
          </cell>
          <cell r="P697" t="str">
            <v>31B0</v>
          </cell>
          <cell r="Q697" t="str">
            <v>SS400</v>
          </cell>
          <cell r="R697" t="str">
            <v>E349496_01</v>
          </cell>
          <cell r="S697">
            <v>134</v>
          </cell>
          <cell r="T697" t="str">
            <v>標準</v>
          </cell>
        </row>
        <row r="698">
          <cell r="F698" t="str">
            <v>H0000011256</v>
          </cell>
          <cell r="I698" t="str">
            <v>フレーム</v>
          </cell>
          <cell r="J698" t="str">
            <v>S-Frame_UX-10_S_TKTK</v>
          </cell>
          <cell r="K698" t="str">
            <v>S-フレーム_UX-10_S_TKTK</v>
          </cell>
          <cell r="L698" t="str">
            <v>S-Frame</v>
          </cell>
          <cell r="M698" t="str">
            <v>S-フレーム</v>
          </cell>
          <cell r="P698" t="str">
            <v>31B0</v>
          </cell>
          <cell r="Q698" t="str">
            <v>SS400</v>
          </cell>
          <cell r="R698" t="str">
            <v>E349496_01</v>
          </cell>
          <cell r="S698">
            <v>134</v>
          </cell>
          <cell r="T698" t="str">
            <v>標準</v>
          </cell>
        </row>
        <row r="699">
          <cell r="F699" t="str">
            <v>H0000011257</v>
          </cell>
          <cell r="I699" t="str">
            <v>フレーム</v>
          </cell>
          <cell r="J699" t="str">
            <v>S-Frame_UX-10_S_KTKT</v>
          </cell>
          <cell r="K699" t="str">
            <v>S-フレーム_UX-10_S_KTKT</v>
          </cell>
          <cell r="L699" t="str">
            <v>S-Frame</v>
          </cell>
          <cell r="M699" t="str">
            <v>S-フレーム</v>
          </cell>
          <cell r="P699" t="str">
            <v>31B0</v>
          </cell>
          <cell r="Q699" t="str">
            <v>SS400</v>
          </cell>
          <cell r="R699" t="str">
            <v>E349496_01</v>
          </cell>
          <cell r="S699">
            <v>134</v>
          </cell>
          <cell r="T699" t="str">
            <v>標準</v>
          </cell>
        </row>
        <row r="700">
          <cell r="F700" t="str">
            <v>H0000011258</v>
          </cell>
          <cell r="I700" t="str">
            <v>フレーム</v>
          </cell>
          <cell r="J700" t="str">
            <v>S-Frame_UX-10_S_TTTT</v>
          </cell>
          <cell r="K700" t="str">
            <v>S-フレーム_UX-10_S_TTTT</v>
          </cell>
          <cell r="L700" t="str">
            <v>S-Frame</v>
          </cell>
          <cell r="M700" t="str">
            <v>S-フレーム</v>
          </cell>
          <cell r="P700" t="str">
            <v>31B0</v>
          </cell>
          <cell r="Q700" t="str">
            <v>SS400</v>
          </cell>
          <cell r="R700" t="str">
            <v>E349496_01</v>
          </cell>
          <cell r="S700">
            <v>134</v>
          </cell>
          <cell r="T700" t="str">
            <v>標準</v>
          </cell>
        </row>
        <row r="701">
          <cell r="F701" t="str">
            <v>H0000011259</v>
          </cell>
          <cell r="I701" t="str">
            <v>フレーム</v>
          </cell>
          <cell r="J701" t="str">
            <v>S-Frame_UX-10_S_KKKK</v>
          </cell>
          <cell r="K701" t="str">
            <v>S-フレーム_UX-10_S_KKKK</v>
          </cell>
          <cell r="L701" t="str">
            <v>S-Frame</v>
          </cell>
          <cell r="M701" t="str">
            <v>S-フレーム</v>
          </cell>
          <cell r="P701" t="str">
            <v>31B0</v>
          </cell>
          <cell r="Q701" t="str">
            <v>SS400</v>
          </cell>
          <cell r="R701" t="str">
            <v>E349496_01</v>
          </cell>
          <cell r="S701">
            <v>134</v>
          </cell>
          <cell r="T701" t="str">
            <v>標準</v>
          </cell>
        </row>
        <row r="702">
          <cell r="F702" t="str">
            <v>H0000011260</v>
          </cell>
          <cell r="I702" t="str">
            <v>フレーム</v>
          </cell>
          <cell r="J702" t="str">
            <v>S-Frame_UX-10_S_TKTK</v>
          </cell>
          <cell r="K702" t="str">
            <v>S-フレーム_UX-10_S_TKTK</v>
          </cell>
          <cell r="L702" t="str">
            <v>S-Frame</v>
          </cell>
          <cell r="M702" t="str">
            <v>S-フレーム</v>
          </cell>
          <cell r="P702" t="str">
            <v>31B0</v>
          </cell>
          <cell r="Q702" t="str">
            <v>SS400</v>
          </cell>
          <cell r="R702" t="str">
            <v>E349496_01</v>
          </cell>
          <cell r="S702">
            <v>134</v>
          </cell>
          <cell r="T702" t="str">
            <v>標準</v>
          </cell>
        </row>
        <row r="703">
          <cell r="F703" t="str">
            <v>H0000011261</v>
          </cell>
          <cell r="I703" t="str">
            <v>フレーム</v>
          </cell>
          <cell r="J703" t="str">
            <v>S-Frame_UX-10_S_KTKT</v>
          </cell>
          <cell r="K703" t="str">
            <v>S-フレーム_UX-10_S_KTKT</v>
          </cell>
          <cell r="L703" t="str">
            <v>S-Frame</v>
          </cell>
          <cell r="M703" t="str">
            <v>S-フレーム</v>
          </cell>
          <cell r="P703" t="str">
            <v>31B0</v>
          </cell>
          <cell r="Q703" t="str">
            <v>SS400</v>
          </cell>
          <cell r="R703" t="str">
            <v>E349496_01</v>
          </cell>
          <cell r="S703">
            <v>134</v>
          </cell>
          <cell r="T703" t="str">
            <v>標準</v>
          </cell>
        </row>
        <row r="704">
          <cell r="F704" t="str">
            <v>H0000011270</v>
          </cell>
          <cell r="I704" t="str">
            <v>フレーム</v>
          </cell>
          <cell r="J704" t="str">
            <v>S-Frame_UX-10_S_TTTT</v>
          </cell>
          <cell r="K704" t="str">
            <v>S-フレーム_UX-10_S_TTTT</v>
          </cell>
          <cell r="L704" t="str">
            <v>S-Frame</v>
          </cell>
          <cell r="M704" t="str">
            <v>S-フレーム</v>
          </cell>
          <cell r="P704" t="str">
            <v>31B0</v>
          </cell>
          <cell r="Q704" t="str">
            <v>SS400</v>
          </cell>
          <cell r="R704" t="str">
            <v>E349496_01</v>
          </cell>
          <cell r="S704">
            <v>134</v>
          </cell>
          <cell r="T704" t="str">
            <v>標準</v>
          </cell>
        </row>
        <row r="705">
          <cell r="F705" t="str">
            <v>H0000011271</v>
          </cell>
          <cell r="I705" t="str">
            <v>フレーム</v>
          </cell>
          <cell r="J705" t="str">
            <v>S-Frame_UX-10_S_KKKK</v>
          </cell>
          <cell r="K705" t="str">
            <v>S-フレーム_UX-10_S_KKKK</v>
          </cell>
          <cell r="L705" t="str">
            <v>S-Frame</v>
          </cell>
          <cell r="M705" t="str">
            <v>S-フレーム</v>
          </cell>
          <cell r="P705" t="str">
            <v>31B0</v>
          </cell>
          <cell r="Q705" t="str">
            <v>SS400</v>
          </cell>
          <cell r="R705" t="str">
            <v>E349496_01</v>
          </cell>
          <cell r="S705">
            <v>134</v>
          </cell>
          <cell r="T705" t="str">
            <v>標準</v>
          </cell>
        </row>
        <row r="706">
          <cell r="F706" t="str">
            <v>H0000011272</v>
          </cell>
          <cell r="I706" t="str">
            <v>フレーム</v>
          </cell>
          <cell r="J706" t="str">
            <v>S-Frame_UX-10_S_TKTK</v>
          </cell>
          <cell r="K706" t="str">
            <v>S-フレーム_UX-10_S_TKTK</v>
          </cell>
          <cell r="L706" t="str">
            <v>S-Frame</v>
          </cell>
          <cell r="M706" t="str">
            <v>S-フレーム</v>
          </cell>
          <cell r="P706" t="str">
            <v>31B0</v>
          </cell>
          <cell r="Q706" t="str">
            <v>SS400</v>
          </cell>
          <cell r="R706" t="str">
            <v>E349496_01</v>
          </cell>
          <cell r="S706">
            <v>134</v>
          </cell>
          <cell r="T706" t="str">
            <v>標準</v>
          </cell>
        </row>
        <row r="707">
          <cell r="F707" t="str">
            <v>H0000011273</v>
          </cell>
          <cell r="I707" t="str">
            <v>フレーム</v>
          </cell>
          <cell r="J707" t="str">
            <v>S-Frame_UX-10_S_KTKT</v>
          </cell>
          <cell r="K707" t="str">
            <v>S-フレーム_UX-10_S_KTKT</v>
          </cell>
          <cell r="L707" t="str">
            <v>S-Frame</v>
          </cell>
          <cell r="M707" t="str">
            <v>S-フレーム</v>
          </cell>
          <cell r="P707" t="str">
            <v>31B0</v>
          </cell>
          <cell r="Q707" t="str">
            <v>SS400</v>
          </cell>
          <cell r="R707" t="str">
            <v>E349496_01</v>
          </cell>
          <cell r="S707">
            <v>134</v>
          </cell>
          <cell r="T707" t="str">
            <v>標準</v>
          </cell>
        </row>
        <row r="708">
          <cell r="F708" t="str">
            <v>H0000011274</v>
          </cell>
          <cell r="I708" t="str">
            <v>フレーム</v>
          </cell>
          <cell r="J708" t="str">
            <v>S-Frame_UX-10_S_TTTT</v>
          </cell>
          <cell r="K708" t="str">
            <v>S-フレーム_UX-10_S_TTTT</v>
          </cell>
          <cell r="L708" t="str">
            <v>S-Frame</v>
          </cell>
          <cell r="M708" t="str">
            <v>S-フレーム</v>
          </cell>
          <cell r="P708" t="str">
            <v>31B0</v>
          </cell>
          <cell r="Q708" t="str">
            <v>SS400</v>
          </cell>
          <cell r="R708" t="str">
            <v>E349496_01</v>
          </cell>
          <cell r="S708">
            <v>134</v>
          </cell>
          <cell r="T708" t="str">
            <v>標準</v>
          </cell>
        </row>
        <row r="709">
          <cell r="F709" t="str">
            <v>H0000011275</v>
          </cell>
          <cell r="I709" t="str">
            <v>フレーム</v>
          </cell>
          <cell r="J709" t="str">
            <v>S-Frame_UX-10_S_KKKK</v>
          </cell>
          <cell r="K709" t="str">
            <v>S-フレーム_UX-10_S_KKKK</v>
          </cell>
          <cell r="L709" t="str">
            <v>S-Frame</v>
          </cell>
          <cell r="M709" t="str">
            <v>S-フレーム</v>
          </cell>
          <cell r="P709" t="str">
            <v>31B0</v>
          </cell>
          <cell r="Q709" t="str">
            <v>SS400</v>
          </cell>
          <cell r="R709" t="str">
            <v>E349496_01</v>
          </cell>
          <cell r="S709">
            <v>134</v>
          </cell>
          <cell r="T709" t="str">
            <v>標準</v>
          </cell>
        </row>
        <row r="710">
          <cell r="F710" t="str">
            <v>H0000011276</v>
          </cell>
          <cell r="I710" t="str">
            <v>フレーム</v>
          </cell>
          <cell r="J710" t="str">
            <v>S-Frame_UX-10_S_TKTK</v>
          </cell>
          <cell r="K710" t="str">
            <v>S-フレーム_UX-10_S_TKTK</v>
          </cell>
          <cell r="L710" t="str">
            <v>S-Frame</v>
          </cell>
          <cell r="M710" t="str">
            <v>S-フレーム</v>
          </cell>
          <cell r="P710" t="str">
            <v>31B0</v>
          </cell>
          <cell r="Q710" t="str">
            <v>SS400</v>
          </cell>
          <cell r="R710" t="str">
            <v>E349496_01</v>
          </cell>
          <cell r="S710">
            <v>134</v>
          </cell>
          <cell r="T710" t="str">
            <v>標準</v>
          </cell>
        </row>
        <row r="711">
          <cell r="F711" t="str">
            <v>H0000011277</v>
          </cell>
          <cell r="I711" t="str">
            <v>フレーム</v>
          </cell>
          <cell r="J711" t="str">
            <v>S-Frame_UX-10_S_KTKT</v>
          </cell>
          <cell r="K711" t="str">
            <v>S-フレーム_UX-10_S_KTKT</v>
          </cell>
          <cell r="L711" t="str">
            <v>S-Frame</v>
          </cell>
          <cell r="M711" t="str">
            <v>S-フレーム</v>
          </cell>
          <cell r="P711" t="str">
            <v>31B0</v>
          </cell>
          <cell r="Q711" t="str">
            <v>SS400</v>
          </cell>
          <cell r="R711" t="str">
            <v>E349496_01</v>
          </cell>
          <cell r="S711">
            <v>134</v>
          </cell>
          <cell r="T711" t="str">
            <v>標準</v>
          </cell>
        </row>
        <row r="712">
          <cell r="F712" t="str">
            <v>H0000011282</v>
          </cell>
          <cell r="I712" t="str">
            <v>フレーム</v>
          </cell>
          <cell r="J712" t="str">
            <v>S-Frame_UX-10_S_TTTT</v>
          </cell>
          <cell r="K712" t="str">
            <v>S-フレーム_UX-10_S_TTTT</v>
          </cell>
          <cell r="L712" t="str">
            <v>S-Frame</v>
          </cell>
          <cell r="M712" t="str">
            <v>S-フレーム</v>
          </cell>
          <cell r="P712" t="str">
            <v>31B0</v>
          </cell>
          <cell r="Q712" t="str">
            <v>SS400</v>
          </cell>
          <cell r="R712" t="str">
            <v>E349496_01</v>
          </cell>
          <cell r="S712">
            <v>134</v>
          </cell>
          <cell r="T712" t="str">
            <v>標準</v>
          </cell>
        </row>
        <row r="713">
          <cell r="F713" t="str">
            <v>H0000011283</v>
          </cell>
          <cell r="I713" t="str">
            <v>フレーム</v>
          </cell>
          <cell r="J713" t="str">
            <v>S-Frame_UX-10_S_KKKK</v>
          </cell>
          <cell r="K713" t="str">
            <v>S-フレーム_UX-10_S_KKKK</v>
          </cell>
          <cell r="L713" t="str">
            <v>S-Frame</v>
          </cell>
          <cell r="M713" t="str">
            <v>S-フレーム</v>
          </cell>
          <cell r="P713" t="str">
            <v>31B0</v>
          </cell>
          <cell r="Q713" t="str">
            <v>SS400</v>
          </cell>
          <cell r="R713" t="str">
            <v>E349496_01</v>
          </cell>
          <cell r="S713">
            <v>134</v>
          </cell>
          <cell r="T713" t="str">
            <v>標準</v>
          </cell>
        </row>
        <row r="714">
          <cell r="F714" t="str">
            <v>H0000011284</v>
          </cell>
          <cell r="I714" t="str">
            <v>フレーム</v>
          </cell>
          <cell r="J714" t="str">
            <v>S-Frame_UX-10_S_TKTK</v>
          </cell>
          <cell r="K714" t="str">
            <v>S-フレーム_UX-10_S_TKTK</v>
          </cell>
          <cell r="L714" t="str">
            <v>S-Frame</v>
          </cell>
          <cell r="M714" t="str">
            <v>S-フレーム</v>
          </cell>
          <cell r="P714" t="str">
            <v>31B0</v>
          </cell>
          <cell r="Q714" t="str">
            <v>SS400</v>
          </cell>
          <cell r="R714" t="str">
            <v>E349496_01</v>
          </cell>
          <cell r="S714">
            <v>134</v>
          </cell>
          <cell r="T714" t="str">
            <v>標準</v>
          </cell>
        </row>
        <row r="715">
          <cell r="F715" t="str">
            <v>H0000011285</v>
          </cell>
          <cell r="I715" t="str">
            <v>フレーム</v>
          </cell>
          <cell r="J715" t="str">
            <v>S-Frame_UX-10_S_KTKT</v>
          </cell>
          <cell r="K715" t="str">
            <v>S-フレーム_UX-10_S_KTKT</v>
          </cell>
          <cell r="L715" t="str">
            <v>S-Frame</v>
          </cell>
          <cell r="M715" t="str">
            <v>S-フレーム</v>
          </cell>
          <cell r="P715" t="str">
            <v>31B0</v>
          </cell>
          <cell r="Q715" t="str">
            <v>SS400</v>
          </cell>
          <cell r="R715" t="str">
            <v>E349496_01</v>
          </cell>
          <cell r="S715">
            <v>134</v>
          </cell>
          <cell r="T715" t="str">
            <v>標準</v>
          </cell>
        </row>
        <row r="716">
          <cell r="F716" t="str">
            <v>H0000011314</v>
          </cell>
          <cell r="I716" t="str">
            <v>フレーム</v>
          </cell>
          <cell r="J716" t="str">
            <v>S-Frame_UX-10_S_TTTT</v>
          </cell>
          <cell r="K716" t="str">
            <v>S-フレーム_UX-10_S_TTTT</v>
          </cell>
          <cell r="L716" t="str">
            <v>S-Frame</v>
          </cell>
          <cell r="M716" t="str">
            <v>S-フレーム</v>
          </cell>
          <cell r="P716" t="str">
            <v>31B0</v>
          </cell>
          <cell r="Q716" t="str">
            <v>SS400</v>
          </cell>
          <cell r="R716" t="str">
            <v>E349496_01</v>
          </cell>
          <cell r="S716">
            <v>134</v>
          </cell>
          <cell r="T716" t="str">
            <v>標準</v>
          </cell>
        </row>
        <row r="717">
          <cell r="F717" t="str">
            <v>H0000011315</v>
          </cell>
          <cell r="I717" t="str">
            <v>フレーム</v>
          </cell>
          <cell r="J717" t="str">
            <v>S-Frame_UX-10_S_KKKK</v>
          </cell>
          <cell r="K717" t="str">
            <v>S-フレーム_UX-10_S_KKKK</v>
          </cell>
          <cell r="L717" t="str">
            <v>S-Frame</v>
          </cell>
          <cell r="M717" t="str">
            <v>S-フレーム</v>
          </cell>
          <cell r="P717" t="str">
            <v>31B0</v>
          </cell>
          <cell r="Q717" t="str">
            <v>SS400</v>
          </cell>
          <cell r="R717" t="str">
            <v>E349496_01</v>
          </cell>
          <cell r="S717">
            <v>134</v>
          </cell>
          <cell r="T717" t="str">
            <v>標準</v>
          </cell>
        </row>
        <row r="718">
          <cell r="F718" t="str">
            <v>H0000011316</v>
          </cell>
          <cell r="I718" t="str">
            <v>フレーム</v>
          </cell>
          <cell r="J718" t="str">
            <v>S-Frame_UX-10_S_TKTK</v>
          </cell>
          <cell r="K718" t="str">
            <v>S-フレーム_UX-10_S_TKTK</v>
          </cell>
          <cell r="L718" t="str">
            <v>S-Frame</v>
          </cell>
          <cell r="M718" t="str">
            <v>S-フレーム</v>
          </cell>
          <cell r="P718" t="str">
            <v>31B0</v>
          </cell>
          <cell r="Q718" t="str">
            <v>SS400</v>
          </cell>
          <cell r="R718" t="str">
            <v>E349496_01</v>
          </cell>
          <cell r="S718">
            <v>134</v>
          </cell>
          <cell r="T718" t="str">
            <v>標準</v>
          </cell>
        </row>
        <row r="719">
          <cell r="F719" t="str">
            <v>H0000011317</v>
          </cell>
          <cell r="I719" t="str">
            <v>フレーム</v>
          </cell>
          <cell r="J719" t="str">
            <v>S-Frame_UX-10_S_KTKT</v>
          </cell>
          <cell r="K719" t="str">
            <v>S-フレーム_UX-10_S_KTKT</v>
          </cell>
          <cell r="L719" t="str">
            <v>S-Frame</v>
          </cell>
          <cell r="M719" t="str">
            <v>S-フレーム</v>
          </cell>
          <cell r="P719" t="str">
            <v>31B0</v>
          </cell>
          <cell r="Q719" t="str">
            <v>SS400</v>
          </cell>
          <cell r="R719" t="str">
            <v>E349496_01</v>
          </cell>
          <cell r="S719">
            <v>134</v>
          </cell>
          <cell r="T719" t="str">
            <v>標準</v>
          </cell>
        </row>
        <row r="720">
          <cell r="F720" t="str">
            <v>H0000011318</v>
          </cell>
          <cell r="I720" t="str">
            <v>フレーム</v>
          </cell>
          <cell r="J720" t="str">
            <v>S-Frame_UX-10_S_TTTT</v>
          </cell>
          <cell r="K720" t="str">
            <v>S-フレーム_UX-10_S_TTTT</v>
          </cell>
          <cell r="L720" t="str">
            <v>S-Frame</v>
          </cell>
          <cell r="M720" t="str">
            <v>S-フレーム</v>
          </cell>
          <cell r="P720" t="str">
            <v>31B0</v>
          </cell>
          <cell r="Q720" t="str">
            <v>SS400</v>
          </cell>
          <cell r="R720" t="str">
            <v>E349496_01</v>
          </cell>
          <cell r="S720">
            <v>134</v>
          </cell>
          <cell r="T720" t="str">
            <v>標準</v>
          </cell>
        </row>
        <row r="721">
          <cell r="F721" t="str">
            <v>H0000011319</v>
          </cell>
          <cell r="I721" t="str">
            <v>フレーム</v>
          </cell>
          <cell r="J721" t="str">
            <v>S-Frame_UX-10_S_KKKK</v>
          </cell>
          <cell r="K721" t="str">
            <v>S-フレーム_UX-10_S_KKKK</v>
          </cell>
          <cell r="L721" t="str">
            <v>S-Frame</v>
          </cell>
          <cell r="M721" t="str">
            <v>S-フレーム</v>
          </cell>
          <cell r="P721" t="str">
            <v>31B0</v>
          </cell>
          <cell r="Q721" t="str">
            <v>SS400</v>
          </cell>
          <cell r="R721" t="str">
            <v>E349496_01</v>
          </cell>
          <cell r="S721">
            <v>134</v>
          </cell>
          <cell r="T721" t="str">
            <v>標準</v>
          </cell>
        </row>
        <row r="722">
          <cell r="F722" t="str">
            <v>H0000011320</v>
          </cell>
          <cell r="I722" t="str">
            <v>フレーム</v>
          </cell>
          <cell r="J722" t="str">
            <v>S-Frame_UX-10_S_TKTK</v>
          </cell>
          <cell r="K722" t="str">
            <v>S-フレーム_UX-10_S_TKTK</v>
          </cell>
          <cell r="L722" t="str">
            <v>S-Frame</v>
          </cell>
          <cell r="M722" t="str">
            <v>S-フレーム</v>
          </cell>
          <cell r="P722" t="str">
            <v>31B0</v>
          </cell>
          <cell r="Q722" t="str">
            <v>SS400</v>
          </cell>
          <cell r="R722" t="str">
            <v>E349496_01</v>
          </cell>
          <cell r="S722">
            <v>134</v>
          </cell>
          <cell r="T722" t="str">
            <v>標準</v>
          </cell>
        </row>
        <row r="723">
          <cell r="F723" t="str">
            <v>H0000011321</v>
          </cell>
          <cell r="I723" t="str">
            <v>フレーム</v>
          </cell>
          <cell r="J723" t="str">
            <v>S-Frame_UX-10_S_KTKT</v>
          </cell>
          <cell r="K723" t="str">
            <v>S-フレーム_UX-10_S_KTKT</v>
          </cell>
          <cell r="L723" t="str">
            <v>S-Frame</v>
          </cell>
          <cell r="M723" t="str">
            <v>S-フレーム</v>
          </cell>
          <cell r="P723" t="str">
            <v>31B0</v>
          </cell>
          <cell r="Q723" t="str">
            <v>SS400</v>
          </cell>
          <cell r="R723" t="str">
            <v>E349496_01</v>
          </cell>
          <cell r="S723">
            <v>134</v>
          </cell>
          <cell r="T723" t="str">
            <v>標準</v>
          </cell>
        </row>
        <row r="724">
          <cell r="F724" t="str">
            <v>H0000011390</v>
          </cell>
          <cell r="I724" t="str">
            <v>フレーム</v>
          </cell>
          <cell r="J724" t="str">
            <v>S-Frame_UX-10_S_TTTT</v>
          </cell>
          <cell r="K724" t="str">
            <v>S-フレーム_UX-10_S_TTTT</v>
          </cell>
          <cell r="L724" t="str">
            <v>S-Frame</v>
          </cell>
          <cell r="M724" t="str">
            <v>S-フレーム</v>
          </cell>
          <cell r="P724" t="str">
            <v>31B0</v>
          </cell>
          <cell r="Q724" t="str">
            <v>SS400</v>
          </cell>
          <cell r="R724" t="str">
            <v>E349496_01</v>
          </cell>
          <cell r="S724">
            <v>134</v>
          </cell>
          <cell r="T724" t="str">
            <v>標準</v>
          </cell>
        </row>
        <row r="725">
          <cell r="F725" t="str">
            <v>H0000011391</v>
          </cell>
          <cell r="I725" t="str">
            <v>フレーム</v>
          </cell>
          <cell r="J725" t="str">
            <v>S-Frame_UX-10_S_KKKK</v>
          </cell>
          <cell r="K725" t="str">
            <v>S-フレーム_UX-10_S_KKKK</v>
          </cell>
          <cell r="L725" t="str">
            <v>S-Frame</v>
          </cell>
          <cell r="M725" t="str">
            <v>S-フレーム</v>
          </cell>
          <cell r="P725" t="str">
            <v>31B0</v>
          </cell>
          <cell r="Q725" t="str">
            <v>SS400</v>
          </cell>
          <cell r="R725" t="str">
            <v>E349496_01</v>
          </cell>
          <cell r="S725">
            <v>134</v>
          </cell>
          <cell r="T725" t="str">
            <v>標準</v>
          </cell>
        </row>
        <row r="726">
          <cell r="F726" t="str">
            <v>H0000011392</v>
          </cell>
          <cell r="I726" t="str">
            <v>フレーム</v>
          </cell>
          <cell r="J726" t="str">
            <v>S-Frame_UX-10_S_TKTK</v>
          </cell>
          <cell r="K726" t="str">
            <v>S-フレーム_UX-10_S_TKTK</v>
          </cell>
          <cell r="L726" t="str">
            <v>S-Frame</v>
          </cell>
          <cell r="M726" t="str">
            <v>S-フレーム</v>
          </cell>
          <cell r="P726" t="str">
            <v>31B0</v>
          </cell>
          <cell r="Q726" t="str">
            <v>SS400</v>
          </cell>
          <cell r="R726" t="str">
            <v>E349496_01</v>
          </cell>
          <cell r="S726">
            <v>134</v>
          </cell>
          <cell r="T726" t="str">
            <v>標準</v>
          </cell>
        </row>
        <row r="727">
          <cell r="F727" t="str">
            <v>H0000011393</v>
          </cell>
          <cell r="I727" t="str">
            <v>フレーム</v>
          </cell>
          <cell r="J727" t="str">
            <v>S-Frame_UX-10_S_KTKT</v>
          </cell>
          <cell r="K727" t="str">
            <v>S-フレーム_UX-10_S_KTKT</v>
          </cell>
          <cell r="L727" t="str">
            <v>S-Frame</v>
          </cell>
          <cell r="M727" t="str">
            <v>S-フレーム</v>
          </cell>
          <cell r="P727" t="str">
            <v>31B0</v>
          </cell>
          <cell r="Q727" t="str">
            <v>SS400</v>
          </cell>
          <cell r="R727" t="str">
            <v>E349496_01</v>
          </cell>
          <cell r="S727">
            <v>134</v>
          </cell>
          <cell r="T727" t="str">
            <v>標準</v>
          </cell>
        </row>
        <row r="728">
          <cell r="F728" t="str">
            <v>H0000011394</v>
          </cell>
          <cell r="I728" t="str">
            <v>フレーム</v>
          </cell>
          <cell r="J728" t="str">
            <v>S-Frame_UX-10_S_TTTT</v>
          </cell>
          <cell r="K728" t="str">
            <v>S-フレーム_UX-10_S_TTTT</v>
          </cell>
          <cell r="L728" t="str">
            <v>S-Frame</v>
          </cell>
          <cell r="M728" t="str">
            <v>S-フレーム</v>
          </cell>
          <cell r="P728" t="str">
            <v>31B0</v>
          </cell>
          <cell r="Q728" t="str">
            <v>SS400</v>
          </cell>
          <cell r="R728" t="str">
            <v>E349496_01</v>
          </cell>
          <cell r="S728">
            <v>134</v>
          </cell>
          <cell r="T728" t="str">
            <v>標準</v>
          </cell>
        </row>
        <row r="729">
          <cell r="F729" t="str">
            <v>H0000011395</v>
          </cell>
          <cell r="I729" t="str">
            <v>フレーム</v>
          </cell>
          <cell r="J729" t="str">
            <v>S-Frame_UX-10_S_KKKK</v>
          </cell>
          <cell r="K729" t="str">
            <v>S-フレーム_UX-10_S_KKKK</v>
          </cell>
          <cell r="L729" t="str">
            <v>S-Frame</v>
          </cell>
          <cell r="M729" t="str">
            <v>S-フレーム</v>
          </cell>
          <cell r="P729" t="str">
            <v>31B0</v>
          </cell>
          <cell r="Q729" t="str">
            <v>SS400</v>
          </cell>
          <cell r="R729" t="str">
            <v>E349496_01</v>
          </cell>
          <cell r="S729">
            <v>134</v>
          </cell>
          <cell r="T729" t="str">
            <v>標準</v>
          </cell>
        </row>
        <row r="730">
          <cell r="F730" t="str">
            <v>H0000011396</v>
          </cell>
          <cell r="I730" t="str">
            <v>フレーム</v>
          </cell>
          <cell r="J730" t="str">
            <v>S-Frame_UX-10_S_TKTK</v>
          </cell>
          <cell r="K730" t="str">
            <v>S-フレーム_UX-10_S_TKTK</v>
          </cell>
          <cell r="L730" t="str">
            <v>S-Frame</v>
          </cell>
          <cell r="M730" t="str">
            <v>S-フレーム</v>
          </cell>
          <cell r="P730" t="str">
            <v>31B0</v>
          </cell>
          <cell r="Q730" t="str">
            <v>SS400</v>
          </cell>
          <cell r="R730" t="str">
            <v>E349496_01</v>
          </cell>
          <cell r="S730">
            <v>134</v>
          </cell>
          <cell r="T730" t="str">
            <v>標準</v>
          </cell>
        </row>
        <row r="731">
          <cell r="F731" t="str">
            <v>H0000011397</v>
          </cell>
          <cell r="I731" t="str">
            <v>フレーム</v>
          </cell>
          <cell r="J731" t="str">
            <v>S-Frame_UX-10_S_KTKT</v>
          </cell>
          <cell r="K731" t="str">
            <v>S-フレーム_UX-10_S_KTKT</v>
          </cell>
          <cell r="L731" t="str">
            <v>S-Frame</v>
          </cell>
          <cell r="M731" t="str">
            <v>S-フレーム</v>
          </cell>
          <cell r="P731" t="str">
            <v>31B0</v>
          </cell>
          <cell r="Q731" t="str">
            <v>SS400</v>
          </cell>
          <cell r="R731" t="str">
            <v>E349496_01</v>
          </cell>
          <cell r="S731">
            <v>134</v>
          </cell>
          <cell r="T731" t="str">
            <v>標準</v>
          </cell>
        </row>
        <row r="732">
          <cell r="F732" t="str">
            <v>H0000011402</v>
          </cell>
          <cell r="I732" t="str">
            <v>フレーム</v>
          </cell>
          <cell r="J732" t="str">
            <v>S-Frame_UX-10_S_TTTT</v>
          </cell>
          <cell r="K732" t="str">
            <v>S-フレーム_UX-10_S_TTTT</v>
          </cell>
          <cell r="L732" t="str">
            <v>S-Frame</v>
          </cell>
          <cell r="M732" t="str">
            <v>S-フレーム</v>
          </cell>
          <cell r="P732" t="str">
            <v>31B0</v>
          </cell>
          <cell r="Q732" t="str">
            <v>SS400</v>
          </cell>
          <cell r="R732" t="str">
            <v>E349496_01</v>
          </cell>
          <cell r="S732">
            <v>134</v>
          </cell>
          <cell r="T732" t="str">
            <v>標準</v>
          </cell>
        </row>
        <row r="733">
          <cell r="F733" t="str">
            <v>H0000011403</v>
          </cell>
          <cell r="I733" t="str">
            <v>フレーム</v>
          </cell>
          <cell r="J733" t="str">
            <v>S-Frame_UX-10_S_KKKK</v>
          </cell>
          <cell r="K733" t="str">
            <v>S-フレーム_UX-10_S_KKKK</v>
          </cell>
          <cell r="L733" t="str">
            <v>S-Frame</v>
          </cell>
          <cell r="M733" t="str">
            <v>S-フレーム</v>
          </cell>
          <cell r="P733" t="str">
            <v>31B0</v>
          </cell>
          <cell r="Q733" t="str">
            <v>SS400</v>
          </cell>
          <cell r="R733" t="str">
            <v>E349496_01</v>
          </cell>
          <cell r="S733">
            <v>134</v>
          </cell>
          <cell r="T733" t="str">
            <v>標準</v>
          </cell>
        </row>
        <row r="734">
          <cell r="F734" t="str">
            <v>H0000011404</v>
          </cell>
          <cell r="I734" t="str">
            <v>フレーム</v>
          </cell>
          <cell r="J734" t="str">
            <v>S-Frame_UX-10_S_TKTK</v>
          </cell>
          <cell r="K734" t="str">
            <v>S-フレーム_UX-10_S_TKTK</v>
          </cell>
          <cell r="L734" t="str">
            <v>S-Frame</v>
          </cell>
          <cell r="M734" t="str">
            <v>S-フレーム</v>
          </cell>
          <cell r="P734" t="str">
            <v>31B0</v>
          </cell>
          <cell r="Q734" t="str">
            <v>SS400</v>
          </cell>
          <cell r="R734" t="str">
            <v>E349496_01</v>
          </cell>
          <cell r="S734">
            <v>134</v>
          </cell>
          <cell r="T734" t="str">
            <v>標準</v>
          </cell>
        </row>
        <row r="735">
          <cell r="F735" t="str">
            <v>H0000011405</v>
          </cell>
          <cell r="I735" t="str">
            <v>フレーム</v>
          </cell>
          <cell r="J735" t="str">
            <v>S-Frame_UX-10_S_KTKT</v>
          </cell>
          <cell r="K735" t="str">
            <v>S-フレーム_UX-10_S_KTKT</v>
          </cell>
          <cell r="L735" t="str">
            <v>S-Frame</v>
          </cell>
          <cell r="M735" t="str">
            <v>S-フレーム</v>
          </cell>
          <cell r="P735" t="str">
            <v>31B0</v>
          </cell>
          <cell r="Q735" t="str">
            <v>SS400</v>
          </cell>
          <cell r="R735" t="str">
            <v>E349496_01</v>
          </cell>
          <cell r="S735">
            <v>134</v>
          </cell>
          <cell r="T735" t="str">
            <v>標準</v>
          </cell>
        </row>
        <row r="736">
          <cell r="F736" t="str">
            <v>H0000011434</v>
          </cell>
          <cell r="I736" t="str">
            <v>フレーム</v>
          </cell>
          <cell r="J736" t="str">
            <v>S-Frame_UX-10_S_TTTT</v>
          </cell>
          <cell r="K736" t="str">
            <v>S-フレーム_UX-10_S_TTTT</v>
          </cell>
          <cell r="L736" t="str">
            <v>S-Frame</v>
          </cell>
          <cell r="M736" t="str">
            <v>S-フレーム</v>
          </cell>
          <cell r="P736" t="str">
            <v>31B0</v>
          </cell>
          <cell r="Q736" t="str">
            <v>SS400</v>
          </cell>
          <cell r="R736" t="str">
            <v>E349496_01</v>
          </cell>
          <cell r="S736">
            <v>134</v>
          </cell>
          <cell r="T736" t="str">
            <v>標準</v>
          </cell>
        </row>
        <row r="737">
          <cell r="F737" t="str">
            <v>H0000011435</v>
          </cell>
          <cell r="I737" t="str">
            <v>フレーム</v>
          </cell>
          <cell r="J737" t="str">
            <v>S-Frame_UX-10_S_KKKK</v>
          </cell>
          <cell r="K737" t="str">
            <v>S-フレーム_UX-10_S_KKKK</v>
          </cell>
          <cell r="L737" t="str">
            <v>S-Frame</v>
          </cell>
          <cell r="M737" t="str">
            <v>S-フレーム</v>
          </cell>
          <cell r="P737" t="str">
            <v>31B0</v>
          </cell>
          <cell r="Q737" t="str">
            <v>SS400</v>
          </cell>
          <cell r="R737" t="str">
            <v>E349496_01</v>
          </cell>
          <cell r="S737">
            <v>134</v>
          </cell>
          <cell r="T737" t="str">
            <v>標準</v>
          </cell>
        </row>
        <row r="738">
          <cell r="F738" t="str">
            <v>H0000011436</v>
          </cell>
          <cell r="I738" t="str">
            <v>フレーム</v>
          </cell>
          <cell r="J738" t="str">
            <v>S-Frame_UX-10_S_TKTK</v>
          </cell>
          <cell r="K738" t="str">
            <v>S-フレーム_UX-10_S_TKTK</v>
          </cell>
          <cell r="L738" t="str">
            <v>S-Frame</v>
          </cell>
          <cell r="M738" t="str">
            <v>S-フレーム</v>
          </cell>
          <cell r="P738" t="str">
            <v>31B0</v>
          </cell>
          <cell r="Q738" t="str">
            <v>SS400</v>
          </cell>
          <cell r="R738" t="str">
            <v>E349496_01</v>
          </cell>
          <cell r="S738">
            <v>134</v>
          </cell>
          <cell r="T738" t="str">
            <v>標準</v>
          </cell>
        </row>
        <row r="739">
          <cell r="F739" t="str">
            <v>H0000011437</v>
          </cell>
          <cell r="I739" t="str">
            <v>フレーム</v>
          </cell>
          <cell r="J739" t="str">
            <v>S-Frame_UX-10_S_KTKT</v>
          </cell>
          <cell r="K739" t="str">
            <v>S-フレーム_UX-10_S_KTKT</v>
          </cell>
          <cell r="L739" t="str">
            <v>S-Frame</v>
          </cell>
          <cell r="M739" t="str">
            <v>S-フレーム</v>
          </cell>
          <cell r="P739" t="str">
            <v>31B0</v>
          </cell>
          <cell r="Q739" t="str">
            <v>SS400</v>
          </cell>
          <cell r="R739" t="str">
            <v>E349496_01</v>
          </cell>
          <cell r="S739">
            <v>134</v>
          </cell>
          <cell r="T739" t="str">
            <v>標準</v>
          </cell>
        </row>
        <row r="740">
          <cell r="F740" t="str">
            <v>H0000011438</v>
          </cell>
          <cell r="I740" t="str">
            <v>フレーム</v>
          </cell>
          <cell r="J740" t="str">
            <v>S-Frame_UX-10_S_TTTT</v>
          </cell>
          <cell r="K740" t="str">
            <v>S-フレーム_UX-10_S_TTTT</v>
          </cell>
          <cell r="L740" t="str">
            <v>S-Frame</v>
          </cell>
          <cell r="M740" t="str">
            <v>S-フレーム</v>
          </cell>
          <cell r="P740" t="str">
            <v>31B0</v>
          </cell>
          <cell r="Q740" t="str">
            <v>SS400</v>
          </cell>
          <cell r="R740" t="str">
            <v>E349496_01</v>
          </cell>
          <cell r="S740">
            <v>134</v>
          </cell>
          <cell r="T740" t="str">
            <v>標準</v>
          </cell>
        </row>
        <row r="741">
          <cell r="F741" t="str">
            <v>H0000011439</v>
          </cell>
          <cell r="I741" t="str">
            <v>フレーム</v>
          </cell>
          <cell r="J741" t="str">
            <v>S-Frame_UX-10_S_KKKK</v>
          </cell>
          <cell r="K741" t="str">
            <v>S-フレーム_UX-10_S_KKKK</v>
          </cell>
          <cell r="L741" t="str">
            <v>S-Frame</v>
          </cell>
          <cell r="M741" t="str">
            <v>S-フレーム</v>
          </cell>
          <cell r="P741" t="str">
            <v>31B0</v>
          </cell>
          <cell r="Q741" t="str">
            <v>SS400</v>
          </cell>
          <cell r="R741" t="str">
            <v>E349496_01</v>
          </cell>
          <cell r="S741">
            <v>134</v>
          </cell>
          <cell r="T741" t="str">
            <v>標準</v>
          </cell>
        </row>
        <row r="742">
          <cell r="F742" t="str">
            <v>H0000011440</v>
          </cell>
          <cell r="I742" t="str">
            <v>フレーム</v>
          </cell>
          <cell r="J742" t="str">
            <v>S-Frame_UX-10_S_TKTK</v>
          </cell>
          <cell r="K742" t="str">
            <v>S-フレーム_UX-10_S_TKTK</v>
          </cell>
          <cell r="L742" t="str">
            <v>S-Frame</v>
          </cell>
          <cell r="M742" t="str">
            <v>S-フレーム</v>
          </cell>
          <cell r="P742" t="str">
            <v>31B0</v>
          </cell>
          <cell r="Q742" t="str">
            <v>SS400</v>
          </cell>
          <cell r="R742" t="str">
            <v>E349496_01</v>
          </cell>
          <cell r="S742">
            <v>134</v>
          </cell>
          <cell r="T742" t="str">
            <v>標準</v>
          </cell>
        </row>
        <row r="743">
          <cell r="F743" t="str">
            <v>H0000011441</v>
          </cell>
          <cell r="I743" t="str">
            <v>フレーム</v>
          </cell>
          <cell r="J743" t="str">
            <v>S-Frame_UX-10_S_KTKT</v>
          </cell>
          <cell r="K743" t="str">
            <v>S-フレーム_UX-10_S_KTKT</v>
          </cell>
          <cell r="L743" t="str">
            <v>S-Frame</v>
          </cell>
          <cell r="M743" t="str">
            <v>S-フレーム</v>
          </cell>
          <cell r="P743" t="str">
            <v>31B0</v>
          </cell>
          <cell r="Q743" t="str">
            <v>SS400</v>
          </cell>
          <cell r="R743" t="str">
            <v>E349496_01</v>
          </cell>
          <cell r="S743">
            <v>134</v>
          </cell>
          <cell r="T743" t="str">
            <v>標準</v>
          </cell>
        </row>
        <row r="744">
          <cell r="F744" t="str">
            <v>H0000011870</v>
          </cell>
          <cell r="I744" t="str">
            <v>フレーム</v>
          </cell>
          <cell r="J744" t="str">
            <v>S-Frame_UX-10_S_TTTT</v>
          </cell>
          <cell r="K744" t="str">
            <v>S-フレーム_UX-10_S_TTTT</v>
          </cell>
          <cell r="L744" t="str">
            <v>S-Frame</v>
          </cell>
          <cell r="M744" t="str">
            <v>S-フレーム</v>
          </cell>
          <cell r="P744" t="str">
            <v>31B0</v>
          </cell>
          <cell r="Q744" t="str">
            <v>SS400</v>
          </cell>
          <cell r="R744" t="str">
            <v>E349496_01</v>
          </cell>
          <cell r="S744">
            <v>134</v>
          </cell>
          <cell r="T744" t="str">
            <v>標準</v>
          </cell>
        </row>
        <row r="745">
          <cell r="F745" t="str">
            <v>H0000011871</v>
          </cell>
          <cell r="I745" t="str">
            <v>フレーム</v>
          </cell>
          <cell r="J745" t="str">
            <v>S-Frame_UX-10_S_KKKK</v>
          </cell>
          <cell r="K745" t="str">
            <v>S-フレーム_UX-10_S_KKKK</v>
          </cell>
          <cell r="L745" t="str">
            <v>S-Frame</v>
          </cell>
          <cell r="M745" t="str">
            <v>S-フレーム</v>
          </cell>
          <cell r="P745" t="str">
            <v>31B0</v>
          </cell>
          <cell r="Q745" t="str">
            <v>SS400</v>
          </cell>
          <cell r="R745" t="str">
            <v>E349496_01</v>
          </cell>
          <cell r="S745">
            <v>134</v>
          </cell>
          <cell r="T745" t="str">
            <v>標準</v>
          </cell>
        </row>
        <row r="746">
          <cell r="F746" t="str">
            <v>H0000011872</v>
          </cell>
          <cell r="I746" t="str">
            <v>フレーム</v>
          </cell>
          <cell r="J746" t="str">
            <v>S-Frame_UX-10_S_TKTK</v>
          </cell>
          <cell r="K746" t="str">
            <v>S-フレーム_UX-10_S_TKTK</v>
          </cell>
          <cell r="L746" t="str">
            <v>S-Frame</v>
          </cell>
          <cell r="M746" t="str">
            <v>S-フレーム</v>
          </cell>
          <cell r="P746" t="str">
            <v>31B0</v>
          </cell>
          <cell r="Q746" t="str">
            <v>SS400</v>
          </cell>
          <cell r="R746" t="str">
            <v>E349496_01</v>
          </cell>
          <cell r="S746">
            <v>134</v>
          </cell>
          <cell r="T746" t="str">
            <v>標準</v>
          </cell>
        </row>
        <row r="747">
          <cell r="F747" t="str">
            <v>H0000011873</v>
          </cell>
          <cell r="I747" t="str">
            <v>フレーム</v>
          </cell>
          <cell r="J747" t="str">
            <v>S-Frame_UX-10_S_KTKT</v>
          </cell>
          <cell r="K747" t="str">
            <v>S-フレーム_UX-10_S_KTKT</v>
          </cell>
          <cell r="L747" t="str">
            <v>S-Frame</v>
          </cell>
          <cell r="M747" t="str">
            <v>S-フレーム</v>
          </cell>
          <cell r="P747" t="str">
            <v>31B0</v>
          </cell>
          <cell r="Q747" t="str">
            <v>SS400</v>
          </cell>
          <cell r="R747" t="str">
            <v>E349496_01</v>
          </cell>
          <cell r="S747">
            <v>134</v>
          </cell>
          <cell r="T747" t="str">
            <v>標準</v>
          </cell>
        </row>
        <row r="748">
          <cell r="F748" t="str">
            <v>H0000011874</v>
          </cell>
          <cell r="I748" t="str">
            <v>フレーム</v>
          </cell>
          <cell r="J748" t="str">
            <v>S-Frame_UX-10_S_TTTT</v>
          </cell>
          <cell r="K748" t="str">
            <v>S-フレーム_UX-10_S_TTTT</v>
          </cell>
          <cell r="L748" t="str">
            <v>S-Frame</v>
          </cell>
          <cell r="M748" t="str">
            <v>S-フレーム</v>
          </cell>
          <cell r="P748" t="str">
            <v>31B0</v>
          </cell>
          <cell r="Q748" t="str">
            <v>SS400</v>
          </cell>
          <cell r="R748" t="str">
            <v>E349496_01</v>
          </cell>
          <cell r="S748">
            <v>134</v>
          </cell>
          <cell r="T748" t="str">
            <v>標準</v>
          </cell>
        </row>
        <row r="749">
          <cell r="F749" t="str">
            <v>H0000011875</v>
          </cell>
          <cell r="I749" t="str">
            <v>フレーム</v>
          </cell>
          <cell r="J749" t="str">
            <v>S-Frame_UX-10_S_KKKK</v>
          </cell>
          <cell r="K749" t="str">
            <v>S-フレーム_UX-10_S_KKKK</v>
          </cell>
          <cell r="L749" t="str">
            <v>S-Frame</v>
          </cell>
          <cell r="M749" t="str">
            <v>S-フレーム</v>
          </cell>
          <cell r="P749" t="str">
            <v>31B0</v>
          </cell>
          <cell r="Q749" t="str">
            <v>SS400</v>
          </cell>
          <cell r="R749" t="str">
            <v>E349496_01</v>
          </cell>
          <cell r="S749">
            <v>134</v>
          </cell>
          <cell r="T749" t="str">
            <v>標準</v>
          </cell>
        </row>
        <row r="750">
          <cell r="F750" t="str">
            <v>H0000011876</v>
          </cell>
          <cell r="I750" t="str">
            <v>フレーム</v>
          </cell>
          <cell r="J750" t="str">
            <v>S-Frame_UX-10_S_TKTK</v>
          </cell>
          <cell r="K750" t="str">
            <v>S-フレーム_UX-10_S_TKTK</v>
          </cell>
          <cell r="L750" t="str">
            <v>S-Frame</v>
          </cell>
          <cell r="M750" t="str">
            <v>S-フレーム</v>
          </cell>
          <cell r="P750" t="str">
            <v>31B0</v>
          </cell>
          <cell r="Q750" t="str">
            <v>SS400</v>
          </cell>
          <cell r="R750" t="str">
            <v>E349496_01</v>
          </cell>
          <cell r="S750">
            <v>134</v>
          </cell>
          <cell r="T750" t="str">
            <v>標準</v>
          </cell>
        </row>
        <row r="751">
          <cell r="F751" t="str">
            <v>H0000011877</v>
          </cell>
          <cell r="I751" t="str">
            <v>フレーム</v>
          </cell>
          <cell r="J751" t="str">
            <v>S-Frame_UX-10_S_KTKT</v>
          </cell>
          <cell r="K751" t="str">
            <v>S-フレーム_UX-10_S_KTKT</v>
          </cell>
          <cell r="L751" t="str">
            <v>S-Frame</v>
          </cell>
          <cell r="M751" t="str">
            <v>S-フレーム</v>
          </cell>
          <cell r="P751" t="str">
            <v>31B0</v>
          </cell>
          <cell r="Q751" t="str">
            <v>SS400</v>
          </cell>
          <cell r="R751" t="str">
            <v>E349496_01</v>
          </cell>
          <cell r="S751">
            <v>134</v>
          </cell>
          <cell r="T751" t="str">
            <v>標準</v>
          </cell>
        </row>
        <row r="752">
          <cell r="F752" t="str">
            <v>H0000011882</v>
          </cell>
          <cell r="I752" t="str">
            <v>フレーム</v>
          </cell>
          <cell r="J752" t="str">
            <v>S-Frame_UX-10_S_TTTT</v>
          </cell>
          <cell r="K752" t="str">
            <v>S-フレーム_UX-10_S_TTTT</v>
          </cell>
          <cell r="L752" t="str">
            <v>S-Frame</v>
          </cell>
          <cell r="M752" t="str">
            <v>S-フレーム</v>
          </cell>
          <cell r="P752" t="str">
            <v>31B0</v>
          </cell>
          <cell r="Q752" t="str">
            <v>SS400</v>
          </cell>
          <cell r="R752" t="str">
            <v>E349496_01</v>
          </cell>
          <cell r="S752">
            <v>134</v>
          </cell>
          <cell r="T752" t="str">
            <v>標準</v>
          </cell>
        </row>
        <row r="753">
          <cell r="F753" t="str">
            <v>H0000011883</v>
          </cell>
          <cell r="I753" t="str">
            <v>フレーム</v>
          </cell>
          <cell r="J753" t="str">
            <v>S-Frame_UX-10_S_KKKK</v>
          </cell>
          <cell r="K753" t="str">
            <v>S-フレーム_UX-10_S_KKKK</v>
          </cell>
          <cell r="L753" t="str">
            <v>S-Frame</v>
          </cell>
          <cell r="M753" t="str">
            <v>S-フレーム</v>
          </cell>
          <cell r="P753" t="str">
            <v>31B0</v>
          </cell>
          <cell r="Q753" t="str">
            <v>SS400</v>
          </cell>
          <cell r="R753" t="str">
            <v>E349496_01</v>
          </cell>
          <cell r="S753">
            <v>134</v>
          </cell>
          <cell r="T753" t="str">
            <v>標準</v>
          </cell>
        </row>
        <row r="754">
          <cell r="F754" t="str">
            <v>H0000011884</v>
          </cell>
          <cell r="I754" t="str">
            <v>フレーム</v>
          </cell>
          <cell r="J754" t="str">
            <v>S-Frame_UX-10_S_TKTK</v>
          </cell>
          <cell r="K754" t="str">
            <v>S-フレーム_UX-10_S_TKTK</v>
          </cell>
          <cell r="L754" t="str">
            <v>S-Frame</v>
          </cell>
          <cell r="M754" t="str">
            <v>S-フレーム</v>
          </cell>
          <cell r="P754" t="str">
            <v>31B0</v>
          </cell>
          <cell r="Q754" t="str">
            <v>SS400</v>
          </cell>
          <cell r="R754" t="str">
            <v>E349496_01</v>
          </cell>
          <cell r="S754">
            <v>134</v>
          </cell>
          <cell r="T754" t="str">
            <v>標準</v>
          </cell>
        </row>
        <row r="755">
          <cell r="F755" t="str">
            <v>H0000011885</v>
          </cell>
          <cell r="I755" t="str">
            <v>フレーム</v>
          </cell>
          <cell r="J755" t="str">
            <v>S-Frame_UX-10_S_KTKT</v>
          </cell>
          <cell r="K755" t="str">
            <v>S-フレーム_UX-10_S_KTKT</v>
          </cell>
          <cell r="L755" t="str">
            <v>S-Frame</v>
          </cell>
          <cell r="M755" t="str">
            <v>S-フレーム</v>
          </cell>
          <cell r="P755" t="str">
            <v>31B0</v>
          </cell>
          <cell r="Q755" t="str">
            <v>SS400</v>
          </cell>
          <cell r="R755" t="str">
            <v>E349496_01</v>
          </cell>
          <cell r="S755">
            <v>134</v>
          </cell>
          <cell r="T755" t="str">
            <v>標準</v>
          </cell>
        </row>
        <row r="756">
          <cell r="F756" t="str">
            <v>H0000011914</v>
          </cell>
          <cell r="I756" t="str">
            <v>フレーム</v>
          </cell>
          <cell r="J756" t="str">
            <v>S-Frame_UX-10_S_TTTT</v>
          </cell>
          <cell r="K756" t="str">
            <v>S-フレーム_UX-10_S_TTTT</v>
          </cell>
          <cell r="L756" t="str">
            <v>S-Frame</v>
          </cell>
          <cell r="M756" t="str">
            <v>S-フレーム</v>
          </cell>
          <cell r="P756" t="str">
            <v>31B0</v>
          </cell>
          <cell r="Q756" t="str">
            <v>SS400</v>
          </cell>
          <cell r="R756" t="str">
            <v>E349496_01</v>
          </cell>
          <cell r="S756">
            <v>134</v>
          </cell>
          <cell r="T756" t="str">
            <v>標準</v>
          </cell>
        </row>
        <row r="757">
          <cell r="F757" t="str">
            <v>H0000011915</v>
          </cell>
          <cell r="I757" t="str">
            <v>フレーム</v>
          </cell>
          <cell r="J757" t="str">
            <v>S-Frame_UX-10_S_KKKK</v>
          </cell>
          <cell r="K757" t="str">
            <v>S-フレーム_UX-10_S_KKKK</v>
          </cell>
          <cell r="L757" t="str">
            <v>S-Frame</v>
          </cell>
          <cell r="M757" t="str">
            <v>S-フレーム</v>
          </cell>
          <cell r="P757" t="str">
            <v>31B0</v>
          </cell>
          <cell r="Q757" t="str">
            <v>SS400</v>
          </cell>
          <cell r="R757" t="str">
            <v>E349496_01</v>
          </cell>
          <cell r="S757">
            <v>134</v>
          </cell>
          <cell r="T757" t="str">
            <v>標準</v>
          </cell>
        </row>
        <row r="758">
          <cell r="F758" t="str">
            <v>H0000011916</v>
          </cell>
          <cell r="I758" t="str">
            <v>フレーム</v>
          </cell>
          <cell r="J758" t="str">
            <v>S-Frame_UX-10_S_TKTK</v>
          </cell>
          <cell r="K758" t="str">
            <v>S-フレーム_UX-10_S_TKTK</v>
          </cell>
          <cell r="L758" t="str">
            <v>S-Frame</v>
          </cell>
          <cell r="M758" t="str">
            <v>S-フレーム</v>
          </cell>
          <cell r="P758" t="str">
            <v>31B0</v>
          </cell>
          <cell r="Q758" t="str">
            <v>SS400</v>
          </cell>
          <cell r="R758" t="str">
            <v>E349496_01</v>
          </cell>
          <cell r="S758">
            <v>134</v>
          </cell>
          <cell r="T758" t="str">
            <v>標準</v>
          </cell>
        </row>
        <row r="759">
          <cell r="F759" t="str">
            <v>H0000011917</v>
          </cell>
          <cell r="I759" t="str">
            <v>フレーム</v>
          </cell>
          <cell r="J759" t="str">
            <v>S-Frame_UX-10_S_KTKT</v>
          </cell>
          <cell r="K759" t="str">
            <v>S-フレーム_UX-10_S_KTKT</v>
          </cell>
          <cell r="L759" t="str">
            <v>S-Frame</v>
          </cell>
          <cell r="M759" t="str">
            <v>S-フレーム</v>
          </cell>
          <cell r="P759" t="str">
            <v>31B0</v>
          </cell>
          <cell r="Q759" t="str">
            <v>SS400</v>
          </cell>
          <cell r="R759" t="str">
            <v>E349496_01</v>
          </cell>
          <cell r="S759">
            <v>134</v>
          </cell>
          <cell r="T759" t="str">
            <v>標準</v>
          </cell>
        </row>
        <row r="760">
          <cell r="F760" t="str">
            <v>H0000011918</v>
          </cell>
          <cell r="I760" t="str">
            <v>フレーム</v>
          </cell>
          <cell r="J760" t="str">
            <v>S-Frame_UX-10_S_TTTT</v>
          </cell>
          <cell r="K760" t="str">
            <v>S-フレーム_UX-10_S_TTTT</v>
          </cell>
          <cell r="L760" t="str">
            <v>S-Frame</v>
          </cell>
          <cell r="M760" t="str">
            <v>S-フレーム</v>
          </cell>
          <cell r="P760" t="str">
            <v>31B0</v>
          </cell>
          <cell r="Q760" t="str">
            <v>SS400</v>
          </cell>
          <cell r="R760" t="str">
            <v>E349496_01</v>
          </cell>
          <cell r="S760">
            <v>134</v>
          </cell>
          <cell r="T760" t="str">
            <v>標準</v>
          </cell>
        </row>
        <row r="761">
          <cell r="F761" t="str">
            <v>H0000011919</v>
          </cell>
          <cell r="I761" t="str">
            <v>フレーム</v>
          </cell>
          <cell r="J761" t="str">
            <v>S-Frame_UX-10_S_KKKK</v>
          </cell>
          <cell r="K761" t="str">
            <v>S-フレーム_UX-10_S_KKKK</v>
          </cell>
          <cell r="L761" t="str">
            <v>S-Frame</v>
          </cell>
          <cell r="M761" t="str">
            <v>S-フレーム</v>
          </cell>
          <cell r="P761" t="str">
            <v>31B0</v>
          </cell>
          <cell r="Q761" t="str">
            <v>SS400</v>
          </cell>
          <cell r="R761" t="str">
            <v>E349496_01</v>
          </cell>
          <cell r="S761">
            <v>134</v>
          </cell>
          <cell r="T761" t="str">
            <v>標準</v>
          </cell>
        </row>
        <row r="762">
          <cell r="F762" t="str">
            <v>H0000011920</v>
          </cell>
          <cell r="I762" t="str">
            <v>フレーム</v>
          </cell>
          <cell r="J762" t="str">
            <v>S-Frame_UX-10_S_TKTK</v>
          </cell>
          <cell r="K762" t="str">
            <v>S-フレーム_UX-10_S_TKTK</v>
          </cell>
          <cell r="L762" t="str">
            <v>S-Frame</v>
          </cell>
          <cell r="M762" t="str">
            <v>S-フレーム</v>
          </cell>
          <cell r="P762" t="str">
            <v>31B0</v>
          </cell>
          <cell r="Q762" t="str">
            <v>SS400</v>
          </cell>
          <cell r="R762" t="str">
            <v>E349496_01</v>
          </cell>
          <cell r="S762">
            <v>134</v>
          </cell>
          <cell r="T762" t="str">
            <v>標準</v>
          </cell>
        </row>
        <row r="763">
          <cell r="F763" t="str">
            <v>H0000011921</v>
          </cell>
          <cell r="I763" t="str">
            <v>フレーム</v>
          </cell>
          <cell r="J763" t="str">
            <v>S-Frame_UX-10_S_KTKT</v>
          </cell>
          <cell r="K763" t="str">
            <v>S-フレーム_UX-10_S_KTKT</v>
          </cell>
          <cell r="L763" t="str">
            <v>S-Frame</v>
          </cell>
          <cell r="M763" t="str">
            <v>S-フレーム</v>
          </cell>
          <cell r="P763" t="str">
            <v>31B0</v>
          </cell>
          <cell r="Q763" t="str">
            <v>SS400</v>
          </cell>
          <cell r="R763" t="str">
            <v>E349496_01</v>
          </cell>
          <cell r="S763">
            <v>134</v>
          </cell>
          <cell r="T763" t="str">
            <v>標準</v>
          </cell>
        </row>
        <row r="764">
          <cell r="F764" t="str">
            <v>H0000011930</v>
          </cell>
          <cell r="I764" t="str">
            <v>フレーム</v>
          </cell>
          <cell r="J764" t="str">
            <v>S-Frame_UX-10_S_TTTT</v>
          </cell>
          <cell r="K764" t="str">
            <v>S-フレーム_UX-10_S_TTTT</v>
          </cell>
          <cell r="L764" t="str">
            <v>S-Frame</v>
          </cell>
          <cell r="M764" t="str">
            <v>S-フレーム</v>
          </cell>
          <cell r="P764" t="str">
            <v>31B0</v>
          </cell>
          <cell r="Q764" t="str">
            <v>SS400</v>
          </cell>
          <cell r="R764" t="str">
            <v>E349496_01</v>
          </cell>
          <cell r="S764">
            <v>134</v>
          </cell>
          <cell r="T764" t="str">
            <v>標準</v>
          </cell>
        </row>
        <row r="765">
          <cell r="F765" t="str">
            <v>H0000011931</v>
          </cell>
          <cell r="I765" t="str">
            <v>フレーム</v>
          </cell>
          <cell r="J765" t="str">
            <v>S-Frame_UX-10_S_KKKK</v>
          </cell>
          <cell r="K765" t="str">
            <v>S-フレーム_UX-10_S_KKKK</v>
          </cell>
          <cell r="L765" t="str">
            <v>S-Frame</v>
          </cell>
          <cell r="M765" t="str">
            <v>S-フレーム</v>
          </cell>
          <cell r="P765" t="str">
            <v>31B0</v>
          </cell>
          <cell r="Q765" t="str">
            <v>SS400</v>
          </cell>
          <cell r="R765" t="str">
            <v>E349496_01</v>
          </cell>
          <cell r="S765">
            <v>134</v>
          </cell>
          <cell r="T765" t="str">
            <v>標準</v>
          </cell>
        </row>
        <row r="766">
          <cell r="F766" t="str">
            <v>H0000011932</v>
          </cell>
          <cell r="I766" t="str">
            <v>フレーム</v>
          </cell>
          <cell r="J766" t="str">
            <v>S-Frame_UX-10_S_TKTK</v>
          </cell>
          <cell r="K766" t="str">
            <v>S-フレーム_UX-10_S_TKTK</v>
          </cell>
          <cell r="L766" t="str">
            <v>S-Frame</v>
          </cell>
          <cell r="M766" t="str">
            <v>S-フレーム</v>
          </cell>
          <cell r="P766" t="str">
            <v>31B0</v>
          </cell>
          <cell r="Q766" t="str">
            <v>SS400</v>
          </cell>
          <cell r="R766" t="str">
            <v>E349496_01</v>
          </cell>
          <cell r="S766">
            <v>134</v>
          </cell>
          <cell r="T766" t="str">
            <v>標準</v>
          </cell>
        </row>
        <row r="767">
          <cell r="F767" t="str">
            <v>H0000011933</v>
          </cell>
          <cell r="I767" t="str">
            <v>フレーム</v>
          </cell>
          <cell r="J767" t="str">
            <v>S-Frame_UX-10_S_KTKT</v>
          </cell>
          <cell r="K767" t="str">
            <v>S-フレーム_UX-10_S_KTKT</v>
          </cell>
          <cell r="L767" t="str">
            <v>S-Frame</v>
          </cell>
          <cell r="M767" t="str">
            <v>S-フレーム</v>
          </cell>
          <cell r="P767" t="str">
            <v>31B0</v>
          </cell>
          <cell r="Q767" t="str">
            <v>SS400</v>
          </cell>
          <cell r="R767" t="str">
            <v>E349496_01</v>
          </cell>
          <cell r="S767">
            <v>134</v>
          </cell>
          <cell r="T767" t="str">
            <v>標準</v>
          </cell>
        </row>
        <row r="768">
          <cell r="F768" t="str">
            <v>H0000011934</v>
          </cell>
          <cell r="I768" t="str">
            <v>フレーム</v>
          </cell>
          <cell r="J768" t="str">
            <v>S-Frame_UX-10_S_TTTT</v>
          </cell>
          <cell r="K768" t="str">
            <v>S-フレーム_UX-10_S_TTTT</v>
          </cell>
          <cell r="L768" t="str">
            <v>S-Frame</v>
          </cell>
          <cell r="M768" t="str">
            <v>S-フレーム</v>
          </cell>
          <cell r="P768" t="str">
            <v>31B0</v>
          </cell>
          <cell r="Q768" t="str">
            <v>SS400</v>
          </cell>
          <cell r="R768" t="str">
            <v>E349496_01</v>
          </cell>
          <cell r="S768">
            <v>134</v>
          </cell>
          <cell r="T768" t="str">
            <v>標準</v>
          </cell>
        </row>
        <row r="769">
          <cell r="F769" t="str">
            <v>H0000011935</v>
          </cell>
          <cell r="I769" t="str">
            <v>フレーム</v>
          </cell>
          <cell r="J769" t="str">
            <v>S-Frame_UX-10_S_KKKK</v>
          </cell>
          <cell r="K769" t="str">
            <v>S-フレーム_UX-10_S_KKKK</v>
          </cell>
          <cell r="L769" t="str">
            <v>S-Frame</v>
          </cell>
          <cell r="M769" t="str">
            <v>S-フレーム</v>
          </cell>
          <cell r="P769" t="str">
            <v>31B0</v>
          </cell>
          <cell r="Q769" t="str">
            <v>SS400</v>
          </cell>
          <cell r="R769" t="str">
            <v>E349496_01</v>
          </cell>
          <cell r="S769">
            <v>134</v>
          </cell>
          <cell r="T769" t="str">
            <v>標準</v>
          </cell>
        </row>
        <row r="770">
          <cell r="F770" t="str">
            <v>H0000011936</v>
          </cell>
          <cell r="I770" t="str">
            <v>フレーム</v>
          </cell>
          <cell r="J770" t="str">
            <v>S-Frame_UX-10_S_TKTK</v>
          </cell>
          <cell r="K770" t="str">
            <v>S-フレーム_UX-10_S_TKTK</v>
          </cell>
          <cell r="L770" t="str">
            <v>S-Frame</v>
          </cell>
          <cell r="M770" t="str">
            <v>S-フレーム</v>
          </cell>
          <cell r="P770" t="str">
            <v>31B0</v>
          </cell>
          <cell r="Q770" t="str">
            <v>SS400</v>
          </cell>
          <cell r="R770" t="str">
            <v>E349496_01</v>
          </cell>
          <cell r="S770">
            <v>134</v>
          </cell>
          <cell r="T770" t="str">
            <v>標準</v>
          </cell>
        </row>
        <row r="771">
          <cell r="F771" t="str">
            <v>H0000011937</v>
          </cell>
          <cell r="I771" t="str">
            <v>フレーム</v>
          </cell>
          <cell r="J771" t="str">
            <v>S-Frame_UX-10_S_KTKT</v>
          </cell>
          <cell r="K771" t="str">
            <v>S-フレーム_UX-10_S_KTKT</v>
          </cell>
          <cell r="L771" t="str">
            <v>S-Frame</v>
          </cell>
          <cell r="M771" t="str">
            <v>S-フレーム</v>
          </cell>
          <cell r="P771" t="str">
            <v>31B0</v>
          </cell>
          <cell r="Q771" t="str">
            <v>SS400</v>
          </cell>
          <cell r="R771" t="str">
            <v>E349496_01</v>
          </cell>
          <cell r="S771">
            <v>134</v>
          </cell>
          <cell r="T771" t="str">
            <v>標準</v>
          </cell>
        </row>
        <row r="772">
          <cell r="F772" t="str">
            <v>H0000011942</v>
          </cell>
          <cell r="I772" t="str">
            <v>フレーム</v>
          </cell>
          <cell r="J772" t="str">
            <v>S-Frame_UX-10_S_TTTT</v>
          </cell>
          <cell r="K772" t="str">
            <v>S-フレーム_UX-10_S_TTTT</v>
          </cell>
          <cell r="L772" t="str">
            <v>S-Frame</v>
          </cell>
          <cell r="M772" t="str">
            <v>S-フレーム</v>
          </cell>
          <cell r="P772" t="str">
            <v>31B0</v>
          </cell>
          <cell r="Q772" t="str">
            <v>SS400</v>
          </cell>
          <cell r="R772" t="str">
            <v>E349496_01</v>
          </cell>
          <cell r="S772">
            <v>134</v>
          </cell>
          <cell r="T772" t="str">
            <v>標準</v>
          </cell>
        </row>
        <row r="773">
          <cell r="F773" t="str">
            <v>H0000011943</v>
          </cell>
          <cell r="I773" t="str">
            <v>フレーム</v>
          </cell>
          <cell r="J773" t="str">
            <v>S-Frame_UX-10_S_KKKK</v>
          </cell>
          <cell r="K773" t="str">
            <v>S-フレーム_UX-10_S_KKKK</v>
          </cell>
          <cell r="L773" t="str">
            <v>S-Frame</v>
          </cell>
          <cell r="M773" t="str">
            <v>S-フレーム</v>
          </cell>
          <cell r="P773" t="str">
            <v>31B0</v>
          </cell>
          <cell r="Q773" t="str">
            <v>SS400</v>
          </cell>
          <cell r="R773" t="str">
            <v>E349496_01</v>
          </cell>
          <cell r="S773">
            <v>134</v>
          </cell>
          <cell r="T773" t="str">
            <v>標準</v>
          </cell>
        </row>
        <row r="774">
          <cell r="F774" t="str">
            <v>H0000011944</v>
          </cell>
          <cell r="I774" t="str">
            <v>フレーム</v>
          </cell>
          <cell r="J774" t="str">
            <v>S-Frame_UX-10_S_TKTK</v>
          </cell>
          <cell r="K774" t="str">
            <v>S-フレーム_UX-10_S_TKTK</v>
          </cell>
          <cell r="L774" t="str">
            <v>S-Frame</v>
          </cell>
          <cell r="M774" t="str">
            <v>S-フレーム</v>
          </cell>
          <cell r="P774" t="str">
            <v>31B0</v>
          </cell>
          <cell r="Q774" t="str">
            <v>SS400</v>
          </cell>
          <cell r="R774" t="str">
            <v>E349496_01</v>
          </cell>
          <cell r="S774">
            <v>134</v>
          </cell>
          <cell r="T774" t="str">
            <v>標準</v>
          </cell>
        </row>
        <row r="775">
          <cell r="F775" t="str">
            <v>H0000011945</v>
          </cell>
          <cell r="I775" t="str">
            <v>フレーム</v>
          </cell>
          <cell r="J775" t="str">
            <v>S-Frame_UX-10_S_KTKT</v>
          </cell>
          <cell r="K775" t="str">
            <v>S-フレーム_UX-10_S_KTKT</v>
          </cell>
          <cell r="L775" t="str">
            <v>S-Frame</v>
          </cell>
          <cell r="M775" t="str">
            <v>S-フレーム</v>
          </cell>
          <cell r="P775" t="str">
            <v>31B0</v>
          </cell>
          <cell r="Q775" t="str">
            <v>SS400</v>
          </cell>
          <cell r="R775" t="str">
            <v>E349496_01</v>
          </cell>
          <cell r="S775">
            <v>134</v>
          </cell>
          <cell r="T775" t="str">
            <v>標準</v>
          </cell>
        </row>
        <row r="776">
          <cell r="F776" t="str">
            <v>H0000011974</v>
          </cell>
          <cell r="I776" t="str">
            <v>フレーム</v>
          </cell>
          <cell r="J776" t="str">
            <v>S-Frame_UX-10_S_TTTT</v>
          </cell>
          <cell r="K776" t="str">
            <v>S-フレーム_UX-10_S_TTTT</v>
          </cell>
          <cell r="L776" t="str">
            <v>S-Frame</v>
          </cell>
          <cell r="M776" t="str">
            <v>S-フレーム</v>
          </cell>
          <cell r="P776" t="str">
            <v>31B0</v>
          </cell>
          <cell r="Q776" t="str">
            <v>SS400</v>
          </cell>
          <cell r="R776" t="str">
            <v>E349496_01</v>
          </cell>
          <cell r="S776">
            <v>134</v>
          </cell>
          <cell r="T776" t="str">
            <v>標準</v>
          </cell>
        </row>
        <row r="777">
          <cell r="F777" t="str">
            <v>H0000011975</v>
          </cell>
          <cell r="I777" t="str">
            <v>フレーム</v>
          </cell>
          <cell r="J777" t="str">
            <v>S-Frame_UX-10_S_KKKK</v>
          </cell>
          <cell r="K777" t="str">
            <v>S-フレーム_UX-10_S_KKKK</v>
          </cell>
          <cell r="L777" t="str">
            <v>S-Frame</v>
          </cell>
          <cell r="M777" t="str">
            <v>S-フレーム</v>
          </cell>
          <cell r="P777" t="str">
            <v>31B0</v>
          </cell>
          <cell r="Q777" t="str">
            <v>SS400</v>
          </cell>
          <cell r="R777" t="str">
            <v>E349496_01</v>
          </cell>
          <cell r="S777">
            <v>134</v>
          </cell>
          <cell r="T777" t="str">
            <v>標準</v>
          </cell>
        </row>
        <row r="778">
          <cell r="F778" t="str">
            <v>H0000011976</v>
          </cell>
          <cell r="I778" t="str">
            <v>フレーム</v>
          </cell>
          <cell r="J778" t="str">
            <v>S-Frame_UX-10_S_TKTK</v>
          </cell>
          <cell r="K778" t="str">
            <v>S-フレーム_UX-10_S_TKTK</v>
          </cell>
          <cell r="L778" t="str">
            <v>S-Frame</v>
          </cell>
          <cell r="M778" t="str">
            <v>S-フレーム</v>
          </cell>
          <cell r="P778" t="str">
            <v>31B0</v>
          </cell>
          <cell r="Q778" t="str">
            <v>SS400</v>
          </cell>
          <cell r="R778" t="str">
            <v>E349496_01</v>
          </cell>
          <cell r="S778">
            <v>134</v>
          </cell>
          <cell r="T778" t="str">
            <v>標準</v>
          </cell>
        </row>
        <row r="779">
          <cell r="F779" t="str">
            <v>H0000011977</v>
          </cell>
          <cell r="I779" t="str">
            <v>フレーム</v>
          </cell>
          <cell r="J779" t="str">
            <v>S-Frame_UX-10_S_KTKT</v>
          </cell>
          <cell r="K779" t="str">
            <v>S-フレーム_UX-10_S_KTKT</v>
          </cell>
          <cell r="L779" t="str">
            <v>S-Frame</v>
          </cell>
          <cell r="M779" t="str">
            <v>S-フレーム</v>
          </cell>
          <cell r="P779" t="str">
            <v>31B0</v>
          </cell>
          <cell r="Q779" t="str">
            <v>SS400</v>
          </cell>
          <cell r="R779" t="str">
            <v>E349496_01</v>
          </cell>
          <cell r="S779">
            <v>134</v>
          </cell>
          <cell r="T779" t="str">
            <v>標準</v>
          </cell>
        </row>
        <row r="780">
          <cell r="F780" t="str">
            <v>H0000011978</v>
          </cell>
          <cell r="I780" t="str">
            <v>フレーム</v>
          </cell>
          <cell r="J780" t="str">
            <v>S-Frame_UX-10_S_TTTT</v>
          </cell>
          <cell r="K780" t="str">
            <v>S-フレーム_UX-10_S_TTTT</v>
          </cell>
          <cell r="L780" t="str">
            <v>S-Frame</v>
          </cell>
          <cell r="M780" t="str">
            <v>S-フレーム</v>
          </cell>
          <cell r="P780" t="str">
            <v>31B0</v>
          </cell>
          <cell r="Q780" t="str">
            <v>SS400</v>
          </cell>
          <cell r="R780" t="str">
            <v>E349496_01</v>
          </cell>
          <cell r="S780">
            <v>134</v>
          </cell>
          <cell r="T780" t="str">
            <v>標準</v>
          </cell>
        </row>
        <row r="781">
          <cell r="F781" t="str">
            <v>H0000011979</v>
          </cell>
          <cell r="I781" t="str">
            <v>フレーム</v>
          </cell>
          <cell r="J781" t="str">
            <v>S-Frame_UX-10_S_KKKK</v>
          </cell>
          <cell r="K781" t="str">
            <v>S-フレーム_UX-10_S_KKKK</v>
          </cell>
          <cell r="L781" t="str">
            <v>S-Frame</v>
          </cell>
          <cell r="M781" t="str">
            <v>S-フレーム</v>
          </cell>
          <cell r="P781" t="str">
            <v>31B0</v>
          </cell>
          <cell r="Q781" t="str">
            <v>SS400</v>
          </cell>
          <cell r="R781" t="str">
            <v>E349496_01</v>
          </cell>
          <cell r="S781">
            <v>134</v>
          </cell>
          <cell r="T781" t="str">
            <v>標準</v>
          </cell>
        </row>
        <row r="782">
          <cell r="F782" t="str">
            <v>H0000011980</v>
          </cell>
          <cell r="I782" t="str">
            <v>フレーム</v>
          </cell>
          <cell r="J782" t="str">
            <v>S-Frame_UX-10_S_TKTK</v>
          </cell>
          <cell r="K782" t="str">
            <v>S-フレーム_UX-10_S_TKTK</v>
          </cell>
          <cell r="L782" t="str">
            <v>S-Frame</v>
          </cell>
          <cell r="M782" t="str">
            <v>S-フレーム</v>
          </cell>
          <cell r="P782" t="str">
            <v>31B0</v>
          </cell>
          <cell r="Q782" t="str">
            <v>SS400</v>
          </cell>
          <cell r="R782" t="str">
            <v>E349496_01</v>
          </cell>
          <cell r="S782">
            <v>134</v>
          </cell>
          <cell r="T782" t="str">
            <v>標準</v>
          </cell>
        </row>
        <row r="783">
          <cell r="F783" t="str">
            <v>H0000011981</v>
          </cell>
          <cell r="I783" t="str">
            <v>フレーム</v>
          </cell>
          <cell r="J783" t="str">
            <v>S-Frame_UX-10_S_KTKT</v>
          </cell>
          <cell r="K783" t="str">
            <v>S-フレーム_UX-10_S_KTKT</v>
          </cell>
          <cell r="L783" t="str">
            <v>S-Frame</v>
          </cell>
          <cell r="M783" t="str">
            <v>S-フレーム</v>
          </cell>
          <cell r="P783" t="str">
            <v>31B0</v>
          </cell>
          <cell r="Q783" t="str">
            <v>SS400</v>
          </cell>
          <cell r="R783" t="str">
            <v>E349496_01</v>
          </cell>
          <cell r="S783">
            <v>134</v>
          </cell>
          <cell r="T783" t="str">
            <v>標準</v>
          </cell>
        </row>
        <row r="784">
          <cell r="F784" t="str">
            <v>H0000012110</v>
          </cell>
          <cell r="I784" t="str">
            <v>フレーム</v>
          </cell>
          <cell r="J784" t="str">
            <v>S-Frame_GasCutting_UX-10_N_1234</v>
          </cell>
          <cell r="K784" t="str">
            <v>S-フレーム_ガス溶断_UX-10_N_1234</v>
          </cell>
          <cell r="L784" t="str">
            <v>S-Frame</v>
          </cell>
          <cell r="M784" t="str">
            <v>S-フレーム</v>
          </cell>
          <cell r="N784" t="str">
            <v>GasCutting</v>
          </cell>
          <cell r="O784" t="str">
            <v>ガス溶断</v>
          </cell>
          <cell r="P784" t="str">
            <v>31B0</v>
          </cell>
          <cell r="Q784" t="str">
            <v>SS400</v>
          </cell>
          <cell r="R784" t="str">
            <v>E349496_01</v>
          </cell>
          <cell r="S784">
            <v>84</v>
          </cell>
          <cell r="T784" t="str">
            <v>標準</v>
          </cell>
        </row>
        <row r="785">
          <cell r="F785" t="str">
            <v>H0000012111</v>
          </cell>
          <cell r="I785" t="str">
            <v>フレーム</v>
          </cell>
          <cell r="J785" t="str">
            <v>S-Frame_GasCutting_UX-10_H_1234</v>
          </cell>
          <cell r="K785" t="str">
            <v>S-フレーム_ガス溶断_UX-10_H_1234</v>
          </cell>
          <cell r="L785" t="str">
            <v>S-Frame</v>
          </cell>
          <cell r="M785" t="str">
            <v>S-フレーム</v>
          </cell>
          <cell r="N785" t="str">
            <v>GasCutting</v>
          </cell>
          <cell r="O785" t="str">
            <v>ガス溶断</v>
          </cell>
          <cell r="P785" t="str">
            <v>31B0</v>
          </cell>
          <cell r="Q785" t="str">
            <v>SS400</v>
          </cell>
          <cell r="R785" t="str">
            <v>E349496_01</v>
          </cell>
          <cell r="S785">
            <v>108</v>
          </cell>
          <cell r="T785" t="str">
            <v>標準</v>
          </cell>
        </row>
        <row r="786">
          <cell r="F786" t="str">
            <v>H0000012112</v>
          </cell>
          <cell r="I786" t="str">
            <v>フレーム</v>
          </cell>
          <cell r="J786" t="str">
            <v>S-Frame_GasCutting_UX-10_U_1234</v>
          </cell>
          <cell r="K786" t="str">
            <v>S-フレーム_ガス溶断_UX-10_U_1234</v>
          </cell>
          <cell r="L786" t="str">
            <v>S-Frame</v>
          </cell>
          <cell r="M786" t="str">
            <v>S-フレーム</v>
          </cell>
          <cell r="N786" t="str">
            <v>GasCutting</v>
          </cell>
          <cell r="O786" t="str">
            <v>ガス溶断</v>
          </cell>
          <cell r="P786" t="str">
            <v>31B0</v>
          </cell>
          <cell r="Q786" t="str">
            <v>SS400</v>
          </cell>
          <cell r="R786" t="str">
            <v>E349496_01</v>
          </cell>
          <cell r="S786">
            <v>121</v>
          </cell>
          <cell r="T786" t="str">
            <v>標準</v>
          </cell>
        </row>
        <row r="787">
          <cell r="F787" t="str">
            <v>H0000012113</v>
          </cell>
          <cell r="I787" t="str">
            <v>フレーム</v>
          </cell>
          <cell r="J787" t="str">
            <v>S-Frame_GasCutting_UX-10_S_1234</v>
          </cell>
          <cell r="K787" t="str">
            <v>S-フレーム_ガス溶断_UX-10_S_1234</v>
          </cell>
          <cell r="L787" t="str">
            <v>S-Frame</v>
          </cell>
          <cell r="M787" t="str">
            <v>S-フレーム</v>
          </cell>
          <cell r="N787" t="str">
            <v>GasCutting</v>
          </cell>
          <cell r="O787" t="str">
            <v>ガス溶断</v>
          </cell>
          <cell r="P787" t="str">
            <v>31B0</v>
          </cell>
          <cell r="Q787" t="str">
            <v>SS400</v>
          </cell>
          <cell r="R787" t="str">
            <v>E349496_01</v>
          </cell>
          <cell r="S787">
            <v>134</v>
          </cell>
          <cell r="T787" t="str">
            <v>標準</v>
          </cell>
        </row>
        <row r="788">
          <cell r="F788" t="str">
            <v>H0000012114</v>
          </cell>
          <cell r="I788" t="str">
            <v>フレーム</v>
          </cell>
          <cell r="J788" t="str">
            <v>S-Frame_LX-50_N_NNNN</v>
          </cell>
          <cell r="K788" t="str">
            <v>S-フレーム_LX-50_N_NNNN</v>
          </cell>
          <cell r="L788" t="str">
            <v>S-Frame</v>
          </cell>
          <cell r="M788" t="str">
            <v>S-フレーム</v>
          </cell>
          <cell r="P788" t="str">
            <v>31B0</v>
          </cell>
          <cell r="Q788" t="str">
            <v>SS400</v>
          </cell>
          <cell r="R788" t="str">
            <v>E343523_01</v>
          </cell>
          <cell r="S788">
            <v>486</v>
          </cell>
          <cell r="T788" t="str">
            <v>標準</v>
          </cell>
        </row>
        <row r="789">
          <cell r="F789" t="str">
            <v>H0000012115</v>
          </cell>
          <cell r="I789" t="str">
            <v>フレーム</v>
          </cell>
          <cell r="J789" t="str">
            <v>S-Frame_LX-50_N_TTTT</v>
          </cell>
          <cell r="K789" t="str">
            <v>S-フレーム_LX-50_N_TTTT</v>
          </cell>
          <cell r="L789" t="str">
            <v>S-Frame</v>
          </cell>
          <cell r="M789" t="str">
            <v>S-フレーム</v>
          </cell>
          <cell r="P789" t="str">
            <v>31B0</v>
          </cell>
          <cell r="Q789" t="str">
            <v>SS400</v>
          </cell>
          <cell r="R789" t="str">
            <v>E343523_01</v>
          </cell>
          <cell r="S789">
            <v>486</v>
          </cell>
          <cell r="T789" t="str">
            <v>標準</v>
          </cell>
        </row>
        <row r="790">
          <cell r="F790" t="str">
            <v>H0000012116</v>
          </cell>
          <cell r="I790" t="str">
            <v>フレーム</v>
          </cell>
          <cell r="J790" t="str">
            <v>S-Frame_LX-50_N_KKKK</v>
          </cell>
          <cell r="K790" t="str">
            <v>S-フレーム_LX-50_N_KKKK</v>
          </cell>
          <cell r="L790" t="str">
            <v>S-Frame</v>
          </cell>
          <cell r="M790" t="str">
            <v>S-フレーム</v>
          </cell>
          <cell r="P790" t="str">
            <v>31B0</v>
          </cell>
          <cell r="Q790" t="str">
            <v>SS400</v>
          </cell>
          <cell r="R790" t="str">
            <v>E343523_01</v>
          </cell>
          <cell r="S790">
            <v>486</v>
          </cell>
          <cell r="T790" t="str">
            <v>標準</v>
          </cell>
        </row>
        <row r="791">
          <cell r="F791" t="str">
            <v>H0000012117</v>
          </cell>
          <cell r="I791" t="str">
            <v>フレーム</v>
          </cell>
          <cell r="J791" t="str">
            <v>S-Frame_LX-50_N_TKTK</v>
          </cell>
          <cell r="K791" t="str">
            <v>S-フレーム_LX-50_N_TKTK</v>
          </cell>
          <cell r="L791" t="str">
            <v>S-Frame</v>
          </cell>
          <cell r="M791" t="str">
            <v>S-フレーム</v>
          </cell>
          <cell r="P791" t="str">
            <v>31B0</v>
          </cell>
          <cell r="Q791" t="str">
            <v>SS400</v>
          </cell>
          <cell r="R791" t="str">
            <v>E343523_01</v>
          </cell>
          <cell r="S791">
            <v>486</v>
          </cell>
          <cell r="T791" t="str">
            <v>標準</v>
          </cell>
        </row>
        <row r="792">
          <cell r="F792" t="str">
            <v>H0000012118</v>
          </cell>
          <cell r="I792" t="str">
            <v>フレーム</v>
          </cell>
          <cell r="J792" t="str">
            <v>S-Frame_LX-50_N_KTKT</v>
          </cell>
          <cell r="K792" t="str">
            <v>S-フレーム_LX-50_N_KTKT</v>
          </cell>
          <cell r="L792" t="str">
            <v>S-Frame</v>
          </cell>
          <cell r="M792" t="str">
            <v>S-フレーム</v>
          </cell>
          <cell r="P792" t="str">
            <v>31B0</v>
          </cell>
          <cell r="Q792" t="str">
            <v>SS400</v>
          </cell>
          <cell r="R792" t="str">
            <v>E343523_01</v>
          </cell>
          <cell r="S792">
            <v>486</v>
          </cell>
          <cell r="T792" t="str">
            <v>標準</v>
          </cell>
        </row>
        <row r="793">
          <cell r="F793" t="str">
            <v>H0000012119</v>
          </cell>
          <cell r="I793" t="str">
            <v>フレーム</v>
          </cell>
          <cell r="J793" t="str">
            <v>S-Frame_LX-50_N_NNNN</v>
          </cell>
          <cell r="K793" t="str">
            <v>S-フレーム_LX-50_N_NNNN</v>
          </cell>
          <cell r="L793" t="str">
            <v>S-Frame</v>
          </cell>
          <cell r="M793" t="str">
            <v>S-フレーム</v>
          </cell>
          <cell r="P793" t="str">
            <v>31B0</v>
          </cell>
          <cell r="Q793" t="str">
            <v>SS400</v>
          </cell>
          <cell r="R793" t="str">
            <v>E343523_01</v>
          </cell>
          <cell r="S793">
            <v>486</v>
          </cell>
          <cell r="T793" t="str">
            <v>標準</v>
          </cell>
        </row>
        <row r="794">
          <cell r="F794" t="str">
            <v>H0000012120</v>
          </cell>
          <cell r="I794" t="str">
            <v>フレーム</v>
          </cell>
          <cell r="J794" t="str">
            <v>S-Frame_LX-50_N_TTTT</v>
          </cell>
          <cell r="K794" t="str">
            <v>S-フレーム_LX-50_N_TTTT</v>
          </cell>
          <cell r="L794" t="str">
            <v>S-Frame</v>
          </cell>
          <cell r="M794" t="str">
            <v>S-フレーム</v>
          </cell>
          <cell r="P794" t="str">
            <v>31B0</v>
          </cell>
          <cell r="Q794" t="str">
            <v>SS400</v>
          </cell>
          <cell r="R794" t="str">
            <v>E343523_01</v>
          </cell>
          <cell r="S794">
            <v>486</v>
          </cell>
          <cell r="T794" t="str">
            <v>標準</v>
          </cell>
        </row>
        <row r="795">
          <cell r="F795" t="str">
            <v>H0000012121</v>
          </cell>
          <cell r="I795" t="str">
            <v>フレーム</v>
          </cell>
          <cell r="J795" t="str">
            <v>S-Frame_LX-50_N_KKKK</v>
          </cell>
          <cell r="K795" t="str">
            <v>S-フレーム_LX-50_N_KKKK</v>
          </cell>
          <cell r="L795" t="str">
            <v>S-Frame</v>
          </cell>
          <cell r="M795" t="str">
            <v>S-フレーム</v>
          </cell>
          <cell r="P795" t="str">
            <v>31B0</v>
          </cell>
          <cell r="Q795" t="str">
            <v>SS400</v>
          </cell>
          <cell r="R795" t="str">
            <v>E343523_01</v>
          </cell>
          <cell r="S795">
            <v>486</v>
          </cell>
          <cell r="T795" t="str">
            <v>標準</v>
          </cell>
        </row>
        <row r="796">
          <cell r="F796" t="str">
            <v>H0000012122</v>
          </cell>
          <cell r="I796" t="str">
            <v>フレーム</v>
          </cell>
          <cell r="J796" t="str">
            <v>S-Frame_LX-50_N_TKTK</v>
          </cell>
          <cell r="K796" t="str">
            <v>S-フレーム_LX-50_N_TKTK</v>
          </cell>
          <cell r="L796" t="str">
            <v>S-Frame</v>
          </cell>
          <cell r="M796" t="str">
            <v>S-フレーム</v>
          </cell>
          <cell r="P796" t="str">
            <v>31B0</v>
          </cell>
          <cell r="Q796" t="str">
            <v>SS400</v>
          </cell>
          <cell r="R796" t="str">
            <v>E343523_01</v>
          </cell>
          <cell r="S796">
            <v>486</v>
          </cell>
          <cell r="T796" t="str">
            <v>標準</v>
          </cell>
        </row>
        <row r="797">
          <cell r="F797" t="str">
            <v>H0000012123</v>
          </cell>
          <cell r="I797" t="str">
            <v>フレーム</v>
          </cell>
          <cell r="J797" t="str">
            <v>S-Frame_LX-50_N_KTKT</v>
          </cell>
          <cell r="K797" t="str">
            <v>S-フレーム_LX-50_N_KTKT</v>
          </cell>
          <cell r="L797" t="str">
            <v>S-Frame</v>
          </cell>
          <cell r="M797" t="str">
            <v>S-フレーム</v>
          </cell>
          <cell r="P797" t="str">
            <v>31B0</v>
          </cell>
          <cell r="Q797" t="str">
            <v>SS400</v>
          </cell>
          <cell r="R797" t="str">
            <v>E343523_01</v>
          </cell>
          <cell r="S797">
            <v>486</v>
          </cell>
          <cell r="T797" t="str">
            <v>標準</v>
          </cell>
        </row>
        <row r="798">
          <cell r="F798" t="str">
            <v>H0000012129</v>
          </cell>
          <cell r="I798" t="str">
            <v>フレーム</v>
          </cell>
          <cell r="J798" t="str">
            <v>S-Frame_LX-50_N_NNNN</v>
          </cell>
          <cell r="K798" t="str">
            <v>S-フレーム_LX-50_N_NNNN</v>
          </cell>
          <cell r="L798" t="str">
            <v>S-Frame</v>
          </cell>
          <cell r="M798" t="str">
            <v>S-フレーム</v>
          </cell>
          <cell r="P798" t="str">
            <v>31B0</v>
          </cell>
          <cell r="Q798" t="str">
            <v>SS400</v>
          </cell>
          <cell r="R798" t="str">
            <v>E343523_01</v>
          </cell>
          <cell r="S798">
            <v>486</v>
          </cell>
          <cell r="T798" t="str">
            <v>標準</v>
          </cell>
        </row>
        <row r="799">
          <cell r="F799" t="str">
            <v>H0000012130</v>
          </cell>
          <cell r="I799" t="str">
            <v>フレーム</v>
          </cell>
          <cell r="J799" t="str">
            <v>S-Frame_LX-50_N_TTTT</v>
          </cell>
          <cell r="K799" t="str">
            <v>S-フレーム_LX-50_N_TTTT</v>
          </cell>
          <cell r="L799" t="str">
            <v>S-Frame</v>
          </cell>
          <cell r="M799" t="str">
            <v>S-フレーム</v>
          </cell>
          <cell r="P799" t="str">
            <v>31B0</v>
          </cell>
          <cell r="Q799" t="str">
            <v>SS400</v>
          </cell>
          <cell r="R799" t="str">
            <v>E343523_01</v>
          </cell>
          <cell r="S799">
            <v>486</v>
          </cell>
          <cell r="T799" t="str">
            <v>標準</v>
          </cell>
        </row>
        <row r="800">
          <cell r="F800" t="str">
            <v>H0000012131</v>
          </cell>
          <cell r="I800" t="str">
            <v>フレーム</v>
          </cell>
          <cell r="J800" t="str">
            <v>S-Frame_LX-50_N_KKKK</v>
          </cell>
          <cell r="K800" t="str">
            <v>S-フレーム_LX-50_N_KKKK</v>
          </cell>
          <cell r="L800" t="str">
            <v>S-Frame</v>
          </cell>
          <cell r="M800" t="str">
            <v>S-フレーム</v>
          </cell>
          <cell r="P800" t="str">
            <v>31B0</v>
          </cell>
          <cell r="Q800" t="str">
            <v>SS400</v>
          </cell>
          <cell r="R800" t="str">
            <v>E343523_01</v>
          </cell>
          <cell r="S800">
            <v>486</v>
          </cell>
          <cell r="T800" t="str">
            <v>標準</v>
          </cell>
        </row>
        <row r="801">
          <cell r="F801" t="str">
            <v>H0000012132</v>
          </cell>
          <cell r="I801" t="str">
            <v>フレーム</v>
          </cell>
          <cell r="J801" t="str">
            <v>S-Frame_LX-50_N_TKTK</v>
          </cell>
          <cell r="K801" t="str">
            <v>S-フレーム_LX-50_N_TKTK</v>
          </cell>
          <cell r="L801" t="str">
            <v>S-Frame</v>
          </cell>
          <cell r="M801" t="str">
            <v>S-フレーム</v>
          </cell>
          <cell r="P801" t="str">
            <v>31B0</v>
          </cell>
          <cell r="Q801" t="str">
            <v>SS400</v>
          </cell>
          <cell r="R801" t="str">
            <v>E343523_01</v>
          </cell>
          <cell r="S801">
            <v>486</v>
          </cell>
          <cell r="T801" t="str">
            <v>標準</v>
          </cell>
        </row>
        <row r="802">
          <cell r="F802" t="str">
            <v>H0000012133</v>
          </cell>
          <cell r="I802" t="str">
            <v>フレーム</v>
          </cell>
          <cell r="J802" t="str">
            <v>S-Frame_LX-50_N_KTKT</v>
          </cell>
          <cell r="K802" t="str">
            <v>S-フレーム_LX-50_N_KTKT</v>
          </cell>
          <cell r="L802" t="str">
            <v>S-Frame</v>
          </cell>
          <cell r="M802" t="str">
            <v>S-フレーム</v>
          </cell>
          <cell r="P802" t="str">
            <v>31B0</v>
          </cell>
          <cell r="Q802" t="str">
            <v>SS400</v>
          </cell>
          <cell r="R802" t="str">
            <v>E343523_01</v>
          </cell>
          <cell r="S802">
            <v>486</v>
          </cell>
          <cell r="T802" t="str">
            <v>標準</v>
          </cell>
        </row>
        <row r="803">
          <cell r="F803" t="str">
            <v>H0000012134</v>
          </cell>
          <cell r="I803" t="str">
            <v>フレーム</v>
          </cell>
          <cell r="J803" t="str">
            <v>S-Frame_LX-50_N_NNNN</v>
          </cell>
          <cell r="K803" t="str">
            <v>S-フレーム_LX-50_N_NNNN</v>
          </cell>
          <cell r="L803" t="str">
            <v>S-Frame</v>
          </cell>
          <cell r="M803" t="str">
            <v>S-フレーム</v>
          </cell>
          <cell r="P803" t="str">
            <v>31B0</v>
          </cell>
          <cell r="Q803" t="str">
            <v>SS400</v>
          </cell>
          <cell r="R803" t="str">
            <v>E343523_01</v>
          </cell>
          <cell r="S803">
            <v>486</v>
          </cell>
          <cell r="T803" t="str">
            <v>標準</v>
          </cell>
        </row>
        <row r="804">
          <cell r="F804" t="str">
            <v>H0000012135</v>
          </cell>
          <cell r="I804" t="str">
            <v>フレーム</v>
          </cell>
          <cell r="J804" t="str">
            <v>S-Frame_LX-50_N_TTTT</v>
          </cell>
          <cell r="K804" t="str">
            <v>S-フレーム_LX-50_N_TTTT</v>
          </cell>
          <cell r="L804" t="str">
            <v>S-Frame</v>
          </cell>
          <cell r="M804" t="str">
            <v>S-フレーム</v>
          </cell>
          <cell r="P804" t="str">
            <v>31B0</v>
          </cell>
          <cell r="Q804" t="str">
            <v>SS400</v>
          </cell>
          <cell r="R804" t="str">
            <v>E343523_01</v>
          </cell>
          <cell r="S804">
            <v>486</v>
          </cell>
          <cell r="T804" t="str">
            <v>標準</v>
          </cell>
        </row>
        <row r="805">
          <cell r="F805" t="str">
            <v>H0000012136</v>
          </cell>
          <cell r="I805" t="str">
            <v>フレーム</v>
          </cell>
          <cell r="J805" t="str">
            <v>S-Frame_LX-50_N_KKKK</v>
          </cell>
          <cell r="K805" t="str">
            <v>S-フレーム_LX-50_N_KKKK</v>
          </cell>
          <cell r="L805" t="str">
            <v>S-Frame</v>
          </cell>
          <cell r="M805" t="str">
            <v>S-フレーム</v>
          </cell>
          <cell r="P805" t="str">
            <v>31B0</v>
          </cell>
          <cell r="Q805" t="str">
            <v>SS400</v>
          </cell>
          <cell r="R805" t="str">
            <v>E343523_01</v>
          </cell>
          <cell r="S805">
            <v>486</v>
          </cell>
          <cell r="T805" t="str">
            <v>標準</v>
          </cell>
        </row>
        <row r="806">
          <cell r="F806" t="str">
            <v>H0000012137</v>
          </cell>
          <cell r="I806" t="str">
            <v>フレーム</v>
          </cell>
          <cell r="J806" t="str">
            <v>S-Frame_LX-50_N_TKTK</v>
          </cell>
          <cell r="K806" t="str">
            <v>S-フレーム_LX-50_N_TKTK</v>
          </cell>
          <cell r="L806" t="str">
            <v>S-Frame</v>
          </cell>
          <cell r="M806" t="str">
            <v>S-フレーム</v>
          </cell>
          <cell r="P806" t="str">
            <v>31B0</v>
          </cell>
          <cell r="Q806" t="str">
            <v>SS400</v>
          </cell>
          <cell r="R806" t="str">
            <v>E343523_01</v>
          </cell>
          <cell r="S806">
            <v>486</v>
          </cell>
          <cell r="T806" t="str">
            <v>標準</v>
          </cell>
        </row>
        <row r="807">
          <cell r="F807" t="str">
            <v>H0000012138</v>
          </cell>
          <cell r="I807" t="str">
            <v>フレーム</v>
          </cell>
          <cell r="J807" t="str">
            <v>S-Frame_LX-50_N_KTKT</v>
          </cell>
          <cell r="K807" t="str">
            <v>S-フレーム_LX-50_N_KTKT</v>
          </cell>
          <cell r="L807" t="str">
            <v>S-Frame</v>
          </cell>
          <cell r="M807" t="str">
            <v>S-フレーム</v>
          </cell>
          <cell r="P807" t="str">
            <v>31B0</v>
          </cell>
          <cell r="Q807" t="str">
            <v>SS400</v>
          </cell>
          <cell r="R807" t="str">
            <v>E343523_01</v>
          </cell>
          <cell r="S807">
            <v>486</v>
          </cell>
          <cell r="T807" t="str">
            <v>標準</v>
          </cell>
        </row>
        <row r="808">
          <cell r="F808" t="str">
            <v>H0000012159</v>
          </cell>
          <cell r="I808" t="str">
            <v>フレーム</v>
          </cell>
          <cell r="J808" t="str">
            <v>S-Frame_LX-50_H_NNNN</v>
          </cell>
          <cell r="K808" t="str">
            <v>S-フレーム_LX-50_H_NNNN</v>
          </cell>
          <cell r="L808" t="str">
            <v>S-Frame</v>
          </cell>
          <cell r="M808" t="str">
            <v>S-フレーム</v>
          </cell>
          <cell r="P808" t="str">
            <v>31B0</v>
          </cell>
          <cell r="Q808" t="str">
            <v>SS400</v>
          </cell>
          <cell r="R808" t="str">
            <v>E343810_01</v>
          </cell>
          <cell r="S808">
            <v>645</v>
          </cell>
          <cell r="T808" t="str">
            <v>標準</v>
          </cell>
        </row>
        <row r="809">
          <cell r="F809" t="str">
            <v>H0000012160</v>
          </cell>
          <cell r="I809" t="str">
            <v>フレーム</v>
          </cell>
          <cell r="J809" t="str">
            <v>S-Frame_LX-50_H_TTTT</v>
          </cell>
          <cell r="K809" t="str">
            <v>S-フレーム_LX-50_H_TTTT</v>
          </cell>
          <cell r="L809" t="str">
            <v>S-Frame</v>
          </cell>
          <cell r="M809" t="str">
            <v>S-フレーム</v>
          </cell>
          <cell r="P809" t="str">
            <v>31B0</v>
          </cell>
          <cell r="Q809" t="str">
            <v>SS400</v>
          </cell>
          <cell r="R809" t="str">
            <v>E343810_01</v>
          </cell>
          <cell r="S809">
            <v>645</v>
          </cell>
          <cell r="T809" t="str">
            <v>標準</v>
          </cell>
        </row>
        <row r="810">
          <cell r="F810" t="str">
            <v>H0000012161</v>
          </cell>
          <cell r="I810" t="str">
            <v>フレーム</v>
          </cell>
          <cell r="J810" t="str">
            <v>S-Frame_LX-50_H_KKKK</v>
          </cell>
          <cell r="K810" t="str">
            <v>S-フレーム_LX-50_H_KKKK</v>
          </cell>
          <cell r="L810" t="str">
            <v>S-Frame</v>
          </cell>
          <cell r="M810" t="str">
            <v>S-フレーム</v>
          </cell>
          <cell r="P810" t="str">
            <v>31B0</v>
          </cell>
          <cell r="Q810" t="str">
            <v>SS400</v>
          </cell>
          <cell r="R810" t="str">
            <v>E343810_01</v>
          </cell>
          <cell r="S810">
            <v>645</v>
          </cell>
          <cell r="T810" t="str">
            <v>標準</v>
          </cell>
        </row>
        <row r="811">
          <cell r="F811" t="str">
            <v>H0000012162</v>
          </cell>
          <cell r="I811" t="str">
            <v>フレーム</v>
          </cell>
          <cell r="J811" t="str">
            <v>S-Frame_LX-50_H_TKTK</v>
          </cell>
          <cell r="K811" t="str">
            <v>S-フレーム_LX-50_H_TKTK</v>
          </cell>
          <cell r="L811" t="str">
            <v>S-Frame</v>
          </cell>
          <cell r="M811" t="str">
            <v>S-フレーム</v>
          </cell>
          <cell r="P811" t="str">
            <v>31B0</v>
          </cell>
          <cell r="Q811" t="str">
            <v>SS400</v>
          </cell>
          <cell r="R811" t="str">
            <v>E343810_01</v>
          </cell>
          <cell r="S811">
            <v>645</v>
          </cell>
          <cell r="T811" t="str">
            <v>標準</v>
          </cell>
        </row>
        <row r="812">
          <cell r="F812" t="str">
            <v>H0000012163</v>
          </cell>
          <cell r="I812" t="str">
            <v>フレーム</v>
          </cell>
          <cell r="J812" t="str">
            <v>S-Frame_LX-50_H_KTKT</v>
          </cell>
          <cell r="K812" t="str">
            <v>S-フレーム_LX-50_H_KTKT</v>
          </cell>
          <cell r="L812" t="str">
            <v>S-Frame</v>
          </cell>
          <cell r="M812" t="str">
            <v>S-フレーム</v>
          </cell>
          <cell r="P812" t="str">
            <v>31B0</v>
          </cell>
          <cell r="Q812" t="str">
            <v>SS400</v>
          </cell>
          <cell r="R812" t="str">
            <v>E343810_01</v>
          </cell>
          <cell r="S812">
            <v>645</v>
          </cell>
          <cell r="T812" t="str">
            <v>標準</v>
          </cell>
        </row>
        <row r="813">
          <cell r="F813" t="str">
            <v>H0000012164</v>
          </cell>
          <cell r="I813" t="str">
            <v>フレーム</v>
          </cell>
          <cell r="J813" t="str">
            <v>S-Frame_LX-50_H_NNNN</v>
          </cell>
          <cell r="K813" t="str">
            <v>S-フレーム_LX-50_H_NNNN</v>
          </cell>
          <cell r="L813" t="str">
            <v>S-Frame</v>
          </cell>
          <cell r="M813" t="str">
            <v>S-フレーム</v>
          </cell>
          <cell r="P813" t="str">
            <v>31B0</v>
          </cell>
          <cell r="Q813" t="str">
            <v>SS400</v>
          </cell>
          <cell r="R813" t="str">
            <v>E343810_01</v>
          </cell>
          <cell r="S813">
            <v>645</v>
          </cell>
          <cell r="T813" t="str">
            <v>標準</v>
          </cell>
        </row>
        <row r="814">
          <cell r="F814" t="str">
            <v>H0000012165</v>
          </cell>
          <cell r="I814" t="str">
            <v>フレーム</v>
          </cell>
          <cell r="J814" t="str">
            <v>S-Frame_LX-50_H_TTTT</v>
          </cell>
          <cell r="K814" t="str">
            <v>S-フレーム_LX-50_H_TTTT</v>
          </cell>
          <cell r="L814" t="str">
            <v>S-Frame</v>
          </cell>
          <cell r="M814" t="str">
            <v>S-フレーム</v>
          </cell>
          <cell r="P814" t="str">
            <v>31B0</v>
          </cell>
          <cell r="Q814" t="str">
            <v>SS400</v>
          </cell>
          <cell r="R814" t="str">
            <v>E343810_01</v>
          </cell>
          <cell r="S814">
            <v>645</v>
          </cell>
          <cell r="T814" t="str">
            <v>標準</v>
          </cell>
        </row>
        <row r="815">
          <cell r="F815" t="str">
            <v>H0000012166</v>
          </cell>
          <cell r="I815" t="str">
            <v>フレーム</v>
          </cell>
          <cell r="J815" t="str">
            <v>S-Frame_LX-50_H_KKKK</v>
          </cell>
          <cell r="K815" t="str">
            <v>S-フレーム_LX-50_H_KKKK</v>
          </cell>
          <cell r="L815" t="str">
            <v>S-Frame</v>
          </cell>
          <cell r="M815" t="str">
            <v>S-フレーム</v>
          </cell>
          <cell r="P815" t="str">
            <v>31B0</v>
          </cell>
          <cell r="Q815" t="str">
            <v>SS400</v>
          </cell>
          <cell r="R815" t="str">
            <v>E343810_01</v>
          </cell>
          <cell r="S815">
            <v>645</v>
          </cell>
          <cell r="T815" t="str">
            <v>標準</v>
          </cell>
        </row>
        <row r="816">
          <cell r="F816" t="str">
            <v>H0000012167</v>
          </cell>
          <cell r="I816" t="str">
            <v>フレーム</v>
          </cell>
          <cell r="J816" t="str">
            <v>S-Frame_LX-50_H_TKTK</v>
          </cell>
          <cell r="K816" t="str">
            <v>S-フレーム_LX-50_H_TKTK</v>
          </cell>
          <cell r="L816" t="str">
            <v>S-Frame</v>
          </cell>
          <cell r="M816" t="str">
            <v>S-フレーム</v>
          </cell>
          <cell r="P816" t="str">
            <v>31B0</v>
          </cell>
          <cell r="Q816" t="str">
            <v>SS400</v>
          </cell>
          <cell r="R816" t="str">
            <v>E343810_01</v>
          </cell>
          <cell r="S816">
            <v>645</v>
          </cell>
          <cell r="T816" t="str">
            <v>標準</v>
          </cell>
        </row>
        <row r="817">
          <cell r="F817" t="str">
            <v>H0000012168</v>
          </cell>
          <cell r="I817" t="str">
            <v>フレーム</v>
          </cell>
          <cell r="J817" t="str">
            <v>S-Frame_LX-50_H_KTKT</v>
          </cell>
          <cell r="K817" t="str">
            <v>S-フレーム_LX-50_H_KTKT</v>
          </cell>
          <cell r="L817" t="str">
            <v>S-Frame</v>
          </cell>
          <cell r="M817" t="str">
            <v>S-フレーム</v>
          </cell>
          <cell r="P817" t="str">
            <v>31B0</v>
          </cell>
          <cell r="Q817" t="str">
            <v>SS400</v>
          </cell>
          <cell r="R817" t="str">
            <v>E343810_01</v>
          </cell>
          <cell r="S817">
            <v>645</v>
          </cell>
          <cell r="T817" t="str">
            <v>標準</v>
          </cell>
        </row>
        <row r="818">
          <cell r="F818" t="str">
            <v>H0000012174</v>
          </cell>
          <cell r="I818" t="str">
            <v>フレーム</v>
          </cell>
          <cell r="J818" t="str">
            <v>S-Frame_LX-50_H_NNNN</v>
          </cell>
          <cell r="K818" t="str">
            <v>S-フレーム_LX-50_H_NNNN</v>
          </cell>
          <cell r="L818" t="str">
            <v>S-Frame</v>
          </cell>
          <cell r="M818" t="str">
            <v>S-フレーム</v>
          </cell>
          <cell r="P818" t="str">
            <v>31B0</v>
          </cell>
          <cell r="Q818" t="str">
            <v>SS400</v>
          </cell>
          <cell r="R818" t="str">
            <v>E343810_01</v>
          </cell>
          <cell r="S818">
            <v>645</v>
          </cell>
          <cell r="T818" t="str">
            <v>標準</v>
          </cell>
        </row>
        <row r="819">
          <cell r="F819" t="str">
            <v>H0000012175</v>
          </cell>
          <cell r="I819" t="str">
            <v>フレーム</v>
          </cell>
          <cell r="J819" t="str">
            <v>S-Frame_LX-50_H_TTTT</v>
          </cell>
          <cell r="K819" t="str">
            <v>S-フレーム_LX-50_H_TTTT</v>
          </cell>
          <cell r="L819" t="str">
            <v>S-Frame</v>
          </cell>
          <cell r="M819" t="str">
            <v>S-フレーム</v>
          </cell>
          <cell r="P819" t="str">
            <v>31B0</v>
          </cell>
          <cell r="Q819" t="str">
            <v>SS400</v>
          </cell>
          <cell r="R819" t="str">
            <v>E343810_01</v>
          </cell>
          <cell r="S819">
            <v>645</v>
          </cell>
          <cell r="T819" t="str">
            <v>標準</v>
          </cell>
        </row>
        <row r="820">
          <cell r="F820" t="str">
            <v>H0000012176</v>
          </cell>
          <cell r="I820" t="str">
            <v>フレーム</v>
          </cell>
          <cell r="J820" t="str">
            <v>S-Frame_LX-50_H_KKKK</v>
          </cell>
          <cell r="K820" t="str">
            <v>S-フレーム_LX-50_H_KKKK</v>
          </cell>
          <cell r="L820" t="str">
            <v>S-Frame</v>
          </cell>
          <cell r="M820" t="str">
            <v>S-フレーム</v>
          </cell>
          <cell r="P820" t="str">
            <v>31B0</v>
          </cell>
          <cell r="Q820" t="str">
            <v>SS400</v>
          </cell>
          <cell r="R820" t="str">
            <v>E343810_01</v>
          </cell>
          <cell r="S820">
            <v>645</v>
          </cell>
          <cell r="T820" t="str">
            <v>標準</v>
          </cell>
        </row>
        <row r="821">
          <cell r="F821" t="str">
            <v>H0000012177</v>
          </cell>
          <cell r="I821" t="str">
            <v>フレーム</v>
          </cell>
          <cell r="J821" t="str">
            <v>S-Frame_LX-50_H_TKTK</v>
          </cell>
          <cell r="K821" t="str">
            <v>S-フレーム_LX-50_H_TKTK</v>
          </cell>
          <cell r="L821" t="str">
            <v>S-Frame</v>
          </cell>
          <cell r="M821" t="str">
            <v>S-フレーム</v>
          </cell>
          <cell r="P821" t="str">
            <v>31B0</v>
          </cell>
          <cell r="Q821" t="str">
            <v>SS400</v>
          </cell>
          <cell r="R821" t="str">
            <v>E343810_01</v>
          </cell>
          <cell r="S821">
            <v>645</v>
          </cell>
          <cell r="T821" t="str">
            <v>標準</v>
          </cell>
        </row>
        <row r="822">
          <cell r="F822" t="str">
            <v>H0000012178</v>
          </cell>
          <cell r="I822" t="str">
            <v>フレーム</v>
          </cell>
          <cell r="J822" t="str">
            <v>S-Frame_LX-50_H_KTKT</v>
          </cell>
          <cell r="K822" t="str">
            <v>S-フレーム_LX-50_H_KTKT</v>
          </cell>
          <cell r="L822" t="str">
            <v>S-Frame</v>
          </cell>
          <cell r="M822" t="str">
            <v>S-フレーム</v>
          </cell>
          <cell r="P822" t="str">
            <v>31B0</v>
          </cell>
          <cell r="Q822" t="str">
            <v>SS400</v>
          </cell>
          <cell r="R822" t="str">
            <v>E343810_01</v>
          </cell>
          <cell r="S822">
            <v>645</v>
          </cell>
          <cell r="T822" t="str">
            <v>標準</v>
          </cell>
        </row>
        <row r="823">
          <cell r="F823" t="str">
            <v>H0000012179</v>
          </cell>
          <cell r="I823" t="str">
            <v>フレーム</v>
          </cell>
          <cell r="J823" t="str">
            <v>S-Frame_LX-50_H_NNNN</v>
          </cell>
          <cell r="K823" t="str">
            <v>S-フレーム_LX-50_H_NNNN</v>
          </cell>
          <cell r="L823" t="str">
            <v>S-Frame</v>
          </cell>
          <cell r="M823" t="str">
            <v>S-フレーム</v>
          </cell>
          <cell r="P823" t="str">
            <v>31B0</v>
          </cell>
          <cell r="Q823" t="str">
            <v>SS400</v>
          </cell>
          <cell r="R823" t="str">
            <v>E343810_01</v>
          </cell>
          <cell r="S823">
            <v>645</v>
          </cell>
          <cell r="T823" t="str">
            <v>標準</v>
          </cell>
        </row>
        <row r="824">
          <cell r="F824" t="str">
            <v>H0000012180</v>
          </cell>
          <cell r="I824" t="str">
            <v>フレーム</v>
          </cell>
          <cell r="J824" t="str">
            <v>S-Frame_LX-50_H_TTTT</v>
          </cell>
          <cell r="K824" t="str">
            <v>S-フレーム_LX-50_H_TTTT</v>
          </cell>
          <cell r="L824" t="str">
            <v>S-Frame</v>
          </cell>
          <cell r="M824" t="str">
            <v>S-フレーム</v>
          </cell>
          <cell r="P824" t="str">
            <v>31B0</v>
          </cell>
          <cell r="Q824" t="str">
            <v>SS400</v>
          </cell>
          <cell r="R824" t="str">
            <v>E343810_01</v>
          </cell>
          <cell r="S824">
            <v>645</v>
          </cell>
          <cell r="T824" t="str">
            <v>標準</v>
          </cell>
        </row>
        <row r="825">
          <cell r="F825" t="str">
            <v>H0000012181</v>
          </cell>
          <cell r="I825" t="str">
            <v>フレーム</v>
          </cell>
          <cell r="J825" t="str">
            <v>S-Frame_LX-50_H_KKKK</v>
          </cell>
          <cell r="K825" t="str">
            <v>S-フレーム_LX-50_H_KKKK</v>
          </cell>
          <cell r="L825" t="str">
            <v>S-Frame</v>
          </cell>
          <cell r="M825" t="str">
            <v>S-フレーム</v>
          </cell>
          <cell r="P825" t="str">
            <v>31B0</v>
          </cell>
          <cell r="Q825" t="str">
            <v>SS400</v>
          </cell>
          <cell r="R825" t="str">
            <v>E343810_01</v>
          </cell>
          <cell r="S825">
            <v>645</v>
          </cell>
          <cell r="T825" t="str">
            <v>標準</v>
          </cell>
        </row>
        <row r="826">
          <cell r="F826" t="str">
            <v>H0000012182</v>
          </cell>
          <cell r="I826" t="str">
            <v>フレーム</v>
          </cell>
          <cell r="J826" t="str">
            <v>S-Frame_LX-50_H_TKTK</v>
          </cell>
          <cell r="K826" t="str">
            <v>S-フレーム_LX-50_H_TKTK</v>
          </cell>
          <cell r="L826" t="str">
            <v>S-Frame</v>
          </cell>
          <cell r="M826" t="str">
            <v>S-フレーム</v>
          </cell>
          <cell r="P826" t="str">
            <v>31B0</v>
          </cell>
          <cell r="Q826" t="str">
            <v>SS400</v>
          </cell>
          <cell r="R826" t="str">
            <v>E343810_01</v>
          </cell>
          <cell r="S826">
            <v>645</v>
          </cell>
          <cell r="T826" t="str">
            <v>標準</v>
          </cell>
        </row>
        <row r="827">
          <cell r="F827" t="str">
            <v>H0000012183</v>
          </cell>
          <cell r="I827" t="str">
            <v>フレーム</v>
          </cell>
          <cell r="J827" t="str">
            <v>S-Frame_LX-50_H_KTKT</v>
          </cell>
          <cell r="K827" t="str">
            <v>S-フレーム_LX-50_H_KTKT</v>
          </cell>
          <cell r="L827" t="str">
            <v>S-Frame</v>
          </cell>
          <cell r="M827" t="str">
            <v>S-フレーム</v>
          </cell>
          <cell r="P827" t="str">
            <v>31B0</v>
          </cell>
          <cell r="Q827" t="str">
            <v>SS400</v>
          </cell>
          <cell r="R827" t="str">
            <v>E343810_01</v>
          </cell>
          <cell r="S827">
            <v>645</v>
          </cell>
          <cell r="T827" t="str">
            <v>標準</v>
          </cell>
        </row>
        <row r="828">
          <cell r="F828" t="str">
            <v>H0000012204</v>
          </cell>
          <cell r="I828" t="str">
            <v>フレーム</v>
          </cell>
          <cell r="J828" t="str">
            <v>S-Frame_LX-50_U_TTTT</v>
          </cell>
          <cell r="K828" t="str">
            <v>S-フレーム_LX-50_U_TTTT</v>
          </cell>
          <cell r="L828" t="str">
            <v>S-Frame</v>
          </cell>
          <cell r="M828" t="str">
            <v>S-フレーム</v>
          </cell>
          <cell r="P828" t="str">
            <v>31B0</v>
          </cell>
          <cell r="Q828" t="str">
            <v>SS400</v>
          </cell>
          <cell r="R828" t="str">
            <v>E343813_01</v>
          </cell>
          <cell r="S828">
            <v>751</v>
          </cell>
          <cell r="T828" t="str">
            <v>標準</v>
          </cell>
        </row>
        <row r="829">
          <cell r="F829" t="str">
            <v>H0000012205</v>
          </cell>
          <cell r="I829" t="str">
            <v>フレーム</v>
          </cell>
          <cell r="J829" t="str">
            <v>S-Frame_LX-50_U_KKKK</v>
          </cell>
          <cell r="K829" t="str">
            <v>S-フレーム_LX-50_U_KKKK</v>
          </cell>
          <cell r="L829" t="str">
            <v>S-Frame</v>
          </cell>
          <cell r="M829" t="str">
            <v>S-フレーム</v>
          </cell>
          <cell r="P829" t="str">
            <v>31B0</v>
          </cell>
          <cell r="Q829" t="str">
            <v>SS400</v>
          </cell>
          <cell r="R829" t="str">
            <v>E343813_01</v>
          </cell>
          <cell r="S829">
            <v>751</v>
          </cell>
          <cell r="T829" t="str">
            <v>標準</v>
          </cell>
        </row>
        <row r="830">
          <cell r="F830" t="str">
            <v>H0000012206</v>
          </cell>
          <cell r="I830" t="str">
            <v>フレーム</v>
          </cell>
          <cell r="J830" t="str">
            <v>S-Frame_LX-50_U_TKTK</v>
          </cell>
          <cell r="K830" t="str">
            <v>S-フレーム_LX-50_U_TKTK</v>
          </cell>
          <cell r="L830" t="str">
            <v>S-Frame</v>
          </cell>
          <cell r="M830" t="str">
            <v>S-フレーム</v>
          </cell>
          <cell r="P830" t="str">
            <v>31B0</v>
          </cell>
          <cell r="Q830" t="str">
            <v>SS400</v>
          </cell>
          <cell r="R830" t="str">
            <v>E343813_01</v>
          </cell>
          <cell r="S830">
            <v>751</v>
          </cell>
          <cell r="T830" t="str">
            <v>標準</v>
          </cell>
        </row>
        <row r="831">
          <cell r="F831" t="str">
            <v>H0000012207</v>
          </cell>
          <cell r="I831" t="str">
            <v>フレーム</v>
          </cell>
          <cell r="J831" t="str">
            <v>S-Frame_LX-50_U_KTKT</v>
          </cell>
          <cell r="K831" t="str">
            <v>S-フレーム_LX-50_U_KTKT</v>
          </cell>
          <cell r="L831" t="str">
            <v>S-Frame</v>
          </cell>
          <cell r="M831" t="str">
            <v>S-フレーム</v>
          </cell>
          <cell r="P831" t="str">
            <v>31B0</v>
          </cell>
          <cell r="Q831" t="str">
            <v>SS400</v>
          </cell>
          <cell r="R831" t="str">
            <v>E343813_01</v>
          </cell>
          <cell r="S831">
            <v>751</v>
          </cell>
          <cell r="T831" t="str">
            <v>標準</v>
          </cell>
        </row>
        <row r="832">
          <cell r="F832" t="str">
            <v>H0000012208</v>
          </cell>
          <cell r="I832" t="str">
            <v>フレーム</v>
          </cell>
          <cell r="J832" t="str">
            <v>S-Frame_LX-50_U_TTTT</v>
          </cell>
          <cell r="K832" t="str">
            <v>S-フレーム_LX-50_U_TTTT</v>
          </cell>
          <cell r="L832" t="str">
            <v>S-Frame</v>
          </cell>
          <cell r="M832" t="str">
            <v>S-フレーム</v>
          </cell>
          <cell r="P832" t="str">
            <v>31B0</v>
          </cell>
          <cell r="Q832" t="str">
            <v>SS400</v>
          </cell>
          <cell r="R832" t="str">
            <v>E343813_01</v>
          </cell>
          <cell r="S832">
            <v>751</v>
          </cell>
          <cell r="T832" t="str">
            <v>標準</v>
          </cell>
        </row>
        <row r="833">
          <cell r="F833" t="str">
            <v>H0000012209</v>
          </cell>
          <cell r="I833" t="str">
            <v>フレーム</v>
          </cell>
          <cell r="J833" t="str">
            <v>S-Frame_LX-50_U_KKKK</v>
          </cell>
          <cell r="K833" t="str">
            <v>S-フレーム_LX-50_U_KKKK</v>
          </cell>
          <cell r="L833" t="str">
            <v>S-Frame</v>
          </cell>
          <cell r="M833" t="str">
            <v>S-フレーム</v>
          </cell>
          <cell r="P833" t="str">
            <v>31B0</v>
          </cell>
          <cell r="Q833" t="str">
            <v>SS400</v>
          </cell>
          <cell r="R833" t="str">
            <v>E343813_01</v>
          </cell>
          <cell r="S833">
            <v>751</v>
          </cell>
          <cell r="T833" t="str">
            <v>標準</v>
          </cell>
        </row>
        <row r="834">
          <cell r="F834" t="str">
            <v>H0000012210</v>
          </cell>
          <cell r="I834" t="str">
            <v>フレーム</v>
          </cell>
          <cell r="J834" t="str">
            <v>S-Frame_LX-50_U_TKTK</v>
          </cell>
          <cell r="K834" t="str">
            <v>S-フレーム_LX-50_U_TKTK</v>
          </cell>
          <cell r="L834" t="str">
            <v>S-Frame</v>
          </cell>
          <cell r="M834" t="str">
            <v>S-フレーム</v>
          </cell>
          <cell r="P834" t="str">
            <v>31B0</v>
          </cell>
          <cell r="Q834" t="str">
            <v>SS400</v>
          </cell>
          <cell r="R834" t="str">
            <v>E343813_01</v>
          </cell>
          <cell r="S834">
            <v>751</v>
          </cell>
          <cell r="T834" t="str">
            <v>標準</v>
          </cell>
        </row>
        <row r="835">
          <cell r="F835" t="str">
            <v>H0000012211</v>
          </cell>
          <cell r="I835" t="str">
            <v>フレーム</v>
          </cell>
          <cell r="J835" t="str">
            <v>S-Frame_LX-50_U_KTKT</v>
          </cell>
          <cell r="K835" t="str">
            <v>S-フレーム_LX-50_U_KTKT</v>
          </cell>
          <cell r="L835" t="str">
            <v>S-Frame</v>
          </cell>
          <cell r="M835" t="str">
            <v>S-フレーム</v>
          </cell>
          <cell r="P835" t="str">
            <v>31B0</v>
          </cell>
          <cell r="Q835" t="str">
            <v>SS400</v>
          </cell>
          <cell r="R835" t="str">
            <v>E343813_01</v>
          </cell>
          <cell r="S835">
            <v>751</v>
          </cell>
          <cell r="T835" t="str">
            <v>標準</v>
          </cell>
        </row>
        <row r="836">
          <cell r="F836" t="str">
            <v>H0000012212</v>
          </cell>
          <cell r="I836" t="str">
            <v>フレーム</v>
          </cell>
          <cell r="J836" t="str">
            <v>S-Frame_LX-50_U_TTTT</v>
          </cell>
          <cell r="K836" t="str">
            <v>S-フレーム_LX-50_U_TTTT</v>
          </cell>
          <cell r="L836" t="str">
            <v>S-Frame</v>
          </cell>
          <cell r="M836" t="str">
            <v>S-フレーム</v>
          </cell>
          <cell r="P836" t="str">
            <v>31B0</v>
          </cell>
          <cell r="Q836" t="str">
            <v>SS400</v>
          </cell>
          <cell r="R836" t="str">
            <v>E343813_01</v>
          </cell>
          <cell r="S836">
            <v>751</v>
          </cell>
          <cell r="T836" t="str">
            <v>標準</v>
          </cell>
        </row>
        <row r="837">
          <cell r="F837" t="str">
            <v>H0000012213</v>
          </cell>
          <cell r="I837" t="str">
            <v>フレーム</v>
          </cell>
          <cell r="J837" t="str">
            <v>S-Frame_LX-50_U_KKKK</v>
          </cell>
          <cell r="K837" t="str">
            <v>S-フレーム_LX-50_U_KKKK</v>
          </cell>
          <cell r="L837" t="str">
            <v>S-Frame</v>
          </cell>
          <cell r="M837" t="str">
            <v>S-フレーム</v>
          </cell>
          <cell r="P837" t="str">
            <v>31B0</v>
          </cell>
          <cell r="Q837" t="str">
            <v>SS400</v>
          </cell>
          <cell r="R837" t="str">
            <v>E343813_01</v>
          </cell>
          <cell r="S837">
            <v>751</v>
          </cell>
          <cell r="T837" t="str">
            <v>標準</v>
          </cell>
        </row>
        <row r="838">
          <cell r="F838" t="str">
            <v>H0000012214</v>
          </cell>
          <cell r="I838" t="str">
            <v>フレーム</v>
          </cell>
          <cell r="J838" t="str">
            <v>S-Frame_LX-50_U_TKTK</v>
          </cell>
          <cell r="K838" t="str">
            <v>S-フレーム_LX-50_U_TKTK</v>
          </cell>
          <cell r="L838" t="str">
            <v>S-Frame</v>
          </cell>
          <cell r="M838" t="str">
            <v>S-フレーム</v>
          </cell>
          <cell r="P838" t="str">
            <v>31B0</v>
          </cell>
          <cell r="Q838" t="str">
            <v>SS400</v>
          </cell>
          <cell r="R838" t="str">
            <v>E343813_01</v>
          </cell>
          <cell r="S838">
            <v>751</v>
          </cell>
          <cell r="T838" t="str">
            <v>標準</v>
          </cell>
        </row>
        <row r="839">
          <cell r="F839" t="str">
            <v>H0000012215</v>
          </cell>
          <cell r="I839" t="str">
            <v>フレーム</v>
          </cell>
          <cell r="J839" t="str">
            <v>S-Frame_LX-50_U_KTKT</v>
          </cell>
          <cell r="K839" t="str">
            <v>S-フレーム_LX-50_U_KTKT</v>
          </cell>
          <cell r="L839" t="str">
            <v>S-Frame</v>
          </cell>
          <cell r="M839" t="str">
            <v>S-フレーム</v>
          </cell>
          <cell r="P839" t="str">
            <v>31B0</v>
          </cell>
          <cell r="Q839" t="str">
            <v>SS400</v>
          </cell>
          <cell r="R839" t="str">
            <v>E343813_01</v>
          </cell>
          <cell r="S839">
            <v>751</v>
          </cell>
          <cell r="T839" t="str">
            <v>標準</v>
          </cell>
        </row>
        <row r="840">
          <cell r="F840" t="str">
            <v>H0000012220</v>
          </cell>
          <cell r="I840" t="str">
            <v>フレーム</v>
          </cell>
          <cell r="J840" t="str">
            <v>S-Frame_LX-50_U_TTTT</v>
          </cell>
          <cell r="K840" t="str">
            <v>S-フレーム_LX-50_U_TTTT</v>
          </cell>
          <cell r="L840" t="str">
            <v>S-Frame</v>
          </cell>
          <cell r="M840" t="str">
            <v>S-フレーム</v>
          </cell>
          <cell r="P840" t="str">
            <v>31B0</v>
          </cell>
          <cell r="Q840" t="str">
            <v>SS400</v>
          </cell>
          <cell r="R840" t="str">
            <v>E343813_01</v>
          </cell>
          <cell r="S840">
            <v>751</v>
          </cell>
          <cell r="T840" t="str">
            <v>標準</v>
          </cell>
        </row>
        <row r="841">
          <cell r="F841" t="str">
            <v>H0000012221</v>
          </cell>
          <cell r="I841" t="str">
            <v>フレーム</v>
          </cell>
          <cell r="J841" t="str">
            <v>S-Frame_LX-50_U_KKKK</v>
          </cell>
          <cell r="K841" t="str">
            <v>S-フレーム_LX-50_U_KKKK</v>
          </cell>
          <cell r="L841" t="str">
            <v>S-Frame</v>
          </cell>
          <cell r="M841" t="str">
            <v>S-フレーム</v>
          </cell>
          <cell r="P841" t="str">
            <v>31B0</v>
          </cell>
          <cell r="Q841" t="str">
            <v>SS400</v>
          </cell>
          <cell r="R841" t="str">
            <v>E343813_01</v>
          </cell>
          <cell r="S841">
            <v>751</v>
          </cell>
          <cell r="T841" t="str">
            <v>標準</v>
          </cell>
        </row>
        <row r="842">
          <cell r="F842" t="str">
            <v>H0000012222</v>
          </cell>
          <cell r="I842" t="str">
            <v>フレーム</v>
          </cell>
          <cell r="J842" t="str">
            <v>S-Frame_LX-50_U_TKTK</v>
          </cell>
          <cell r="K842" t="str">
            <v>S-フレーム_LX-50_U_TKTK</v>
          </cell>
          <cell r="L842" t="str">
            <v>S-Frame</v>
          </cell>
          <cell r="M842" t="str">
            <v>S-フレーム</v>
          </cell>
          <cell r="P842" t="str">
            <v>31B0</v>
          </cell>
          <cell r="Q842" t="str">
            <v>SS400</v>
          </cell>
          <cell r="R842" t="str">
            <v>E343813_01</v>
          </cell>
          <cell r="S842">
            <v>751</v>
          </cell>
          <cell r="T842" t="str">
            <v>標準</v>
          </cell>
        </row>
        <row r="843">
          <cell r="F843" t="str">
            <v>H0000012223</v>
          </cell>
          <cell r="I843" t="str">
            <v>フレーム</v>
          </cell>
          <cell r="J843" t="str">
            <v>S-Frame_LX-50_U_KTKT</v>
          </cell>
          <cell r="K843" t="str">
            <v>S-フレーム_LX-50_U_KTKT</v>
          </cell>
          <cell r="L843" t="str">
            <v>S-Frame</v>
          </cell>
          <cell r="M843" t="str">
            <v>S-フレーム</v>
          </cell>
          <cell r="P843" t="str">
            <v>31B0</v>
          </cell>
          <cell r="Q843" t="str">
            <v>SS400</v>
          </cell>
          <cell r="R843" t="str">
            <v>E343813_01</v>
          </cell>
          <cell r="S843">
            <v>751</v>
          </cell>
          <cell r="T843" t="str">
            <v>標準</v>
          </cell>
        </row>
        <row r="844">
          <cell r="F844" t="str">
            <v>H0000012224</v>
          </cell>
          <cell r="I844" t="str">
            <v>フレーム</v>
          </cell>
          <cell r="J844" t="str">
            <v>S-Frame_LX-50_U_TTTT</v>
          </cell>
          <cell r="K844" t="str">
            <v>S-フレーム_LX-50_U_TTTT</v>
          </cell>
          <cell r="L844" t="str">
            <v>S-Frame</v>
          </cell>
          <cell r="M844" t="str">
            <v>S-フレーム</v>
          </cell>
          <cell r="P844" t="str">
            <v>31B0</v>
          </cell>
          <cell r="Q844" t="str">
            <v>SS400</v>
          </cell>
          <cell r="R844" t="str">
            <v>E343813_01</v>
          </cell>
          <cell r="S844">
            <v>751</v>
          </cell>
          <cell r="T844" t="str">
            <v>標準</v>
          </cell>
        </row>
        <row r="845">
          <cell r="F845" t="str">
            <v>H0000012225</v>
          </cell>
          <cell r="I845" t="str">
            <v>フレーム</v>
          </cell>
          <cell r="J845" t="str">
            <v>S-Frame_LX-50_U_KKKK</v>
          </cell>
          <cell r="K845" t="str">
            <v>S-フレーム_LX-50_U_KKKK</v>
          </cell>
          <cell r="L845" t="str">
            <v>S-Frame</v>
          </cell>
          <cell r="M845" t="str">
            <v>S-フレーム</v>
          </cell>
          <cell r="P845" t="str">
            <v>31B0</v>
          </cell>
          <cell r="Q845" t="str">
            <v>SS400</v>
          </cell>
          <cell r="R845" t="str">
            <v>E343813_01</v>
          </cell>
          <cell r="S845">
            <v>751</v>
          </cell>
          <cell r="T845" t="str">
            <v>標準</v>
          </cell>
        </row>
        <row r="846">
          <cell r="F846" t="str">
            <v>H0000012226</v>
          </cell>
          <cell r="I846" t="str">
            <v>フレーム</v>
          </cell>
          <cell r="J846" t="str">
            <v>S-Frame_LX-50_U_TKTK</v>
          </cell>
          <cell r="K846" t="str">
            <v>S-フレーム_LX-50_U_TKTK</v>
          </cell>
          <cell r="L846" t="str">
            <v>S-Frame</v>
          </cell>
          <cell r="M846" t="str">
            <v>S-フレーム</v>
          </cell>
          <cell r="P846" t="str">
            <v>31B0</v>
          </cell>
          <cell r="Q846" t="str">
            <v>SS400</v>
          </cell>
          <cell r="R846" t="str">
            <v>E343813_01</v>
          </cell>
          <cell r="S846">
            <v>751</v>
          </cell>
          <cell r="T846" t="str">
            <v>標準</v>
          </cell>
        </row>
        <row r="847">
          <cell r="F847" t="str">
            <v>H0000012227</v>
          </cell>
          <cell r="I847" t="str">
            <v>フレーム</v>
          </cell>
          <cell r="J847" t="str">
            <v>S-Frame_LX-50_U_KTKT</v>
          </cell>
          <cell r="K847" t="str">
            <v>S-フレーム_LX-50_U_KTKT</v>
          </cell>
          <cell r="L847" t="str">
            <v>S-Frame</v>
          </cell>
          <cell r="M847" t="str">
            <v>S-フレーム</v>
          </cell>
          <cell r="P847" t="str">
            <v>31B0</v>
          </cell>
          <cell r="Q847" t="str">
            <v>SS400</v>
          </cell>
          <cell r="R847" t="str">
            <v>E343813_01</v>
          </cell>
          <cell r="S847">
            <v>751</v>
          </cell>
          <cell r="T847" t="str">
            <v>標準</v>
          </cell>
        </row>
        <row r="848">
          <cell r="F848" t="str">
            <v>H0000012228</v>
          </cell>
          <cell r="I848" t="str">
            <v>フレーム</v>
          </cell>
          <cell r="J848" t="str">
            <v>S-Frame_LX-50_U_TTTT</v>
          </cell>
          <cell r="K848" t="str">
            <v>S-フレーム_LX-50_U_TTTT</v>
          </cell>
          <cell r="L848" t="str">
            <v>S-Frame</v>
          </cell>
          <cell r="M848" t="str">
            <v>S-フレーム</v>
          </cell>
          <cell r="P848" t="str">
            <v>31B0</v>
          </cell>
          <cell r="Q848" t="str">
            <v>SS400</v>
          </cell>
          <cell r="R848" t="str">
            <v>E343813_01</v>
          </cell>
          <cell r="S848">
            <v>751</v>
          </cell>
          <cell r="T848" t="str">
            <v>標準</v>
          </cell>
        </row>
        <row r="849">
          <cell r="F849" t="str">
            <v>H0000012229</v>
          </cell>
          <cell r="I849" t="str">
            <v>フレーム</v>
          </cell>
          <cell r="J849" t="str">
            <v>S-Frame_LX-50_U_KKKK</v>
          </cell>
          <cell r="K849" t="str">
            <v>S-フレーム_LX-50_U_KKKK</v>
          </cell>
          <cell r="L849" t="str">
            <v>S-Frame</v>
          </cell>
          <cell r="M849" t="str">
            <v>S-フレーム</v>
          </cell>
          <cell r="P849" t="str">
            <v>31B0</v>
          </cell>
          <cell r="Q849" t="str">
            <v>SS400</v>
          </cell>
          <cell r="R849" t="str">
            <v>E343813_01</v>
          </cell>
          <cell r="S849">
            <v>751</v>
          </cell>
          <cell r="T849" t="str">
            <v>標準</v>
          </cell>
        </row>
        <row r="850">
          <cell r="F850" t="str">
            <v>H0000012230</v>
          </cell>
          <cell r="I850" t="str">
            <v>フレーム</v>
          </cell>
          <cell r="J850" t="str">
            <v>S-Frame_LX-50_U_TKTK</v>
          </cell>
          <cell r="K850" t="str">
            <v>S-フレーム_LX-50_U_TKTK</v>
          </cell>
          <cell r="L850" t="str">
            <v>S-Frame</v>
          </cell>
          <cell r="M850" t="str">
            <v>S-フレーム</v>
          </cell>
          <cell r="P850" t="str">
            <v>31B0</v>
          </cell>
          <cell r="Q850" t="str">
            <v>SS400</v>
          </cell>
          <cell r="R850" t="str">
            <v>E343813_01</v>
          </cell>
          <cell r="S850">
            <v>751</v>
          </cell>
          <cell r="T850" t="str">
            <v>標準</v>
          </cell>
        </row>
        <row r="851">
          <cell r="F851" t="str">
            <v>H0000012231</v>
          </cell>
          <cell r="I851" t="str">
            <v>フレーム</v>
          </cell>
          <cell r="J851" t="str">
            <v>S-Frame_LX-50_U_KTKT</v>
          </cell>
          <cell r="K851" t="str">
            <v>S-フレーム_LX-50_U_KTKT</v>
          </cell>
          <cell r="L851" t="str">
            <v>S-Frame</v>
          </cell>
          <cell r="M851" t="str">
            <v>S-フレーム</v>
          </cell>
          <cell r="P851" t="str">
            <v>31B0</v>
          </cell>
          <cell r="Q851" t="str">
            <v>SS400</v>
          </cell>
          <cell r="R851" t="str">
            <v>E343813_01</v>
          </cell>
          <cell r="S851">
            <v>751</v>
          </cell>
          <cell r="T851" t="str">
            <v>標準</v>
          </cell>
        </row>
        <row r="852">
          <cell r="F852" t="str">
            <v>H0000012236</v>
          </cell>
          <cell r="I852" t="str">
            <v>フレーム</v>
          </cell>
          <cell r="J852" t="str">
            <v>S-Frame_LX-50_U_TTTT</v>
          </cell>
          <cell r="K852" t="str">
            <v>S-フレーム_LX-50_U_TTTT</v>
          </cell>
          <cell r="L852" t="str">
            <v>S-Frame</v>
          </cell>
          <cell r="M852" t="str">
            <v>S-フレーム</v>
          </cell>
          <cell r="P852" t="str">
            <v>31B0</v>
          </cell>
          <cell r="Q852" t="str">
            <v>SS400</v>
          </cell>
          <cell r="R852" t="str">
            <v>E343813_01</v>
          </cell>
          <cell r="S852">
            <v>751</v>
          </cell>
          <cell r="T852" t="str">
            <v>標準</v>
          </cell>
        </row>
        <row r="853">
          <cell r="F853" t="str">
            <v>H0000012237</v>
          </cell>
          <cell r="I853" t="str">
            <v>フレーム</v>
          </cell>
          <cell r="J853" t="str">
            <v>S-Frame_LX-50_U_KKKK</v>
          </cell>
          <cell r="K853" t="str">
            <v>S-フレーム_LX-50_U_KKKK</v>
          </cell>
          <cell r="L853" t="str">
            <v>S-Frame</v>
          </cell>
          <cell r="M853" t="str">
            <v>S-フレーム</v>
          </cell>
          <cell r="P853" t="str">
            <v>31B0</v>
          </cell>
          <cell r="Q853" t="str">
            <v>SS400</v>
          </cell>
          <cell r="R853" t="str">
            <v>E343813_01</v>
          </cell>
          <cell r="S853">
            <v>751</v>
          </cell>
          <cell r="T853" t="str">
            <v>標準</v>
          </cell>
        </row>
        <row r="854">
          <cell r="F854" t="str">
            <v>H0000012238</v>
          </cell>
          <cell r="I854" t="str">
            <v>フレーム</v>
          </cell>
          <cell r="J854" t="str">
            <v>S-Frame_LX-50_U_TKTK</v>
          </cell>
          <cell r="K854" t="str">
            <v>S-フレーム_LX-50_U_TKTK</v>
          </cell>
          <cell r="L854" t="str">
            <v>S-Frame</v>
          </cell>
          <cell r="M854" t="str">
            <v>S-フレーム</v>
          </cell>
          <cell r="P854" t="str">
            <v>31B0</v>
          </cell>
          <cell r="Q854" t="str">
            <v>SS400</v>
          </cell>
          <cell r="R854" t="str">
            <v>E343813_01</v>
          </cell>
          <cell r="S854">
            <v>751</v>
          </cell>
          <cell r="T854" t="str">
            <v>標準</v>
          </cell>
        </row>
        <row r="855">
          <cell r="F855" t="str">
            <v>H0000012239</v>
          </cell>
          <cell r="I855" t="str">
            <v>フレーム</v>
          </cell>
          <cell r="J855" t="str">
            <v>S-Frame_LX-50_U_KTKT</v>
          </cell>
          <cell r="K855" t="str">
            <v>S-フレーム_LX-50_U_KTKT</v>
          </cell>
          <cell r="L855" t="str">
            <v>S-Frame</v>
          </cell>
          <cell r="M855" t="str">
            <v>S-フレーム</v>
          </cell>
          <cell r="P855" t="str">
            <v>31B0</v>
          </cell>
          <cell r="Q855" t="str">
            <v>SS400</v>
          </cell>
          <cell r="R855" t="str">
            <v>E343813_01</v>
          </cell>
          <cell r="S855">
            <v>751</v>
          </cell>
          <cell r="T855" t="str">
            <v>標準</v>
          </cell>
        </row>
        <row r="856">
          <cell r="F856" t="str">
            <v>H0000012240</v>
          </cell>
          <cell r="I856" t="str">
            <v>フレーム</v>
          </cell>
          <cell r="J856" t="str">
            <v>S-Frame_LX-50_U_TTTT</v>
          </cell>
          <cell r="K856" t="str">
            <v>S-フレーム_LX-50_U_TTTT</v>
          </cell>
          <cell r="L856" t="str">
            <v>S-Frame</v>
          </cell>
          <cell r="M856" t="str">
            <v>S-フレーム</v>
          </cell>
          <cell r="P856" t="str">
            <v>31B0</v>
          </cell>
          <cell r="Q856" t="str">
            <v>SS400</v>
          </cell>
          <cell r="R856" t="str">
            <v>E343813_01</v>
          </cell>
          <cell r="S856">
            <v>751</v>
          </cell>
          <cell r="T856" t="str">
            <v>標準</v>
          </cell>
        </row>
        <row r="857">
          <cell r="F857" t="str">
            <v>H0000012241</v>
          </cell>
          <cell r="I857" t="str">
            <v>フレーム</v>
          </cell>
          <cell r="J857" t="str">
            <v>S-Frame_LX-50_U_KKKK</v>
          </cell>
          <cell r="K857" t="str">
            <v>S-フレーム_LX-50_U_KKKK</v>
          </cell>
          <cell r="L857" t="str">
            <v>S-Frame</v>
          </cell>
          <cell r="M857" t="str">
            <v>S-フレーム</v>
          </cell>
          <cell r="P857" t="str">
            <v>31B0</v>
          </cell>
          <cell r="Q857" t="str">
            <v>SS400</v>
          </cell>
          <cell r="R857" t="str">
            <v>E343813_01</v>
          </cell>
          <cell r="S857">
            <v>751</v>
          </cell>
          <cell r="T857" t="str">
            <v>標準</v>
          </cell>
        </row>
        <row r="858">
          <cell r="F858" t="str">
            <v>H0000012242</v>
          </cell>
          <cell r="I858" t="str">
            <v>フレーム</v>
          </cell>
          <cell r="J858" t="str">
            <v>S-Frame_LX-50_U_TKTK</v>
          </cell>
          <cell r="K858" t="str">
            <v>S-フレーム_LX-50_U_TKTK</v>
          </cell>
          <cell r="L858" t="str">
            <v>S-Frame</v>
          </cell>
          <cell r="M858" t="str">
            <v>S-フレーム</v>
          </cell>
          <cell r="P858" t="str">
            <v>31B0</v>
          </cell>
          <cell r="Q858" t="str">
            <v>SS400</v>
          </cell>
          <cell r="R858" t="str">
            <v>E343813_01</v>
          </cell>
          <cell r="S858">
            <v>751</v>
          </cell>
          <cell r="T858" t="str">
            <v>標準</v>
          </cell>
        </row>
        <row r="859">
          <cell r="F859" t="str">
            <v>H0000012243</v>
          </cell>
          <cell r="I859" t="str">
            <v>フレーム</v>
          </cell>
          <cell r="J859" t="str">
            <v>S-Frame_LX-50_U_KTKT</v>
          </cell>
          <cell r="K859" t="str">
            <v>S-フレーム_LX-50_U_KTKT</v>
          </cell>
          <cell r="L859" t="str">
            <v>S-Frame</v>
          </cell>
          <cell r="M859" t="str">
            <v>S-フレーム</v>
          </cell>
          <cell r="P859" t="str">
            <v>31B0</v>
          </cell>
          <cell r="Q859" t="str">
            <v>SS400</v>
          </cell>
          <cell r="R859" t="str">
            <v>E343813_01</v>
          </cell>
          <cell r="S859">
            <v>751</v>
          </cell>
          <cell r="T859" t="str">
            <v>標準</v>
          </cell>
        </row>
        <row r="860">
          <cell r="F860" t="str">
            <v>H0000012244</v>
          </cell>
          <cell r="I860" t="str">
            <v>フレーム</v>
          </cell>
          <cell r="J860" t="str">
            <v>S-Frame_LX-50_U_TTTT</v>
          </cell>
          <cell r="K860" t="str">
            <v>S-フレーム_LX-50_U_TTTT</v>
          </cell>
          <cell r="L860" t="str">
            <v>S-Frame</v>
          </cell>
          <cell r="M860" t="str">
            <v>S-フレーム</v>
          </cell>
          <cell r="P860" t="str">
            <v>31B0</v>
          </cell>
          <cell r="Q860" t="str">
            <v>SS400</v>
          </cell>
          <cell r="R860" t="str">
            <v>E343813_01</v>
          </cell>
          <cell r="S860">
            <v>751</v>
          </cell>
          <cell r="T860" t="str">
            <v>標準</v>
          </cell>
        </row>
        <row r="861">
          <cell r="F861" t="str">
            <v>H0000012245</v>
          </cell>
          <cell r="I861" t="str">
            <v>フレーム</v>
          </cell>
          <cell r="J861" t="str">
            <v>S-Frame_LX-50_U_KKKK</v>
          </cell>
          <cell r="K861" t="str">
            <v>S-フレーム_LX-50_U_KKKK</v>
          </cell>
          <cell r="L861" t="str">
            <v>S-Frame</v>
          </cell>
          <cell r="M861" t="str">
            <v>S-フレーム</v>
          </cell>
          <cell r="P861" t="str">
            <v>31B0</v>
          </cell>
          <cell r="Q861" t="str">
            <v>SS400</v>
          </cell>
          <cell r="R861" t="str">
            <v>E343813_01</v>
          </cell>
          <cell r="S861">
            <v>751</v>
          </cell>
          <cell r="T861" t="str">
            <v>標準</v>
          </cell>
        </row>
        <row r="862">
          <cell r="F862" t="str">
            <v>H0000012246</v>
          </cell>
          <cell r="I862" t="str">
            <v>フレーム</v>
          </cell>
          <cell r="J862" t="str">
            <v>S-Frame_LX-50_U_TKTK</v>
          </cell>
          <cell r="K862" t="str">
            <v>S-フレーム_LX-50_U_TKTK</v>
          </cell>
          <cell r="L862" t="str">
            <v>S-Frame</v>
          </cell>
          <cell r="M862" t="str">
            <v>S-フレーム</v>
          </cell>
          <cell r="P862" t="str">
            <v>31B0</v>
          </cell>
          <cell r="Q862" t="str">
            <v>SS400</v>
          </cell>
          <cell r="R862" t="str">
            <v>E343813_01</v>
          </cell>
          <cell r="S862">
            <v>751</v>
          </cell>
          <cell r="T862" t="str">
            <v>標準</v>
          </cell>
        </row>
        <row r="863">
          <cell r="F863" t="str">
            <v>H0000012247</v>
          </cell>
          <cell r="I863" t="str">
            <v>フレーム</v>
          </cell>
          <cell r="J863" t="str">
            <v>S-Frame_LX-50_U_KTKT</v>
          </cell>
          <cell r="K863" t="str">
            <v>S-フレーム_LX-50_U_KTKT</v>
          </cell>
          <cell r="L863" t="str">
            <v>S-Frame</v>
          </cell>
          <cell r="M863" t="str">
            <v>S-フレーム</v>
          </cell>
          <cell r="P863" t="str">
            <v>31B0</v>
          </cell>
          <cell r="Q863" t="str">
            <v>SS400</v>
          </cell>
          <cell r="R863" t="str">
            <v>E343813_01</v>
          </cell>
          <cell r="S863">
            <v>751</v>
          </cell>
          <cell r="T863" t="str">
            <v>標準</v>
          </cell>
        </row>
        <row r="864">
          <cell r="F864" t="str">
            <v>H0000012268</v>
          </cell>
          <cell r="I864" t="str">
            <v>フレーム</v>
          </cell>
          <cell r="J864" t="str">
            <v>S-Frame_GasCutting_LX-50_N_1234</v>
          </cell>
          <cell r="K864" t="str">
            <v>S-フレーム_ガス溶断_LX-50_N_1234</v>
          </cell>
          <cell r="L864" t="str">
            <v>S-Frame</v>
          </cell>
          <cell r="M864" t="str">
            <v>S-フレーム</v>
          </cell>
          <cell r="N864" t="str">
            <v>GasCutting</v>
          </cell>
          <cell r="O864" t="str">
            <v>ガス溶断</v>
          </cell>
          <cell r="P864" t="str">
            <v>31B0</v>
          </cell>
          <cell r="Q864" t="str">
            <v>SS400</v>
          </cell>
          <cell r="R864" t="str">
            <v>E343523_01</v>
          </cell>
          <cell r="S864">
            <v>488</v>
          </cell>
          <cell r="T864" t="str">
            <v>標準</v>
          </cell>
        </row>
        <row r="865">
          <cell r="F865" t="str">
            <v>H0000012269</v>
          </cell>
          <cell r="I865" t="str">
            <v>フレーム</v>
          </cell>
          <cell r="J865" t="str">
            <v>S-Frame_GasCutting_LX-50_H_1234</v>
          </cell>
          <cell r="K865" t="str">
            <v>S-フレーム_ガス溶断_LX-50_H_1234</v>
          </cell>
          <cell r="L865" t="str">
            <v>S-Frame</v>
          </cell>
          <cell r="M865" t="str">
            <v>S-フレーム</v>
          </cell>
          <cell r="N865" t="str">
            <v>GasCutting</v>
          </cell>
          <cell r="O865" t="str">
            <v>ガス溶断</v>
          </cell>
          <cell r="P865" t="str">
            <v>31B0</v>
          </cell>
          <cell r="Q865" t="str">
            <v>SS400</v>
          </cell>
          <cell r="R865" t="str">
            <v>E343810_01</v>
          </cell>
          <cell r="S865">
            <v>648</v>
          </cell>
          <cell r="T865" t="str">
            <v>標準</v>
          </cell>
        </row>
        <row r="866">
          <cell r="F866" t="str">
            <v>H0000012270</v>
          </cell>
          <cell r="I866" t="str">
            <v>フレーム</v>
          </cell>
          <cell r="J866" t="str">
            <v>S-Frame_GasCutting_LX-50_U_1234</v>
          </cell>
          <cell r="K866" t="str">
            <v>S-フレーム_ガス溶断_LX-50_U_1234</v>
          </cell>
          <cell r="L866" t="str">
            <v>S-Frame</v>
          </cell>
          <cell r="M866" t="str">
            <v>S-フレーム</v>
          </cell>
          <cell r="N866" t="str">
            <v>GasCutting</v>
          </cell>
          <cell r="O866" t="str">
            <v>ガス溶断</v>
          </cell>
          <cell r="P866" t="str">
            <v>31B0</v>
          </cell>
          <cell r="Q866" t="str">
            <v>SS400</v>
          </cell>
          <cell r="R866" t="str">
            <v>E343813_01</v>
          </cell>
          <cell r="S866">
            <v>755</v>
          </cell>
          <cell r="T866" t="str">
            <v>標準</v>
          </cell>
        </row>
        <row r="867">
          <cell r="F867" t="str">
            <v>H0000012271</v>
          </cell>
          <cell r="I867" t="str">
            <v>フレーム</v>
          </cell>
          <cell r="J867" t="str">
            <v>S-Frame_YX-83_N_1234</v>
          </cell>
          <cell r="K867" t="str">
            <v>S-フレーム_YX-83_N_1234</v>
          </cell>
          <cell r="L867" t="str">
            <v>S-Frame</v>
          </cell>
          <cell r="M867" t="str">
            <v>S-フレーム</v>
          </cell>
          <cell r="P867" t="str">
            <v>31B0</v>
          </cell>
          <cell r="Q867" t="str">
            <v>SS400</v>
          </cell>
          <cell r="R867" t="str">
            <v>E385497_01</v>
          </cell>
          <cell r="S867">
            <v>558</v>
          </cell>
          <cell r="T867" t="str">
            <v>標準</v>
          </cell>
        </row>
        <row r="868">
          <cell r="F868" t="str">
            <v>H0000012272</v>
          </cell>
          <cell r="I868" t="str">
            <v>フレーム</v>
          </cell>
          <cell r="J868" t="str">
            <v>S-Frame_YX-83_N_1234</v>
          </cell>
          <cell r="K868" t="str">
            <v>S-フレーム_YX-83_N_1234</v>
          </cell>
          <cell r="L868" t="str">
            <v>S-Frame</v>
          </cell>
          <cell r="M868" t="str">
            <v>S-フレーム</v>
          </cell>
          <cell r="P868" t="str">
            <v>31B0</v>
          </cell>
          <cell r="Q868" t="str">
            <v>SS400</v>
          </cell>
          <cell r="R868" t="str">
            <v>E385497_01</v>
          </cell>
          <cell r="S868">
            <v>563</v>
          </cell>
          <cell r="T868" t="str">
            <v>標準</v>
          </cell>
        </row>
        <row r="869">
          <cell r="F869" t="str">
            <v>H0000012273</v>
          </cell>
          <cell r="I869" t="str">
            <v>フレーム</v>
          </cell>
          <cell r="J869" t="str">
            <v>S-Frame_YX-83_N_1234</v>
          </cell>
          <cell r="K869" t="str">
            <v>S-フレーム_YX-83_N_1234</v>
          </cell>
          <cell r="L869" t="str">
            <v>S-Frame</v>
          </cell>
          <cell r="M869" t="str">
            <v>S-フレーム</v>
          </cell>
          <cell r="P869" t="str">
            <v>31B0</v>
          </cell>
          <cell r="Q869" t="str">
            <v>SS400</v>
          </cell>
          <cell r="R869" t="str">
            <v>E385497_01</v>
          </cell>
          <cell r="S869">
            <v>567</v>
          </cell>
          <cell r="T869" t="str">
            <v>標準</v>
          </cell>
        </row>
        <row r="870">
          <cell r="F870" t="str">
            <v>H0000012274</v>
          </cell>
          <cell r="I870" t="str">
            <v>フレーム</v>
          </cell>
          <cell r="J870" t="str">
            <v>S-Frame_YX-83_N_1234</v>
          </cell>
          <cell r="K870" t="str">
            <v>S-フレーム_YX-83_N_1234</v>
          </cell>
          <cell r="L870" t="str">
            <v>S-Frame</v>
          </cell>
          <cell r="M870" t="str">
            <v>S-フレーム</v>
          </cell>
          <cell r="P870" t="str">
            <v>31B0</v>
          </cell>
          <cell r="Q870" t="str">
            <v>SS400</v>
          </cell>
          <cell r="R870" t="str">
            <v>E385497_01</v>
          </cell>
          <cell r="S870">
            <v>570</v>
          </cell>
          <cell r="T870" t="str">
            <v>標準</v>
          </cell>
        </row>
        <row r="871">
          <cell r="F871" t="str">
            <v>H0000012275</v>
          </cell>
          <cell r="I871" t="str">
            <v>フレーム</v>
          </cell>
          <cell r="J871" t="str">
            <v>S-Frame_YX-83_N_1234</v>
          </cell>
          <cell r="K871" t="str">
            <v>S-フレーム_YX-83_N_1234</v>
          </cell>
          <cell r="L871" t="str">
            <v>S-Frame</v>
          </cell>
          <cell r="M871" t="str">
            <v>S-フレーム</v>
          </cell>
          <cell r="P871" t="str">
            <v>31B0</v>
          </cell>
          <cell r="Q871" t="str">
            <v>SS400</v>
          </cell>
          <cell r="R871" t="str">
            <v>E385497_01</v>
          </cell>
          <cell r="S871">
            <v>573</v>
          </cell>
          <cell r="T871" t="str">
            <v>標準</v>
          </cell>
        </row>
        <row r="872">
          <cell r="F872" t="str">
            <v>H0000012276</v>
          </cell>
          <cell r="I872" t="str">
            <v>フレーム</v>
          </cell>
          <cell r="J872" t="str">
            <v>S-Frame_YX-83_N_1234</v>
          </cell>
          <cell r="K872" t="str">
            <v>S-フレーム_YX-83_N_1234</v>
          </cell>
          <cell r="L872" t="str">
            <v>S-Frame</v>
          </cell>
          <cell r="M872" t="str">
            <v>S-フレーム</v>
          </cell>
          <cell r="P872" t="str">
            <v>31B0</v>
          </cell>
          <cell r="Q872" t="str">
            <v>SS400</v>
          </cell>
          <cell r="R872" t="str">
            <v>E385497_01</v>
          </cell>
          <cell r="S872">
            <v>566</v>
          </cell>
          <cell r="T872" t="str">
            <v>標準</v>
          </cell>
        </row>
        <row r="873">
          <cell r="F873" t="str">
            <v>H0000012277</v>
          </cell>
          <cell r="I873" t="str">
            <v>フレーム</v>
          </cell>
          <cell r="J873" t="str">
            <v>S-Frame_YX-83_N_1234</v>
          </cell>
          <cell r="K873" t="str">
            <v>S-フレーム_YX-83_N_1234</v>
          </cell>
          <cell r="L873" t="str">
            <v>S-Frame</v>
          </cell>
          <cell r="M873" t="str">
            <v>S-フレーム</v>
          </cell>
          <cell r="P873" t="str">
            <v>31B0</v>
          </cell>
          <cell r="Q873" t="str">
            <v>SS400</v>
          </cell>
          <cell r="R873" t="str">
            <v>E385497_01</v>
          </cell>
          <cell r="S873">
            <v>571</v>
          </cell>
          <cell r="T873" t="str">
            <v>標準</v>
          </cell>
        </row>
        <row r="874">
          <cell r="F874" t="str">
            <v>H0000012278</v>
          </cell>
          <cell r="I874" t="str">
            <v>フレーム</v>
          </cell>
          <cell r="J874" t="str">
            <v>S-Frame_YX-83_N_1234</v>
          </cell>
          <cell r="K874" t="str">
            <v>S-フレーム_YX-83_N_1234</v>
          </cell>
          <cell r="L874" t="str">
            <v>S-Frame</v>
          </cell>
          <cell r="M874" t="str">
            <v>S-フレーム</v>
          </cell>
          <cell r="P874" t="str">
            <v>31B0</v>
          </cell>
          <cell r="Q874" t="str">
            <v>SS400</v>
          </cell>
          <cell r="R874" t="str">
            <v>E385497_01</v>
          </cell>
          <cell r="S874">
            <v>575</v>
          </cell>
          <cell r="T874" t="str">
            <v>標準</v>
          </cell>
        </row>
        <row r="875">
          <cell r="F875" t="str">
            <v>H0000012279</v>
          </cell>
          <cell r="I875" t="str">
            <v>フレーム</v>
          </cell>
          <cell r="J875" t="str">
            <v>S-Frame_YX-83_N_1234</v>
          </cell>
          <cell r="K875" t="str">
            <v>S-フレーム_YX-83_N_1234</v>
          </cell>
          <cell r="L875" t="str">
            <v>S-Frame</v>
          </cell>
          <cell r="M875" t="str">
            <v>S-フレーム</v>
          </cell>
          <cell r="P875" t="str">
            <v>31B0</v>
          </cell>
          <cell r="Q875" t="str">
            <v>SS400</v>
          </cell>
          <cell r="R875" t="str">
            <v>E385497_01</v>
          </cell>
          <cell r="S875">
            <v>578</v>
          </cell>
          <cell r="T875" t="str">
            <v>標準</v>
          </cell>
        </row>
        <row r="876">
          <cell r="F876" t="str">
            <v>H0000012280</v>
          </cell>
          <cell r="I876" t="str">
            <v>フレーム</v>
          </cell>
          <cell r="J876" t="str">
            <v>S-Frame_YX-83_N_1234</v>
          </cell>
          <cell r="K876" t="str">
            <v>S-フレーム_YX-83_N_1234</v>
          </cell>
          <cell r="L876" t="str">
            <v>S-Frame</v>
          </cell>
          <cell r="M876" t="str">
            <v>S-フレーム</v>
          </cell>
          <cell r="P876" t="str">
            <v>31B0</v>
          </cell>
          <cell r="Q876" t="str">
            <v>SS400</v>
          </cell>
          <cell r="R876" t="str">
            <v>E385497_01</v>
          </cell>
          <cell r="S876">
            <v>581</v>
          </cell>
          <cell r="T876" t="str">
            <v>標準</v>
          </cell>
        </row>
        <row r="877">
          <cell r="F877" t="str">
            <v>H0000012281</v>
          </cell>
          <cell r="I877" t="str">
            <v>フレーム</v>
          </cell>
          <cell r="J877" t="str">
            <v>S-Frame_YX-83_N_1234</v>
          </cell>
          <cell r="K877" t="str">
            <v>S-フレーム_YX-83_N_1234</v>
          </cell>
          <cell r="L877" t="str">
            <v>S-Frame</v>
          </cell>
          <cell r="M877" t="str">
            <v>S-フレーム</v>
          </cell>
          <cell r="P877" t="str">
            <v>31B0</v>
          </cell>
          <cell r="Q877" t="str">
            <v>SS400</v>
          </cell>
          <cell r="R877" t="str">
            <v>E385497_01</v>
          </cell>
          <cell r="S877">
            <v>575</v>
          </cell>
          <cell r="T877" t="str">
            <v>標準</v>
          </cell>
        </row>
        <row r="878">
          <cell r="F878" t="str">
            <v>H0000012282</v>
          </cell>
          <cell r="I878" t="str">
            <v>フレーム</v>
          </cell>
          <cell r="J878" t="str">
            <v>S-Frame_YX-83_N_1234</v>
          </cell>
          <cell r="K878" t="str">
            <v>S-フレーム_YX-83_N_1234</v>
          </cell>
          <cell r="L878" t="str">
            <v>S-Frame</v>
          </cell>
          <cell r="M878" t="str">
            <v>S-フレーム</v>
          </cell>
          <cell r="P878" t="str">
            <v>31B0</v>
          </cell>
          <cell r="Q878" t="str">
            <v>SS400</v>
          </cell>
          <cell r="R878" t="str">
            <v>E385497_01</v>
          </cell>
          <cell r="S878">
            <v>580</v>
          </cell>
          <cell r="T878" t="str">
            <v>標準</v>
          </cell>
        </row>
        <row r="879">
          <cell r="F879" t="str">
            <v>H0000012283</v>
          </cell>
          <cell r="I879" t="str">
            <v>フレーム</v>
          </cell>
          <cell r="J879" t="str">
            <v>S-Frame_YX-83_N_1234</v>
          </cell>
          <cell r="K879" t="str">
            <v>S-フレーム_YX-83_N_1234</v>
          </cell>
          <cell r="L879" t="str">
            <v>S-Frame</v>
          </cell>
          <cell r="M879" t="str">
            <v>S-フレーム</v>
          </cell>
          <cell r="P879" t="str">
            <v>31B0</v>
          </cell>
          <cell r="Q879" t="str">
            <v>SS400</v>
          </cell>
          <cell r="R879" t="str">
            <v>E385497_01</v>
          </cell>
          <cell r="S879">
            <v>584</v>
          </cell>
          <cell r="T879" t="str">
            <v>標準</v>
          </cell>
        </row>
        <row r="880">
          <cell r="F880" t="str">
            <v>H0000012284</v>
          </cell>
          <cell r="I880" t="str">
            <v>フレーム</v>
          </cell>
          <cell r="J880" t="str">
            <v>S-Frame_YX-83_N_1234</v>
          </cell>
          <cell r="K880" t="str">
            <v>S-フレーム_YX-83_N_1234</v>
          </cell>
          <cell r="L880" t="str">
            <v>S-Frame</v>
          </cell>
          <cell r="M880" t="str">
            <v>S-フレーム</v>
          </cell>
          <cell r="P880" t="str">
            <v>31B0</v>
          </cell>
          <cell r="Q880" t="str">
            <v>SS400</v>
          </cell>
          <cell r="R880" t="str">
            <v>E385497_01</v>
          </cell>
          <cell r="S880">
            <v>587</v>
          </cell>
          <cell r="T880" t="str">
            <v>標準</v>
          </cell>
        </row>
        <row r="881">
          <cell r="F881" t="str">
            <v>H0000012285</v>
          </cell>
          <cell r="I881" t="str">
            <v>フレーム</v>
          </cell>
          <cell r="J881" t="str">
            <v>S-Frame_YX-83_N_1234</v>
          </cell>
          <cell r="K881" t="str">
            <v>S-フレーム_YX-83_N_1234</v>
          </cell>
          <cell r="L881" t="str">
            <v>S-Frame</v>
          </cell>
          <cell r="M881" t="str">
            <v>S-フレーム</v>
          </cell>
          <cell r="P881" t="str">
            <v>31B0</v>
          </cell>
          <cell r="Q881" t="str">
            <v>SS400</v>
          </cell>
          <cell r="R881" t="str">
            <v>E385497_01</v>
          </cell>
          <cell r="S881">
            <v>590</v>
          </cell>
          <cell r="T881" t="str">
            <v>標準</v>
          </cell>
        </row>
        <row r="882">
          <cell r="F882" t="str">
            <v>H0000012286</v>
          </cell>
          <cell r="I882" t="str">
            <v>フレーム</v>
          </cell>
          <cell r="J882" t="str">
            <v>S-Frame_YX-83_N_1234</v>
          </cell>
          <cell r="K882" t="str">
            <v>S-フレーム_YX-83_N_1234</v>
          </cell>
          <cell r="L882" t="str">
            <v>S-Frame</v>
          </cell>
          <cell r="M882" t="str">
            <v>S-フレーム</v>
          </cell>
          <cell r="P882" t="str">
            <v>31B0</v>
          </cell>
          <cell r="Q882" t="str">
            <v>SS400</v>
          </cell>
          <cell r="R882" t="str">
            <v>E385497_01</v>
          </cell>
          <cell r="S882">
            <v>583</v>
          </cell>
          <cell r="T882" t="str">
            <v>標準</v>
          </cell>
        </row>
        <row r="883">
          <cell r="F883" t="str">
            <v>H0000012287</v>
          </cell>
          <cell r="I883" t="str">
            <v>フレーム</v>
          </cell>
          <cell r="J883" t="str">
            <v>S-Frame_YX-83_N_1234</v>
          </cell>
          <cell r="K883" t="str">
            <v>S-フレーム_YX-83_N_1234</v>
          </cell>
          <cell r="L883" t="str">
            <v>S-Frame</v>
          </cell>
          <cell r="M883" t="str">
            <v>S-フレーム</v>
          </cell>
          <cell r="P883" t="str">
            <v>31B0</v>
          </cell>
          <cell r="Q883" t="str">
            <v>SS400</v>
          </cell>
          <cell r="R883" t="str">
            <v>E385497_01</v>
          </cell>
          <cell r="S883">
            <v>588</v>
          </cell>
          <cell r="T883" t="str">
            <v>標準</v>
          </cell>
        </row>
        <row r="884">
          <cell r="F884" t="str">
            <v>H0000012288</v>
          </cell>
          <cell r="I884" t="str">
            <v>フレーム</v>
          </cell>
          <cell r="J884" t="str">
            <v>S-Frame_YX-83_N_1234</v>
          </cell>
          <cell r="K884" t="str">
            <v>S-フレーム_YX-83_N_1234</v>
          </cell>
          <cell r="L884" t="str">
            <v>S-Frame</v>
          </cell>
          <cell r="M884" t="str">
            <v>S-フレーム</v>
          </cell>
          <cell r="P884" t="str">
            <v>31B0</v>
          </cell>
          <cell r="Q884" t="str">
            <v>SS400</v>
          </cell>
          <cell r="R884" t="str">
            <v>E385497_01</v>
          </cell>
          <cell r="S884">
            <v>592</v>
          </cell>
          <cell r="T884" t="str">
            <v>標準</v>
          </cell>
        </row>
        <row r="885">
          <cell r="F885" t="str">
            <v>H0000012289</v>
          </cell>
          <cell r="I885" t="str">
            <v>フレーム</v>
          </cell>
          <cell r="J885" t="str">
            <v>S-Frame_YX-83_N_1234</v>
          </cell>
          <cell r="K885" t="str">
            <v>S-フレーム_YX-83_N_1234</v>
          </cell>
          <cell r="L885" t="str">
            <v>S-Frame</v>
          </cell>
          <cell r="M885" t="str">
            <v>S-フレーム</v>
          </cell>
          <cell r="P885" t="str">
            <v>31B0</v>
          </cell>
          <cell r="Q885" t="str">
            <v>SS400</v>
          </cell>
          <cell r="R885" t="str">
            <v>E385497_01</v>
          </cell>
          <cell r="S885">
            <v>595</v>
          </cell>
          <cell r="T885" t="str">
            <v>標準</v>
          </cell>
        </row>
        <row r="886">
          <cell r="F886" t="str">
            <v>H0000012290</v>
          </cell>
          <cell r="I886" t="str">
            <v>フレーム</v>
          </cell>
          <cell r="J886" t="str">
            <v>S-Frame_YX-83_N_1234</v>
          </cell>
          <cell r="K886" t="str">
            <v>S-フレーム_YX-83_N_1234</v>
          </cell>
          <cell r="L886" t="str">
            <v>S-Frame</v>
          </cell>
          <cell r="M886" t="str">
            <v>S-フレーム</v>
          </cell>
          <cell r="P886" t="str">
            <v>31B0</v>
          </cell>
          <cell r="Q886" t="str">
            <v>SS400</v>
          </cell>
          <cell r="R886" t="str">
            <v>E385497_01</v>
          </cell>
          <cell r="S886">
            <v>598</v>
          </cell>
          <cell r="T886" t="str">
            <v>標準</v>
          </cell>
        </row>
        <row r="887">
          <cell r="F887" t="str">
            <v>H0000012291</v>
          </cell>
          <cell r="I887" t="str">
            <v>フレーム</v>
          </cell>
          <cell r="J887" t="str">
            <v>S-Frame_YX-83_N_1234</v>
          </cell>
          <cell r="K887" t="str">
            <v>S-フレーム_YX-83_N_1234</v>
          </cell>
          <cell r="L887" t="str">
            <v>S-Frame</v>
          </cell>
          <cell r="M887" t="str">
            <v>S-フレーム</v>
          </cell>
          <cell r="P887" t="str">
            <v>31B0</v>
          </cell>
          <cell r="Q887" t="str">
            <v>SS400</v>
          </cell>
          <cell r="R887" t="str">
            <v>E385497_01</v>
          </cell>
          <cell r="S887">
            <v>589</v>
          </cell>
          <cell r="T887" t="str">
            <v>標準</v>
          </cell>
        </row>
        <row r="888">
          <cell r="F888" t="str">
            <v>H0000012292</v>
          </cell>
          <cell r="I888" t="str">
            <v>フレーム</v>
          </cell>
          <cell r="J888" t="str">
            <v>S-Frame_YX-83_N_1234</v>
          </cell>
          <cell r="K888" t="str">
            <v>S-フレーム_YX-83_N_1234</v>
          </cell>
          <cell r="L888" t="str">
            <v>S-Frame</v>
          </cell>
          <cell r="M888" t="str">
            <v>S-フレーム</v>
          </cell>
          <cell r="P888" t="str">
            <v>31B0</v>
          </cell>
          <cell r="Q888" t="str">
            <v>SS400</v>
          </cell>
          <cell r="R888" t="str">
            <v>E385497_01</v>
          </cell>
          <cell r="S888">
            <v>594</v>
          </cell>
          <cell r="T888" t="str">
            <v>標準</v>
          </cell>
        </row>
        <row r="889">
          <cell r="F889" t="str">
            <v>H0000012293</v>
          </cell>
          <cell r="I889" t="str">
            <v>フレーム</v>
          </cell>
          <cell r="J889" t="str">
            <v>S-Frame_YX-83_N_1234</v>
          </cell>
          <cell r="K889" t="str">
            <v>S-フレーム_YX-83_N_1234</v>
          </cell>
          <cell r="L889" t="str">
            <v>S-Frame</v>
          </cell>
          <cell r="M889" t="str">
            <v>S-フレーム</v>
          </cell>
          <cell r="P889" t="str">
            <v>31B0</v>
          </cell>
          <cell r="Q889" t="str">
            <v>SS400</v>
          </cell>
          <cell r="R889" t="str">
            <v>E385497_01</v>
          </cell>
          <cell r="S889">
            <v>598</v>
          </cell>
          <cell r="T889" t="str">
            <v>標準</v>
          </cell>
        </row>
        <row r="890">
          <cell r="F890" t="str">
            <v>H0000012294</v>
          </cell>
          <cell r="I890" t="str">
            <v>フレーム</v>
          </cell>
          <cell r="J890" t="str">
            <v>S-Frame_YX-83_N_1234</v>
          </cell>
          <cell r="K890" t="str">
            <v>S-フレーム_YX-83_N_1234</v>
          </cell>
          <cell r="L890" t="str">
            <v>S-Frame</v>
          </cell>
          <cell r="M890" t="str">
            <v>S-フレーム</v>
          </cell>
          <cell r="P890" t="str">
            <v>31B0</v>
          </cell>
          <cell r="Q890" t="str">
            <v>SS400</v>
          </cell>
          <cell r="R890" t="str">
            <v>E385497_01</v>
          </cell>
          <cell r="S890">
            <v>601</v>
          </cell>
          <cell r="T890" t="str">
            <v>標準</v>
          </cell>
        </row>
        <row r="891">
          <cell r="F891" t="str">
            <v>H0000012295</v>
          </cell>
          <cell r="I891" t="str">
            <v>フレーム</v>
          </cell>
          <cell r="J891" t="str">
            <v>S-Frame_YX-83_N_1234</v>
          </cell>
          <cell r="K891" t="str">
            <v>S-フレーム_YX-83_N_1234</v>
          </cell>
          <cell r="L891" t="str">
            <v>S-Frame</v>
          </cell>
          <cell r="M891" t="str">
            <v>S-フレーム</v>
          </cell>
          <cell r="P891" t="str">
            <v>31B0</v>
          </cell>
          <cell r="Q891" t="str">
            <v>SS400</v>
          </cell>
          <cell r="R891" t="str">
            <v>E385497_01</v>
          </cell>
          <cell r="S891">
            <v>604</v>
          </cell>
          <cell r="T891" t="str">
            <v>標準</v>
          </cell>
        </row>
        <row r="892">
          <cell r="F892" t="str">
            <v>H0000012296</v>
          </cell>
          <cell r="I892" t="str">
            <v>フレーム</v>
          </cell>
          <cell r="J892" t="str">
            <v>S-Frame_YX-83_N_1234</v>
          </cell>
          <cell r="K892" t="str">
            <v>S-フレーム_YX-83_N_1234</v>
          </cell>
          <cell r="L892" t="str">
            <v>S-Frame</v>
          </cell>
          <cell r="M892" t="str">
            <v>S-フレーム</v>
          </cell>
          <cell r="P892" t="str">
            <v>31B0</v>
          </cell>
          <cell r="Q892" t="str">
            <v>SS400</v>
          </cell>
          <cell r="R892" t="str">
            <v>E385497_01</v>
          </cell>
          <cell r="S892">
            <v>574</v>
          </cell>
          <cell r="T892" t="str">
            <v>標準</v>
          </cell>
        </row>
        <row r="893">
          <cell r="F893" t="str">
            <v>H0000012297</v>
          </cell>
          <cell r="I893" t="str">
            <v>フレーム</v>
          </cell>
          <cell r="J893" t="str">
            <v>S-Frame_YX-83_N_1234</v>
          </cell>
          <cell r="K893" t="str">
            <v>S-フレーム_YX-83_N_1234</v>
          </cell>
          <cell r="L893" t="str">
            <v>S-Frame</v>
          </cell>
          <cell r="M893" t="str">
            <v>S-フレーム</v>
          </cell>
          <cell r="P893" t="str">
            <v>31B0</v>
          </cell>
          <cell r="Q893" t="str">
            <v>SS400</v>
          </cell>
          <cell r="R893" t="str">
            <v>E385497_01</v>
          </cell>
          <cell r="S893">
            <v>578</v>
          </cell>
          <cell r="T893" t="str">
            <v>標準</v>
          </cell>
        </row>
        <row r="894">
          <cell r="F894" t="str">
            <v>H0000012298</v>
          </cell>
          <cell r="I894" t="str">
            <v>フレーム</v>
          </cell>
          <cell r="J894" t="str">
            <v>S-Frame_YX-83_N_1234</v>
          </cell>
          <cell r="K894" t="str">
            <v>S-フレーム_YX-83_N_1234</v>
          </cell>
          <cell r="L894" t="str">
            <v>S-Frame</v>
          </cell>
          <cell r="M894" t="str">
            <v>S-フレーム</v>
          </cell>
          <cell r="P894" t="str">
            <v>31B0</v>
          </cell>
          <cell r="Q894" t="str">
            <v>SS400</v>
          </cell>
          <cell r="R894" t="str">
            <v>E385497_01</v>
          </cell>
          <cell r="S894">
            <v>582</v>
          </cell>
          <cell r="T894" t="str">
            <v>標準</v>
          </cell>
        </row>
        <row r="895">
          <cell r="F895" t="str">
            <v>H0000012299</v>
          </cell>
          <cell r="I895" t="str">
            <v>フレーム</v>
          </cell>
          <cell r="J895" t="str">
            <v>S-Frame_YX-83_N_1234</v>
          </cell>
          <cell r="K895" t="str">
            <v>S-フレーム_YX-83_N_1234</v>
          </cell>
          <cell r="L895" t="str">
            <v>S-Frame</v>
          </cell>
          <cell r="M895" t="str">
            <v>S-フレーム</v>
          </cell>
          <cell r="P895" t="str">
            <v>31B0</v>
          </cell>
          <cell r="Q895" t="str">
            <v>SS400</v>
          </cell>
          <cell r="R895" t="str">
            <v>E385497_01</v>
          </cell>
          <cell r="S895">
            <v>586</v>
          </cell>
          <cell r="T895" t="str">
            <v>標準</v>
          </cell>
        </row>
        <row r="896">
          <cell r="F896" t="str">
            <v>H0000012300</v>
          </cell>
          <cell r="I896" t="str">
            <v>フレーム</v>
          </cell>
          <cell r="J896" t="str">
            <v>S-Frame_YX-83_N_1234</v>
          </cell>
          <cell r="K896" t="str">
            <v>S-フレーム_YX-83_N_1234</v>
          </cell>
          <cell r="L896" t="str">
            <v>S-Frame</v>
          </cell>
          <cell r="M896" t="str">
            <v>S-フレーム</v>
          </cell>
          <cell r="P896" t="str">
            <v>31B0</v>
          </cell>
          <cell r="Q896" t="str">
            <v>SS400</v>
          </cell>
          <cell r="R896" t="str">
            <v>E385497_01</v>
          </cell>
          <cell r="S896">
            <v>588</v>
          </cell>
          <cell r="T896" t="str">
            <v>標準</v>
          </cell>
        </row>
        <row r="897">
          <cell r="F897" t="str">
            <v>H0000012301</v>
          </cell>
          <cell r="I897" t="str">
            <v>フレーム</v>
          </cell>
          <cell r="J897" t="str">
            <v>S-Frame_YX-83_N_1234</v>
          </cell>
          <cell r="K897" t="str">
            <v>S-フレーム_YX-83_N_1234</v>
          </cell>
          <cell r="L897" t="str">
            <v>S-Frame</v>
          </cell>
          <cell r="M897" t="str">
            <v>S-フレーム</v>
          </cell>
          <cell r="P897" t="str">
            <v>31B0</v>
          </cell>
          <cell r="Q897" t="str">
            <v>SS400</v>
          </cell>
          <cell r="R897" t="str">
            <v>E385497_01</v>
          </cell>
          <cell r="S897">
            <v>583</v>
          </cell>
          <cell r="T897" t="str">
            <v>標準</v>
          </cell>
        </row>
        <row r="898">
          <cell r="F898" t="str">
            <v>H0000012302</v>
          </cell>
          <cell r="I898" t="str">
            <v>フレーム</v>
          </cell>
          <cell r="J898" t="str">
            <v>S-Frame_YX-83_N_1234</v>
          </cell>
          <cell r="K898" t="str">
            <v>S-フレーム_YX-83_N_1234</v>
          </cell>
          <cell r="L898" t="str">
            <v>S-Frame</v>
          </cell>
          <cell r="M898" t="str">
            <v>S-フレーム</v>
          </cell>
          <cell r="P898" t="str">
            <v>31B0</v>
          </cell>
          <cell r="Q898" t="str">
            <v>SS400</v>
          </cell>
          <cell r="R898" t="str">
            <v>E385497_01</v>
          </cell>
          <cell r="S898">
            <v>588</v>
          </cell>
          <cell r="T898" t="str">
            <v>標準</v>
          </cell>
        </row>
        <row r="899">
          <cell r="F899" t="str">
            <v>H0000012303</v>
          </cell>
          <cell r="I899" t="str">
            <v>フレーム</v>
          </cell>
          <cell r="J899" t="str">
            <v>S-Frame_YX-83_N_1234</v>
          </cell>
          <cell r="K899" t="str">
            <v>S-フレーム_YX-83_N_1234</v>
          </cell>
          <cell r="L899" t="str">
            <v>S-Frame</v>
          </cell>
          <cell r="M899" t="str">
            <v>S-フレーム</v>
          </cell>
          <cell r="P899" t="str">
            <v>31B0</v>
          </cell>
          <cell r="Q899" t="str">
            <v>SS400</v>
          </cell>
          <cell r="R899" t="str">
            <v>E385497_01</v>
          </cell>
          <cell r="S899">
            <v>592</v>
          </cell>
          <cell r="T899" t="str">
            <v>標準</v>
          </cell>
        </row>
        <row r="900">
          <cell r="F900" t="str">
            <v>H0000012304</v>
          </cell>
          <cell r="I900" t="str">
            <v>フレーム</v>
          </cell>
          <cell r="J900" t="str">
            <v>S-Frame_YX-83_N_1234</v>
          </cell>
          <cell r="K900" t="str">
            <v>S-フレーム_YX-83_N_1234</v>
          </cell>
          <cell r="L900" t="str">
            <v>S-Frame</v>
          </cell>
          <cell r="M900" t="str">
            <v>S-フレーム</v>
          </cell>
          <cell r="P900" t="str">
            <v>31B0</v>
          </cell>
          <cell r="Q900" t="str">
            <v>SS400</v>
          </cell>
          <cell r="R900" t="str">
            <v>E385497_01</v>
          </cell>
          <cell r="S900">
            <v>595</v>
          </cell>
          <cell r="T900" t="str">
            <v>標準</v>
          </cell>
        </row>
        <row r="901">
          <cell r="F901" t="str">
            <v>H0000012305</v>
          </cell>
          <cell r="I901" t="str">
            <v>フレーム</v>
          </cell>
          <cell r="J901" t="str">
            <v>S-Frame_YX-83_N_1234</v>
          </cell>
          <cell r="K901" t="str">
            <v>S-フレーム_YX-83_N_1234</v>
          </cell>
          <cell r="L901" t="str">
            <v>S-Frame</v>
          </cell>
          <cell r="M901" t="str">
            <v>S-フレーム</v>
          </cell>
          <cell r="P901" t="str">
            <v>31B0</v>
          </cell>
          <cell r="Q901" t="str">
            <v>SS400</v>
          </cell>
          <cell r="R901" t="str">
            <v>E385497_01</v>
          </cell>
          <cell r="S901">
            <v>598</v>
          </cell>
          <cell r="T901" t="str">
            <v>標準</v>
          </cell>
        </row>
        <row r="902">
          <cell r="F902" t="str">
            <v>H0000012306</v>
          </cell>
          <cell r="I902" t="str">
            <v>フレーム</v>
          </cell>
          <cell r="J902" t="str">
            <v>S-Frame_YX-83_N_1234</v>
          </cell>
          <cell r="K902" t="str">
            <v>S-フレーム_YX-83_N_1234</v>
          </cell>
          <cell r="L902" t="str">
            <v>S-Frame</v>
          </cell>
          <cell r="M902" t="str">
            <v>S-フレーム</v>
          </cell>
          <cell r="P902" t="str">
            <v>31B0</v>
          </cell>
          <cell r="Q902" t="str">
            <v>SS400</v>
          </cell>
          <cell r="R902" t="str">
            <v>E385497_01</v>
          </cell>
          <cell r="S902">
            <v>591</v>
          </cell>
          <cell r="T902" t="str">
            <v>標準</v>
          </cell>
        </row>
        <row r="903">
          <cell r="F903" t="str">
            <v>H0000012307</v>
          </cell>
          <cell r="I903" t="str">
            <v>フレーム</v>
          </cell>
          <cell r="J903" t="str">
            <v>S-Frame_YX-83_N_1234</v>
          </cell>
          <cell r="K903" t="str">
            <v>S-フレーム_YX-83_N_1234</v>
          </cell>
          <cell r="L903" t="str">
            <v>S-Frame</v>
          </cell>
          <cell r="M903" t="str">
            <v>S-フレーム</v>
          </cell>
          <cell r="P903" t="str">
            <v>31B0</v>
          </cell>
          <cell r="Q903" t="str">
            <v>SS400</v>
          </cell>
          <cell r="R903" t="str">
            <v>E385497_01</v>
          </cell>
          <cell r="S903">
            <v>595</v>
          </cell>
          <cell r="T903" t="str">
            <v>標準</v>
          </cell>
        </row>
        <row r="904">
          <cell r="F904" t="str">
            <v>H0000012308</v>
          </cell>
          <cell r="I904" t="str">
            <v>フレーム</v>
          </cell>
          <cell r="J904" t="str">
            <v>S-Frame_YX-83_N_1234</v>
          </cell>
          <cell r="K904" t="str">
            <v>S-フレーム_YX-83_N_1234</v>
          </cell>
          <cell r="L904" t="str">
            <v>S-Frame</v>
          </cell>
          <cell r="M904" t="str">
            <v>S-フレーム</v>
          </cell>
          <cell r="P904" t="str">
            <v>31B0</v>
          </cell>
          <cell r="Q904" t="str">
            <v>SS400</v>
          </cell>
          <cell r="R904" t="str">
            <v>E385497_01</v>
          </cell>
          <cell r="S904">
            <v>600</v>
          </cell>
          <cell r="T904" t="str">
            <v>標準</v>
          </cell>
        </row>
        <row r="905">
          <cell r="F905" t="str">
            <v>H0000012309</v>
          </cell>
          <cell r="I905" t="str">
            <v>フレーム</v>
          </cell>
          <cell r="J905" t="str">
            <v>S-Frame_YX-83_N_1234</v>
          </cell>
          <cell r="K905" t="str">
            <v>S-フレーム_YX-83_N_1234</v>
          </cell>
          <cell r="L905" t="str">
            <v>S-Frame</v>
          </cell>
          <cell r="M905" t="str">
            <v>S-フレーム</v>
          </cell>
          <cell r="P905" t="str">
            <v>31B0</v>
          </cell>
          <cell r="Q905" t="str">
            <v>SS400</v>
          </cell>
          <cell r="R905" t="str">
            <v>E385497_01</v>
          </cell>
          <cell r="S905">
            <v>603</v>
          </cell>
          <cell r="T905" t="str">
            <v>標準</v>
          </cell>
        </row>
        <row r="906">
          <cell r="F906" t="str">
            <v>H0000012310</v>
          </cell>
          <cell r="I906" t="str">
            <v>フレーム</v>
          </cell>
          <cell r="J906" t="str">
            <v>S-Frame_YX-83_N_1234</v>
          </cell>
          <cell r="K906" t="str">
            <v>S-フレーム_YX-83_N_1234</v>
          </cell>
          <cell r="L906" t="str">
            <v>S-Frame</v>
          </cell>
          <cell r="M906" t="str">
            <v>S-フレーム</v>
          </cell>
          <cell r="P906" t="str">
            <v>31B0</v>
          </cell>
          <cell r="Q906" t="str">
            <v>SS400</v>
          </cell>
          <cell r="R906" t="str">
            <v>E385497_01</v>
          </cell>
          <cell r="S906">
            <v>606</v>
          </cell>
          <cell r="T906" t="str">
            <v>標準</v>
          </cell>
        </row>
        <row r="907">
          <cell r="F907" t="str">
            <v>H0000012311</v>
          </cell>
          <cell r="I907" t="str">
            <v>フレーム</v>
          </cell>
          <cell r="J907" t="str">
            <v>S-Frame_YX-83_N_1234</v>
          </cell>
          <cell r="K907" t="str">
            <v>S-フレーム_YX-83_N_1234</v>
          </cell>
          <cell r="L907" t="str">
            <v>S-Frame</v>
          </cell>
          <cell r="M907" t="str">
            <v>S-フレーム</v>
          </cell>
          <cell r="P907" t="str">
            <v>31B0</v>
          </cell>
          <cell r="Q907" t="str">
            <v>SS400</v>
          </cell>
          <cell r="R907" t="str">
            <v>E385497_01</v>
          </cell>
          <cell r="S907">
            <v>597</v>
          </cell>
          <cell r="T907" t="str">
            <v>標準</v>
          </cell>
        </row>
        <row r="908">
          <cell r="F908" t="str">
            <v>H0000012312</v>
          </cell>
          <cell r="I908" t="str">
            <v>フレーム</v>
          </cell>
          <cell r="J908" t="str">
            <v>S-Frame_YX-83_N_1234</v>
          </cell>
          <cell r="K908" t="str">
            <v>S-フレーム_YX-83_N_1234</v>
          </cell>
          <cell r="L908" t="str">
            <v>S-Frame</v>
          </cell>
          <cell r="M908" t="str">
            <v>S-フレーム</v>
          </cell>
          <cell r="P908" t="str">
            <v>31B0</v>
          </cell>
          <cell r="Q908" t="str">
            <v>SS400</v>
          </cell>
          <cell r="R908" t="str">
            <v>E385497_01</v>
          </cell>
          <cell r="S908">
            <v>602</v>
          </cell>
          <cell r="T908" t="str">
            <v>標準</v>
          </cell>
        </row>
        <row r="909">
          <cell r="F909" t="str">
            <v>H0000012313</v>
          </cell>
          <cell r="I909" t="str">
            <v>フレーム</v>
          </cell>
          <cell r="J909" t="str">
            <v>S-Frame_YX-83_N_1234</v>
          </cell>
          <cell r="K909" t="str">
            <v>S-フレーム_YX-83_N_1234</v>
          </cell>
          <cell r="L909" t="str">
            <v>S-Frame</v>
          </cell>
          <cell r="M909" t="str">
            <v>S-フレーム</v>
          </cell>
          <cell r="P909" t="str">
            <v>31B0</v>
          </cell>
          <cell r="Q909" t="str">
            <v>SS400</v>
          </cell>
          <cell r="R909" t="str">
            <v>E385497_01</v>
          </cell>
          <cell r="S909">
            <v>606</v>
          </cell>
          <cell r="T909" t="str">
            <v>標準</v>
          </cell>
        </row>
        <row r="910">
          <cell r="F910" t="str">
            <v>H0000012314</v>
          </cell>
          <cell r="I910" t="str">
            <v>フレーム</v>
          </cell>
          <cell r="J910" t="str">
            <v>S-Frame_YX-83_N_1234</v>
          </cell>
          <cell r="K910" t="str">
            <v>S-フレーム_YX-83_N_1234</v>
          </cell>
          <cell r="L910" t="str">
            <v>S-Frame</v>
          </cell>
          <cell r="M910" t="str">
            <v>S-フレーム</v>
          </cell>
          <cell r="P910" t="str">
            <v>31B0</v>
          </cell>
          <cell r="Q910" t="str">
            <v>SS400</v>
          </cell>
          <cell r="R910" t="str">
            <v>E385497_01</v>
          </cell>
          <cell r="S910">
            <v>609</v>
          </cell>
          <cell r="T910" t="str">
            <v>標準</v>
          </cell>
        </row>
        <row r="911">
          <cell r="F911" t="str">
            <v>H0000012315</v>
          </cell>
          <cell r="I911" t="str">
            <v>フレーム</v>
          </cell>
          <cell r="J911" t="str">
            <v>S-Frame_YX-83_N_1234</v>
          </cell>
          <cell r="K911" t="str">
            <v>S-フレーム_YX-83_N_1234</v>
          </cell>
          <cell r="L911" t="str">
            <v>S-Frame</v>
          </cell>
          <cell r="M911" t="str">
            <v>S-フレーム</v>
          </cell>
          <cell r="P911" t="str">
            <v>31B0</v>
          </cell>
          <cell r="Q911" t="str">
            <v>SS400</v>
          </cell>
          <cell r="R911" t="str">
            <v>E385497_01</v>
          </cell>
          <cell r="S911">
            <v>612</v>
          </cell>
          <cell r="T911" t="str">
            <v>標準</v>
          </cell>
        </row>
        <row r="912">
          <cell r="F912" t="str">
            <v>H0000012316</v>
          </cell>
          <cell r="I912" t="str">
            <v>フレーム</v>
          </cell>
          <cell r="J912" t="str">
            <v>S-Frame_YX-83_N_1234</v>
          </cell>
          <cell r="K912" t="str">
            <v>S-フレーム_YX-83_N_1234</v>
          </cell>
          <cell r="L912" t="str">
            <v>S-Frame</v>
          </cell>
          <cell r="M912" t="str">
            <v>S-フレーム</v>
          </cell>
          <cell r="P912" t="str">
            <v>31B0</v>
          </cell>
          <cell r="Q912" t="str">
            <v>SS400</v>
          </cell>
          <cell r="R912" t="str">
            <v>E385497_01</v>
          </cell>
          <cell r="S912">
            <v>592</v>
          </cell>
          <cell r="T912" t="str">
            <v>標準</v>
          </cell>
        </row>
        <row r="913">
          <cell r="F913" t="str">
            <v>H0000012317</v>
          </cell>
          <cell r="I913" t="str">
            <v>フレーム</v>
          </cell>
          <cell r="J913" t="str">
            <v>S-Frame_YX-83_N_1234</v>
          </cell>
          <cell r="K913" t="str">
            <v>S-フレーム_YX-83_N_1234</v>
          </cell>
          <cell r="L913" t="str">
            <v>S-Frame</v>
          </cell>
          <cell r="M913" t="str">
            <v>S-フレーム</v>
          </cell>
          <cell r="P913" t="str">
            <v>31B0</v>
          </cell>
          <cell r="Q913" t="str">
            <v>SS400</v>
          </cell>
          <cell r="R913" t="str">
            <v>E385497_01</v>
          </cell>
          <cell r="S913">
            <v>597</v>
          </cell>
          <cell r="T913" t="str">
            <v>標準</v>
          </cell>
        </row>
        <row r="914">
          <cell r="F914" t="str">
            <v>H0000012318</v>
          </cell>
          <cell r="I914" t="str">
            <v>フレーム</v>
          </cell>
          <cell r="J914" t="str">
            <v>S-Frame_YX-83_N_1234</v>
          </cell>
          <cell r="K914" t="str">
            <v>S-フレーム_YX-83_N_1234</v>
          </cell>
          <cell r="L914" t="str">
            <v>S-Frame</v>
          </cell>
          <cell r="M914" t="str">
            <v>S-フレーム</v>
          </cell>
          <cell r="P914" t="str">
            <v>31B0</v>
          </cell>
          <cell r="Q914" t="str">
            <v>SS400</v>
          </cell>
          <cell r="R914" t="str">
            <v>E385497_01</v>
          </cell>
          <cell r="S914">
            <v>601</v>
          </cell>
          <cell r="T914" t="str">
            <v>標準</v>
          </cell>
        </row>
        <row r="915">
          <cell r="F915" t="str">
            <v>H0000012319</v>
          </cell>
          <cell r="I915" t="str">
            <v>フレーム</v>
          </cell>
          <cell r="J915" t="str">
            <v>S-Frame_YX-83_N_1234</v>
          </cell>
          <cell r="K915" t="str">
            <v>S-フレーム_YX-83_N_1234</v>
          </cell>
          <cell r="L915" t="str">
            <v>S-Frame</v>
          </cell>
          <cell r="M915" t="str">
            <v>S-フレーム</v>
          </cell>
          <cell r="P915" t="str">
            <v>31B0</v>
          </cell>
          <cell r="Q915" t="str">
            <v>SS400</v>
          </cell>
          <cell r="R915" t="str">
            <v>E385497_01</v>
          </cell>
          <cell r="S915">
            <v>604</v>
          </cell>
          <cell r="T915" t="str">
            <v>標準</v>
          </cell>
        </row>
        <row r="916">
          <cell r="F916" t="str">
            <v>H0000012320</v>
          </cell>
          <cell r="I916" t="str">
            <v>フレーム</v>
          </cell>
          <cell r="J916" t="str">
            <v>S-Frame_YX-83_N_1234</v>
          </cell>
          <cell r="K916" t="str">
            <v>S-フレーム_YX-83_N_1234</v>
          </cell>
          <cell r="L916" t="str">
            <v>S-Frame</v>
          </cell>
          <cell r="M916" t="str">
            <v>S-フレーム</v>
          </cell>
          <cell r="P916" t="str">
            <v>31B0</v>
          </cell>
          <cell r="Q916" t="str">
            <v>SS400</v>
          </cell>
          <cell r="R916" t="str">
            <v>E385497_01</v>
          </cell>
          <cell r="S916">
            <v>607</v>
          </cell>
          <cell r="T916" t="str">
            <v>標準</v>
          </cell>
        </row>
        <row r="917">
          <cell r="F917" t="str">
            <v>H0000012321</v>
          </cell>
          <cell r="I917" t="str">
            <v>フレーム</v>
          </cell>
          <cell r="J917" t="str">
            <v>S-Frame_YX-83_N_1234</v>
          </cell>
          <cell r="K917" t="str">
            <v>S-フレーム_YX-83_N_1234</v>
          </cell>
          <cell r="L917" t="str">
            <v>S-Frame</v>
          </cell>
          <cell r="M917" t="str">
            <v>S-フレーム</v>
          </cell>
          <cell r="P917" t="str">
            <v>31B0</v>
          </cell>
          <cell r="Q917" t="str">
            <v>SS400</v>
          </cell>
          <cell r="R917" t="str">
            <v>E385497_01</v>
          </cell>
          <cell r="S917">
            <v>600</v>
          </cell>
          <cell r="T917" t="str">
            <v>標準</v>
          </cell>
        </row>
        <row r="918">
          <cell r="F918" t="str">
            <v>H0000012322</v>
          </cell>
          <cell r="I918" t="str">
            <v>フレーム</v>
          </cell>
          <cell r="J918" t="str">
            <v>S-Frame_YX-83_N_1234</v>
          </cell>
          <cell r="K918" t="str">
            <v>S-フレーム_YX-83_N_1234</v>
          </cell>
          <cell r="L918" t="str">
            <v>S-Frame</v>
          </cell>
          <cell r="M918" t="str">
            <v>S-フレーム</v>
          </cell>
          <cell r="P918" t="str">
            <v>31B0</v>
          </cell>
          <cell r="Q918" t="str">
            <v>SS400</v>
          </cell>
          <cell r="R918" t="str">
            <v>E385497_01</v>
          </cell>
          <cell r="S918">
            <v>605</v>
          </cell>
          <cell r="T918" t="str">
            <v>標準</v>
          </cell>
        </row>
        <row r="919">
          <cell r="F919" t="str">
            <v>H0000012323</v>
          </cell>
          <cell r="I919" t="str">
            <v>フレーム</v>
          </cell>
          <cell r="J919" t="str">
            <v>S-Frame_YX-83_N_1234</v>
          </cell>
          <cell r="K919" t="str">
            <v>S-フレーム_YX-83_N_1234</v>
          </cell>
          <cell r="L919" t="str">
            <v>S-Frame</v>
          </cell>
          <cell r="M919" t="str">
            <v>S-フレーム</v>
          </cell>
          <cell r="P919" t="str">
            <v>31B0</v>
          </cell>
          <cell r="Q919" t="str">
            <v>SS400</v>
          </cell>
          <cell r="R919" t="str">
            <v>E385497_01</v>
          </cell>
          <cell r="S919">
            <v>609</v>
          </cell>
          <cell r="T919" t="str">
            <v>標準</v>
          </cell>
        </row>
        <row r="920">
          <cell r="F920" t="str">
            <v>H0000012324</v>
          </cell>
          <cell r="I920" t="str">
            <v>フレーム</v>
          </cell>
          <cell r="J920" t="str">
            <v>S-Frame_YX-83_N_1234</v>
          </cell>
          <cell r="K920" t="str">
            <v>S-フレーム_YX-83_N_1234</v>
          </cell>
          <cell r="L920" t="str">
            <v>S-Frame</v>
          </cell>
          <cell r="M920" t="str">
            <v>S-フレーム</v>
          </cell>
          <cell r="P920" t="str">
            <v>31B0</v>
          </cell>
          <cell r="Q920" t="str">
            <v>SS400</v>
          </cell>
          <cell r="R920" t="str">
            <v>E385497_01</v>
          </cell>
          <cell r="S920">
            <v>612</v>
          </cell>
          <cell r="T920" t="str">
            <v>標準</v>
          </cell>
        </row>
        <row r="921">
          <cell r="F921" t="str">
            <v>H0000012325</v>
          </cell>
          <cell r="I921" t="str">
            <v>フレーム</v>
          </cell>
          <cell r="J921" t="str">
            <v>S-Frame_YX-83_N_1234</v>
          </cell>
          <cell r="K921" t="str">
            <v>S-フレーム_YX-83_N_1234</v>
          </cell>
          <cell r="L921" t="str">
            <v>S-Frame</v>
          </cell>
          <cell r="M921" t="str">
            <v>S-フレーム</v>
          </cell>
          <cell r="P921" t="str">
            <v>31B0</v>
          </cell>
          <cell r="Q921" t="str">
            <v>SS400</v>
          </cell>
          <cell r="R921" t="str">
            <v>E385497_01</v>
          </cell>
          <cell r="S921">
            <v>615</v>
          </cell>
          <cell r="T921" t="str">
            <v>標準</v>
          </cell>
        </row>
        <row r="922">
          <cell r="F922" t="str">
            <v>H0000012326</v>
          </cell>
          <cell r="I922" t="str">
            <v>フレーム</v>
          </cell>
          <cell r="J922" t="str">
            <v>S-Frame_YX-83_N_1234</v>
          </cell>
          <cell r="K922" t="str">
            <v>S-フレーム_YX-83_N_1234</v>
          </cell>
          <cell r="L922" t="str">
            <v>S-Frame</v>
          </cell>
          <cell r="M922" t="str">
            <v>S-フレーム</v>
          </cell>
          <cell r="P922" t="str">
            <v>31B0</v>
          </cell>
          <cell r="Q922" t="str">
            <v>SS400</v>
          </cell>
          <cell r="R922" t="str">
            <v>E385497_01</v>
          </cell>
          <cell r="S922">
            <v>606</v>
          </cell>
          <cell r="T922" t="str">
            <v>標準</v>
          </cell>
        </row>
        <row r="923">
          <cell r="F923" t="str">
            <v>H0000012327</v>
          </cell>
          <cell r="I923" t="str">
            <v>フレーム</v>
          </cell>
          <cell r="J923" t="str">
            <v>S-Frame_YX-83_N_1234</v>
          </cell>
          <cell r="K923" t="str">
            <v>S-フレーム_YX-83_N_1234</v>
          </cell>
          <cell r="L923" t="str">
            <v>S-Frame</v>
          </cell>
          <cell r="M923" t="str">
            <v>S-フレーム</v>
          </cell>
          <cell r="P923" t="str">
            <v>31B0</v>
          </cell>
          <cell r="Q923" t="str">
            <v>SS400</v>
          </cell>
          <cell r="R923" t="str">
            <v>E385497_01</v>
          </cell>
          <cell r="S923">
            <v>611</v>
          </cell>
          <cell r="T923" t="str">
            <v>標準</v>
          </cell>
        </row>
        <row r="924">
          <cell r="F924" t="str">
            <v>H0000012328</v>
          </cell>
          <cell r="I924" t="str">
            <v>フレーム</v>
          </cell>
          <cell r="J924" t="str">
            <v>S-Frame_YX-83_N_1234</v>
          </cell>
          <cell r="K924" t="str">
            <v>S-フレーム_YX-83_N_1234</v>
          </cell>
          <cell r="L924" t="str">
            <v>S-Frame</v>
          </cell>
          <cell r="M924" t="str">
            <v>S-フレーム</v>
          </cell>
          <cell r="P924" t="str">
            <v>31B0</v>
          </cell>
          <cell r="Q924" t="str">
            <v>SS400</v>
          </cell>
          <cell r="R924" t="str">
            <v>E385497_01</v>
          </cell>
          <cell r="S924">
            <v>615</v>
          </cell>
          <cell r="T924" t="str">
            <v>標準</v>
          </cell>
        </row>
        <row r="925">
          <cell r="F925" t="str">
            <v>H0000012329</v>
          </cell>
          <cell r="I925" t="str">
            <v>フレーム</v>
          </cell>
          <cell r="J925" t="str">
            <v>S-Frame_YX-83_N_1234</v>
          </cell>
          <cell r="K925" t="str">
            <v>S-フレーム_YX-83_N_1234</v>
          </cell>
          <cell r="L925" t="str">
            <v>S-Frame</v>
          </cell>
          <cell r="M925" t="str">
            <v>S-フレーム</v>
          </cell>
          <cell r="P925" t="str">
            <v>31B0</v>
          </cell>
          <cell r="Q925" t="str">
            <v>SS400</v>
          </cell>
          <cell r="R925" t="str">
            <v>E385497_01</v>
          </cell>
          <cell r="S925">
            <v>618</v>
          </cell>
          <cell r="T925" t="str">
            <v>標準</v>
          </cell>
        </row>
        <row r="926">
          <cell r="F926" t="str">
            <v>H0000012330</v>
          </cell>
          <cell r="I926" t="str">
            <v>フレーム</v>
          </cell>
          <cell r="J926" t="str">
            <v>S-Frame_YX-83_N_1234</v>
          </cell>
          <cell r="K926" t="str">
            <v>S-フレーム_YX-83_N_1234</v>
          </cell>
          <cell r="L926" t="str">
            <v>S-Frame</v>
          </cell>
          <cell r="M926" t="str">
            <v>S-フレーム</v>
          </cell>
          <cell r="P926" t="str">
            <v>31B0</v>
          </cell>
          <cell r="Q926" t="str">
            <v>SS400</v>
          </cell>
          <cell r="R926" t="str">
            <v>E385497_01</v>
          </cell>
          <cell r="S926">
            <v>621</v>
          </cell>
          <cell r="T926" t="str">
            <v>標準</v>
          </cell>
        </row>
        <row r="927">
          <cell r="F927" t="str">
            <v>H0000012331</v>
          </cell>
          <cell r="I927" t="str">
            <v>フレーム</v>
          </cell>
          <cell r="J927" t="str">
            <v>S-Frame_YX-83_N_1234</v>
          </cell>
          <cell r="K927" t="str">
            <v>S-フレーム_YX-83_N_1234</v>
          </cell>
          <cell r="L927" t="str">
            <v>S-Frame</v>
          </cell>
          <cell r="M927" t="str">
            <v>S-フレーム</v>
          </cell>
          <cell r="P927" t="str">
            <v>31B0</v>
          </cell>
          <cell r="Q927" t="str">
            <v>SS400</v>
          </cell>
          <cell r="R927" t="str">
            <v>E385497_01</v>
          </cell>
          <cell r="S927">
            <v>608</v>
          </cell>
          <cell r="T927" t="str">
            <v>標準</v>
          </cell>
        </row>
        <row r="928">
          <cell r="F928" t="str">
            <v>H0000012332</v>
          </cell>
          <cell r="I928" t="str">
            <v>フレーム</v>
          </cell>
          <cell r="J928" t="str">
            <v>S-Frame_YX-83_N_1234</v>
          </cell>
          <cell r="K928" t="str">
            <v>S-フレーム_YX-83_N_1234</v>
          </cell>
          <cell r="L928" t="str">
            <v>S-Frame</v>
          </cell>
          <cell r="M928" t="str">
            <v>S-フレーム</v>
          </cell>
          <cell r="P928" t="str">
            <v>31B0</v>
          </cell>
          <cell r="Q928" t="str">
            <v>SS400</v>
          </cell>
          <cell r="R928" t="str">
            <v>E385497_01</v>
          </cell>
          <cell r="S928">
            <v>613</v>
          </cell>
          <cell r="T928" t="str">
            <v>標準</v>
          </cell>
        </row>
        <row r="929">
          <cell r="F929" t="str">
            <v>H0000012333</v>
          </cell>
          <cell r="I929" t="str">
            <v>フレーム</v>
          </cell>
          <cell r="J929" t="str">
            <v>S-Frame_YX-83_N_1234</v>
          </cell>
          <cell r="K929" t="str">
            <v>S-フレーム_YX-83_N_1234</v>
          </cell>
          <cell r="L929" t="str">
            <v>S-Frame</v>
          </cell>
          <cell r="M929" t="str">
            <v>S-フレーム</v>
          </cell>
          <cell r="P929" t="str">
            <v>31B0</v>
          </cell>
          <cell r="Q929" t="str">
            <v>SS400</v>
          </cell>
          <cell r="R929" t="str">
            <v>E385497_01</v>
          </cell>
          <cell r="S929">
            <v>617</v>
          </cell>
          <cell r="T929" t="str">
            <v>標準</v>
          </cell>
        </row>
        <row r="930">
          <cell r="F930" t="str">
            <v>H0000012334</v>
          </cell>
          <cell r="I930" t="str">
            <v>フレーム</v>
          </cell>
          <cell r="J930" t="str">
            <v>S-Frame_YX-83_N_1234</v>
          </cell>
          <cell r="K930" t="str">
            <v>S-フレーム_YX-83_N_1234</v>
          </cell>
          <cell r="L930" t="str">
            <v>S-Frame</v>
          </cell>
          <cell r="M930" t="str">
            <v>S-フレーム</v>
          </cell>
          <cell r="P930" t="str">
            <v>31B0</v>
          </cell>
          <cell r="Q930" t="str">
            <v>SS400</v>
          </cell>
          <cell r="R930" t="str">
            <v>E385497_01</v>
          </cell>
          <cell r="S930">
            <v>620</v>
          </cell>
          <cell r="T930" t="str">
            <v>標準</v>
          </cell>
        </row>
        <row r="931">
          <cell r="F931" t="str">
            <v>H0000012335</v>
          </cell>
          <cell r="I931" t="str">
            <v>フレーム</v>
          </cell>
          <cell r="J931" t="str">
            <v>S-Frame_YX-83_N_1234</v>
          </cell>
          <cell r="K931" t="str">
            <v>S-フレーム_YX-83_N_1234</v>
          </cell>
          <cell r="L931" t="str">
            <v>S-Frame</v>
          </cell>
          <cell r="M931" t="str">
            <v>S-フレーム</v>
          </cell>
          <cell r="P931" t="str">
            <v>31B0</v>
          </cell>
          <cell r="Q931" t="str">
            <v>SS400</v>
          </cell>
          <cell r="R931" t="str">
            <v>E385497_01</v>
          </cell>
          <cell r="S931">
            <v>623</v>
          </cell>
          <cell r="T931" t="str">
            <v>標準</v>
          </cell>
        </row>
        <row r="932">
          <cell r="F932" t="str">
            <v>H0000012336</v>
          </cell>
          <cell r="I932" t="str">
            <v>フレーム</v>
          </cell>
          <cell r="J932" t="str">
            <v>S-Frame_YX-83_N_1234</v>
          </cell>
          <cell r="K932" t="str">
            <v>S-フレーム_YX-83_N_1234</v>
          </cell>
          <cell r="L932" t="str">
            <v>S-Frame</v>
          </cell>
          <cell r="M932" t="str">
            <v>S-フレーム</v>
          </cell>
          <cell r="P932" t="str">
            <v>31B0</v>
          </cell>
          <cell r="Q932" t="str">
            <v>SS400</v>
          </cell>
          <cell r="R932" t="str">
            <v>E385497_01</v>
          </cell>
          <cell r="S932">
            <v>614</v>
          </cell>
          <cell r="T932" t="str">
            <v>標準</v>
          </cell>
        </row>
        <row r="933">
          <cell r="F933" t="str">
            <v>H0000012337</v>
          </cell>
          <cell r="I933" t="str">
            <v>フレーム</v>
          </cell>
          <cell r="J933" t="str">
            <v>S-Frame_YX-83_N_1234</v>
          </cell>
          <cell r="K933" t="str">
            <v>S-フレーム_YX-83_N_1234</v>
          </cell>
          <cell r="L933" t="str">
            <v>S-Frame</v>
          </cell>
          <cell r="M933" t="str">
            <v>S-フレーム</v>
          </cell>
          <cell r="P933" t="str">
            <v>31B0</v>
          </cell>
          <cell r="Q933" t="str">
            <v>SS400</v>
          </cell>
          <cell r="R933" t="str">
            <v>E385497_01</v>
          </cell>
          <cell r="S933">
            <v>619</v>
          </cell>
          <cell r="T933" t="str">
            <v>標準</v>
          </cell>
        </row>
        <row r="934">
          <cell r="F934" t="str">
            <v>H0000012338</v>
          </cell>
          <cell r="I934" t="str">
            <v>フレーム</v>
          </cell>
          <cell r="J934" t="str">
            <v>S-Frame_YX-83_N_1234</v>
          </cell>
          <cell r="K934" t="str">
            <v>S-フレーム_YX-83_N_1234</v>
          </cell>
          <cell r="L934" t="str">
            <v>S-Frame</v>
          </cell>
          <cell r="M934" t="str">
            <v>S-フレーム</v>
          </cell>
          <cell r="P934" t="str">
            <v>31B0</v>
          </cell>
          <cell r="Q934" t="str">
            <v>SS400</v>
          </cell>
          <cell r="R934" t="str">
            <v>E385497_01</v>
          </cell>
          <cell r="S934">
            <v>623</v>
          </cell>
          <cell r="T934" t="str">
            <v>標準</v>
          </cell>
        </row>
        <row r="935">
          <cell r="F935" t="str">
            <v>H0000012339</v>
          </cell>
          <cell r="I935" t="str">
            <v>フレーム</v>
          </cell>
          <cell r="J935" t="str">
            <v>S-Frame_YX-83_N_1234</v>
          </cell>
          <cell r="K935" t="str">
            <v>S-フレーム_YX-83_N_1234</v>
          </cell>
          <cell r="L935" t="str">
            <v>S-Frame</v>
          </cell>
          <cell r="M935" t="str">
            <v>S-フレーム</v>
          </cell>
          <cell r="P935" t="str">
            <v>31B0</v>
          </cell>
          <cell r="Q935" t="str">
            <v>SS400</v>
          </cell>
          <cell r="R935" t="str">
            <v>E385497_01</v>
          </cell>
          <cell r="S935">
            <v>626</v>
          </cell>
          <cell r="T935" t="str">
            <v>標準</v>
          </cell>
        </row>
        <row r="936">
          <cell r="F936" t="str">
            <v>H0000012340</v>
          </cell>
          <cell r="I936" t="str">
            <v>フレーム</v>
          </cell>
          <cell r="J936" t="str">
            <v>S-Frame_YX-83_N_1234</v>
          </cell>
          <cell r="K936" t="str">
            <v>S-フレーム_YX-83_N_1234</v>
          </cell>
          <cell r="L936" t="str">
            <v>S-Frame</v>
          </cell>
          <cell r="M936" t="str">
            <v>S-フレーム</v>
          </cell>
          <cell r="P936" t="str">
            <v>31B0</v>
          </cell>
          <cell r="Q936" t="str">
            <v>SS400</v>
          </cell>
          <cell r="R936" t="str">
            <v>E385497_01</v>
          </cell>
          <cell r="S936">
            <v>629</v>
          </cell>
          <cell r="T936" t="str">
            <v>標準</v>
          </cell>
        </row>
        <row r="937">
          <cell r="F937" t="str">
            <v>H0000012341</v>
          </cell>
          <cell r="I937" t="str">
            <v>フレーム</v>
          </cell>
          <cell r="J937" t="str">
            <v>S-Frame_YX-83_N_1234</v>
          </cell>
          <cell r="K937" t="str">
            <v>S-フレーム_YX-83_N_1234</v>
          </cell>
          <cell r="L937" t="str">
            <v>S-Frame</v>
          </cell>
          <cell r="M937" t="str">
            <v>S-フレーム</v>
          </cell>
          <cell r="P937" t="str">
            <v>31B0</v>
          </cell>
          <cell r="Q937" t="str">
            <v>SS400</v>
          </cell>
          <cell r="R937" t="str">
            <v>E385497_01</v>
          </cell>
          <cell r="S937">
            <v>620</v>
          </cell>
          <cell r="T937" t="str">
            <v>標準</v>
          </cell>
        </row>
        <row r="938">
          <cell r="F938" t="str">
            <v>H0000012342</v>
          </cell>
          <cell r="I938" t="str">
            <v>フレーム</v>
          </cell>
          <cell r="J938" t="str">
            <v>S-Frame_YX-83_N_1234</v>
          </cell>
          <cell r="K938" t="str">
            <v>S-フレーム_YX-83_N_1234</v>
          </cell>
          <cell r="L938" t="str">
            <v>S-Frame</v>
          </cell>
          <cell r="M938" t="str">
            <v>S-フレーム</v>
          </cell>
          <cell r="P938" t="str">
            <v>31B0</v>
          </cell>
          <cell r="Q938" t="str">
            <v>SS400</v>
          </cell>
          <cell r="R938" t="str">
            <v>E385497_01</v>
          </cell>
          <cell r="S938">
            <v>625</v>
          </cell>
          <cell r="T938" t="str">
            <v>標準</v>
          </cell>
        </row>
        <row r="939">
          <cell r="F939" t="str">
            <v>H0000012343</v>
          </cell>
          <cell r="I939" t="str">
            <v>フレーム</v>
          </cell>
          <cell r="J939" t="str">
            <v>S-Frame_YX-83_N_1234</v>
          </cell>
          <cell r="K939" t="str">
            <v>S-フレーム_YX-83_N_1234</v>
          </cell>
          <cell r="L939" t="str">
            <v>S-Frame</v>
          </cell>
          <cell r="M939" t="str">
            <v>S-フレーム</v>
          </cell>
          <cell r="P939" t="str">
            <v>31B0</v>
          </cell>
          <cell r="Q939" t="str">
            <v>SS400</v>
          </cell>
          <cell r="R939" t="str">
            <v>E385497_01</v>
          </cell>
          <cell r="S939">
            <v>629</v>
          </cell>
          <cell r="T939" t="str">
            <v>標準</v>
          </cell>
        </row>
        <row r="940">
          <cell r="F940" t="str">
            <v>H0000012344</v>
          </cell>
          <cell r="I940" t="str">
            <v>フレーム</v>
          </cell>
          <cell r="J940" t="str">
            <v>S-Frame_YX-83_N_1234</v>
          </cell>
          <cell r="K940" t="str">
            <v>S-フレーム_YX-83_N_1234</v>
          </cell>
          <cell r="L940" t="str">
            <v>S-Frame</v>
          </cell>
          <cell r="M940" t="str">
            <v>S-フレーム</v>
          </cell>
          <cell r="P940" t="str">
            <v>31B0</v>
          </cell>
          <cell r="Q940" t="str">
            <v>SS400</v>
          </cell>
          <cell r="R940" t="str">
            <v>E385497_01</v>
          </cell>
          <cell r="S940">
            <v>632</v>
          </cell>
          <cell r="T940" t="str">
            <v>標準</v>
          </cell>
        </row>
        <row r="941">
          <cell r="F941" t="str">
            <v>H0000012345</v>
          </cell>
          <cell r="I941" t="str">
            <v>フレーム</v>
          </cell>
          <cell r="J941" t="str">
            <v>S-Frame_YX-83_N_1234</v>
          </cell>
          <cell r="K941" t="str">
            <v>S-フレーム_YX-83_N_1234</v>
          </cell>
          <cell r="L941" t="str">
            <v>S-Frame</v>
          </cell>
          <cell r="M941" t="str">
            <v>S-フレーム</v>
          </cell>
          <cell r="P941" t="str">
            <v>31B0</v>
          </cell>
          <cell r="Q941" t="str">
            <v>SS400</v>
          </cell>
          <cell r="R941" t="str">
            <v>E385497_01</v>
          </cell>
          <cell r="S941">
            <v>635</v>
          </cell>
          <cell r="T941" t="str">
            <v>標準</v>
          </cell>
        </row>
        <row r="942">
          <cell r="F942" t="str">
            <v>H0000012346</v>
          </cell>
          <cell r="I942" t="str">
            <v>フレーム</v>
          </cell>
          <cell r="J942" t="str">
            <v>S-Frame_YX-83_N_1234</v>
          </cell>
          <cell r="K942" t="str">
            <v>S-フレーム_YX-83_N_1234</v>
          </cell>
          <cell r="L942" t="str">
            <v>S-Frame</v>
          </cell>
          <cell r="M942" t="str">
            <v>S-フレーム</v>
          </cell>
          <cell r="P942" t="str">
            <v>31B0</v>
          </cell>
          <cell r="Q942" t="str">
            <v>SS400</v>
          </cell>
          <cell r="R942" t="str">
            <v>E385497_01</v>
          </cell>
          <cell r="S942">
            <v>624</v>
          </cell>
          <cell r="T942" t="str">
            <v>標準</v>
          </cell>
        </row>
        <row r="943">
          <cell r="F943" t="str">
            <v>H0000012347</v>
          </cell>
          <cell r="I943" t="str">
            <v>フレーム</v>
          </cell>
          <cell r="J943" t="str">
            <v>S-Frame_YX-83_N_1234</v>
          </cell>
          <cell r="K943" t="str">
            <v>S-フレーム_YX-83_N_1234</v>
          </cell>
          <cell r="L943" t="str">
            <v>S-Frame</v>
          </cell>
          <cell r="M943" t="str">
            <v>S-フレーム</v>
          </cell>
          <cell r="P943" t="str">
            <v>31B0</v>
          </cell>
          <cell r="Q943" t="str">
            <v>SS400</v>
          </cell>
          <cell r="R943" t="str">
            <v>E385497_01</v>
          </cell>
          <cell r="S943">
            <v>629</v>
          </cell>
          <cell r="T943" t="str">
            <v>標準</v>
          </cell>
        </row>
        <row r="944">
          <cell r="F944" t="str">
            <v>H0000012348</v>
          </cell>
          <cell r="I944" t="str">
            <v>フレーム</v>
          </cell>
          <cell r="J944" t="str">
            <v>S-Frame_YX-83_N_1234</v>
          </cell>
          <cell r="K944" t="str">
            <v>S-フレーム_YX-83_N_1234</v>
          </cell>
          <cell r="L944" t="str">
            <v>S-Frame</v>
          </cell>
          <cell r="M944" t="str">
            <v>S-フレーム</v>
          </cell>
          <cell r="P944" t="str">
            <v>31B0</v>
          </cell>
          <cell r="Q944" t="str">
            <v>SS400</v>
          </cell>
          <cell r="R944" t="str">
            <v>E385497_01</v>
          </cell>
          <cell r="S944">
            <v>633</v>
          </cell>
          <cell r="T944" t="str">
            <v>標準</v>
          </cell>
        </row>
        <row r="945">
          <cell r="F945" t="str">
            <v>H0000012349</v>
          </cell>
          <cell r="I945" t="str">
            <v>フレーム</v>
          </cell>
          <cell r="J945" t="str">
            <v>S-Frame_YX-83_N_1234</v>
          </cell>
          <cell r="K945" t="str">
            <v>S-フレーム_YX-83_N_1234</v>
          </cell>
          <cell r="L945" t="str">
            <v>S-Frame</v>
          </cell>
          <cell r="M945" t="str">
            <v>S-フレーム</v>
          </cell>
          <cell r="P945" t="str">
            <v>31B0</v>
          </cell>
          <cell r="Q945" t="str">
            <v>SS400</v>
          </cell>
          <cell r="R945" t="str">
            <v>E385497_01</v>
          </cell>
          <cell r="S945">
            <v>636</v>
          </cell>
          <cell r="T945" t="str">
            <v>標準</v>
          </cell>
        </row>
        <row r="946">
          <cell r="F946" t="str">
            <v>H0000012350</v>
          </cell>
          <cell r="I946" t="str">
            <v>フレーム</v>
          </cell>
          <cell r="J946" t="str">
            <v>S-Frame_YX-83_N_1234</v>
          </cell>
          <cell r="K946" t="str">
            <v>S-フレーム_YX-83_N_1234</v>
          </cell>
          <cell r="L946" t="str">
            <v>S-Frame</v>
          </cell>
          <cell r="M946" t="str">
            <v>S-フレーム</v>
          </cell>
          <cell r="P946" t="str">
            <v>31B0</v>
          </cell>
          <cell r="Q946" t="str">
            <v>SS400</v>
          </cell>
          <cell r="R946" t="str">
            <v>E385497_01</v>
          </cell>
          <cell r="S946">
            <v>639</v>
          </cell>
          <cell r="T946" t="str">
            <v>標準</v>
          </cell>
        </row>
        <row r="947">
          <cell r="F947" t="str">
            <v>H0000012351</v>
          </cell>
          <cell r="I947" t="str">
            <v>フレーム</v>
          </cell>
          <cell r="J947" t="str">
            <v>S-Frame_YX-83_N_1234</v>
          </cell>
          <cell r="K947" t="str">
            <v>S-フレーム_YX-83_N_1234</v>
          </cell>
          <cell r="L947" t="str">
            <v>S-Frame</v>
          </cell>
          <cell r="M947" t="str">
            <v>S-フレーム</v>
          </cell>
          <cell r="P947" t="str">
            <v>31B0</v>
          </cell>
          <cell r="Q947" t="str">
            <v>SS400</v>
          </cell>
          <cell r="R947" t="str">
            <v>E385497_01</v>
          </cell>
          <cell r="S947">
            <v>626</v>
          </cell>
          <cell r="T947" t="str">
            <v>標準</v>
          </cell>
        </row>
        <row r="948">
          <cell r="F948" t="str">
            <v>H0000012352</v>
          </cell>
          <cell r="I948" t="str">
            <v>フレーム</v>
          </cell>
          <cell r="J948" t="str">
            <v>S-Frame_YX-83_N_1234</v>
          </cell>
          <cell r="K948" t="str">
            <v>S-フレーム_YX-83_N_1234</v>
          </cell>
          <cell r="L948" t="str">
            <v>S-Frame</v>
          </cell>
          <cell r="M948" t="str">
            <v>S-フレーム</v>
          </cell>
          <cell r="P948" t="str">
            <v>31B0</v>
          </cell>
          <cell r="Q948" t="str">
            <v>SS400</v>
          </cell>
          <cell r="R948" t="str">
            <v>E385497_01</v>
          </cell>
          <cell r="S948">
            <v>631</v>
          </cell>
          <cell r="T948" t="str">
            <v>標準</v>
          </cell>
        </row>
        <row r="949">
          <cell r="F949" t="str">
            <v>H0000012353</v>
          </cell>
          <cell r="I949" t="str">
            <v>フレーム</v>
          </cell>
          <cell r="J949" t="str">
            <v>S-Frame_YX-83_N_1234</v>
          </cell>
          <cell r="K949" t="str">
            <v>S-フレーム_YX-83_N_1234</v>
          </cell>
          <cell r="L949" t="str">
            <v>S-Frame</v>
          </cell>
          <cell r="M949" t="str">
            <v>S-フレーム</v>
          </cell>
          <cell r="P949" t="str">
            <v>31B0</v>
          </cell>
          <cell r="Q949" t="str">
            <v>SS400</v>
          </cell>
          <cell r="R949" t="str">
            <v>E385497_01</v>
          </cell>
          <cell r="S949">
            <v>635</v>
          </cell>
          <cell r="T949" t="str">
            <v>標準</v>
          </cell>
        </row>
        <row r="950">
          <cell r="F950" t="str">
            <v>H0000012354</v>
          </cell>
          <cell r="I950" t="str">
            <v>フレーム</v>
          </cell>
          <cell r="J950" t="str">
            <v>S-Frame_YX-83_N_1234</v>
          </cell>
          <cell r="K950" t="str">
            <v>S-フレーム_YX-83_N_1234</v>
          </cell>
          <cell r="L950" t="str">
            <v>S-Frame</v>
          </cell>
          <cell r="M950" t="str">
            <v>S-フレーム</v>
          </cell>
          <cell r="P950" t="str">
            <v>31B0</v>
          </cell>
          <cell r="Q950" t="str">
            <v>SS400</v>
          </cell>
          <cell r="R950" t="str">
            <v>E385497_01</v>
          </cell>
          <cell r="S950">
            <v>638</v>
          </cell>
          <cell r="T950" t="str">
            <v>標準</v>
          </cell>
        </row>
        <row r="951">
          <cell r="F951" t="str">
            <v>H0000012355</v>
          </cell>
          <cell r="I951" t="str">
            <v>フレーム</v>
          </cell>
          <cell r="J951" t="str">
            <v>S-Frame_YX-83_N_1234</v>
          </cell>
          <cell r="K951" t="str">
            <v>S-フレーム_YX-83_N_1234</v>
          </cell>
          <cell r="L951" t="str">
            <v>S-Frame</v>
          </cell>
          <cell r="M951" t="str">
            <v>S-フレーム</v>
          </cell>
          <cell r="P951" t="str">
            <v>31B0</v>
          </cell>
          <cell r="Q951" t="str">
            <v>SS400</v>
          </cell>
          <cell r="R951" t="str">
            <v>E385497_01</v>
          </cell>
          <cell r="S951">
            <v>641</v>
          </cell>
          <cell r="T951" t="str">
            <v>標準</v>
          </cell>
        </row>
        <row r="952">
          <cell r="F952" t="str">
            <v>H0000012356</v>
          </cell>
          <cell r="I952" t="str">
            <v>フレーム</v>
          </cell>
          <cell r="J952" t="str">
            <v>S-Frame_YX-83_H_1234</v>
          </cell>
          <cell r="K952" t="str">
            <v>S-フレーム_YX-83_H_1234</v>
          </cell>
          <cell r="L952" t="str">
            <v>S-Frame</v>
          </cell>
          <cell r="M952" t="str">
            <v>S-フレーム</v>
          </cell>
          <cell r="P952" t="str">
            <v>31B0</v>
          </cell>
          <cell r="Q952" t="str">
            <v>SS400</v>
          </cell>
          <cell r="R952" t="str">
            <v>E385500_01</v>
          </cell>
          <cell r="S952">
            <v>614</v>
          </cell>
          <cell r="T952" t="str">
            <v>標準</v>
          </cell>
        </row>
        <row r="953">
          <cell r="F953" t="str">
            <v>H0000012357</v>
          </cell>
          <cell r="I953" t="str">
            <v>フレーム</v>
          </cell>
          <cell r="J953" t="str">
            <v>S-Frame_YX-83_H_1234</v>
          </cell>
          <cell r="K953" t="str">
            <v>S-フレーム_YX-83_H_1234</v>
          </cell>
          <cell r="L953" t="str">
            <v>S-Frame</v>
          </cell>
          <cell r="M953" t="str">
            <v>S-フレーム</v>
          </cell>
          <cell r="P953" t="str">
            <v>31B0</v>
          </cell>
          <cell r="Q953" t="str">
            <v>SS400</v>
          </cell>
          <cell r="R953" t="str">
            <v>E385500_01</v>
          </cell>
          <cell r="S953">
            <v>655</v>
          </cell>
          <cell r="T953" t="str">
            <v>標準</v>
          </cell>
        </row>
        <row r="954">
          <cell r="F954" t="str">
            <v>H0000012358</v>
          </cell>
          <cell r="I954" t="str">
            <v>フレーム</v>
          </cell>
          <cell r="J954" t="str">
            <v>S-Frame_YX-83_H_1234</v>
          </cell>
          <cell r="K954" t="str">
            <v>S-フレーム_YX-83_H_1234</v>
          </cell>
          <cell r="L954" t="str">
            <v>S-Frame</v>
          </cell>
          <cell r="M954" t="str">
            <v>S-フレーム</v>
          </cell>
          <cell r="P954" t="str">
            <v>31B0</v>
          </cell>
          <cell r="Q954" t="str">
            <v>SS400</v>
          </cell>
          <cell r="R954" t="str">
            <v>E385500_01</v>
          </cell>
          <cell r="S954">
            <v>659</v>
          </cell>
          <cell r="T954" t="str">
            <v>標準</v>
          </cell>
        </row>
        <row r="955">
          <cell r="F955" t="str">
            <v>H0000012359</v>
          </cell>
          <cell r="I955" t="str">
            <v>フレーム</v>
          </cell>
          <cell r="J955" t="str">
            <v>S-Frame_YX-83_H_1234</v>
          </cell>
          <cell r="K955" t="str">
            <v>S-フレーム_YX-83_H_1234</v>
          </cell>
          <cell r="L955" t="str">
            <v>S-Frame</v>
          </cell>
          <cell r="M955" t="str">
            <v>S-フレーム</v>
          </cell>
          <cell r="P955" t="str">
            <v>31B0</v>
          </cell>
          <cell r="Q955" t="str">
            <v>SS400</v>
          </cell>
          <cell r="R955" t="str">
            <v>E385500_01</v>
          </cell>
          <cell r="S955">
            <v>663</v>
          </cell>
          <cell r="T955" t="str">
            <v>標準</v>
          </cell>
        </row>
        <row r="956">
          <cell r="F956" t="str">
            <v>H0000012360</v>
          </cell>
          <cell r="I956" t="str">
            <v>フレーム</v>
          </cell>
          <cell r="J956" t="str">
            <v>S-Frame_YX-83_H_1234</v>
          </cell>
          <cell r="K956" t="str">
            <v>S-フレーム_YX-83_H_1234</v>
          </cell>
          <cell r="L956" t="str">
            <v>S-Frame</v>
          </cell>
          <cell r="M956" t="str">
            <v>S-フレーム</v>
          </cell>
          <cell r="P956" t="str">
            <v>31B0</v>
          </cell>
          <cell r="Q956" t="str">
            <v>SS400</v>
          </cell>
          <cell r="R956" t="str">
            <v>E385500_01</v>
          </cell>
          <cell r="S956">
            <v>666</v>
          </cell>
          <cell r="T956" t="str">
            <v>標準</v>
          </cell>
        </row>
        <row r="957">
          <cell r="F957" t="str">
            <v>H0000012361</v>
          </cell>
          <cell r="I957" t="str">
            <v>フレーム</v>
          </cell>
          <cell r="J957" t="str">
            <v>S-Frame_YX-83_H_1234</v>
          </cell>
          <cell r="K957" t="str">
            <v>S-フレーム_YX-83_H_1234</v>
          </cell>
          <cell r="L957" t="str">
            <v>S-Frame</v>
          </cell>
          <cell r="M957" t="str">
            <v>S-フレーム</v>
          </cell>
          <cell r="P957" t="str">
            <v>31B0</v>
          </cell>
          <cell r="Q957" t="str">
            <v>SS400</v>
          </cell>
          <cell r="R957" t="str">
            <v>E385500_01</v>
          </cell>
          <cell r="S957">
            <v>658</v>
          </cell>
          <cell r="T957" t="str">
            <v>標準</v>
          </cell>
        </row>
        <row r="958">
          <cell r="F958" t="str">
            <v>H0000012362</v>
          </cell>
          <cell r="I958" t="str">
            <v>フレーム</v>
          </cell>
          <cell r="J958" t="str">
            <v>S-Frame_YX-83_H_1234</v>
          </cell>
          <cell r="K958" t="str">
            <v>S-フレーム_YX-83_H_1234</v>
          </cell>
          <cell r="L958" t="str">
            <v>S-Frame</v>
          </cell>
          <cell r="M958" t="str">
            <v>S-フレーム</v>
          </cell>
          <cell r="P958" t="str">
            <v>31B0</v>
          </cell>
          <cell r="Q958" t="str">
            <v>SS400</v>
          </cell>
          <cell r="R958" t="str">
            <v>E385500_01</v>
          </cell>
          <cell r="S958">
            <v>663</v>
          </cell>
          <cell r="T958" t="str">
            <v>標準</v>
          </cell>
        </row>
        <row r="959">
          <cell r="F959" t="str">
            <v>H0000012363</v>
          </cell>
          <cell r="I959" t="str">
            <v>フレーム</v>
          </cell>
          <cell r="J959" t="str">
            <v>S-Frame_YX-83_H_1234</v>
          </cell>
          <cell r="K959" t="str">
            <v>S-フレーム_YX-83_H_1234</v>
          </cell>
          <cell r="L959" t="str">
            <v>S-Frame</v>
          </cell>
          <cell r="M959" t="str">
            <v>S-フレーム</v>
          </cell>
          <cell r="P959" t="str">
            <v>31B0</v>
          </cell>
          <cell r="Q959" t="str">
            <v>SS400</v>
          </cell>
          <cell r="R959" t="str">
            <v>E385500_01</v>
          </cell>
          <cell r="S959">
            <v>668</v>
          </cell>
          <cell r="T959" t="str">
            <v>標準</v>
          </cell>
        </row>
        <row r="960">
          <cell r="F960" t="str">
            <v>H0000012364</v>
          </cell>
          <cell r="I960" t="str">
            <v>フレーム</v>
          </cell>
          <cell r="J960" t="str">
            <v>S-Frame_YX-83_H_1234</v>
          </cell>
          <cell r="K960" t="str">
            <v>S-フレーム_YX-83_H_1234</v>
          </cell>
          <cell r="L960" t="str">
            <v>S-Frame</v>
          </cell>
          <cell r="M960" t="str">
            <v>S-フレーム</v>
          </cell>
          <cell r="P960" t="str">
            <v>31B0</v>
          </cell>
          <cell r="Q960" t="str">
            <v>SS400</v>
          </cell>
          <cell r="R960" t="str">
            <v>E385500_01</v>
          </cell>
          <cell r="S960">
            <v>671</v>
          </cell>
          <cell r="T960" t="str">
            <v>標準</v>
          </cell>
        </row>
        <row r="961">
          <cell r="F961" t="str">
            <v>H0000012365</v>
          </cell>
          <cell r="I961" t="str">
            <v>フレーム</v>
          </cell>
          <cell r="J961" t="str">
            <v>S-Frame_YX-83_H_1234</v>
          </cell>
          <cell r="K961" t="str">
            <v>S-フレーム_YX-83_H_1234</v>
          </cell>
          <cell r="L961" t="str">
            <v>S-Frame</v>
          </cell>
          <cell r="M961" t="str">
            <v>S-フレーム</v>
          </cell>
          <cell r="P961" t="str">
            <v>31B0</v>
          </cell>
          <cell r="Q961" t="str">
            <v>SS400</v>
          </cell>
          <cell r="R961" t="str">
            <v>E385500_01</v>
          </cell>
          <cell r="S961">
            <v>674</v>
          </cell>
          <cell r="T961" t="str">
            <v>標準</v>
          </cell>
        </row>
        <row r="962">
          <cell r="F962" t="str">
            <v>H0000012366</v>
          </cell>
          <cell r="I962" t="str">
            <v>フレーム</v>
          </cell>
          <cell r="J962" t="str">
            <v>S-Frame_YX-83_H_1234</v>
          </cell>
          <cell r="K962" t="str">
            <v>S-フレーム_YX-83_H_1234</v>
          </cell>
          <cell r="L962" t="str">
            <v>S-Frame</v>
          </cell>
          <cell r="M962" t="str">
            <v>S-フレーム</v>
          </cell>
          <cell r="P962" t="str">
            <v>31B0</v>
          </cell>
          <cell r="Q962" t="str">
            <v>SS400</v>
          </cell>
          <cell r="R962" t="str">
            <v>E385500_01</v>
          </cell>
          <cell r="S962">
            <v>668</v>
          </cell>
          <cell r="T962" t="str">
            <v>標準</v>
          </cell>
        </row>
        <row r="963">
          <cell r="F963" t="str">
            <v>H0000012367</v>
          </cell>
          <cell r="I963" t="str">
            <v>フレーム</v>
          </cell>
          <cell r="J963" t="str">
            <v>S-Frame_YX-83_H_1234</v>
          </cell>
          <cell r="K963" t="str">
            <v>S-フレーム_YX-83_H_1234</v>
          </cell>
          <cell r="L963" t="str">
            <v>S-Frame</v>
          </cell>
          <cell r="M963" t="str">
            <v>S-フレーム</v>
          </cell>
          <cell r="P963" t="str">
            <v>31B0</v>
          </cell>
          <cell r="Q963" t="str">
            <v>SS400</v>
          </cell>
          <cell r="R963" t="str">
            <v>E385500_01</v>
          </cell>
          <cell r="S963">
            <v>674</v>
          </cell>
          <cell r="T963" t="str">
            <v>標準</v>
          </cell>
        </row>
        <row r="964">
          <cell r="F964" t="str">
            <v>H0000012368</v>
          </cell>
          <cell r="I964" t="str">
            <v>フレーム</v>
          </cell>
          <cell r="J964" t="str">
            <v>S-Frame_YX-83_H_1234</v>
          </cell>
          <cell r="K964" t="str">
            <v>S-フレーム_YX-83_H_1234</v>
          </cell>
          <cell r="L964" t="str">
            <v>S-Frame</v>
          </cell>
          <cell r="M964" t="str">
            <v>S-フレーム</v>
          </cell>
          <cell r="P964" t="str">
            <v>31B0</v>
          </cell>
          <cell r="Q964" t="str">
            <v>SS400</v>
          </cell>
          <cell r="R964" t="str">
            <v>E385500_01</v>
          </cell>
          <cell r="S964">
            <v>678</v>
          </cell>
          <cell r="T964" t="str">
            <v>標準</v>
          </cell>
        </row>
        <row r="965">
          <cell r="F965" t="str">
            <v>H0000012369</v>
          </cell>
          <cell r="I965" t="str">
            <v>フレーム</v>
          </cell>
          <cell r="J965" t="str">
            <v>S-Frame_YX-83_H_1234</v>
          </cell>
          <cell r="K965" t="str">
            <v>S-フレーム_YX-83_H_1234</v>
          </cell>
          <cell r="L965" t="str">
            <v>S-Frame</v>
          </cell>
          <cell r="M965" t="str">
            <v>S-フレーム</v>
          </cell>
          <cell r="P965" t="str">
            <v>31B0</v>
          </cell>
          <cell r="Q965" t="str">
            <v>SS400</v>
          </cell>
          <cell r="R965" t="str">
            <v>E385500_01</v>
          </cell>
          <cell r="S965">
            <v>682</v>
          </cell>
          <cell r="T965" t="str">
            <v>標準</v>
          </cell>
        </row>
        <row r="966">
          <cell r="F966" t="str">
            <v>H0000012370</v>
          </cell>
          <cell r="I966" t="str">
            <v>フレーム</v>
          </cell>
          <cell r="J966" t="str">
            <v>S-Frame_YX-83_H_1234</v>
          </cell>
          <cell r="K966" t="str">
            <v>S-フレーム_YX-83_H_1234</v>
          </cell>
          <cell r="L966" t="str">
            <v>S-Frame</v>
          </cell>
          <cell r="M966" t="str">
            <v>S-フレーム</v>
          </cell>
          <cell r="P966" t="str">
            <v>31B0</v>
          </cell>
          <cell r="Q966" t="str">
            <v>SS400</v>
          </cell>
          <cell r="R966" t="str">
            <v>E385500_01</v>
          </cell>
          <cell r="S966">
            <v>685</v>
          </cell>
          <cell r="T966" t="str">
            <v>標準</v>
          </cell>
        </row>
        <row r="967">
          <cell r="F967" t="str">
            <v>H0000012371</v>
          </cell>
          <cell r="I967" t="str">
            <v>フレーム</v>
          </cell>
          <cell r="J967" t="str">
            <v>S-Frame_YX-83_H_1234</v>
          </cell>
          <cell r="K967" t="str">
            <v>S-フレーム_YX-83_H_1234</v>
          </cell>
          <cell r="L967" t="str">
            <v>S-Frame</v>
          </cell>
          <cell r="M967" t="str">
            <v>S-フレーム</v>
          </cell>
          <cell r="P967" t="str">
            <v>31B0</v>
          </cell>
          <cell r="Q967" t="str">
            <v>SS400</v>
          </cell>
          <cell r="R967" t="str">
            <v>E385500_01</v>
          </cell>
          <cell r="S967">
            <v>677</v>
          </cell>
          <cell r="T967" t="str">
            <v>標準</v>
          </cell>
        </row>
        <row r="968">
          <cell r="F968" t="str">
            <v>H0000012372</v>
          </cell>
          <cell r="I968" t="str">
            <v>フレーム</v>
          </cell>
          <cell r="J968" t="str">
            <v>S-Frame_YX-83_H_1234</v>
          </cell>
          <cell r="K968" t="str">
            <v>S-フレーム_YX-83_H_1234</v>
          </cell>
          <cell r="L968" t="str">
            <v>S-Frame</v>
          </cell>
          <cell r="M968" t="str">
            <v>S-フレーム</v>
          </cell>
          <cell r="P968" t="str">
            <v>31B0</v>
          </cell>
          <cell r="Q968" t="str">
            <v>SS400</v>
          </cell>
          <cell r="R968" t="str">
            <v>E385500_01</v>
          </cell>
          <cell r="S968">
            <v>682</v>
          </cell>
          <cell r="T968" t="str">
            <v>標準</v>
          </cell>
        </row>
        <row r="969">
          <cell r="F969" t="str">
            <v>H0000012373</v>
          </cell>
          <cell r="I969" t="str">
            <v>フレーム</v>
          </cell>
          <cell r="J969" t="str">
            <v>S-Frame_YX-83_H_1234</v>
          </cell>
          <cell r="K969" t="str">
            <v>S-フレーム_YX-83_H_1234</v>
          </cell>
          <cell r="L969" t="str">
            <v>S-Frame</v>
          </cell>
          <cell r="M969" t="str">
            <v>S-フレーム</v>
          </cell>
          <cell r="P969" t="str">
            <v>31B0</v>
          </cell>
          <cell r="Q969" t="str">
            <v>SS400</v>
          </cell>
          <cell r="R969" t="str">
            <v>E385500_01</v>
          </cell>
          <cell r="S969">
            <v>687</v>
          </cell>
          <cell r="T969" t="str">
            <v>標準</v>
          </cell>
        </row>
        <row r="970">
          <cell r="F970" t="str">
            <v>H0000012374</v>
          </cell>
          <cell r="I970" t="str">
            <v>フレーム</v>
          </cell>
          <cell r="J970" t="str">
            <v>S-Frame_YX-83_H_1234</v>
          </cell>
          <cell r="K970" t="str">
            <v>S-フレーム_YX-83_H_1234</v>
          </cell>
          <cell r="L970" t="str">
            <v>S-Frame</v>
          </cell>
          <cell r="M970" t="str">
            <v>S-フレーム</v>
          </cell>
          <cell r="P970" t="str">
            <v>31B0</v>
          </cell>
          <cell r="Q970" t="str">
            <v>SS400</v>
          </cell>
          <cell r="R970" t="str">
            <v>E385500_01</v>
          </cell>
          <cell r="S970">
            <v>690</v>
          </cell>
          <cell r="T970" t="str">
            <v>標準</v>
          </cell>
        </row>
        <row r="971">
          <cell r="F971" t="str">
            <v>H0000012375</v>
          </cell>
          <cell r="I971" t="str">
            <v>フレーム</v>
          </cell>
          <cell r="J971" t="str">
            <v>S-Frame_YX-83_H_1234</v>
          </cell>
          <cell r="K971" t="str">
            <v>S-フレーム_YX-83_H_1234</v>
          </cell>
          <cell r="L971" t="str">
            <v>S-Frame</v>
          </cell>
          <cell r="M971" t="str">
            <v>S-フレーム</v>
          </cell>
          <cell r="P971" t="str">
            <v>31B0</v>
          </cell>
          <cell r="Q971" t="str">
            <v>SS400</v>
          </cell>
          <cell r="R971" t="str">
            <v>E385500_01</v>
          </cell>
          <cell r="S971">
            <v>693</v>
          </cell>
          <cell r="T971" t="str">
            <v>標準</v>
          </cell>
        </row>
        <row r="972">
          <cell r="F972" t="str">
            <v>H0000012376</v>
          </cell>
          <cell r="I972" t="str">
            <v>フレーム</v>
          </cell>
          <cell r="J972" t="str">
            <v>S-Frame_YX-83_H_1234</v>
          </cell>
          <cell r="K972" t="str">
            <v>S-フレーム_YX-83_H_1234</v>
          </cell>
          <cell r="L972" t="str">
            <v>S-Frame</v>
          </cell>
          <cell r="M972" t="str">
            <v>S-フレーム</v>
          </cell>
          <cell r="P972" t="str">
            <v>31B0</v>
          </cell>
          <cell r="Q972" t="str">
            <v>SS400</v>
          </cell>
          <cell r="R972" t="str">
            <v>E385500_01</v>
          </cell>
          <cell r="S972">
            <v>684</v>
          </cell>
          <cell r="T972" t="str">
            <v>標準</v>
          </cell>
        </row>
        <row r="973">
          <cell r="F973" t="str">
            <v>H0000012377</v>
          </cell>
          <cell r="I973" t="str">
            <v>フレーム</v>
          </cell>
          <cell r="J973" t="str">
            <v>S-Frame_YX-83_H_1234</v>
          </cell>
          <cell r="K973" t="str">
            <v>S-フレーム_YX-83_H_1234</v>
          </cell>
          <cell r="L973" t="str">
            <v>S-Frame</v>
          </cell>
          <cell r="M973" t="str">
            <v>S-フレーム</v>
          </cell>
          <cell r="P973" t="str">
            <v>31B0</v>
          </cell>
          <cell r="Q973" t="str">
            <v>SS400</v>
          </cell>
          <cell r="R973" t="str">
            <v>E385500_01</v>
          </cell>
          <cell r="S973">
            <v>689</v>
          </cell>
          <cell r="T973" t="str">
            <v>標準</v>
          </cell>
        </row>
        <row r="974">
          <cell r="F974" t="str">
            <v>H0000012378</v>
          </cell>
          <cell r="I974" t="str">
            <v>フレーム</v>
          </cell>
          <cell r="J974" t="str">
            <v>S-Frame_YX-83_H_1234</v>
          </cell>
          <cell r="K974" t="str">
            <v>S-フレーム_YX-83_H_1234</v>
          </cell>
          <cell r="L974" t="str">
            <v>S-Frame</v>
          </cell>
          <cell r="M974" t="str">
            <v>S-フレーム</v>
          </cell>
          <cell r="P974" t="str">
            <v>31B0</v>
          </cell>
          <cell r="Q974" t="str">
            <v>SS400</v>
          </cell>
          <cell r="R974" t="str">
            <v>E385500_01</v>
          </cell>
          <cell r="S974">
            <v>693</v>
          </cell>
          <cell r="T974" t="str">
            <v>標準</v>
          </cell>
        </row>
        <row r="975">
          <cell r="F975" t="str">
            <v>H0000012379</v>
          </cell>
          <cell r="I975" t="str">
            <v>フレーム</v>
          </cell>
          <cell r="J975" t="str">
            <v>S-Frame_YX-83_H_1234</v>
          </cell>
          <cell r="K975" t="str">
            <v>S-フレーム_YX-83_H_1234</v>
          </cell>
          <cell r="L975" t="str">
            <v>S-Frame</v>
          </cell>
          <cell r="M975" t="str">
            <v>S-フレーム</v>
          </cell>
          <cell r="P975" t="str">
            <v>31B0</v>
          </cell>
          <cell r="Q975" t="str">
            <v>SS400</v>
          </cell>
          <cell r="R975" t="str">
            <v>E385500_01</v>
          </cell>
          <cell r="S975">
            <v>697</v>
          </cell>
          <cell r="T975" t="str">
            <v>標準</v>
          </cell>
        </row>
        <row r="976">
          <cell r="F976" t="str">
            <v>H0000012380</v>
          </cell>
          <cell r="I976" t="str">
            <v>フレーム</v>
          </cell>
          <cell r="J976" t="str">
            <v>S-Frame_YX-83_H_1234</v>
          </cell>
          <cell r="K976" t="str">
            <v>S-フレーム_YX-83_H_1234</v>
          </cell>
          <cell r="L976" t="str">
            <v>S-Frame</v>
          </cell>
          <cell r="M976" t="str">
            <v>S-フレーム</v>
          </cell>
          <cell r="P976" t="str">
            <v>31B0</v>
          </cell>
          <cell r="Q976" t="str">
            <v>SS400</v>
          </cell>
          <cell r="R976" t="str">
            <v>E385500_01</v>
          </cell>
          <cell r="S976">
            <v>700</v>
          </cell>
          <cell r="T976" t="str">
            <v>標準</v>
          </cell>
        </row>
        <row r="977">
          <cell r="F977" t="str">
            <v>H0000012381</v>
          </cell>
          <cell r="I977" t="str">
            <v>フレーム</v>
          </cell>
          <cell r="J977" t="str">
            <v>S-Frame_YX-83_H_1234</v>
          </cell>
          <cell r="K977" t="str">
            <v>S-フレーム_YX-83_H_1234</v>
          </cell>
          <cell r="L977" t="str">
            <v>S-Frame</v>
          </cell>
          <cell r="M977" t="str">
            <v>S-フレーム</v>
          </cell>
          <cell r="P977" t="str">
            <v>31B0</v>
          </cell>
          <cell r="Q977" t="str">
            <v>SS400</v>
          </cell>
          <cell r="R977" t="str">
            <v>E385500_01</v>
          </cell>
          <cell r="S977">
            <v>667</v>
          </cell>
          <cell r="T977" t="str">
            <v>標準</v>
          </cell>
        </row>
        <row r="978">
          <cell r="F978" t="str">
            <v>H0000012382</v>
          </cell>
          <cell r="I978" t="str">
            <v>フレーム</v>
          </cell>
          <cell r="J978" t="str">
            <v>S-Frame_YX-83_H_1234</v>
          </cell>
          <cell r="K978" t="str">
            <v>S-フレーム_YX-83_H_1234</v>
          </cell>
          <cell r="L978" t="str">
            <v>S-Frame</v>
          </cell>
          <cell r="M978" t="str">
            <v>S-フレーム</v>
          </cell>
          <cell r="P978" t="str">
            <v>31B0</v>
          </cell>
          <cell r="Q978" t="str">
            <v>SS400</v>
          </cell>
          <cell r="R978" t="str">
            <v>E385500_01</v>
          </cell>
          <cell r="S978">
            <v>672</v>
          </cell>
          <cell r="T978" t="str">
            <v>標準</v>
          </cell>
        </row>
        <row r="979">
          <cell r="F979" t="str">
            <v>H0000012383</v>
          </cell>
          <cell r="I979" t="str">
            <v>フレーム</v>
          </cell>
          <cell r="J979" t="str">
            <v>S-Frame_YX-83_H_1234</v>
          </cell>
          <cell r="K979" t="str">
            <v>S-フレーム_YX-83_H_1234</v>
          </cell>
          <cell r="L979" t="str">
            <v>S-Frame</v>
          </cell>
          <cell r="M979" t="str">
            <v>S-フレーム</v>
          </cell>
          <cell r="P979" t="str">
            <v>31B0</v>
          </cell>
          <cell r="Q979" t="str">
            <v>SS400</v>
          </cell>
          <cell r="R979" t="str">
            <v>E385500_01</v>
          </cell>
          <cell r="S979">
            <v>676</v>
          </cell>
          <cell r="T979" t="str">
            <v>標準</v>
          </cell>
        </row>
        <row r="980">
          <cell r="F980" t="str">
            <v>H0000012384</v>
          </cell>
          <cell r="I980" t="str">
            <v>フレーム</v>
          </cell>
          <cell r="J980" t="str">
            <v>S-Frame_YX-83_H_1234</v>
          </cell>
          <cell r="K980" t="str">
            <v>S-フレーム_YX-83_H_1234</v>
          </cell>
          <cell r="L980" t="str">
            <v>S-Frame</v>
          </cell>
          <cell r="M980" t="str">
            <v>S-フレーム</v>
          </cell>
          <cell r="P980" t="str">
            <v>31B0</v>
          </cell>
          <cell r="Q980" t="str">
            <v>SS400</v>
          </cell>
          <cell r="R980" t="str">
            <v>E385500_01</v>
          </cell>
          <cell r="S980">
            <v>680</v>
          </cell>
          <cell r="T980" t="str">
            <v>標準</v>
          </cell>
        </row>
        <row r="981">
          <cell r="F981" t="str">
            <v>H0000012385</v>
          </cell>
          <cell r="I981" t="str">
            <v>フレーム</v>
          </cell>
          <cell r="J981" t="str">
            <v>S-Frame_YX-83_H_1234</v>
          </cell>
          <cell r="K981" t="str">
            <v>S-フレーム_YX-83_H_1234</v>
          </cell>
          <cell r="L981" t="str">
            <v>S-Frame</v>
          </cell>
          <cell r="M981" t="str">
            <v>S-フレーム</v>
          </cell>
          <cell r="P981" t="str">
            <v>31B0</v>
          </cell>
          <cell r="Q981" t="str">
            <v>SS400</v>
          </cell>
          <cell r="R981" t="str">
            <v>E385500_01</v>
          </cell>
          <cell r="S981">
            <v>683</v>
          </cell>
          <cell r="T981" t="str">
            <v>標準</v>
          </cell>
        </row>
        <row r="982">
          <cell r="F982" t="str">
            <v>H0000012386</v>
          </cell>
          <cell r="I982" t="str">
            <v>フレーム</v>
          </cell>
          <cell r="J982" t="str">
            <v>S-Frame_YX-83_H_1234</v>
          </cell>
          <cell r="K982" t="str">
            <v>S-フレーム_YX-83_H_1234</v>
          </cell>
          <cell r="L982" t="str">
            <v>S-Frame</v>
          </cell>
          <cell r="M982" t="str">
            <v>S-フレーム</v>
          </cell>
          <cell r="P982" t="str">
            <v>31B0</v>
          </cell>
          <cell r="Q982" t="str">
            <v>SS400</v>
          </cell>
          <cell r="R982" t="str">
            <v>E385500_01</v>
          </cell>
          <cell r="S982">
            <v>677</v>
          </cell>
          <cell r="T982" t="str">
            <v>標準</v>
          </cell>
        </row>
        <row r="983">
          <cell r="F983" t="str">
            <v>H0000012387</v>
          </cell>
          <cell r="I983" t="str">
            <v>フレーム</v>
          </cell>
          <cell r="J983" t="str">
            <v>S-Frame_YX-83_H_1234</v>
          </cell>
          <cell r="K983" t="str">
            <v>S-フレーム_YX-83_H_1234</v>
          </cell>
          <cell r="L983" t="str">
            <v>S-Frame</v>
          </cell>
          <cell r="M983" t="str">
            <v>S-フレーム</v>
          </cell>
          <cell r="P983" t="str">
            <v>31B0</v>
          </cell>
          <cell r="Q983" t="str">
            <v>SS400</v>
          </cell>
          <cell r="R983" t="str">
            <v>E385500_01</v>
          </cell>
          <cell r="S983">
            <v>682</v>
          </cell>
          <cell r="T983" t="str">
            <v>標準</v>
          </cell>
        </row>
        <row r="984">
          <cell r="F984" t="str">
            <v>H0000012388</v>
          </cell>
          <cell r="I984" t="str">
            <v>フレーム</v>
          </cell>
          <cell r="J984" t="str">
            <v>S-Frame_YX-83_H_1234</v>
          </cell>
          <cell r="K984" t="str">
            <v>S-フレーム_YX-83_H_1234</v>
          </cell>
          <cell r="L984" t="str">
            <v>S-Frame</v>
          </cell>
          <cell r="M984" t="str">
            <v>S-フレーム</v>
          </cell>
          <cell r="P984" t="str">
            <v>31B0</v>
          </cell>
          <cell r="Q984" t="str">
            <v>SS400</v>
          </cell>
          <cell r="R984" t="str">
            <v>E385500_01</v>
          </cell>
          <cell r="S984">
            <v>687</v>
          </cell>
          <cell r="T984" t="str">
            <v>標準</v>
          </cell>
        </row>
        <row r="985">
          <cell r="F985" t="str">
            <v>H0000012389</v>
          </cell>
          <cell r="I985" t="str">
            <v>フレーム</v>
          </cell>
          <cell r="J985" t="str">
            <v>S-Frame_YX-83_H_1234</v>
          </cell>
          <cell r="K985" t="str">
            <v>S-フレーム_YX-83_H_1234</v>
          </cell>
          <cell r="L985" t="str">
            <v>S-Frame</v>
          </cell>
          <cell r="M985" t="str">
            <v>S-フレーム</v>
          </cell>
          <cell r="P985" t="str">
            <v>31B0</v>
          </cell>
          <cell r="Q985" t="str">
            <v>SS400</v>
          </cell>
          <cell r="R985" t="str">
            <v>E385500_01</v>
          </cell>
          <cell r="S985">
            <v>690</v>
          </cell>
          <cell r="T985" t="str">
            <v>標準</v>
          </cell>
        </row>
        <row r="986">
          <cell r="F986" t="str">
            <v>H0000012390</v>
          </cell>
          <cell r="I986" t="str">
            <v>フレーム</v>
          </cell>
          <cell r="J986" t="str">
            <v>S-Frame_YX-83_H_1234</v>
          </cell>
          <cell r="K986" t="str">
            <v>S-フレーム_YX-83_H_1234</v>
          </cell>
          <cell r="L986" t="str">
            <v>S-Frame</v>
          </cell>
          <cell r="M986" t="str">
            <v>S-フレーム</v>
          </cell>
          <cell r="P986" t="str">
            <v>31B0</v>
          </cell>
          <cell r="Q986" t="str">
            <v>SS400</v>
          </cell>
          <cell r="R986" t="str">
            <v>E385500_01</v>
          </cell>
          <cell r="S986">
            <v>693</v>
          </cell>
          <cell r="T986" t="str">
            <v>標準</v>
          </cell>
        </row>
        <row r="987">
          <cell r="F987" t="str">
            <v>H0000012391</v>
          </cell>
          <cell r="I987" t="str">
            <v>フレーム</v>
          </cell>
          <cell r="J987" t="str">
            <v>S-Frame_YX-83_H_1234</v>
          </cell>
          <cell r="K987" t="str">
            <v>S-フレーム_YX-83_H_1234</v>
          </cell>
          <cell r="L987" t="str">
            <v>S-Frame</v>
          </cell>
          <cell r="M987" t="str">
            <v>S-フレーム</v>
          </cell>
          <cell r="P987" t="str">
            <v>31B0</v>
          </cell>
          <cell r="Q987" t="str">
            <v>SS400</v>
          </cell>
          <cell r="R987" t="str">
            <v>E385500_01</v>
          </cell>
          <cell r="S987">
            <v>686</v>
          </cell>
          <cell r="T987" t="str">
            <v>標準</v>
          </cell>
        </row>
        <row r="988">
          <cell r="F988" t="str">
            <v>H0000012392</v>
          </cell>
          <cell r="I988" t="str">
            <v>フレーム</v>
          </cell>
          <cell r="J988" t="str">
            <v>S-Frame_YX-83_H_1234</v>
          </cell>
          <cell r="K988" t="str">
            <v>S-フレーム_YX-83_H_1234</v>
          </cell>
          <cell r="L988" t="str">
            <v>S-Frame</v>
          </cell>
          <cell r="M988" t="str">
            <v>S-フレーム</v>
          </cell>
          <cell r="P988" t="str">
            <v>31B0</v>
          </cell>
          <cell r="Q988" t="str">
            <v>SS400</v>
          </cell>
          <cell r="R988" t="str">
            <v>E385500_01</v>
          </cell>
          <cell r="S988">
            <v>691</v>
          </cell>
          <cell r="T988" t="str">
            <v>標準</v>
          </cell>
        </row>
        <row r="989">
          <cell r="F989" t="str">
            <v>H0000012393</v>
          </cell>
          <cell r="I989" t="str">
            <v>フレーム</v>
          </cell>
          <cell r="J989" t="str">
            <v>S-Frame_YX-83_H_1234</v>
          </cell>
          <cell r="K989" t="str">
            <v>S-フレーム_YX-83_H_1234</v>
          </cell>
          <cell r="L989" t="str">
            <v>S-Frame</v>
          </cell>
          <cell r="M989" t="str">
            <v>S-フレーム</v>
          </cell>
          <cell r="P989" t="str">
            <v>31B0</v>
          </cell>
          <cell r="Q989" t="str">
            <v>SS400</v>
          </cell>
          <cell r="R989" t="str">
            <v>E385500_01</v>
          </cell>
          <cell r="S989">
            <v>695</v>
          </cell>
          <cell r="T989" t="str">
            <v>標準</v>
          </cell>
        </row>
        <row r="990">
          <cell r="F990" t="str">
            <v>H0000012394</v>
          </cell>
          <cell r="I990" t="str">
            <v>フレーム</v>
          </cell>
          <cell r="J990" t="str">
            <v>S-Frame_YX-83_H_1234</v>
          </cell>
          <cell r="K990" t="str">
            <v>S-フレーム_YX-83_H_1234</v>
          </cell>
          <cell r="L990" t="str">
            <v>S-Frame</v>
          </cell>
          <cell r="M990" t="str">
            <v>S-フレーム</v>
          </cell>
          <cell r="P990" t="str">
            <v>31B0</v>
          </cell>
          <cell r="Q990" t="str">
            <v>SS400</v>
          </cell>
          <cell r="R990" t="str">
            <v>E385500_01</v>
          </cell>
          <cell r="S990">
            <v>699</v>
          </cell>
          <cell r="T990" t="str">
            <v>標準</v>
          </cell>
        </row>
        <row r="991">
          <cell r="F991" t="str">
            <v>H0000012395</v>
          </cell>
          <cell r="I991" t="str">
            <v>フレーム</v>
          </cell>
          <cell r="J991" t="str">
            <v>S-Frame_YX-83_H_1234</v>
          </cell>
          <cell r="K991" t="str">
            <v>S-フレーム_YX-83_H_1234</v>
          </cell>
          <cell r="L991" t="str">
            <v>S-Frame</v>
          </cell>
          <cell r="M991" t="str">
            <v>S-フレーム</v>
          </cell>
          <cell r="P991" t="str">
            <v>31B0</v>
          </cell>
          <cell r="Q991" t="str">
            <v>SS400</v>
          </cell>
          <cell r="R991" t="str">
            <v>E385500_01</v>
          </cell>
          <cell r="S991">
            <v>702</v>
          </cell>
          <cell r="T991" t="str">
            <v>標準</v>
          </cell>
        </row>
        <row r="992">
          <cell r="F992" t="str">
            <v>H0000012396</v>
          </cell>
          <cell r="I992" t="str">
            <v>フレーム</v>
          </cell>
          <cell r="J992" t="str">
            <v>S-Frame_YX-83_H_1234</v>
          </cell>
          <cell r="K992" t="str">
            <v>S-フレーム_YX-83_H_1234</v>
          </cell>
          <cell r="L992" t="str">
            <v>S-Frame</v>
          </cell>
          <cell r="M992" t="str">
            <v>S-フレーム</v>
          </cell>
          <cell r="P992" t="str">
            <v>31B0</v>
          </cell>
          <cell r="Q992" t="str">
            <v>SS400</v>
          </cell>
          <cell r="R992" t="str">
            <v>E385500_01</v>
          </cell>
          <cell r="S992">
            <v>692</v>
          </cell>
          <cell r="T992" t="str">
            <v>標準</v>
          </cell>
        </row>
        <row r="993">
          <cell r="F993" t="str">
            <v>H0000012397</v>
          </cell>
          <cell r="I993" t="str">
            <v>フレーム</v>
          </cell>
          <cell r="J993" t="str">
            <v>S-Frame_YX-83_H_1234</v>
          </cell>
          <cell r="K993" t="str">
            <v>S-フレーム_YX-83_H_1234</v>
          </cell>
          <cell r="L993" t="str">
            <v>S-Frame</v>
          </cell>
          <cell r="M993" t="str">
            <v>S-フレーム</v>
          </cell>
          <cell r="P993" t="str">
            <v>31B0</v>
          </cell>
          <cell r="Q993" t="str">
            <v>SS400</v>
          </cell>
          <cell r="R993" t="str">
            <v>E385500_01</v>
          </cell>
          <cell r="S993">
            <v>697</v>
          </cell>
          <cell r="T993" t="str">
            <v>標準</v>
          </cell>
        </row>
        <row r="994">
          <cell r="F994" t="str">
            <v>H0000012398</v>
          </cell>
          <cell r="I994" t="str">
            <v>フレーム</v>
          </cell>
          <cell r="J994" t="str">
            <v>S-Frame_YX-83_H_1234</v>
          </cell>
          <cell r="K994" t="str">
            <v>S-フレーム_YX-83_H_1234</v>
          </cell>
          <cell r="L994" t="str">
            <v>S-Frame</v>
          </cell>
          <cell r="M994" t="str">
            <v>S-フレーム</v>
          </cell>
          <cell r="P994" t="str">
            <v>31B0</v>
          </cell>
          <cell r="Q994" t="str">
            <v>SS400</v>
          </cell>
          <cell r="R994" t="str">
            <v>E385500_01</v>
          </cell>
          <cell r="S994">
            <v>702</v>
          </cell>
          <cell r="T994" t="str">
            <v>標準</v>
          </cell>
        </row>
        <row r="995">
          <cell r="F995" t="str">
            <v>H0000012399</v>
          </cell>
          <cell r="I995" t="str">
            <v>フレーム</v>
          </cell>
          <cell r="J995" t="str">
            <v>S-Frame_YX-83_H_1234</v>
          </cell>
          <cell r="K995" t="str">
            <v>S-フレーム_YX-83_H_1234</v>
          </cell>
          <cell r="L995" t="str">
            <v>S-Frame</v>
          </cell>
          <cell r="M995" t="str">
            <v>S-フレーム</v>
          </cell>
          <cell r="P995" t="str">
            <v>31B0</v>
          </cell>
          <cell r="Q995" t="str">
            <v>SS400</v>
          </cell>
          <cell r="R995" t="str">
            <v>E385500_01</v>
          </cell>
          <cell r="S995">
            <v>705</v>
          </cell>
          <cell r="T995" t="str">
            <v>標準</v>
          </cell>
        </row>
        <row r="996">
          <cell r="F996" t="str">
            <v>H0000012400</v>
          </cell>
          <cell r="I996" t="str">
            <v>フレーム</v>
          </cell>
          <cell r="J996" t="str">
            <v>S-Frame_YX-83_H_1234</v>
          </cell>
          <cell r="K996" t="str">
            <v>S-フレーム_YX-83_H_1234</v>
          </cell>
          <cell r="L996" t="str">
            <v>S-Frame</v>
          </cell>
          <cell r="M996" t="str">
            <v>S-フレーム</v>
          </cell>
          <cell r="P996" t="str">
            <v>31B0</v>
          </cell>
          <cell r="Q996" t="str">
            <v>SS400</v>
          </cell>
          <cell r="R996" t="str">
            <v>E385500_01</v>
          </cell>
          <cell r="S996">
            <v>708</v>
          </cell>
          <cell r="T996" t="str">
            <v>標準</v>
          </cell>
        </row>
        <row r="997">
          <cell r="F997" t="str">
            <v>H0000012401</v>
          </cell>
          <cell r="I997" t="str">
            <v>フレーム</v>
          </cell>
          <cell r="J997" t="str">
            <v>S-Frame_YX-83_H_1234</v>
          </cell>
          <cell r="K997" t="str">
            <v>S-フレーム_YX-83_H_1234</v>
          </cell>
          <cell r="L997" t="str">
            <v>S-Frame</v>
          </cell>
          <cell r="M997" t="str">
            <v>S-フレーム</v>
          </cell>
          <cell r="P997" t="str">
            <v>31B0</v>
          </cell>
          <cell r="Q997" t="str">
            <v>SS400</v>
          </cell>
          <cell r="R997" t="str">
            <v>E385500_01</v>
          </cell>
          <cell r="S997">
            <v>687</v>
          </cell>
          <cell r="T997" t="str">
            <v>標準</v>
          </cell>
        </row>
        <row r="998">
          <cell r="F998" t="str">
            <v>H0000012402</v>
          </cell>
          <cell r="I998" t="str">
            <v>フレーム</v>
          </cell>
          <cell r="J998" t="str">
            <v>S-Frame_YX-83_H_1234</v>
          </cell>
          <cell r="K998" t="str">
            <v>S-フレーム_YX-83_H_1234</v>
          </cell>
          <cell r="L998" t="str">
            <v>S-Frame</v>
          </cell>
          <cell r="M998" t="str">
            <v>S-フレーム</v>
          </cell>
          <cell r="P998" t="str">
            <v>31B0</v>
          </cell>
          <cell r="Q998" t="str">
            <v>SS400</v>
          </cell>
          <cell r="R998" t="str">
            <v>E385500_01</v>
          </cell>
          <cell r="S998">
            <v>692</v>
          </cell>
          <cell r="T998" t="str">
            <v>標準</v>
          </cell>
        </row>
        <row r="999">
          <cell r="F999" t="str">
            <v>H0000012403</v>
          </cell>
          <cell r="I999" t="str">
            <v>フレーム</v>
          </cell>
          <cell r="J999" t="str">
            <v>S-Frame_YX-83_H_1234</v>
          </cell>
          <cell r="K999" t="str">
            <v>S-フレーム_YX-83_H_1234</v>
          </cell>
          <cell r="L999" t="str">
            <v>S-Frame</v>
          </cell>
          <cell r="M999" t="str">
            <v>S-フレーム</v>
          </cell>
          <cell r="P999" t="str">
            <v>31B0</v>
          </cell>
          <cell r="Q999" t="str">
            <v>SS400</v>
          </cell>
          <cell r="R999" t="str">
            <v>E385500_01</v>
          </cell>
          <cell r="S999">
            <v>697</v>
          </cell>
          <cell r="T999" t="str">
            <v>標準</v>
          </cell>
        </row>
        <row r="1000">
          <cell r="F1000" t="str">
            <v>H0000012404</v>
          </cell>
          <cell r="I1000" t="str">
            <v>フレーム</v>
          </cell>
          <cell r="J1000" t="str">
            <v>S-Frame_YX-83_H_1234</v>
          </cell>
          <cell r="K1000" t="str">
            <v>S-フレーム_YX-83_H_1234</v>
          </cell>
          <cell r="L1000" t="str">
            <v>S-Frame</v>
          </cell>
          <cell r="M1000" t="str">
            <v>S-フレーム</v>
          </cell>
          <cell r="P1000" t="str">
            <v>31B0</v>
          </cell>
          <cell r="Q1000" t="str">
            <v>SS400</v>
          </cell>
          <cell r="R1000" t="str">
            <v>E385500_01</v>
          </cell>
          <cell r="S1000">
            <v>700</v>
          </cell>
          <cell r="T1000" t="str">
            <v>標準</v>
          </cell>
        </row>
        <row r="1001">
          <cell r="F1001" t="str">
            <v>H0000012405</v>
          </cell>
          <cell r="I1001" t="str">
            <v>フレーム</v>
          </cell>
          <cell r="J1001" t="str">
            <v>S-Frame_YX-83_H_1234</v>
          </cell>
          <cell r="K1001" t="str">
            <v>S-フレーム_YX-83_H_1234</v>
          </cell>
          <cell r="L1001" t="str">
            <v>S-Frame</v>
          </cell>
          <cell r="M1001" t="str">
            <v>S-フレーム</v>
          </cell>
          <cell r="P1001" t="str">
            <v>31B0</v>
          </cell>
          <cell r="Q1001" t="str">
            <v>SS400</v>
          </cell>
          <cell r="R1001" t="str">
            <v>E385500_01</v>
          </cell>
          <cell r="S1001">
            <v>703</v>
          </cell>
          <cell r="T1001" t="str">
            <v>標準</v>
          </cell>
        </row>
        <row r="1002">
          <cell r="F1002" t="str">
            <v>H0000012406</v>
          </cell>
          <cell r="I1002" t="str">
            <v>フレーム</v>
          </cell>
          <cell r="J1002" t="str">
            <v>S-Frame_YX-83_H_1234</v>
          </cell>
          <cell r="K1002" t="str">
            <v>S-フレーム_YX-83_H_1234</v>
          </cell>
          <cell r="L1002" t="str">
            <v>S-Frame</v>
          </cell>
          <cell r="M1002" t="str">
            <v>S-フレーム</v>
          </cell>
          <cell r="P1002" t="str">
            <v>31B0</v>
          </cell>
          <cell r="Q1002" t="str">
            <v>SS400</v>
          </cell>
          <cell r="R1002" t="str">
            <v>E385500_01</v>
          </cell>
          <cell r="S1002">
            <v>696</v>
          </cell>
          <cell r="T1002" t="str">
            <v>標準</v>
          </cell>
        </row>
        <row r="1003">
          <cell r="F1003" t="str">
            <v>H0000012407</v>
          </cell>
          <cell r="I1003" t="str">
            <v>フレーム</v>
          </cell>
          <cell r="J1003" t="str">
            <v>S-Frame_YX-83_H_1234</v>
          </cell>
          <cell r="K1003" t="str">
            <v>S-フレーム_YX-83_H_1234</v>
          </cell>
          <cell r="L1003" t="str">
            <v>S-Frame</v>
          </cell>
          <cell r="M1003" t="str">
            <v>S-フレーム</v>
          </cell>
          <cell r="P1003" t="str">
            <v>31B0</v>
          </cell>
          <cell r="Q1003" t="str">
            <v>SS400</v>
          </cell>
          <cell r="R1003" t="str">
            <v>E385500_01</v>
          </cell>
          <cell r="S1003">
            <v>701</v>
          </cell>
          <cell r="T1003" t="str">
            <v>標準</v>
          </cell>
        </row>
        <row r="1004">
          <cell r="F1004" t="str">
            <v>H0000012408</v>
          </cell>
          <cell r="I1004" t="str">
            <v>フレーム</v>
          </cell>
          <cell r="J1004" t="str">
            <v>S-Frame_YX-83_H_1234</v>
          </cell>
          <cell r="K1004" t="str">
            <v>S-フレーム_YX-83_H_1234</v>
          </cell>
          <cell r="L1004" t="str">
            <v>S-Frame</v>
          </cell>
          <cell r="M1004" t="str">
            <v>S-フレーム</v>
          </cell>
          <cell r="P1004" t="str">
            <v>31B0</v>
          </cell>
          <cell r="Q1004" t="str">
            <v>SS400</v>
          </cell>
          <cell r="R1004" t="str">
            <v>E385500_01</v>
          </cell>
          <cell r="S1004">
            <v>706</v>
          </cell>
          <cell r="T1004" t="str">
            <v>標準</v>
          </cell>
        </row>
        <row r="1005">
          <cell r="F1005" t="str">
            <v>H0000012409</v>
          </cell>
          <cell r="I1005" t="str">
            <v>フレーム</v>
          </cell>
          <cell r="J1005" t="str">
            <v>S-Frame_YX-83_H_1234</v>
          </cell>
          <cell r="K1005" t="str">
            <v>S-フレーム_YX-83_H_1234</v>
          </cell>
          <cell r="L1005" t="str">
            <v>S-Frame</v>
          </cell>
          <cell r="M1005" t="str">
            <v>S-フレーム</v>
          </cell>
          <cell r="P1005" t="str">
            <v>31B0</v>
          </cell>
          <cell r="Q1005" t="str">
            <v>SS400</v>
          </cell>
          <cell r="R1005" t="str">
            <v>E385500_01</v>
          </cell>
          <cell r="S1005">
            <v>709</v>
          </cell>
          <cell r="T1005" t="str">
            <v>標準</v>
          </cell>
        </row>
        <row r="1006">
          <cell r="F1006" t="str">
            <v>H0000012410</v>
          </cell>
          <cell r="I1006" t="str">
            <v>フレーム</v>
          </cell>
          <cell r="J1006" t="str">
            <v>S-Frame_YX-83_H_1234</v>
          </cell>
          <cell r="K1006" t="str">
            <v>S-フレーム_YX-83_H_1234</v>
          </cell>
          <cell r="L1006" t="str">
            <v>S-Frame</v>
          </cell>
          <cell r="M1006" t="str">
            <v>S-フレーム</v>
          </cell>
          <cell r="P1006" t="str">
            <v>31B0</v>
          </cell>
          <cell r="Q1006" t="str">
            <v>SS400</v>
          </cell>
          <cell r="R1006" t="str">
            <v>E385500_01</v>
          </cell>
          <cell r="S1006">
            <v>712</v>
          </cell>
          <cell r="T1006" t="str">
            <v>標準</v>
          </cell>
        </row>
        <row r="1007">
          <cell r="F1007" t="str">
            <v>H0000012411</v>
          </cell>
          <cell r="I1007" t="str">
            <v>フレーム</v>
          </cell>
          <cell r="J1007" t="str">
            <v>S-Frame_YX-83_H_1234</v>
          </cell>
          <cell r="K1007" t="str">
            <v>S-フレーム_YX-83_H_1234</v>
          </cell>
          <cell r="L1007" t="str">
            <v>S-Frame</v>
          </cell>
          <cell r="M1007" t="str">
            <v>S-フレーム</v>
          </cell>
          <cell r="P1007" t="str">
            <v>31B0</v>
          </cell>
          <cell r="Q1007" t="str">
            <v>SS400</v>
          </cell>
          <cell r="R1007" t="str">
            <v>E385500_01</v>
          </cell>
          <cell r="S1007">
            <v>702</v>
          </cell>
          <cell r="T1007" t="str">
            <v>標準</v>
          </cell>
        </row>
        <row r="1008">
          <cell r="F1008" t="str">
            <v>H0000012412</v>
          </cell>
          <cell r="I1008" t="str">
            <v>フレーム</v>
          </cell>
          <cell r="J1008" t="str">
            <v>S-Frame_YX-83_H_1234</v>
          </cell>
          <cell r="K1008" t="str">
            <v>S-フレーム_YX-83_H_1234</v>
          </cell>
          <cell r="L1008" t="str">
            <v>S-Frame</v>
          </cell>
          <cell r="M1008" t="str">
            <v>S-フレーム</v>
          </cell>
          <cell r="P1008" t="str">
            <v>31B0</v>
          </cell>
          <cell r="Q1008" t="str">
            <v>SS400</v>
          </cell>
          <cell r="R1008" t="str">
            <v>E385500_01</v>
          </cell>
          <cell r="S1008">
            <v>708</v>
          </cell>
          <cell r="T1008" t="str">
            <v>標準</v>
          </cell>
        </row>
        <row r="1009">
          <cell r="F1009" t="str">
            <v>H0000012413</v>
          </cell>
          <cell r="I1009" t="str">
            <v>フレーム</v>
          </cell>
          <cell r="J1009" t="str">
            <v>S-Frame_YX-83_H_1234</v>
          </cell>
          <cell r="K1009" t="str">
            <v>S-フレーム_YX-83_H_1234</v>
          </cell>
          <cell r="L1009" t="str">
            <v>S-Frame</v>
          </cell>
          <cell r="M1009" t="str">
            <v>S-フレーム</v>
          </cell>
          <cell r="P1009" t="str">
            <v>31B0</v>
          </cell>
          <cell r="Q1009" t="str">
            <v>SS400</v>
          </cell>
          <cell r="R1009" t="str">
            <v>E385500_01</v>
          </cell>
          <cell r="S1009">
            <v>712</v>
          </cell>
          <cell r="T1009" t="str">
            <v>標準</v>
          </cell>
        </row>
        <row r="1010">
          <cell r="F1010" t="str">
            <v>H0000012414</v>
          </cell>
          <cell r="I1010" t="str">
            <v>フレーム</v>
          </cell>
          <cell r="J1010" t="str">
            <v>S-Frame_YX-83_H_1234</v>
          </cell>
          <cell r="K1010" t="str">
            <v>S-フレーム_YX-83_H_1234</v>
          </cell>
          <cell r="L1010" t="str">
            <v>S-Frame</v>
          </cell>
          <cell r="M1010" t="str">
            <v>S-フレーム</v>
          </cell>
          <cell r="P1010" t="str">
            <v>31B0</v>
          </cell>
          <cell r="Q1010" t="str">
            <v>SS400</v>
          </cell>
          <cell r="R1010" t="str">
            <v>E385500_01</v>
          </cell>
          <cell r="S1010">
            <v>716</v>
          </cell>
          <cell r="T1010" t="str">
            <v>標準</v>
          </cell>
        </row>
        <row r="1011">
          <cell r="F1011" t="str">
            <v>H0000012415</v>
          </cell>
          <cell r="I1011" t="str">
            <v>フレーム</v>
          </cell>
          <cell r="J1011" t="str">
            <v>S-Frame_YX-83_H_1234</v>
          </cell>
          <cell r="K1011" t="str">
            <v>S-フレーム_YX-83_H_1234</v>
          </cell>
          <cell r="L1011" t="str">
            <v>S-Frame</v>
          </cell>
          <cell r="M1011" t="str">
            <v>S-フレーム</v>
          </cell>
          <cell r="P1011" t="str">
            <v>31B0</v>
          </cell>
          <cell r="Q1011" t="str">
            <v>SS400</v>
          </cell>
          <cell r="R1011" t="str">
            <v>E385500_01</v>
          </cell>
          <cell r="S1011">
            <v>719</v>
          </cell>
          <cell r="T1011" t="str">
            <v>標準</v>
          </cell>
        </row>
        <row r="1012">
          <cell r="F1012" t="str">
            <v>H0000012416</v>
          </cell>
          <cell r="I1012" t="str">
            <v>フレーム</v>
          </cell>
          <cell r="J1012" t="str">
            <v>S-Frame_YX-83_H_1234</v>
          </cell>
          <cell r="K1012" t="str">
            <v>S-フレーム_YX-83_H_1234</v>
          </cell>
          <cell r="L1012" t="str">
            <v>S-Frame</v>
          </cell>
          <cell r="M1012" t="str">
            <v>S-フレーム</v>
          </cell>
          <cell r="P1012" t="str">
            <v>31B0</v>
          </cell>
          <cell r="Q1012" t="str">
            <v>SS400</v>
          </cell>
          <cell r="R1012" t="str">
            <v>E385500_01</v>
          </cell>
          <cell r="S1012">
            <v>704</v>
          </cell>
          <cell r="T1012" t="str">
            <v>標準</v>
          </cell>
        </row>
        <row r="1013">
          <cell r="F1013" t="str">
            <v>H0000012417</v>
          </cell>
          <cell r="I1013" t="str">
            <v>フレーム</v>
          </cell>
          <cell r="J1013" t="str">
            <v>S-Frame_YX-83_H_1234</v>
          </cell>
          <cell r="K1013" t="str">
            <v>S-フレーム_YX-83_H_1234</v>
          </cell>
          <cell r="L1013" t="str">
            <v>S-Frame</v>
          </cell>
          <cell r="M1013" t="str">
            <v>S-フレーム</v>
          </cell>
          <cell r="P1013" t="str">
            <v>31B0</v>
          </cell>
          <cell r="Q1013" t="str">
            <v>SS400</v>
          </cell>
          <cell r="R1013" t="str">
            <v>E385500_01</v>
          </cell>
          <cell r="S1013">
            <v>710</v>
          </cell>
          <cell r="T1013" t="str">
            <v>標準</v>
          </cell>
        </row>
        <row r="1014">
          <cell r="F1014" t="str">
            <v>H0000012418</v>
          </cell>
          <cell r="I1014" t="str">
            <v>フレーム</v>
          </cell>
          <cell r="J1014" t="str">
            <v>S-Frame_YX-83_H_1234</v>
          </cell>
          <cell r="K1014" t="str">
            <v>S-フレーム_YX-83_H_1234</v>
          </cell>
          <cell r="L1014" t="str">
            <v>S-Frame</v>
          </cell>
          <cell r="M1014" t="str">
            <v>S-フレーム</v>
          </cell>
          <cell r="P1014" t="str">
            <v>31B0</v>
          </cell>
          <cell r="Q1014" t="str">
            <v>SS400</v>
          </cell>
          <cell r="R1014" t="str">
            <v>E385500_01</v>
          </cell>
          <cell r="S1014">
            <v>714</v>
          </cell>
          <cell r="T1014" t="str">
            <v>標準</v>
          </cell>
        </row>
        <row r="1015">
          <cell r="F1015" t="str">
            <v>H0000012419</v>
          </cell>
          <cell r="I1015" t="str">
            <v>フレーム</v>
          </cell>
          <cell r="J1015" t="str">
            <v>S-Frame_YX-83_H_1234</v>
          </cell>
          <cell r="K1015" t="str">
            <v>S-フレーム_YX-83_H_1234</v>
          </cell>
          <cell r="L1015" t="str">
            <v>S-Frame</v>
          </cell>
          <cell r="M1015" t="str">
            <v>S-フレーム</v>
          </cell>
          <cell r="P1015" t="str">
            <v>31B0</v>
          </cell>
          <cell r="Q1015" t="str">
            <v>SS400</v>
          </cell>
          <cell r="R1015" t="str">
            <v>E385500_01</v>
          </cell>
          <cell r="S1015">
            <v>718</v>
          </cell>
          <cell r="T1015" t="str">
            <v>標準</v>
          </cell>
        </row>
        <row r="1016">
          <cell r="F1016" t="str">
            <v>H0000012420</v>
          </cell>
          <cell r="I1016" t="str">
            <v>フレーム</v>
          </cell>
          <cell r="J1016" t="str">
            <v>S-Frame_YX-83_H_1234</v>
          </cell>
          <cell r="K1016" t="str">
            <v>S-フレーム_YX-83_H_1234</v>
          </cell>
          <cell r="L1016" t="str">
            <v>S-Frame</v>
          </cell>
          <cell r="M1016" t="str">
            <v>S-フレーム</v>
          </cell>
          <cell r="P1016" t="str">
            <v>31B0</v>
          </cell>
          <cell r="Q1016" t="str">
            <v>SS400</v>
          </cell>
          <cell r="R1016" t="str">
            <v>E385500_01</v>
          </cell>
          <cell r="S1016">
            <v>721</v>
          </cell>
          <cell r="T1016" t="str">
            <v>標準</v>
          </cell>
        </row>
        <row r="1017">
          <cell r="F1017" t="str">
            <v>H0000012421</v>
          </cell>
          <cell r="I1017" t="str">
            <v>フレーム</v>
          </cell>
          <cell r="J1017" t="str">
            <v>S-Frame_YX-83_H_1234</v>
          </cell>
          <cell r="K1017" t="str">
            <v>S-フレーム_YX-83_H_1234</v>
          </cell>
          <cell r="L1017" t="str">
            <v>S-Frame</v>
          </cell>
          <cell r="M1017" t="str">
            <v>S-フレーム</v>
          </cell>
          <cell r="P1017" t="str">
            <v>31B0</v>
          </cell>
          <cell r="Q1017" t="str">
            <v>SS400</v>
          </cell>
          <cell r="R1017" t="str">
            <v>E385500_01</v>
          </cell>
          <cell r="S1017">
            <v>711</v>
          </cell>
          <cell r="T1017" t="str">
            <v>標準</v>
          </cell>
        </row>
        <row r="1018">
          <cell r="F1018" t="str">
            <v>H0000012422</v>
          </cell>
          <cell r="I1018" t="str">
            <v>フレーム</v>
          </cell>
          <cell r="J1018" t="str">
            <v>S-Frame_YX-83_H_1234</v>
          </cell>
          <cell r="K1018" t="str">
            <v>S-フレーム_YX-83_H_1234</v>
          </cell>
          <cell r="L1018" t="str">
            <v>S-Frame</v>
          </cell>
          <cell r="M1018" t="str">
            <v>S-フレーム</v>
          </cell>
          <cell r="P1018" t="str">
            <v>31B0</v>
          </cell>
          <cell r="Q1018" t="str">
            <v>SS400</v>
          </cell>
          <cell r="R1018" t="str">
            <v>E385500_01</v>
          </cell>
          <cell r="S1018">
            <v>716</v>
          </cell>
          <cell r="T1018" t="str">
            <v>標準</v>
          </cell>
        </row>
        <row r="1019">
          <cell r="F1019" t="str">
            <v>H0000012423</v>
          </cell>
          <cell r="I1019" t="str">
            <v>フレーム</v>
          </cell>
          <cell r="J1019" t="str">
            <v>S-Frame_YX-83_H_1234</v>
          </cell>
          <cell r="K1019" t="str">
            <v>S-フレーム_YX-83_H_1234</v>
          </cell>
          <cell r="L1019" t="str">
            <v>S-Frame</v>
          </cell>
          <cell r="M1019" t="str">
            <v>S-フレーム</v>
          </cell>
          <cell r="P1019" t="str">
            <v>31B0</v>
          </cell>
          <cell r="Q1019" t="str">
            <v>SS400</v>
          </cell>
          <cell r="R1019" t="str">
            <v>E385500_01</v>
          </cell>
          <cell r="S1019">
            <v>721</v>
          </cell>
          <cell r="T1019" t="str">
            <v>標準</v>
          </cell>
        </row>
        <row r="1020">
          <cell r="F1020" t="str">
            <v>H0000012424</v>
          </cell>
          <cell r="I1020" t="str">
            <v>フレーム</v>
          </cell>
          <cell r="J1020" t="str">
            <v>S-Frame_YX-83_H_1234</v>
          </cell>
          <cell r="K1020" t="str">
            <v>S-フレーム_YX-83_H_1234</v>
          </cell>
          <cell r="L1020" t="str">
            <v>S-Frame</v>
          </cell>
          <cell r="M1020" t="str">
            <v>S-フレーム</v>
          </cell>
          <cell r="P1020" t="str">
            <v>31B0</v>
          </cell>
          <cell r="Q1020" t="str">
            <v>SS400</v>
          </cell>
          <cell r="R1020" t="str">
            <v>E385500_01</v>
          </cell>
          <cell r="S1020">
            <v>724</v>
          </cell>
          <cell r="T1020" t="str">
            <v>標準</v>
          </cell>
        </row>
        <row r="1021">
          <cell r="F1021" t="str">
            <v>H0000012425</v>
          </cell>
          <cell r="I1021" t="str">
            <v>フレーム</v>
          </cell>
          <cell r="J1021" t="str">
            <v>S-Frame_YX-83_H_1234</v>
          </cell>
          <cell r="K1021" t="str">
            <v>S-フレーム_YX-83_H_1234</v>
          </cell>
          <cell r="L1021" t="str">
            <v>S-Frame</v>
          </cell>
          <cell r="M1021" t="str">
            <v>S-フレーム</v>
          </cell>
          <cell r="P1021" t="str">
            <v>31B0</v>
          </cell>
          <cell r="Q1021" t="str">
            <v>SS400</v>
          </cell>
          <cell r="R1021" t="str">
            <v>E385500_01</v>
          </cell>
          <cell r="S1021">
            <v>727</v>
          </cell>
          <cell r="T1021" t="str">
            <v>標準</v>
          </cell>
        </row>
        <row r="1022">
          <cell r="F1022" t="str">
            <v>H0000012426</v>
          </cell>
          <cell r="I1022" t="str">
            <v>フレーム</v>
          </cell>
          <cell r="J1022" t="str">
            <v>S-Frame_YX-83_H_1234</v>
          </cell>
          <cell r="K1022" t="str">
            <v>S-フレーム_YX-83_H_1234</v>
          </cell>
          <cell r="L1022" t="str">
            <v>S-Frame</v>
          </cell>
          <cell r="M1022" t="str">
            <v>S-フレーム</v>
          </cell>
          <cell r="P1022" t="str">
            <v>31B0</v>
          </cell>
          <cell r="Q1022" t="str">
            <v>SS400</v>
          </cell>
          <cell r="R1022" t="str">
            <v>E385500_01</v>
          </cell>
          <cell r="S1022">
            <v>718</v>
          </cell>
          <cell r="T1022" t="str">
            <v>標準</v>
          </cell>
        </row>
        <row r="1023">
          <cell r="F1023" t="str">
            <v>H0000012427</v>
          </cell>
          <cell r="I1023" t="str">
            <v>フレーム</v>
          </cell>
          <cell r="J1023" t="str">
            <v>S-Frame_YX-83_H_1234</v>
          </cell>
          <cell r="K1023" t="str">
            <v>S-フレーム_YX-83_H_1234</v>
          </cell>
          <cell r="L1023" t="str">
            <v>S-Frame</v>
          </cell>
          <cell r="M1023" t="str">
            <v>S-フレーム</v>
          </cell>
          <cell r="P1023" t="str">
            <v>31B0</v>
          </cell>
          <cell r="Q1023" t="str">
            <v>SS400</v>
          </cell>
          <cell r="R1023" t="str">
            <v>E385500_01</v>
          </cell>
          <cell r="S1023">
            <v>723</v>
          </cell>
          <cell r="T1023" t="str">
            <v>標準</v>
          </cell>
        </row>
        <row r="1024">
          <cell r="F1024" t="str">
            <v>H0000012428</v>
          </cell>
          <cell r="I1024" t="str">
            <v>フレーム</v>
          </cell>
          <cell r="J1024" t="str">
            <v>S-Frame_YX-83_H_1234</v>
          </cell>
          <cell r="K1024" t="str">
            <v>S-フレーム_YX-83_H_1234</v>
          </cell>
          <cell r="L1024" t="str">
            <v>S-Frame</v>
          </cell>
          <cell r="M1024" t="str">
            <v>S-フレーム</v>
          </cell>
          <cell r="P1024" t="str">
            <v>31B0</v>
          </cell>
          <cell r="Q1024" t="str">
            <v>SS400</v>
          </cell>
          <cell r="R1024" t="str">
            <v>E385500_01</v>
          </cell>
          <cell r="S1024">
            <v>727</v>
          </cell>
          <cell r="T1024" t="str">
            <v>標準</v>
          </cell>
        </row>
        <row r="1025">
          <cell r="F1025" t="str">
            <v>H0000012429</v>
          </cell>
          <cell r="I1025" t="str">
            <v>フレーム</v>
          </cell>
          <cell r="J1025" t="str">
            <v>S-Frame_YX-83_H_1234</v>
          </cell>
          <cell r="K1025" t="str">
            <v>S-フレーム_YX-83_H_1234</v>
          </cell>
          <cell r="L1025" t="str">
            <v>S-Frame</v>
          </cell>
          <cell r="M1025" t="str">
            <v>S-フレーム</v>
          </cell>
          <cell r="P1025" t="str">
            <v>31B0</v>
          </cell>
          <cell r="Q1025" t="str">
            <v>SS400</v>
          </cell>
          <cell r="R1025" t="str">
            <v>E385500_01</v>
          </cell>
          <cell r="S1025">
            <v>731</v>
          </cell>
          <cell r="T1025" t="str">
            <v>標準</v>
          </cell>
        </row>
        <row r="1026">
          <cell r="F1026" t="str">
            <v>H0000012430</v>
          </cell>
          <cell r="I1026" t="str">
            <v>フレーム</v>
          </cell>
          <cell r="J1026" t="str">
            <v>S-Frame_YX-83_H_1234</v>
          </cell>
          <cell r="K1026" t="str">
            <v>S-フレーム_YX-83_H_1234</v>
          </cell>
          <cell r="L1026" t="str">
            <v>S-Frame</v>
          </cell>
          <cell r="M1026" t="str">
            <v>S-フレーム</v>
          </cell>
          <cell r="P1026" t="str">
            <v>31B0</v>
          </cell>
          <cell r="Q1026" t="str">
            <v>SS400</v>
          </cell>
          <cell r="R1026" t="str">
            <v>E385500_01</v>
          </cell>
          <cell r="S1026">
            <v>734</v>
          </cell>
          <cell r="T1026" t="str">
            <v>標準</v>
          </cell>
        </row>
        <row r="1027">
          <cell r="F1027" t="str">
            <v>H0000012431</v>
          </cell>
          <cell r="I1027" t="str">
            <v>フレーム</v>
          </cell>
          <cell r="J1027" t="str">
            <v>S-Frame_YX-83_H_1234</v>
          </cell>
          <cell r="K1027" t="str">
            <v>S-フレーム_YX-83_H_1234</v>
          </cell>
          <cell r="L1027" t="str">
            <v>S-Frame</v>
          </cell>
          <cell r="M1027" t="str">
            <v>S-フレーム</v>
          </cell>
          <cell r="P1027" t="str">
            <v>31B0</v>
          </cell>
          <cell r="Q1027" t="str">
            <v>SS400</v>
          </cell>
          <cell r="R1027" t="str">
            <v>E385500_01</v>
          </cell>
          <cell r="S1027">
            <v>723</v>
          </cell>
          <cell r="T1027" t="str">
            <v>標準</v>
          </cell>
        </row>
        <row r="1028">
          <cell r="F1028" t="str">
            <v>H0000012432</v>
          </cell>
          <cell r="I1028" t="str">
            <v>フレーム</v>
          </cell>
          <cell r="J1028" t="str">
            <v>S-Frame_YX-83_H_1234</v>
          </cell>
          <cell r="K1028" t="str">
            <v>S-フレーム_YX-83_H_1234</v>
          </cell>
          <cell r="L1028" t="str">
            <v>S-Frame</v>
          </cell>
          <cell r="M1028" t="str">
            <v>S-フレーム</v>
          </cell>
          <cell r="P1028" t="str">
            <v>31B0</v>
          </cell>
          <cell r="Q1028" t="str">
            <v>SS400</v>
          </cell>
          <cell r="R1028" t="str">
            <v>E385500_01</v>
          </cell>
          <cell r="S1028">
            <v>728</v>
          </cell>
          <cell r="T1028" t="str">
            <v>標準</v>
          </cell>
        </row>
        <row r="1029">
          <cell r="F1029" t="str">
            <v>H0000012433</v>
          </cell>
          <cell r="I1029" t="str">
            <v>フレーム</v>
          </cell>
          <cell r="J1029" t="str">
            <v>S-Frame_YX-83_H_1234</v>
          </cell>
          <cell r="K1029" t="str">
            <v>S-フレーム_YX-83_H_1234</v>
          </cell>
          <cell r="L1029" t="str">
            <v>S-Frame</v>
          </cell>
          <cell r="M1029" t="str">
            <v>S-フレーム</v>
          </cell>
          <cell r="P1029" t="str">
            <v>31B0</v>
          </cell>
          <cell r="Q1029" t="str">
            <v>SS400</v>
          </cell>
          <cell r="R1029" t="str">
            <v>E385500_01</v>
          </cell>
          <cell r="S1029">
            <v>732</v>
          </cell>
          <cell r="T1029" t="str">
            <v>標準</v>
          </cell>
        </row>
        <row r="1030">
          <cell r="F1030" t="str">
            <v>H0000012434</v>
          </cell>
          <cell r="I1030" t="str">
            <v>フレーム</v>
          </cell>
          <cell r="J1030" t="str">
            <v>S-Frame_YX-83_H_1234</v>
          </cell>
          <cell r="K1030" t="str">
            <v>S-フレーム_YX-83_H_1234</v>
          </cell>
          <cell r="L1030" t="str">
            <v>S-Frame</v>
          </cell>
          <cell r="M1030" t="str">
            <v>S-フレーム</v>
          </cell>
          <cell r="P1030" t="str">
            <v>31B0</v>
          </cell>
          <cell r="Q1030" t="str">
            <v>SS400</v>
          </cell>
          <cell r="R1030" t="str">
            <v>E385500_01</v>
          </cell>
          <cell r="S1030">
            <v>736</v>
          </cell>
          <cell r="T1030" t="str">
            <v>標準</v>
          </cell>
        </row>
        <row r="1031">
          <cell r="F1031" t="str">
            <v>H0000012435</v>
          </cell>
          <cell r="I1031" t="str">
            <v>フレーム</v>
          </cell>
          <cell r="J1031" t="str">
            <v>S-Frame_YX-83_H_1234</v>
          </cell>
          <cell r="K1031" t="str">
            <v>S-フレーム_YX-83_H_1234</v>
          </cell>
          <cell r="L1031" t="str">
            <v>S-Frame</v>
          </cell>
          <cell r="M1031" t="str">
            <v>S-フレーム</v>
          </cell>
          <cell r="P1031" t="str">
            <v>31B0</v>
          </cell>
          <cell r="Q1031" t="str">
            <v>SS400</v>
          </cell>
          <cell r="R1031" t="str">
            <v>E385500_01</v>
          </cell>
          <cell r="S1031">
            <v>739</v>
          </cell>
          <cell r="T1031" t="str">
            <v>標準</v>
          </cell>
        </row>
        <row r="1032">
          <cell r="F1032" t="str">
            <v>H0000012436</v>
          </cell>
          <cell r="I1032" t="str">
            <v>フレーム</v>
          </cell>
          <cell r="J1032" t="str">
            <v>S-Frame_YX-83_H_1234</v>
          </cell>
          <cell r="K1032" t="str">
            <v>S-フレーム_YX-83_H_1234</v>
          </cell>
          <cell r="L1032" t="str">
            <v>S-Frame</v>
          </cell>
          <cell r="M1032" t="str">
            <v>S-フレーム</v>
          </cell>
          <cell r="P1032" t="str">
            <v>31B0</v>
          </cell>
          <cell r="Q1032" t="str">
            <v>SS400</v>
          </cell>
          <cell r="R1032" t="str">
            <v>E385500_01</v>
          </cell>
          <cell r="S1032">
            <v>724</v>
          </cell>
          <cell r="T1032" t="str">
            <v>標準</v>
          </cell>
        </row>
        <row r="1033">
          <cell r="F1033" t="str">
            <v>H0000012437</v>
          </cell>
          <cell r="I1033" t="str">
            <v>フレーム</v>
          </cell>
          <cell r="J1033" t="str">
            <v>S-Frame_YX-83_H_1234</v>
          </cell>
          <cell r="K1033" t="str">
            <v>S-フレーム_YX-83_H_1234</v>
          </cell>
          <cell r="L1033" t="str">
            <v>S-Frame</v>
          </cell>
          <cell r="M1033" t="str">
            <v>S-フレーム</v>
          </cell>
          <cell r="P1033" t="str">
            <v>31B0</v>
          </cell>
          <cell r="Q1033" t="str">
            <v>SS400</v>
          </cell>
          <cell r="R1033" t="str">
            <v>E385500_01</v>
          </cell>
          <cell r="S1033">
            <v>730</v>
          </cell>
          <cell r="T1033" t="str">
            <v>標準</v>
          </cell>
        </row>
        <row r="1034">
          <cell r="F1034" t="str">
            <v>H0000012438</v>
          </cell>
          <cell r="I1034" t="str">
            <v>フレーム</v>
          </cell>
          <cell r="J1034" t="str">
            <v>S-Frame_YX-83_H_1234</v>
          </cell>
          <cell r="K1034" t="str">
            <v>S-フレーム_YX-83_H_1234</v>
          </cell>
          <cell r="L1034" t="str">
            <v>S-Frame</v>
          </cell>
          <cell r="M1034" t="str">
            <v>S-フレーム</v>
          </cell>
          <cell r="P1034" t="str">
            <v>31B0</v>
          </cell>
          <cell r="Q1034" t="str">
            <v>SS400</v>
          </cell>
          <cell r="R1034" t="str">
            <v>E385500_01</v>
          </cell>
          <cell r="S1034">
            <v>734</v>
          </cell>
          <cell r="T1034" t="str">
            <v>標準</v>
          </cell>
        </row>
        <row r="1035">
          <cell r="F1035" t="str">
            <v>H0000012439</v>
          </cell>
          <cell r="I1035" t="str">
            <v>フレーム</v>
          </cell>
          <cell r="J1035" t="str">
            <v>S-Frame_YX-83_H_1234</v>
          </cell>
          <cell r="K1035" t="str">
            <v>S-フレーム_YX-83_H_1234</v>
          </cell>
          <cell r="L1035" t="str">
            <v>S-Frame</v>
          </cell>
          <cell r="M1035" t="str">
            <v>S-フレーム</v>
          </cell>
          <cell r="P1035" t="str">
            <v>31B0</v>
          </cell>
          <cell r="Q1035" t="str">
            <v>SS400</v>
          </cell>
          <cell r="R1035" t="str">
            <v>E385500_01</v>
          </cell>
          <cell r="S1035">
            <v>738</v>
          </cell>
          <cell r="T1035" t="str">
            <v>標準</v>
          </cell>
        </row>
        <row r="1036">
          <cell r="F1036" t="str">
            <v>H0000012440</v>
          </cell>
          <cell r="I1036" t="str">
            <v>フレーム</v>
          </cell>
          <cell r="J1036" t="str">
            <v>S-Frame_YX-83_H_1234</v>
          </cell>
          <cell r="K1036" t="str">
            <v>S-フレーム_YX-83_H_1234</v>
          </cell>
          <cell r="L1036" t="str">
            <v>S-Frame</v>
          </cell>
          <cell r="M1036" t="str">
            <v>S-フレーム</v>
          </cell>
          <cell r="P1036" t="str">
            <v>31B0</v>
          </cell>
          <cell r="Q1036" t="str">
            <v>SS400</v>
          </cell>
          <cell r="R1036" t="str">
            <v>E385500_01</v>
          </cell>
          <cell r="S1036">
            <v>741</v>
          </cell>
          <cell r="T1036" t="str">
            <v>標準</v>
          </cell>
        </row>
        <row r="1037">
          <cell r="F1037" t="str">
            <v>H0000012441</v>
          </cell>
          <cell r="I1037" t="str">
            <v>フレーム</v>
          </cell>
          <cell r="J1037" t="str">
            <v>S-Frame_GasCutting_YX-83_N_1234</v>
          </cell>
          <cell r="K1037" t="str">
            <v>S-フレーム_ガス溶断_YX-83_N_1234</v>
          </cell>
          <cell r="L1037" t="str">
            <v>S-Frame</v>
          </cell>
          <cell r="M1037" t="str">
            <v>S-フレーム</v>
          </cell>
          <cell r="N1037" t="str">
            <v>GasCutting</v>
          </cell>
          <cell r="O1037" t="str">
            <v>ガス溶断</v>
          </cell>
          <cell r="P1037" t="str">
            <v>31B0</v>
          </cell>
          <cell r="Q1037" t="str">
            <v>SS400</v>
          </cell>
          <cell r="R1037" t="str">
            <v>E385497_01</v>
          </cell>
          <cell r="S1037">
            <v>558</v>
          </cell>
          <cell r="T1037" t="str">
            <v>標準</v>
          </cell>
        </row>
        <row r="1038">
          <cell r="F1038" t="str">
            <v>H0000012442</v>
          </cell>
          <cell r="I1038" t="str">
            <v>フレーム</v>
          </cell>
          <cell r="J1038" t="str">
            <v>S-Frame_GasCutting_YX-83_N_1234</v>
          </cell>
          <cell r="K1038" t="str">
            <v>S-フレーム_ガス溶断_YX-83_N_1234</v>
          </cell>
          <cell r="L1038" t="str">
            <v>S-Frame</v>
          </cell>
          <cell r="M1038" t="str">
            <v>S-フレーム</v>
          </cell>
          <cell r="N1038" t="str">
            <v>GasCutting</v>
          </cell>
          <cell r="O1038" t="str">
            <v>ガス溶断</v>
          </cell>
          <cell r="P1038" t="str">
            <v>31B0</v>
          </cell>
          <cell r="Q1038" t="str">
            <v>SS400</v>
          </cell>
          <cell r="R1038" t="str">
            <v>E385497_01</v>
          </cell>
          <cell r="S1038">
            <v>563</v>
          </cell>
          <cell r="T1038" t="str">
            <v>標準</v>
          </cell>
        </row>
        <row r="1039">
          <cell r="F1039" t="str">
            <v>H0000012443</v>
          </cell>
          <cell r="I1039" t="str">
            <v>フレーム</v>
          </cell>
          <cell r="J1039" t="str">
            <v>S-Frame_GasCutting_YX-83_N_1234</v>
          </cell>
          <cell r="K1039" t="str">
            <v>S-フレーム_ガス溶断_YX-83_N_1234</v>
          </cell>
          <cell r="L1039" t="str">
            <v>S-Frame</v>
          </cell>
          <cell r="M1039" t="str">
            <v>S-フレーム</v>
          </cell>
          <cell r="N1039" t="str">
            <v>GasCutting</v>
          </cell>
          <cell r="O1039" t="str">
            <v>ガス溶断</v>
          </cell>
          <cell r="P1039" t="str">
            <v>31B0</v>
          </cell>
          <cell r="Q1039" t="str">
            <v>SS400</v>
          </cell>
          <cell r="R1039" t="str">
            <v>E385497_01</v>
          </cell>
          <cell r="S1039">
            <v>567</v>
          </cell>
          <cell r="T1039" t="str">
            <v>標準</v>
          </cell>
        </row>
        <row r="1040">
          <cell r="F1040" t="str">
            <v>H0000012444</v>
          </cell>
          <cell r="I1040" t="str">
            <v>フレーム</v>
          </cell>
          <cell r="J1040" t="str">
            <v>S-Frame_GasCutting_YX-83_N_1234</v>
          </cell>
          <cell r="K1040" t="str">
            <v>S-フレーム_ガス溶断_YX-83_N_1234</v>
          </cell>
          <cell r="L1040" t="str">
            <v>S-Frame</v>
          </cell>
          <cell r="M1040" t="str">
            <v>S-フレーム</v>
          </cell>
          <cell r="N1040" t="str">
            <v>GasCutting</v>
          </cell>
          <cell r="O1040" t="str">
            <v>ガス溶断</v>
          </cell>
          <cell r="P1040" t="str">
            <v>31B0</v>
          </cell>
          <cell r="Q1040" t="str">
            <v>SS400</v>
          </cell>
          <cell r="R1040" t="str">
            <v>E385497_01</v>
          </cell>
          <cell r="S1040">
            <v>570</v>
          </cell>
          <cell r="T1040" t="str">
            <v>標準</v>
          </cell>
        </row>
        <row r="1041">
          <cell r="F1041" t="str">
            <v>H0000012445</v>
          </cell>
          <cell r="I1041" t="str">
            <v>フレーム</v>
          </cell>
          <cell r="J1041" t="str">
            <v>S-Frame_GasCutting_YX-83_N_1234</v>
          </cell>
          <cell r="K1041" t="str">
            <v>S-フレーム_ガス溶断_YX-83_N_1234</v>
          </cell>
          <cell r="L1041" t="str">
            <v>S-Frame</v>
          </cell>
          <cell r="M1041" t="str">
            <v>S-フレーム</v>
          </cell>
          <cell r="N1041" t="str">
            <v>GasCutting</v>
          </cell>
          <cell r="O1041" t="str">
            <v>ガス溶断</v>
          </cell>
          <cell r="P1041" t="str">
            <v>31B0</v>
          </cell>
          <cell r="Q1041" t="str">
            <v>SS400</v>
          </cell>
          <cell r="R1041" t="str">
            <v>E385497_01</v>
          </cell>
          <cell r="S1041">
            <v>573</v>
          </cell>
          <cell r="T1041" t="str">
            <v>標準</v>
          </cell>
        </row>
        <row r="1042">
          <cell r="F1042" t="str">
            <v>H0000012446</v>
          </cell>
          <cell r="I1042" t="str">
            <v>フレーム</v>
          </cell>
          <cell r="J1042" t="str">
            <v>S-Frame_GasCutting_YX-83_N_1234</v>
          </cell>
          <cell r="K1042" t="str">
            <v>S-フレーム_ガス溶断_YX-83_N_1234</v>
          </cell>
          <cell r="L1042" t="str">
            <v>S-Frame</v>
          </cell>
          <cell r="M1042" t="str">
            <v>S-フレーム</v>
          </cell>
          <cell r="N1042" t="str">
            <v>GasCutting</v>
          </cell>
          <cell r="O1042" t="str">
            <v>ガス溶断</v>
          </cell>
          <cell r="P1042" t="str">
            <v>31B0</v>
          </cell>
          <cell r="Q1042" t="str">
            <v>SS400</v>
          </cell>
          <cell r="R1042" t="str">
            <v>E385497_01</v>
          </cell>
          <cell r="S1042">
            <v>566</v>
          </cell>
          <cell r="T1042" t="str">
            <v>標準</v>
          </cell>
        </row>
        <row r="1043">
          <cell r="F1043" t="str">
            <v>H0000012447</v>
          </cell>
          <cell r="I1043" t="str">
            <v>フレーム</v>
          </cell>
          <cell r="J1043" t="str">
            <v>S-Frame_GasCutting_YX-83_N_1234</v>
          </cell>
          <cell r="K1043" t="str">
            <v>S-フレーム_ガス溶断_YX-83_N_1234</v>
          </cell>
          <cell r="L1043" t="str">
            <v>S-Frame</v>
          </cell>
          <cell r="M1043" t="str">
            <v>S-フレーム</v>
          </cell>
          <cell r="N1043" t="str">
            <v>GasCutting</v>
          </cell>
          <cell r="O1043" t="str">
            <v>ガス溶断</v>
          </cell>
          <cell r="P1043" t="str">
            <v>31B0</v>
          </cell>
          <cell r="Q1043" t="str">
            <v>SS400</v>
          </cell>
          <cell r="R1043" t="str">
            <v>E385497_01</v>
          </cell>
          <cell r="S1043">
            <v>571</v>
          </cell>
          <cell r="T1043" t="str">
            <v>標準</v>
          </cell>
        </row>
        <row r="1044">
          <cell r="F1044" t="str">
            <v>H0000012448</v>
          </cell>
          <cell r="I1044" t="str">
            <v>フレーム</v>
          </cell>
          <cell r="J1044" t="str">
            <v>S-Frame_GasCutting_YX-83_N_1234</v>
          </cell>
          <cell r="K1044" t="str">
            <v>S-フレーム_ガス溶断_YX-83_N_1234</v>
          </cell>
          <cell r="L1044" t="str">
            <v>S-Frame</v>
          </cell>
          <cell r="M1044" t="str">
            <v>S-フレーム</v>
          </cell>
          <cell r="N1044" t="str">
            <v>GasCutting</v>
          </cell>
          <cell r="O1044" t="str">
            <v>ガス溶断</v>
          </cell>
          <cell r="P1044" t="str">
            <v>31B0</v>
          </cell>
          <cell r="Q1044" t="str">
            <v>SS400</v>
          </cell>
          <cell r="R1044" t="str">
            <v>E385497_01</v>
          </cell>
          <cell r="S1044">
            <v>575</v>
          </cell>
          <cell r="T1044" t="str">
            <v>標準</v>
          </cell>
        </row>
        <row r="1045">
          <cell r="F1045" t="str">
            <v>H0000012449</v>
          </cell>
          <cell r="I1045" t="str">
            <v>フレーム</v>
          </cell>
          <cell r="J1045" t="str">
            <v>S-Frame_GasCutting_YX-83_N_1234</v>
          </cell>
          <cell r="K1045" t="str">
            <v>S-フレーム_ガス溶断_YX-83_N_1234</v>
          </cell>
          <cell r="L1045" t="str">
            <v>S-Frame</v>
          </cell>
          <cell r="M1045" t="str">
            <v>S-フレーム</v>
          </cell>
          <cell r="N1045" t="str">
            <v>GasCutting</v>
          </cell>
          <cell r="O1045" t="str">
            <v>ガス溶断</v>
          </cell>
          <cell r="P1045" t="str">
            <v>31B0</v>
          </cell>
          <cell r="Q1045" t="str">
            <v>SS400</v>
          </cell>
          <cell r="R1045" t="str">
            <v>E385497_01</v>
          </cell>
          <cell r="S1045">
            <v>578</v>
          </cell>
          <cell r="T1045" t="str">
            <v>標準</v>
          </cell>
        </row>
        <row r="1046">
          <cell r="F1046" t="str">
            <v>H0000012450</v>
          </cell>
          <cell r="I1046" t="str">
            <v>フレーム</v>
          </cell>
          <cell r="J1046" t="str">
            <v>S-Frame_GasCutting_YX-83_N_1234</v>
          </cell>
          <cell r="K1046" t="str">
            <v>S-フレーム_ガス溶断_YX-83_N_1234</v>
          </cell>
          <cell r="L1046" t="str">
            <v>S-Frame</v>
          </cell>
          <cell r="M1046" t="str">
            <v>S-フレーム</v>
          </cell>
          <cell r="N1046" t="str">
            <v>GasCutting</v>
          </cell>
          <cell r="O1046" t="str">
            <v>ガス溶断</v>
          </cell>
          <cell r="P1046" t="str">
            <v>31B0</v>
          </cell>
          <cell r="Q1046" t="str">
            <v>SS400</v>
          </cell>
          <cell r="R1046" t="str">
            <v>E385497_01</v>
          </cell>
          <cell r="S1046">
            <v>581</v>
          </cell>
          <cell r="T1046" t="str">
            <v>標準</v>
          </cell>
        </row>
        <row r="1047">
          <cell r="F1047" t="str">
            <v>H0000012451</v>
          </cell>
          <cell r="I1047" t="str">
            <v>フレーム</v>
          </cell>
          <cell r="J1047" t="str">
            <v>S-Frame_GasCutting_YX-83_N_1234</v>
          </cell>
          <cell r="K1047" t="str">
            <v>S-フレーム_ガス溶断_YX-83_N_1234</v>
          </cell>
          <cell r="L1047" t="str">
            <v>S-Frame</v>
          </cell>
          <cell r="M1047" t="str">
            <v>S-フレーム</v>
          </cell>
          <cell r="N1047" t="str">
            <v>GasCutting</v>
          </cell>
          <cell r="O1047" t="str">
            <v>ガス溶断</v>
          </cell>
          <cell r="P1047" t="str">
            <v>31B0</v>
          </cell>
          <cell r="Q1047" t="str">
            <v>SS400</v>
          </cell>
          <cell r="R1047" t="str">
            <v>E385497_01</v>
          </cell>
          <cell r="S1047">
            <v>575</v>
          </cell>
          <cell r="T1047" t="str">
            <v>標準</v>
          </cell>
        </row>
        <row r="1048">
          <cell r="F1048" t="str">
            <v>H0000012452</v>
          </cell>
          <cell r="I1048" t="str">
            <v>フレーム</v>
          </cell>
          <cell r="J1048" t="str">
            <v>S-Frame_GasCutting_YX-83_N_1234</v>
          </cell>
          <cell r="K1048" t="str">
            <v>S-フレーム_ガス溶断_YX-83_N_1234</v>
          </cell>
          <cell r="L1048" t="str">
            <v>S-Frame</v>
          </cell>
          <cell r="M1048" t="str">
            <v>S-フレーム</v>
          </cell>
          <cell r="N1048" t="str">
            <v>GasCutting</v>
          </cell>
          <cell r="O1048" t="str">
            <v>ガス溶断</v>
          </cell>
          <cell r="P1048" t="str">
            <v>31B0</v>
          </cell>
          <cell r="Q1048" t="str">
            <v>SS400</v>
          </cell>
          <cell r="R1048" t="str">
            <v>E385497_01</v>
          </cell>
          <cell r="S1048">
            <v>580</v>
          </cell>
          <cell r="T1048" t="str">
            <v>標準</v>
          </cell>
        </row>
        <row r="1049">
          <cell r="F1049" t="str">
            <v>H0000012453</v>
          </cell>
          <cell r="I1049" t="str">
            <v>フレーム</v>
          </cell>
          <cell r="J1049" t="str">
            <v>S-Frame_GasCutting_YX-83_N_1234</v>
          </cell>
          <cell r="K1049" t="str">
            <v>S-フレーム_ガス溶断_YX-83_N_1234</v>
          </cell>
          <cell r="L1049" t="str">
            <v>S-Frame</v>
          </cell>
          <cell r="M1049" t="str">
            <v>S-フレーム</v>
          </cell>
          <cell r="N1049" t="str">
            <v>GasCutting</v>
          </cell>
          <cell r="O1049" t="str">
            <v>ガス溶断</v>
          </cell>
          <cell r="P1049" t="str">
            <v>31B0</v>
          </cell>
          <cell r="Q1049" t="str">
            <v>SS400</v>
          </cell>
          <cell r="R1049" t="str">
            <v>E385497_01</v>
          </cell>
          <cell r="S1049">
            <v>584</v>
          </cell>
          <cell r="T1049" t="str">
            <v>標準</v>
          </cell>
        </row>
        <row r="1050">
          <cell r="F1050" t="str">
            <v>H0000012454</v>
          </cell>
          <cell r="I1050" t="str">
            <v>フレーム</v>
          </cell>
          <cell r="J1050" t="str">
            <v>S-Frame_GasCutting_YX-83_N_1234</v>
          </cell>
          <cell r="K1050" t="str">
            <v>S-フレーム_ガス溶断_YX-83_N_1234</v>
          </cell>
          <cell r="L1050" t="str">
            <v>S-Frame</v>
          </cell>
          <cell r="M1050" t="str">
            <v>S-フレーム</v>
          </cell>
          <cell r="N1050" t="str">
            <v>GasCutting</v>
          </cell>
          <cell r="O1050" t="str">
            <v>ガス溶断</v>
          </cell>
          <cell r="P1050" t="str">
            <v>31B0</v>
          </cell>
          <cell r="Q1050" t="str">
            <v>SS400</v>
          </cell>
          <cell r="R1050" t="str">
            <v>E385497_01</v>
          </cell>
          <cell r="S1050">
            <v>587</v>
          </cell>
          <cell r="T1050" t="str">
            <v>標準</v>
          </cell>
        </row>
        <row r="1051">
          <cell r="F1051" t="str">
            <v>H0000012455</v>
          </cell>
          <cell r="I1051" t="str">
            <v>フレーム</v>
          </cell>
          <cell r="J1051" t="str">
            <v>S-Frame_GasCutting_YX-83_N_1234</v>
          </cell>
          <cell r="K1051" t="str">
            <v>S-フレーム_ガス溶断_YX-83_N_1234</v>
          </cell>
          <cell r="L1051" t="str">
            <v>S-Frame</v>
          </cell>
          <cell r="M1051" t="str">
            <v>S-フレーム</v>
          </cell>
          <cell r="N1051" t="str">
            <v>GasCutting</v>
          </cell>
          <cell r="O1051" t="str">
            <v>ガス溶断</v>
          </cell>
          <cell r="P1051" t="str">
            <v>31B0</v>
          </cell>
          <cell r="Q1051" t="str">
            <v>SS400</v>
          </cell>
          <cell r="R1051" t="str">
            <v>E385497_01</v>
          </cell>
          <cell r="S1051">
            <v>590</v>
          </cell>
          <cell r="T1051" t="str">
            <v>標準</v>
          </cell>
        </row>
        <row r="1052">
          <cell r="F1052" t="str">
            <v>H0000012456</v>
          </cell>
          <cell r="I1052" t="str">
            <v>フレーム</v>
          </cell>
          <cell r="J1052" t="str">
            <v>S-Frame_GasCutting_YX-83_N_1234</v>
          </cell>
          <cell r="K1052" t="str">
            <v>S-フレーム_ガス溶断_YX-83_N_1234</v>
          </cell>
          <cell r="L1052" t="str">
            <v>S-Frame</v>
          </cell>
          <cell r="M1052" t="str">
            <v>S-フレーム</v>
          </cell>
          <cell r="N1052" t="str">
            <v>GasCutting</v>
          </cell>
          <cell r="O1052" t="str">
            <v>ガス溶断</v>
          </cell>
          <cell r="P1052" t="str">
            <v>31B0</v>
          </cell>
          <cell r="Q1052" t="str">
            <v>SS400</v>
          </cell>
          <cell r="R1052" t="str">
            <v>E385497_01</v>
          </cell>
          <cell r="S1052">
            <v>583</v>
          </cell>
          <cell r="T1052" t="str">
            <v>標準</v>
          </cell>
        </row>
        <row r="1053">
          <cell r="F1053" t="str">
            <v>H0000012457</v>
          </cell>
          <cell r="I1053" t="str">
            <v>フレーム</v>
          </cell>
          <cell r="J1053" t="str">
            <v>S-Frame_GasCutting_YX-83_N_1234</v>
          </cell>
          <cell r="K1053" t="str">
            <v>S-フレーム_ガス溶断_YX-83_N_1234</v>
          </cell>
          <cell r="L1053" t="str">
            <v>S-Frame</v>
          </cell>
          <cell r="M1053" t="str">
            <v>S-フレーム</v>
          </cell>
          <cell r="N1053" t="str">
            <v>GasCutting</v>
          </cell>
          <cell r="O1053" t="str">
            <v>ガス溶断</v>
          </cell>
          <cell r="P1053" t="str">
            <v>31B0</v>
          </cell>
          <cell r="Q1053" t="str">
            <v>SS400</v>
          </cell>
          <cell r="R1053" t="str">
            <v>E385497_01</v>
          </cell>
          <cell r="S1053">
            <v>588</v>
          </cell>
          <cell r="T1053" t="str">
            <v>標準</v>
          </cell>
        </row>
        <row r="1054">
          <cell r="F1054" t="str">
            <v>H0000012458</v>
          </cell>
          <cell r="I1054" t="str">
            <v>フレーム</v>
          </cell>
          <cell r="J1054" t="str">
            <v>S-Frame_GasCutting_YX-83_N_1234</v>
          </cell>
          <cell r="K1054" t="str">
            <v>S-フレーム_ガス溶断_YX-83_N_1234</v>
          </cell>
          <cell r="L1054" t="str">
            <v>S-Frame</v>
          </cell>
          <cell r="M1054" t="str">
            <v>S-フレーム</v>
          </cell>
          <cell r="N1054" t="str">
            <v>GasCutting</v>
          </cell>
          <cell r="O1054" t="str">
            <v>ガス溶断</v>
          </cell>
          <cell r="P1054" t="str">
            <v>31B0</v>
          </cell>
          <cell r="Q1054" t="str">
            <v>SS400</v>
          </cell>
          <cell r="R1054" t="str">
            <v>E385497_01</v>
          </cell>
          <cell r="S1054">
            <v>592</v>
          </cell>
          <cell r="T1054" t="str">
            <v>標準</v>
          </cell>
        </row>
        <row r="1055">
          <cell r="F1055" t="str">
            <v>H0000012459</v>
          </cell>
          <cell r="I1055" t="str">
            <v>フレーム</v>
          </cell>
          <cell r="J1055" t="str">
            <v>S-Frame_GasCutting_YX-83_N_1234</v>
          </cell>
          <cell r="K1055" t="str">
            <v>S-フレーム_ガス溶断_YX-83_N_1234</v>
          </cell>
          <cell r="L1055" t="str">
            <v>S-Frame</v>
          </cell>
          <cell r="M1055" t="str">
            <v>S-フレーム</v>
          </cell>
          <cell r="N1055" t="str">
            <v>GasCutting</v>
          </cell>
          <cell r="O1055" t="str">
            <v>ガス溶断</v>
          </cell>
          <cell r="P1055" t="str">
            <v>31B0</v>
          </cell>
          <cell r="Q1055" t="str">
            <v>SS400</v>
          </cell>
          <cell r="R1055" t="str">
            <v>E385497_01</v>
          </cell>
          <cell r="S1055">
            <v>595</v>
          </cell>
          <cell r="T1055" t="str">
            <v>標準</v>
          </cell>
        </row>
        <row r="1056">
          <cell r="F1056" t="str">
            <v>H0000012460</v>
          </cell>
          <cell r="I1056" t="str">
            <v>フレーム</v>
          </cell>
          <cell r="J1056" t="str">
            <v>S-Frame_GasCutting_YX-83_N_1234</v>
          </cell>
          <cell r="K1056" t="str">
            <v>S-フレーム_ガス溶断_YX-83_N_1234</v>
          </cell>
          <cell r="L1056" t="str">
            <v>S-Frame</v>
          </cell>
          <cell r="M1056" t="str">
            <v>S-フレーム</v>
          </cell>
          <cell r="N1056" t="str">
            <v>GasCutting</v>
          </cell>
          <cell r="O1056" t="str">
            <v>ガス溶断</v>
          </cell>
          <cell r="P1056" t="str">
            <v>31B0</v>
          </cell>
          <cell r="Q1056" t="str">
            <v>SS400</v>
          </cell>
          <cell r="R1056" t="str">
            <v>E385497_01</v>
          </cell>
          <cell r="S1056">
            <v>598</v>
          </cell>
          <cell r="T1056" t="str">
            <v>標準</v>
          </cell>
        </row>
        <row r="1057">
          <cell r="F1057" t="str">
            <v>H0000012461</v>
          </cell>
          <cell r="I1057" t="str">
            <v>フレーム</v>
          </cell>
          <cell r="J1057" t="str">
            <v>S-Frame_GasCutting_YX-83_N_1234</v>
          </cell>
          <cell r="K1057" t="str">
            <v>S-フレーム_ガス溶断_YX-83_N_1234</v>
          </cell>
          <cell r="L1057" t="str">
            <v>S-Frame</v>
          </cell>
          <cell r="M1057" t="str">
            <v>S-フレーム</v>
          </cell>
          <cell r="N1057" t="str">
            <v>GasCutting</v>
          </cell>
          <cell r="O1057" t="str">
            <v>ガス溶断</v>
          </cell>
          <cell r="P1057" t="str">
            <v>31B0</v>
          </cell>
          <cell r="Q1057" t="str">
            <v>SS400</v>
          </cell>
          <cell r="R1057" t="str">
            <v>E385497_01</v>
          </cell>
          <cell r="S1057">
            <v>589</v>
          </cell>
          <cell r="T1057" t="str">
            <v>標準</v>
          </cell>
        </row>
        <row r="1058">
          <cell r="F1058" t="str">
            <v>H0000012462</v>
          </cell>
          <cell r="I1058" t="str">
            <v>フレーム</v>
          </cell>
          <cell r="J1058" t="str">
            <v>S-Frame_GasCutting_YX-83_N_1234</v>
          </cell>
          <cell r="K1058" t="str">
            <v>S-フレーム_ガス溶断_YX-83_N_1234</v>
          </cell>
          <cell r="L1058" t="str">
            <v>S-Frame</v>
          </cell>
          <cell r="M1058" t="str">
            <v>S-フレーム</v>
          </cell>
          <cell r="N1058" t="str">
            <v>GasCutting</v>
          </cell>
          <cell r="O1058" t="str">
            <v>ガス溶断</v>
          </cell>
          <cell r="P1058" t="str">
            <v>31B0</v>
          </cell>
          <cell r="Q1058" t="str">
            <v>SS400</v>
          </cell>
          <cell r="R1058" t="str">
            <v>E385497_01</v>
          </cell>
          <cell r="S1058">
            <v>594</v>
          </cell>
          <cell r="T1058" t="str">
            <v>標準</v>
          </cell>
        </row>
        <row r="1059">
          <cell r="F1059" t="str">
            <v>H0000012463</v>
          </cell>
          <cell r="I1059" t="str">
            <v>フレーム</v>
          </cell>
          <cell r="J1059" t="str">
            <v>S-Frame_GasCutting_YX-83_N_1234</v>
          </cell>
          <cell r="K1059" t="str">
            <v>S-フレーム_ガス溶断_YX-83_N_1234</v>
          </cell>
          <cell r="L1059" t="str">
            <v>S-Frame</v>
          </cell>
          <cell r="M1059" t="str">
            <v>S-フレーム</v>
          </cell>
          <cell r="N1059" t="str">
            <v>GasCutting</v>
          </cell>
          <cell r="O1059" t="str">
            <v>ガス溶断</v>
          </cell>
          <cell r="P1059" t="str">
            <v>31B0</v>
          </cell>
          <cell r="Q1059" t="str">
            <v>SS400</v>
          </cell>
          <cell r="R1059" t="str">
            <v>E385497_01</v>
          </cell>
          <cell r="S1059">
            <v>598</v>
          </cell>
          <cell r="T1059" t="str">
            <v>標準</v>
          </cell>
        </row>
        <row r="1060">
          <cell r="F1060" t="str">
            <v>H0000012464</v>
          </cell>
          <cell r="I1060" t="str">
            <v>フレーム</v>
          </cell>
          <cell r="J1060" t="str">
            <v>S-Frame_GasCutting_YX-83_N_1234</v>
          </cell>
          <cell r="K1060" t="str">
            <v>S-フレーム_ガス溶断_YX-83_N_1234</v>
          </cell>
          <cell r="L1060" t="str">
            <v>S-Frame</v>
          </cell>
          <cell r="M1060" t="str">
            <v>S-フレーム</v>
          </cell>
          <cell r="N1060" t="str">
            <v>GasCutting</v>
          </cell>
          <cell r="O1060" t="str">
            <v>ガス溶断</v>
          </cell>
          <cell r="P1060" t="str">
            <v>31B0</v>
          </cell>
          <cell r="Q1060" t="str">
            <v>SS400</v>
          </cell>
          <cell r="R1060" t="str">
            <v>E385497_01</v>
          </cell>
          <cell r="S1060">
            <v>601</v>
          </cell>
          <cell r="T1060" t="str">
            <v>標準</v>
          </cell>
        </row>
        <row r="1061">
          <cell r="F1061" t="str">
            <v>H0000012465</v>
          </cell>
          <cell r="I1061" t="str">
            <v>フレーム</v>
          </cell>
          <cell r="J1061" t="str">
            <v>S-Frame_GasCutting_YX-83_N_1234</v>
          </cell>
          <cell r="K1061" t="str">
            <v>S-フレーム_ガス溶断_YX-83_N_1234</v>
          </cell>
          <cell r="L1061" t="str">
            <v>S-Frame</v>
          </cell>
          <cell r="M1061" t="str">
            <v>S-フレーム</v>
          </cell>
          <cell r="N1061" t="str">
            <v>GasCutting</v>
          </cell>
          <cell r="O1061" t="str">
            <v>ガス溶断</v>
          </cell>
          <cell r="P1061" t="str">
            <v>31B0</v>
          </cell>
          <cell r="Q1061" t="str">
            <v>SS400</v>
          </cell>
          <cell r="R1061" t="str">
            <v>E385497_01</v>
          </cell>
          <cell r="S1061">
            <v>604</v>
          </cell>
          <cell r="T1061" t="str">
            <v>標準</v>
          </cell>
        </row>
        <row r="1062">
          <cell r="F1062" t="str">
            <v>H0000012466</v>
          </cell>
          <cell r="I1062" t="str">
            <v>フレーム</v>
          </cell>
          <cell r="J1062" t="str">
            <v>S-Frame_GasCutting_YX-83_N_1234</v>
          </cell>
          <cell r="K1062" t="str">
            <v>S-フレーム_ガス溶断_YX-83_N_1234</v>
          </cell>
          <cell r="L1062" t="str">
            <v>S-Frame</v>
          </cell>
          <cell r="M1062" t="str">
            <v>S-フレーム</v>
          </cell>
          <cell r="N1062" t="str">
            <v>GasCutting</v>
          </cell>
          <cell r="O1062" t="str">
            <v>ガス溶断</v>
          </cell>
          <cell r="P1062" t="str">
            <v>31B0</v>
          </cell>
          <cell r="Q1062" t="str">
            <v>SS400</v>
          </cell>
          <cell r="R1062" t="str">
            <v>E385497_01</v>
          </cell>
          <cell r="S1062">
            <v>574</v>
          </cell>
          <cell r="T1062" t="str">
            <v>標準</v>
          </cell>
        </row>
        <row r="1063">
          <cell r="F1063" t="str">
            <v>H0000012467</v>
          </cell>
          <cell r="I1063" t="str">
            <v>フレーム</v>
          </cell>
          <cell r="J1063" t="str">
            <v>S-Frame_GasCutting_YX-83_N_1234</v>
          </cell>
          <cell r="K1063" t="str">
            <v>S-フレーム_ガス溶断_YX-83_N_1234</v>
          </cell>
          <cell r="L1063" t="str">
            <v>S-Frame</v>
          </cell>
          <cell r="M1063" t="str">
            <v>S-フレーム</v>
          </cell>
          <cell r="N1063" t="str">
            <v>GasCutting</v>
          </cell>
          <cell r="O1063" t="str">
            <v>ガス溶断</v>
          </cell>
          <cell r="P1063" t="str">
            <v>31B0</v>
          </cell>
          <cell r="Q1063" t="str">
            <v>SS400</v>
          </cell>
          <cell r="R1063" t="str">
            <v>E385497_01</v>
          </cell>
          <cell r="S1063">
            <v>578</v>
          </cell>
          <cell r="T1063" t="str">
            <v>標準</v>
          </cell>
        </row>
        <row r="1064">
          <cell r="F1064" t="str">
            <v>H0000012468</v>
          </cell>
          <cell r="I1064" t="str">
            <v>フレーム</v>
          </cell>
          <cell r="J1064" t="str">
            <v>S-Frame_GasCutting_YX-83_N_1234</v>
          </cell>
          <cell r="K1064" t="str">
            <v>S-フレーム_ガス溶断_YX-83_N_1234</v>
          </cell>
          <cell r="L1064" t="str">
            <v>S-Frame</v>
          </cell>
          <cell r="M1064" t="str">
            <v>S-フレーム</v>
          </cell>
          <cell r="N1064" t="str">
            <v>GasCutting</v>
          </cell>
          <cell r="O1064" t="str">
            <v>ガス溶断</v>
          </cell>
          <cell r="P1064" t="str">
            <v>31B0</v>
          </cell>
          <cell r="Q1064" t="str">
            <v>SS400</v>
          </cell>
          <cell r="R1064" t="str">
            <v>E385497_01</v>
          </cell>
          <cell r="S1064">
            <v>582</v>
          </cell>
          <cell r="T1064" t="str">
            <v>標準</v>
          </cell>
        </row>
        <row r="1065">
          <cell r="F1065" t="str">
            <v>H0000012469</v>
          </cell>
          <cell r="I1065" t="str">
            <v>フレーム</v>
          </cell>
          <cell r="J1065" t="str">
            <v>S-Frame_GasCutting_YX-83_N_1234</v>
          </cell>
          <cell r="K1065" t="str">
            <v>S-フレーム_ガス溶断_YX-83_N_1234</v>
          </cell>
          <cell r="L1065" t="str">
            <v>S-Frame</v>
          </cell>
          <cell r="M1065" t="str">
            <v>S-フレーム</v>
          </cell>
          <cell r="N1065" t="str">
            <v>GasCutting</v>
          </cell>
          <cell r="O1065" t="str">
            <v>ガス溶断</v>
          </cell>
          <cell r="P1065" t="str">
            <v>31B0</v>
          </cell>
          <cell r="Q1065" t="str">
            <v>SS400</v>
          </cell>
          <cell r="R1065" t="str">
            <v>E385497_01</v>
          </cell>
          <cell r="S1065">
            <v>586</v>
          </cell>
          <cell r="T1065" t="str">
            <v>標準</v>
          </cell>
        </row>
        <row r="1066">
          <cell r="F1066" t="str">
            <v>H0000012470</v>
          </cell>
          <cell r="I1066" t="str">
            <v>フレーム</v>
          </cell>
          <cell r="J1066" t="str">
            <v>S-Frame_GasCutting_YX-83_N_1234</v>
          </cell>
          <cell r="K1066" t="str">
            <v>S-フレーム_ガス溶断_YX-83_N_1234</v>
          </cell>
          <cell r="L1066" t="str">
            <v>S-Frame</v>
          </cell>
          <cell r="M1066" t="str">
            <v>S-フレーム</v>
          </cell>
          <cell r="N1066" t="str">
            <v>GasCutting</v>
          </cell>
          <cell r="O1066" t="str">
            <v>ガス溶断</v>
          </cell>
          <cell r="P1066" t="str">
            <v>31B0</v>
          </cell>
          <cell r="Q1066" t="str">
            <v>SS400</v>
          </cell>
          <cell r="R1066" t="str">
            <v>E385497_01</v>
          </cell>
          <cell r="S1066">
            <v>588</v>
          </cell>
          <cell r="T1066" t="str">
            <v>標準</v>
          </cell>
        </row>
        <row r="1067">
          <cell r="F1067" t="str">
            <v>H0000012471</v>
          </cell>
          <cell r="I1067" t="str">
            <v>フレーム</v>
          </cell>
          <cell r="J1067" t="str">
            <v>S-Frame_GasCutting_YX-83_N_1234</v>
          </cell>
          <cell r="K1067" t="str">
            <v>S-フレーム_ガス溶断_YX-83_N_1234</v>
          </cell>
          <cell r="L1067" t="str">
            <v>S-Frame</v>
          </cell>
          <cell r="M1067" t="str">
            <v>S-フレーム</v>
          </cell>
          <cell r="N1067" t="str">
            <v>GasCutting</v>
          </cell>
          <cell r="O1067" t="str">
            <v>ガス溶断</v>
          </cell>
          <cell r="P1067" t="str">
            <v>31B0</v>
          </cell>
          <cell r="Q1067" t="str">
            <v>SS400</v>
          </cell>
          <cell r="R1067" t="str">
            <v>E385497_01</v>
          </cell>
          <cell r="S1067">
            <v>583</v>
          </cell>
          <cell r="T1067" t="str">
            <v>標準</v>
          </cell>
        </row>
        <row r="1068">
          <cell r="F1068" t="str">
            <v>H0000012472</v>
          </cell>
          <cell r="I1068" t="str">
            <v>フレーム</v>
          </cell>
          <cell r="J1068" t="str">
            <v>S-Frame_GasCutting_YX-83_N_1234</v>
          </cell>
          <cell r="K1068" t="str">
            <v>S-フレーム_ガス溶断_YX-83_N_1234</v>
          </cell>
          <cell r="L1068" t="str">
            <v>S-Frame</v>
          </cell>
          <cell r="M1068" t="str">
            <v>S-フレーム</v>
          </cell>
          <cell r="N1068" t="str">
            <v>GasCutting</v>
          </cell>
          <cell r="O1068" t="str">
            <v>ガス溶断</v>
          </cell>
          <cell r="P1068" t="str">
            <v>31B0</v>
          </cell>
          <cell r="Q1068" t="str">
            <v>SS400</v>
          </cell>
          <cell r="R1068" t="str">
            <v>E385497_01</v>
          </cell>
          <cell r="S1068">
            <v>588</v>
          </cell>
          <cell r="T1068" t="str">
            <v>標準</v>
          </cell>
        </row>
        <row r="1069">
          <cell r="F1069" t="str">
            <v>H0000012473</v>
          </cell>
          <cell r="I1069" t="str">
            <v>フレーム</v>
          </cell>
          <cell r="J1069" t="str">
            <v>S-Frame_GasCutting_YX-83_N_1234</v>
          </cell>
          <cell r="K1069" t="str">
            <v>S-フレーム_ガス溶断_YX-83_N_1234</v>
          </cell>
          <cell r="L1069" t="str">
            <v>S-Frame</v>
          </cell>
          <cell r="M1069" t="str">
            <v>S-フレーム</v>
          </cell>
          <cell r="N1069" t="str">
            <v>GasCutting</v>
          </cell>
          <cell r="O1069" t="str">
            <v>ガス溶断</v>
          </cell>
          <cell r="P1069" t="str">
            <v>31B0</v>
          </cell>
          <cell r="Q1069" t="str">
            <v>SS400</v>
          </cell>
          <cell r="R1069" t="str">
            <v>E385497_01</v>
          </cell>
          <cell r="S1069">
            <v>592</v>
          </cell>
          <cell r="T1069" t="str">
            <v>標準</v>
          </cell>
        </row>
        <row r="1070">
          <cell r="F1070" t="str">
            <v>H0000012474</v>
          </cell>
          <cell r="I1070" t="str">
            <v>フレーム</v>
          </cell>
          <cell r="J1070" t="str">
            <v>S-Frame_GasCutting_YX-83_N_1234</v>
          </cell>
          <cell r="K1070" t="str">
            <v>S-フレーム_ガス溶断_YX-83_N_1234</v>
          </cell>
          <cell r="L1070" t="str">
            <v>S-Frame</v>
          </cell>
          <cell r="M1070" t="str">
            <v>S-フレーム</v>
          </cell>
          <cell r="N1070" t="str">
            <v>GasCutting</v>
          </cell>
          <cell r="O1070" t="str">
            <v>ガス溶断</v>
          </cell>
          <cell r="P1070" t="str">
            <v>31B0</v>
          </cell>
          <cell r="Q1070" t="str">
            <v>SS400</v>
          </cell>
          <cell r="R1070" t="str">
            <v>E385497_01</v>
          </cell>
          <cell r="S1070">
            <v>595</v>
          </cell>
          <cell r="T1070" t="str">
            <v>標準</v>
          </cell>
        </row>
        <row r="1071">
          <cell r="F1071" t="str">
            <v>H0000012475</v>
          </cell>
          <cell r="I1071" t="str">
            <v>フレーム</v>
          </cell>
          <cell r="J1071" t="str">
            <v>S-Frame_GasCutting_YX-83_N_1234</v>
          </cell>
          <cell r="K1071" t="str">
            <v>S-フレーム_ガス溶断_YX-83_N_1234</v>
          </cell>
          <cell r="L1071" t="str">
            <v>S-Frame</v>
          </cell>
          <cell r="M1071" t="str">
            <v>S-フレーム</v>
          </cell>
          <cell r="N1071" t="str">
            <v>GasCutting</v>
          </cell>
          <cell r="O1071" t="str">
            <v>ガス溶断</v>
          </cell>
          <cell r="P1071" t="str">
            <v>31B0</v>
          </cell>
          <cell r="Q1071" t="str">
            <v>SS400</v>
          </cell>
          <cell r="R1071" t="str">
            <v>E385497_01</v>
          </cell>
          <cell r="S1071">
            <v>598</v>
          </cell>
          <cell r="T1071" t="str">
            <v>標準</v>
          </cell>
        </row>
        <row r="1072">
          <cell r="F1072" t="str">
            <v>H0000012476</v>
          </cell>
          <cell r="I1072" t="str">
            <v>フレーム</v>
          </cell>
          <cell r="J1072" t="str">
            <v>S-Frame_GasCutting_YX-83_N_1234</v>
          </cell>
          <cell r="K1072" t="str">
            <v>S-フレーム_ガス溶断_YX-83_N_1234</v>
          </cell>
          <cell r="L1072" t="str">
            <v>S-Frame</v>
          </cell>
          <cell r="M1072" t="str">
            <v>S-フレーム</v>
          </cell>
          <cell r="N1072" t="str">
            <v>GasCutting</v>
          </cell>
          <cell r="O1072" t="str">
            <v>ガス溶断</v>
          </cell>
          <cell r="P1072" t="str">
            <v>31B0</v>
          </cell>
          <cell r="Q1072" t="str">
            <v>SS400</v>
          </cell>
          <cell r="R1072" t="str">
            <v>E385497_01</v>
          </cell>
          <cell r="S1072">
            <v>591</v>
          </cell>
          <cell r="T1072" t="str">
            <v>標準</v>
          </cell>
        </row>
        <row r="1073">
          <cell r="F1073" t="str">
            <v>H0000012477</v>
          </cell>
          <cell r="I1073" t="str">
            <v>フレーム</v>
          </cell>
          <cell r="J1073" t="str">
            <v>S-Frame_GasCutting_YX-83_N_1234</v>
          </cell>
          <cell r="K1073" t="str">
            <v>S-フレーム_ガス溶断_YX-83_N_1234</v>
          </cell>
          <cell r="L1073" t="str">
            <v>S-Frame</v>
          </cell>
          <cell r="M1073" t="str">
            <v>S-フレーム</v>
          </cell>
          <cell r="N1073" t="str">
            <v>GasCutting</v>
          </cell>
          <cell r="O1073" t="str">
            <v>ガス溶断</v>
          </cell>
          <cell r="P1073" t="str">
            <v>31B0</v>
          </cell>
          <cell r="Q1073" t="str">
            <v>SS400</v>
          </cell>
          <cell r="R1073" t="str">
            <v>E385497_01</v>
          </cell>
          <cell r="S1073">
            <v>595</v>
          </cell>
          <cell r="T1073" t="str">
            <v>標準</v>
          </cell>
        </row>
        <row r="1074">
          <cell r="F1074" t="str">
            <v>H0000012478</v>
          </cell>
          <cell r="I1074" t="str">
            <v>フレーム</v>
          </cell>
          <cell r="J1074" t="str">
            <v>S-Frame_GasCutting_YX-83_N_1234</v>
          </cell>
          <cell r="K1074" t="str">
            <v>S-フレーム_ガス溶断_YX-83_N_1234</v>
          </cell>
          <cell r="L1074" t="str">
            <v>S-Frame</v>
          </cell>
          <cell r="M1074" t="str">
            <v>S-フレーム</v>
          </cell>
          <cell r="N1074" t="str">
            <v>GasCutting</v>
          </cell>
          <cell r="O1074" t="str">
            <v>ガス溶断</v>
          </cell>
          <cell r="P1074" t="str">
            <v>31B0</v>
          </cell>
          <cell r="Q1074" t="str">
            <v>SS400</v>
          </cell>
          <cell r="R1074" t="str">
            <v>E385497_01</v>
          </cell>
          <cell r="S1074">
            <v>600</v>
          </cell>
          <cell r="T1074" t="str">
            <v>標準</v>
          </cell>
        </row>
        <row r="1075">
          <cell r="F1075" t="str">
            <v>H0000012479</v>
          </cell>
          <cell r="I1075" t="str">
            <v>フレーム</v>
          </cell>
          <cell r="J1075" t="str">
            <v>S-Frame_GasCutting_YX-83_N_1234</v>
          </cell>
          <cell r="K1075" t="str">
            <v>S-フレーム_ガス溶断_YX-83_N_1234</v>
          </cell>
          <cell r="L1075" t="str">
            <v>S-Frame</v>
          </cell>
          <cell r="M1075" t="str">
            <v>S-フレーム</v>
          </cell>
          <cell r="N1075" t="str">
            <v>GasCutting</v>
          </cell>
          <cell r="O1075" t="str">
            <v>ガス溶断</v>
          </cell>
          <cell r="P1075" t="str">
            <v>31B0</v>
          </cell>
          <cell r="Q1075" t="str">
            <v>SS400</v>
          </cell>
          <cell r="R1075" t="str">
            <v>E385497_01</v>
          </cell>
          <cell r="S1075">
            <v>603</v>
          </cell>
          <cell r="T1075" t="str">
            <v>標準</v>
          </cell>
        </row>
        <row r="1076">
          <cell r="F1076" t="str">
            <v>H0000012480</v>
          </cell>
          <cell r="I1076" t="str">
            <v>フレーム</v>
          </cell>
          <cell r="J1076" t="str">
            <v>S-Frame_GasCutting_YX-83_N_1234</v>
          </cell>
          <cell r="K1076" t="str">
            <v>S-フレーム_ガス溶断_YX-83_N_1234</v>
          </cell>
          <cell r="L1076" t="str">
            <v>S-Frame</v>
          </cell>
          <cell r="M1076" t="str">
            <v>S-フレーム</v>
          </cell>
          <cell r="N1076" t="str">
            <v>GasCutting</v>
          </cell>
          <cell r="O1076" t="str">
            <v>ガス溶断</v>
          </cell>
          <cell r="P1076" t="str">
            <v>31B0</v>
          </cell>
          <cell r="Q1076" t="str">
            <v>SS400</v>
          </cell>
          <cell r="R1076" t="str">
            <v>E385497_01</v>
          </cell>
          <cell r="S1076">
            <v>606</v>
          </cell>
          <cell r="T1076" t="str">
            <v>標準</v>
          </cell>
        </row>
        <row r="1077">
          <cell r="F1077" t="str">
            <v>H0000012481</v>
          </cell>
          <cell r="I1077" t="str">
            <v>フレーム</v>
          </cell>
          <cell r="J1077" t="str">
            <v>S-Frame_GasCutting_YX-83_N_1234</v>
          </cell>
          <cell r="K1077" t="str">
            <v>S-フレーム_ガス溶断_YX-83_N_1234</v>
          </cell>
          <cell r="L1077" t="str">
            <v>S-Frame</v>
          </cell>
          <cell r="M1077" t="str">
            <v>S-フレーム</v>
          </cell>
          <cell r="N1077" t="str">
            <v>GasCutting</v>
          </cell>
          <cell r="O1077" t="str">
            <v>ガス溶断</v>
          </cell>
          <cell r="P1077" t="str">
            <v>31B0</v>
          </cell>
          <cell r="Q1077" t="str">
            <v>SS400</v>
          </cell>
          <cell r="R1077" t="str">
            <v>E385497_01</v>
          </cell>
          <cell r="S1077">
            <v>597</v>
          </cell>
          <cell r="T1077" t="str">
            <v>標準</v>
          </cell>
        </row>
        <row r="1078">
          <cell r="F1078" t="str">
            <v>H0000012482</v>
          </cell>
          <cell r="I1078" t="str">
            <v>フレーム</v>
          </cell>
          <cell r="J1078" t="str">
            <v>S-Frame_GasCutting_YX-83_N_1234</v>
          </cell>
          <cell r="K1078" t="str">
            <v>S-フレーム_ガス溶断_YX-83_N_1234</v>
          </cell>
          <cell r="L1078" t="str">
            <v>S-Frame</v>
          </cell>
          <cell r="M1078" t="str">
            <v>S-フレーム</v>
          </cell>
          <cell r="N1078" t="str">
            <v>GasCutting</v>
          </cell>
          <cell r="O1078" t="str">
            <v>ガス溶断</v>
          </cell>
          <cell r="P1078" t="str">
            <v>31B0</v>
          </cell>
          <cell r="Q1078" t="str">
            <v>SS400</v>
          </cell>
          <cell r="R1078" t="str">
            <v>E385497_01</v>
          </cell>
          <cell r="S1078">
            <v>602</v>
          </cell>
          <cell r="T1078" t="str">
            <v>標準</v>
          </cell>
        </row>
        <row r="1079">
          <cell r="F1079" t="str">
            <v>H0000012483</v>
          </cell>
          <cell r="I1079" t="str">
            <v>フレーム</v>
          </cell>
          <cell r="J1079" t="str">
            <v>S-Frame_GasCutting_YX-83_N_1234</v>
          </cell>
          <cell r="K1079" t="str">
            <v>S-フレーム_ガス溶断_YX-83_N_1234</v>
          </cell>
          <cell r="L1079" t="str">
            <v>S-Frame</v>
          </cell>
          <cell r="M1079" t="str">
            <v>S-フレーム</v>
          </cell>
          <cell r="N1079" t="str">
            <v>GasCutting</v>
          </cell>
          <cell r="O1079" t="str">
            <v>ガス溶断</v>
          </cell>
          <cell r="P1079" t="str">
            <v>31B0</v>
          </cell>
          <cell r="Q1079" t="str">
            <v>SS400</v>
          </cell>
          <cell r="R1079" t="str">
            <v>E385497_01</v>
          </cell>
          <cell r="S1079">
            <v>606</v>
          </cell>
          <cell r="T1079" t="str">
            <v>標準</v>
          </cell>
        </row>
        <row r="1080">
          <cell r="F1080" t="str">
            <v>H0000012484</v>
          </cell>
          <cell r="I1080" t="str">
            <v>フレーム</v>
          </cell>
          <cell r="J1080" t="str">
            <v>S-Frame_GasCutting_YX-83_N_1234</v>
          </cell>
          <cell r="K1080" t="str">
            <v>S-フレーム_ガス溶断_YX-83_N_1234</v>
          </cell>
          <cell r="L1080" t="str">
            <v>S-Frame</v>
          </cell>
          <cell r="M1080" t="str">
            <v>S-フレーム</v>
          </cell>
          <cell r="N1080" t="str">
            <v>GasCutting</v>
          </cell>
          <cell r="O1080" t="str">
            <v>ガス溶断</v>
          </cell>
          <cell r="P1080" t="str">
            <v>31B0</v>
          </cell>
          <cell r="Q1080" t="str">
            <v>SS400</v>
          </cell>
          <cell r="R1080" t="str">
            <v>E385497_01</v>
          </cell>
          <cell r="S1080">
            <v>609</v>
          </cell>
          <cell r="T1080" t="str">
            <v>標準</v>
          </cell>
        </row>
        <row r="1081">
          <cell r="F1081" t="str">
            <v>H0000012485</v>
          </cell>
          <cell r="I1081" t="str">
            <v>フレーム</v>
          </cell>
          <cell r="J1081" t="str">
            <v>S-Frame_GasCutting_YX-83_N_1234</v>
          </cell>
          <cell r="K1081" t="str">
            <v>S-フレーム_ガス溶断_YX-83_N_1234</v>
          </cell>
          <cell r="L1081" t="str">
            <v>S-Frame</v>
          </cell>
          <cell r="M1081" t="str">
            <v>S-フレーム</v>
          </cell>
          <cell r="N1081" t="str">
            <v>GasCutting</v>
          </cell>
          <cell r="O1081" t="str">
            <v>ガス溶断</v>
          </cell>
          <cell r="P1081" t="str">
            <v>31B0</v>
          </cell>
          <cell r="Q1081" t="str">
            <v>SS400</v>
          </cell>
          <cell r="R1081" t="str">
            <v>E385497_01</v>
          </cell>
          <cell r="S1081">
            <v>612</v>
          </cell>
          <cell r="T1081" t="str">
            <v>標準</v>
          </cell>
        </row>
        <row r="1082">
          <cell r="F1082" t="str">
            <v>H0000012486</v>
          </cell>
          <cell r="I1082" t="str">
            <v>フレーム</v>
          </cell>
          <cell r="J1082" t="str">
            <v>S-Frame_GasCutting_YX-83_N_1234</v>
          </cell>
          <cell r="K1082" t="str">
            <v>S-フレーム_ガス溶断_YX-83_N_1234</v>
          </cell>
          <cell r="L1082" t="str">
            <v>S-Frame</v>
          </cell>
          <cell r="M1082" t="str">
            <v>S-フレーム</v>
          </cell>
          <cell r="N1082" t="str">
            <v>GasCutting</v>
          </cell>
          <cell r="O1082" t="str">
            <v>ガス溶断</v>
          </cell>
          <cell r="P1082" t="str">
            <v>31B0</v>
          </cell>
          <cell r="Q1082" t="str">
            <v>SS400</v>
          </cell>
          <cell r="R1082" t="str">
            <v>E385497_01</v>
          </cell>
          <cell r="S1082">
            <v>592</v>
          </cell>
          <cell r="T1082" t="str">
            <v>標準</v>
          </cell>
        </row>
        <row r="1083">
          <cell r="F1083" t="str">
            <v>H0000012487</v>
          </cell>
          <cell r="I1083" t="str">
            <v>フレーム</v>
          </cell>
          <cell r="J1083" t="str">
            <v>S-Frame_GasCutting_YX-83_N_1234</v>
          </cell>
          <cell r="K1083" t="str">
            <v>S-フレーム_ガス溶断_YX-83_N_1234</v>
          </cell>
          <cell r="L1083" t="str">
            <v>S-Frame</v>
          </cell>
          <cell r="M1083" t="str">
            <v>S-フレーム</v>
          </cell>
          <cell r="N1083" t="str">
            <v>GasCutting</v>
          </cell>
          <cell r="O1083" t="str">
            <v>ガス溶断</v>
          </cell>
          <cell r="P1083" t="str">
            <v>31B0</v>
          </cell>
          <cell r="Q1083" t="str">
            <v>SS400</v>
          </cell>
          <cell r="R1083" t="str">
            <v>E385497_01</v>
          </cell>
          <cell r="S1083">
            <v>597</v>
          </cell>
          <cell r="T1083" t="str">
            <v>標準</v>
          </cell>
        </row>
        <row r="1084">
          <cell r="F1084" t="str">
            <v>H0000012488</v>
          </cell>
          <cell r="I1084" t="str">
            <v>フレーム</v>
          </cell>
          <cell r="J1084" t="str">
            <v>S-Frame_GasCutting_YX-83_N_1234</v>
          </cell>
          <cell r="K1084" t="str">
            <v>S-フレーム_ガス溶断_YX-83_N_1234</v>
          </cell>
          <cell r="L1084" t="str">
            <v>S-Frame</v>
          </cell>
          <cell r="M1084" t="str">
            <v>S-フレーム</v>
          </cell>
          <cell r="N1084" t="str">
            <v>GasCutting</v>
          </cell>
          <cell r="O1084" t="str">
            <v>ガス溶断</v>
          </cell>
          <cell r="P1084" t="str">
            <v>31B0</v>
          </cell>
          <cell r="Q1084" t="str">
            <v>SS400</v>
          </cell>
          <cell r="R1084" t="str">
            <v>E385497_01</v>
          </cell>
          <cell r="S1084">
            <v>601</v>
          </cell>
          <cell r="T1084" t="str">
            <v>標準</v>
          </cell>
        </row>
        <row r="1085">
          <cell r="F1085" t="str">
            <v>H0000012489</v>
          </cell>
          <cell r="I1085" t="str">
            <v>フレーム</v>
          </cell>
          <cell r="J1085" t="str">
            <v>S-Frame_GasCutting_YX-83_N_1234</v>
          </cell>
          <cell r="K1085" t="str">
            <v>S-フレーム_ガス溶断_YX-83_N_1234</v>
          </cell>
          <cell r="L1085" t="str">
            <v>S-Frame</v>
          </cell>
          <cell r="M1085" t="str">
            <v>S-フレーム</v>
          </cell>
          <cell r="N1085" t="str">
            <v>GasCutting</v>
          </cell>
          <cell r="O1085" t="str">
            <v>ガス溶断</v>
          </cell>
          <cell r="P1085" t="str">
            <v>31B0</v>
          </cell>
          <cell r="Q1085" t="str">
            <v>SS400</v>
          </cell>
          <cell r="R1085" t="str">
            <v>E385497_01</v>
          </cell>
          <cell r="S1085">
            <v>604</v>
          </cell>
          <cell r="T1085" t="str">
            <v>標準</v>
          </cell>
        </row>
        <row r="1086">
          <cell r="F1086" t="str">
            <v>H0000012490</v>
          </cell>
          <cell r="I1086" t="str">
            <v>フレーム</v>
          </cell>
          <cell r="J1086" t="str">
            <v>S-Frame_GasCutting_YX-83_N_1234</v>
          </cell>
          <cell r="K1086" t="str">
            <v>S-フレーム_ガス溶断_YX-83_N_1234</v>
          </cell>
          <cell r="L1086" t="str">
            <v>S-Frame</v>
          </cell>
          <cell r="M1086" t="str">
            <v>S-フレーム</v>
          </cell>
          <cell r="N1086" t="str">
            <v>GasCutting</v>
          </cell>
          <cell r="O1086" t="str">
            <v>ガス溶断</v>
          </cell>
          <cell r="P1086" t="str">
            <v>31B0</v>
          </cell>
          <cell r="Q1086" t="str">
            <v>SS400</v>
          </cell>
          <cell r="R1086" t="str">
            <v>E385497_01</v>
          </cell>
          <cell r="S1086">
            <v>607</v>
          </cell>
          <cell r="T1086" t="str">
            <v>標準</v>
          </cell>
        </row>
        <row r="1087">
          <cell r="F1087" t="str">
            <v>H0000012491</v>
          </cell>
          <cell r="I1087" t="str">
            <v>フレーム</v>
          </cell>
          <cell r="J1087" t="str">
            <v>S-Frame_GasCutting_YX-83_N_1234</v>
          </cell>
          <cell r="K1087" t="str">
            <v>S-フレーム_ガス溶断_YX-83_N_1234</v>
          </cell>
          <cell r="L1087" t="str">
            <v>S-Frame</v>
          </cell>
          <cell r="M1087" t="str">
            <v>S-フレーム</v>
          </cell>
          <cell r="N1087" t="str">
            <v>GasCutting</v>
          </cell>
          <cell r="O1087" t="str">
            <v>ガス溶断</v>
          </cell>
          <cell r="P1087" t="str">
            <v>31B0</v>
          </cell>
          <cell r="Q1087" t="str">
            <v>SS400</v>
          </cell>
          <cell r="R1087" t="str">
            <v>E385497_01</v>
          </cell>
          <cell r="S1087">
            <v>600</v>
          </cell>
          <cell r="T1087" t="str">
            <v>標準</v>
          </cell>
        </row>
        <row r="1088">
          <cell r="F1088" t="str">
            <v>H0000012492</v>
          </cell>
          <cell r="I1088" t="str">
            <v>フレーム</v>
          </cell>
          <cell r="J1088" t="str">
            <v>S-Frame_GasCutting_YX-83_N_1234</v>
          </cell>
          <cell r="K1088" t="str">
            <v>S-フレーム_ガス溶断_YX-83_N_1234</v>
          </cell>
          <cell r="L1088" t="str">
            <v>S-Frame</v>
          </cell>
          <cell r="M1088" t="str">
            <v>S-フレーム</v>
          </cell>
          <cell r="N1088" t="str">
            <v>GasCutting</v>
          </cell>
          <cell r="O1088" t="str">
            <v>ガス溶断</v>
          </cell>
          <cell r="P1088" t="str">
            <v>31B0</v>
          </cell>
          <cell r="Q1088" t="str">
            <v>SS400</v>
          </cell>
          <cell r="R1088" t="str">
            <v>E385497_01</v>
          </cell>
          <cell r="S1088">
            <v>605</v>
          </cell>
          <cell r="T1088" t="str">
            <v>標準</v>
          </cell>
        </row>
        <row r="1089">
          <cell r="F1089" t="str">
            <v>H0000012493</v>
          </cell>
          <cell r="I1089" t="str">
            <v>フレーム</v>
          </cell>
          <cell r="J1089" t="str">
            <v>S-Frame_GasCutting_YX-83_N_1234</v>
          </cell>
          <cell r="K1089" t="str">
            <v>S-フレーム_ガス溶断_YX-83_N_1234</v>
          </cell>
          <cell r="L1089" t="str">
            <v>S-Frame</v>
          </cell>
          <cell r="M1089" t="str">
            <v>S-フレーム</v>
          </cell>
          <cell r="N1089" t="str">
            <v>GasCutting</v>
          </cell>
          <cell r="O1089" t="str">
            <v>ガス溶断</v>
          </cell>
          <cell r="P1089" t="str">
            <v>31B0</v>
          </cell>
          <cell r="Q1089" t="str">
            <v>SS400</v>
          </cell>
          <cell r="R1089" t="str">
            <v>E385497_01</v>
          </cell>
          <cell r="S1089">
            <v>609</v>
          </cell>
          <cell r="T1089" t="str">
            <v>標準</v>
          </cell>
        </row>
        <row r="1090">
          <cell r="F1090" t="str">
            <v>H0000012494</v>
          </cell>
          <cell r="I1090" t="str">
            <v>フレーム</v>
          </cell>
          <cell r="J1090" t="str">
            <v>S-Frame_GasCutting_YX-83_N_1234</v>
          </cell>
          <cell r="K1090" t="str">
            <v>S-フレーム_ガス溶断_YX-83_N_1234</v>
          </cell>
          <cell r="L1090" t="str">
            <v>S-Frame</v>
          </cell>
          <cell r="M1090" t="str">
            <v>S-フレーム</v>
          </cell>
          <cell r="N1090" t="str">
            <v>GasCutting</v>
          </cell>
          <cell r="O1090" t="str">
            <v>ガス溶断</v>
          </cell>
          <cell r="P1090" t="str">
            <v>31B0</v>
          </cell>
          <cell r="Q1090" t="str">
            <v>SS400</v>
          </cell>
          <cell r="R1090" t="str">
            <v>E385497_01</v>
          </cell>
          <cell r="S1090">
            <v>612</v>
          </cell>
          <cell r="T1090" t="str">
            <v>標準</v>
          </cell>
        </row>
        <row r="1091">
          <cell r="F1091" t="str">
            <v>H0000012495</v>
          </cell>
          <cell r="I1091" t="str">
            <v>フレーム</v>
          </cell>
          <cell r="J1091" t="str">
            <v>S-Frame_GasCutting_YX-83_N_1234</v>
          </cell>
          <cell r="K1091" t="str">
            <v>S-フレーム_ガス溶断_YX-83_N_1234</v>
          </cell>
          <cell r="L1091" t="str">
            <v>S-Frame</v>
          </cell>
          <cell r="M1091" t="str">
            <v>S-フレーム</v>
          </cell>
          <cell r="N1091" t="str">
            <v>GasCutting</v>
          </cell>
          <cell r="O1091" t="str">
            <v>ガス溶断</v>
          </cell>
          <cell r="P1091" t="str">
            <v>31B0</v>
          </cell>
          <cell r="Q1091" t="str">
            <v>SS400</v>
          </cell>
          <cell r="R1091" t="str">
            <v>E385497_01</v>
          </cell>
          <cell r="S1091">
            <v>615</v>
          </cell>
          <cell r="T1091" t="str">
            <v>標準</v>
          </cell>
        </row>
        <row r="1092">
          <cell r="F1092" t="str">
            <v>H0000012496</v>
          </cell>
          <cell r="I1092" t="str">
            <v>フレーム</v>
          </cell>
          <cell r="J1092" t="str">
            <v>S-Frame_GasCutting_YX-83_N_1234</v>
          </cell>
          <cell r="K1092" t="str">
            <v>S-フレーム_ガス溶断_YX-83_N_1234</v>
          </cell>
          <cell r="L1092" t="str">
            <v>S-Frame</v>
          </cell>
          <cell r="M1092" t="str">
            <v>S-フレーム</v>
          </cell>
          <cell r="N1092" t="str">
            <v>GasCutting</v>
          </cell>
          <cell r="O1092" t="str">
            <v>ガス溶断</v>
          </cell>
          <cell r="P1092" t="str">
            <v>31B0</v>
          </cell>
          <cell r="Q1092" t="str">
            <v>SS400</v>
          </cell>
          <cell r="R1092" t="str">
            <v>E385497_01</v>
          </cell>
          <cell r="S1092">
            <v>606</v>
          </cell>
          <cell r="T1092" t="str">
            <v>標準</v>
          </cell>
        </row>
        <row r="1093">
          <cell r="F1093" t="str">
            <v>H0000012497</v>
          </cell>
          <cell r="I1093" t="str">
            <v>フレーム</v>
          </cell>
          <cell r="J1093" t="str">
            <v>S-Frame_GasCutting_YX-83_N_1234</v>
          </cell>
          <cell r="K1093" t="str">
            <v>S-フレーム_ガス溶断_YX-83_N_1234</v>
          </cell>
          <cell r="L1093" t="str">
            <v>S-Frame</v>
          </cell>
          <cell r="M1093" t="str">
            <v>S-フレーム</v>
          </cell>
          <cell r="N1093" t="str">
            <v>GasCutting</v>
          </cell>
          <cell r="O1093" t="str">
            <v>ガス溶断</v>
          </cell>
          <cell r="P1093" t="str">
            <v>31B0</v>
          </cell>
          <cell r="Q1093" t="str">
            <v>SS400</v>
          </cell>
          <cell r="R1093" t="str">
            <v>E385497_01</v>
          </cell>
          <cell r="S1093">
            <v>611</v>
          </cell>
          <cell r="T1093" t="str">
            <v>標準</v>
          </cell>
        </row>
        <row r="1094">
          <cell r="F1094" t="str">
            <v>H0000012498</v>
          </cell>
          <cell r="I1094" t="str">
            <v>フレーム</v>
          </cell>
          <cell r="J1094" t="str">
            <v>S-Frame_GasCutting_YX-83_N_1234</v>
          </cell>
          <cell r="K1094" t="str">
            <v>S-フレーム_ガス溶断_YX-83_N_1234</v>
          </cell>
          <cell r="L1094" t="str">
            <v>S-Frame</v>
          </cell>
          <cell r="M1094" t="str">
            <v>S-フレーム</v>
          </cell>
          <cell r="N1094" t="str">
            <v>GasCutting</v>
          </cell>
          <cell r="O1094" t="str">
            <v>ガス溶断</v>
          </cell>
          <cell r="P1094" t="str">
            <v>31B0</v>
          </cell>
          <cell r="Q1094" t="str">
            <v>SS400</v>
          </cell>
          <cell r="R1094" t="str">
            <v>E385497_01</v>
          </cell>
          <cell r="S1094">
            <v>615</v>
          </cell>
          <cell r="T1094" t="str">
            <v>標準</v>
          </cell>
        </row>
        <row r="1095">
          <cell r="F1095" t="str">
            <v>H0000012499</v>
          </cell>
          <cell r="I1095" t="str">
            <v>フレーム</v>
          </cell>
          <cell r="J1095" t="str">
            <v>S-Frame_GasCutting_YX-83_N_1234</v>
          </cell>
          <cell r="K1095" t="str">
            <v>S-フレーム_ガス溶断_YX-83_N_1234</v>
          </cell>
          <cell r="L1095" t="str">
            <v>S-Frame</v>
          </cell>
          <cell r="M1095" t="str">
            <v>S-フレーム</v>
          </cell>
          <cell r="N1095" t="str">
            <v>GasCutting</v>
          </cell>
          <cell r="O1095" t="str">
            <v>ガス溶断</v>
          </cell>
          <cell r="P1095" t="str">
            <v>31B0</v>
          </cell>
          <cell r="Q1095" t="str">
            <v>SS400</v>
          </cell>
          <cell r="R1095" t="str">
            <v>E385497_01</v>
          </cell>
          <cell r="S1095">
            <v>618</v>
          </cell>
          <cell r="T1095" t="str">
            <v>標準</v>
          </cell>
        </row>
        <row r="1096">
          <cell r="F1096" t="str">
            <v>H0000012500</v>
          </cell>
          <cell r="I1096" t="str">
            <v>フレーム</v>
          </cell>
          <cell r="J1096" t="str">
            <v>S-Frame_GasCutting_YX-83_N_1234</v>
          </cell>
          <cell r="K1096" t="str">
            <v>S-フレーム_ガス溶断_YX-83_N_1234</v>
          </cell>
          <cell r="L1096" t="str">
            <v>S-Frame</v>
          </cell>
          <cell r="M1096" t="str">
            <v>S-フレーム</v>
          </cell>
          <cell r="N1096" t="str">
            <v>GasCutting</v>
          </cell>
          <cell r="O1096" t="str">
            <v>ガス溶断</v>
          </cell>
          <cell r="P1096" t="str">
            <v>31B0</v>
          </cell>
          <cell r="Q1096" t="str">
            <v>SS400</v>
          </cell>
          <cell r="R1096" t="str">
            <v>E385497_01</v>
          </cell>
          <cell r="S1096">
            <v>621</v>
          </cell>
          <cell r="T1096" t="str">
            <v>標準</v>
          </cell>
        </row>
        <row r="1097">
          <cell r="F1097" t="str">
            <v>H0000012501</v>
          </cell>
          <cell r="I1097" t="str">
            <v>フレーム</v>
          </cell>
          <cell r="J1097" t="str">
            <v>S-Frame_GasCutting_YX-83_N_1234</v>
          </cell>
          <cell r="K1097" t="str">
            <v>S-フレーム_ガス溶断_YX-83_N_1234</v>
          </cell>
          <cell r="L1097" t="str">
            <v>S-Frame</v>
          </cell>
          <cell r="M1097" t="str">
            <v>S-フレーム</v>
          </cell>
          <cell r="N1097" t="str">
            <v>GasCutting</v>
          </cell>
          <cell r="O1097" t="str">
            <v>ガス溶断</v>
          </cell>
          <cell r="P1097" t="str">
            <v>31B0</v>
          </cell>
          <cell r="Q1097" t="str">
            <v>SS400</v>
          </cell>
          <cell r="R1097" t="str">
            <v>E385497_01</v>
          </cell>
          <cell r="S1097">
            <v>608</v>
          </cell>
          <cell r="T1097" t="str">
            <v>標準</v>
          </cell>
        </row>
        <row r="1098">
          <cell r="F1098" t="str">
            <v>H0000012502</v>
          </cell>
          <cell r="I1098" t="str">
            <v>フレーム</v>
          </cell>
          <cell r="J1098" t="str">
            <v>S-Frame_GasCutting_YX-83_N_1234</v>
          </cell>
          <cell r="K1098" t="str">
            <v>S-フレーム_ガス溶断_YX-83_N_1234</v>
          </cell>
          <cell r="L1098" t="str">
            <v>S-Frame</v>
          </cell>
          <cell r="M1098" t="str">
            <v>S-フレーム</v>
          </cell>
          <cell r="N1098" t="str">
            <v>GasCutting</v>
          </cell>
          <cell r="O1098" t="str">
            <v>ガス溶断</v>
          </cell>
          <cell r="P1098" t="str">
            <v>31B0</v>
          </cell>
          <cell r="Q1098" t="str">
            <v>SS400</v>
          </cell>
          <cell r="R1098" t="str">
            <v>E385497_01</v>
          </cell>
          <cell r="S1098">
            <v>613</v>
          </cell>
          <cell r="T1098" t="str">
            <v>標準</v>
          </cell>
        </row>
        <row r="1099">
          <cell r="F1099" t="str">
            <v>H0000012503</v>
          </cell>
          <cell r="I1099" t="str">
            <v>フレーム</v>
          </cell>
          <cell r="J1099" t="str">
            <v>S-Frame_GasCutting_YX-83_N_1234</v>
          </cell>
          <cell r="K1099" t="str">
            <v>S-フレーム_ガス溶断_YX-83_N_1234</v>
          </cell>
          <cell r="L1099" t="str">
            <v>S-Frame</v>
          </cell>
          <cell r="M1099" t="str">
            <v>S-フレーム</v>
          </cell>
          <cell r="N1099" t="str">
            <v>GasCutting</v>
          </cell>
          <cell r="O1099" t="str">
            <v>ガス溶断</v>
          </cell>
          <cell r="P1099" t="str">
            <v>31B0</v>
          </cell>
          <cell r="Q1099" t="str">
            <v>SS400</v>
          </cell>
          <cell r="R1099" t="str">
            <v>E385497_01</v>
          </cell>
          <cell r="S1099">
            <v>617</v>
          </cell>
          <cell r="T1099" t="str">
            <v>標準</v>
          </cell>
        </row>
        <row r="1100">
          <cell r="F1100" t="str">
            <v>H0000012504</v>
          </cell>
          <cell r="I1100" t="str">
            <v>フレーム</v>
          </cell>
          <cell r="J1100" t="str">
            <v>S-Frame_GasCutting_YX-83_N_1234</v>
          </cell>
          <cell r="K1100" t="str">
            <v>S-フレーム_ガス溶断_YX-83_N_1234</v>
          </cell>
          <cell r="L1100" t="str">
            <v>S-Frame</v>
          </cell>
          <cell r="M1100" t="str">
            <v>S-フレーム</v>
          </cell>
          <cell r="N1100" t="str">
            <v>GasCutting</v>
          </cell>
          <cell r="O1100" t="str">
            <v>ガス溶断</v>
          </cell>
          <cell r="P1100" t="str">
            <v>31B0</v>
          </cell>
          <cell r="Q1100" t="str">
            <v>SS400</v>
          </cell>
          <cell r="R1100" t="str">
            <v>E385497_01</v>
          </cell>
          <cell r="S1100">
            <v>620</v>
          </cell>
          <cell r="T1100" t="str">
            <v>標準</v>
          </cell>
        </row>
        <row r="1101">
          <cell r="F1101" t="str">
            <v>H0000012505</v>
          </cell>
          <cell r="I1101" t="str">
            <v>フレーム</v>
          </cell>
          <cell r="J1101" t="str">
            <v>S-Frame_GasCutting_YX-83_N_1234</v>
          </cell>
          <cell r="K1101" t="str">
            <v>S-フレーム_ガス溶断_YX-83_N_1234</v>
          </cell>
          <cell r="L1101" t="str">
            <v>S-Frame</v>
          </cell>
          <cell r="M1101" t="str">
            <v>S-フレーム</v>
          </cell>
          <cell r="N1101" t="str">
            <v>GasCutting</v>
          </cell>
          <cell r="O1101" t="str">
            <v>ガス溶断</v>
          </cell>
          <cell r="P1101" t="str">
            <v>31B0</v>
          </cell>
          <cell r="Q1101" t="str">
            <v>SS400</v>
          </cell>
          <cell r="R1101" t="str">
            <v>E385497_01</v>
          </cell>
          <cell r="S1101">
            <v>623</v>
          </cell>
          <cell r="T1101" t="str">
            <v>標準</v>
          </cell>
        </row>
        <row r="1102">
          <cell r="F1102" t="str">
            <v>H0000012506</v>
          </cell>
          <cell r="I1102" t="str">
            <v>フレーム</v>
          </cell>
          <cell r="J1102" t="str">
            <v>S-Frame_GasCutting_YX-83_N_1234</v>
          </cell>
          <cell r="K1102" t="str">
            <v>S-フレーム_ガス溶断_YX-83_N_1234</v>
          </cell>
          <cell r="L1102" t="str">
            <v>S-Frame</v>
          </cell>
          <cell r="M1102" t="str">
            <v>S-フレーム</v>
          </cell>
          <cell r="N1102" t="str">
            <v>GasCutting</v>
          </cell>
          <cell r="O1102" t="str">
            <v>ガス溶断</v>
          </cell>
          <cell r="P1102" t="str">
            <v>31B0</v>
          </cell>
          <cell r="Q1102" t="str">
            <v>SS400</v>
          </cell>
          <cell r="R1102" t="str">
            <v>E385497_01</v>
          </cell>
          <cell r="S1102">
            <v>614</v>
          </cell>
          <cell r="T1102" t="str">
            <v>標準</v>
          </cell>
        </row>
        <row r="1103">
          <cell r="F1103" t="str">
            <v>H0000012507</v>
          </cell>
          <cell r="I1103" t="str">
            <v>フレーム</v>
          </cell>
          <cell r="J1103" t="str">
            <v>S-Frame_GasCutting_YX-83_N_1234</v>
          </cell>
          <cell r="K1103" t="str">
            <v>S-フレーム_ガス溶断_YX-83_N_1234</v>
          </cell>
          <cell r="L1103" t="str">
            <v>S-Frame</v>
          </cell>
          <cell r="M1103" t="str">
            <v>S-フレーム</v>
          </cell>
          <cell r="N1103" t="str">
            <v>GasCutting</v>
          </cell>
          <cell r="O1103" t="str">
            <v>ガス溶断</v>
          </cell>
          <cell r="P1103" t="str">
            <v>31B0</v>
          </cell>
          <cell r="Q1103" t="str">
            <v>SS400</v>
          </cell>
          <cell r="R1103" t="str">
            <v>E385497_01</v>
          </cell>
          <cell r="S1103">
            <v>619</v>
          </cell>
          <cell r="T1103" t="str">
            <v>標準</v>
          </cell>
        </row>
        <row r="1104">
          <cell r="F1104" t="str">
            <v>H0000012508</v>
          </cell>
          <cell r="I1104" t="str">
            <v>フレーム</v>
          </cell>
          <cell r="J1104" t="str">
            <v>S-Frame_GasCutting_YX-83_N_1234</v>
          </cell>
          <cell r="K1104" t="str">
            <v>S-フレーム_ガス溶断_YX-83_N_1234</v>
          </cell>
          <cell r="L1104" t="str">
            <v>S-Frame</v>
          </cell>
          <cell r="M1104" t="str">
            <v>S-フレーム</v>
          </cell>
          <cell r="N1104" t="str">
            <v>GasCutting</v>
          </cell>
          <cell r="O1104" t="str">
            <v>ガス溶断</v>
          </cell>
          <cell r="P1104" t="str">
            <v>31B0</v>
          </cell>
          <cell r="Q1104" t="str">
            <v>SS400</v>
          </cell>
          <cell r="R1104" t="str">
            <v>E385497_01</v>
          </cell>
          <cell r="S1104">
            <v>623</v>
          </cell>
          <cell r="T1104" t="str">
            <v>標準</v>
          </cell>
        </row>
        <row r="1105">
          <cell r="F1105" t="str">
            <v>H0000012509</v>
          </cell>
          <cell r="I1105" t="str">
            <v>フレーム</v>
          </cell>
          <cell r="J1105" t="str">
            <v>S-Frame_GasCutting_YX-83_N_1234</v>
          </cell>
          <cell r="K1105" t="str">
            <v>S-フレーム_ガス溶断_YX-83_N_1234</v>
          </cell>
          <cell r="L1105" t="str">
            <v>S-Frame</v>
          </cell>
          <cell r="M1105" t="str">
            <v>S-フレーム</v>
          </cell>
          <cell r="N1105" t="str">
            <v>GasCutting</v>
          </cell>
          <cell r="O1105" t="str">
            <v>ガス溶断</v>
          </cell>
          <cell r="P1105" t="str">
            <v>31B0</v>
          </cell>
          <cell r="Q1105" t="str">
            <v>SS400</v>
          </cell>
          <cell r="R1105" t="str">
            <v>E385497_01</v>
          </cell>
          <cell r="S1105">
            <v>626</v>
          </cell>
          <cell r="T1105" t="str">
            <v>標準</v>
          </cell>
        </row>
        <row r="1106">
          <cell r="F1106" t="str">
            <v>H0000012510</v>
          </cell>
          <cell r="I1106" t="str">
            <v>フレーム</v>
          </cell>
          <cell r="J1106" t="str">
            <v>S-Frame_GasCutting_YX-83_N_1234</v>
          </cell>
          <cell r="K1106" t="str">
            <v>S-フレーム_ガス溶断_YX-83_N_1234</v>
          </cell>
          <cell r="L1106" t="str">
            <v>S-Frame</v>
          </cell>
          <cell r="M1106" t="str">
            <v>S-フレーム</v>
          </cell>
          <cell r="N1106" t="str">
            <v>GasCutting</v>
          </cell>
          <cell r="O1106" t="str">
            <v>ガス溶断</v>
          </cell>
          <cell r="P1106" t="str">
            <v>31B0</v>
          </cell>
          <cell r="Q1106" t="str">
            <v>SS400</v>
          </cell>
          <cell r="R1106" t="str">
            <v>E385497_01</v>
          </cell>
          <cell r="S1106">
            <v>629</v>
          </cell>
          <cell r="T1106" t="str">
            <v>標準</v>
          </cell>
        </row>
        <row r="1107">
          <cell r="F1107" t="str">
            <v>H0000012511</v>
          </cell>
          <cell r="I1107" t="str">
            <v>フレーム</v>
          </cell>
          <cell r="J1107" t="str">
            <v>S-Frame_GasCutting_YX-83_N_1234</v>
          </cell>
          <cell r="K1107" t="str">
            <v>S-フレーム_ガス溶断_YX-83_N_1234</v>
          </cell>
          <cell r="L1107" t="str">
            <v>S-Frame</v>
          </cell>
          <cell r="M1107" t="str">
            <v>S-フレーム</v>
          </cell>
          <cell r="N1107" t="str">
            <v>GasCutting</v>
          </cell>
          <cell r="O1107" t="str">
            <v>ガス溶断</v>
          </cell>
          <cell r="P1107" t="str">
            <v>31B0</v>
          </cell>
          <cell r="Q1107" t="str">
            <v>SS400</v>
          </cell>
          <cell r="R1107" t="str">
            <v>E385497_01</v>
          </cell>
          <cell r="S1107">
            <v>620</v>
          </cell>
          <cell r="T1107" t="str">
            <v>標準</v>
          </cell>
        </row>
        <row r="1108">
          <cell r="F1108" t="str">
            <v>H0000012512</v>
          </cell>
          <cell r="I1108" t="str">
            <v>フレーム</v>
          </cell>
          <cell r="J1108" t="str">
            <v>S-Frame_GasCutting_YX-83_N_1234</v>
          </cell>
          <cell r="K1108" t="str">
            <v>S-フレーム_ガス溶断_YX-83_N_1234</v>
          </cell>
          <cell r="L1108" t="str">
            <v>S-Frame</v>
          </cell>
          <cell r="M1108" t="str">
            <v>S-フレーム</v>
          </cell>
          <cell r="N1108" t="str">
            <v>GasCutting</v>
          </cell>
          <cell r="O1108" t="str">
            <v>ガス溶断</v>
          </cell>
          <cell r="P1108" t="str">
            <v>31B0</v>
          </cell>
          <cell r="Q1108" t="str">
            <v>SS400</v>
          </cell>
          <cell r="R1108" t="str">
            <v>E385497_01</v>
          </cell>
          <cell r="S1108">
            <v>625</v>
          </cell>
          <cell r="T1108" t="str">
            <v>標準</v>
          </cell>
        </row>
        <row r="1109">
          <cell r="F1109" t="str">
            <v>H0000012513</v>
          </cell>
          <cell r="I1109" t="str">
            <v>フレーム</v>
          </cell>
          <cell r="J1109" t="str">
            <v>S-Frame_GasCutting_YX-83_N_1234</v>
          </cell>
          <cell r="K1109" t="str">
            <v>S-フレーム_ガス溶断_YX-83_N_1234</v>
          </cell>
          <cell r="L1109" t="str">
            <v>S-Frame</v>
          </cell>
          <cell r="M1109" t="str">
            <v>S-フレーム</v>
          </cell>
          <cell r="N1109" t="str">
            <v>GasCutting</v>
          </cell>
          <cell r="O1109" t="str">
            <v>ガス溶断</v>
          </cell>
          <cell r="P1109" t="str">
            <v>31B0</v>
          </cell>
          <cell r="Q1109" t="str">
            <v>SS400</v>
          </cell>
          <cell r="R1109" t="str">
            <v>E385497_01</v>
          </cell>
          <cell r="S1109">
            <v>629</v>
          </cell>
          <cell r="T1109" t="str">
            <v>標準</v>
          </cell>
        </row>
        <row r="1110">
          <cell r="F1110" t="str">
            <v>H0000012514</v>
          </cell>
          <cell r="I1110" t="str">
            <v>フレーム</v>
          </cell>
          <cell r="J1110" t="str">
            <v>S-Frame_GasCutting_YX-83_N_1234</v>
          </cell>
          <cell r="K1110" t="str">
            <v>S-フレーム_ガス溶断_YX-83_N_1234</v>
          </cell>
          <cell r="L1110" t="str">
            <v>S-Frame</v>
          </cell>
          <cell r="M1110" t="str">
            <v>S-フレーム</v>
          </cell>
          <cell r="N1110" t="str">
            <v>GasCutting</v>
          </cell>
          <cell r="O1110" t="str">
            <v>ガス溶断</v>
          </cell>
          <cell r="P1110" t="str">
            <v>31B0</v>
          </cell>
          <cell r="Q1110" t="str">
            <v>SS400</v>
          </cell>
          <cell r="R1110" t="str">
            <v>E385497_01</v>
          </cell>
          <cell r="S1110">
            <v>632</v>
          </cell>
          <cell r="T1110" t="str">
            <v>標準</v>
          </cell>
        </row>
        <row r="1111">
          <cell r="F1111" t="str">
            <v>H0000012515</v>
          </cell>
          <cell r="I1111" t="str">
            <v>フレーム</v>
          </cell>
          <cell r="J1111" t="str">
            <v>S-Frame_GasCutting_YX-83_N_1234</v>
          </cell>
          <cell r="K1111" t="str">
            <v>S-フレーム_ガス溶断_YX-83_N_1234</v>
          </cell>
          <cell r="L1111" t="str">
            <v>S-Frame</v>
          </cell>
          <cell r="M1111" t="str">
            <v>S-フレーム</v>
          </cell>
          <cell r="N1111" t="str">
            <v>GasCutting</v>
          </cell>
          <cell r="O1111" t="str">
            <v>ガス溶断</v>
          </cell>
          <cell r="P1111" t="str">
            <v>31B0</v>
          </cell>
          <cell r="Q1111" t="str">
            <v>SS400</v>
          </cell>
          <cell r="R1111" t="str">
            <v>E385497_01</v>
          </cell>
          <cell r="S1111">
            <v>635</v>
          </cell>
          <cell r="T1111" t="str">
            <v>標準</v>
          </cell>
        </row>
        <row r="1112">
          <cell r="F1112" t="str">
            <v>H0000012516</v>
          </cell>
          <cell r="I1112" t="str">
            <v>フレーム</v>
          </cell>
          <cell r="J1112" t="str">
            <v>S-Frame_GasCutting_YX-83_N_1234</v>
          </cell>
          <cell r="K1112" t="str">
            <v>S-フレーム_ガス溶断_YX-83_N_1234</v>
          </cell>
          <cell r="L1112" t="str">
            <v>S-Frame</v>
          </cell>
          <cell r="M1112" t="str">
            <v>S-フレーム</v>
          </cell>
          <cell r="N1112" t="str">
            <v>GasCutting</v>
          </cell>
          <cell r="O1112" t="str">
            <v>ガス溶断</v>
          </cell>
          <cell r="P1112" t="str">
            <v>31B0</v>
          </cell>
          <cell r="Q1112" t="str">
            <v>SS400</v>
          </cell>
          <cell r="R1112" t="str">
            <v>E385497_01</v>
          </cell>
          <cell r="S1112">
            <v>624</v>
          </cell>
          <cell r="T1112" t="str">
            <v>標準</v>
          </cell>
        </row>
        <row r="1113">
          <cell r="F1113" t="str">
            <v>H0000012517</v>
          </cell>
          <cell r="I1113" t="str">
            <v>フレーム</v>
          </cell>
          <cell r="J1113" t="str">
            <v>S-Frame_GasCutting_YX-83_N_1234</v>
          </cell>
          <cell r="K1113" t="str">
            <v>S-フレーム_ガス溶断_YX-83_N_1234</v>
          </cell>
          <cell r="L1113" t="str">
            <v>S-Frame</v>
          </cell>
          <cell r="M1113" t="str">
            <v>S-フレーム</v>
          </cell>
          <cell r="N1113" t="str">
            <v>GasCutting</v>
          </cell>
          <cell r="O1113" t="str">
            <v>ガス溶断</v>
          </cell>
          <cell r="P1113" t="str">
            <v>31B0</v>
          </cell>
          <cell r="Q1113" t="str">
            <v>SS400</v>
          </cell>
          <cell r="R1113" t="str">
            <v>E385497_01</v>
          </cell>
          <cell r="S1113">
            <v>629</v>
          </cell>
          <cell r="T1113" t="str">
            <v>標準</v>
          </cell>
        </row>
        <row r="1114">
          <cell r="F1114" t="str">
            <v>H0000012518</v>
          </cell>
          <cell r="I1114" t="str">
            <v>フレーム</v>
          </cell>
          <cell r="J1114" t="str">
            <v>S-Frame_GasCutting_YX-83_N_1234</v>
          </cell>
          <cell r="K1114" t="str">
            <v>S-フレーム_ガス溶断_YX-83_N_1234</v>
          </cell>
          <cell r="L1114" t="str">
            <v>S-Frame</v>
          </cell>
          <cell r="M1114" t="str">
            <v>S-フレーム</v>
          </cell>
          <cell r="N1114" t="str">
            <v>GasCutting</v>
          </cell>
          <cell r="O1114" t="str">
            <v>ガス溶断</v>
          </cell>
          <cell r="P1114" t="str">
            <v>31B0</v>
          </cell>
          <cell r="Q1114" t="str">
            <v>SS400</v>
          </cell>
          <cell r="R1114" t="str">
            <v>E385497_01</v>
          </cell>
          <cell r="S1114">
            <v>633</v>
          </cell>
          <cell r="T1114" t="str">
            <v>標準</v>
          </cell>
        </row>
        <row r="1115">
          <cell r="F1115" t="str">
            <v>H0000012519</v>
          </cell>
          <cell r="I1115" t="str">
            <v>フレーム</v>
          </cell>
          <cell r="J1115" t="str">
            <v>S-Frame_GasCutting_YX-83_N_1234</v>
          </cell>
          <cell r="K1115" t="str">
            <v>S-フレーム_ガス溶断_YX-83_N_1234</v>
          </cell>
          <cell r="L1115" t="str">
            <v>S-Frame</v>
          </cell>
          <cell r="M1115" t="str">
            <v>S-フレーム</v>
          </cell>
          <cell r="N1115" t="str">
            <v>GasCutting</v>
          </cell>
          <cell r="O1115" t="str">
            <v>ガス溶断</v>
          </cell>
          <cell r="P1115" t="str">
            <v>31B0</v>
          </cell>
          <cell r="Q1115" t="str">
            <v>SS400</v>
          </cell>
          <cell r="R1115" t="str">
            <v>E385497_01</v>
          </cell>
          <cell r="S1115">
            <v>636</v>
          </cell>
          <cell r="T1115" t="str">
            <v>標準</v>
          </cell>
        </row>
        <row r="1116">
          <cell r="F1116" t="str">
            <v>H0000012520</v>
          </cell>
          <cell r="I1116" t="str">
            <v>フレーム</v>
          </cell>
          <cell r="J1116" t="str">
            <v>S-Frame_GasCutting_YX-83_N_1234</v>
          </cell>
          <cell r="K1116" t="str">
            <v>S-フレーム_ガス溶断_YX-83_N_1234</v>
          </cell>
          <cell r="L1116" t="str">
            <v>S-Frame</v>
          </cell>
          <cell r="M1116" t="str">
            <v>S-フレーム</v>
          </cell>
          <cell r="N1116" t="str">
            <v>GasCutting</v>
          </cell>
          <cell r="O1116" t="str">
            <v>ガス溶断</v>
          </cell>
          <cell r="P1116" t="str">
            <v>31B0</v>
          </cell>
          <cell r="Q1116" t="str">
            <v>SS400</v>
          </cell>
          <cell r="R1116" t="str">
            <v>E385497_01</v>
          </cell>
          <cell r="S1116">
            <v>639</v>
          </cell>
          <cell r="T1116" t="str">
            <v>標準</v>
          </cell>
        </row>
        <row r="1117">
          <cell r="F1117" t="str">
            <v>H0000012521</v>
          </cell>
          <cell r="I1117" t="str">
            <v>フレーム</v>
          </cell>
          <cell r="J1117" t="str">
            <v>S-Frame_GasCutting_YX-83_N_1234</v>
          </cell>
          <cell r="K1117" t="str">
            <v>S-フレーム_ガス溶断_YX-83_N_1234</v>
          </cell>
          <cell r="L1117" t="str">
            <v>S-Frame</v>
          </cell>
          <cell r="M1117" t="str">
            <v>S-フレーム</v>
          </cell>
          <cell r="N1117" t="str">
            <v>GasCutting</v>
          </cell>
          <cell r="O1117" t="str">
            <v>ガス溶断</v>
          </cell>
          <cell r="P1117" t="str">
            <v>31B0</v>
          </cell>
          <cell r="Q1117" t="str">
            <v>SS400</v>
          </cell>
          <cell r="R1117" t="str">
            <v>E385497_01</v>
          </cell>
          <cell r="S1117">
            <v>626</v>
          </cell>
          <cell r="T1117" t="str">
            <v>標準</v>
          </cell>
        </row>
        <row r="1118">
          <cell r="F1118" t="str">
            <v>H0000012522</v>
          </cell>
          <cell r="I1118" t="str">
            <v>フレーム</v>
          </cell>
          <cell r="J1118" t="str">
            <v>S-Frame_GasCutting_YX-83_N_1234</v>
          </cell>
          <cell r="K1118" t="str">
            <v>S-フレーム_ガス溶断_YX-83_N_1234</v>
          </cell>
          <cell r="L1118" t="str">
            <v>S-Frame</v>
          </cell>
          <cell r="M1118" t="str">
            <v>S-フレーム</v>
          </cell>
          <cell r="N1118" t="str">
            <v>GasCutting</v>
          </cell>
          <cell r="O1118" t="str">
            <v>ガス溶断</v>
          </cell>
          <cell r="P1118" t="str">
            <v>31B0</v>
          </cell>
          <cell r="Q1118" t="str">
            <v>SS400</v>
          </cell>
          <cell r="R1118" t="str">
            <v>E385497_01</v>
          </cell>
          <cell r="S1118">
            <v>631</v>
          </cell>
          <cell r="T1118" t="str">
            <v>標準</v>
          </cell>
        </row>
        <row r="1119">
          <cell r="F1119" t="str">
            <v>H0000012523</v>
          </cell>
          <cell r="I1119" t="str">
            <v>フレーム</v>
          </cell>
          <cell r="J1119" t="str">
            <v>S-Frame_GasCutting_YX-83_N_1234</v>
          </cell>
          <cell r="K1119" t="str">
            <v>S-フレーム_ガス溶断_YX-83_N_1234</v>
          </cell>
          <cell r="L1119" t="str">
            <v>S-Frame</v>
          </cell>
          <cell r="M1119" t="str">
            <v>S-フレーム</v>
          </cell>
          <cell r="N1119" t="str">
            <v>GasCutting</v>
          </cell>
          <cell r="O1119" t="str">
            <v>ガス溶断</v>
          </cell>
          <cell r="P1119" t="str">
            <v>31B0</v>
          </cell>
          <cell r="Q1119" t="str">
            <v>SS400</v>
          </cell>
          <cell r="R1119" t="str">
            <v>E385497_01</v>
          </cell>
          <cell r="S1119">
            <v>635</v>
          </cell>
          <cell r="T1119" t="str">
            <v>標準</v>
          </cell>
        </row>
        <row r="1120">
          <cell r="F1120" t="str">
            <v>H0000012524</v>
          </cell>
          <cell r="I1120" t="str">
            <v>フレーム</v>
          </cell>
          <cell r="J1120" t="str">
            <v>S-Frame_GasCutting_YX-83_N_1234</v>
          </cell>
          <cell r="K1120" t="str">
            <v>S-フレーム_ガス溶断_YX-83_N_1234</v>
          </cell>
          <cell r="L1120" t="str">
            <v>S-Frame</v>
          </cell>
          <cell r="M1120" t="str">
            <v>S-フレーム</v>
          </cell>
          <cell r="N1120" t="str">
            <v>GasCutting</v>
          </cell>
          <cell r="O1120" t="str">
            <v>ガス溶断</v>
          </cell>
          <cell r="P1120" t="str">
            <v>31B0</v>
          </cell>
          <cell r="Q1120" t="str">
            <v>SS400</v>
          </cell>
          <cell r="R1120" t="str">
            <v>E385497_01</v>
          </cell>
          <cell r="S1120">
            <v>638</v>
          </cell>
          <cell r="T1120" t="str">
            <v>標準</v>
          </cell>
        </row>
        <row r="1121">
          <cell r="F1121" t="str">
            <v>H0000012525</v>
          </cell>
          <cell r="I1121" t="str">
            <v>フレーム</v>
          </cell>
          <cell r="J1121" t="str">
            <v>S-Frame_GasCutting_YX-83_N_1234</v>
          </cell>
          <cell r="K1121" t="str">
            <v>S-フレーム_ガス溶断_YX-83_N_1234</v>
          </cell>
          <cell r="L1121" t="str">
            <v>S-Frame</v>
          </cell>
          <cell r="M1121" t="str">
            <v>S-フレーム</v>
          </cell>
          <cell r="N1121" t="str">
            <v>GasCutting</v>
          </cell>
          <cell r="O1121" t="str">
            <v>ガス溶断</v>
          </cell>
          <cell r="P1121" t="str">
            <v>31B0</v>
          </cell>
          <cell r="Q1121" t="str">
            <v>SS400</v>
          </cell>
          <cell r="R1121" t="str">
            <v>E385497_01</v>
          </cell>
          <cell r="S1121">
            <v>641</v>
          </cell>
          <cell r="T1121" t="str">
            <v>標準</v>
          </cell>
        </row>
        <row r="1122">
          <cell r="F1122" t="str">
            <v>H0000012611</v>
          </cell>
          <cell r="I1122" t="str">
            <v>フレーム</v>
          </cell>
          <cell r="J1122" t="str">
            <v>S-Frame_UX-90_N_NNNN</v>
          </cell>
          <cell r="K1122" t="str">
            <v>S-フレーム_UX-90_N_NNNN</v>
          </cell>
          <cell r="L1122" t="str">
            <v>S-Frame</v>
          </cell>
          <cell r="M1122" t="str">
            <v>S-フレーム</v>
          </cell>
          <cell r="P1122" t="str">
            <v>31B0</v>
          </cell>
          <cell r="Q1122" t="str">
            <v>SS400</v>
          </cell>
          <cell r="R1122" t="str">
            <v>E334574_01</v>
          </cell>
          <cell r="S1122">
            <v>1199</v>
          </cell>
          <cell r="T1122" t="str">
            <v>非標準</v>
          </cell>
        </row>
        <row r="1123">
          <cell r="F1123" t="str">
            <v>H0000012612</v>
          </cell>
          <cell r="I1123" t="str">
            <v>フレーム</v>
          </cell>
          <cell r="J1123" t="str">
            <v>S-Frame_UX-90_N_KKKK</v>
          </cell>
          <cell r="K1123" t="str">
            <v>S-フレーム_UX-90_N_KKKK</v>
          </cell>
          <cell r="L1123" t="str">
            <v>S-Frame</v>
          </cell>
          <cell r="M1123" t="str">
            <v>S-フレーム</v>
          </cell>
          <cell r="P1123" t="str">
            <v>31B0</v>
          </cell>
          <cell r="Q1123" t="str">
            <v>SS400</v>
          </cell>
          <cell r="R1123" t="str">
            <v>E334574_01</v>
          </cell>
          <cell r="S1123">
            <v>1199</v>
          </cell>
          <cell r="T1123" t="str">
            <v>非標準</v>
          </cell>
        </row>
        <row r="1124">
          <cell r="F1124" t="str">
            <v>H0000012613</v>
          </cell>
          <cell r="I1124" t="str">
            <v>フレーム</v>
          </cell>
          <cell r="J1124" t="str">
            <v>S-Frame_UX-90_N_NNNN</v>
          </cell>
          <cell r="K1124" t="str">
            <v>S-フレーム_UX-90_N_NNNN</v>
          </cell>
          <cell r="L1124" t="str">
            <v>S-Frame</v>
          </cell>
          <cell r="M1124" t="str">
            <v>S-フレーム</v>
          </cell>
          <cell r="P1124" t="str">
            <v>31B0</v>
          </cell>
          <cell r="Q1124" t="str">
            <v>SS400</v>
          </cell>
          <cell r="R1124" t="str">
            <v>E334574_01</v>
          </cell>
          <cell r="S1124">
            <v>1199</v>
          </cell>
          <cell r="T1124" t="str">
            <v>非標準</v>
          </cell>
        </row>
        <row r="1125">
          <cell r="F1125" t="str">
            <v>H0000012614</v>
          </cell>
          <cell r="I1125" t="str">
            <v>フレーム</v>
          </cell>
          <cell r="J1125" t="str">
            <v>S-Frame_UX-90_N_KKKK</v>
          </cell>
          <cell r="K1125" t="str">
            <v>S-フレーム_UX-90_N_KKKK</v>
          </cell>
          <cell r="L1125" t="str">
            <v>S-Frame</v>
          </cell>
          <cell r="M1125" t="str">
            <v>S-フレーム</v>
          </cell>
          <cell r="P1125" t="str">
            <v>31B0</v>
          </cell>
          <cell r="Q1125" t="str">
            <v>SS400</v>
          </cell>
          <cell r="R1125" t="str">
            <v>E334574_01</v>
          </cell>
          <cell r="S1125">
            <v>1199</v>
          </cell>
          <cell r="T1125" t="str">
            <v>非標準</v>
          </cell>
        </row>
        <row r="1126">
          <cell r="F1126" t="str">
            <v>H0000012617</v>
          </cell>
          <cell r="I1126" t="str">
            <v>フレーム</v>
          </cell>
          <cell r="J1126" t="str">
            <v>S-Frame_UX-90_N_NNNN</v>
          </cell>
          <cell r="K1126" t="str">
            <v>S-フレーム_UX-90_N_NNNN</v>
          </cell>
          <cell r="L1126" t="str">
            <v>S-Frame</v>
          </cell>
          <cell r="M1126" t="str">
            <v>S-フレーム</v>
          </cell>
          <cell r="P1126" t="str">
            <v>31B0</v>
          </cell>
          <cell r="Q1126" t="str">
            <v>SS400</v>
          </cell>
          <cell r="R1126" t="str">
            <v>E334574_01</v>
          </cell>
          <cell r="S1126">
            <v>1199</v>
          </cell>
          <cell r="T1126" t="str">
            <v>非標準</v>
          </cell>
        </row>
        <row r="1127">
          <cell r="F1127" t="str">
            <v>H0000012618</v>
          </cell>
          <cell r="I1127" t="str">
            <v>フレーム</v>
          </cell>
          <cell r="J1127" t="str">
            <v>S-Frame_UX-90_N_KKKK</v>
          </cell>
          <cell r="K1127" t="str">
            <v>S-フレーム_UX-90_N_KKKK</v>
          </cell>
          <cell r="L1127" t="str">
            <v>S-Frame</v>
          </cell>
          <cell r="M1127" t="str">
            <v>S-フレーム</v>
          </cell>
          <cell r="P1127" t="str">
            <v>31B0</v>
          </cell>
          <cell r="Q1127" t="str">
            <v>SS400</v>
          </cell>
          <cell r="R1127" t="str">
            <v>E334574_01</v>
          </cell>
          <cell r="S1127">
            <v>1199</v>
          </cell>
          <cell r="T1127" t="str">
            <v>非標準</v>
          </cell>
        </row>
        <row r="1128">
          <cell r="F1128" t="str">
            <v>H0000012619</v>
          </cell>
          <cell r="I1128" t="str">
            <v>フレーム</v>
          </cell>
          <cell r="J1128" t="str">
            <v>S-Frame_UX-90_N_NNNN</v>
          </cell>
          <cell r="K1128" t="str">
            <v>S-フレーム_UX-90_N_NNNN</v>
          </cell>
          <cell r="L1128" t="str">
            <v>S-Frame</v>
          </cell>
          <cell r="M1128" t="str">
            <v>S-フレーム</v>
          </cell>
          <cell r="P1128" t="str">
            <v>31B0</v>
          </cell>
          <cell r="Q1128" t="str">
            <v>SS400</v>
          </cell>
          <cell r="R1128" t="str">
            <v>E334574_01</v>
          </cell>
          <cell r="S1128">
            <v>1199</v>
          </cell>
          <cell r="T1128" t="str">
            <v>非標準</v>
          </cell>
        </row>
        <row r="1129">
          <cell r="F1129" t="str">
            <v>H0000012620</v>
          </cell>
          <cell r="I1129" t="str">
            <v>フレーム</v>
          </cell>
          <cell r="J1129" t="str">
            <v>S-Frame_UX-90_N_KKKK</v>
          </cell>
          <cell r="K1129" t="str">
            <v>S-フレーム_UX-90_N_KKKK</v>
          </cell>
          <cell r="L1129" t="str">
            <v>S-Frame</v>
          </cell>
          <cell r="M1129" t="str">
            <v>S-フレーム</v>
          </cell>
          <cell r="P1129" t="str">
            <v>31B0</v>
          </cell>
          <cell r="Q1129" t="str">
            <v>SS400</v>
          </cell>
          <cell r="R1129" t="str">
            <v>E334574_01</v>
          </cell>
          <cell r="S1129">
            <v>1199</v>
          </cell>
          <cell r="T1129" t="str">
            <v>非標準</v>
          </cell>
        </row>
        <row r="1130">
          <cell r="F1130" t="str">
            <v>H0000012629</v>
          </cell>
          <cell r="I1130" t="str">
            <v>フレーム</v>
          </cell>
          <cell r="J1130" t="str">
            <v>S-Frame_UX-90_H_NNNN</v>
          </cell>
          <cell r="K1130" t="str">
            <v>S-フレーム_UX-90_H_NNNN</v>
          </cell>
          <cell r="L1130" t="str">
            <v>S-Frame</v>
          </cell>
          <cell r="M1130" t="str">
            <v>S-フレーム</v>
          </cell>
          <cell r="P1130" t="str">
            <v>31B0</v>
          </cell>
          <cell r="Q1130" t="str">
            <v>SS400</v>
          </cell>
          <cell r="R1130" t="str">
            <v>E334576_01</v>
          </cell>
          <cell r="S1130">
            <v>1194</v>
          </cell>
          <cell r="T1130" t="str">
            <v>標準</v>
          </cell>
        </row>
        <row r="1131">
          <cell r="F1131" t="str">
            <v>H0000012630</v>
          </cell>
          <cell r="I1131" t="str">
            <v>フレーム</v>
          </cell>
          <cell r="J1131" t="str">
            <v>S-Frame_UX-90_H_KKKK</v>
          </cell>
          <cell r="K1131" t="str">
            <v>S-フレーム_UX-90_H_KKKK</v>
          </cell>
          <cell r="L1131" t="str">
            <v>S-Frame</v>
          </cell>
          <cell r="M1131" t="str">
            <v>S-フレーム</v>
          </cell>
          <cell r="P1131" t="str">
            <v>31B0</v>
          </cell>
          <cell r="Q1131" t="str">
            <v>SS400</v>
          </cell>
          <cell r="R1131" t="str">
            <v>E334576_01</v>
          </cell>
          <cell r="S1131">
            <v>1194</v>
          </cell>
          <cell r="T1131" t="str">
            <v>標準</v>
          </cell>
        </row>
        <row r="1132">
          <cell r="F1132" t="str">
            <v>H0000012631</v>
          </cell>
          <cell r="I1132" t="str">
            <v>フレーム</v>
          </cell>
          <cell r="J1132" t="str">
            <v>S-Frame_UX-90_H_NNNN</v>
          </cell>
          <cell r="K1132" t="str">
            <v>S-フレーム_UX-90_H_NNNN</v>
          </cell>
          <cell r="L1132" t="str">
            <v>S-Frame</v>
          </cell>
          <cell r="M1132" t="str">
            <v>S-フレーム</v>
          </cell>
          <cell r="P1132" t="str">
            <v>31B0</v>
          </cell>
          <cell r="Q1132" t="str">
            <v>SS400</v>
          </cell>
          <cell r="R1132" t="str">
            <v>E334576_01</v>
          </cell>
          <cell r="S1132">
            <v>1194</v>
          </cell>
          <cell r="T1132" t="str">
            <v>標準</v>
          </cell>
        </row>
        <row r="1133">
          <cell r="F1133" t="str">
            <v>H0000012632</v>
          </cell>
          <cell r="I1133" t="str">
            <v>フレーム</v>
          </cell>
          <cell r="J1133" t="str">
            <v>S-Frame_UX-90_H_KKKK</v>
          </cell>
          <cell r="K1133" t="str">
            <v>S-フレーム_UX-90_H_KKKK</v>
          </cell>
          <cell r="L1133" t="str">
            <v>S-Frame</v>
          </cell>
          <cell r="M1133" t="str">
            <v>S-フレーム</v>
          </cell>
          <cell r="P1133" t="str">
            <v>31B0</v>
          </cell>
          <cell r="Q1133" t="str">
            <v>SS400</v>
          </cell>
          <cell r="R1133" t="str">
            <v>E334576_01</v>
          </cell>
          <cell r="S1133">
            <v>1194</v>
          </cell>
          <cell r="T1133" t="str">
            <v>標準</v>
          </cell>
        </row>
        <row r="1134">
          <cell r="F1134" t="str">
            <v>H0000012635</v>
          </cell>
          <cell r="I1134" t="str">
            <v>フレーム</v>
          </cell>
          <cell r="J1134" t="str">
            <v>S-Frame_UX-90_H_NNNN</v>
          </cell>
          <cell r="K1134" t="str">
            <v>S-フレーム_UX-90_H_NNNN</v>
          </cell>
          <cell r="L1134" t="str">
            <v>S-Frame</v>
          </cell>
          <cell r="M1134" t="str">
            <v>S-フレーム</v>
          </cell>
          <cell r="P1134" t="str">
            <v>31B0</v>
          </cell>
          <cell r="Q1134" t="str">
            <v>SS400</v>
          </cell>
          <cell r="R1134" t="str">
            <v>E334576_01</v>
          </cell>
          <cell r="S1134">
            <v>1194</v>
          </cell>
          <cell r="T1134" t="str">
            <v>標準</v>
          </cell>
        </row>
        <row r="1135">
          <cell r="F1135" t="str">
            <v>H0000012636</v>
          </cell>
          <cell r="I1135" t="str">
            <v>フレーム</v>
          </cell>
          <cell r="J1135" t="str">
            <v>S-Frame_UX-90_H_KKKK</v>
          </cell>
          <cell r="K1135" t="str">
            <v>S-フレーム_UX-90_H_KKKK</v>
          </cell>
          <cell r="L1135" t="str">
            <v>S-Frame</v>
          </cell>
          <cell r="M1135" t="str">
            <v>S-フレーム</v>
          </cell>
          <cell r="P1135" t="str">
            <v>31B0</v>
          </cell>
          <cell r="Q1135" t="str">
            <v>SS400</v>
          </cell>
          <cell r="R1135" t="str">
            <v>E334576_01</v>
          </cell>
          <cell r="S1135">
            <v>1194</v>
          </cell>
          <cell r="T1135" t="str">
            <v>標準</v>
          </cell>
        </row>
        <row r="1136">
          <cell r="F1136" t="str">
            <v>H0000012637</v>
          </cell>
          <cell r="I1136" t="str">
            <v>フレーム</v>
          </cell>
          <cell r="J1136" t="str">
            <v>S-Frame_UX-90_H_NNNN</v>
          </cell>
          <cell r="K1136" t="str">
            <v>S-フレーム_UX-90_H_NNNN</v>
          </cell>
          <cell r="L1136" t="str">
            <v>S-Frame</v>
          </cell>
          <cell r="M1136" t="str">
            <v>S-フレーム</v>
          </cell>
          <cell r="P1136" t="str">
            <v>31B0</v>
          </cell>
          <cell r="Q1136" t="str">
            <v>SS400</v>
          </cell>
          <cell r="R1136" t="str">
            <v>E334576_01</v>
          </cell>
          <cell r="S1136">
            <v>1194</v>
          </cell>
          <cell r="T1136" t="str">
            <v>標準</v>
          </cell>
        </row>
        <row r="1137">
          <cell r="F1137" t="str">
            <v>H0000012638</v>
          </cell>
          <cell r="I1137" t="str">
            <v>フレーム</v>
          </cell>
          <cell r="J1137" t="str">
            <v>S-Frame_UX-90_H_KKKK</v>
          </cell>
          <cell r="K1137" t="str">
            <v>S-フレーム_UX-90_H_KKKK</v>
          </cell>
          <cell r="L1137" t="str">
            <v>S-Frame</v>
          </cell>
          <cell r="M1137" t="str">
            <v>S-フレーム</v>
          </cell>
          <cell r="P1137" t="str">
            <v>31B0</v>
          </cell>
          <cell r="Q1137" t="str">
            <v>SS400</v>
          </cell>
          <cell r="R1137" t="str">
            <v>E334576_01</v>
          </cell>
          <cell r="S1137">
            <v>1194</v>
          </cell>
          <cell r="T1137" t="str">
            <v>標準</v>
          </cell>
        </row>
        <row r="1138">
          <cell r="F1138" t="str">
            <v>H0000012647</v>
          </cell>
          <cell r="I1138" t="str">
            <v>フレーム</v>
          </cell>
          <cell r="J1138" t="str">
            <v>S-Frame_UX-90_N_NNNN</v>
          </cell>
          <cell r="K1138" t="str">
            <v>S-フレーム_UX-90_N_NNNN</v>
          </cell>
          <cell r="L1138" t="str">
            <v>S-Frame</v>
          </cell>
          <cell r="M1138" t="str">
            <v>S-フレーム</v>
          </cell>
          <cell r="P1138" t="str">
            <v>31B0</v>
          </cell>
          <cell r="Q1138" t="str">
            <v>SS400</v>
          </cell>
          <cell r="R1138" t="str">
            <v>E359765_01</v>
          </cell>
          <cell r="S1138">
            <v>851</v>
          </cell>
          <cell r="T1138" t="str">
            <v>標準</v>
          </cell>
        </row>
        <row r="1139">
          <cell r="F1139" t="str">
            <v>H0000012648</v>
          </cell>
          <cell r="I1139" t="str">
            <v>フレーム</v>
          </cell>
          <cell r="J1139" t="str">
            <v>S-Frame_UX-90_N_KKKK</v>
          </cell>
          <cell r="K1139" t="str">
            <v>S-フレーム_UX-90_N_KKKK</v>
          </cell>
          <cell r="L1139" t="str">
            <v>S-Frame</v>
          </cell>
          <cell r="M1139" t="str">
            <v>S-フレーム</v>
          </cell>
          <cell r="P1139" t="str">
            <v>31B0</v>
          </cell>
          <cell r="Q1139" t="str">
            <v>SS400</v>
          </cell>
          <cell r="R1139" t="str">
            <v>E359765_01</v>
          </cell>
          <cell r="S1139">
            <v>851</v>
          </cell>
          <cell r="T1139" t="str">
            <v>標準</v>
          </cell>
        </row>
        <row r="1140">
          <cell r="F1140" t="str">
            <v>H0000012649</v>
          </cell>
          <cell r="I1140" t="str">
            <v>フレーム</v>
          </cell>
          <cell r="J1140" t="str">
            <v>S-Frame_UX-90_N_NNNN</v>
          </cell>
          <cell r="K1140" t="str">
            <v>S-フレーム_UX-90_N_NNNN</v>
          </cell>
          <cell r="L1140" t="str">
            <v>S-Frame</v>
          </cell>
          <cell r="M1140" t="str">
            <v>S-フレーム</v>
          </cell>
          <cell r="P1140" t="str">
            <v>31B0</v>
          </cell>
          <cell r="Q1140" t="str">
            <v>SS400</v>
          </cell>
          <cell r="R1140" t="str">
            <v>E359765_01</v>
          </cell>
          <cell r="S1140">
            <v>851</v>
          </cell>
          <cell r="T1140" t="str">
            <v>標準</v>
          </cell>
        </row>
        <row r="1141">
          <cell r="F1141" t="str">
            <v>H0000012650</v>
          </cell>
          <cell r="I1141" t="str">
            <v>フレーム</v>
          </cell>
          <cell r="J1141" t="str">
            <v>S-Frame_UX-90_N_KKKK</v>
          </cell>
          <cell r="K1141" t="str">
            <v>S-フレーム_UX-90_N_KKKK</v>
          </cell>
          <cell r="L1141" t="str">
            <v>S-Frame</v>
          </cell>
          <cell r="M1141" t="str">
            <v>S-フレーム</v>
          </cell>
          <cell r="P1141" t="str">
            <v>31B0</v>
          </cell>
          <cell r="Q1141" t="str">
            <v>SS400</v>
          </cell>
          <cell r="R1141" t="str">
            <v>E359765_01</v>
          </cell>
          <cell r="S1141">
            <v>851</v>
          </cell>
          <cell r="T1141" t="str">
            <v>標準</v>
          </cell>
        </row>
        <row r="1142">
          <cell r="F1142" t="str">
            <v>H0000012653</v>
          </cell>
          <cell r="I1142" t="str">
            <v>フレーム</v>
          </cell>
          <cell r="J1142" t="str">
            <v>S-Frame_UX-90_N_NNNN</v>
          </cell>
          <cell r="K1142" t="str">
            <v>S-フレーム_UX-90_N_NNNN</v>
          </cell>
          <cell r="L1142" t="str">
            <v>S-Frame</v>
          </cell>
          <cell r="M1142" t="str">
            <v>S-フレーム</v>
          </cell>
          <cell r="P1142" t="str">
            <v>31B0</v>
          </cell>
          <cell r="Q1142" t="str">
            <v>SS400</v>
          </cell>
          <cell r="R1142" t="str">
            <v>E359765_01</v>
          </cell>
          <cell r="S1142">
            <v>851</v>
          </cell>
          <cell r="T1142" t="str">
            <v>標準</v>
          </cell>
        </row>
        <row r="1143">
          <cell r="F1143" t="str">
            <v>H0000012654</v>
          </cell>
          <cell r="I1143" t="str">
            <v>フレーム</v>
          </cell>
          <cell r="J1143" t="str">
            <v>S-Frame_UX-90_N_KKKK</v>
          </cell>
          <cell r="K1143" t="str">
            <v>S-フレーム_UX-90_N_KKKK</v>
          </cell>
          <cell r="L1143" t="str">
            <v>S-Frame</v>
          </cell>
          <cell r="M1143" t="str">
            <v>S-フレーム</v>
          </cell>
          <cell r="P1143" t="str">
            <v>31B0</v>
          </cell>
          <cell r="Q1143" t="str">
            <v>SS400</v>
          </cell>
          <cell r="R1143" t="str">
            <v>E359765_01</v>
          </cell>
          <cell r="S1143">
            <v>851</v>
          </cell>
          <cell r="T1143" t="str">
            <v>標準</v>
          </cell>
        </row>
        <row r="1144">
          <cell r="F1144" t="str">
            <v>H0000012657</v>
          </cell>
          <cell r="I1144" t="str">
            <v>フレーム</v>
          </cell>
          <cell r="J1144" t="str">
            <v>S-Frame_UX-90_N_NNNN</v>
          </cell>
          <cell r="K1144" t="str">
            <v>S-フレーム_UX-90_N_NNNN</v>
          </cell>
          <cell r="L1144" t="str">
            <v>S-Frame</v>
          </cell>
          <cell r="M1144" t="str">
            <v>S-フレーム</v>
          </cell>
          <cell r="P1144" t="str">
            <v>31B0</v>
          </cell>
          <cell r="Q1144" t="str">
            <v>SS400</v>
          </cell>
          <cell r="R1144" t="str">
            <v>E359765_01</v>
          </cell>
          <cell r="S1144">
            <v>851</v>
          </cell>
          <cell r="T1144" t="str">
            <v>標準</v>
          </cell>
        </row>
        <row r="1145">
          <cell r="F1145" t="str">
            <v>H0000012658</v>
          </cell>
          <cell r="I1145" t="str">
            <v>フレーム</v>
          </cell>
          <cell r="J1145" t="str">
            <v>S-Frame_UX-90_N_KKKK</v>
          </cell>
          <cell r="K1145" t="str">
            <v>S-フレーム_UX-90_N_KKKK</v>
          </cell>
          <cell r="L1145" t="str">
            <v>S-Frame</v>
          </cell>
          <cell r="M1145" t="str">
            <v>S-フレーム</v>
          </cell>
          <cell r="P1145" t="str">
            <v>31B0</v>
          </cell>
          <cell r="Q1145" t="str">
            <v>SS400</v>
          </cell>
          <cell r="R1145" t="str">
            <v>E359765_01</v>
          </cell>
          <cell r="S1145">
            <v>851</v>
          </cell>
          <cell r="T1145" t="str">
            <v>標準</v>
          </cell>
        </row>
        <row r="1146">
          <cell r="F1146" t="str">
            <v>H0000012659</v>
          </cell>
          <cell r="I1146" t="str">
            <v>フレーム</v>
          </cell>
          <cell r="J1146" t="str">
            <v>S-Frame_UX-90_N_NNNN</v>
          </cell>
          <cell r="K1146" t="str">
            <v>S-フレーム_UX-90_N_NNNN</v>
          </cell>
          <cell r="L1146" t="str">
            <v>S-Frame</v>
          </cell>
          <cell r="M1146" t="str">
            <v>S-フレーム</v>
          </cell>
          <cell r="P1146" t="str">
            <v>31B0</v>
          </cell>
          <cell r="Q1146" t="str">
            <v>SS400</v>
          </cell>
          <cell r="R1146" t="str">
            <v>E359765_01</v>
          </cell>
          <cell r="S1146">
            <v>851</v>
          </cell>
          <cell r="T1146" t="str">
            <v>標準</v>
          </cell>
        </row>
        <row r="1147">
          <cell r="F1147" t="str">
            <v>H0000012660</v>
          </cell>
          <cell r="I1147" t="str">
            <v>フレーム</v>
          </cell>
          <cell r="J1147" t="str">
            <v>S-Frame_UX-90_N_KKKK</v>
          </cell>
          <cell r="K1147" t="str">
            <v>S-フレーム_UX-90_N_KKKK</v>
          </cell>
          <cell r="L1147" t="str">
            <v>S-Frame</v>
          </cell>
          <cell r="M1147" t="str">
            <v>S-フレーム</v>
          </cell>
          <cell r="P1147" t="str">
            <v>31B0</v>
          </cell>
          <cell r="Q1147" t="str">
            <v>SS400</v>
          </cell>
          <cell r="R1147" t="str">
            <v>E359765_01</v>
          </cell>
          <cell r="S1147">
            <v>851</v>
          </cell>
          <cell r="T1147" t="str">
            <v>標準</v>
          </cell>
        </row>
        <row r="1148">
          <cell r="F1148" t="str">
            <v>H0000012663</v>
          </cell>
          <cell r="I1148" t="str">
            <v>フレーム</v>
          </cell>
          <cell r="J1148" t="str">
            <v>S-Frame_UX-90_N_NNNN</v>
          </cell>
          <cell r="K1148" t="str">
            <v>S-フレーム_UX-90_N_NNNN</v>
          </cell>
          <cell r="L1148" t="str">
            <v>S-Frame</v>
          </cell>
          <cell r="M1148" t="str">
            <v>S-フレーム</v>
          </cell>
          <cell r="P1148" t="str">
            <v>31B0</v>
          </cell>
          <cell r="Q1148" t="str">
            <v>SS400</v>
          </cell>
          <cell r="R1148" t="str">
            <v>E359765_01</v>
          </cell>
          <cell r="S1148">
            <v>851</v>
          </cell>
          <cell r="T1148" t="str">
            <v>標準</v>
          </cell>
        </row>
        <row r="1149">
          <cell r="F1149" t="str">
            <v>H0000012664</v>
          </cell>
          <cell r="I1149" t="str">
            <v>フレーム</v>
          </cell>
          <cell r="J1149" t="str">
            <v>S-Frame_UX-90_N_KKKK</v>
          </cell>
          <cell r="K1149" t="str">
            <v>S-フレーム_UX-90_N_KKKK</v>
          </cell>
          <cell r="L1149" t="str">
            <v>S-Frame</v>
          </cell>
          <cell r="M1149" t="str">
            <v>S-フレーム</v>
          </cell>
          <cell r="P1149" t="str">
            <v>31B0</v>
          </cell>
          <cell r="Q1149" t="str">
            <v>SS400</v>
          </cell>
          <cell r="R1149" t="str">
            <v>E359765_01</v>
          </cell>
          <cell r="S1149">
            <v>851</v>
          </cell>
          <cell r="T1149" t="str">
            <v>標準</v>
          </cell>
        </row>
        <row r="1150">
          <cell r="F1150" t="str">
            <v>H0000012677</v>
          </cell>
          <cell r="I1150" t="str">
            <v>フレーム</v>
          </cell>
          <cell r="J1150" t="str">
            <v>S-Frame_UX-90_N_NNNN</v>
          </cell>
          <cell r="K1150" t="str">
            <v>S-フレーム_UX-90_N_NNNN</v>
          </cell>
          <cell r="L1150" t="str">
            <v>S-Frame</v>
          </cell>
          <cell r="M1150" t="str">
            <v>S-フレーム</v>
          </cell>
          <cell r="P1150" t="str">
            <v>31B0</v>
          </cell>
          <cell r="Q1150" t="str">
            <v>SS400</v>
          </cell>
          <cell r="R1150" t="str">
            <v>E359765_01</v>
          </cell>
          <cell r="S1150">
            <v>851</v>
          </cell>
          <cell r="T1150" t="str">
            <v>標準</v>
          </cell>
        </row>
        <row r="1151">
          <cell r="F1151" t="str">
            <v>H0000012678</v>
          </cell>
          <cell r="I1151" t="str">
            <v>フレーム</v>
          </cell>
          <cell r="J1151" t="str">
            <v>S-Frame_UX-90_N_KKKK</v>
          </cell>
          <cell r="K1151" t="str">
            <v>S-フレーム_UX-90_N_KKKK</v>
          </cell>
          <cell r="L1151" t="str">
            <v>S-Frame</v>
          </cell>
          <cell r="M1151" t="str">
            <v>S-フレーム</v>
          </cell>
          <cell r="P1151" t="str">
            <v>31B0</v>
          </cell>
          <cell r="Q1151" t="str">
            <v>SS400</v>
          </cell>
          <cell r="R1151" t="str">
            <v>E359765_01</v>
          </cell>
          <cell r="S1151">
            <v>851</v>
          </cell>
          <cell r="T1151" t="str">
            <v>標準</v>
          </cell>
        </row>
        <row r="1152">
          <cell r="F1152" t="str">
            <v>H0000012679</v>
          </cell>
          <cell r="I1152" t="str">
            <v>フレーム</v>
          </cell>
          <cell r="J1152" t="str">
            <v>S-Frame_UX-90_N_NNNN</v>
          </cell>
          <cell r="K1152" t="str">
            <v>S-フレーム_UX-90_N_NNNN</v>
          </cell>
          <cell r="L1152" t="str">
            <v>S-Frame</v>
          </cell>
          <cell r="M1152" t="str">
            <v>S-フレーム</v>
          </cell>
          <cell r="P1152" t="str">
            <v>31B0</v>
          </cell>
          <cell r="Q1152" t="str">
            <v>SS400</v>
          </cell>
          <cell r="R1152" t="str">
            <v>E359765_01</v>
          </cell>
          <cell r="S1152">
            <v>851</v>
          </cell>
          <cell r="T1152" t="str">
            <v>標準</v>
          </cell>
        </row>
        <row r="1153">
          <cell r="F1153" t="str">
            <v>H0000012680</v>
          </cell>
          <cell r="I1153" t="str">
            <v>フレーム</v>
          </cell>
          <cell r="J1153" t="str">
            <v>S-Frame_UX-90_N_KKKK</v>
          </cell>
          <cell r="K1153" t="str">
            <v>S-フレーム_UX-90_N_KKKK</v>
          </cell>
          <cell r="L1153" t="str">
            <v>S-Frame</v>
          </cell>
          <cell r="M1153" t="str">
            <v>S-フレーム</v>
          </cell>
          <cell r="P1153" t="str">
            <v>31B0</v>
          </cell>
          <cell r="Q1153" t="str">
            <v>SS400</v>
          </cell>
          <cell r="R1153" t="str">
            <v>E359765_01</v>
          </cell>
          <cell r="S1153">
            <v>851</v>
          </cell>
          <cell r="T1153" t="str">
            <v>標準</v>
          </cell>
        </row>
        <row r="1154">
          <cell r="F1154" t="str">
            <v>H0000012683</v>
          </cell>
          <cell r="I1154" t="str">
            <v>フレーム</v>
          </cell>
          <cell r="J1154" t="str">
            <v>S-Frame_UX-90_N_NNNN</v>
          </cell>
          <cell r="K1154" t="str">
            <v>S-フレーム_UX-90_N_NNNN</v>
          </cell>
          <cell r="L1154" t="str">
            <v>S-Frame</v>
          </cell>
          <cell r="M1154" t="str">
            <v>S-フレーム</v>
          </cell>
          <cell r="P1154" t="str">
            <v>31B0</v>
          </cell>
          <cell r="Q1154" t="str">
            <v>SS400</v>
          </cell>
          <cell r="R1154" t="str">
            <v>E359765_01</v>
          </cell>
          <cell r="S1154">
            <v>851</v>
          </cell>
          <cell r="T1154" t="str">
            <v>標準</v>
          </cell>
        </row>
        <row r="1155">
          <cell r="F1155" t="str">
            <v>H0000012684</v>
          </cell>
          <cell r="I1155" t="str">
            <v>フレーム</v>
          </cell>
          <cell r="J1155" t="str">
            <v>S-Frame_UX-90_N_KKKK</v>
          </cell>
          <cell r="K1155" t="str">
            <v>S-フレーム_UX-90_N_KKKK</v>
          </cell>
          <cell r="L1155" t="str">
            <v>S-Frame</v>
          </cell>
          <cell r="M1155" t="str">
            <v>S-フレーム</v>
          </cell>
          <cell r="P1155" t="str">
            <v>31B0</v>
          </cell>
          <cell r="Q1155" t="str">
            <v>SS400</v>
          </cell>
          <cell r="R1155" t="str">
            <v>E359765_01</v>
          </cell>
          <cell r="S1155">
            <v>851</v>
          </cell>
          <cell r="T1155" t="str">
            <v>標準</v>
          </cell>
        </row>
        <row r="1156">
          <cell r="F1156" t="str">
            <v>H0000012697</v>
          </cell>
          <cell r="I1156" t="str">
            <v>フレーム</v>
          </cell>
          <cell r="J1156" t="str">
            <v>S-Frame_GasCutting_UX-90_N_1234</v>
          </cell>
          <cell r="K1156" t="str">
            <v>S-フレーム_ガス溶断_UX-90_N_1234</v>
          </cell>
          <cell r="L1156" t="str">
            <v>S-Frame</v>
          </cell>
          <cell r="M1156" t="str">
            <v>S-フレーム</v>
          </cell>
          <cell r="N1156" t="str">
            <v>GasCutting</v>
          </cell>
          <cell r="O1156" t="str">
            <v>ガス溶断</v>
          </cell>
          <cell r="P1156" t="str">
            <v>31B0</v>
          </cell>
          <cell r="Q1156" t="str">
            <v>SS400</v>
          </cell>
          <cell r="R1156" t="str">
            <v>E334574_01</v>
          </cell>
          <cell r="S1156">
            <v>1202</v>
          </cell>
          <cell r="T1156" t="str">
            <v>非標準</v>
          </cell>
        </row>
        <row r="1157">
          <cell r="F1157" t="str">
            <v>H0000012698</v>
          </cell>
          <cell r="I1157" t="str">
            <v>フレーム</v>
          </cell>
          <cell r="J1157" t="str">
            <v>S-Frame_GasCutting_UX-90_H_1234</v>
          </cell>
          <cell r="K1157" t="str">
            <v>S-フレーム_ガス溶断_UX-90_H_1234</v>
          </cell>
          <cell r="L1157" t="str">
            <v>S-Frame</v>
          </cell>
          <cell r="M1157" t="str">
            <v>S-フレーム</v>
          </cell>
          <cell r="N1157" t="str">
            <v>GasCutting</v>
          </cell>
          <cell r="O1157" t="str">
            <v>ガス溶断</v>
          </cell>
          <cell r="P1157" t="str">
            <v>31B0</v>
          </cell>
          <cell r="Q1157" t="str">
            <v>SS400</v>
          </cell>
          <cell r="R1157" t="str">
            <v>E334576_01</v>
          </cell>
          <cell r="S1157">
            <v>1197</v>
          </cell>
          <cell r="T1157" t="str">
            <v>標準</v>
          </cell>
        </row>
        <row r="1158">
          <cell r="F1158" t="str">
            <v>H0000012699</v>
          </cell>
          <cell r="I1158" t="str">
            <v>フレーム</v>
          </cell>
          <cell r="J1158" t="str">
            <v>S-Frame_GasCutting_UX-90_N_1234</v>
          </cell>
          <cell r="K1158" t="str">
            <v>S-フレーム_ガス溶断_UX-90_N_1234</v>
          </cell>
          <cell r="L1158" t="str">
            <v>S-Frame</v>
          </cell>
          <cell r="M1158" t="str">
            <v>S-フレーム</v>
          </cell>
          <cell r="N1158" t="str">
            <v>GasCutting</v>
          </cell>
          <cell r="O1158" t="str">
            <v>ガス溶断</v>
          </cell>
          <cell r="P1158" t="str">
            <v>31B0</v>
          </cell>
          <cell r="Q1158" t="str">
            <v>SS400</v>
          </cell>
          <cell r="R1158" t="str">
            <v>E359765_01</v>
          </cell>
          <cell r="S1158">
            <v>854</v>
          </cell>
          <cell r="T1158" t="str">
            <v>標準</v>
          </cell>
        </row>
        <row r="1159">
          <cell r="F1159" t="str">
            <v>H0000012700</v>
          </cell>
          <cell r="I1159" t="str">
            <v>フレーム</v>
          </cell>
          <cell r="J1159" t="str">
            <v>Rib_UX-90_N_W990,H110,T40</v>
          </cell>
          <cell r="K1159" t="str">
            <v>リブ_UX-90_N_W990,H110,T40</v>
          </cell>
          <cell r="L1159" t="str">
            <v>Rib</v>
          </cell>
          <cell r="M1159" t="str">
            <v>リブ</v>
          </cell>
          <cell r="P1159" t="str">
            <v>31B0</v>
          </cell>
          <cell r="Q1159" t="str">
            <v>SS400</v>
          </cell>
          <cell r="R1159" t="str">
            <v>E334574_02</v>
          </cell>
          <cell r="S1159">
            <v>32</v>
          </cell>
          <cell r="T1159" t="str">
            <v>標準</v>
          </cell>
        </row>
        <row r="1160">
          <cell r="F1160" t="str">
            <v>H0000012701</v>
          </cell>
          <cell r="I1160" t="str">
            <v>フレーム</v>
          </cell>
          <cell r="J1160" t="str">
            <v>Rib_UX-90_N_W990,H150,T40</v>
          </cell>
          <cell r="K1160" t="str">
            <v>リブ_UX-90_N_W990,H150,T40</v>
          </cell>
          <cell r="L1160" t="str">
            <v>Rib</v>
          </cell>
          <cell r="M1160" t="str">
            <v>リブ</v>
          </cell>
          <cell r="P1160" t="str">
            <v>31B0</v>
          </cell>
          <cell r="Q1160" t="str">
            <v>SS400</v>
          </cell>
          <cell r="R1160" t="str">
            <v>E334574_03</v>
          </cell>
          <cell r="S1160">
            <v>37</v>
          </cell>
          <cell r="T1160" t="str">
            <v>標準</v>
          </cell>
        </row>
        <row r="1161">
          <cell r="F1161" t="str">
            <v>H0000012702</v>
          </cell>
          <cell r="I1161" t="str">
            <v>フレーム</v>
          </cell>
          <cell r="J1161" t="str">
            <v>Rib_UX-90_H_W990,H170,T40</v>
          </cell>
          <cell r="K1161" t="str">
            <v>リブ_UX-90_H_W990,H170,T40</v>
          </cell>
          <cell r="L1161" t="str">
            <v>Rib</v>
          </cell>
          <cell r="M1161" t="str">
            <v>リブ</v>
          </cell>
          <cell r="P1161" t="str">
            <v>31B0</v>
          </cell>
          <cell r="Q1161" t="str">
            <v>SS400</v>
          </cell>
          <cell r="R1161" t="str">
            <v>E334576_02</v>
          </cell>
          <cell r="S1161">
            <v>51</v>
          </cell>
          <cell r="T1161" t="str">
            <v>標準</v>
          </cell>
        </row>
        <row r="1162">
          <cell r="F1162" t="str">
            <v>H0000012703</v>
          </cell>
          <cell r="I1162" t="str">
            <v>フレーム</v>
          </cell>
          <cell r="J1162" t="str">
            <v>Rib_UX-90_H_W990,H170,T40</v>
          </cell>
          <cell r="K1162" t="str">
            <v>リブ_UX-90_H_W990,H170,T40</v>
          </cell>
          <cell r="L1162" t="str">
            <v>Rib</v>
          </cell>
          <cell r="M1162" t="str">
            <v>リブ</v>
          </cell>
          <cell r="P1162" t="str">
            <v>31B0</v>
          </cell>
          <cell r="Q1162" t="str">
            <v>SS400</v>
          </cell>
          <cell r="R1162" t="str">
            <v>E334576_03</v>
          </cell>
          <cell r="S1162">
            <v>43</v>
          </cell>
          <cell r="T1162" t="str">
            <v>標準</v>
          </cell>
        </row>
        <row r="1163">
          <cell r="F1163" t="str">
            <v>H0000012704</v>
          </cell>
          <cell r="I1163" t="str">
            <v>フレーム</v>
          </cell>
          <cell r="J1163" t="str">
            <v>Rib_UX-90_N_W950,H215,T40</v>
          </cell>
          <cell r="K1163" t="str">
            <v>リブ_UX-90_N_W950,H215,T40</v>
          </cell>
          <cell r="L1163" t="str">
            <v>Rib</v>
          </cell>
          <cell r="M1163" t="str">
            <v>リブ</v>
          </cell>
          <cell r="P1163" t="str">
            <v>31B0</v>
          </cell>
          <cell r="Q1163" t="str">
            <v>SS400</v>
          </cell>
          <cell r="R1163" t="str">
            <v>E359765_02</v>
          </cell>
          <cell r="S1163">
            <v>62</v>
          </cell>
          <cell r="T1163" t="str">
            <v>標準</v>
          </cell>
        </row>
        <row r="1164">
          <cell r="F1164" t="str">
            <v>H0000012705</v>
          </cell>
          <cell r="I1164" t="str">
            <v>フレーム</v>
          </cell>
          <cell r="J1164" t="str">
            <v>BasePlate_YX-83_N_W300,H160,T25</v>
          </cell>
          <cell r="K1164" t="str">
            <v>ベースプレート_YX-83_N_W300,H160,T25</v>
          </cell>
          <cell r="L1164" t="str">
            <v>BasePlate</v>
          </cell>
          <cell r="M1164" t="str">
            <v>ベースプレート</v>
          </cell>
          <cell r="P1164" t="str">
            <v>31B0</v>
          </cell>
          <cell r="Q1164" t="str">
            <v>SS400</v>
          </cell>
          <cell r="R1164" t="str">
            <v>E385497_02</v>
          </cell>
          <cell r="S1164">
            <v>10</v>
          </cell>
          <cell r="T1164" t="str">
            <v>標準</v>
          </cell>
        </row>
        <row r="1165">
          <cell r="F1165" t="str">
            <v>H0000012706</v>
          </cell>
          <cell r="I1165" t="str">
            <v>フレーム</v>
          </cell>
          <cell r="J1165" t="str">
            <v>BasePlate_UX-90_N_W1300,H350,T40</v>
          </cell>
          <cell r="K1165" t="str">
            <v>ベースプレート_UX-90_N_W1300,H350,T40</v>
          </cell>
          <cell r="L1165" t="str">
            <v>BasePlate</v>
          </cell>
          <cell r="M1165" t="str">
            <v>ベースプレート</v>
          </cell>
          <cell r="P1165" t="str">
            <v>31B0</v>
          </cell>
          <cell r="Q1165" t="str">
            <v>SS400</v>
          </cell>
          <cell r="R1165" t="str">
            <v>E334574_04</v>
          </cell>
          <cell r="S1165">
            <v>141</v>
          </cell>
          <cell r="T1165" t="str">
            <v>標準</v>
          </cell>
        </row>
        <row r="1166">
          <cell r="F1166" t="str">
            <v>H0000012707</v>
          </cell>
          <cell r="I1166" t="str">
            <v>フレーム</v>
          </cell>
          <cell r="J1166" t="str">
            <v>SteelPlate_YX-83__W850,H1600,T3,350A,150A,150A,350A</v>
          </cell>
          <cell r="K1166" t="str">
            <v>鋼板_YX-83__W850,H1600,T3,350A,150A,150A,350A</v>
          </cell>
          <cell r="L1166" t="str">
            <v>SteelPlate</v>
          </cell>
          <cell r="M1166" t="str">
            <v>鋼板</v>
          </cell>
          <cell r="P1166">
            <v>3101</v>
          </cell>
          <cell r="Q1166" t="str">
            <v>SUS304</v>
          </cell>
          <cell r="R1166" t="str">
            <v>E385503_01</v>
          </cell>
          <cell r="S1166">
            <v>27</v>
          </cell>
          <cell r="T1166" t="str">
            <v>標準</v>
          </cell>
        </row>
        <row r="1167">
          <cell r="F1167" t="str">
            <v>H0000012708</v>
          </cell>
          <cell r="I1167" t="str">
            <v>フレーム</v>
          </cell>
          <cell r="J1167" t="str">
            <v>SteelPlate_YX-83__W850,H1600,T3,350A,150A,150A,300A</v>
          </cell>
          <cell r="K1167" t="str">
            <v>鋼板_YX-83__W850,H1600,T3,350A,150A,150A,300A</v>
          </cell>
          <cell r="L1167" t="str">
            <v>SteelPlate</v>
          </cell>
          <cell r="M1167" t="str">
            <v>鋼板</v>
          </cell>
          <cell r="P1167">
            <v>3101</v>
          </cell>
          <cell r="Q1167" t="str">
            <v>SUS304</v>
          </cell>
          <cell r="R1167" t="str">
            <v>E385503_01</v>
          </cell>
          <cell r="S1167">
            <v>27</v>
          </cell>
          <cell r="T1167" t="str">
            <v>標準</v>
          </cell>
        </row>
        <row r="1168">
          <cell r="F1168" t="str">
            <v>H0000012709</v>
          </cell>
          <cell r="I1168" t="str">
            <v>フレーム</v>
          </cell>
          <cell r="J1168" t="str">
            <v>SteelPlate_YX-83__W850,H1600,T3,350A,150A,150A,250A</v>
          </cell>
          <cell r="K1168" t="str">
            <v>鋼板_YX-83__W850,H1600,T3,350A,150A,150A,250A</v>
          </cell>
          <cell r="L1168" t="str">
            <v>SteelPlate</v>
          </cell>
          <cell r="M1168" t="str">
            <v>鋼板</v>
          </cell>
          <cell r="P1168">
            <v>3101</v>
          </cell>
          <cell r="Q1168" t="str">
            <v>SUS304</v>
          </cell>
          <cell r="R1168" t="str">
            <v>E385503_01</v>
          </cell>
          <cell r="S1168">
            <v>28</v>
          </cell>
          <cell r="T1168" t="str">
            <v>標準</v>
          </cell>
        </row>
        <row r="1169">
          <cell r="F1169" t="str">
            <v>H0000012710</v>
          </cell>
          <cell r="I1169" t="str">
            <v>フレーム</v>
          </cell>
          <cell r="J1169" t="str">
            <v>SteelPlate_YX-83__W850,H1600,T3,350A,150A,150A,200A</v>
          </cell>
          <cell r="K1169" t="str">
            <v>鋼板_YX-83__W850,H1600,T3,350A,150A,150A,200A</v>
          </cell>
          <cell r="L1169" t="str">
            <v>SteelPlate</v>
          </cell>
          <cell r="M1169" t="str">
            <v>鋼板</v>
          </cell>
          <cell r="P1169">
            <v>3101</v>
          </cell>
          <cell r="Q1169" t="str">
            <v>SUS304</v>
          </cell>
          <cell r="R1169" t="str">
            <v>E385503_01</v>
          </cell>
          <cell r="S1169">
            <v>28</v>
          </cell>
          <cell r="T1169" t="str">
            <v>標準</v>
          </cell>
        </row>
        <row r="1170">
          <cell r="F1170" t="str">
            <v>H0000012711</v>
          </cell>
          <cell r="I1170" t="str">
            <v>フレーム</v>
          </cell>
          <cell r="J1170" t="str">
            <v>SteelPlate_YX-83__W850,H1600,T3,350A,150A,150A,150A</v>
          </cell>
          <cell r="K1170" t="str">
            <v>鋼板_YX-83__W850,H1600,T3,350A,150A,150A,150A</v>
          </cell>
          <cell r="L1170" t="str">
            <v>SteelPlate</v>
          </cell>
          <cell r="M1170" t="str">
            <v>鋼板</v>
          </cell>
          <cell r="P1170">
            <v>3101</v>
          </cell>
          <cell r="Q1170" t="str">
            <v>SUS304</v>
          </cell>
          <cell r="R1170" t="str">
            <v>E385503_01</v>
          </cell>
          <cell r="S1170">
            <v>29</v>
          </cell>
          <cell r="T1170" t="str">
            <v>標準</v>
          </cell>
        </row>
        <row r="1171">
          <cell r="F1171" t="str">
            <v>H0000012712</v>
          </cell>
          <cell r="I1171" t="str">
            <v>フレーム</v>
          </cell>
          <cell r="J1171" t="str">
            <v>SteelPlate_YX-83__W850,H1600,T3,300A,150A,150A,300A</v>
          </cell>
          <cell r="K1171" t="str">
            <v>鋼板_YX-83__W850,H1600,T3,300A,150A,150A,300A</v>
          </cell>
          <cell r="L1171" t="str">
            <v>SteelPlate</v>
          </cell>
          <cell r="M1171" t="str">
            <v>鋼板</v>
          </cell>
          <cell r="P1171">
            <v>3101</v>
          </cell>
          <cell r="Q1171" t="str">
            <v>SUS304</v>
          </cell>
          <cell r="R1171" t="str">
            <v>E385503_01</v>
          </cell>
          <cell r="S1171">
            <v>28</v>
          </cell>
          <cell r="T1171" t="str">
            <v>標準</v>
          </cell>
        </row>
        <row r="1172">
          <cell r="F1172" t="str">
            <v>H0000012713</v>
          </cell>
          <cell r="I1172" t="str">
            <v>フレーム</v>
          </cell>
          <cell r="J1172" t="str">
            <v>SteelPlate_YX-83__W850,H1600,T3,300A,150A,150A,250A</v>
          </cell>
          <cell r="K1172" t="str">
            <v>鋼板_YX-83__W850,H1600,T3,300A,150A,150A,250A</v>
          </cell>
          <cell r="L1172" t="str">
            <v>SteelPlate</v>
          </cell>
          <cell r="M1172" t="str">
            <v>鋼板</v>
          </cell>
          <cell r="P1172">
            <v>3101</v>
          </cell>
          <cell r="Q1172" t="str">
            <v>SUS304</v>
          </cell>
          <cell r="R1172" t="str">
            <v>E385503_01</v>
          </cell>
          <cell r="S1172">
            <v>28</v>
          </cell>
          <cell r="T1172" t="str">
            <v>標準</v>
          </cell>
        </row>
        <row r="1173">
          <cell r="F1173" t="str">
            <v>H0000012714</v>
          </cell>
          <cell r="I1173" t="str">
            <v>フレーム</v>
          </cell>
          <cell r="J1173" t="str">
            <v>SteelPlate_YX-83__W850,H1600,T3,300A,150A,150A,200A</v>
          </cell>
          <cell r="K1173" t="str">
            <v>鋼板_YX-83__W850,H1600,T3,300A,150A,150A,200A</v>
          </cell>
          <cell r="L1173" t="str">
            <v>SteelPlate</v>
          </cell>
          <cell r="M1173" t="str">
            <v>鋼板</v>
          </cell>
          <cell r="P1173">
            <v>3101</v>
          </cell>
          <cell r="Q1173" t="str">
            <v>SUS304</v>
          </cell>
          <cell r="R1173" t="str">
            <v>E385503_01</v>
          </cell>
          <cell r="S1173">
            <v>29</v>
          </cell>
          <cell r="T1173" t="str">
            <v>標準</v>
          </cell>
        </row>
        <row r="1174">
          <cell r="F1174" t="str">
            <v>H0000012715</v>
          </cell>
          <cell r="I1174" t="str">
            <v>フレーム</v>
          </cell>
          <cell r="J1174" t="str">
            <v>SteelPlate_YX-83__W850,H1600,T3,300A,150A,150A,150A</v>
          </cell>
          <cell r="K1174" t="str">
            <v>鋼板_YX-83__W850,H1600,T3,300A,150A,150A,150A</v>
          </cell>
          <cell r="L1174" t="str">
            <v>SteelPlate</v>
          </cell>
          <cell r="M1174" t="str">
            <v>鋼板</v>
          </cell>
          <cell r="P1174">
            <v>3101</v>
          </cell>
          <cell r="Q1174" t="str">
            <v>SUS304</v>
          </cell>
          <cell r="R1174" t="str">
            <v>E385503_01</v>
          </cell>
          <cell r="S1174">
            <v>29</v>
          </cell>
          <cell r="T1174" t="str">
            <v>標準</v>
          </cell>
        </row>
        <row r="1175">
          <cell r="F1175" t="str">
            <v>H0000012716</v>
          </cell>
          <cell r="I1175" t="str">
            <v>フレーム</v>
          </cell>
          <cell r="J1175" t="str">
            <v>SteelPlate_YX-83__W850,H1600,T3,250A,150A,150A,250A</v>
          </cell>
          <cell r="K1175" t="str">
            <v>鋼板_YX-83__W850,H1600,T3,250A,150A,150A,250A</v>
          </cell>
          <cell r="L1175" t="str">
            <v>SteelPlate</v>
          </cell>
          <cell r="M1175" t="str">
            <v>鋼板</v>
          </cell>
          <cell r="P1175">
            <v>3101</v>
          </cell>
          <cell r="Q1175" t="str">
            <v>SUS304</v>
          </cell>
          <cell r="R1175" t="str">
            <v>E385503_01</v>
          </cell>
          <cell r="S1175">
            <v>29</v>
          </cell>
          <cell r="T1175" t="str">
            <v>標準</v>
          </cell>
        </row>
        <row r="1176">
          <cell r="F1176" t="str">
            <v>H0000012717</v>
          </cell>
          <cell r="I1176" t="str">
            <v>フレーム</v>
          </cell>
          <cell r="J1176" t="str">
            <v>SteelPlate_YX-83__W850,H1600,T3,250A,150A,150A,200A</v>
          </cell>
          <cell r="K1176" t="str">
            <v>鋼板_YX-83__W850,H1600,T3,250A,150A,150A,200A</v>
          </cell>
          <cell r="L1176" t="str">
            <v>SteelPlate</v>
          </cell>
          <cell r="M1176" t="str">
            <v>鋼板</v>
          </cell>
          <cell r="P1176">
            <v>3101</v>
          </cell>
          <cell r="Q1176" t="str">
            <v>SUS304</v>
          </cell>
          <cell r="R1176" t="str">
            <v>E385503_01</v>
          </cell>
          <cell r="S1176">
            <v>29</v>
          </cell>
          <cell r="T1176" t="str">
            <v>標準</v>
          </cell>
        </row>
        <row r="1177">
          <cell r="F1177" t="str">
            <v>H0000012718</v>
          </cell>
          <cell r="I1177" t="str">
            <v>フレーム</v>
          </cell>
          <cell r="J1177" t="str">
            <v>SteelPlate_YX-83__W850,H1600,T3,250A,150A,150A,150A</v>
          </cell>
          <cell r="K1177" t="str">
            <v>鋼板_YX-83__W850,H1600,T3,250A,150A,150A,150A</v>
          </cell>
          <cell r="L1177" t="str">
            <v>SteelPlate</v>
          </cell>
          <cell r="M1177" t="str">
            <v>鋼板</v>
          </cell>
          <cell r="P1177">
            <v>3101</v>
          </cell>
          <cell r="Q1177" t="str">
            <v>SUS304</v>
          </cell>
          <cell r="R1177" t="str">
            <v>E385503_01</v>
          </cell>
          <cell r="S1177">
            <v>30</v>
          </cell>
          <cell r="T1177" t="str">
            <v>標準</v>
          </cell>
        </row>
        <row r="1178">
          <cell r="F1178" t="str">
            <v>H0000012719</v>
          </cell>
          <cell r="I1178" t="str">
            <v>フレーム</v>
          </cell>
          <cell r="J1178" t="str">
            <v>SteelPlate_YX-83__W850,H1600,T3,200A,150A,150A,200A</v>
          </cell>
          <cell r="K1178" t="str">
            <v>鋼板_YX-83__W850,H1600,T3,200A,150A,150A,200A</v>
          </cell>
          <cell r="L1178" t="str">
            <v>SteelPlate</v>
          </cell>
          <cell r="M1178" t="str">
            <v>鋼板</v>
          </cell>
          <cell r="P1178">
            <v>3101</v>
          </cell>
          <cell r="Q1178" t="str">
            <v>SUS304</v>
          </cell>
          <cell r="R1178" t="str">
            <v>E385503_01</v>
          </cell>
          <cell r="S1178">
            <v>30</v>
          </cell>
          <cell r="T1178" t="str">
            <v>標準</v>
          </cell>
        </row>
        <row r="1179">
          <cell r="F1179" t="str">
            <v>H0000012720</v>
          </cell>
          <cell r="I1179" t="str">
            <v>フレーム</v>
          </cell>
          <cell r="J1179" t="str">
            <v>SteelPlate_YX-83__W850,H1600,T3,200A,150A,150A,150A</v>
          </cell>
          <cell r="K1179" t="str">
            <v>鋼板_YX-83__W850,H1600,T3,200A,150A,150A,150A</v>
          </cell>
          <cell r="L1179" t="str">
            <v>SteelPlate</v>
          </cell>
          <cell r="M1179" t="str">
            <v>鋼板</v>
          </cell>
          <cell r="P1179">
            <v>3101</v>
          </cell>
          <cell r="Q1179" t="str">
            <v>SUS304</v>
          </cell>
          <cell r="R1179" t="str">
            <v>E385503_01</v>
          </cell>
          <cell r="S1179">
            <v>30</v>
          </cell>
          <cell r="T1179" t="str">
            <v>標準</v>
          </cell>
        </row>
        <row r="1180">
          <cell r="F1180" t="str">
            <v>H0000012721</v>
          </cell>
          <cell r="I1180" t="str">
            <v>フレーム</v>
          </cell>
          <cell r="J1180" t="str">
            <v>SteelPlate_YX-83__W850,H1600,T3,150A,150A,150A,150A</v>
          </cell>
          <cell r="K1180" t="str">
            <v>鋼板_YX-83__W850,H1600,T3,150A,150A,150A,150A</v>
          </cell>
          <cell r="L1180" t="str">
            <v>SteelPlate</v>
          </cell>
          <cell r="M1180" t="str">
            <v>鋼板</v>
          </cell>
          <cell r="P1180">
            <v>3101</v>
          </cell>
          <cell r="Q1180" t="str">
            <v>SUS304</v>
          </cell>
          <cell r="R1180" t="str">
            <v>E385503_01</v>
          </cell>
          <cell r="S1180">
            <v>31</v>
          </cell>
          <cell r="T1180" t="str">
            <v>標準</v>
          </cell>
        </row>
        <row r="1181">
          <cell r="F1181" t="str">
            <v>H0000012722</v>
          </cell>
          <cell r="I1181" t="str">
            <v>フレーム</v>
          </cell>
          <cell r="J1181" t="str">
            <v>SteelPlate_YX-83__W850,H1600,T3,150A,150A,150A,100A</v>
          </cell>
          <cell r="K1181" t="str">
            <v>鋼板_YX-83__W850,H1600,T3,150A,150A,150A,100A</v>
          </cell>
          <cell r="L1181" t="str">
            <v>SteelPlate</v>
          </cell>
          <cell r="M1181" t="str">
            <v>鋼板</v>
          </cell>
          <cell r="P1181">
            <v>3101</v>
          </cell>
          <cell r="Q1181" t="str">
            <v>SUS304</v>
          </cell>
          <cell r="R1181" t="str">
            <v>E385503_01</v>
          </cell>
          <cell r="S1181">
            <v>31</v>
          </cell>
          <cell r="T1181" t="str">
            <v>標準</v>
          </cell>
        </row>
        <row r="1182">
          <cell r="F1182" t="str">
            <v>H0000012723</v>
          </cell>
          <cell r="I1182" t="str">
            <v>フレーム</v>
          </cell>
          <cell r="J1182" t="str">
            <v>SteelPlate_YX-83__W850,H1600,T3,150A,150A,150A,80A</v>
          </cell>
          <cell r="K1182" t="str">
            <v>鋼板_YX-83__W850,H1600,T3,150A,150A,150A,80A</v>
          </cell>
          <cell r="L1182" t="str">
            <v>SteelPlate</v>
          </cell>
          <cell r="M1182" t="str">
            <v>鋼板</v>
          </cell>
          <cell r="P1182">
            <v>3101</v>
          </cell>
          <cell r="Q1182" t="str">
            <v>SUS304</v>
          </cell>
          <cell r="R1182" t="str">
            <v>E385503_01</v>
          </cell>
          <cell r="S1182">
            <v>31</v>
          </cell>
          <cell r="T1182" t="str">
            <v>標準</v>
          </cell>
        </row>
        <row r="1183">
          <cell r="F1183" t="str">
            <v>H0000012724</v>
          </cell>
          <cell r="I1183" t="str">
            <v>フレーム</v>
          </cell>
          <cell r="J1183" t="str">
            <v>SteelPlate_YX-83__W850,H1600,T3,350A,125A,125A,350A</v>
          </cell>
          <cell r="K1183" t="str">
            <v>鋼板_YX-83__W850,H1600,T3,350A,125A,125A,350A</v>
          </cell>
          <cell r="L1183" t="str">
            <v>SteelPlate</v>
          </cell>
          <cell r="M1183" t="str">
            <v>鋼板</v>
          </cell>
          <cell r="P1183">
            <v>3101</v>
          </cell>
          <cell r="Q1183" t="str">
            <v>SUS304</v>
          </cell>
          <cell r="R1183" t="str">
            <v>E385503_01</v>
          </cell>
          <cell r="S1183">
            <v>27</v>
          </cell>
          <cell r="T1183" t="str">
            <v>標準</v>
          </cell>
        </row>
        <row r="1184">
          <cell r="F1184" t="str">
            <v>H0000012725</v>
          </cell>
          <cell r="I1184" t="str">
            <v>フレーム</v>
          </cell>
          <cell r="J1184" t="str">
            <v>SteelPlate_YX-83__W850,H1600,T3,350A,125A,125A,300A</v>
          </cell>
          <cell r="K1184" t="str">
            <v>鋼板_YX-83__W850,H1600,T3,350A,125A,125A,300A</v>
          </cell>
          <cell r="L1184" t="str">
            <v>SteelPlate</v>
          </cell>
          <cell r="M1184" t="str">
            <v>鋼板</v>
          </cell>
          <cell r="P1184">
            <v>3101</v>
          </cell>
          <cell r="Q1184" t="str">
            <v>SUS304</v>
          </cell>
          <cell r="R1184" t="str">
            <v>E385503_01</v>
          </cell>
          <cell r="S1184">
            <v>28</v>
          </cell>
          <cell r="T1184" t="str">
            <v>標準</v>
          </cell>
        </row>
        <row r="1185">
          <cell r="F1185" t="str">
            <v>H0000012726</v>
          </cell>
          <cell r="I1185" t="str">
            <v>フレーム</v>
          </cell>
          <cell r="J1185" t="str">
            <v>SteelPlate_YX-83__W850,H1600,T3,350A,125A,125A,250A</v>
          </cell>
          <cell r="K1185" t="str">
            <v>鋼板_YX-83__W850,H1600,T3,350A,125A,125A,250A</v>
          </cell>
          <cell r="L1185" t="str">
            <v>SteelPlate</v>
          </cell>
          <cell r="M1185" t="str">
            <v>鋼板</v>
          </cell>
          <cell r="P1185">
            <v>3101</v>
          </cell>
          <cell r="Q1185" t="str">
            <v>SUS304</v>
          </cell>
          <cell r="R1185" t="str">
            <v>E385503_01</v>
          </cell>
          <cell r="S1185">
            <v>28</v>
          </cell>
          <cell r="T1185" t="str">
            <v>標準</v>
          </cell>
        </row>
        <row r="1186">
          <cell r="F1186" t="str">
            <v>H0000012727</v>
          </cell>
          <cell r="I1186" t="str">
            <v>フレーム</v>
          </cell>
          <cell r="J1186" t="str">
            <v>SteelPlate_YX-83__W850,H1600,T3,350A,125A,125A,200A</v>
          </cell>
          <cell r="K1186" t="str">
            <v>鋼板_YX-83__W850,H1600,T3,350A,125A,125A,200A</v>
          </cell>
          <cell r="L1186" t="str">
            <v>SteelPlate</v>
          </cell>
          <cell r="M1186" t="str">
            <v>鋼板</v>
          </cell>
          <cell r="P1186">
            <v>3101</v>
          </cell>
          <cell r="Q1186" t="str">
            <v>SUS304</v>
          </cell>
          <cell r="R1186" t="str">
            <v>E385503_01</v>
          </cell>
          <cell r="S1186">
            <v>29</v>
          </cell>
          <cell r="T1186" t="str">
            <v>標準</v>
          </cell>
        </row>
        <row r="1187">
          <cell r="F1187" t="str">
            <v>H0000012728</v>
          </cell>
          <cell r="I1187" t="str">
            <v>フレーム</v>
          </cell>
          <cell r="J1187" t="str">
            <v>SteelPlate_YX-83__W850,H1600,T3,350A,125A,125A,150A</v>
          </cell>
          <cell r="K1187" t="str">
            <v>鋼板_YX-83__W850,H1600,T3,350A,125A,125A,150A</v>
          </cell>
          <cell r="L1187" t="str">
            <v>SteelPlate</v>
          </cell>
          <cell r="M1187" t="str">
            <v>鋼板</v>
          </cell>
          <cell r="P1187">
            <v>3101</v>
          </cell>
          <cell r="Q1187" t="str">
            <v>SUS304</v>
          </cell>
          <cell r="R1187" t="str">
            <v>E385503_01</v>
          </cell>
          <cell r="S1187">
            <v>29</v>
          </cell>
          <cell r="T1187" t="str">
            <v>標準</v>
          </cell>
        </row>
        <row r="1188">
          <cell r="F1188" t="str">
            <v>H0000012729</v>
          </cell>
          <cell r="I1188" t="str">
            <v>フレーム</v>
          </cell>
          <cell r="J1188" t="str">
            <v>SteelPlate_YX-83__W850,H1600,T3,300A,125A,125A,300A</v>
          </cell>
          <cell r="K1188" t="str">
            <v>鋼板_YX-83__W850,H1600,T3,300A,125A,125A,300A</v>
          </cell>
          <cell r="L1188" t="str">
            <v>SteelPlate</v>
          </cell>
          <cell r="M1188" t="str">
            <v>鋼板</v>
          </cell>
          <cell r="P1188">
            <v>3101</v>
          </cell>
          <cell r="Q1188" t="str">
            <v>SUS304</v>
          </cell>
          <cell r="R1188" t="str">
            <v>E385503_01</v>
          </cell>
          <cell r="S1188">
            <v>28</v>
          </cell>
          <cell r="T1188" t="str">
            <v>標準</v>
          </cell>
        </row>
        <row r="1189">
          <cell r="F1189" t="str">
            <v>H0000012730</v>
          </cell>
          <cell r="I1189" t="str">
            <v>フレーム</v>
          </cell>
          <cell r="J1189" t="str">
            <v>SteelPlate_YX-83__W850,H1600,T3,300A,125A,125A,250A</v>
          </cell>
          <cell r="K1189" t="str">
            <v>鋼板_YX-83__W850,H1600,T3,300A,125A,125A,250A</v>
          </cell>
          <cell r="L1189" t="str">
            <v>SteelPlate</v>
          </cell>
          <cell r="M1189" t="str">
            <v>鋼板</v>
          </cell>
          <cell r="P1189">
            <v>3101</v>
          </cell>
          <cell r="Q1189" t="str">
            <v>SUS304</v>
          </cell>
          <cell r="R1189" t="str">
            <v>E385503_01</v>
          </cell>
          <cell r="S1189">
            <v>29</v>
          </cell>
          <cell r="T1189" t="str">
            <v>標準</v>
          </cell>
        </row>
        <row r="1190">
          <cell r="F1190" t="str">
            <v>H0000012731</v>
          </cell>
          <cell r="I1190" t="str">
            <v>フレーム</v>
          </cell>
          <cell r="J1190" t="str">
            <v>SteelPlate_YX-83__W850,H1600,T3,300A,125A,125A,200A</v>
          </cell>
          <cell r="K1190" t="str">
            <v>鋼板_YX-83__W850,H1600,T3,300A,125A,125A,200A</v>
          </cell>
          <cell r="L1190" t="str">
            <v>SteelPlate</v>
          </cell>
          <cell r="M1190" t="str">
            <v>鋼板</v>
          </cell>
          <cell r="P1190">
            <v>3101</v>
          </cell>
          <cell r="Q1190" t="str">
            <v>SUS304</v>
          </cell>
          <cell r="R1190" t="str">
            <v>E385503_01</v>
          </cell>
          <cell r="S1190">
            <v>29</v>
          </cell>
          <cell r="T1190" t="str">
            <v>標準</v>
          </cell>
        </row>
        <row r="1191">
          <cell r="F1191" t="str">
            <v>H0000012732</v>
          </cell>
          <cell r="I1191" t="str">
            <v>フレーム</v>
          </cell>
          <cell r="J1191" t="str">
            <v>SteelPlate_YX-83__W850,H1600,T3,300A,125A,125A,150A</v>
          </cell>
          <cell r="K1191" t="str">
            <v>鋼板_YX-83__W850,H1600,T3,300A,125A,125A,150A</v>
          </cell>
          <cell r="L1191" t="str">
            <v>SteelPlate</v>
          </cell>
          <cell r="M1191" t="str">
            <v>鋼板</v>
          </cell>
          <cell r="P1191">
            <v>3101</v>
          </cell>
          <cell r="Q1191" t="str">
            <v>SUS304</v>
          </cell>
          <cell r="R1191" t="str">
            <v>E385503_01</v>
          </cell>
          <cell r="S1191">
            <v>29</v>
          </cell>
          <cell r="T1191" t="str">
            <v>標準</v>
          </cell>
        </row>
        <row r="1192">
          <cell r="F1192" t="str">
            <v>H0000012733</v>
          </cell>
          <cell r="I1192" t="str">
            <v>フレーム</v>
          </cell>
          <cell r="J1192" t="str">
            <v>SteelPlate_YX-83__W850,H1600,T3,250A,125A,125A,250A</v>
          </cell>
          <cell r="K1192" t="str">
            <v>鋼板_YX-83__W850,H1600,T3,250A,125A,125A,250A</v>
          </cell>
          <cell r="L1192" t="str">
            <v>SteelPlate</v>
          </cell>
          <cell r="M1192" t="str">
            <v>鋼板</v>
          </cell>
          <cell r="P1192">
            <v>3101</v>
          </cell>
          <cell r="Q1192" t="str">
            <v>SUS304</v>
          </cell>
          <cell r="R1192" t="str">
            <v>E385503_01</v>
          </cell>
          <cell r="S1192">
            <v>29</v>
          </cell>
          <cell r="T1192" t="str">
            <v>標準</v>
          </cell>
        </row>
        <row r="1193">
          <cell r="F1193" t="str">
            <v>H0000012734</v>
          </cell>
          <cell r="I1193" t="str">
            <v>フレーム</v>
          </cell>
          <cell r="J1193" t="str">
            <v>SteelPlate_YX-83__W850,H1600,T3,250A,125A,125A,200A</v>
          </cell>
          <cell r="K1193" t="str">
            <v>鋼板_YX-83__W850,H1600,T3,250A,125A,125A,200A</v>
          </cell>
          <cell r="L1193" t="str">
            <v>SteelPlate</v>
          </cell>
          <cell r="M1193" t="str">
            <v>鋼板</v>
          </cell>
          <cell r="P1193">
            <v>3101</v>
          </cell>
          <cell r="Q1193" t="str">
            <v>SUS304</v>
          </cell>
          <cell r="R1193" t="str">
            <v>E385503_01</v>
          </cell>
          <cell r="S1193">
            <v>30</v>
          </cell>
          <cell r="T1193" t="str">
            <v>標準</v>
          </cell>
        </row>
        <row r="1194">
          <cell r="F1194" t="str">
            <v>H0000012735</v>
          </cell>
          <cell r="I1194" t="str">
            <v>フレーム</v>
          </cell>
          <cell r="J1194" t="str">
            <v>SteelPlate_YX-83__W850,H1600,T3,250A,125A,125A,150A</v>
          </cell>
          <cell r="K1194" t="str">
            <v>鋼板_YX-83__W850,H1600,T3,250A,125A,125A,150A</v>
          </cell>
          <cell r="L1194" t="str">
            <v>SteelPlate</v>
          </cell>
          <cell r="M1194" t="str">
            <v>鋼板</v>
          </cell>
          <cell r="P1194">
            <v>3101</v>
          </cell>
          <cell r="Q1194" t="str">
            <v>SUS304</v>
          </cell>
          <cell r="R1194" t="str">
            <v>E385503_01</v>
          </cell>
          <cell r="S1194">
            <v>30</v>
          </cell>
          <cell r="T1194" t="str">
            <v>標準</v>
          </cell>
        </row>
        <row r="1195">
          <cell r="F1195" t="str">
            <v>H0000012736</v>
          </cell>
          <cell r="I1195" t="str">
            <v>フレーム</v>
          </cell>
          <cell r="J1195" t="str">
            <v>SteelPlate_YX-83__W850,H1600,T3,200A,125A,125A,200A</v>
          </cell>
          <cell r="K1195" t="str">
            <v>鋼板_YX-83__W850,H1600,T3,200A,125A,125A,200A</v>
          </cell>
          <cell r="L1195" t="str">
            <v>SteelPlate</v>
          </cell>
          <cell r="M1195" t="str">
            <v>鋼板</v>
          </cell>
          <cell r="P1195">
            <v>3101</v>
          </cell>
          <cell r="Q1195" t="str">
            <v>SUS304</v>
          </cell>
          <cell r="R1195" t="str">
            <v>E385503_01</v>
          </cell>
          <cell r="S1195">
            <v>30</v>
          </cell>
          <cell r="T1195" t="str">
            <v>標準</v>
          </cell>
        </row>
        <row r="1196">
          <cell r="F1196" t="str">
            <v>H0000012737</v>
          </cell>
          <cell r="I1196" t="str">
            <v>フレーム</v>
          </cell>
          <cell r="J1196" t="str">
            <v>SteelPlate_YX-83__W850,H1600,T3,200A,125A,125A,150A</v>
          </cell>
          <cell r="K1196" t="str">
            <v>鋼板_YX-83__W850,H1600,T3,200A,125A,125A,150A</v>
          </cell>
          <cell r="L1196" t="str">
            <v>SteelPlate</v>
          </cell>
          <cell r="M1196" t="str">
            <v>鋼板</v>
          </cell>
          <cell r="P1196">
            <v>3101</v>
          </cell>
          <cell r="Q1196" t="str">
            <v>SUS304</v>
          </cell>
          <cell r="R1196" t="str">
            <v>E385503_01</v>
          </cell>
          <cell r="S1196">
            <v>31</v>
          </cell>
          <cell r="T1196" t="str">
            <v>標準</v>
          </cell>
        </row>
        <row r="1197">
          <cell r="F1197" t="str">
            <v>H0000012738</v>
          </cell>
          <cell r="I1197" t="str">
            <v>フレーム</v>
          </cell>
          <cell r="J1197" t="str">
            <v>SteelPlate_YX-83__W850,H1600,T3,150A,125A,125A,150A</v>
          </cell>
          <cell r="K1197" t="str">
            <v>鋼板_YX-83__W850,H1600,T3,150A,125A,125A,150A</v>
          </cell>
          <cell r="L1197" t="str">
            <v>SteelPlate</v>
          </cell>
          <cell r="M1197" t="str">
            <v>鋼板</v>
          </cell>
          <cell r="P1197">
            <v>3101</v>
          </cell>
          <cell r="Q1197" t="str">
            <v>SUS304</v>
          </cell>
          <cell r="R1197" t="str">
            <v>E385503_01</v>
          </cell>
          <cell r="S1197">
            <v>31</v>
          </cell>
          <cell r="T1197" t="str">
            <v>標準</v>
          </cell>
        </row>
        <row r="1198">
          <cell r="F1198" t="str">
            <v>H0000012739</v>
          </cell>
          <cell r="I1198" t="str">
            <v>フレーム</v>
          </cell>
          <cell r="J1198" t="str">
            <v>SteelPlate_YX-83__W850,H1600,T3,150A,125A,125A,100A</v>
          </cell>
          <cell r="K1198" t="str">
            <v>鋼板_YX-83__W850,H1600,T3,150A,125A,125A,100A</v>
          </cell>
          <cell r="L1198" t="str">
            <v>SteelPlate</v>
          </cell>
          <cell r="M1198" t="str">
            <v>鋼板</v>
          </cell>
          <cell r="P1198">
            <v>3101</v>
          </cell>
          <cell r="Q1198" t="str">
            <v>SUS304</v>
          </cell>
          <cell r="R1198" t="str">
            <v>E385503_01</v>
          </cell>
          <cell r="S1198">
            <v>31</v>
          </cell>
          <cell r="T1198" t="str">
            <v>標準</v>
          </cell>
        </row>
        <row r="1199">
          <cell r="F1199" t="str">
            <v>H0000012740</v>
          </cell>
          <cell r="I1199" t="str">
            <v>フレーム</v>
          </cell>
          <cell r="J1199" t="str">
            <v>SteelPlate_YX-83__W850,H1600,T3,150A,125A,125A,80A</v>
          </cell>
          <cell r="K1199" t="str">
            <v>鋼板_YX-83__W850,H1600,T3,150A,125A,125A,80A</v>
          </cell>
          <cell r="L1199" t="str">
            <v>SteelPlate</v>
          </cell>
          <cell r="M1199" t="str">
            <v>鋼板</v>
          </cell>
          <cell r="P1199">
            <v>3101</v>
          </cell>
          <cell r="Q1199" t="str">
            <v>SUS304</v>
          </cell>
          <cell r="R1199" t="str">
            <v>E385503_01</v>
          </cell>
          <cell r="S1199">
            <v>31</v>
          </cell>
          <cell r="T1199" t="str">
            <v>標準</v>
          </cell>
        </row>
        <row r="1200">
          <cell r="F1200" t="str">
            <v>H0000012741</v>
          </cell>
          <cell r="I1200" t="str">
            <v>フレーム</v>
          </cell>
          <cell r="J1200" t="str">
            <v>SteelPlate_YX-83__W850,H1600,T3,350A,100A,100A,350A</v>
          </cell>
          <cell r="K1200" t="str">
            <v>鋼板_YX-83__W850,H1600,T3,350A,100A,100A,350A</v>
          </cell>
          <cell r="L1200" t="str">
            <v>SteelPlate</v>
          </cell>
          <cell r="M1200" t="str">
            <v>鋼板</v>
          </cell>
          <cell r="P1200">
            <v>3101</v>
          </cell>
          <cell r="Q1200" t="str">
            <v>SUS304</v>
          </cell>
          <cell r="R1200" t="str">
            <v>E385503_01</v>
          </cell>
          <cell r="S1200">
            <v>27</v>
          </cell>
          <cell r="T1200" t="str">
            <v>標準</v>
          </cell>
        </row>
        <row r="1201">
          <cell r="F1201" t="str">
            <v>H0000012742</v>
          </cell>
          <cell r="I1201" t="str">
            <v>フレーム</v>
          </cell>
          <cell r="J1201" t="str">
            <v>SteelPlate_YX-83__W850,H1600,T3,350A,100A,100A,300A</v>
          </cell>
          <cell r="K1201" t="str">
            <v>鋼板_YX-83__W850,H1600,T3,350A,100A,100A,300A</v>
          </cell>
          <cell r="L1201" t="str">
            <v>SteelPlate</v>
          </cell>
          <cell r="M1201" t="str">
            <v>鋼板</v>
          </cell>
          <cell r="P1201">
            <v>3101</v>
          </cell>
          <cell r="Q1201" t="str">
            <v>SUS304</v>
          </cell>
          <cell r="R1201" t="str">
            <v>E385503_01</v>
          </cell>
          <cell r="S1201">
            <v>28</v>
          </cell>
          <cell r="T1201" t="str">
            <v>標準</v>
          </cell>
        </row>
        <row r="1202">
          <cell r="F1202" t="str">
            <v>H0000012743</v>
          </cell>
          <cell r="I1202" t="str">
            <v>フレーム</v>
          </cell>
          <cell r="J1202" t="str">
            <v>SteelPlate_YX-83__W850,H1600,T3,350A,100A,100A,250A</v>
          </cell>
          <cell r="K1202" t="str">
            <v>鋼板_YX-83__W850,H1600,T3,350A,100A,100A,250A</v>
          </cell>
          <cell r="L1202" t="str">
            <v>SteelPlate</v>
          </cell>
          <cell r="M1202" t="str">
            <v>鋼板</v>
          </cell>
          <cell r="P1202">
            <v>3101</v>
          </cell>
          <cell r="Q1202" t="str">
            <v>SUS304</v>
          </cell>
          <cell r="R1202" t="str">
            <v>E385503_01</v>
          </cell>
          <cell r="S1202">
            <v>28</v>
          </cell>
          <cell r="T1202" t="str">
            <v>標準</v>
          </cell>
        </row>
        <row r="1203">
          <cell r="F1203" t="str">
            <v>H0000012744</v>
          </cell>
          <cell r="I1203" t="str">
            <v>フレーム</v>
          </cell>
          <cell r="J1203" t="str">
            <v>SteelPlate_YX-83__W850,H1600,T3,350A,100A,100A,200A</v>
          </cell>
          <cell r="K1203" t="str">
            <v>鋼板_YX-83__W850,H1600,T3,350A,100A,100A,200A</v>
          </cell>
          <cell r="L1203" t="str">
            <v>SteelPlate</v>
          </cell>
          <cell r="M1203" t="str">
            <v>鋼板</v>
          </cell>
          <cell r="P1203">
            <v>3101</v>
          </cell>
          <cell r="Q1203" t="str">
            <v>SUS304</v>
          </cell>
          <cell r="R1203" t="str">
            <v>E385503_01</v>
          </cell>
          <cell r="S1203">
            <v>29</v>
          </cell>
          <cell r="T1203" t="str">
            <v>標準</v>
          </cell>
        </row>
        <row r="1204">
          <cell r="F1204" t="str">
            <v>H0000012745</v>
          </cell>
          <cell r="I1204" t="str">
            <v>フレーム</v>
          </cell>
          <cell r="J1204" t="str">
            <v>SteelPlate_YX-83__W850,H1600,T3,350A,100A,100A,150A</v>
          </cell>
          <cell r="K1204" t="str">
            <v>鋼板_YX-83__W850,H1600,T3,350A,100A,100A,150A</v>
          </cell>
          <cell r="L1204" t="str">
            <v>SteelPlate</v>
          </cell>
          <cell r="M1204" t="str">
            <v>鋼板</v>
          </cell>
          <cell r="P1204">
            <v>3101</v>
          </cell>
          <cell r="Q1204" t="str">
            <v>SUS304</v>
          </cell>
          <cell r="R1204" t="str">
            <v>E385503_01</v>
          </cell>
          <cell r="S1204">
            <v>29</v>
          </cell>
          <cell r="T1204" t="str">
            <v>標準</v>
          </cell>
        </row>
        <row r="1205">
          <cell r="F1205" t="str">
            <v>H0000012746</v>
          </cell>
          <cell r="I1205" t="str">
            <v>フレーム</v>
          </cell>
          <cell r="J1205" t="str">
            <v>SteelPlate_YX-83__W850,H1600,T3,300A,100A,100A,300A</v>
          </cell>
          <cell r="K1205" t="str">
            <v>鋼板_YX-83__W850,H1600,T3,300A,100A,100A,300A</v>
          </cell>
          <cell r="L1205" t="str">
            <v>SteelPlate</v>
          </cell>
          <cell r="M1205" t="str">
            <v>鋼板</v>
          </cell>
          <cell r="P1205">
            <v>3101</v>
          </cell>
          <cell r="Q1205" t="str">
            <v>SUS304</v>
          </cell>
          <cell r="R1205" t="str">
            <v>E385503_01</v>
          </cell>
          <cell r="S1205">
            <v>28</v>
          </cell>
          <cell r="T1205" t="str">
            <v>標準</v>
          </cell>
        </row>
        <row r="1206">
          <cell r="F1206" t="str">
            <v>H0000012747</v>
          </cell>
          <cell r="I1206" t="str">
            <v>フレーム</v>
          </cell>
          <cell r="J1206" t="str">
            <v>SteelPlate_YX-83__W850,H1600,T3,300A,100A,100A,250A</v>
          </cell>
          <cell r="K1206" t="str">
            <v>鋼板_YX-83__W850,H1600,T3,300A,100A,100A,250A</v>
          </cell>
          <cell r="L1206" t="str">
            <v>SteelPlate</v>
          </cell>
          <cell r="M1206" t="str">
            <v>鋼板</v>
          </cell>
          <cell r="P1206">
            <v>3101</v>
          </cell>
          <cell r="Q1206" t="str">
            <v>SUS304</v>
          </cell>
          <cell r="R1206" t="str">
            <v>E385503_01</v>
          </cell>
          <cell r="S1206">
            <v>29</v>
          </cell>
          <cell r="T1206" t="str">
            <v>標準</v>
          </cell>
        </row>
        <row r="1207">
          <cell r="F1207" t="str">
            <v>H0000012748</v>
          </cell>
          <cell r="I1207" t="str">
            <v>フレーム</v>
          </cell>
          <cell r="J1207" t="str">
            <v>SteelPlate_YX-83__W850,H1600,T3,300A,100A,100A,200A</v>
          </cell>
          <cell r="K1207" t="str">
            <v>鋼板_YX-83__W850,H1600,T3,300A,100A,100A,200A</v>
          </cell>
          <cell r="L1207" t="str">
            <v>SteelPlate</v>
          </cell>
          <cell r="M1207" t="str">
            <v>鋼板</v>
          </cell>
          <cell r="P1207">
            <v>3101</v>
          </cell>
          <cell r="Q1207" t="str">
            <v>SUS304</v>
          </cell>
          <cell r="R1207" t="str">
            <v>E385503_01</v>
          </cell>
          <cell r="S1207">
            <v>29</v>
          </cell>
          <cell r="T1207" t="str">
            <v>標準</v>
          </cell>
        </row>
        <row r="1208">
          <cell r="F1208" t="str">
            <v>H0000012749</v>
          </cell>
          <cell r="I1208" t="str">
            <v>フレーム</v>
          </cell>
          <cell r="J1208" t="str">
            <v>SteelPlate_YX-83__W850,H1600,T3,300A,100A,100A,150A</v>
          </cell>
          <cell r="K1208" t="str">
            <v>鋼板_YX-83__W850,H1600,T3,300A,100A,100A,150A</v>
          </cell>
          <cell r="L1208" t="str">
            <v>SteelPlate</v>
          </cell>
          <cell r="M1208" t="str">
            <v>鋼板</v>
          </cell>
          <cell r="P1208">
            <v>3101</v>
          </cell>
          <cell r="Q1208" t="str">
            <v>SUS304</v>
          </cell>
          <cell r="R1208" t="str">
            <v>E385503_01</v>
          </cell>
          <cell r="S1208">
            <v>30</v>
          </cell>
          <cell r="T1208" t="str">
            <v>標準</v>
          </cell>
        </row>
        <row r="1209">
          <cell r="F1209" t="str">
            <v>H0000012750</v>
          </cell>
          <cell r="I1209" t="str">
            <v>フレーム</v>
          </cell>
          <cell r="J1209" t="str">
            <v>SteelPlate_YX-83__W850,H1600,T3,250A,100A,100A,250A</v>
          </cell>
          <cell r="K1209" t="str">
            <v>鋼板_YX-83__W850,H1600,T3,250A,100A,100A,250A</v>
          </cell>
          <cell r="L1209" t="str">
            <v>SteelPlate</v>
          </cell>
          <cell r="M1209" t="str">
            <v>鋼板</v>
          </cell>
          <cell r="P1209">
            <v>3101</v>
          </cell>
          <cell r="Q1209" t="str">
            <v>SUS304</v>
          </cell>
          <cell r="R1209" t="str">
            <v>E385503_01</v>
          </cell>
          <cell r="S1209">
            <v>29</v>
          </cell>
          <cell r="T1209" t="str">
            <v>標準</v>
          </cell>
        </row>
        <row r="1210">
          <cell r="F1210" t="str">
            <v>H0000012751</v>
          </cell>
          <cell r="I1210" t="str">
            <v>フレーム</v>
          </cell>
          <cell r="J1210" t="str">
            <v>SteelPlate_YX-83__W850,H1600,T3,250A,100A,100A,200A</v>
          </cell>
          <cell r="K1210" t="str">
            <v>鋼板_YX-83__W850,H1600,T3,250A,100A,100A,200A</v>
          </cell>
          <cell r="L1210" t="str">
            <v>SteelPlate</v>
          </cell>
          <cell r="M1210" t="str">
            <v>鋼板</v>
          </cell>
          <cell r="P1210">
            <v>3101</v>
          </cell>
          <cell r="Q1210" t="str">
            <v>SUS304</v>
          </cell>
          <cell r="R1210" t="str">
            <v>E385503_01</v>
          </cell>
          <cell r="S1210">
            <v>30</v>
          </cell>
          <cell r="T1210" t="str">
            <v>標準</v>
          </cell>
        </row>
        <row r="1211">
          <cell r="F1211" t="str">
            <v>H0000012752</v>
          </cell>
          <cell r="I1211" t="str">
            <v>フレーム</v>
          </cell>
          <cell r="J1211" t="str">
            <v>SteelPlate_YX-83__W850,H1600,T3,250A,100A,100A,150A</v>
          </cell>
          <cell r="K1211" t="str">
            <v>鋼板_YX-83__W850,H1600,T3,250A,100A,100A,150A</v>
          </cell>
          <cell r="L1211" t="str">
            <v>SteelPlate</v>
          </cell>
          <cell r="M1211" t="str">
            <v>鋼板</v>
          </cell>
          <cell r="P1211">
            <v>3101</v>
          </cell>
          <cell r="Q1211" t="str">
            <v>SUS304</v>
          </cell>
          <cell r="R1211" t="str">
            <v>E385503_01</v>
          </cell>
          <cell r="S1211">
            <v>30</v>
          </cell>
          <cell r="T1211" t="str">
            <v>標準</v>
          </cell>
        </row>
        <row r="1212">
          <cell r="F1212" t="str">
            <v>H0000012753</v>
          </cell>
          <cell r="I1212" t="str">
            <v>フレーム</v>
          </cell>
          <cell r="J1212" t="str">
            <v>SteelPlate_YX-83__W850,H1600,T3,200A,100A,100A,200A</v>
          </cell>
          <cell r="K1212" t="str">
            <v>鋼板_YX-83__W850,H1600,T3,200A,100A,100A,200A</v>
          </cell>
          <cell r="L1212" t="str">
            <v>SteelPlate</v>
          </cell>
          <cell r="M1212" t="str">
            <v>鋼板</v>
          </cell>
          <cell r="P1212">
            <v>3101</v>
          </cell>
          <cell r="Q1212" t="str">
            <v>SUS304</v>
          </cell>
          <cell r="R1212" t="str">
            <v>E385503_01</v>
          </cell>
          <cell r="S1212">
            <v>30</v>
          </cell>
          <cell r="T1212" t="str">
            <v>標準</v>
          </cell>
        </row>
        <row r="1213">
          <cell r="F1213" t="str">
            <v>H0000012754</v>
          </cell>
          <cell r="I1213" t="str">
            <v>フレーム</v>
          </cell>
          <cell r="J1213" t="str">
            <v>SteelPlate_YX-83__W850,H1600,T3,200A,100A,100A,150A</v>
          </cell>
          <cell r="K1213" t="str">
            <v>鋼板_YX-83__W850,H1600,T3,200A,100A,100A,150A</v>
          </cell>
          <cell r="L1213" t="str">
            <v>SteelPlate</v>
          </cell>
          <cell r="M1213" t="str">
            <v>鋼板</v>
          </cell>
          <cell r="P1213">
            <v>3101</v>
          </cell>
          <cell r="Q1213" t="str">
            <v>SUS304</v>
          </cell>
          <cell r="R1213" t="str">
            <v>E385503_01</v>
          </cell>
          <cell r="S1213">
            <v>31</v>
          </cell>
          <cell r="T1213" t="str">
            <v>標準</v>
          </cell>
        </row>
        <row r="1214">
          <cell r="F1214" t="str">
            <v>H0000012755</v>
          </cell>
          <cell r="I1214" t="str">
            <v>フレーム</v>
          </cell>
          <cell r="J1214" t="str">
            <v>SteelPlate_YX-83__W850,H1600,T3,150A,100A,100A,150A</v>
          </cell>
          <cell r="K1214" t="str">
            <v>鋼板_YX-83__W850,H1600,T3,150A,100A,100A,150A</v>
          </cell>
          <cell r="L1214" t="str">
            <v>SteelPlate</v>
          </cell>
          <cell r="M1214" t="str">
            <v>鋼板</v>
          </cell>
          <cell r="P1214">
            <v>3101</v>
          </cell>
          <cell r="Q1214" t="str">
            <v>SUS304</v>
          </cell>
          <cell r="R1214" t="str">
            <v>E385503_01</v>
          </cell>
          <cell r="S1214">
            <v>31</v>
          </cell>
          <cell r="T1214" t="str">
            <v>標準</v>
          </cell>
        </row>
        <row r="1215">
          <cell r="F1215" t="str">
            <v>H0000012756</v>
          </cell>
          <cell r="I1215" t="str">
            <v>フレーム</v>
          </cell>
          <cell r="J1215" t="str">
            <v>SteelPlate_YX-83__W850,H1600,T3,150A,100A,100A,100A</v>
          </cell>
          <cell r="K1215" t="str">
            <v>鋼板_YX-83__W850,H1600,T3,150A,100A,100A,100A</v>
          </cell>
          <cell r="L1215" t="str">
            <v>SteelPlate</v>
          </cell>
          <cell r="M1215" t="str">
            <v>鋼板</v>
          </cell>
          <cell r="P1215">
            <v>3101</v>
          </cell>
          <cell r="Q1215" t="str">
            <v>SUS304</v>
          </cell>
          <cell r="R1215" t="str">
            <v>E385503_01</v>
          </cell>
          <cell r="S1215">
            <v>31</v>
          </cell>
          <cell r="T1215" t="str">
            <v>標準</v>
          </cell>
        </row>
        <row r="1216">
          <cell r="F1216" t="str">
            <v>H0000012757</v>
          </cell>
          <cell r="I1216" t="str">
            <v>フレーム</v>
          </cell>
          <cell r="J1216" t="str">
            <v>SteelPlate_YX-83__W850,H1600,T3,150A,100A,100A,80A</v>
          </cell>
          <cell r="K1216" t="str">
            <v>鋼板_YX-83__W850,H1600,T3,150A,100A,100A,80A</v>
          </cell>
          <cell r="L1216" t="str">
            <v>SteelPlate</v>
          </cell>
          <cell r="M1216" t="str">
            <v>鋼板</v>
          </cell>
          <cell r="P1216">
            <v>3101</v>
          </cell>
          <cell r="Q1216" t="str">
            <v>SUS304</v>
          </cell>
          <cell r="R1216" t="str">
            <v>E385503_01</v>
          </cell>
          <cell r="S1216">
            <v>31</v>
          </cell>
          <cell r="T1216" t="str">
            <v>標準</v>
          </cell>
        </row>
        <row r="1217">
          <cell r="F1217" t="str">
            <v>H0000012758</v>
          </cell>
          <cell r="I1217" t="str">
            <v>フレーム</v>
          </cell>
          <cell r="J1217" t="str">
            <v>SteelPlate_YX-83__W850,H1600,T3,350A,80A,80A,350A</v>
          </cell>
          <cell r="K1217" t="str">
            <v>鋼板_YX-83__W850,H1600,T3,350A,80A,80A,350A</v>
          </cell>
          <cell r="L1217" t="str">
            <v>SteelPlate</v>
          </cell>
          <cell r="M1217" t="str">
            <v>鋼板</v>
          </cell>
          <cell r="P1217">
            <v>3101</v>
          </cell>
          <cell r="Q1217" t="str">
            <v>SUS304</v>
          </cell>
          <cell r="R1217" t="str">
            <v>E385503_01</v>
          </cell>
          <cell r="S1217">
            <v>27</v>
          </cell>
          <cell r="T1217" t="str">
            <v>標準</v>
          </cell>
        </row>
        <row r="1218">
          <cell r="F1218" t="str">
            <v>H0000012759</v>
          </cell>
          <cell r="I1218" t="str">
            <v>フレーム</v>
          </cell>
          <cell r="J1218" t="str">
            <v>SteelPlate_YX-83__W850,H1600,T3,350A,80A,80A,300A</v>
          </cell>
          <cell r="K1218" t="str">
            <v>鋼板_YX-83__W850,H1600,T3,350A,80A,80A,300A</v>
          </cell>
          <cell r="L1218" t="str">
            <v>SteelPlate</v>
          </cell>
          <cell r="M1218" t="str">
            <v>鋼板</v>
          </cell>
          <cell r="P1218">
            <v>3101</v>
          </cell>
          <cell r="Q1218" t="str">
            <v>SUS304</v>
          </cell>
          <cell r="R1218" t="str">
            <v>E385503_01</v>
          </cell>
          <cell r="S1218">
            <v>28</v>
          </cell>
          <cell r="T1218" t="str">
            <v>標準</v>
          </cell>
        </row>
        <row r="1219">
          <cell r="F1219" t="str">
            <v>H0000012760</v>
          </cell>
          <cell r="I1219" t="str">
            <v>フレーム</v>
          </cell>
          <cell r="J1219" t="str">
            <v>SteelPlate_YX-83__W850,H1600,T3,350A,80A,80A,250A</v>
          </cell>
          <cell r="K1219" t="str">
            <v>鋼板_YX-83__W850,H1600,T3,350A,80A,80A,250A</v>
          </cell>
          <cell r="L1219" t="str">
            <v>SteelPlate</v>
          </cell>
          <cell r="M1219" t="str">
            <v>鋼板</v>
          </cell>
          <cell r="P1219">
            <v>3101</v>
          </cell>
          <cell r="Q1219" t="str">
            <v>SUS304</v>
          </cell>
          <cell r="R1219" t="str">
            <v>E385503_01</v>
          </cell>
          <cell r="S1219">
            <v>29</v>
          </cell>
          <cell r="T1219" t="str">
            <v>標準</v>
          </cell>
        </row>
        <row r="1220">
          <cell r="F1220" t="str">
            <v>H0000012761</v>
          </cell>
          <cell r="I1220" t="str">
            <v>フレーム</v>
          </cell>
          <cell r="J1220" t="str">
            <v>SteelPlate_YX-83__W850,H1600,T3,350,80A,80A,200A</v>
          </cell>
          <cell r="K1220" t="str">
            <v>鋼板_YX-83__W850,H1600,T3,350,80A,80A,200A</v>
          </cell>
          <cell r="L1220" t="str">
            <v>SteelPlate</v>
          </cell>
          <cell r="M1220" t="str">
            <v>鋼板</v>
          </cell>
          <cell r="P1220">
            <v>3101</v>
          </cell>
          <cell r="Q1220" t="str">
            <v>SUS304</v>
          </cell>
          <cell r="R1220" t="str">
            <v>E385503_01</v>
          </cell>
          <cell r="S1220">
            <v>29</v>
          </cell>
          <cell r="T1220" t="str">
            <v>標準</v>
          </cell>
        </row>
        <row r="1221">
          <cell r="F1221" t="str">
            <v>H0000012762</v>
          </cell>
          <cell r="I1221" t="str">
            <v>フレーム</v>
          </cell>
          <cell r="J1221" t="str">
            <v>SteelPlate_YX-83__W850,H1600,T3,350A,80A,80A,150A</v>
          </cell>
          <cell r="K1221" t="str">
            <v>鋼板_YX-83__W850,H1600,T3,350A,80A,80A,150A</v>
          </cell>
          <cell r="L1221" t="str">
            <v>SteelPlate</v>
          </cell>
          <cell r="M1221" t="str">
            <v>鋼板</v>
          </cell>
          <cell r="P1221">
            <v>3101</v>
          </cell>
          <cell r="Q1221" t="str">
            <v>SUS304</v>
          </cell>
          <cell r="R1221" t="str">
            <v>E385503_01</v>
          </cell>
          <cell r="S1221">
            <v>29</v>
          </cell>
          <cell r="T1221" t="str">
            <v>標準</v>
          </cell>
        </row>
        <row r="1222">
          <cell r="F1222" t="str">
            <v>H0000012763</v>
          </cell>
          <cell r="I1222" t="str">
            <v>フレーム</v>
          </cell>
          <cell r="J1222" t="str">
            <v>SteelPlate_YX-83__W850,H1600,T3,300A,80A,80A,300A</v>
          </cell>
          <cell r="K1222" t="str">
            <v>鋼板_YX-83__W850,H1600,T3,300A,80A,80A,300A</v>
          </cell>
          <cell r="L1222" t="str">
            <v>SteelPlate</v>
          </cell>
          <cell r="M1222" t="str">
            <v>鋼板</v>
          </cell>
          <cell r="P1222">
            <v>3101</v>
          </cell>
          <cell r="Q1222" t="str">
            <v>SUS304</v>
          </cell>
          <cell r="R1222" t="str">
            <v>E385503_01</v>
          </cell>
          <cell r="S1222">
            <v>28</v>
          </cell>
          <cell r="T1222" t="str">
            <v>標準</v>
          </cell>
        </row>
        <row r="1223">
          <cell r="F1223" t="str">
            <v>H0000012764</v>
          </cell>
          <cell r="I1223" t="str">
            <v>フレーム</v>
          </cell>
          <cell r="J1223" t="str">
            <v>SteelPlate_YX-83__W850,H1600,T3,300A,80A,80A,250A</v>
          </cell>
          <cell r="K1223" t="str">
            <v>鋼板_YX-83__W850,H1600,T3,300A,80A,80A,250A</v>
          </cell>
          <cell r="L1223" t="str">
            <v>SteelPlate</v>
          </cell>
          <cell r="M1223" t="str">
            <v>鋼板</v>
          </cell>
          <cell r="P1223">
            <v>3101</v>
          </cell>
          <cell r="Q1223" t="str">
            <v>SUS304</v>
          </cell>
          <cell r="R1223" t="str">
            <v>E385503_01</v>
          </cell>
          <cell r="S1223">
            <v>29</v>
          </cell>
          <cell r="T1223" t="str">
            <v>標準</v>
          </cell>
        </row>
        <row r="1224">
          <cell r="F1224" t="str">
            <v>H0000012765</v>
          </cell>
          <cell r="I1224" t="str">
            <v>フレーム</v>
          </cell>
          <cell r="J1224" t="str">
            <v>SteelPlate_YX-83__W850,H1600,T3,300A,80A,80A,200A</v>
          </cell>
          <cell r="K1224" t="str">
            <v>鋼板_YX-83__W850,H1600,T3,300A,80A,80A,200A</v>
          </cell>
          <cell r="L1224" t="str">
            <v>SteelPlate</v>
          </cell>
          <cell r="M1224" t="str">
            <v>鋼板</v>
          </cell>
          <cell r="P1224">
            <v>3101</v>
          </cell>
          <cell r="Q1224" t="str">
            <v>SUS304</v>
          </cell>
          <cell r="R1224" t="str">
            <v>E385503_01</v>
          </cell>
          <cell r="S1224">
            <v>29</v>
          </cell>
          <cell r="T1224" t="str">
            <v>標準</v>
          </cell>
        </row>
        <row r="1225">
          <cell r="F1225" t="str">
            <v>H0000012766</v>
          </cell>
          <cell r="I1225" t="str">
            <v>フレーム</v>
          </cell>
          <cell r="J1225" t="str">
            <v>SteelPlate_YX-83__W850,H1600,T3,300A,80A,80A,150A</v>
          </cell>
          <cell r="K1225" t="str">
            <v>鋼板_YX-83__W850,H1600,T3,300A,80A,80A,150A</v>
          </cell>
          <cell r="L1225" t="str">
            <v>SteelPlate</v>
          </cell>
          <cell r="M1225" t="str">
            <v>鋼板</v>
          </cell>
          <cell r="P1225">
            <v>3101</v>
          </cell>
          <cell r="Q1225" t="str">
            <v>SUS304</v>
          </cell>
          <cell r="R1225" t="str">
            <v>E385503_01</v>
          </cell>
          <cell r="S1225">
            <v>30</v>
          </cell>
          <cell r="T1225" t="str">
            <v>標準</v>
          </cell>
        </row>
        <row r="1226">
          <cell r="F1226" t="str">
            <v>H0000012767</v>
          </cell>
          <cell r="I1226" t="str">
            <v>フレーム</v>
          </cell>
          <cell r="J1226" t="str">
            <v>SteelPlate_YX-83__W850,H1600,T3,250A,80A,80A,250A</v>
          </cell>
          <cell r="K1226" t="str">
            <v>鋼板_YX-83__W850,H1600,T3,250A,80A,80A,250A</v>
          </cell>
          <cell r="L1226" t="str">
            <v>SteelPlate</v>
          </cell>
          <cell r="M1226" t="str">
            <v>鋼板</v>
          </cell>
          <cell r="P1226">
            <v>3101</v>
          </cell>
          <cell r="Q1226" t="str">
            <v>SUS304</v>
          </cell>
          <cell r="R1226" t="str">
            <v>E385503_01</v>
          </cell>
          <cell r="S1226">
            <v>30</v>
          </cell>
          <cell r="T1226" t="str">
            <v>標準</v>
          </cell>
        </row>
        <row r="1227">
          <cell r="F1227" t="str">
            <v>H0000012768</v>
          </cell>
          <cell r="I1227" t="str">
            <v>フレーム</v>
          </cell>
          <cell r="J1227" t="str">
            <v>SteelPlate_YX-83__W850,H1600,T3,250A,80A,80A,200A</v>
          </cell>
          <cell r="K1227" t="str">
            <v>鋼板_YX-83__W850,H1600,T3,250A,80A,80A,200A</v>
          </cell>
          <cell r="L1227" t="str">
            <v>SteelPlate</v>
          </cell>
          <cell r="M1227" t="str">
            <v>鋼板</v>
          </cell>
          <cell r="P1227">
            <v>3101</v>
          </cell>
          <cell r="Q1227" t="str">
            <v>SUS304</v>
          </cell>
          <cell r="R1227" t="str">
            <v>E385503_01</v>
          </cell>
          <cell r="S1227">
            <v>30</v>
          </cell>
          <cell r="T1227" t="str">
            <v>標準</v>
          </cell>
        </row>
        <row r="1228">
          <cell r="F1228" t="str">
            <v>H0000012769</v>
          </cell>
          <cell r="I1228" t="str">
            <v>フレーム</v>
          </cell>
          <cell r="J1228" t="str">
            <v>SteelPlate_YX-83__W850,H1600,T3,250A,80A,80A,150A</v>
          </cell>
          <cell r="K1228" t="str">
            <v>鋼板_YX-83__W850,H1600,T3,250A,80A,80A,150A</v>
          </cell>
          <cell r="L1228" t="str">
            <v>SteelPlate</v>
          </cell>
          <cell r="M1228" t="str">
            <v>鋼板</v>
          </cell>
          <cell r="P1228">
            <v>3101</v>
          </cell>
          <cell r="Q1228" t="str">
            <v>SUS304</v>
          </cell>
          <cell r="R1228" t="str">
            <v>E385503_01</v>
          </cell>
          <cell r="S1228">
            <v>30</v>
          </cell>
          <cell r="T1228" t="str">
            <v>標準</v>
          </cell>
        </row>
        <row r="1229">
          <cell r="F1229" t="str">
            <v>H0000012770</v>
          </cell>
          <cell r="I1229" t="str">
            <v>フレーム</v>
          </cell>
          <cell r="J1229" t="str">
            <v>SteelPlate_YX-83__W850,H1600,T3,200A,80A,80A,200A</v>
          </cell>
          <cell r="K1229" t="str">
            <v>鋼板_YX-83__W850,H1600,T3,200A,80A,80A,200A</v>
          </cell>
          <cell r="L1229" t="str">
            <v>SteelPlate</v>
          </cell>
          <cell r="M1229" t="str">
            <v>鋼板</v>
          </cell>
          <cell r="P1229">
            <v>3101</v>
          </cell>
          <cell r="Q1229" t="str">
            <v>SUS304</v>
          </cell>
          <cell r="R1229" t="str">
            <v>E385503_01</v>
          </cell>
          <cell r="S1229">
            <v>31</v>
          </cell>
          <cell r="T1229" t="str">
            <v>標準</v>
          </cell>
        </row>
        <row r="1230">
          <cell r="F1230" t="str">
            <v>H0000012771</v>
          </cell>
          <cell r="I1230" t="str">
            <v>フレーム</v>
          </cell>
          <cell r="J1230" t="str">
            <v>SteelPlate_YX-83__W850,H1600,T3,200A,80A,80A,150A</v>
          </cell>
          <cell r="K1230" t="str">
            <v>鋼板_YX-83__W850,H1600,T3,200A,80A,80A,150A</v>
          </cell>
          <cell r="L1230" t="str">
            <v>SteelPlate</v>
          </cell>
          <cell r="M1230" t="str">
            <v>鋼板</v>
          </cell>
          <cell r="P1230">
            <v>3101</v>
          </cell>
          <cell r="Q1230" t="str">
            <v>SUS304</v>
          </cell>
          <cell r="R1230" t="str">
            <v>E385503_01</v>
          </cell>
          <cell r="S1230">
            <v>31</v>
          </cell>
          <cell r="T1230" t="str">
            <v>標準</v>
          </cell>
        </row>
        <row r="1231">
          <cell r="F1231" t="str">
            <v>H0000012772</v>
          </cell>
          <cell r="I1231" t="str">
            <v>フレーム</v>
          </cell>
          <cell r="J1231" t="str">
            <v>SteelPlate_YX-83__W850,H1600,T3,150A,80A,80A,150A</v>
          </cell>
          <cell r="K1231" t="str">
            <v>鋼板_YX-83__W850,H1600,T3,150A,80A,80A,150A</v>
          </cell>
          <cell r="L1231" t="str">
            <v>SteelPlate</v>
          </cell>
          <cell r="M1231" t="str">
            <v>鋼板</v>
          </cell>
          <cell r="P1231">
            <v>3101</v>
          </cell>
          <cell r="Q1231" t="str">
            <v>SUS304</v>
          </cell>
          <cell r="R1231" t="str">
            <v>E385503_01</v>
          </cell>
          <cell r="S1231">
            <v>31</v>
          </cell>
          <cell r="T1231" t="str">
            <v>標準</v>
          </cell>
        </row>
        <row r="1232">
          <cell r="F1232" t="str">
            <v>H0000012773</v>
          </cell>
          <cell r="I1232" t="str">
            <v>フレーム</v>
          </cell>
          <cell r="J1232" t="str">
            <v>SteelPlate_YX-83__W850,H1600,T3,150A,80A,80A,100A</v>
          </cell>
          <cell r="K1232" t="str">
            <v>鋼板_YX-83__W850,H1600,T3,150A,80A,80A,100A</v>
          </cell>
          <cell r="L1232" t="str">
            <v>SteelPlate</v>
          </cell>
          <cell r="M1232" t="str">
            <v>鋼板</v>
          </cell>
          <cell r="P1232">
            <v>3101</v>
          </cell>
          <cell r="Q1232" t="str">
            <v>SUS304</v>
          </cell>
          <cell r="R1232" t="str">
            <v>E385503_01</v>
          </cell>
          <cell r="S1232">
            <v>32</v>
          </cell>
          <cell r="T1232" t="str">
            <v>標準</v>
          </cell>
        </row>
        <row r="1233">
          <cell r="F1233" t="str">
            <v>H0000012774</v>
          </cell>
          <cell r="I1233" t="str">
            <v>フレーム</v>
          </cell>
          <cell r="J1233" t="str">
            <v>SteelPlate_YX-83__W850,H1600,T3,150A,80A,80A,80A</v>
          </cell>
          <cell r="K1233" t="str">
            <v>鋼板_YX-83__W850,H1600,T3,150A,80A,80A,80A</v>
          </cell>
          <cell r="L1233" t="str">
            <v>SteelPlate</v>
          </cell>
          <cell r="M1233" t="str">
            <v>鋼板</v>
          </cell>
          <cell r="P1233">
            <v>3101</v>
          </cell>
          <cell r="Q1233" t="str">
            <v>SUS304</v>
          </cell>
          <cell r="R1233" t="str">
            <v>E385503_01</v>
          </cell>
          <cell r="S1233">
            <v>32</v>
          </cell>
          <cell r="T1233" t="str">
            <v>標準</v>
          </cell>
        </row>
        <row r="1234">
          <cell r="F1234" t="str">
            <v>H0000012775</v>
          </cell>
          <cell r="I1234" t="str">
            <v>フレーム</v>
          </cell>
          <cell r="J1234" t="str">
            <v>SteelPlate_YX-83__W850,H1600,T3,350A,50A,50A,350A</v>
          </cell>
          <cell r="K1234" t="str">
            <v>鋼板_YX-83__W850,H1600,T3,350A,50A,50A,350A</v>
          </cell>
          <cell r="L1234" t="str">
            <v>SteelPlate</v>
          </cell>
          <cell r="M1234" t="str">
            <v>鋼板</v>
          </cell>
          <cell r="P1234">
            <v>3101</v>
          </cell>
          <cell r="Q1234" t="str">
            <v>SUS304</v>
          </cell>
          <cell r="R1234" t="str">
            <v>E385503_01</v>
          </cell>
          <cell r="S1234">
            <v>28</v>
          </cell>
          <cell r="T1234" t="str">
            <v>標準</v>
          </cell>
        </row>
        <row r="1235">
          <cell r="F1235" t="str">
            <v>H0000012776</v>
          </cell>
          <cell r="I1235" t="str">
            <v>フレーム</v>
          </cell>
          <cell r="J1235" t="str">
            <v>SteelPlate_YX-83__W850,H1600,T3,350A,50A,50A,300A</v>
          </cell>
          <cell r="K1235" t="str">
            <v>鋼板_YX-83__W850,H1600,T3,350A,50A,50A,300A</v>
          </cell>
          <cell r="L1235" t="str">
            <v>SteelPlate</v>
          </cell>
          <cell r="M1235" t="str">
            <v>鋼板</v>
          </cell>
          <cell r="P1235">
            <v>3101</v>
          </cell>
          <cell r="Q1235" t="str">
            <v>SUS304</v>
          </cell>
          <cell r="R1235" t="str">
            <v>E385503_01</v>
          </cell>
          <cell r="S1235">
            <v>28</v>
          </cell>
          <cell r="T1235" t="str">
            <v>標準</v>
          </cell>
        </row>
        <row r="1236">
          <cell r="F1236" t="str">
            <v>H0000012777</v>
          </cell>
          <cell r="I1236" t="str">
            <v>フレーム</v>
          </cell>
          <cell r="J1236" t="str">
            <v>SteelPlate_YX-83__W850,H1600,T3,350A,50A,50A,250A</v>
          </cell>
          <cell r="K1236" t="str">
            <v>鋼板_YX-83__W850,H1600,T3,350A,50A,50A,250A</v>
          </cell>
          <cell r="L1236" t="str">
            <v>SteelPlate</v>
          </cell>
          <cell r="M1236" t="str">
            <v>鋼板</v>
          </cell>
          <cell r="P1236">
            <v>3101</v>
          </cell>
          <cell r="Q1236" t="str">
            <v>SUS304</v>
          </cell>
          <cell r="R1236" t="str">
            <v>E385503_01</v>
          </cell>
          <cell r="S1236">
            <v>29</v>
          </cell>
          <cell r="T1236" t="str">
            <v>標準</v>
          </cell>
        </row>
        <row r="1237">
          <cell r="F1237" t="str">
            <v>H0000012778</v>
          </cell>
          <cell r="I1237" t="str">
            <v>フレーム</v>
          </cell>
          <cell r="J1237" t="str">
            <v>SteelPlate_YX-83__W850,H1600,T3,350,50A,50A,200A</v>
          </cell>
          <cell r="K1237" t="str">
            <v>鋼板_YX-83__W850,H1600,T3,350,50A,50A,200A</v>
          </cell>
          <cell r="L1237" t="str">
            <v>SteelPlate</v>
          </cell>
          <cell r="M1237" t="str">
            <v>鋼板</v>
          </cell>
          <cell r="P1237">
            <v>3101</v>
          </cell>
          <cell r="Q1237" t="str">
            <v>SUS304</v>
          </cell>
          <cell r="R1237" t="str">
            <v>E385503_01</v>
          </cell>
          <cell r="S1237">
            <v>29</v>
          </cell>
          <cell r="T1237" t="str">
            <v>標準</v>
          </cell>
        </row>
        <row r="1238">
          <cell r="F1238" t="str">
            <v>H0000012779</v>
          </cell>
          <cell r="I1238" t="str">
            <v>フレーム</v>
          </cell>
          <cell r="J1238" t="str">
            <v>SteelPlate_YX-83__W850,H1600,T3,350A,50A,50A,150A</v>
          </cell>
          <cell r="K1238" t="str">
            <v>鋼板_YX-83__W850,H1600,T3,350A,50A,50A,150A</v>
          </cell>
          <cell r="L1238" t="str">
            <v>SteelPlate</v>
          </cell>
          <cell r="M1238" t="str">
            <v>鋼板</v>
          </cell>
          <cell r="P1238">
            <v>3101</v>
          </cell>
          <cell r="Q1238" t="str">
            <v>SUS304</v>
          </cell>
          <cell r="R1238" t="str">
            <v>E385503_01</v>
          </cell>
          <cell r="S1238">
            <v>30</v>
          </cell>
          <cell r="T1238" t="str">
            <v>標準</v>
          </cell>
        </row>
        <row r="1239">
          <cell r="F1239" t="str">
            <v>H0000012780</v>
          </cell>
          <cell r="I1239" t="str">
            <v>フレーム</v>
          </cell>
          <cell r="J1239" t="str">
            <v>SteelPlate_YX-83__W850,H1600,T3,300A,50A,50A,300A</v>
          </cell>
          <cell r="K1239" t="str">
            <v>鋼板_YX-83__W850,H1600,T3,300A,50A,50A,300A</v>
          </cell>
          <cell r="L1239" t="str">
            <v>SteelPlate</v>
          </cell>
          <cell r="M1239" t="str">
            <v>鋼板</v>
          </cell>
          <cell r="P1239">
            <v>3101</v>
          </cell>
          <cell r="Q1239" t="str">
            <v>SUS304</v>
          </cell>
          <cell r="R1239" t="str">
            <v>E385503_01</v>
          </cell>
          <cell r="S1239">
            <v>29</v>
          </cell>
          <cell r="T1239" t="str">
            <v>標準</v>
          </cell>
        </row>
        <row r="1240">
          <cell r="F1240" t="str">
            <v>H0000012781</v>
          </cell>
          <cell r="I1240" t="str">
            <v>フレーム</v>
          </cell>
          <cell r="J1240" t="str">
            <v>SteelPlate_YX-83__W850,H1600,T3,300A,50A,50A,250A</v>
          </cell>
          <cell r="K1240" t="str">
            <v>鋼板_YX-83__W850,H1600,T3,300A,50A,50A,250A</v>
          </cell>
          <cell r="L1240" t="str">
            <v>SteelPlate</v>
          </cell>
          <cell r="M1240" t="str">
            <v>鋼板</v>
          </cell>
          <cell r="P1240">
            <v>3101</v>
          </cell>
          <cell r="Q1240" t="str">
            <v>SUS304</v>
          </cell>
          <cell r="R1240" t="str">
            <v>E385503_01</v>
          </cell>
          <cell r="S1240">
            <v>29</v>
          </cell>
          <cell r="T1240" t="str">
            <v>標準</v>
          </cell>
        </row>
        <row r="1241">
          <cell r="F1241" t="str">
            <v>H0000012782</v>
          </cell>
          <cell r="I1241" t="str">
            <v>フレーム</v>
          </cell>
          <cell r="J1241" t="str">
            <v>SteelPlate_YX-83__W850,H1600,T3,300A,50A,50A,200A</v>
          </cell>
          <cell r="K1241" t="str">
            <v>鋼板_YX-83__W850,H1600,T3,300A,50A,50A,200A</v>
          </cell>
          <cell r="L1241" t="str">
            <v>SteelPlate</v>
          </cell>
          <cell r="M1241" t="str">
            <v>鋼板</v>
          </cell>
          <cell r="P1241">
            <v>3101</v>
          </cell>
          <cell r="Q1241" t="str">
            <v>SUS304</v>
          </cell>
          <cell r="R1241" t="str">
            <v>E385503_01</v>
          </cell>
          <cell r="S1241">
            <v>30</v>
          </cell>
          <cell r="T1241" t="str">
            <v>標準</v>
          </cell>
        </row>
        <row r="1242">
          <cell r="F1242" t="str">
            <v>H0000012783</v>
          </cell>
          <cell r="I1242" t="str">
            <v>フレーム</v>
          </cell>
          <cell r="J1242" t="str">
            <v>SteelPlate_YX-83__W850,H1600,T3,300A,50A,50A,150A</v>
          </cell>
          <cell r="K1242" t="str">
            <v>鋼板_YX-83__W850,H1600,T3,300A,50A,50A,150A</v>
          </cell>
          <cell r="L1242" t="str">
            <v>SteelPlate</v>
          </cell>
          <cell r="M1242" t="str">
            <v>鋼板</v>
          </cell>
          <cell r="P1242">
            <v>3101</v>
          </cell>
          <cell r="Q1242" t="str">
            <v>SUS304</v>
          </cell>
          <cell r="R1242" t="str">
            <v>E385503_01</v>
          </cell>
          <cell r="S1242">
            <v>30</v>
          </cell>
          <cell r="T1242" t="str">
            <v>標準</v>
          </cell>
        </row>
        <row r="1243">
          <cell r="F1243" t="str">
            <v>H0000012784</v>
          </cell>
          <cell r="I1243" t="str">
            <v>フレーム</v>
          </cell>
          <cell r="J1243" t="str">
            <v>SteelPlate_YX-83__W850,H1600,T3,250A,50A,50A,250A</v>
          </cell>
          <cell r="K1243" t="str">
            <v>鋼板_YX-83__W850,H1600,T3,250A,50A,50A,250A</v>
          </cell>
          <cell r="L1243" t="str">
            <v>SteelPlate</v>
          </cell>
          <cell r="M1243" t="str">
            <v>鋼板</v>
          </cell>
          <cell r="P1243">
            <v>3101</v>
          </cell>
          <cell r="Q1243" t="str">
            <v>SUS304</v>
          </cell>
          <cell r="R1243" t="str">
            <v>E385503_01</v>
          </cell>
          <cell r="S1243">
            <v>30</v>
          </cell>
          <cell r="T1243" t="str">
            <v>標準</v>
          </cell>
        </row>
        <row r="1244">
          <cell r="F1244" t="str">
            <v>H0000012785</v>
          </cell>
          <cell r="I1244" t="str">
            <v>フレーム</v>
          </cell>
          <cell r="J1244" t="str">
            <v>SteelPlate_YX-83__W850,H1600,T3,250A,50A,50A,200A</v>
          </cell>
          <cell r="K1244" t="str">
            <v>鋼板_YX-83__W850,H1600,T3,250A,50A,50A,200A</v>
          </cell>
          <cell r="L1244" t="str">
            <v>SteelPlate</v>
          </cell>
          <cell r="M1244" t="str">
            <v>鋼板</v>
          </cell>
          <cell r="P1244">
            <v>3101</v>
          </cell>
          <cell r="Q1244" t="str">
            <v>SUS304</v>
          </cell>
          <cell r="R1244" t="str">
            <v>E385503_01</v>
          </cell>
          <cell r="S1244">
            <v>30</v>
          </cell>
          <cell r="T1244" t="str">
            <v>標準</v>
          </cell>
        </row>
        <row r="1245">
          <cell r="F1245" t="str">
            <v>H0000012786</v>
          </cell>
          <cell r="I1245" t="str">
            <v>フレーム</v>
          </cell>
          <cell r="J1245" t="str">
            <v>SteelPlate_YX-83__W850,H1600,T3,250A,50A,50A,150A</v>
          </cell>
          <cell r="K1245" t="str">
            <v>鋼板_YX-83__W850,H1600,T3,250A,50A,50A,150A</v>
          </cell>
          <cell r="L1245" t="str">
            <v>SteelPlate</v>
          </cell>
          <cell r="M1245" t="str">
            <v>鋼板</v>
          </cell>
          <cell r="P1245">
            <v>3101</v>
          </cell>
          <cell r="Q1245" t="str">
            <v>SUS304</v>
          </cell>
          <cell r="R1245" t="str">
            <v>E385503_01</v>
          </cell>
          <cell r="S1245">
            <v>31</v>
          </cell>
          <cell r="T1245" t="str">
            <v>標準</v>
          </cell>
        </row>
        <row r="1246">
          <cell r="F1246" t="str">
            <v>H0000012787</v>
          </cell>
          <cell r="I1246" t="str">
            <v>フレーム</v>
          </cell>
          <cell r="J1246" t="str">
            <v>SteelPlate_YX-83__W850,H1600,T3,200A,50A,50A,200A</v>
          </cell>
          <cell r="K1246" t="str">
            <v>鋼板_YX-83__W850,H1600,T3,200A,50A,50A,200A</v>
          </cell>
          <cell r="L1246" t="str">
            <v>SteelPlate</v>
          </cell>
          <cell r="M1246" t="str">
            <v>鋼板</v>
          </cell>
          <cell r="P1246">
            <v>3101</v>
          </cell>
          <cell r="Q1246" t="str">
            <v>SUS304</v>
          </cell>
          <cell r="R1246" t="str">
            <v>E385503_01</v>
          </cell>
          <cell r="S1246">
            <v>31</v>
          </cell>
          <cell r="T1246" t="str">
            <v>標準</v>
          </cell>
        </row>
        <row r="1247">
          <cell r="F1247" t="str">
            <v>H0000012788</v>
          </cell>
          <cell r="I1247" t="str">
            <v>フレーム</v>
          </cell>
          <cell r="J1247" t="str">
            <v>SteelPlate_YX-83__W850,H1600,T3,200A,50A,50A,150A</v>
          </cell>
          <cell r="K1247" t="str">
            <v>鋼板_YX-83__W850,H1600,T3,200A,50A,50A,150A</v>
          </cell>
          <cell r="L1247" t="str">
            <v>SteelPlate</v>
          </cell>
          <cell r="M1247" t="str">
            <v>鋼板</v>
          </cell>
          <cell r="P1247">
            <v>3101</v>
          </cell>
          <cell r="Q1247" t="str">
            <v>SUS304</v>
          </cell>
          <cell r="R1247" t="str">
            <v>E385503_01</v>
          </cell>
          <cell r="S1247">
            <v>31</v>
          </cell>
          <cell r="T1247" t="str">
            <v>標準</v>
          </cell>
        </row>
        <row r="1248">
          <cell r="F1248" t="str">
            <v>H0000012789</v>
          </cell>
          <cell r="I1248" t="str">
            <v>フレーム</v>
          </cell>
          <cell r="J1248" t="str">
            <v>SteelPlate_YX-83__W850,H1600,T3,150A,50A,50A,150A</v>
          </cell>
          <cell r="K1248" t="str">
            <v>鋼板_YX-83__W850,H1600,T3,150A,50A,50A,150A</v>
          </cell>
          <cell r="L1248" t="str">
            <v>SteelPlate</v>
          </cell>
          <cell r="M1248" t="str">
            <v>鋼板</v>
          </cell>
          <cell r="P1248">
            <v>3101</v>
          </cell>
          <cell r="Q1248" t="str">
            <v>SUS304</v>
          </cell>
          <cell r="R1248" t="str">
            <v>E385503_01</v>
          </cell>
          <cell r="S1248">
            <v>32</v>
          </cell>
          <cell r="T1248" t="str">
            <v>標準</v>
          </cell>
        </row>
        <row r="1249">
          <cell r="F1249" t="str">
            <v>H0000012790</v>
          </cell>
          <cell r="I1249" t="str">
            <v>フレーム</v>
          </cell>
          <cell r="J1249" t="str">
            <v>SteelPlate_YX-83__W850,H1600,T3,150A,50A,50A,100A</v>
          </cell>
          <cell r="K1249" t="str">
            <v>鋼板_YX-83__W850,H1600,T3,150A,50A,50A,100A</v>
          </cell>
          <cell r="L1249" t="str">
            <v>SteelPlate</v>
          </cell>
          <cell r="M1249" t="str">
            <v>鋼板</v>
          </cell>
          <cell r="P1249">
            <v>3101</v>
          </cell>
          <cell r="Q1249" t="str">
            <v>SUS304</v>
          </cell>
          <cell r="R1249" t="str">
            <v>E385503_01</v>
          </cell>
          <cell r="S1249">
            <v>32</v>
          </cell>
          <cell r="T1249" t="str">
            <v>標準</v>
          </cell>
        </row>
        <row r="1250">
          <cell r="F1250" t="str">
            <v>H0000012791</v>
          </cell>
          <cell r="I1250" t="str">
            <v>フレーム</v>
          </cell>
          <cell r="J1250" t="str">
            <v>SteelPlate_YX-83__W850,H1600,T3,150A,50A,50A,80A</v>
          </cell>
          <cell r="K1250" t="str">
            <v>鋼板_YX-83__W850,H1600,T3,150A,50A,50A,80A</v>
          </cell>
          <cell r="L1250" t="str">
            <v>SteelPlate</v>
          </cell>
          <cell r="M1250" t="str">
            <v>鋼板</v>
          </cell>
          <cell r="P1250">
            <v>3101</v>
          </cell>
          <cell r="Q1250" t="str">
            <v>SUS304</v>
          </cell>
          <cell r="R1250" t="str">
            <v>E385503_01</v>
          </cell>
          <cell r="S1250">
            <v>32</v>
          </cell>
          <cell r="T1250" t="str">
            <v>標準</v>
          </cell>
        </row>
        <row r="1251">
          <cell r="F1251" t="str">
            <v>H0000012792</v>
          </cell>
          <cell r="I1251" t="str">
            <v>フレーム</v>
          </cell>
          <cell r="J1251" t="str">
            <v>SteelPlate_YX-83__W850,H1600,T3,350A,150A,150A,350A</v>
          </cell>
          <cell r="K1251" t="str">
            <v>鋼板_YX-83__W850,H1600,T3,350A,150A,150A,350A</v>
          </cell>
          <cell r="L1251" t="str">
            <v>SteelPlate</v>
          </cell>
          <cell r="M1251" t="str">
            <v>鋼板</v>
          </cell>
          <cell r="P1251">
            <v>3103</v>
          </cell>
          <cell r="Q1251" t="str">
            <v>SUS316</v>
          </cell>
          <cell r="R1251" t="str">
            <v>E385503_01</v>
          </cell>
          <cell r="S1251">
            <v>27</v>
          </cell>
          <cell r="T1251" t="str">
            <v>標準</v>
          </cell>
        </row>
        <row r="1252">
          <cell r="F1252" t="str">
            <v>H0000012793</v>
          </cell>
          <cell r="I1252" t="str">
            <v>フレーム</v>
          </cell>
          <cell r="J1252" t="str">
            <v>SteelPlate_YX-83__W850,H1600,T3,350A,150A,150A,300A</v>
          </cell>
          <cell r="K1252" t="str">
            <v>鋼板_YX-83__W850,H1600,T3,350A,150A,150A,300A</v>
          </cell>
          <cell r="L1252" t="str">
            <v>SteelPlate</v>
          </cell>
          <cell r="M1252" t="str">
            <v>鋼板</v>
          </cell>
          <cell r="P1252">
            <v>3103</v>
          </cell>
          <cell r="Q1252" t="str">
            <v>SUS316</v>
          </cell>
          <cell r="R1252" t="str">
            <v>E385503_01</v>
          </cell>
          <cell r="S1252">
            <v>27</v>
          </cell>
          <cell r="T1252" t="str">
            <v>標準</v>
          </cell>
        </row>
        <row r="1253">
          <cell r="F1253" t="str">
            <v>H0000012794</v>
          </cell>
          <cell r="I1253" t="str">
            <v>フレーム</v>
          </cell>
          <cell r="J1253" t="str">
            <v>SteelPlate_YX-83__W850,H1600,T3,350A,150A,150A,250A</v>
          </cell>
          <cell r="K1253" t="str">
            <v>鋼板_YX-83__W850,H1600,T3,350A,150A,150A,250A</v>
          </cell>
          <cell r="L1253" t="str">
            <v>SteelPlate</v>
          </cell>
          <cell r="M1253" t="str">
            <v>鋼板</v>
          </cell>
          <cell r="P1253">
            <v>3103</v>
          </cell>
          <cell r="Q1253" t="str">
            <v>SUS316</v>
          </cell>
          <cell r="R1253" t="str">
            <v>E385503_01</v>
          </cell>
          <cell r="S1253">
            <v>28</v>
          </cell>
          <cell r="T1253" t="str">
            <v>標準</v>
          </cell>
        </row>
        <row r="1254">
          <cell r="F1254" t="str">
            <v>H0000012795</v>
          </cell>
          <cell r="I1254" t="str">
            <v>フレーム</v>
          </cell>
          <cell r="J1254" t="str">
            <v>SteelPlate_YX-83__W850,H1600,T3,350A,150A,150A,200A</v>
          </cell>
          <cell r="K1254" t="str">
            <v>鋼板_YX-83__W850,H1600,T3,350A,150A,150A,200A</v>
          </cell>
          <cell r="L1254" t="str">
            <v>SteelPlate</v>
          </cell>
          <cell r="M1254" t="str">
            <v>鋼板</v>
          </cell>
          <cell r="P1254">
            <v>3103</v>
          </cell>
          <cell r="Q1254" t="str">
            <v>SUS316</v>
          </cell>
          <cell r="R1254" t="str">
            <v>E385503_01</v>
          </cell>
          <cell r="S1254">
            <v>28</v>
          </cell>
          <cell r="T1254" t="str">
            <v>標準</v>
          </cell>
        </row>
        <row r="1255">
          <cell r="F1255" t="str">
            <v>H0000012796</v>
          </cell>
          <cell r="I1255" t="str">
            <v>フレーム</v>
          </cell>
          <cell r="J1255" t="str">
            <v>SteelPlate_YX-83__W850,H1600,T3,350A,150A,150A,150A</v>
          </cell>
          <cell r="K1255" t="str">
            <v>鋼板_YX-83__W850,H1600,T3,350A,150A,150A,150A</v>
          </cell>
          <cell r="L1255" t="str">
            <v>SteelPlate</v>
          </cell>
          <cell r="M1255" t="str">
            <v>鋼板</v>
          </cell>
          <cell r="P1255">
            <v>3103</v>
          </cell>
          <cell r="Q1255" t="str">
            <v>SUS316</v>
          </cell>
          <cell r="R1255" t="str">
            <v>E385503_01</v>
          </cell>
          <cell r="S1255">
            <v>29</v>
          </cell>
          <cell r="T1255" t="str">
            <v>標準</v>
          </cell>
        </row>
        <row r="1256">
          <cell r="F1256" t="str">
            <v>H0000012797</v>
          </cell>
          <cell r="I1256" t="str">
            <v>フレーム</v>
          </cell>
          <cell r="J1256" t="str">
            <v>SteelPlate_YX-83__W850,H1600,T3,300A,150A,150A,300A</v>
          </cell>
          <cell r="K1256" t="str">
            <v>鋼板_YX-83__W850,H1600,T3,300A,150A,150A,300A</v>
          </cell>
          <cell r="L1256" t="str">
            <v>SteelPlate</v>
          </cell>
          <cell r="M1256" t="str">
            <v>鋼板</v>
          </cell>
          <cell r="P1256">
            <v>3103</v>
          </cell>
          <cell r="Q1256" t="str">
            <v>SUS316</v>
          </cell>
          <cell r="R1256" t="str">
            <v>E385503_01</v>
          </cell>
          <cell r="S1256">
            <v>28</v>
          </cell>
          <cell r="T1256" t="str">
            <v>標準</v>
          </cell>
        </row>
        <row r="1257">
          <cell r="F1257" t="str">
            <v>H0000012798</v>
          </cell>
          <cell r="I1257" t="str">
            <v>フレーム</v>
          </cell>
          <cell r="J1257" t="str">
            <v>SteelPlate_YX-83__W850,H1600,T3,300A,150A,150A,250A</v>
          </cell>
          <cell r="K1257" t="str">
            <v>鋼板_YX-83__W850,H1600,T3,300A,150A,150A,250A</v>
          </cell>
          <cell r="L1257" t="str">
            <v>SteelPlate</v>
          </cell>
          <cell r="M1257" t="str">
            <v>鋼板</v>
          </cell>
          <cell r="P1257">
            <v>3103</v>
          </cell>
          <cell r="Q1257" t="str">
            <v>SUS316</v>
          </cell>
          <cell r="R1257" t="str">
            <v>E385503_01</v>
          </cell>
          <cell r="S1257">
            <v>28</v>
          </cell>
          <cell r="T1257" t="str">
            <v>標準</v>
          </cell>
        </row>
        <row r="1258">
          <cell r="F1258" t="str">
            <v>H0000012799</v>
          </cell>
          <cell r="I1258" t="str">
            <v>フレーム</v>
          </cell>
          <cell r="J1258" t="str">
            <v>SteelPlate_YX-83__W850,H1600,T3,300A,150A,150A,200A</v>
          </cell>
          <cell r="K1258" t="str">
            <v>鋼板_YX-83__W850,H1600,T3,300A,150A,150A,200A</v>
          </cell>
          <cell r="L1258" t="str">
            <v>SteelPlate</v>
          </cell>
          <cell r="M1258" t="str">
            <v>鋼板</v>
          </cell>
          <cell r="P1258">
            <v>3103</v>
          </cell>
          <cell r="Q1258" t="str">
            <v>SUS316</v>
          </cell>
          <cell r="R1258" t="str">
            <v>E385503_01</v>
          </cell>
          <cell r="S1258">
            <v>29</v>
          </cell>
          <cell r="T1258" t="str">
            <v>標準</v>
          </cell>
        </row>
        <row r="1259">
          <cell r="F1259" t="str">
            <v>H0000012800</v>
          </cell>
          <cell r="I1259" t="str">
            <v>フレーム</v>
          </cell>
          <cell r="J1259" t="str">
            <v>SteelPlate_YX-83__W850,H1600,T3,300A,150A,150A,150A</v>
          </cell>
          <cell r="K1259" t="str">
            <v>鋼板_YX-83__W850,H1600,T3,300A,150A,150A,150A</v>
          </cell>
          <cell r="L1259" t="str">
            <v>SteelPlate</v>
          </cell>
          <cell r="M1259" t="str">
            <v>鋼板</v>
          </cell>
          <cell r="P1259">
            <v>3103</v>
          </cell>
          <cell r="Q1259" t="str">
            <v>SUS316</v>
          </cell>
          <cell r="R1259" t="str">
            <v>E385503_01</v>
          </cell>
          <cell r="S1259">
            <v>29</v>
          </cell>
          <cell r="T1259" t="str">
            <v>標準</v>
          </cell>
        </row>
        <row r="1260">
          <cell r="F1260" t="str">
            <v>H0000012801</v>
          </cell>
          <cell r="I1260" t="str">
            <v>フレーム</v>
          </cell>
          <cell r="J1260" t="str">
            <v>SteelPlate_YX-83__W850,H1600,T3,250A,150A,150A,250A</v>
          </cell>
          <cell r="K1260" t="str">
            <v>鋼板_YX-83__W850,H1600,T3,250A,150A,150A,250A</v>
          </cell>
          <cell r="L1260" t="str">
            <v>SteelPlate</v>
          </cell>
          <cell r="M1260" t="str">
            <v>鋼板</v>
          </cell>
          <cell r="P1260">
            <v>3103</v>
          </cell>
          <cell r="Q1260" t="str">
            <v>SUS316</v>
          </cell>
          <cell r="R1260" t="str">
            <v>E385503_01</v>
          </cell>
          <cell r="S1260">
            <v>29</v>
          </cell>
          <cell r="T1260" t="str">
            <v>標準</v>
          </cell>
        </row>
        <row r="1261">
          <cell r="F1261" t="str">
            <v>H0000012802</v>
          </cell>
          <cell r="I1261" t="str">
            <v>フレーム</v>
          </cell>
          <cell r="J1261" t="str">
            <v>SteelPlate_YX-83__W850,H1600,T3,250A,150A,150A,200A</v>
          </cell>
          <cell r="K1261" t="str">
            <v>鋼板_YX-83__W850,H1600,T3,250A,150A,150A,200A</v>
          </cell>
          <cell r="L1261" t="str">
            <v>SteelPlate</v>
          </cell>
          <cell r="M1261" t="str">
            <v>鋼板</v>
          </cell>
          <cell r="P1261">
            <v>3103</v>
          </cell>
          <cell r="Q1261" t="str">
            <v>SUS316</v>
          </cell>
          <cell r="R1261" t="str">
            <v>E385503_01</v>
          </cell>
          <cell r="S1261">
            <v>29</v>
          </cell>
          <cell r="T1261" t="str">
            <v>標準</v>
          </cell>
        </row>
        <row r="1262">
          <cell r="F1262" t="str">
            <v>H0000012803</v>
          </cell>
          <cell r="I1262" t="str">
            <v>フレーム</v>
          </cell>
          <cell r="J1262" t="str">
            <v>SteelPlate_YX-83__W850,H1600,T3,250A,150A,150A,150A</v>
          </cell>
          <cell r="K1262" t="str">
            <v>鋼板_YX-83__W850,H1600,T3,250A,150A,150A,150A</v>
          </cell>
          <cell r="L1262" t="str">
            <v>SteelPlate</v>
          </cell>
          <cell r="M1262" t="str">
            <v>鋼板</v>
          </cell>
          <cell r="P1262">
            <v>3103</v>
          </cell>
          <cell r="Q1262" t="str">
            <v>SUS316</v>
          </cell>
          <cell r="R1262" t="str">
            <v>E385503_01</v>
          </cell>
          <cell r="S1262">
            <v>30</v>
          </cell>
          <cell r="T1262" t="str">
            <v>標準</v>
          </cell>
        </row>
        <row r="1263">
          <cell r="F1263" t="str">
            <v>H0000012804</v>
          </cell>
          <cell r="I1263" t="str">
            <v>フレーム</v>
          </cell>
          <cell r="J1263" t="str">
            <v>SteelPlate_YX-83__W850,H1600,T3,200A,150A,150A,200A</v>
          </cell>
          <cell r="K1263" t="str">
            <v>鋼板_YX-83__W850,H1600,T3,200A,150A,150A,200A</v>
          </cell>
          <cell r="L1263" t="str">
            <v>SteelPlate</v>
          </cell>
          <cell r="M1263" t="str">
            <v>鋼板</v>
          </cell>
          <cell r="P1263">
            <v>3103</v>
          </cell>
          <cell r="Q1263" t="str">
            <v>SUS316</v>
          </cell>
          <cell r="R1263" t="str">
            <v>E385503_01</v>
          </cell>
          <cell r="S1263">
            <v>30</v>
          </cell>
          <cell r="T1263" t="str">
            <v>標準</v>
          </cell>
        </row>
        <row r="1264">
          <cell r="F1264" t="str">
            <v>H0000012805</v>
          </cell>
          <cell r="I1264" t="str">
            <v>フレーム</v>
          </cell>
          <cell r="J1264" t="str">
            <v>SteelPlate_YX-83__W850,H1600,T3,200A,150A,150A,150A</v>
          </cell>
          <cell r="K1264" t="str">
            <v>鋼板_YX-83__W850,H1600,T3,200A,150A,150A,150A</v>
          </cell>
          <cell r="L1264" t="str">
            <v>SteelPlate</v>
          </cell>
          <cell r="M1264" t="str">
            <v>鋼板</v>
          </cell>
          <cell r="P1264">
            <v>3103</v>
          </cell>
          <cell r="Q1264" t="str">
            <v>SUS316</v>
          </cell>
          <cell r="R1264" t="str">
            <v>E385503_01</v>
          </cell>
          <cell r="S1264">
            <v>30</v>
          </cell>
          <cell r="T1264" t="str">
            <v>標準</v>
          </cell>
        </row>
        <row r="1265">
          <cell r="F1265" t="str">
            <v>H0000012806</v>
          </cell>
          <cell r="I1265" t="str">
            <v>フレーム</v>
          </cell>
          <cell r="J1265" t="str">
            <v>SteelPlate_YX-83__W850,H1600,T3,150A,150A,150A,150A</v>
          </cell>
          <cell r="K1265" t="str">
            <v>鋼板_YX-83__W850,H1600,T3,150A,150A,150A,150A</v>
          </cell>
          <cell r="L1265" t="str">
            <v>SteelPlate</v>
          </cell>
          <cell r="M1265" t="str">
            <v>鋼板</v>
          </cell>
          <cell r="P1265">
            <v>3103</v>
          </cell>
          <cell r="Q1265" t="str">
            <v>SUS316</v>
          </cell>
          <cell r="R1265" t="str">
            <v>E385503_01</v>
          </cell>
          <cell r="S1265">
            <v>31</v>
          </cell>
          <cell r="T1265" t="str">
            <v>標準</v>
          </cell>
        </row>
        <row r="1266">
          <cell r="F1266" t="str">
            <v>H0000012807</v>
          </cell>
          <cell r="I1266" t="str">
            <v>フレーム</v>
          </cell>
          <cell r="J1266" t="str">
            <v>SteelPlate_YX-83__W850,H1600,T3,150A,150A,150A,100A</v>
          </cell>
          <cell r="K1266" t="str">
            <v>鋼板_YX-83__W850,H1600,T3,150A,150A,150A,100A</v>
          </cell>
          <cell r="L1266" t="str">
            <v>SteelPlate</v>
          </cell>
          <cell r="M1266" t="str">
            <v>鋼板</v>
          </cell>
          <cell r="P1266">
            <v>3103</v>
          </cell>
          <cell r="Q1266" t="str">
            <v>SUS316</v>
          </cell>
          <cell r="R1266" t="str">
            <v>E385503_01</v>
          </cell>
          <cell r="S1266">
            <v>31</v>
          </cell>
          <cell r="T1266" t="str">
            <v>標準</v>
          </cell>
        </row>
        <row r="1267">
          <cell r="F1267" t="str">
            <v>H0000012808</v>
          </cell>
          <cell r="I1267" t="str">
            <v>フレーム</v>
          </cell>
          <cell r="J1267" t="str">
            <v>SteelPlate_YX-83__W850,H1600,T3,150A,150A,150A,80A</v>
          </cell>
          <cell r="K1267" t="str">
            <v>鋼板_YX-83__W850,H1600,T3,150A,150A,150A,80A</v>
          </cell>
          <cell r="L1267" t="str">
            <v>SteelPlate</v>
          </cell>
          <cell r="M1267" t="str">
            <v>鋼板</v>
          </cell>
          <cell r="P1267">
            <v>3103</v>
          </cell>
          <cell r="Q1267" t="str">
            <v>SUS316</v>
          </cell>
          <cell r="R1267" t="str">
            <v>E385503_01</v>
          </cell>
          <cell r="S1267">
            <v>31</v>
          </cell>
          <cell r="T1267" t="str">
            <v>標準</v>
          </cell>
        </row>
        <row r="1268">
          <cell r="F1268" t="str">
            <v>H0000012809</v>
          </cell>
          <cell r="I1268" t="str">
            <v>フレーム</v>
          </cell>
          <cell r="J1268" t="str">
            <v>SteelPlate_YX-83__W850,H1600,T3,350A,125A,125A,350A</v>
          </cell>
          <cell r="K1268" t="str">
            <v>鋼板_YX-83__W850,H1600,T3,350A,125A,125A,350A</v>
          </cell>
          <cell r="L1268" t="str">
            <v>SteelPlate</v>
          </cell>
          <cell r="M1268" t="str">
            <v>鋼板</v>
          </cell>
          <cell r="P1268">
            <v>3103</v>
          </cell>
          <cell r="Q1268" t="str">
            <v>SUS316</v>
          </cell>
          <cell r="R1268" t="str">
            <v>E385503_01</v>
          </cell>
          <cell r="S1268">
            <v>27</v>
          </cell>
          <cell r="T1268" t="str">
            <v>標準</v>
          </cell>
        </row>
        <row r="1269">
          <cell r="F1269" t="str">
            <v>H0000012810</v>
          </cell>
          <cell r="I1269" t="str">
            <v>フレーム</v>
          </cell>
          <cell r="J1269" t="str">
            <v>SteelPlate_YX-83__W850,H1600,T3,350A,125A,125A,300A</v>
          </cell>
          <cell r="K1269" t="str">
            <v>鋼板_YX-83__W850,H1600,T3,350A,125A,125A,300A</v>
          </cell>
          <cell r="L1269" t="str">
            <v>SteelPlate</v>
          </cell>
          <cell r="M1269" t="str">
            <v>鋼板</v>
          </cell>
          <cell r="P1269">
            <v>3103</v>
          </cell>
          <cell r="Q1269" t="str">
            <v>SUS316</v>
          </cell>
          <cell r="R1269" t="str">
            <v>E385503_01</v>
          </cell>
          <cell r="S1269">
            <v>28</v>
          </cell>
          <cell r="T1269" t="str">
            <v>標準</v>
          </cell>
        </row>
        <row r="1270">
          <cell r="F1270" t="str">
            <v>H0000012811</v>
          </cell>
          <cell r="I1270" t="str">
            <v>フレーム</v>
          </cell>
          <cell r="J1270" t="str">
            <v>SteelPlate_YX-83__W850,H1600,T3,350A,125A,125A,250A</v>
          </cell>
          <cell r="K1270" t="str">
            <v>鋼板_YX-83__W850,H1600,T3,350A,125A,125A,250A</v>
          </cell>
          <cell r="L1270" t="str">
            <v>SteelPlate</v>
          </cell>
          <cell r="M1270" t="str">
            <v>鋼板</v>
          </cell>
          <cell r="P1270">
            <v>3103</v>
          </cell>
          <cell r="Q1270" t="str">
            <v>SUS316</v>
          </cell>
          <cell r="R1270" t="str">
            <v>E385503_01</v>
          </cell>
          <cell r="S1270">
            <v>28</v>
          </cell>
          <cell r="T1270" t="str">
            <v>標準</v>
          </cell>
        </row>
        <row r="1271">
          <cell r="F1271" t="str">
            <v>H0000012812</v>
          </cell>
          <cell r="I1271" t="str">
            <v>フレーム</v>
          </cell>
          <cell r="J1271" t="str">
            <v>SteelPlate_YX-83__W850,H1600,T3,350A,125A,125A,200A</v>
          </cell>
          <cell r="K1271" t="str">
            <v>鋼板_YX-83__W850,H1600,T3,350A,125A,125A,200A</v>
          </cell>
          <cell r="L1271" t="str">
            <v>SteelPlate</v>
          </cell>
          <cell r="M1271" t="str">
            <v>鋼板</v>
          </cell>
          <cell r="P1271">
            <v>3103</v>
          </cell>
          <cell r="Q1271" t="str">
            <v>SUS316</v>
          </cell>
          <cell r="R1271" t="str">
            <v>E385503_01</v>
          </cell>
          <cell r="S1271">
            <v>29</v>
          </cell>
          <cell r="T1271" t="str">
            <v>標準</v>
          </cell>
        </row>
        <row r="1272">
          <cell r="F1272" t="str">
            <v>H0000012813</v>
          </cell>
          <cell r="I1272" t="str">
            <v>フレーム</v>
          </cell>
          <cell r="J1272" t="str">
            <v>SteelPlate_YX-83__W850,H1600,T3,350A,125A,125A,150A</v>
          </cell>
          <cell r="K1272" t="str">
            <v>鋼板_YX-83__W850,H1600,T3,350A,125A,125A,150A</v>
          </cell>
          <cell r="L1272" t="str">
            <v>SteelPlate</v>
          </cell>
          <cell r="M1272" t="str">
            <v>鋼板</v>
          </cell>
          <cell r="P1272">
            <v>3103</v>
          </cell>
          <cell r="Q1272" t="str">
            <v>SUS316</v>
          </cell>
          <cell r="R1272" t="str">
            <v>E385503_01</v>
          </cell>
          <cell r="S1272">
            <v>29</v>
          </cell>
          <cell r="T1272" t="str">
            <v>標準</v>
          </cell>
        </row>
        <row r="1273">
          <cell r="F1273" t="str">
            <v>H0000012814</v>
          </cell>
          <cell r="I1273" t="str">
            <v>フレーム</v>
          </cell>
          <cell r="J1273" t="str">
            <v>SteelPlate_YX-83__W850,H1600,T3,300A,125A,125A,300A</v>
          </cell>
          <cell r="K1273" t="str">
            <v>鋼板_YX-83__W850,H1600,T3,300A,125A,125A,300A</v>
          </cell>
          <cell r="L1273" t="str">
            <v>SteelPlate</v>
          </cell>
          <cell r="M1273" t="str">
            <v>鋼板</v>
          </cell>
          <cell r="P1273">
            <v>3103</v>
          </cell>
          <cell r="Q1273" t="str">
            <v>SUS316</v>
          </cell>
          <cell r="R1273" t="str">
            <v>E385503_01</v>
          </cell>
          <cell r="S1273">
            <v>28</v>
          </cell>
          <cell r="T1273" t="str">
            <v>標準</v>
          </cell>
        </row>
        <row r="1274">
          <cell r="F1274" t="str">
            <v>H0000012815</v>
          </cell>
          <cell r="I1274" t="str">
            <v>フレーム</v>
          </cell>
          <cell r="J1274" t="str">
            <v>SteelPlate_YX-83__W850,H1600,T3,300A,125A,125A,250A</v>
          </cell>
          <cell r="K1274" t="str">
            <v>鋼板_YX-83__W850,H1600,T3,300A,125A,125A,250A</v>
          </cell>
          <cell r="L1274" t="str">
            <v>SteelPlate</v>
          </cell>
          <cell r="M1274" t="str">
            <v>鋼板</v>
          </cell>
          <cell r="P1274">
            <v>3103</v>
          </cell>
          <cell r="Q1274" t="str">
            <v>SUS316</v>
          </cell>
          <cell r="R1274" t="str">
            <v>E385503_01</v>
          </cell>
          <cell r="S1274">
            <v>29</v>
          </cell>
          <cell r="T1274" t="str">
            <v>標準</v>
          </cell>
        </row>
        <row r="1275">
          <cell r="F1275" t="str">
            <v>H0000012816</v>
          </cell>
          <cell r="I1275" t="str">
            <v>フレーム</v>
          </cell>
          <cell r="J1275" t="str">
            <v>SteelPlate_YX-83__W850,H1600,T3,300A,125A,125A,200A</v>
          </cell>
          <cell r="K1275" t="str">
            <v>鋼板_YX-83__W850,H1600,T3,300A,125A,125A,200A</v>
          </cell>
          <cell r="L1275" t="str">
            <v>SteelPlate</v>
          </cell>
          <cell r="M1275" t="str">
            <v>鋼板</v>
          </cell>
          <cell r="P1275">
            <v>3103</v>
          </cell>
          <cell r="Q1275" t="str">
            <v>SUS316</v>
          </cell>
          <cell r="R1275" t="str">
            <v>E385503_01</v>
          </cell>
          <cell r="S1275">
            <v>29</v>
          </cell>
          <cell r="T1275" t="str">
            <v>標準</v>
          </cell>
        </row>
        <row r="1276">
          <cell r="F1276" t="str">
            <v>H0000012817</v>
          </cell>
          <cell r="I1276" t="str">
            <v>フレーム</v>
          </cell>
          <cell r="J1276" t="str">
            <v>SteelPlate_YX-83__W850,H1600,T3,300A,125A,125A,150A</v>
          </cell>
          <cell r="K1276" t="str">
            <v>鋼板_YX-83__W850,H1600,T3,300A,125A,125A,150A</v>
          </cell>
          <cell r="L1276" t="str">
            <v>SteelPlate</v>
          </cell>
          <cell r="M1276" t="str">
            <v>鋼板</v>
          </cell>
          <cell r="P1276">
            <v>3103</v>
          </cell>
          <cell r="Q1276" t="str">
            <v>SUS316</v>
          </cell>
          <cell r="R1276" t="str">
            <v>E385503_01</v>
          </cell>
          <cell r="S1276">
            <v>29</v>
          </cell>
          <cell r="T1276" t="str">
            <v>標準</v>
          </cell>
        </row>
        <row r="1277">
          <cell r="F1277" t="str">
            <v>H0000012818</v>
          </cell>
          <cell r="I1277" t="str">
            <v>フレーム</v>
          </cell>
          <cell r="J1277" t="str">
            <v>SteelPlate_YX-83__W850,H1600,T3,250A,125A,125A,250A</v>
          </cell>
          <cell r="K1277" t="str">
            <v>鋼板_YX-83__W850,H1600,T3,250A,125A,125A,250A</v>
          </cell>
          <cell r="L1277" t="str">
            <v>SteelPlate</v>
          </cell>
          <cell r="M1277" t="str">
            <v>鋼板</v>
          </cell>
          <cell r="P1277">
            <v>3103</v>
          </cell>
          <cell r="Q1277" t="str">
            <v>SUS316</v>
          </cell>
          <cell r="R1277" t="str">
            <v>E385503_01</v>
          </cell>
          <cell r="S1277">
            <v>29</v>
          </cell>
          <cell r="T1277" t="str">
            <v>標準</v>
          </cell>
        </row>
        <row r="1278">
          <cell r="F1278" t="str">
            <v>H0000012819</v>
          </cell>
          <cell r="I1278" t="str">
            <v>フレーム</v>
          </cell>
          <cell r="J1278" t="str">
            <v>SteelPlate_YX-83__W850,H1600,T3,250A,125A,125A,200A</v>
          </cell>
          <cell r="K1278" t="str">
            <v>鋼板_YX-83__W850,H1600,T3,250A,125A,125A,200A</v>
          </cell>
          <cell r="L1278" t="str">
            <v>SteelPlate</v>
          </cell>
          <cell r="M1278" t="str">
            <v>鋼板</v>
          </cell>
          <cell r="P1278">
            <v>3103</v>
          </cell>
          <cell r="Q1278" t="str">
            <v>SUS316</v>
          </cell>
          <cell r="R1278" t="str">
            <v>E385503_01</v>
          </cell>
          <cell r="S1278">
            <v>30</v>
          </cell>
          <cell r="T1278" t="str">
            <v>標準</v>
          </cell>
        </row>
        <row r="1279">
          <cell r="F1279" t="str">
            <v>H0000012820</v>
          </cell>
          <cell r="I1279" t="str">
            <v>フレーム</v>
          </cell>
          <cell r="J1279" t="str">
            <v>SteelPlate_YX-83__W850,H1600,T3,250A,125A,125A,150A</v>
          </cell>
          <cell r="K1279" t="str">
            <v>鋼板_YX-83__W850,H1600,T3,250A,125A,125A,150A</v>
          </cell>
          <cell r="L1279" t="str">
            <v>SteelPlate</v>
          </cell>
          <cell r="M1279" t="str">
            <v>鋼板</v>
          </cell>
          <cell r="P1279">
            <v>3103</v>
          </cell>
          <cell r="Q1279" t="str">
            <v>SUS316</v>
          </cell>
          <cell r="R1279" t="str">
            <v>E385503_01</v>
          </cell>
          <cell r="S1279">
            <v>30</v>
          </cell>
          <cell r="T1279" t="str">
            <v>標準</v>
          </cell>
        </row>
        <row r="1280">
          <cell r="F1280" t="str">
            <v>H0000012821</v>
          </cell>
          <cell r="I1280" t="str">
            <v>フレーム</v>
          </cell>
          <cell r="J1280" t="str">
            <v>SteelPlate_YX-83__W850,H1600,T3,200A,125A,125A,200A</v>
          </cell>
          <cell r="K1280" t="str">
            <v>鋼板_YX-83__W850,H1600,T3,200A,125A,125A,200A</v>
          </cell>
          <cell r="L1280" t="str">
            <v>SteelPlate</v>
          </cell>
          <cell r="M1280" t="str">
            <v>鋼板</v>
          </cell>
          <cell r="P1280">
            <v>3103</v>
          </cell>
          <cell r="Q1280" t="str">
            <v>SUS316</v>
          </cell>
          <cell r="R1280" t="str">
            <v>E385503_01</v>
          </cell>
          <cell r="S1280">
            <v>30</v>
          </cell>
          <cell r="T1280" t="str">
            <v>標準</v>
          </cell>
        </row>
        <row r="1281">
          <cell r="F1281" t="str">
            <v>H0000012822</v>
          </cell>
          <cell r="I1281" t="str">
            <v>フレーム</v>
          </cell>
          <cell r="J1281" t="str">
            <v>SteelPlate_YX-83__W850,H1600,T3,200A,125A,125A,150A</v>
          </cell>
          <cell r="K1281" t="str">
            <v>鋼板_YX-83__W850,H1600,T3,200A,125A,125A,150A</v>
          </cell>
          <cell r="L1281" t="str">
            <v>SteelPlate</v>
          </cell>
          <cell r="M1281" t="str">
            <v>鋼板</v>
          </cell>
          <cell r="P1281">
            <v>3103</v>
          </cell>
          <cell r="Q1281" t="str">
            <v>SUS316</v>
          </cell>
          <cell r="R1281" t="str">
            <v>E385503_01</v>
          </cell>
          <cell r="S1281">
            <v>31</v>
          </cell>
          <cell r="T1281" t="str">
            <v>標準</v>
          </cell>
        </row>
        <row r="1282">
          <cell r="F1282" t="str">
            <v>H0000012823</v>
          </cell>
          <cell r="I1282" t="str">
            <v>フレーム</v>
          </cell>
          <cell r="J1282" t="str">
            <v>SteelPlate_YX-83__W850,H1600,T3,150A,125A,125A,150A</v>
          </cell>
          <cell r="K1282" t="str">
            <v>鋼板_YX-83__W850,H1600,T3,150A,125A,125A,150A</v>
          </cell>
          <cell r="L1282" t="str">
            <v>SteelPlate</v>
          </cell>
          <cell r="M1282" t="str">
            <v>鋼板</v>
          </cell>
          <cell r="P1282">
            <v>3103</v>
          </cell>
          <cell r="Q1282" t="str">
            <v>SUS316</v>
          </cell>
          <cell r="R1282" t="str">
            <v>E385503_01</v>
          </cell>
          <cell r="S1282">
            <v>31</v>
          </cell>
          <cell r="T1282" t="str">
            <v>標準</v>
          </cell>
        </row>
        <row r="1283">
          <cell r="F1283" t="str">
            <v>H0000012824</v>
          </cell>
          <cell r="I1283" t="str">
            <v>フレーム</v>
          </cell>
          <cell r="J1283" t="str">
            <v>SteelPlate_YX-83__W850,H1600,T3,150A,125A,125A,100A</v>
          </cell>
          <cell r="K1283" t="str">
            <v>鋼板_YX-83__W850,H1600,T3,150A,125A,125A,100A</v>
          </cell>
          <cell r="L1283" t="str">
            <v>SteelPlate</v>
          </cell>
          <cell r="M1283" t="str">
            <v>鋼板</v>
          </cell>
          <cell r="P1283">
            <v>3103</v>
          </cell>
          <cell r="Q1283" t="str">
            <v>SUS316</v>
          </cell>
          <cell r="R1283" t="str">
            <v>E385503_01</v>
          </cell>
          <cell r="S1283">
            <v>31</v>
          </cell>
          <cell r="T1283" t="str">
            <v>標準</v>
          </cell>
        </row>
        <row r="1284">
          <cell r="F1284" t="str">
            <v>H0000012825</v>
          </cell>
          <cell r="I1284" t="str">
            <v>フレーム</v>
          </cell>
          <cell r="J1284" t="str">
            <v>SteelPlate_YX-83__W850,H1600,T3,150A,125A,125A,80A</v>
          </cell>
          <cell r="K1284" t="str">
            <v>鋼板_YX-83__W850,H1600,T3,150A,125A,125A,80A</v>
          </cell>
          <cell r="L1284" t="str">
            <v>SteelPlate</v>
          </cell>
          <cell r="M1284" t="str">
            <v>鋼板</v>
          </cell>
          <cell r="P1284">
            <v>3103</v>
          </cell>
          <cell r="Q1284" t="str">
            <v>SUS316</v>
          </cell>
          <cell r="R1284" t="str">
            <v>E385503_01</v>
          </cell>
          <cell r="S1284">
            <v>31</v>
          </cell>
          <cell r="T1284" t="str">
            <v>標準</v>
          </cell>
        </row>
        <row r="1285">
          <cell r="F1285" t="str">
            <v>H0000012826</v>
          </cell>
          <cell r="I1285" t="str">
            <v>フレーム</v>
          </cell>
          <cell r="J1285" t="str">
            <v>SteelPlate_YX-83__W850,H1600,T3,350A,100A,100A,350A</v>
          </cell>
          <cell r="K1285" t="str">
            <v>鋼板_YX-83__W850,H1600,T3,350A,100A,100A,350A</v>
          </cell>
          <cell r="L1285" t="str">
            <v>SteelPlate</v>
          </cell>
          <cell r="M1285" t="str">
            <v>鋼板</v>
          </cell>
          <cell r="P1285">
            <v>3103</v>
          </cell>
          <cell r="Q1285" t="str">
            <v>SUS316</v>
          </cell>
          <cell r="R1285" t="str">
            <v>E385503_01</v>
          </cell>
          <cell r="S1285">
            <v>27</v>
          </cell>
          <cell r="T1285" t="str">
            <v>標準</v>
          </cell>
        </row>
        <row r="1286">
          <cell r="F1286" t="str">
            <v>H0000012827</v>
          </cell>
          <cell r="I1286" t="str">
            <v>フレーム</v>
          </cell>
          <cell r="J1286" t="str">
            <v>SteelPlate_YX-83__W850,H1600,T3,350A,100A,100A,300A</v>
          </cell>
          <cell r="K1286" t="str">
            <v>鋼板_YX-83__W850,H1600,T3,350A,100A,100A,300A</v>
          </cell>
          <cell r="L1286" t="str">
            <v>SteelPlate</v>
          </cell>
          <cell r="M1286" t="str">
            <v>鋼板</v>
          </cell>
          <cell r="P1286">
            <v>3103</v>
          </cell>
          <cell r="Q1286" t="str">
            <v>SUS316</v>
          </cell>
          <cell r="R1286" t="str">
            <v>E385503_01</v>
          </cell>
          <cell r="S1286">
            <v>28</v>
          </cell>
          <cell r="T1286" t="str">
            <v>標準</v>
          </cell>
        </row>
        <row r="1287">
          <cell r="F1287" t="str">
            <v>H0000012828</v>
          </cell>
          <cell r="I1287" t="str">
            <v>フレーム</v>
          </cell>
          <cell r="J1287" t="str">
            <v>SteelPlate_YX-83__W850,H1600,T3,350A,100A,100A,250A</v>
          </cell>
          <cell r="K1287" t="str">
            <v>鋼板_YX-83__W850,H1600,T3,350A,100A,100A,250A</v>
          </cell>
          <cell r="L1287" t="str">
            <v>SteelPlate</v>
          </cell>
          <cell r="M1287" t="str">
            <v>鋼板</v>
          </cell>
          <cell r="P1287">
            <v>3103</v>
          </cell>
          <cell r="Q1287" t="str">
            <v>SUS316</v>
          </cell>
          <cell r="R1287" t="str">
            <v>E385503_01</v>
          </cell>
          <cell r="S1287">
            <v>28</v>
          </cell>
          <cell r="T1287" t="str">
            <v>標準</v>
          </cell>
        </row>
        <row r="1288">
          <cell r="F1288" t="str">
            <v>H0000012829</v>
          </cell>
          <cell r="I1288" t="str">
            <v>フレーム</v>
          </cell>
          <cell r="J1288" t="str">
            <v>SteelPlate_YX-83__W850,H1600,T3,350A,100A,100A,200A</v>
          </cell>
          <cell r="K1288" t="str">
            <v>鋼板_YX-83__W850,H1600,T3,350A,100A,100A,200A</v>
          </cell>
          <cell r="L1288" t="str">
            <v>SteelPlate</v>
          </cell>
          <cell r="M1288" t="str">
            <v>鋼板</v>
          </cell>
          <cell r="P1288">
            <v>3103</v>
          </cell>
          <cell r="Q1288" t="str">
            <v>SUS316</v>
          </cell>
          <cell r="R1288" t="str">
            <v>E385503_01</v>
          </cell>
          <cell r="S1288">
            <v>29</v>
          </cell>
          <cell r="T1288" t="str">
            <v>標準</v>
          </cell>
        </row>
        <row r="1289">
          <cell r="F1289" t="str">
            <v>H0000012830</v>
          </cell>
          <cell r="I1289" t="str">
            <v>フレーム</v>
          </cell>
          <cell r="J1289" t="str">
            <v>SteelPlate_YX-83__W850,H1600,T3,350A,100A,100A,150A</v>
          </cell>
          <cell r="K1289" t="str">
            <v>鋼板_YX-83__W850,H1600,T3,350A,100A,100A,150A</v>
          </cell>
          <cell r="L1289" t="str">
            <v>SteelPlate</v>
          </cell>
          <cell r="M1289" t="str">
            <v>鋼板</v>
          </cell>
          <cell r="P1289">
            <v>3103</v>
          </cell>
          <cell r="Q1289" t="str">
            <v>SUS316</v>
          </cell>
          <cell r="R1289" t="str">
            <v>E385503_01</v>
          </cell>
          <cell r="S1289">
            <v>29</v>
          </cell>
          <cell r="T1289" t="str">
            <v>標準</v>
          </cell>
        </row>
        <row r="1290">
          <cell r="F1290" t="str">
            <v>H0000012831</v>
          </cell>
          <cell r="I1290" t="str">
            <v>フレーム</v>
          </cell>
          <cell r="J1290" t="str">
            <v>SteelPlate_YX-83__W850,H1600,T3,300A,100A,100A,300A</v>
          </cell>
          <cell r="K1290" t="str">
            <v>鋼板_YX-83__W850,H1600,T3,300A,100A,100A,300A</v>
          </cell>
          <cell r="L1290" t="str">
            <v>SteelPlate</v>
          </cell>
          <cell r="M1290" t="str">
            <v>鋼板</v>
          </cell>
          <cell r="P1290">
            <v>3103</v>
          </cell>
          <cell r="Q1290" t="str">
            <v>SUS316</v>
          </cell>
          <cell r="R1290" t="str">
            <v>E385503_01</v>
          </cell>
          <cell r="S1290">
            <v>28</v>
          </cell>
          <cell r="T1290" t="str">
            <v>標準</v>
          </cell>
        </row>
        <row r="1291">
          <cell r="F1291" t="str">
            <v>H0000012832</v>
          </cell>
          <cell r="I1291" t="str">
            <v>フレーム</v>
          </cell>
          <cell r="J1291" t="str">
            <v>SteelPlate_YX-83__W850,H1600,T3,300A,100A,100A,250A</v>
          </cell>
          <cell r="K1291" t="str">
            <v>鋼板_YX-83__W850,H1600,T3,300A,100A,100A,250A</v>
          </cell>
          <cell r="L1291" t="str">
            <v>SteelPlate</v>
          </cell>
          <cell r="M1291" t="str">
            <v>鋼板</v>
          </cell>
          <cell r="P1291">
            <v>3103</v>
          </cell>
          <cell r="Q1291" t="str">
            <v>SUS316</v>
          </cell>
          <cell r="R1291" t="str">
            <v>E385503_01</v>
          </cell>
          <cell r="S1291">
            <v>29</v>
          </cell>
          <cell r="T1291" t="str">
            <v>標準</v>
          </cell>
        </row>
        <row r="1292">
          <cell r="F1292" t="str">
            <v>H0000012833</v>
          </cell>
          <cell r="I1292" t="str">
            <v>フレーム</v>
          </cell>
          <cell r="J1292" t="str">
            <v>SteelPlate_YX-83__W850,H1600,T3,300A,100A,100A,200A</v>
          </cell>
          <cell r="K1292" t="str">
            <v>鋼板_YX-83__W850,H1600,T3,300A,100A,100A,200A</v>
          </cell>
          <cell r="L1292" t="str">
            <v>SteelPlate</v>
          </cell>
          <cell r="M1292" t="str">
            <v>鋼板</v>
          </cell>
          <cell r="P1292">
            <v>3103</v>
          </cell>
          <cell r="Q1292" t="str">
            <v>SUS316</v>
          </cell>
          <cell r="R1292" t="str">
            <v>E385503_01</v>
          </cell>
          <cell r="S1292">
            <v>29</v>
          </cell>
          <cell r="T1292" t="str">
            <v>標準</v>
          </cell>
        </row>
        <row r="1293">
          <cell r="F1293" t="str">
            <v>H0000012834</v>
          </cell>
          <cell r="I1293" t="str">
            <v>フレーム</v>
          </cell>
          <cell r="J1293" t="str">
            <v>SteelPlate_YX-83__W850,H1600,T3,300A,100A,100A,150A</v>
          </cell>
          <cell r="K1293" t="str">
            <v>鋼板_YX-83__W850,H1600,T3,300A,100A,100A,150A</v>
          </cell>
          <cell r="L1293" t="str">
            <v>SteelPlate</v>
          </cell>
          <cell r="M1293" t="str">
            <v>鋼板</v>
          </cell>
          <cell r="P1293">
            <v>3103</v>
          </cell>
          <cell r="Q1293" t="str">
            <v>SUS316</v>
          </cell>
          <cell r="R1293" t="str">
            <v>E385503_01</v>
          </cell>
          <cell r="S1293">
            <v>30</v>
          </cell>
          <cell r="T1293" t="str">
            <v>標準</v>
          </cell>
        </row>
        <row r="1294">
          <cell r="F1294" t="str">
            <v>H0000012835</v>
          </cell>
          <cell r="I1294" t="str">
            <v>フレーム</v>
          </cell>
          <cell r="J1294" t="str">
            <v>SteelPlate_YX-83__W850,H1600,T3,250A,100A,100A,250A</v>
          </cell>
          <cell r="K1294" t="str">
            <v>鋼板_YX-83__W850,H1600,T3,250A,100A,100A,250A</v>
          </cell>
          <cell r="L1294" t="str">
            <v>SteelPlate</v>
          </cell>
          <cell r="M1294" t="str">
            <v>鋼板</v>
          </cell>
          <cell r="P1294">
            <v>3103</v>
          </cell>
          <cell r="Q1294" t="str">
            <v>SUS316</v>
          </cell>
          <cell r="R1294" t="str">
            <v>E385503_01</v>
          </cell>
          <cell r="S1294">
            <v>29</v>
          </cell>
          <cell r="T1294" t="str">
            <v>標準</v>
          </cell>
        </row>
        <row r="1295">
          <cell r="F1295" t="str">
            <v>H0000012836</v>
          </cell>
          <cell r="I1295" t="str">
            <v>フレーム</v>
          </cell>
          <cell r="J1295" t="str">
            <v>SteelPlate_YX-83__W850,H1600,T3,250A,100A,100A,200A</v>
          </cell>
          <cell r="K1295" t="str">
            <v>鋼板_YX-83__W850,H1600,T3,250A,100A,100A,200A</v>
          </cell>
          <cell r="L1295" t="str">
            <v>SteelPlate</v>
          </cell>
          <cell r="M1295" t="str">
            <v>鋼板</v>
          </cell>
          <cell r="P1295">
            <v>3103</v>
          </cell>
          <cell r="Q1295" t="str">
            <v>SUS316</v>
          </cell>
          <cell r="R1295" t="str">
            <v>E385503_01</v>
          </cell>
          <cell r="S1295">
            <v>30</v>
          </cell>
          <cell r="T1295" t="str">
            <v>標準</v>
          </cell>
        </row>
        <row r="1296">
          <cell r="F1296" t="str">
            <v>H0000012837</v>
          </cell>
          <cell r="I1296" t="str">
            <v>フレーム</v>
          </cell>
          <cell r="J1296" t="str">
            <v>SteelPlate_YX-83__W850,H1600,T3,250A,100A,100A,150A</v>
          </cell>
          <cell r="K1296" t="str">
            <v>鋼板_YX-83__W850,H1600,T3,250A,100A,100A,150A</v>
          </cell>
          <cell r="L1296" t="str">
            <v>SteelPlate</v>
          </cell>
          <cell r="M1296" t="str">
            <v>鋼板</v>
          </cell>
          <cell r="P1296">
            <v>3103</v>
          </cell>
          <cell r="Q1296" t="str">
            <v>SUS316</v>
          </cell>
          <cell r="R1296" t="str">
            <v>E385503_01</v>
          </cell>
          <cell r="S1296">
            <v>30</v>
          </cell>
          <cell r="T1296" t="str">
            <v>標準</v>
          </cell>
        </row>
        <row r="1297">
          <cell r="F1297" t="str">
            <v>H0000012838</v>
          </cell>
          <cell r="I1297" t="str">
            <v>フレーム</v>
          </cell>
          <cell r="J1297" t="str">
            <v>SteelPlate_YX-83__W850,H1600,T3,200A,100A,100A,200A</v>
          </cell>
          <cell r="K1297" t="str">
            <v>鋼板_YX-83__W850,H1600,T3,200A,100A,100A,200A</v>
          </cell>
          <cell r="L1297" t="str">
            <v>SteelPlate</v>
          </cell>
          <cell r="M1297" t="str">
            <v>鋼板</v>
          </cell>
          <cell r="P1297">
            <v>3103</v>
          </cell>
          <cell r="Q1297" t="str">
            <v>SUS316</v>
          </cell>
          <cell r="R1297" t="str">
            <v>E385503_01</v>
          </cell>
          <cell r="S1297">
            <v>30</v>
          </cell>
          <cell r="T1297" t="str">
            <v>標準</v>
          </cell>
        </row>
        <row r="1298">
          <cell r="F1298" t="str">
            <v>H0000012839</v>
          </cell>
          <cell r="I1298" t="str">
            <v>フレーム</v>
          </cell>
          <cell r="J1298" t="str">
            <v>SteelPlate_YX-83__W850,H1600,T3,200A,100A,100A,150A</v>
          </cell>
          <cell r="K1298" t="str">
            <v>鋼板_YX-83__W850,H1600,T3,200A,100A,100A,150A</v>
          </cell>
          <cell r="L1298" t="str">
            <v>SteelPlate</v>
          </cell>
          <cell r="M1298" t="str">
            <v>鋼板</v>
          </cell>
          <cell r="P1298">
            <v>3103</v>
          </cell>
          <cell r="Q1298" t="str">
            <v>SUS316</v>
          </cell>
          <cell r="R1298" t="str">
            <v>E385503_01</v>
          </cell>
          <cell r="S1298">
            <v>31</v>
          </cell>
          <cell r="T1298" t="str">
            <v>標準</v>
          </cell>
        </row>
        <row r="1299">
          <cell r="F1299" t="str">
            <v>H0000012840</v>
          </cell>
          <cell r="I1299" t="str">
            <v>フレーム</v>
          </cell>
          <cell r="J1299" t="str">
            <v>SteelPlate_YX-83__W850,H1600,T3,150A,100A,100A,150A</v>
          </cell>
          <cell r="K1299" t="str">
            <v>鋼板_YX-83__W850,H1600,T3,150A,100A,100A,150A</v>
          </cell>
          <cell r="L1299" t="str">
            <v>SteelPlate</v>
          </cell>
          <cell r="M1299" t="str">
            <v>鋼板</v>
          </cell>
          <cell r="P1299">
            <v>3103</v>
          </cell>
          <cell r="Q1299" t="str">
            <v>SUS316</v>
          </cell>
          <cell r="R1299" t="str">
            <v>E385503_01</v>
          </cell>
          <cell r="S1299">
            <v>31</v>
          </cell>
          <cell r="T1299" t="str">
            <v>標準</v>
          </cell>
        </row>
        <row r="1300">
          <cell r="F1300" t="str">
            <v>H0000012841</v>
          </cell>
          <cell r="I1300" t="str">
            <v>フレーム</v>
          </cell>
          <cell r="J1300" t="str">
            <v>SteelPlate_YX-83__W850,H1600,T3,150A,100A,100A,100A</v>
          </cell>
          <cell r="K1300" t="str">
            <v>鋼板_YX-83__W850,H1600,T3,150A,100A,100A,100A</v>
          </cell>
          <cell r="L1300" t="str">
            <v>SteelPlate</v>
          </cell>
          <cell r="M1300" t="str">
            <v>鋼板</v>
          </cell>
          <cell r="P1300">
            <v>3103</v>
          </cell>
          <cell r="Q1300" t="str">
            <v>SUS316</v>
          </cell>
          <cell r="R1300" t="str">
            <v>E385503_01</v>
          </cell>
          <cell r="S1300">
            <v>31</v>
          </cell>
          <cell r="T1300" t="str">
            <v>標準</v>
          </cell>
        </row>
        <row r="1301">
          <cell r="F1301" t="str">
            <v>H0000012842</v>
          </cell>
          <cell r="I1301" t="str">
            <v>フレーム</v>
          </cell>
          <cell r="J1301" t="str">
            <v>SteelPlate_YX-83__W850,H1600,T3,150A,100A,100A,80A</v>
          </cell>
          <cell r="K1301" t="str">
            <v>鋼板_YX-83__W850,H1600,T3,150A,100A,100A,80A</v>
          </cell>
          <cell r="L1301" t="str">
            <v>SteelPlate</v>
          </cell>
          <cell r="M1301" t="str">
            <v>鋼板</v>
          </cell>
          <cell r="P1301">
            <v>3103</v>
          </cell>
          <cell r="Q1301" t="str">
            <v>SUS316</v>
          </cell>
          <cell r="R1301" t="str">
            <v>E385503_01</v>
          </cell>
          <cell r="S1301">
            <v>31</v>
          </cell>
          <cell r="T1301" t="str">
            <v>標準</v>
          </cell>
        </row>
        <row r="1302">
          <cell r="F1302" t="str">
            <v>H0000012843</v>
          </cell>
          <cell r="I1302" t="str">
            <v>フレーム</v>
          </cell>
          <cell r="J1302" t="str">
            <v>SteelPlate_YX-83__W850,H1600,T3,350A,80A,80A,350A</v>
          </cell>
          <cell r="K1302" t="str">
            <v>鋼板_YX-83__W850,H1600,T3,350A,80A,80A,350A</v>
          </cell>
          <cell r="L1302" t="str">
            <v>SteelPlate</v>
          </cell>
          <cell r="M1302" t="str">
            <v>鋼板</v>
          </cell>
          <cell r="P1302">
            <v>3103</v>
          </cell>
          <cell r="Q1302" t="str">
            <v>SUS316</v>
          </cell>
          <cell r="R1302" t="str">
            <v>E385503_01</v>
          </cell>
          <cell r="S1302">
            <v>27</v>
          </cell>
          <cell r="T1302" t="str">
            <v>標準</v>
          </cell>
        </row>
        <row r="1303">
          <cell r="F1303" t="str">
            <v>H0000012844</v>
          </cell>
          <cell r="I1303" t="str">
            <v>フレーム</v>
          </cell>
          <cell r="J1303" t="str">
            <v>SteelPlate_YX-83__W850,H1600,T3,350A,80A,80A,300A</v>
          </cell>
          <cell r="K1303" t="str">
            <v>鋼板_YX-83__W850,H1600,T3,350A,80A,80A,300A</v>
          </cell>
          <cell r="L1303" t="str">
            <v>SteelPlate</v>
          </cell>
          <cell r="M1303" t="str">
            <v>鋼板</v>
          </cell>
          <cell r="P1303">
            <v>3103</v>
          </cell>
          <cell r="Q1303" t="str">
            <v>SUS316</v>
          </cell>
          <cell r="R1303" t="str">
            <v>E385503_01</v>
          </cell>
          <cell r="S1303">
            <v>28</v>
          </cell>
          <cell r="T1303" t="str">
            <v>標準</v>
          </cell>
        </row>
        <row r="1304">
          <cell r="F1304" t="str">
            <v>H0000012845</v>
          </cell>
          <cell r="I1304" t="str">
            <v>フレーム</v>
          </cell>
          <cell r="J1304" t="str">
            <v>SteelPlate_YX-83__W850,H1600,T3,350A,80A,80A,250A</v>
          </cell>
          <cell r="K1304" t="str">
            <v>鋼板_YX-83__W850,H1600,T3,350A,80A,80A,250A</v>
          </cell>
          <cell r="L1304" t="str">
            <v>SteelPlate</v>
          </cell>
          <cell r="M1304" t="str">
            <v>鋼板</v>
          </cell>
          <cell r="P1304">
            <v>3103</v>
          </cell>
          <cell r="Q1304" t="str">
            <v>SUS316</v>
          </cell>
          <cell r="R1304" t="str">
            <v>E385503_01</v>
          </cell>
          <cell r="S1304">
            <v>29</v>
          </cell>
          <cell r="T1304" t="str">
            <v>標準</v>
          </cell>
        </row>
        <row r="1305">
          <cell r="F1305" t="str">
            <v>H0000012846</v>
          </cell>
          <cell r="I1305" t="str">
            <v>フレーム</v>
          </cell>
          <cell r="J1305" t="str">
            <v>SteelPlate_YX-83__W850,H1600,T3,350,80A,80A,200A</v>
          </cell>
          <cell r="K1305" t="str">
            <v>鋼板_YX-83__W850,H1600,T3,350,80A,80A,200A</v>
          </cell>
          <cell r="L1305" t="str">
            <v>SteelPlate</v>
          </cell>
          <cell r="M1305" t="str">
            <v>鋼板</v>
          </cell>
          <cell r="P1305">
            <v>3103</v>
          </cell>
          <cell r="Q1305" t="str">
            <v>SUS316</v>
          </cell>
          <cell r="R1305" t="str">
            <v>E385503_01</v>
          </cell>
          <cell r="S1305">
            <v>29</v>
          </cell>
          <cell r="T1305" t="str">
            <v>標準</v>
          </cell>
        </row>
        <row r="1306">
          <cell r="F1306" t="str">
            <v>H0000012847</v>
          </cell>
          <cell r="I1306" t="str">
            <v>フレーム</v>
          </cell>
          <cell r="J1306" t="str">
            <v>SteelPlate_YX-83__W850,H1600,T3,350A,80A,80A,150A</v>
          </cell>
          <cell r="K1306" t="str">
            <v>鋼板_YX-83__W850,H1600,T3,350A,80A,80A,150A</v>
          </cell>
          <cell r="L1306" t="str">
            <v>SteelPlate</v>
          </cell>
          <cell r="M1306" t="str">
            <v>鋼板</v>
          </cell>
          <cell r="P1306">
            <v>3103</v>
          </cell>
          <cell r="Q1306" t="str">
            <v>SUS316</v>
          </cell>
          <cell r="R1306" t="str">
            <v>E385503_01</v>
          </cell>
          <cell r="S1306">
            <v>29</v>
          </cell>
          <cell r="T1306" t="str">
            <v>標準</v>
          </cell>
        </row>
        <row r="1307">
          <cell r="F1307" t="str">
            <v>H0000012848</v>
          </cell>
          <cell r="I1307" t="str">
            <v>フレーム</v>
          </cell>
          <cell r="J1307" t="str">
            <v>SteelPlate_YX-83__W850,H1600,T3,300A,80A,80A,300A</v>
          </cell>
          <cell r="K1307" t="str">
            <v>鋼板_YX-83__W850,H1600,T3,300A,80A,80A,300A</v>
          </cell>
          <cell r="L1307" t="str">
            <v>SteelPlate</v>
          </cell>
          <cell r="M1307" t="str">
            <v>鋼板</v>
          </cell>
          <cell r="P1307">
            <v>3103</v>
          </cell>
          <cell r="Q1307" t="str">
            <v>SUS316</v>
          </cell>
          <cell r="R1307" t="str">
            <v>E385503_01</v>
          </cell>
          <cell r="S1307">
            <v>28</v>
          </cell>
          <cell r="T1307" t="str">
            <v>標準</v>
          </cell>
        </row>
        <row r="1308">
          <cell r="F1308" t="str">
            <v>H0000012849</v>
          </cell>
          <cell r="I1308" t="str">
            <v>フレーム</v>
          </cell>
          <cell r="J1308" t="str">
            <v>SteelPlate_YX-83__W850,H1600,T3,300A,80A,80A,250A</v>
          </cell>
          <cell r="K1308" t="str">
            <v>鋼板_YX-83__W850,H1600,T3,300A,80A,80A,250A</v>
          </cell>
          <cell r="L1308" t="str">
            <v>SteelPlate</v>
          </cell>
          <cell r="M1308" t="str">
            <v>鋼板</v>
          </cell>
          <cell r="P1308">
            <v>3103</v>
          </cell>
          <cell r="Q1308" t="str">
            <v>SUS316</v>
          </cell>
          <cell r="R1308" t="str">
            <v>E385503_01</v>
          </cell>
          <cell r="S1308">
            <v>29</v>
          </cell>
          <cell r="T1308" t="str">
            <v>標準</v>
          </cell>
        </row>
        <row r="1309">
          <cell r="F1309" t="str">
            <v>H0000012850</v>
          </cell>
          <cell r="I1309" t="str">
            <v>フレーム</v>
          </cell>
          <cell r="J1309" t="str">
            <v>SteelPlate_YX-83__W850,H1600,T3,300A,80A,80A,200A</v>
          </cell>
          <cell r="K1309" t="str">
            <v>鋼板_YX-83__W850,H1600,T3,300A,80A,80A,200A</v>
          </cell>
          <cell r="L1309" t="str">
            <v>SteelPlate</v>
          </cell>
          <cell r="M1309" t="str">
            <v>鋼板</v>
          </cell>
          <cell r="P1309">
            <v>3103</v>
          </cell>
          <cell r="Q1309" t="str">
            <v>SUS316</v>
          </cell>
          <cell r="R1309" t="str">
            <v>E385503_01</v>
          </cell>
          <cell r="S1309">
            <v>29</v>
          </cell>
          <cell r="T1309" t="str">
            <v>標準</v>
          </cell>
        </row>
        <row r="1310">
          <cell r="F1310" t="str">
            <v>H0000012851</v>
          </cell>
          <cell r="I1310" t="str">
            <v>フレーム</v>
          </cell>
          <cell r="J1310" t="str">
            <v>SteelPlate_YX-83__W850,H1600,T3,300A,80A,80A,150A</v>
          </cell>
          <cell r="K1310" t="str">
            <v>鋼板_YX-83__W850,H1600,T3,300A,80A,80A,150A</v>
          </cell>
          <cell r="L1310" t="str">
            <v>SteelPlate</v>
          </cell>
          <cell r="M1310" t="str">
            <v>鋼板</v>
          </cell>
          <cell r="P1310">
            <v>3103</v>
          </cell>
          <cell r="Q1310" t="str">
            <v>SUS316</v>
          </cell>
          <cell r="R1310" t="str">
            <v>E385503_01</v>
          </cell>
          <cell r="S1310">
            <v>30</v>
          </cell>
          <cell r="T1310" t="str">
            <v>標準</v>
          </cell>
        </row>
        <row r="1311">
          <cell r="F1311" t="str">
            <v>H0000012852</v>
          </cell>
          <cell r="I1311" t="str">
            <v>フレーム</v>
          </cell>
          <cell r="J1311" t="str">
            <v>SteelPlate_YX-83__W850,H1600,T3,250A,80A,80A,250A</v>
          </cell>
          <cell r="K1311" t="str">
            <v>鋼板_YX-83__W850,H1600,T3,250A,80A,80A,250A</v>
          </cell>
          <cell r="L1311" t="str">
            <v>SteelPlate</v>
          </cell>
          <cell r="M1311" t="str">
            <v>鋼板</v>
          </cell>
          <cell r="P1311">
            <v>3103</v>
          </cell>
          <cell r="Q1311" t="str">
            <v>SUS316</v>
          </cell>
          <cell r="R1311" t="str">
            <v>E385503_01</v>
          </cell>
          <cell r="S1311">
            <v>30</v>
          </cell>
          <cell r="T1311" t="str">
            <v>標準</v>
          </cell>
        </row>
        <row r="1312">
          <cell r="F1312" t="str">
            <v>H0000012853</v>
          </cell>
          <cell r="I1312" t="str">
            <v>フレーム</v>
          </cell>
          <cell r="J1312" t="str">
            <v>SteelPlate_YX-83__W850,H1600,T3,250A,80A,80A,200A</v>
          </cell>
          <cell r="K1312" t="str">
            <v>鋼板_YX-83__W850,H1600,T3,250A,80A,80A,200A</v>
          </cell>
          <cell r="L1312" t="str">
            <v>SteelPlate</v>
          </cell>
          <cell r="M1312" t="str">
            <v>鋼板</v>
          </cell>
          <cell r="P1312">
            <v>3103</v>
          </cell>
          <cell r="Q1312" t="str">
            <v>SUS316</v>
          </cell>
          <cell r="R1312" t="str">
            <v>E385503_01</v>
          </cell>
          <cell r="S1312">
            <v>30</v>
          </cell>
          <cell r="T1312" t="str">
            <v>標準</v>
          </cell>
        </row>
        <row r="1313">
          <cell r="F1313" t="str">
            <v>H0000012854</v>
          </cell>
          <cell r="I1313" t="str">
            <v>フレーム</v>
          </cell>
          <cell r="J1313" t="str">
            <v>SteelPlate_YX-83__W850,H1600,T3,250A,80A,80A,150A</v>
          </cell>
          <cell r="K1313" t="str">
            <v>鋼板_YX-83__W850,H1600,T3,250A,80A,80A,150A</v>
          </cell>
          <cell r="L1313" t="str">
            <v>SteelPlate</v>
          </cell>
          <cell r="M1313" t="str">
            <v>鋼板</v>
          </cell>
          <cell r="P1313">
            <v>3103</v>
          </cell>
          <cell r="Q1313" t="str">
            <v>SUS316</v>
          </cell>
          <cell r="R1313" t="str">
            <v>E385503_01</v>
          </cell>
          <cell r="S1313">
            <v>30</v>
          </cell>
          <cell r="T1313" t="str">
            <v>標準</v>
          </cell>
        </row>
        <row r="1314">
          <cell r="F1314" t="str">
            <v>H0000012855</v>
          </cell>
          <cell r="I1314" t="str">
            <v>フレーム</v>
          </cell>
          <cell r="J1314" t="str">
            <v>SteelPlate_YX-83__W850,H1600,T3,200A,80A,80A,200A</v>
          </cell>
          <cell r="K1314" t="str">
            <v>鋼板_YX-83__W850,H1600,T3,200A,80A,80A,200A</v>
          </cell>
          <cell r="L1314" t="str">
            <v>SteelPlate</v>
          </cell>
          <cell r="M1314" t="str">
            <v>鋼板</v>
          </cell>
          <cell r="P1314">
            <v>3103</v>
          </cell>
          <cell r="Q1314" t="str">
            <v>SUS316</v>
          </cell>
          <cell r="R1314" t="str">
            <v>E385503_01</v>
          </cell>
          <cell r="S1314">
            <v>31</v>
          </cell>
          <cell r="T1314" t="str">
            <v>標準</v>
          </cell>
        </row>
        <row r="1315">
          <cell r="F1315" t="str">
            <v>H0000012856</v>
          </cell>
          <cell r="I1315" t="str">
            <v>フレーム</v>
          </cell>
          <cell r="J1315" t="str">
            <v>SteelPlate_YX-83__W850,H1600,T3,200A,80A,80A,150A</v>
          </cell>
          <cell r="K1315" t="str">
            <v>鋼板_YX-83__W850,H1600,T3,200A,80A,80A,150A</v>
          </cell>
          <cell r="L1315" t="str">
            <v>SteelPlate</v>
          </cell>
          <cell r="M1315" t="str">
            <v>鋼板</v>
          </cell>
          <cell r="P1315">
            <v>3103</v>
          </cell>
          <cell r="Q1315" t="str">
            <v>SUS316</v>
          </cell>
          <cell r="R1315" t="str">
            <v>E385503_01</v>
          </cell>
          <cell r="S1315">
            <v>31</v>
          </cell>
          <cell r="T1315" t="str">
            <v>標準</v>
          </cell>
        </row>
        <row r="1316">
          <cell r="F1316" t="str">
            <v>H0000012857</v>
          </cell>
          <cell r="I1316" t="str">
            <v>フレーム</v>
          </cell>
          <cell r="J1316" t="str">
            <v>SteelPlate_YX-83__W850,H1600,T3,150A,80A,80A,150A</v>
          </cell>
          <cell r="K1316" t="str">
            <v>鋼板_YX-83__W850,H1600,T3,150A,80A,80A,150A</v>
          </cell>
          <cell r="L1316" t="str">
            <v>SteelPlate</v>
          </cell>
          <cell r="M1316" t="str">
            <v>鋼板</v>
          </cell>
          <cell r="P1316">
            <v>3103</v>
          </cell>
          <cell r="Q1316" t="str">
            <v>SUS316</v>
          </cell>
          <cell r="R1316" t="str">
            <v>E385503_01</v>
          </cell>
          <cell r="S1316">
            <v>31</v>
          </cell>
          <cell r="T1316" t="str">
            <v>標準</v>
          </cell>
        </row>
        <row r="1317">
          <cell r="F1317" t="str">
            <v>H0000012858</v>
          </cell>
          <cell r="I1317" t="str">
            <v>フレーム</v>
          </cell>
          <cell r="J1317" t="str">
            <v>SteelPlate_YX-83__W850,H1600,T3,150A,80A,80A,100A</v>
          </cell>
          <cell r="K1317" t="str">
            <v>鋼板_YX-83__W850,H1600,T3,150A,80A,80A,100A</v>
          </cell>
          <cell r="L1317" t="str">
            <v>SteelPlate</v>
          </cell>
          <cell r="M1317" t="str">
            <v>鋼板</v>
          </cell>
          <cell r="P1317">
            <v>3103</v>
          </cell>
          <cell r="Q1317" t="str">
            <v>SUS316</v>
          </cell>
          <cell r="R1317" t="str">
            <v>E385503_01</v>
          </cell>
          <cell r="S1317">
            <v>32</v>
          </cell>
          <cell r="T1317" t="str">
            <v>標準</v>
          </cell>
        </row>
        <row r="1318">
          <cell r="F1318" t="str">
            <v>H0000012859</v>
          </cell>
          <cell r="I1318" t="str">
            <v>フレーム</v>
          </cell>
          <cell r="J1318" t="str">
            <v>SteelPlate_YX-83__W850,H1600,T3,150A,80A,80A,80A</v>
          </cell>
          <cell r="K1318" t="str">
            <v>鋼板_YX-83__W850,H1600,T3,150A,80A,80A,80A</v>
          </cell>
          <cell r="L1318" t="str">
            <v>SteelPlate</v>
          </cell>
          <cell r="M1318" t="str">
            <v>鋼板</v>
          </cell>
          <cell r="P1318">
            <v>3103</v>
          </cell>
          <cell r="Q1318" t="str">
            <v>SUS316</v>
          </cell>
          <cell r="R1318" t="str">
            <v>E385503_01</v>
          </cell>
          <cell r="S1318">
            <v>32</v>
          </cell>
          <cell r="T1318" t="str">
            <v>標準</v>
          </cell>
        </row>
        <row r="1319">
          <cell r="F1319" t="str">
            <v>H0000012860</v>
          </cell>
          <cell r="I1319" t="str">
            <v>フレーム</v>
          </cell>
          <cell r="J1319" t="str">
            <v>SteelPlate_YX-83__W850,H1600,T3,350A,50A,50A,350A</v>
          </cell>
          <cell r="K1319" t="str">
            <v>鋼板_YX-83__W850,H1600,T3,350A,50A,50A,350A</v>
          </cell>
          <cell r="L1319" t="str">
            <v>SteelPlate</v>
          </cell>
          <cell r="M1319" t="str">
            <v>鋼板</v>
          </cell>
          <cell r="P1319">
            <v>3103</v>
          </cell>
          <cell r="Q1319" t="str">
            <v>SUS316</v>
          </cell>
          <cell r="R1319" t="str">
            <v>E385503_01</v>
          </cell>
          <cell r="S1319">
            <v>28</v>
          </cell>
          <cell r="T1319" t="str">
            <v>標準</v>
          </cell>
        </row>
        <row r="1320">
          <cell r="F1320" t="str">
            <v>H0000012861</v>
          </cell>
          <cell r="I1320" t="str">
            <v>フレーム</v>
          </cell>
          <cell r="J1320" t="str">
            <v>SteelPlate_YX-83__W850,H1600,T3,350A,50A,50A,300A</v>
          </cell>
          <cell r="K1320" t="str">
            <v>鋼板_YX-83__W850,H1600,T3,350A,50A,50A,300A</v>
          </cell>
          <cell r="L1320" t="str">
            <v>SteelPlate</v>
          </cell>
          <cell r="M1320" t="str">
            <v>鋼板</v>
          </cell>
          <cell r="P1320">
            <v>3103</v>
          </cell>
          <cell r="Q1320" t="str">
            <v>SUS316</v>
          </cell>
          <cell r="R1320" t="str">
            <v>E385503_01</v>
          </cell>
          <cell r="S1320">
            <v>28</v>
          </cell>
          <cell r="T1320" t="str">
            <v>標準</v>
          </cell>
        </row>
        <row r="1321">
          <cell r="F1321" t="str">
            <v>H0000012862</v>
          </cell>
          <cell r="I1321" t="str">
            <v>フレーム</v>
          </cell>
          <cell r="J1321" t="str">
            <v>SteelPlate_YX-83__W850,H1600,T3,350A,50A,50A,250A</v>
          </cell>
          <cell r="K1321" t="str">
            <v>鋼板_YX-83__W850,H1600,T3,350A,50A,50A,250A</v>
          </cell>
          <cell r="L1321" t="str">
            <v>SteelPlate</v>
          </cell>
          <cell r="M1321" t="str">
            <v>鋼板</v>
          </cell>
          <cell r="P1321">
            <v>3103</v>
          </cell>
          <cell r="Q1321" t="str">
            <v>SUS316</v>
          </cell>
          <cell r="R1321" t="str">
            <v>E385503_01</v>
          </cell>
          <cell r="S1321">
            <v>29</v>
          </cell>
          <cell r="T1321" t="str">
            <v>標準</v>
          </cell>
        </row>
        <row r="1322">
          <cell r="F1322" t="str">
            <v>H0000012863</v>
          </cell>
          <cell r="I1322" t="str">
            <v>フレーム</v>
          </cell>
          <cell r="J1322" t="str">
            <v>SteelPlate_YX-83__W850,H1600,T3,350,50A,50A,200A</v>
          </cell>
          <cell r="K1322" t="str">
            <v>鋼板_YX-83__W850,H1600,T3,350,50A,50A,200A</v>
          </cell>
          <cell r="L1322" t="str">
            <v>SteelPlate</v>
          </cell>
          <cell r="M1322" t="str">
            <v>鋼板</v>
          </cell>
          <cell r="P1322">
            <v>3103</v>
          </cell>
          <cell r="Q1322" t="str">
            <v>SUS316</v>
          </cell>
          <cell r="R1322" t="str">
            <v>E385503_01</v>
          </cell>
          <cell r="S1322">
            <v>29</v>
          </cell>
          <cell r="T1322" t="str">
            <v>標準</v>
          </cell>
        </row>
        <row r="1323">
          <cell r="F1323" t="str">
            <v>H0000012864</v>
          </cell>
          <cell r="I1323" t="str">
            <v>フレーム</v>
          </cell>
          <cell r="J1323" t="str">
            <v>SteelPlate_YX-83__W850,H1600,T3,350A,50A,50A,150A</v>
          </cell>
          <cell r="K1323" t="str">
            <v>鋼板_YX-83__W850,H1600,T3,350A,50A,50A,150A</v>
          </cell>
          <cell r="L1323" t="str">
            <v>SteelPlate</v>
          </cell>
          <cell r="M1323" t="str">
            <v>鋼板</v>
          </cell>
          <cell r="P1323">
            <v>3103</v>
          </cell>
          <cell r="Q1323" t="str">
            <v>SUS316</v>
          </cell>
          <cell r="R1323" t="str">
            <v>E385503_01</v>
          </cell>
          <cell r="S1323">
            <v>30</v>
          </cell>
          <cell r="T1323" t="str">
            <v>標準</v>
          </cell>
        </row>
        <row r="1324">
          <cell r="F1324" t="str">
            <v>H0000012865</v>
          </cell>
          <cell r="I1324" t="str">
            <v>フレーム</v>
          </cell>
          <cell r="J1324" t="str">
            <v>SteelPlate_YX-83__W850,H1600,T3,300A,50A,50A,300A</v>
          </cell>
          <cell r="K1324" t="str">
            <v>鋼板_YX-83__W850,H1600,T3,300A,50A,50A,300A</v>
          </cell>
          <cell r="L1324" t="str">
            <v>SteelPlate</v>
          </cell>
          <cell r="M1324" t="str">
            <v>鋼板</v>
          </cell>
          <cell r="P1324">
            <v>3103</v>
          </cell>
          <cell r="Q1324" t="str">
            <v>SUS316</v>
          </cell>
          <cell r="R1324" t="str">
            <v>E385503_01</v>
          </cell>
          <cell r="S1324">
            <v>29</v>
          </cell>
          <cell r="T1324" t="str">
            <v>標準</v>
          </cell>
        </row>
        <row r="1325">
          <cell r="F1325" t="str">
            <v>H0000012866</v>
          </cell>
          <cell r="I1325" t="str">
            <v>フレーム</v>
          </cell>
          <cell r="J1325" t="str">
            <v>SteelPlate_YX-83__W850,H1600,T3,300A,50A,50A,250A</v>
          </cell>
          <cell r="K1325" t="str">
            <v>鋼板_YX-83__W850,H1600,T3,300A,50A,50A,250A</v>
          </cell>
          <cell r="L1325" t="str">
            <v>SteelPlate</v>
          </cell>
          <cell r="M1325" t="str">
            <v>鋼板</v>
          </cell>
          <cell r="P1325">
            <v>3103</v>
          </cell>
          <cell r="Q1325" t="str">
            <v>SUS316</v>
          </cell>
          <cell r="R1325" t="str">
            <v>E385503_01</v>
          </cell>
          <cell r="S1325">
            <v>29</v>
          </cell>
          <cell r="T1325" t="str">
            <v>標準</v>
          </cell>
        </row>
        <row r="1326">
          <cell r="F1326" t="str">
            <v>H0000012867</v>
          </cell>
          <cell r="I1326" t="str">
            <v>フレーム</v>
          </cell>
          <cell r="J1326" t="str">
            <v>SteelPlate_YX-83__W850,H1600,T3,300A,50A,50A,200A</v>
          </cell>
          <cell r="K1326" t="str">
            <v>鋼板_YX-83__W850,H1600,T3,300A,50A,50A,200A</v>
          </cell>
          <cell r="L1326" t="str">
            <v>SteelPlate</v>
          </cell>
          <cell r="M1326" t="str">
            <v>鋼板</v>
          </cell>
          <cell r="P1326">
            <v>3103</v>
          </cell>
          <cell r="Q1326" t="str">
            <v>SUS316</v>
          </cell>
          <cell r="R1326" t="str">
            <v>E385503_01</v>
          </cell>
          <cell r="S1326">
            <v>30</v>
          </cell>
          <cell r="T1326" t="str">
            <v>標準</v>
          </cell>
        </row>
        <row r="1327">
          <cell r="F1327" t="str">
            <v>H0000012868</v>
          </cell>
          <cell r="I1327" t="str">
            <v>フレーム</v>
          </cell>
          <cell r="J1327" t="str">
            <v>SteelPlate_YX-83__W850,H1600,T3,300A,50A,50A,150A</v>
          </cell>
          <cell r="K1327" t="str">
            <v>鋼板_YX-83__W850,H1600,T3,300A,50A,50A,150A</v>
          </cell>
          <cell r="L1327" t="str">
            <v>SteelPlate</v>
          </cell>
          <cell r="M1327" t="str">
            <v>鋼板</v>
          </cell>
          <cell r="P1327">
            <v>3103</v>
          </cell>
          <cell r="Q1327" t="str">
            <v>SUS316</v>
          </cell>
          <cell r="R1327" t="str">
            <v>E385503_01</v>
          </cell>
          <cell r="S1327">
            <v>30</v>
          </cell>
          <cell r="T1327" t="str">
            <v>標準</v>
          </cell>
        </row>
        <row r="1328">
          <cell r="F1328" t="str">
            <v>H0000012869</v>
          </cell>
          <cell r="I1328" t="str">
            <v>フレーム</v>
          </cell>
          <cell r="J1328" t="str">
            <v>SteelPlate_YX-83__W850,H1600,T3,250A,50A,50A,250A</v>
          </cell>
          <cell r="K1328" t="str">
            <v>鋼板_YX-83__W850,H1600,T3,250A,50A,50A,250A</v>
          </cell>
          <cell r="L1328" t="str">
            <v>SteelPlate</v>
          </cell>
          <cell r="M1328" t="str">
            <v>鋼板</v>
          </cell>
          <cell r="P1328">
            <v>3103</v>
          </cell>
          <cell r="Q1328" t="str">
            <v>SUS316</v>
          </cell>
          <cell r="R1328" t="str">
            <v>E385503_01</v>
          </cell>
          <cell r="S1328">
            <v>30</v>
          </cell>
          <cell r="T1328" t="str">
            <v>標準</v>
          </cell>
        </row>
        <row r="1329">
          <cell r="F1329" t="str">
            <v>H0000012870</v>
          </cell>
          <cell r="I1329" t="str">
            <v>フレーム</v>
          </cell>
          <cell r="J1329" t="str">
            <v>SteelPlate_YX-83__W850,H1600,T3,250A,50A,50A,200A</v>
          </cell>
          <cell r="K1329" t="str">
            <v>鋼板_YX-83__W850,H1600,T3,250A,50A,50A,200A</v>
          </cell>
          <cell r="L1329" t="str">
            <v>SteelPlate</v>
          </cell>
          <cell r="M1329" t="str">
            <v>鋼板</v>
          </cell>
          <cell r="P1329">
            <v>3103</v>
          </cell>
          <cell r="Q1329" t="str">
            <v>SUS316</v>
          </cell>
          <cell r="R1329" t="str">
            <v>E385503_01</v>
          </cell>
          <cell r="S1329">
            <v>30</v>
          </cell>
          <cell r="T1329" t="str">
            <v>標準</v>
          </cell>
        </row>
        <row r="1330">
          <cell r="F1330" t="str">
            <v>H0000012871</v>
          </cell>
          <cell r="I1330" t="str">
            <v>フレーム</v>
          </cell>
          <cell r="J1330" t="str">
            <v>SteelPlate_YX-83__W850,H1600,T3,250A,50A,50A,150A</v>
          </cell>
          <cell r="K1330" t="str">
            <v>鋼板_YX-83__W850,H1600,T3,250A,50A,50A,150A</v>
          </cell>
          <cell r="L1330" t="str">
            <v>SteelPlate</v>
          </cell>
          <cell r="M1330" t="str">
            <v>鋼板</v>
          </cell>
          <cell r="P1330">
            <v>3103</v>
          </cell>
          <cell r="Q1330" t="str">
            <v>SUS316</v>
          </cell>
          <cell r="R1330" t="str">
            <v>E385503_01</v>
          </cell>
          <cell r="S1330">
            <v>31</v>
          </cell>
          <cell r="T1330" t="str">
            <v>標準</v>
          </cell>
        </row>
        <row r="1331">
          <cell r="F1331" t="str">
            <v>H0000012872</v>
          </cell>
          <cell r="I1331" t="str">
            <v>フレーム</v>
          </cell>
          <cell r="J1331" t="str">
            <v>SteelPlate_YX-83__W850,H1600,T3,200A,50A,50A,200A</v>
          </cell>
          <cell r="K1331" t="str">
            <v>鋼板_YX-83__W850,H1600,T3,200A,50A,50A,200A</v>
          </cell>
          <cell r="L1331" t="str">
            <v>SteelPlate</v>
          </cell>
          <cell r="M1331" t="str">
            <v>鋼板</v>
          </cell>
          <cell r="P1331">
            <v>3103</v>
          </cell>
          <cell r="Q1331" t="str">
            <v>SUS316</v>
          </cell>
          <cell r="R1331" t="str">
            <v>E385503_01</v>
          </cell>
          <cell r="S1331">
            <v>31</v>
          </cell>
          <cell r="T1331" t="str">
            <v>標準</v>
          </cell>
        </row>
        <row r="1332">
          <cell r="F1332" t="str">
            <v>H0000012873</v>
          </cell>
          <cell r="I1332" t="str">
            <v>フレーム</v>
          </cell>
          <cell r="J1332" t="str">
            <v>SteelPlate_YX-83__W850,H1600,T3,200A,50A,50A,150A</v>
          </cell>
          <cell r="K1332" t="str">
            <v>鋼板_YX-83__W850,H1600,T3,200A,50A,50A,150A</v>
          </cell>
          <cell r="L1332" t="str">
            <v>SteelPlate</v>
          </cell>
          <cell r="M1332" t="str">
            <v>鋼板</v>
          </cell>
          <cell r="P1332">
            <v>3103</v>
          </cell>
          <cell r="Q1332" t="str">
            <v>SUS316</v>
          </cell>
          <cell r="R1332" t="str">
            <v>E385503_01</v>
          </cell>
          <cell r="S1332">
            <v>31</v>
          </cell>
          <cell r="T1332" t="str">
            <v>標準</v>
          </cell>
        </row>
        <row r="1333">
          <cell r="F1333" t="str">
            <v>H0000012874</v>
          </cell>
          <cell r="I1333" t="str">
            <v>フレーム</v>
          </cell>
          <cell r="J1333" t="str">
            <v>SteelPlate_YX-83__W850,H1600,T3,150A,50A,50A,150A</v>
          </cell>
          <cell r="K1333" t="str">
            <v>鋼板_YX-83__W850,H1600,T3,150A,50A,50A,150A</v>
          </cell>
          <cell r="L1333" t="str">
            <v>SteelPlate</v>
          </cell>
          <cell r="M1333" t="str">
            <v>鋼板</v>
          </cell>
          <cell r="P1333">
            <v>3103</v>
          </cell>
          <cell r="Q1333" t="str">
            <v>SUS316</v>
          </cell>
          <cell r="R1333" t="str">
            <v>E385503_01</v>
          </cell>
          <cell r="S1333">
            <v>32</v>
          </cell>
          <cell r="T1333" t="str">
            <v>標準</v>
          </cell>
        </row>
        <row r="1334">
          <cell r="F1334" t="str">
            <v>H0000012875</v>
          </cell>
          <cell r="I1334" t="str">
            <v>フレーム</v>
          </cell>
          <cell r="J1334" t="str">
            <v>SteelPlate_YX-83__W850,H1600,T3,150A,50A,50A,100A</v>
          </cell>
          <cell r="K1334" t="str">
            <v>鋼板_YX-83__W850,H1600,T3,150A,50A,50A,100A</v>
          </cell>
          <cell r="L1334" t="str">
            <v>SteelPlate</v>
          </cell>
          <cell r="M1334" t="str">
            <v>鋼板</v>
          </cell>
          <cell r="P1334">
            <v>3103</v>
          </cell>
          <cell r="Q1334" t="str">
            <v>SUS316</v>
          </cell>
          <cell r="R1334" t="str">
            <v>E385503_01</v>
          </cell>
          <cell r="S1334">
            <v>32</v>
          </cell>
          <cell r="T1334" t="str">
            <v>標準</v>
          </cell>
        </row>
        <row r="1335">
          <cell r="F1335" t="str">
            <v>H0000012876</v>
          </cell>
          <cell r="I1335" t="str">
            <v>フレーム</v>
          </cell>
          <cell r="J1335" t="str">
            <v>SteelPlate_YX-83__W850,H1600,T3,150A,50A,50A,80A</v>
          </cell>
          <cell r="K1335" t="str">
            <v>鋼板_YX-83__W850,H1600,T3,150A,50A,50A,80A</v>
          </cell>
          <cell r="L1335" t="str">
            <v>SteelPlate</v>
          </cell>
          <cell r="M1335" t="str">
            <v>鋼板</v>
          </cell>
          <cell r="P1335">
            <v>3103</v>
          </cell>
          <cell r="Q1335" t="str">
            <v>SUS316</v>
          </cell>
          <cell r="R1335" t="str">
            <v>E385503_01</v>
          </cell>
          <cell r="S1335">
            <v>32</v>
          </cell>
          <cell r="T1335" t="str">
            <v>標準</v>
          </cell>
        </row>
        <row r="1336">
          <cell r="F1336" t="str">
            <v>H0000012877</v>
          </cell>
          <cell r="I1336" t="str">
            <v>フレーム</v>
          </cell>
          <cell r="J1336" t="str">
            <v>SteelPlate_YX-83__W850,H1600,T3,150A,150A</v>
          </cell>
          <cell r="K1336" t="str">
            <v>鋼板_YX-83__W850,H1600,T3,150A,150A</v>
          </cell>
          <cell r="L1336" t="str">
            <v>SteelPlate</v>
          </cell>
          <cell r="M1336" t="str">
            <v>鋼板</v>
          </cell>
          <cell r="P1336">
            <v>3101</v>
          </cell>
          <cell r="Q1336" t="str">
            <v>SUS304</v>
          </cell>
          <cell r="R1336" t="str">
            <v>E385504_01</v>
          </cell>
          <cell r="S1336">
            <v>19</v>
          </cell>
          <cell r="T1336" t="str">
            <v>標準</v>
          </cell>
        </row>
        <row r="1337">
          <cell r="F1337" t="str">
            <v>H0000012878</v>
          </cell>
          <cell r="I1337" t="str">
            <v>フレーム</v>
          </cell>
          <cell r="J1337" t="str">
            <v>SteelPlate_YX-83__W850,H1600,T3,125A,125A</v>
          </cell>
          <cell r="K1337" t="str">
            <v>鋼板_YX-83__W850,H1600,T3,125A,125A</v>
          </cell>
          <cell r="L1337" t="str">
            <v>SteelPlate</v>
          </cell>
          <cell r="M1337" t="str">
            <v>鋼板</v>
          </cell>
          <cell r="P1337">
            <v>3101</v>
          </cell>
          <cell r="Q1337" t="str">
            <v>SUS304</v>
          </cell>
          <cell r="R1337" t="str">
            <v>E385504_01</v>
          </cell>
          <cell r="S1337">
            <v>19</v>
          </cell>
          <cell r="T1337" t="str">
            <v>標準</v>
          </cell>
        </row>
        <row r="1338">
          <cell r="F1338" t="str">
            <v>H0000012879</v>
          </cell>
          <cell r="I1338" t="str">
            <v>フレーム</v>
          </cell>
          <cell r="J1338" t="str">
            <v>SteelPlate_YX-83__W850,H1600,T3,100A,100A</v>
          </cell>
          <cell r="K1338" t="str">
            <v>鋼板_YX-83__W850,H1600,T3,100A,100A</v>
          </cell>
          <cell r="L1338" t="str">
            <v>SteelPlate</v>
          </cell>
          <cell r="M1338" t="str">
            <v>鋼板</v>
          </cell>
          <cell r="P1338">
            <v>3101</v>
          </cell>
          <cell r="Q1338" t="str">
            <v>SUS304</v>
          </cell>
          <cell r="R1338" t="str">
            <v>E385504_01</v>
          </cell>
          <cell r="S1338">
            <v>19</v>
          </cell>
          <cell r="T1338" t="str">
            <v>標準</v>
          </cell>
        </row>
        <row r="1339">
          <cell r="F1339" t="str">
            <v>H0000012880</v>
          </cell>
          <cell r="I1339" t="str">
            <v>フレーム</v>
          </cell>
          <cell r="J1339" t="str">
            <v>SteelPlate_YX-83__W850,H1600,T3,80A,80A</v>
          </cell>
          <cell r="K1339" t="str">
            <v>鋼板_YX-83__W850,H1600,T3,80A,80A</v>
          </cell>
          <cell r="L1339" t="str">
            <v>SteelPlate</v>
          </cell>
          <cell r="M1339" t="str">
            <v>鋼板</v>
          </cell>
          <cell r="P1339">
            <v>3101</v>
          </cell>
          <cell r="Q1339" t="str">
            <v>SUS304</v>
          </cell>
          <cell r="R1339" t="str">
            <v>E385504_01</v>
          </cell>
          <cell r="S1339">
            <v>19</v>
          </cell>
          <cell r="T1339" t="str">
            <v>標準</v>
          </cell>
        </row>
        <row r="1340">
          <cell r="F1340" t="str">
            <v>H0000012881</v>
          </cell>
          <cell r="I1340" t="str">
            <v>フレーム</v>
          </cell>
          <cell r="J1340" t="str">
            <v>SteelPlate_YX-83__W850,H1600,T3,50A,50A</v>
          </cell>
          <cell r="K1340" t="str">
            <v>鋼板_YX-83__W850,H1600,T3,50A,50A</v>
          </cell>
          <cell r="L1340" t="str">
            <v>SteelPlate</v>
          </cell>
          <cell r="M1340" t="str">
            <v>鋼板</v>
          </cell>
          <cell r="P1340">
            <v>3101</v>
          </cell>
          <cell r="Q1340" t="str">
            <v>SUS304</v>
          </cell>
          <cell r="R1340" t="str">
            <v>E385504_01</v>
          </cell>
          <cell r="S1340">
            <v>20</v>
          </cell>
          <cell r="T1340" t="str">
            <v>標準</v>
          </cell>
        </row>
        <row r="1341">
          <cell r="F1341" t="str">
            <v>H0000012882</v>
          </cell>
          <cell r="I1341" t="str">
            <v>フレーム</v>
          </cell>
          <cell r="J1341" t="str">
            <v>SteelPlate_YX-83__W850,H1600,T3,150A,150A</v>
          </cell>
          <cell r="K1341" t="str">
            <v>鋼板_YX-83__W850,H1600,T3,150A,150A</v>
          </cell>
          <cell r="L1341" t="str">
            <v>SteelPlate</v>
          </cell>
          <cell r="M1341" t="str">
            <v>鋼板</v>
          </cell>
          <cell r="P1341">
            <v>3103</v>
          </cell>
          <cell r="Q1341" t="str">
            <v>SUS316</v>
          </cell>
          <cell r="R1341" t="str">
            <v>E385504_01</v>
          </cell>
          <cell r="S1341">
            <v>19</v>
          </cell>
          <cell r="T1341" t="str">
            <v>標準</v>
          </cell>
        </row>
        <row r="1342">
          <cell r="F1342" t="str">
            <v>H0000012883</v>
          </cell>
          <cell r="I1342" t="str">
            <v>フレーム</v>
          </cell>
          <cell r="J1342" t="str">
            <v>SteelPlate_YX-83__W850,H1600,T3,125A,125A</v>
          </cell>
          <cell r="K1342" t="str">
            <v>鋼板_YX-83__W850,H1600,T3,125A,125A</v>
          </cell>
          <cell r="L1342" t="str">
            <v>SteelPlate</v>
          </cell>
          <cell r="M1342" t="str">
            <v>鋼板</v>
          </cell>
          <cell r="P1342">
            <v>3103</v>
          </cell>
          <cell r="Q1342" t="str">
            <v>SUS316</v>
          </cell>
          <cell r="R1342" t="str">
            <v>E385504_01</v>
          </cell>
          <cell r="S1342">
            <v>19</v>
          </cell>
          <cell r="T1342" t="str">
            <v>標準</v>
          </cell>
        </row>
        <row r="1343">
          <cell r="F1343" t="str">
            <v>H0000012884</v>
          </cell>
          <cell r="I1343" t="str">
            <v>フレーム</v>
          </cell>
          <cell r="J1343" t="str">
            <v>SteelPlate_YX-83__W850,H1600,T3,100A,100A</v>
          </cell>
          <cell r="K1343" t="str">
            <v>鋼板_YX-83__W850,H1600,T3,100A,100A</v>
          </cell>
          <cell r="L1343" t="str">
            <v>SteelPlate</v>
          </cell>
          <cell r="M1343" t="str">
            <v>鋼板</v>
          </cell>
          <cell r="P1343">
            <v>3103</v>
          </cell>
          <cell r="Q1343" t="str">
            <v>SUS316</v>
          </cell>
          <cell r="R1343" t="str">
            <v>E385504_01</v>
          </cell>
          <cell r="S1343">
            <v>19</v>
          </cell>
          <cell r="T1343" t="str">
            <v>標準</v>
          </cell>
        </row>
        <row r="1344">
          <cell r="F1344" t="str">
            <v>H0000012885</v>
          </cell>
          <cell r="I1344" t="str">
            <v>フレーム</v>
          </cell>
          <cell r="J1344" t="str">
            <v>SteelPlate_YX-83__W850,H1600,T3,80A,80A</v>
          </cell>
          <cell r="K1344" t="str">
            <v>鋼板_YX-83__W850,H1600,T3,80A,80A</v>
          </cell>
          <cell r="L1344" t="str">
            <v>SteelPlate</v>
          </cell>
          <cell r="M1344" t="str">
            <v>鋼板</v>
          </cell>
          <cell r="P1344">
            <v>3103</v>
          </cell>
          <cell r="Q1344" t="str">
            <v>SUS316</v>
          </cell>
          <cell r="R1344" t="str">
            <v>E385504_01</v>
          </cell>
          <cell r="S1344">
            <v>19</v>
          </cell>
          <cell r="T1344" t="str">
            <v>標準</v>
          </cell>
        </row>
        <row r="1345">
          <cell r="F1345" t="str">
            <v>H0000012886</v>
          </cell>
          <cell r="I1345" t="str">
            <v>フレーム</v>
          </cell>
          <cell r="J1345" t="str">
            <v>SteelPlate_YX-83__W850,H1600,T3,50A,50A</v>
          </cell>
          <cell r="K1345" t="str">
            <v>鋼板_YX-83__W850,H1600,T3,50A,50A</v>
          </cell>
          <cell r="L1345" t="str">
            <v>SteelPlate</v>
          </cell>
          <cell r="M1345" t="str">
            <v>鋼板</v>
          </cell>
          <cell r="P1345">
            <v>3103</v>
          </cell>
          <cell r="Q1345" t="str">
            <v>SUS316</v>
          </cell>
          <cell r="R1345" t="str">
            <v>E385504_01</v>
          </cell>
          <cell r="S1345">
            <v>20</v>
          </cell>
          <cell r="T1345" t="str">
            <v>標準</v>
          </cell>
        </row>
        <row r="1346">
          <cell r="F1346" t="str">
            <v>H0000012887</v>
          </cell>
          <cell r="I1346" t="str">
            <v>フレーム</v>
          </cell>
          <cell r="J1346" t="str">
            <v>SteelPlate_YX-83__W585,H760,T3,350A</v>
          </cell>
          <cell r="K1346" t="str">
            <v>鋼板_YX-83__W585,H760,T3,350A</v>
          </cell>
          <cell r="L1346" t="str">
            <v>SteelPlate</v>
          </cell>
          <cell r="M1346" t="str">
            <v>鋼板</v>
          </cell>
          <cell r="P1346">
            <v>3132</v>
          </cell>
          <cell r="Q1346" t="str">
            <v>TP340</v>
          </cell>
          <cell r="R1346" t="str">
            <v>E385504_02</v>
          </cell>
          <cell r="S1346">
            <v>3</v>
          </cell>
          <cell r="T1346" t="str">
            <v>標準</v>
          </cell>
        </row>
        <row r="1347">
          <cell r="F1347" t="str">
            <v>H0000012888</v>
          </cell>
          <cell r="I1347" t="str">
            <v>フレーム</v>
          </cell>
          <cell r="J1347" t="str">
            <v>SteelPlate_YX-83__W585,H760,T3,300A</v>
          </cell>
          <cell r="K1347" t="str">
            <v>鋼板_YX-83__W585,H760,T3,300A</v>
          </cell>
          <cell r="L1347" t="str">
            <v>SteelPlate</v>
          </cell>
          <cell r="M1347" t="str">
            <v>鋼板</v>
          </cell>
          <cell r="P1347">
            <v>3132</v>
          </cell>
          <cell r="Q1347" t="str">
            <v>TP340</v>
          </cell>
          <cell r="R1347" t="str">
            <v>E385504_02</v>
          </cell>
          <cell r="S1347">
            <v>3</v>
          </cell>
          <cell r="T1347" t="str">
            <v>標準</v>
          </cell>
        </row>
        <row r="1348">
          <cell r="F1348" t="str">
            <v>H0000012889</v>
          </cell>
          <cell r="I1348" t="str">
            <v>フレーム</v>
          </cell>
          <cell r="J1348" t="str">
            <v>SteelPlate_YX-83__W585,H760,T3,250A</v>
          </cell>
          <cell r="K1348" t="str">
            <v>鋼板_YX-83__W585,H760,T3,250A</v>
          </cell>
          <cell r="L1348" t="str">
            <v>SteelPlate</v>
          </cell>
          <cell r="M1348" t="str">
            <v>鋼板</v>
          </cell>
          <cell r="P1348">
            <v>3132</v>
          </cell>
          <cell r="Q1348" t="str">
            <v>TP340</v>
          </cell>
          <cell r="R1348" t="str">
            <v>E385504_02</v>
          </cell>
          <cell r="S1348">
            <v>3</v>
          </cell>
          <cell r="T1348" t="str">
            <v>標準</v>
          </cell>
        </row>
        <row r="1349">
          <cell r="F1349" t="str">
            <v>H0000012890</v>
          </cell>
          <cell r="I1349" t="str">
            <v>フレーム</v>
          </cell>
          <cell r="J1349" t="str">
            <v>SteelPlate_YX-83__W585,H760,T3,200A</v>
          </cell>
          <cell r="K1349" t="str">
            <v>鋼板_YX-83__W585,H760,T3,200A</v>
          </cell>
          <cell r="L1349" t="str">
            <v>SteelPlate</v>
          </cell>
          <cell r="M1349" t="str">
            <v>鋼板</v>
          </cell>
          <cell r="P1349">
            <v>3132</v>
          </cell>
          <cell r="Q1349" t="str">
            <v>TP340</v>
          </cell>
          <cell r="R1349" t="str">
            <v>E385504_02</v>
          </cell>
          <cell r="S1349">
            <v>4</v>
          </cell>
          <cell r="T1349" t="str">
            <v>標準</v>
          </cell>
        </row>
        <row r="1350">
          <cell r="F1350" t="str">
            <v>H0000012891</v>
          </cell>
          <cell r="I1350" t="str">
            <v>フレーム</v>
          </cell>
          <cell r="J1350" t="str">
            <v>SteelPlate_YX-83__W585,H760,T3,150A</v>
          </cell>
          <cell r="K1350" t="str">
            <v>鋼板_YX-83__W585,H760,T3,150A</v>
          </cell>
          <cell r="L1350" t="str">
            <v>SteelPlate</v>
          </cell>
          <cell r="M1350" t="str">
            <v>鋼板</v>
          </cell>
          <cell r="P1350">
            <v>3132</v>
          </cell>
          <cell r="Q1350" t="str">
            <v>TP340</v>
          </cell>
          <cell r="R1350" t="str">
            <v>E385504_02</v>
          </cell>
          <cell r="S1350">
            <v>4</v>
          </cell>
          <cell r="T1350" t="str">
            <v>標準</v>
          </cell>
        </row>
        <row r="1351">
          <cell r="F1351" t="str">
            <v>H0000012892</v>
          </cell>
          <cell r="I1351" t="str">
            <v>フレーム</v>
          </cell>
          <cell r="J1351" t="str">
            <v>SteelPlate_YX-83__W850,H1600,T3,350A,350A</v>
          </cell>
          <cell r="K1351" t="str">
            <v>鋼板_YX-83__W850,H1600,T3,350A,350A</v>
          </cell>
          <cell r="L1351" t="str">
            <v>SteelPlate</v>
          </cell>
          <cell r="M1351" t="str">
            <v>鋼板</v>
          </cell>
          <cell r="P1351">
            <v>3101</v>
          </cell>
          <cell r="Q1351" t="str">
            <v>SUS304</v>
          </cell>
          <cell r="R1351" t="str">
            <v>E385505_01</v>
          </cell>
          <cell r="S1351">
            <v>24</v>
          </cell>
          <cell r="T1351" t="str">
            <v>標準</v>
          </cell>
        </row>
        <row r="1352">
          <cell r="F1352" t="str">
            <v>H0000012893</v>
          </cell>
          <cell r="I1352" t="str">
            <v>フレーム</v>
          </cell>
          <cell r="J1352" t="str">
            <v>SteelPlate_YX-83__W850,H1600,T3,350A,300A</v>
          </cell>
          <cell r="K1352" t="str">
            <v>鋼板_YX-83__W850,H1600,T3,350A,300A</v>
          </cell>
          <cell r="L1352" t="str">
            <v>SteelPlate</v>
          </cell>
          <cell r="M1352" t="str">
            <v>鋼板</v>
          </cell>
          <cell r="P1352">
            <v>3101</v>
          </cell>
          <cell r="Q1352" t="str">
            <v>SUS304</v>
          </cell>
          <cell r="R1352" t="str">
            <v>E385505_01</v>
          </cell>
          <cell r="S1352">
            <v>24</v>
          </cell>
          <cell r="T1352" t="str">
            <v>標準</v>
          </cell>
        </row>
        <row r="1353">
          <cell r="F1353" t="str">
            <v>H0000012894</v>
          </cell>
          <cell r="I1353" t="str">
            <v>フレーム</v>
          </cell>
          <cell r="J1353" t="str">
            <v>SteelPlate_YX-83__W850,H1600,T3,350A,250A</v>
          </cell>
          <cell r="K1353" t="str">
            <v>鋼板_YX-83__W850,H1600,T3,350A,250A</v>
          </cell>
          <cell r="L1353" t="str">
            <v>SteelPlate</v>
          </cell>
          <cell r="M1353" t="str">
            <v>鋼板</v>
          </cell>
          <cell r="P1353">
            <v>3101</v>
          </cell>
          <cell r="Q1353" t="str">
            <v>SUS304</v>
          </cell>
          <cell r="R1353" t="str">
            <v>E385505_01</v>
          </cell>
          <cell r="S1353">
            <v>25</v>
          </cell>
          <cell r="T1353" t="str">
            <v>標準</v>
          </cell>
        </row>
        <row r="1354">
          <cell r="F1354" t="str">
            <v>H0000012895</v>
          </cell>
          <cell r="I1354" t="str">
            <v>フレーム</v>
          </cell>
          <cell r="J1354" t="str">
            <v>SteelPlate_YX-83__W850,H1600,T3,350A,200A</v>
          </cell>
          <cell r="K1354" t="str">
            <v>鋼板_YX-83__W850,H1600,T3,350A,200A</v>
          </cell>
          <cell r="L1354" t="str">
            <v>SteelPlate</v>
          </cell>
          <cell r="M1354" t="str">
            <v>鋼板</v>
          </cell>
          <cell r="P1354">
            <v>3101</v>
          </cell>
          <cell r="Q1354" t="str">
            <v>SUS304</v>
          </cell>
          <cell r="R1354" t="str">
            <v>E385505_01</v>
          </cell>
          <cell r="S1354">
            <v>25</v>
          </cell>
          <cell r="T1354" t="str">
            <v>標準</v>
          </cell>
        </row>
        <row r="1355">
          <cell r="F1355" t="str">
            <v>H0000012896</v>
          </cell>
          <cell r="I1355" t="str">
            <v>フレーム</v>
          </cell>
          <cell r="J1355" t="str">
            <v>SteelPlate_YX-83__W850,H1600,T3,350A,150A</v>
          </cell>
          <cell r="K1355" t="str">
            <v>鋼板_YX-83__W850,H1600,T3,350A,150A</v>
          </cell>
          <cell r="L1355" t="str">
            <v>SteelPlate</v>
          </cell>
          <cell r="M1355" t="str">
            <v>鋼板</v>
          </cell>
          <cell r="P1355">
            <v>3101</v>
          </cell>
          <cell r="Q1355" t="str">
            <v>SUS304</v>
          </cell>
          <cell r="R1355" t="str">
            <v>E385505_01</v>
          </cell>
          <cell r="S1355">
            <v>26</v>
          </cell>
          <cell r="T1355" t="str">
            <v>標準</v>
          </cell>
        </row>
        <row r="1356">
          <cell r="F1356" t="str">
            <v>H0000012897</v>
          </cell>
          <cell r="I1356" t="str">
            <v>フレーム</v>
          </cell>
          <cell r="J1356" t="str">
            <v>SteelPlate_YX-83__W850,H1600,T3,300A,300A</v>
          </cell>
          <cell r="K1356" t="str">
            <v>鋼板_YX-83__W850,H1600,T3,300A,300A</v>
          </cell>
          <cell r="L1356" t="str">
            <v>SteelPlate</v>
          </cell>
          <cell r="M1356" t="str">
            <v>鋼板</v>
          </cell>
          <cell r="P1356">
            <v>3101</v>
          </cell>
          <cell r="Q1356" t="str">
            <v>SUS304</v>
          </cell>
          <cell r="R1356" t="str">
            <v>E385505_01</v>
          </cell>
          <cell r="S1356">
            <v>25</v>
          </cell>
          <cell r="T1356" t="str">
            <v>標準</v>
          </cell>
        </row>
        <row r="1357">
          <cell r="F1357" t="str">
            <v>H0000012898</v>
          </cell>
          <cell r="I1357" t="str">
            <v>フレーム</v>
          </cell>
          <cell r="J1357" t="str">
            <v>SteelPlate_YX-83__W850,H1600,T3,300A,250A</v>
          </cell>
          <cell r="K1357" t="str">
            <v>鋼板_YX-83__W850,H1600,T3,300A,250A</v>
          </cell>
          <cell r="L1357" t="str">
            <v>SteelPlate</v>
          </cell>
          <cell r="M1357" t="str">
            <v>鋼板</v>
          </cell>
          <cell r="P1357">
            <v>3101</v>
          </cell>
          <cell r="Q1357" t="str">
            <v>SUS304</v>
          </cell>
          <cell r="R1357" t="str">
            <v>E385505_01</v>
          </cell>
          <cell r="S1357">
            <v>25</v>
          </cell>
          <cell r="T1357" t="str">
            <v>標準</v>
          </cell>
        </row>
        <row r="1358">
          <cell r="F1358" t="str">
            <v>H0000012899</v>
          </cell>
          <cell r="I1358" t="str">
            <v>フレーム</v>
          </cell>
          <cell r="J1358" t="str">
            <v>SteelPlate_YX-83__W850,H1600,T3,300A,200A</v>
          </cell>
          <cell r="K1358" t="str">
            <v>鋼板_YX-83__W850,H1600,T3,300A,200A</v>
          </cell>
          <cell r="L1358" t="str">
            <v>SteelPlate</v>
          </cell>
          <cell r="M1358" t="str">
            <v>鋼板</v>
          </cell>
          <cell r="P1358">
            <v>3101</v>
          </cell>
          <cell r="Q1358" t="str">
            <v>SUS304</v>
          </cell>
          <cell r="R1358" t="str">
            <v>E385505_01</v>
          </cell>
          <cell r="S1358">
            <v>26</v>
          </cell>
          <cell r="T1358" t="str">
            <v>標準</v>
          </cell>
        </row>
        <row r="1359">
          <cell r="F1359" t="str">
            <v>H0000012900</v>
          </cell>
          <cell r="I1359" t="str">
            <v>フレーム</v>
          </cell>
          <cell r="J1359" t="str">
            <v>SteelPlate_YX-83__W850,H1600,T3,300A,150A</v>
          </cell>
          <cell r="K1359" t="str">
            <v>鋼板_YX-83__W850,H1600,T3,300A,150A</v>
          </cell>
          <cell r="L1359" t="str">
            <v>SteelPlate</v>
          </cell>
          <cell r="M1359" t="str">
            <v>鋼板</v>
          </cell>
          <cell r="P1359">
            <v>3101</v>
          </cell>
          <cell r="Q1359" t="str">
            <v>SUS304</v>
          </cell>
          <cell r="R1359" t="str">
            <v>E385505_01</v>
          </cell>
          <cell r="S1359">
            <v>26</v>
          </cell>
          <cell r="T1359" t="str">
            <v>標準</v>
          </cell>
        </row>
        <row r="1360">
          <cell r="F1360" t="str">
            <v>H0000012901</v>
          </cell>
          <cell r="I1360" t="str">
            <v>フレーム</v>
          </cell>
          <cell r="J1360" t="str">
            <v>SteelPlate_YX-83__W850,H1600,T3,250A,250A</v>
          </cell>
          <cell r="K1360" t="str">
            <v>鋼板_YX-83__W850,H1600,T3,250A,250A</v>
          </cell>
          <cell r="L1360" t="str">
            <v>SteelPlate</v>
          </cell>
          <cell r="M1360" t="str">
            <v>鋼板</v>
          </cell>
          <cell r="P1360">
            <v>3101</v>
          </cell>
          <cell r="Q1360" t="str">
            <v>SUS304</v>
          </cell>
          <cell r="R1360" t="str">
            <v>E385505_01</v>
          </cell>
          <cell r="S1360">
            <v>26</v>
          </cell>
          <cell r="T1360" t="str">
            <v>標準</v>
          </cell>
        </row>
        <row r="1361">
          <cell r="F1361" t="str">
            <v>H0000012902</v>
          </cell>
          <cell r="I1361" t="str">
            <v>フレーム</v>
          </cell>
          <cell r="J1361" t="str">
            <v>SteelPlate_YX-83__W850,H1600,T3,250A,200A</v>
          </cell>
          <cell r="K1361" t="str">
            <v>鋼板_YX-83__W850,H1600,T3,250A,200A</v>
          </cell>
          <cell r="L1361" t="str">
            <v>SteelPlate</v>
          </cell>
          <cell r="M1361" t="str">
            <v>鋼板</v>
          </cell>
          <cell r="P1361">
            <v>3101</v>
          </cell>
          <cell r="Q1361" t="str">
            <v>SUS304</v>
          </cell>
          <cell r="R1361" t="str">
            <v>E385505_01</v>
          </cell>
          <cell r="S1361">
            <v>26</v>
          </cell>
          <cell r="T1361" t="str">
            <v>標準</v>
          </cell>
        </row>
        <row r="1362">
          <cell r="F1362" t="str">
            <v>H0000012903</v>
          </cell>
          <cell r="I1362" t="str">
            <v>フレーム</v>
          </cell>
          <cell r="J1362" t="str">
            <v>SteelPlate_YX-83__W850,H1600,T3,250A,150A</v>
          </cell>
          <cell r="K1362" t="str">
            <v>鋼板_YX-83__W850,H1600,T3,250A,150A</v>
          </cell>
          <cell r="L1362" t="str">
            <v>SteelPlate</v>
          </cell>
          <cell r="M1362" t="str">
            <v>鋼板</v>
          </cell>
          <cell r="P1362">
            <v>3101</v>
          </cell>
          <cell r="Q1362" t="str">
            <v>SUS304</v>
          </cell>
          <cell r="R1362" t="str">
            <v>E385505_01</v>
          </cell>
          <cell r="S1362">
            <v>27</v>
          </cell>
          <cell r="T1362" t="str">
            <v>標準</v>
          </cell>
        </row>
        <row r="1363">
          <cell r="F1363" t="str">
            <v>H0000012904</v>
          </cell>
          <cell r="I1363" t="str">
            <v>フレーム</v>
          </cell>
          <cell r="J1363" t="str">
            <v>SteelPlate_YX-83__W850,H1600,T3,200A,200A</v>
          </cell>
          <cell r="K1363" t="str">
            <v>鋼板_YX-83__W850,H1600,T3,200A,200A</v>
          </cell>
          <cell r="L1363" t="str">
            <v>SteelPlate</v>
          </cell>
          <cell r="M1363" t="str">
            <v>鋼板</v>
          </cell>
          <cell r="P1363">
            <v>3101</v>
          </cell>
          <cell r="Q1363" t="str">
            <v>SUS304</v>
          </cell>
          <cell r="R1363" t="str">
            <v>E385505_01</v>
          </cell>
          <cell r="S1363">
            <v>27</v>
          </cell>
          <cell r="T1363" t="str">
            <v>標準</v>
          </cell>
        </row>
        <row r="1364">
          <cell r="F1364" t="str">
            <v>H0000012905</v>
          </cell>
          <cell r="I1364" t="str">
            <v>フレーム</v>
          </cell>
          <cell r="J1364" t="str">
            <v>SteelPlate_YX-83__W850,H1600,T3,200A,150A</v>
          </cell>
          <cell r="K1364" t="str">
            <v>鋼板_YX-83__W850,H1600,T3,200A,150A</v>
          </cell>
          <cell r="L1364" t="str">
            <v>SteelPlate</v>
          </cell>
          <cell r="M1364" t="str">
            <v>鋼板</v>
          </cell>
          <cell r="P1364">
            <v>3101</v>
          </cell>
          <cell r="Q1364" t="str">
            <v>SUS304</v>
          </cell>
          <cell r="R1364" t="str">
            <v>E385505_01</v>
          </cell>
          <cell r="S1364">
            <v>27</v>
          </cell>
          <cell r="T1364" t="str">
            <v>標準</v>
          </cell>
        </row>
        <row r="1365">
          <cell r="F1365" t="str">
            <v>H0000012906</v>
          </cell>
          <cell r="I1365" t="str">
            <v>フレーム</v>
          </cell>
          <cell r="J1365" t="str">
            <v>SteelPlate_YX-83__W850,H1600,T3,150A,150A</v>
          </cell>
          <cell r="K1365" t="str">
            <v>鋼板_YX-83__W850,H1600,T3,150A,150A</v>
          </cell>
          <cell r="L1365" t="str">
            <v>SteelPlate</v>
          </cell>
          <cell r="M1365" t="str">
            <v>鋼板</v>
          </cell>
          <cell r="P1365">
            <v>3101</v>
          </cell>
          <cell r="Q1365" t="str">
            <v>SUS304</v>
          </cell>
          <cell r="R1365" t="str">
            <v>E385505_01</v>
          </cell>
          <cell r="S1365">
            <v>28</v>
          </cell>
          <cell r="T1365" t="str">
            <v>標準</v>
          </cell>
        </row>
        <row r="1366">
          <cell r="F1366" t="str">
            <v>H0000012907</v>
          </cell>
          <cell r="I1366" t="str">
            <v>フレーム</v>
          </cell>
          <cell r="J1366" t="str">
            <v>SteelPlate_YX-83__W850,H1600,T3,150A,100A</v>
          </cell>
          <cell r="K1366" t="str">
            <v>鋼板_YX-83__W850,H1600,T3,150A,100A</v>
          </cell>
          <cell r="L1366" t="str">
            <v>SteelPlate</v>
          </cell>
          <cell r="M1366" t="str">
            <v>鋼板</v>
          </cell>
          <cell r="P1366">
            <v>3101</v>
          </cell>
          <cell r="Q1366" t="str">
            <v>SUS304</v>
          </cell>
          <cell r="R1366" t="str">
            <v>E385505_01</v>
          </cell>
          <cell r="S1366">
            <v>28</v>
          </cell>
          <cell r="T1366" t="str">
            <v>標準</v>
          </cell>
        </row>
        <row r="1367">
          <cell r="F1367" t="str">
            <v>H0000012908</v>
          </cell>
          <cell r="I1367" t="str">
            <v>フレーム</v>
          </cell>
          <cell r="J1367" t="str">
            <v>SteelPlate_YX-83__W850,H1600,T3,150A,80A</v>
          </cell>
          <cell r="K1367" t="str">
            <v>鋼板_YX-83__W850,H1600,T3,150A,80A</v>
          </cell>
          <cell r="L1367" t="str">
            <v>SteelPlate</v>
          </cell>
          <cell r="M1367" t="str">
            <v>鋼板</v>
          </cell>
          <cell r="P1367">
            <v>3101</v>
          </cell>
          <cell r="Q1367" t="str">
            <v>SUS304</v>
          </cell>
          <cell r="R1367" t="str">
            <v>E385505_01</v>
          </cell>
          <cell r="S1367">
            <v>28</v>
          </cell>
          <cell r="T1367" t="str">
            <v>標準</v>
          </cell>
        </row>
        <row r="1368">
          <cell r="F1368" t="str">
            <v>H0000012909</v>
          </cell>
          <cell r="I1368" t="str">
            <v>フレーム</v>
          </cell>
          <cell r="J1368" t="str">
            <v>SteelPlate_YX-83__W850,H1600,T3,350A,350A</v>
          </cell>
          <cell r="K1368" t="str">
            <v>鋼板_YX-83__W850,H1600,T3,350A,350A</v>
          </cell>
          <cell r="L1368" t="str">
            <v>SteelPlate</v>
          </cell>
          <cell r="M1368" t="str">
            <v>鋼板</v>
          </cell>
          <cell r="P1368">
            <v>3103</v>
          </cell>
          <cell r="Q1368" t="str">
            <v>SUS316</v>
          </cell>
          <cell r="R1368" t="str">
            <v>E385505_01</v>
          </cell>
          <cell r="S1368">
            <v>24</v>
          </cell>
          <cell r="T1368" t="str">
            <v>標準</v>
          </cell>
        </row>
        <row r="1369">
          <cell r="F1369" t="str">
            <v>H0000012910</v>
          </cell>
          <cell r="I1369" t="str">
            <v>フレーム</v>
          </cell>
          <cell r="J1369" t="str">
            <v>SteelPlate_YX-83__W850,H1600,T3,350A,300A</v>
          </cell>
          <cell r="K1369" t="str">
            <v>鋼板_YX-83__W850,H1600,T3,350A,300A</v>
          </cell>
          <cell r="L1369" t="str">
            <v>SteelPlate</v>
          </cell>
          <cell r="M1369" t="str">
            <v>鋼板</v>
          </cell>
          <cell r="P1369">
            <v>3103</v>
          </cell>
          <cell r="Q1369" t="str">
            <v>SUS316</v>
          </cell>
          <cell r="R1369" t="str">
            <v>E385505_01</v>
          </cell>
          <cell r="S1369">
            <v>24</v>
          </cell>
          <cell r="T1369" t="str">
            <v>標準</v>
          </cell>
        </row>
        <row r="1370">
          <cell r="F1370" t="str">
            <v>H0000012911</v>
          </cell>
          <cell r="I1370" t="str">
            <v>フレーム</v>
          </cell>
          <cell r="J1370" t="str">
            <v>SteelPlate_YX-83__W850,H1600,T3,350A,250A</v>
          </cell>
          <cell r="K1370" t="str">
            <v>鋼板_YX-83__W850,H1600,T3,350A,250A</v>
          </cell>
          <cell r="L1370" t="str">
            <v>SteelPlate</v>
          </cell>
          <cell r="M1370" t="str">
            <v>鋼板</v>
          </cell>
          <cell r="P1370">
            <v>3103</v>
          </cell>
          <cell r="Q1370" t="str">
            <v>SUS316</v>
          </cell>
          <cell r="R1370" t="str">
            <v>E385505_01</v>
          </cell>
          <cell r="S1370">
            <v>25</v>
          </cell>
          <cell r="T1370" t="str">
            <v>標準</v>
          </cell>
        </row>
        <row r="1371">
          <cell r="F1371" t="str">
            <v>H0000012912</v>
          </cell>
          <cell r="I1371" t="str">
            <v>フレーム</v>
          </cell>
          <cell r="J1371" t="str">
            <v>SteelPlate_YX-83__W850,H1600,T3,350A,200A</v>
          </cell>
          <cell r="K1371" t="str">
            <v>鋼板_YX-83__W850,H1600,T3,350A,200A</v>
          </cell>
          <cell r="L1371" t="str">
            <v>SteelPlate</v>
          </cell>
          <cell r="M1371" t="str">
            <v>鋼板</v>
          </cell>
          <cell r="P1371">
            <v>3103</v>
          </cell>
          <cell r="Q1371" t="str">
            <v>SUS316</v>
          </cell>
          <cell r="R1371" t="str">
            <v>E385505_01</v>
          </cell>
          <cell r="S1371">
            <v>25</v>
          </cell>
          <cell r="T1371" t="str">
            <v>標準</v>
          </cell>
        </row>
        <row r="1372">
          <cell r="F1372" t="str">
            <v>H0000012913</v>
          </cell>
          <cell r="I1372" t="str">
            <v>フレーム</v>
          </cell>
          <cell r="J1372" t="str">
            <v>SteelPlate_YX-83__W850,H1600,T3,350A,150A</v>
          </cell>
          <cell r="K1372" t="str">
            <v>鋼板_YX-83__W850,H1600,T3,350A,150A</v>
          </cell>
          <cell r="L1372" t="str">
            <v>SteelPlate</v>
          </cell>
          <cell r="M1372" t="str">
            <v>鋼板</v>
          </cell>
          <cell r="P1372">
            <v>3103</v>
          </cell>
          <cell r="Q1372" t="str">
            <v>SUS316</v>
          </cell>
          <cell r="R1372" t="str">
            <v>E385505_01</v>
          </cell>
          <cell r="S1372">
            <v>26</v>
          </cell>
          <cell r="T1372" t="str">
            <v>標準</v>
          </cell>
        </row>
        <row r="1373">
          <cell r="F1373" t="str">
            <v>H0000012914</v>
          </cell>
          <cell r="I1373" t="str">
            <v>フレーム</v>
          </cell>
          <cell r="J1373" t="str">
            <v>SteelPlate_YX-83__W850,H1600,T3,300A,300A</v>
          </cell>
          <cell r="K1373" t="str">
            <v>鋼板_YX-83__W850,H1600,T3,300A,300A</v>
          </cell>
          <cell r="L1373" t="str">
            <v>SteelPlate</v>
          </cell>
          <cell r="M1373" t="str">
            <v>鋼板</v>
          </cell>
          <cell r="P1373">
            <v>3103</v>
          </cell>
          <cell r="Q1373" t="str">
            <v>SUS316</v>
          </cell>
          <cell r="R1373" t="str">
            <v>E385505_01</v>
          </cell>
          <cell r="S1373">
            <v>25</v>
          </cell>
          <cell r="T1373" t="str">
            <v>標準</v>
          </cell>
        </row>
        <row r="1374">
          <cell r="F1374" t="str">
            <v>H0000012915</v>
          </cell>
          <cell r="I1374" t="str">
            <v>フレーム</v>
          </cell>
          <cell r="J1374" t="str">
            <v>SteelPlate_YX-83__W850,H1600,T3,300A,250A</v>
          </cell>
          <cell r="K1374" t="str">
            <v>鋼板_YX-83__W850,H1600,T3,300A,250A</v>
          </cell>
          <cell r="L1374" t="str">
            <v>SteelPlate</v>
          </cell>
          <cell r="M1374" t="str">
            <v>鋼板</v>
          </cell>
          <cell r="P1374">
            <v>3103</v>
          </cell>
          <cell r="Q1374" t="str">
            <v>SUS316</v>
          </cell>
          <cell r="R1374" t="str">
            <v>E385505_01</v>
          </cell>
          <cell r="S1374">
            <v>25</v>
          </cell>
          <cell r="T1374" t="str">
            <v>標準</v>
          </cell>
        </row>
        <row r="1375">
          <cell r="F1375" t="str">
            <v>H0000012916</v>
          </cell>
          <cell r="I1375" t="str">
            <v>フレーム</v>
          </cell>
          <cell r="J1375" t="str">
            <v>SteelPlate_YX-83__W850,H1600,T3,300A,200A</v>
          </cell>
          <cell r="K1375" t="str">
            <v>鋼板_YX-83__W850,H1600,T3,300A,200A</v>
          </cell>
          <cell r="L1375" t="str">
            <v>SteelPlate</v>
          </cell>
          <cell r="M1375" t="str">
            <v>鋼板</v>
          </cell>
          <cell r="P1375">
            <v>3103</v>
          </cell>
          <cell r="Q1375" t="str">
            <v>SUS316</v>
          </cell>
          <cell r="R1375" t="str">
            <v>E385505_01</v>
          </cell>
          <cell r="S1375">
            <v>26</v>
          </cell>
          <cell r="T1375" t="str">
            <v>標準</v>
          </cell>
        </row>
        <row r="1376">
          <cell r="F1376" t="str">
            <v>H0000012917</v>
          </cell>
          <cell r="I1376" t="str">
            <v>フレーム</v>
          </cell>
          <cell r="J1376" t="str">
            <v>SteelPlate_YX-83__W850,H1600,T3,300A,150A</v>
          </cell>
          <cell r="K1376" t="str">
            <v>鋼板_YX-83__W850,H1600,T3,300A,150A</v>
          </cell>
          <cell r="L1376" t="str">
            <v>SteelPlate</v>
          </cell>
          <cell r="M1376" t="str">
            <v>鋼板</v>
          </cell>
          <cell r="P1376">
            <v>3103</v>
          </cell>
          <cell r="Q1376" t="str">
            <v>SUS316</v>
          </cell>
          <cell r="R1376" t="str">
            <v>E385505_01</v>
          </cell>
          <cell r="S1376">
            <v>26</v>
          </cell>
          <cell r="T1376" t="str">
            <v>標準</v>
          </cell>
        </row>
        <row r="1377">
          <cell r="F1377" t="str">
            <v>H0000012918</v>
          </cell>
          <cell r="I1377" t="str">
            <v>フレーム</v>
          </cell>
          <cell r="J1377" t="str">
            <v>SteelPlate_YX-83__W850,H1600,T3,250A,250A</v>
          </cell>
          <cell r="K1377" t="str">
            <v>鋼板_YX-83__W850,H1600,T3,250A,250A</v>
          </cell>
          <cell r="L1377" t="str">
            <v>SteelPlate</v>
          </cell>
          <cell r="M1377" t="str">
            <v>鋼板</v>
          </cell>
          <cell r="P1377">
            <v>3103</v>
          </cell>
          <cell r="Q1377" t="str">
            <v>SUS316</v>
          </cell>
          <cell r="R1377" t="str">
            <v>E385505_01</v>
          </cell>
          <cell r="S1377">
            <v>26</v>
          </cell>
          <cell r="T1377" t="str">
            <v>標準</v>
          </cell>
        </row>
        <row r="1378">
          <cell r="F1378" t="str">
            <v>H0000012919</v>
          </cell>
          <cell r="I1378" t="str">
            <v>フレーム</v>
          </cell>
          <cell r="J1378" t="str">
            <v>SteelPlate_YX-83__W850,H1600,T3,250A,200A</v>
          </cell>
          <cell r="K1378" t="str">
            <v>鋼板_YX-83__W850,H1600,T3,250A,200A</v>
          </cell>
          <cell r="L1378" t="str">
            <v>SteelPlate</v>
          </cell>
          <cell r="M1378" t="str">
            <v>鋼板</v>
          </cell>
          <cell r="P1378">
            <v>3103</v>
          </cell>
          <cell r="Q1378" t="str">
            <v>SUS316</v>
          </cell>
          <cell r="R1378" t="str">
            <v>E385505_01</v>
          </cell>
          <cell r="S1378">
            <v>26</v>
          </cell>
          <cell r="T1378" t="str">
            <v>標準</v>
          </cell>
        </row>
        <row r="1379">
          <cell r="F1379" t="str">
            <v>H0000012920</v>
          </cell>
          <cell r="I1379" t="str">
            <v>フレーム</v>
          </cell>
          <cell r="J1379" t="str">
            <v>SteelPlate_YX-83__W850,H1600,T3,250A,150A</v>
          </cell>
          <cell r="K1379" t="str">
            <v>鋼板_YX-83__W850,H1600,T3,250A,150A</v>
          </cell>
          <cell r="L1379" t="str">
            <v>SteelPlate</v>
          </cell>
          <cell r="M1379" t="str">
            <v>鋼板</v>
          </cell>
          <cell r="P1379">
            <v>3103</v>
          </cell>
          <cell r="Q1379" t="str">
            <v>SUS316</v>
          </cell>
          <cell r="R1379" t="str">
            <v>E385505_01</v>
          </cell>
          <cell r="S1379">
            <v>27</v>
          </cell>
          <cell r="T1379" t="str">
            <v>標準</v>
          </cell>
        </row>
        <row r="1380">
          <cell r="F1380" t="str">
            <v>H0000012921</v>
          </cell>
          <cell r="I1380" t="str">
            <v>フレーム</v>
          </cell>
          <cell r="J1380" t="str">
            <v>SteelPlate_YX-83__W850,H1600,T3,200A,200A</v>
          </cell>
          <cell r="K1380" t="str">
            <v>鋼板_YX-83__W850,H1600,T3,200A,200A</v>
          </cell>
          <cell r="L1380" t="str">
            <v>SteelPlate</v>
          </cell>
          <cell r="M1380" t="str">
            <v>鋼板</v>
          </cell>
          <cell r="P1380">
            <v>3103</v>
          </cell>
          <cell r="Q1380" t="str">
            <v>SUS316</v>
          </cell>
          <cell r="R1380" t="str">
            <v>E385505_01</v>
          </cell>
          <cell r="S1380">
            <v>27</v>
          </cell>
          <cell r="T1380" t="str">
            <v>標準</v>
          </cell>
        </row>
        <row r="1381">
          <cell r="F1381" t="str">
            <v>H0000012922</v>
          </cell>
          <cell r="I1381" t="str">
            <v>フレーム</v>
          </cell>
          <cell r="J1381" t="str">
            <v>SteelPlate_YX-83__W850,H1600,T3,200A,150A</v>
          </cell>
          <cell r="K1381" t="str">
            <v>鋼板_YX-83__W850,H1600,T3,200A,150A</v>
          </cell>
          <cell r="L1381" t="str">
            <v>SteelPlate</v>
          </cell>
          <cell r="M1381" t="str">
            <v>鋼板</v>
          </cell>
          <cell r="P1381">
            <v>3103</v>
          </cell>
          <cell r="Q1381" t="str">
            <v>SUS316</v>
          </cell>
          <cell r="R1381" t="str">
            <v>E385505_01</v>
          </cell>
          <cell r="S1381">
            <v>27</v>
          </cell>
          <cell r="T1381" t="str">
            <v>標準</v>
          </cell>
        </row>
        <row r="1382">
          <cell r="F1382" t="str">
            <v>H0000012923</v>
          </cell>
          <cell r="I1382" t="str">
            <v>フレーム</v>
          </cell>
          <cell r="J1382" t="str">
            <v>SteelPlate_YX-83__W850,H1600,T3,150A,150A</v>
          </cell>
          <cell r="K1382" t="str">
            <v>鋼板_YX-83__W850,H1600,T3,150A,150A</v>
          </cell>
          <cell r="L1382" t="str">
            <v>SteelPlate</v>
          </cell>
          <cell r="M1382" t="str">
            <v>鋼板</v>
          </cell>
          <cell r="P1382">
            <v>3103</v>
          </cell>
          <cell r="Q1382" t="str">
            <v>SUS316</v>
          </cell>
          <cell r="R1382" t="str">
            <v>E385505_01</v>
          </cell>
          <cell r="S1382">
            <v>28</v>
          </cell>
          <cell r="T1382" t="str">
            <v>標準</v>
          </cell>
        </row>
        <row r="1383">
          <cell r="F1383" t="str">
            <v>H0000012924</v>
          </cell>
          <cell r="I1383" t="str">
            <v>フレーム</v>
          </cell>
          <cell r="J1383" t="str">
            <v>SteelPlate_YX-83__W850,H1600,T3,150A,100A</v>
          </cell>
          <cell r="K1383" t="str">
            <v>鋼板_YX-83__W850,H1600,T3,150A,100A</v>
          </cell>
          <cell r="L1383" t="str">
            <v>SteelPlate</v>
          </cell>
          <cell r="M1383" t="str">
            <v>鋼板</v>
          </cell>
          <cell r="P1383">
            <v>3103</v>
          </cell>
          <cell r="Q1383" t="str">
            <v>SUS316</v>
          </cell>
          <cell r="R1383" t="str">
            <v>E385505_01</v>
          </cell>
          <cell r="S1383">
            <v>28</v>
          </cell>
          <cell r="T1383" t="str">
            <v>標準</v>
          </cell>
        </row>
        <row r="1384">
          <cell r="F1384" t="str">
            <v>H0000012925</v>
          </cell>
          <cell r="I1384" t="str">
            <v>フレーム</v>
          </cell>
          <cell r="J1384" t="str">
            <v>SteelPlate_YX-83__W850,H1600,T3,150A,80A</v>
          </cell>
          <cell r="K1384" t="str">
            <v>鋼板_YX-83__W850,H1600,T3,150A,80A</v>
          </cell>
          <cell r="L1384" t="str">
            <v>SteelPlate</v>
          </cell>
          <cell r="M1384" t="str">
            <v>鋼板</v>
          </cell>
          <cell r="P1384">
            <v>3103</v>
          </cell>
          <cell r="Q1384" t="str">
            <v>SUS316</v>
          </cell>
          <cell r="R1384" t="str">
            <v>E385505_01</v>
          </cell>
          <cell r="S1384">
            <v>28</v>
          </cell>
          <cell r="T1384" t="str">
            <v>標準</v>
          </cell>
        </row>
        <row r="1385">
          <cell r="F1385" t="str">
            <v>H0000012926</v>
          </cell>
          <cell r="I1385" t="str">
            <v>フレーム</v>
          </cell>
          <cell r="J1385" t="str">
            <v>SteelPlate_YX-83__W259,H434,T3,150A</v>
          </cell>
          <cell r="K1385" t="str">
            <v>鋼板_YX-83__W259,H434,T3,150A</v>
          </cell>
          <cell r="L1385" t="str">
            <v>SteelPlate</v>
          </cell>
          <cell r="M1385" t="str">
            <v>鋼板</v>
          </cell>
          <cell r="P1385">
            <v>3132</v>
          </cell>
          <cell r="Q1385" t="str">
            <v>TP340</v>
          </cell>
          <cell r="R1385" t="str">
            <v>E385505_02</v>
          </cell>
          <cell r="S1385">
            <v>1</v>
          </cell>
          <cell r="T1385" t="str">
            <v>標準</v>
          </cell>
        </row>
        <row r="1386">
          <cell r="F1386" t="str">
            <v>H0000012927</v>
          </cell>
          <cell r="I1386" t="str">
            <v>フレーム</v>
          </cell>
          <cell r="J1386" t="str">
            <v>SteelPlate_YX-83__W259,H434,T3,125A</v>
          </cell>
          <cell r="K1386" t="str">
            <v>鋼板_YX-83__W259,H434,T3,125A</v>
          </cell>
          <cell r="L1386" t="str">
            <v>SteelPlate</v>
          </cell>
          <cell r="M1386" t="str">
            <v>鋼板</v>
          </cell>
          <cell r="P1386">
            <v>3132</v>
          </cell>
          <cell r="Q1386" t="str">
            <v>TP340</v>
          </cell>
          <cell r="R1386" t="str">
            <v>E385505_02</v>
          </cell>
          <cell r="S1386">
            <v>1</v>
          </cell>
          <cell r="T1386" t="str">
            <v>標準</v>
          </cell>
        </row>
        <row r="1387">
          <cell r="F1387" t="str">
            <v>H0000012928</v>
          </cell>
          <cell r="I1387" t="str">
            <v>フレーム</v>
          </cell>
          <cell r="J1387" t="str">
            <v>SteelPlate_YX-83__W259,H434,T3,100A</v>
          </cell>
          <cell r="K1387" t="str">
            <v>鋼板_YX-83__W259,H434,T3,100A</v>
          </cell>
          <cell r="L1387" t="str">
            <v>SteelPlate</v>
          </cell>
          <cell r="M1387" t="str">
            <v>鋼板</v>
          </cell>
          <cell r="P1387">
            <v>3132</v>
          </cell>
          <cell r="Q1387" t="str">
            <v>TP340</v>
          </cell>
          <cell r="R1387" t="str">
            <v>E385505_02</v>
          </cell>
          <cell r="S1387">
            <v>1</v>
          </cell>
          <cell r="T1387" t="str">
            <v>標準</v>
          </cell>
        </row>
        <row r="1388">
          <cell r="F1388" t="str">
            <v>H0000012929</v>
          </cell>
          <cell r="I1388" t="str">
            <v>フレーム</v>
          </cell>
          <cell r="J1388" t="str">
            <v>SteelPlate_YX-83__W259,H434,T3,80A</v>
          </cell>
          <cell r="K1388" t="str">
            <v>鋼板_YX-83__W259,H434,T3,80A</v>
          </cell>
          <cell r="L1388" t="str">
            <v>SteelPlate</v>
          </cell>
          <cell r="M1388" t="str">
            <v>鋼板</v>
          </cell>
          <cell r="P1388">
            <v>3132</v>
          </cell>
          <cell r="Q1388" t="str">
            <v>TP340</v>
          </cell>
          <cell r="R1388" t="str">
            <v>E385505_02</v>
          </cell>
          <cell r="S1388">
            <v>1</v>
          </cell>
          <cell r="T1388" t="str">
            <v>標準</v>
          </cell>
        </row>
        <row r="1389">
          <cell r="F1389" t="str">
            <v>H0000012930</v>
          </cell>
          <cell r="I1389" t="str">
            <v>フレーム</v>
          </cell>
          <cell r="J1389" t="str">
            <v>SteelPlate_YX-83__W259,H434,T3,50A</v>
          </cell>
          <cell r="K1389" t="str">
            <v>鋼板_YX-83__W259,H434,T3,50A</v>
          </cell>
          <cell r="L1389" t="str">
            <v>SteelPlate</v>
          </cell>
          <cell r="M1389" t="str">
            <v>鋼板</v>
          </cell>
          <cell r="P1389">
            <v>3132</v>
          </cell>
          <cell r="Q1389" t="str">
            <v>TP340</v>
          </cell>
          <cell r="R1389" t="str">
            <v>E385505_02</v>
          </cell>
          <cell r="S1389">
            <v>2</v>
          </cell>
          <cell r="T1389" t="str">
            <v>標準</v>
          </cell>
        </row>
        <row r="1390">
          <cell r="F1390" t="str">
            <v>H0000012931</v>
          </cell>
          <cell r="I1390" t="str">
            <v>フレーム</v>
          </cell>
          <cell r="J1390" t="str">
            <v>SteelPlate_YX-83__W850,H760,T3,350A,150A</v>
          </cell>
          <cell r="K1390" t="str">
            <v>鋼板_YX-83__W850,H760,T3,350A,150A</v>
          </cell>
          <cell r="L1390" t="str">
            <v>SteelPlate</v>
          </cell>
          <cell r="M1390" t="str">
            <v>鋼板</v>
          </cell>
          <cell r="P1390">
            <v>3132</v>
          </cell>
          <cell r="Q1390" t="str">
            <v>TP340</v>
          </cell>
          <cell r="R1390" t="str">
            <v>E385506_01</v>
          </cell>
          <cell r="S1390">
            <v>4</v>
          </cell>
          <cell r="T1390" t="str">
            <v>標準</v>
          </cell>
        </row>
        <row r="1391">
          <cell r="F1391" t="str">
            <v>H0000012932</v>
          </cell>
          <cell r="I1391" t="str">
            <v>フレーム</v>
          </cell>
          <cell r="J1391" t="str">
            <v>SteelPlate_YX-83__W850,H760,T3,350A,125A</v>
          </cell>
          <cell r="K1391" t="str">
            <v>鋼板_YX-83__W850,H760,T3,350A,125A</v>
          </cell>
          <cell r="L1391" t="str">
            <v>SteelPlate</v>
          </cell>
          <cell r="M1391" t="str">
            <v>鋼板</v>
          </cell>
          <cell r="P1391">
            <v>3132</v>
          </cell>
          <cell r="Q1391" t="str">
            <v>TP340</v>
          </cell>
          <cell r="R1391" t="str">
            <v>E385506_01</v>
          </cell>
          <cell r="S1391">
            <v>4</v>
          </cell>
          <cell r="T1391" t="str">
            <v>標準</v>
          </cell>
        </row>
        <row r="1392">
          <cell r="F1392" t="str">
            <v>H0000012933</v>
          </cell>
          <cell r="I1392" t="str">
            <v>フレーム</v>
          </cell>
          <cell r="J1392" t="str">
            <v>SteelPlate_YX-83__W850,H760,T3,350A,100A</v>
          </cell>
          <cell r="K1392" t="str">
            <v>鋼板_YX-83__W850,H760,T3,350A,100A</v>
          </cell>
          <cell r="L1392" t="str">
            <v>SteelPlate</v>
          </cell>
          <cell r="M1392" t="str">
            <v>鋼板</v>
          </cell>
          <cell r="P1392">
            <v>3132</v>
          </cell>
          <cell r="Q1392" t="str">
            <v>TP340</v>
          </cell>
          <cell r="R1392" t="str">
            <v>E385506_01</v>
          </cell>
          <cell r="S1392">
            <v>4</v>
          </cell>
          <cell r="T1392" t="str">
            <v>標準</v>
          </cell>
        </row>
        <row r="1393">
          <cell r="F1393" t="str">
            <v>H0000012934</v>
          </cell>
          <cell r="I1393" t="str">
            <v>フレーム</v>
          </cell>
          <cell r="J1393" t="str">
            <v>SteelPlate_YX-83__W850,H760,T3,350A,80A</v>
          </cell>
          <cell r="K1393" t="str">
            <v>鋼板_YX-83__W850,H760,T3,350A,80A</v>
          </cell>
          <cell r="L1393" t="str">
            <v>SteelPlate</v>
          </cell>
          <cell r="M1393" t="str">
            <v>鋼板</v>
          </cell>
          <cell r="P1393">
            <v>3132</v>
          </cell>
          <cell r="Q1393" t="str">
            <v>TP340</v>
          </cell>
          <cell r="R1393" t="str">
            <v>E385506_01</v>
          </cell>
          <cell r="S1393">
            <v>4</v>
          </cell>
          <cell r="T1393" t="str">
            <v>標準</v>
          </cell>
        </row>
        <row r="1394">
          <cell r="F1394" t="str">
            <v>H0000012935</v>
          </cell>
          <cell r="I1394" t="str">
            <v>フレーム</v>
          </cell>
          <cell r="J1394" t="str">
            <v>SteelPlate_YX-83__W850,H760,T3,350A,50A</v>
          </cell>
          <cell r="K1394" t="str">
            <v>鋼板_YX-83__W850,H760,T3,350A,50A</v>
          </cell>
          <cell r="L1394" t="str">
            <v>SteelPlate</v>
          </cell>
          <cell r="M1394" t="str">
            <v>鋼板</v>
          </cell>
          <cell r="P1394">
            <v>3132</v>
          </cell>
          <cell r="Q1394" t="str">
            <v>TP340</v>
          </cell>
          <cell r="R1394" t="str">
            <v>E385506_01</v>
          </cell>
          <cell r="S1394">
            <v>4</v>
          </cell>
          <cell r="T1394" t="str">
            <v>標準</v>
          </cell>
        </row>
        <row r="1395">
          <cell r="F1395" t="str">
            <v>H0000012936</v>
          </cell>
          <cell r="I1395" t="str">
            <v>フレーム</v>
          </cell>
          <cell r="J1395" t="str">
            <v>SteelPlate_YX-83__W850,H760,T3,300A,150A</v>
          </cell>
          <cell r="K1395" t="str">
            <v>鋼板_YX-83__W850,H760,T3,300A,150A</v>
          </cell>
          <cell r="L1395" t="str">
            <v>SteelPlate</v>
          </cell>
          <cell r="M1395" t="str">
            <v>鋼板</v>
          </cell>
          <cell r="P1395">
            <v>3132</v>
          </cell>
          <cell r="Q1395" t="str">
            <v>TP340</v>
          </cell>
          <cell r="R1395" t="str">
            <v>E385506_01</v>
          </cell>
          <cell r="S1395">
            <v>4</v>
          </cell>
          <cell r="T1395" t="str">
            <v>標準</v>
          </cell>
        </row>
        <row r="1396">
          <cell r="F1396" t="str">
            <v>H0000012937</v>
          </cell>
          <cell r="I1396" t="str">
            <v>フレーム</v>
          </cell>
          <cell r="J1396" t="str">
            <v>SteelPlate_YX-83__W850,H760,T3,300A,125A</v>
          </cell>
          <cell r="K1396" t="str">
            <v>鋼板_YX-83__W850,H760,T3,300A,125A</v>
          </cell>
          <cell r="L1396" t="str">
            <v>SteelPlate</v>
          </cell>
          <cell r="M1396" t="str">
            <v>鋼板</v>
          </cell>
          <cell r="P1396">
            <v>3132</v>
          </cell>
          <cell r="Q1396" t="str">
            <v>TP340</v>
          </cell>
          <cell r="R1396" t="str">
            <v>E385506_01</v>
          </cell>
          <cell r="S1396">
            <v>4</v>
          </cell>
          <cell r="T1396" t="str">
            <v>標準</v>
          </cell>
        </row>
        <row r="1397">
          <cell r="F1397" t="str">
            <v>H0000012938</v>
          </cell>
          <cell r="I1397" t="str">
            <v>フレーム</v>
          </cell>
          <cell r="J1397" t="str">
            <v>SteelPlate_YX-83__W850,H760,T3,300A,100A</v>
          </cell>
          <cell r="K1397" t="str">
            <v>鋼板_YX-83__W850,H760,T3,300A,100A</v>
          </cell>
          <cell r="L1397" t="str">
            <v>SteelPlate</v>
          </cell>
          <cell r="M1397" t="str">
            <v>鋼板</v>
          </cell>
          <cell r="P1397">
            <v>3132</v>
          </cell>
          <cell r="Q1397" t="str">
            <v>TP340</v>
          </cell>
          <cell r="R1397" t="str">
            <v>E385506_01</v>
          </cell>
          <cell r="S1397">
            <v>4</v>
          </cell>
          <cell r="T1397" t="str">
            <v>標準</v>
          </cell>
        </row>
        <row r="1398">
          <cell r="F1398" t="str">
            <v>H0000012939</v>
          </cell>
          <cell r="I1398" t="str">
            <v>フレーム</v>
          </cell>
          <cell r="J1398" t="str">
            <v>SteelPlate_YX-83__W850,H760,T3,300A,80A</v>
          </cell>
          <cell r="K1398" t="str">
            <v>鋼板_YX-83__W850,H760,T3,300A,80A</v>
          </cell>
          <cell r="L1398" t="str">
            <v>SteelPlate</v>
          </cell>
          <cell r="M1398" t="str">
            <v>鋼板</v>
          </cell>
          <cell r="P1398">
            <v>3132</v>
          </cell>
          <cell r="Q1398" t="str">
            <v>TP340</v>
          </cell>
          <cell r="R1398" t="str">
            <v>E385506_01</v>
          </cell>
          <cell r="S1398">
            <v>4</v>
          </cell>
          <cell r="T1398" t="str">
            <v>標準</v>
          </cell>
        </row>
        <row r="1399">
          <cell r="F1399" t="str">
            <v>H0000012940</v>
          </cell>
          <cell r="I1399" t="str">
            <v>フレーム</v>
          </cell>
          <cell r="J1399" t="str">
            <v>SteelPlate_YX-83__W850,H760,T3,300A,50A</v>
          </cell>
          <cell r="K1399" t="str">
            <v>鋼板_YX-83__W850,H760,T3,300A,50A</v>
          </cell>
          <cell r="L1399" t="str">
            <v>SteelPlate</v>
          </cell>
          <cell r="M1399" t="str">
            <v>鋼板</v>
          </cell>
          <cell r="P1399">
            <v>3132</v>
          </cell>
          <cell r="Q1399" t="str">
            <v>TP340</v>
          </cell>
          <cell r="R1399" t="str">
            <v>E385506_01</v>
          </cell>
          <cell r="S1399">
            <v>4</v>
          </cell>
          <cell r="T1399" t="str">
            <v>標準</v>
          </cell>
        </row>
        <row r="1400">
          <cell r="F1400" t="str">
            <v>H0000012941</v>
          </cell>
          <cell r="I1400" t="str">
            <v>フレーム</v>
          </cell>
          <cell r="J1400" t="str">
            <v>SteelPlate_YX-83__W850,H760,T3,250A,150A</v>
          </cell>
          <cell r="K1400" t="str">
            <v>鋼板_YX-83__W850,H760,T3,250A,150A</v>
          </cell>
          <cell r="L1400" t="str">
            <v>SteelPlate</v>
          </cell>
          <cell r="M1400" t="str">
            <v>鋼板</v>
          </cell>
          <cell r="P1400">
            <v>3132</v>
          </cell>
          <cell r="Q1400" t="str">
            <v>TP340</v>
          </cell>
          <cell r="R1400" t="str">
            <v>E385506_01</v>
          </cell>
          <cell r="S1400">
            <v>4</v>
          </cell>
          <cell r="T1400" t="str">
            <v>標準</v>
          </cell>
        </row>
        <row r="1401">
          <cell r="F1401" t="str">
            <v>H0000012942</v>
          </cell>
          <cell r="I1401" t="str">
            <v>フレーム</v>
          </cell>
          <cell r="J1401" t="str">
            <v>SteelPlate_YX-83__W850,H760,T3,250A,125A</v>
          </cell>
          <cell r="K1401" t="str">
            <v>鋼板_YX-83__W850,H760,T3,250A,125A</v>
          </cell>
          <cell r="L1401" t="str">
            <v>SteelPlate</v>
          </cell>
          <cell r="M1401" t="str">
            <v>鋼板</v>
          </cell>
          <cell r="P1401">
            <v>3132</v>
          </cell>
          <cell r="Q1401" t="str">
            <v>TP340</v>
          </cell>
          <cell r="R1401" t="str">
            <v>E385506_01</v>
          </cell>
          <cell r="S1401">
            <v>4</v>
          </cell>
          <cell r="T1401" t="str">
            <v>標準</v>
          </cell>
        </row>
        <row r="1402">
          <cell r="F1402" t="str">
            <v>H0000012943</v>
          </cell>
          <cell r="I1402" t="str">
            <v>フレーム</v>
          </cell>
          <cell r="J1402" t="str">
            <v>SteelPlate_YX-83__W850,H760,T3,250A,100A</v>
          </cell>
          <cell r="K1402" t="str">
            <v>鋼板_YX-83__W850,H760,T3,250A,100A</v>
          </cell>
          <cell r="L1402" t="str">
            <v>SteelPlate</v>
          </cell>
          <cell r="M1402" t="str">
            <v>鋼板</v>
          </cell>
          <cell r="P1402">
            <v>3132</v>
          </cell>
          <cell r="Q1402" t="str">
            <v>TP340</v>
          </cell>
          <cell r="R1402" t="str">
            <v>E385506_01</v>
          </cell>
          <cell r="S1402">
            <v>4</v>
          </cell>
          <cell r="T1402" t="str">
            <v>標準</v>
          </cell>
        </row>
        <row r="1403">
          <cell r="F1403" t="str">
            <v>H0000012944</v>
          </cell>
          <cell r="I1403" t="str">
            <v>フレーム</v>
          </cell>
          <cell r="J1403" t="str">
            <v>SteelPlate_YX-83__W850,H760,T3,250A,80A</v>
          </cell>
          <cell r="K1403" t="str">
            <v>鋼板_YX-83__W850,H760,T3,250A,80A</v>
          </cell>
          <cell r="L1403" t="str">
            <v>SteelPlate</v>
          </cell>
          <cell r="M1403" t="str">
            <v>鋼板</v>
          </cell>
          <cell r="P1403">
            <v>3132</v>
          </cell>
          <cell r="Q1403" t="str">
            <v>TP340</v>
          </cell>
          <cell r="R1403" t="str">
            <v>E385506_01</v>
          </cell>
          <cell r="S1403">
            <v>4</v>
          </cell>
          <cell r="T1403" t="str">
            <v>標準</v>
          </cell>
        </row>
        <row r="1404">
          <cell r="F1404" t="str">
            <v>H0000012945</v>
          </cell>
          <cell r="I1404" t="str">
            <v>フレーム</v>
          </cell>
          <cell r="J1404" t="str">
            <v>SteelPlate_YX-83__W850,H760,T3,250A,50A</v>
          </cell>
          <cell r="K1404" t="str">
            <v>鋼板_YX-83__W850,H760,T3,250A,50A</v>
          </cell>
          <cell r="L1404" t="str">
            <v>SteelPlate</v>
          </cell>
          <cell r="M1404" t="str">
            <v>鋼板</v>
          </cell>
          <cell r="P1404">
            <v>3132</v>
          </cell>
          <cell r="Q1404" t="str">
            <v>TP340</v>
          </cell>
          <cell r="R1404" t="str">
            <v>E385506_01</v>
          </cell>
          <cell r="S1404">
            <v>4</v>
          </cell>
          <cell r="T1404" t="str">
            <v>標準</v>
          </cell>
        </row>
        <row r="1405">
          <cell r="F1405" t="str">
            <v>H0000012946</v>
          </cell>
          <cell r="I1405" t="str">
            <v>フレーム</v>
          </cell>
          <cell r="J1405" t="str">
            <v>SteelPlate_YX-83__W850,H760,T3,200A,150A</v>
          </cell>
          <cell r="K1405" t="str">
            <v>鋼板_YX-83__W850,H760,T3,200A,150A</v>
          </cell>
          <cell r="L1405" t="str">
            <v>SteelPlate</v>
          </cell>
          <cell r="M1405" t="str">
            <v>鋼板</v>
          </cell>
          <cell r="P1405">
            <v>3132</v>
          </cell>
          <cell r="Q1405" t="str">
            <v>TP340</v>
          </cell>
          <cell r="R1405" t="str">
            <v>E385506_01</v>
          </cell>
          <cell r="S1405">
            <v>4</v>
          </cell>
          <cell r="T1405" t="str">
            <v>標準</v>
          </cell>
        </row>
        <row r="1406">
          <cell r="F1406" t="str">
            <v>H0000012947</v>
          </cell>
          <cell r="I1406" t="str">
            <v>フレーム</v>
          </cell>
          <cell r="J1406" t="str">
            <v>SteelPlate_YX-83__W850,H760,T3,200A,125A</v>
          </cell>
          <cell r="K1406" t="str">
            <v>鋼板_YX-83__W850,H760,T3,200A,125A</v>
          </cell>
          <cell r="L1406" t="str">
            <v>SteelPlate</v>
          </cell>
          <cell r="M1406" t="str">
            <v>鋼板</v>
          </cell>
          <cell r="P1406">
            <v>3132</v>
          </cell>
          <cell r="Q1406" t="str">
            <v>TP340</v>
          </cell>
          <cell r="R1406" t="str">
            <v>E385506_01</v>
          </cell>
          <cell r="S1406">
            <v>4</v>
          </cell>
          <cell r="T1406" t="str">
            <v>標準</v>
          </cell>
        </row>
        <row r="1407">
          <cell r="F1407" t="str">
            <v>H0000012948</v>
          </cell>
          <cell r="I1407" t="str">
            <v>フレーム</v>
          </cell>
          <cell r="J1407" t="str">
            <v>SteelPlate_YX-83__W850,H760,T3,200A,100A</v>
          </cell>
          <cell r="K1407" t="str">
            <v>鋼板_YX-83__W850,H760,T3,200A,100A</v>
          </cell>
          <cell r="L1407" t="str">
            <v>SteelPlate</v>
          </cell>
          <cell r="M1407" t="str">
            <v>鋼板</v>
          </cell>
          <cell r="P1407">
            <v>3132</v>
          </cell>
          <cell r="Q1407" t="str">
            <v>TP340</v>
          </cell>
          <cell r="R1407" t="str">
            <v>E385506_01</v>
          </cell>
          <cell r="S1407">
            <v>5</v>
          </cell>
          <cell r="T1407" t="str">
            <v>標準</v>
          </cell>
        </row>
        <row r="1408">
          <cell r="F1408" t="str">
            <v>H0000012949</v>
          </cell>
          <cell r="I1408" t="str">
            <v>フレーム</v>
          </cell>
          <cell r="J1408" t="str">
            <v>SteelPlate_YX-83__W850,H760,T3,200A,80A</v>
          </cell>
          <cell r="K1408" t="str">
            <v>鋼板_YX-83__W850,H760,T3,200A,80A</v>
          </cell>
          <cell r="L1408" t="str">
            <v>SteelPlate</v>
          </cell>
          <cell r="M1408" t="str">
            <v>鋼板</v>
          </cell>
          <cell r="P1408">
            <v>3132</v>
          </cell>
          <cell r="Q1408" t="str">
            <v>TP340</v>
          </cell>
          <cell r="R1408" t="str">
            <v>E385506_01</v>
          </cell>
          <cell r="S1408">
            <v>5</v>
          </cell>
          <cell r="T1408" t="str">
            <v>標準</v>
          </cell>
        </row>
        <row r="1409">
          <cell r="F1409" t="str">
            <v>H0000012950</v>
          </cell>
          <cell r="I1409" t="str">
            <v>フレーム</v>
          </cell>
          <cell r="J1409" t="str">
            <v>SteelPlate_YX-83__W850,H760,T3,200A,50A</v>
          </cell>
          <cell r="K1409" t="str">
            <v>鋼板_YX-83__W850,H760,T3,200A,50A</v>
          </cell>
          <cell r="L1409" t="str">
            <v>SteelPlate</v>
          </cell>
          <cell r="M1409" t="str">
            <v>鋼板</v>
          </cell>
          <cell r="P1409">
            <v>3132</v>
          </cell>
          <cell r="Q1409" t="str">
            <v>TP340</v>
          </cell>
          <cell r="R1409" t="str">
            <v>E385506_01</v>
          </cell>
          <cell r="S1409">
            <v>5</v>
          </cell>
          <cell r="T1409" t="str">
            <v>標準</v>
          </cell>
        </row>
        <row r="1410">
          <cell r="F1410" t="str">
            <v>H0000012951</v>
          </cell>
          <cell r="I1410" t="str">
            <v>フレーム</v>
          </cell>
          <cell r="J1410" t="str">
            <v>SteelPlate_YX-83__W850,H760,T3,150A,150A</v>
          </cell>
          <cell r="K1410" t="str">
            <v>鋼板_YX-83__W850,H760,T3,150A,150A</v>
          </cell>
          <cell r="L1410" t="str">
            <v>SteelPlate</v>
          </cell>
          <cell r="M1410" t="str">
            <v>鋼板</v>
          </cell>
          <cell r="P1410">
            <v>3132</v>
          </cell>
          <cell r="Q1410" t="str">
            <v>TP340</v>
          </cell>
          <cell r="R1410" t="str">
            <v>E385506_01</v>
          </cell>
          <cell r="S1410">
            <v>5</v>
          </cell>
          <cell r="T1410" t="str">
            <v>標準</v>
          </cell>
        </row>
        <row r="1411">
          <cell r="F1411" t="str">
            <v>H0000012952</v>
          </cell>
          <cell r="I1411" t="str">
            <v>フレーム</v>
          </cell>
          <cell r="J1411" t="str">
            <v>SteelPlate_YX-83__W850,H760,T3,150A,125A</v>
          </cell>
          <cell r="K1411" t="str">
            <v>鋼板_YX-83__W850,H760,T3,150A,125A</v>
          </cell>
          <cell r="L1411" t="str">
            <v>SteelPlate</v>
          </cell>
          <cell r="M1411" t="str">
            <v>鋼板</v>
          </cell>
          <cell r="P1411">
            <v>3132</v>
          </cell>
          <cell r="Q1411" t="str">
            <v>TP340</v>
          </cell>
          <cell r="R1411" t="str">
            <v>E385506_01</v>
          </cell>
          <cell r="S1411">
            <v>5</v>
          </cell>
          <cell r="T1411" t="str">
            <v>標準</v>
          </cell>
        </row>
        <row r="1412">
          <cell r="F1412" t="str">
            <v>H0000012953</v>
          </cell>
          <cell r="I1412" t="str">
            <v>フレーム</v>
          </cell>
          <cell r="J1412" t="str">
            <v>SteelPlate_YX-83__W850,H760,T3,150A,100A</v>
          </cell>
          <cell r="K1412" t="str">
            <v>鋼板_YX-83__W850,H760,T3,150A,100A</v>
          </cell>
          <cell r="L1412" t="str">
            <v>SteelPlate</v>
          </cell>
          <cell r="M1412" t="str">
            <v>鋼板</v>
          </cell>
          <cell r="P1412">
            <v>3132</v>
          </cell>
          <cell r="Q1412" t="str">
            <v>TP340</v>
          </cell>
          <cell r="R1412" t="str">
            <v>E385506_01</v>
          </cell>
          <cell r="S1412">
            <v>5</v>
          </cell>
          <cell r="T1412" t="str">
            <v>標準</v>
          </cell>
        </row>
        <row r="1413">
          <cell r="F1413" t="str">
            <v>H0000012954</v>
          </cell>
          <cell r="I1413" t="str">
            <v>フレーム</v>
          </cell>
          <cell r="J1413" t="str">
            <v>SteelPlate_YX-83__W850,H760,T3,150A,80A</v>
          </cell>
          <cell r="K1413" t="str">
            <v>鋼板_YX-83__W850,H760,T3,150A,80A</v>
          </cell>
          <cell r="L1413" t="str">
            <v>SteelPlate</v>
          </cell>
          <cell r="M1413" t="str">
            <v>鋼板</v>
          </cell>
          <cell r="P1413">
            <v>3132</v>
          </cell>
          <cell r="Q1413" t="str">
            <v>TP340</v>
          </cell>
          <cell r="R1413" t="str">
            <v>E385506_01</v>
          </cell>
          <cell r="S1413">
            <v>5</v>
          </cell>
          <cell r="T1413" t="str">
            <v>標準</v>
          </cell>
        </row>
        <row r="1414">
          <cell r="F1414" t="str">
            <v>H0000012955</v>
          </cell>
          <cell r="I1414" t="str">
            <v>フレーム</v>
          </cell>
          <cell r="J1414" t="str">
            <v>SteelPlate_YX-83__W850,H760,T3,150A,50A</v>
          </cell>
          <cell r="K1414" t="str">
            <v>鋼板_YX-83__W850,H760,T3,150A,50A</v>
          </cell>
          <cell r="L1414" t="str">
            <v>SteelPlate</v>
          </cell>
          <cell r="M1414" t="str">
            <v>鋼板</v>
          </cell>
          <cell r="P1414">
            <v>3132</v>
          </cell>
          <cell r="Q1414" t="str">
            <v>TP340</v>
          </cell>
          <cell r="R1414" t="str">
            <v>E385506_01</v>
          </cell>
          <cell r="S1414">
            <v>5</v>
          </cell>
          <cell r="T1414" t="str">
            <v>標準</v>
          </cell>
        </row>
        <row r="1415">
          <cell r="F1415" t="str">
            <v>H0000012956</v>
          </cell>
          <cell r="I1415" t="str">
            <v>フレーム</v>
          </cell>
          <cell r="J1415" t="str">
            <v>SteelPlate_YX-83__W850,H760,T3,100A,150A</v>
          </cell>
          <cell r="K1415" t="str">
            <v>鋼板_YX-83__W850,H760,T3,100A,150A</v>
          </cell>
          <cell r="L1415" t="str">
            <v>SteelPlate</v>
          </cell>
          <cell r="M1415" t="str">
            <v>鋼板</v>
          </cell>
          <cell r="P1415">
            <v>3132</v>
          </cell>
          <cell r="Q1415" t="str">
            <v>TP340</v>
          </cell>
          <cell r="R1415" t="str">
            <v>E385506_01</v>
          </cell>
          <cell r="S1415">
            <v>5</v>
          </cell>
          <cell r="T1415" t="str">
            <v>標準</v>
          </cell>
        </row>
        <row r="1416">
          <cell r="F1416" t="str">
            <v>H0000012957</v>
          </cell>
          <cell r="I1416" t="str">
            <v>フレーム</v>
          </cell>
          <cell r="J1416" t="str">
            <v>SteelPlate_YX-83__W850,H760,T3,100A,125A</v>
          </cell>
          <cell r="K1416" t="str">
            <v>鋼板_YX-83__W850,H760,T3,100A,125A</v>
          </cell>
          <cell r="L1416" t="str">
            <v>SteelPlate</v>
          </cell>
          <cell r="M1416" t="str">
            <v>鋼板</v>
          </cell>
          <cell r="P1416">
            <v>3132</v>
          </cell>
          <cell r="Q1416" t="str">
            <v>TP340</v>
          </cell>
          <cell r="R1416" t="str">
            <v>E385506_01</v>
          </cell>
          <cell r="S1416">
            <v>5</v>
          </cell>
          <cell r="T1416" t="str">
            <v>標準</v>
          </cell>
        </row>
        <row r="1417">
          <cell r="F1417" t="str">
            <v>H0000012958</v>
          </cell>
          <cell r="I1417" t="str">
            <v>フレーム</v>
          </cell>
          <cell r="J1417" t="str">
            <v>SteelPlate_YX-83__W850,H760,T3,100A,100A</v>
          </cell>
          <cell r="K1417" t="str">
            <v>鋼板_YX-83__W850,H760,T3,100A,100A</v>
          </cell>
          <cell r="L1417" t="str">
            <v>SteelPlate</v>
          </cell>
          <cell r="M1417" t="str">
            <v>鋼板</v>
          </cell>
          <cell r="P1417">
            <v>3132</v>
          </cell>
          <cell r="Q1417" t="str">
            <v>TP340</v>
          </cell>
          <cell r="R1417" t="str">
            <v>E385506_01</v>
          </cell>
          <cell r="S1417">
            <v>5</v>
          </cell>
          <cell r="T1417" t="str">
            <v>標準</v>
          </cell>
        </row>
        <row r="1418">
          <cell r="F1418" t="str">
            <v>H0000012959</v>
          </cell>
          <cell r="I1418" t="str">
            <v>フレーム</v>
          </cell>
          <cell r="J1418" t="str">
            <v>SteelPlate_YX-83__W850,H760,T3,100A,80A</v>
          </cell>
          <cell r="K1418" t="str">
            <v>鋼板_YX-83__W850,H760,T3,100A,80A</v>
          </cell>
          <cell r="L1418" t="str">
            <v>SteelPlate</v>
          </cell>
          <cell r="M1418" t="str">
            <v>鋼板</v>
          </cell>
          <cell r="P1418">
            <v>3132</v>
          </cell>
          <cell r="Q1418" t="str">
            <v>TP340</v>
          </cell>
          <cell r="R1418" t="str">
            <v>E385506_01</v>
          </cell>
          <cell r="S1418">
            <v>5</v>
          </cell>
          <cell r="T1418" t="str">
            <v>標準</v>
          </cell>
        </row>
        <row r="1419">
          <cell r="F1419" t="str">
            <v>H0000012960</v>
          </cell>
          <cell r="I1419" t="str">
            <v>フレーム</v>
          </cell>
          <cell r="J1419" t="str">
            <v>SteelPlate_YX-83__W850,H760,T3,100A,50A</v>
          </cell>
          <cell r="K1419" t="str">
            <v>鋼板_YX-83__W850,H760,T3,100A,50A</v>
          </cell>
          <cell r="L1419" t="str">
            <v>SteelPlate</v>
          </cell>
          <cell r="M1419" t="str">
            <v>鋼板</v>
          </cell>
          <cell r="P1419">
            <v>3132</v>
          </cell>
          <cell r="Q1419" t="str">
            <v>TP340</v>
          </cell>
          <cell r="R1419" t="str">
            <v>E385506_01</v>
          </cell>
          <cell r="S1419">
            <v>5</v>
          </cell>
          <cell r="T1419" t="str">
            <v>標準</v>
          </cell>
        </row>
        <row r="1420">
          <cell r="F1420" t="str">
            <v>H0000012961</v>
          </cell>
          <cell r="I1420" t="str">
            <v>フレーム</v>
          </cell>
          <cell r="J1420" t="str">
            <v>SteelPlate_YX-83__W850,H760,T3,80A,150A</v>
          </cell>
          <cell r="K1420" t="str">
            <v>鋼板_YX-83__W850,H760,T3,80A,150A</v>
          </cell>
          <cell r="L1420" t="str">
            <v>SteelPlate</v>
          </cell>
          <cell r="M1420" t="str">
            <v>鋼板</v>
          </cell>
          <cell r="P1420">
            <v>3132</v>
          </cell>
          <cell r="Q1420" t="str">
            <v>TP340</v>
          </cell>
          <cell r="R1420" t="str">
            <v>E385506_01</v>
          </cell>
          <cell r="S1420">
            <v>5</v>
          </cell>
          <cell r="T1420" t="str">
            <v>標準</v>
          </cell>
        </row>
        <row r="1421">
          <cell r="F1421" t="str">
            <v>H0000012962</v>
          </cell>
          <cell r="I1421" t="str">
            <v>フレーム</v>
          </cell>
          <cell r="J1421" t="str">
            <v>SteelPlate_YX-83__W850,H760,T3,80A,125A</v>
          </cell>
          <cell r="K1421" t="str">
            <v>鋼板_YX-83__W850,H760,T3,80A,125A</v>
          </cell>
          <cell r="L1421" t="str">
            <v>SteelPlate</v>
          </cell>
          <cell r="M1421" t="str">
            <v>鋼板</v>
          </cell>
          <cell r="P1421">
            <v>3132</v>
          </cell>
          <cell r="Q1421" t="str">
            <v>TP340</v>
          </cell>
          <cell r="R1421" t="str">
            <v>E385506_01</v>
          </cell>
          <cell r="S1421">
            <v>5</v>
          </cell>
          <cell r="T1421" t="str">
            <v>標準</v>
          </cell>
        </row>
        <row r="1422">
          <cell r="F1422" t="str">
            <v>H0000012963</v>
          </cell>
          <cell r="I1422" t="str">
            <v>フレーム</v>
          </cell>
          <cell r="J1422" t="str">
            <v>SteelPlate_YX-83__W850,H760,T3,80A,100A</v>
          </cell>
          <cell r="K1422" t="str">
            <v>鋼板_YX-83__W850,H760,T3,80A,100A</v>
          </cell>
          <cell r="L1422" t="str">
            <v>SteelPlate</v>
          </cell>
          <cell r="M1422" t="str">
            <v>鋼板</v>
          </cell>
          <cell r="P1422">
            <v>3132</v>
          </cell>
          <cell r="Q1422" t="str">
            <v>TP340</v>
          </cell>
          <cell r="R1422" t="str">
            <v>E385506_01</v>
          </cell>
          <cell r="S1422">
            <v>5</v>
          </cell>
          <cell r="T1422" t="str">
            <v>標準</v>
          </cell>
        </row>
        <row r="1423">
          <cell r="F1423" t="str">
            <v>H0000012964</v>
          </cell>
          <cell r="I1423" t="str">
            <v>フレーム</v>
          </cell>
          <cell r="J1423" t="str">
            <v>SteelPlate_YX-83__W850,H760,T3,80A,80A</v>
          </cell>
          <cell r="K1423" t="str">
            <v>鋼板_YX-83__W850,H760,T3,80A,80A</v>
          </cell>
          <cell r="L1423" t="str">
            <v>SteelPlate</v>
          </cell>
          <cell r="M1423" t="str">
            <v>鋼板</v>
          </cell>
          <cell r="P1423">
            <v>3132</v>
          </cell>
          <cell r="Q1423" t="str">
            <v>TP340</v>
          </cell>
          <cell r="R1423" t="str">
            <v>E385506_01</v>
          </cell>
          <cell r="S1423">
            <v>5</v>
          </cell>
          <cell r="T1423" t="str">
            <v>標準</v>
          </cell>
        </row>
        <row r="1424">
          <cell r="F1424" t="str">
            <v>H0000012965</v>
          </cell>
          <cell r="I1424" t="str">
            <v>フレーム</v>
          </cell>
          <cell r="J1424" t="str">
            <v>SteelPlate_YX-83__W850,H760,T3,80A,50A</v>
          </cell>
          <cell r="K1424" t="str">
            <v>鋼板_YX-83__W850,H760,T3,80A,50A</v>
          </cell>
          <cell r="L1424" t="str">
            <v>SteelPlate</v>
          </cell>
          <cell r="M1424" t="str">
            <v>鋼板</v>
          </cell>
          <cell r="P1424">
            <v>3132</v>
          </cell>
          <cell r="Q1424" t="str">
            <v>TP340</v>
          </cell>
          <cell r="R1424" t="str">
            <v>E385506_01</v>
          </cell>
          <cell r="S1424">
            <v>5</v>
          </cell>
          <cell r="T1424" t="str">
            <v>標準</v>
          </cell>
        </row>
        <row r="1425">
          <cell r="F1425" t="str">
            <v>H0000012966</v>
          </cell>
          <cell r="I1425" t="str">
            <v>フレーム</v>
          </cell>
          <cell r="J1425" t="str">
            <v>SteelPlate_YX-83__W850,H1240,T3</v>
          </cell>
          <cell r="K1425" t="str">
            <v>鋼板_YX-83__W850,H1240,T3</v>
          </cell>
          <cell r="L1425" t="str">
            <v>SteelPlate</v>
          </cell>
          <cell r="M1425" t="str">
            <v>鋼板</v>
          </cell>
          <cell r="P1425">
            <v>3101</v>
          </cell>
          <cell r="Q1425" t="str">
            <v>SUS304</v>
          </cell>
          <cell r="R1425" t="str">
            <v>E385506_03</v>
          </cell>
          <cell r="S1425">
            <v>16</v>
          </cell>
          <cell r="T1425" t="str">
            <v>標準</v>
          </cell>
        </row>
        <row r="1426">
          <cell r="F1426" t="str">
            <v>H0000012967</v>
          </cell>
          <cell r="I1426" t="str">
            <v>フレーム</v>
          </cell>
          <cell r="J1426" t="str">
            <v>Spacer_UX-90__W1054,H2287,T2</v>
          </cell>
          <cell r="K1426" t="str">
            <v>スペーサ―_UX-90__W1054,H2287,T2</v>
          </cell>
          <cell r="L1426" t="str">
            <v>Spacer</v>
          </cell>
          <cell r="M1426" t="str">
            <v>スペーサ―</v>
          </cell>
          <cell r="P1426">
            <v>3101</v>
          </cell>
          <cell r="Q1426" t="str">
            <v>SUS304</v>
          </cell>
          <cell r="R1426" t="str">
            <v>E366044_01</v>
          </cell>
          <cell r="S1426">
            <v>31</v>
          </cell>
          <cell r="T1426" t="str">
            <v>標準</v>
          </cell>
        </row>
        <row r="1427">
          <cell r="F1427" t="str">
            <v>H0000097397</v>
          </cell>
          <cell r="I1427" t="str">
            <v>フレーム</v>
          </cell>
          <cell r="J1427" t="str">
            <v>S-Frame_CX-10_N_TTTT</v>
          </cell>
          <cell r="K1427" t="str">
            <v>S-フレーム_CX-10_N_TTTT</v>
          </cell>
          <cell r="L1427" t="str">
            <v>S-Frame</v>
          </cell>
          <cell r="M1427" t="str">
            <v>S-フレーム</v>
          </cell>
          <cell r="P1427" t="str">
            <v>31B0</v>
          </cell>
          <cell r="Q1427" t="str">
            <v>SS400</v>
          </cell>
          <cell r="R1427" t="str">
            <v>E356750_01</v>
          </cell>
          <cell r="S1427">
            <v>54</v>
          </cell>
          <cell r="T1427" t="str">
            <v>標準</v>
          </cell>
        </row>
        <row r="1428">
          <cell r="F1428" t="str">
            <v>H0000097398</v>
          </cell>
          <cell r="I1428" t="str">
            <v>フレーム</v>
          </cell>
          <cell r="J1428" t="str">
            <v>S-Frame_CX-10_N_TTTT</v>
          </cell>
          <cell r="K1428" t="str">
            <v>S-フレーム_CX-10_N_TTTT</v>
          </cell>
          <cell r="L1428" t="str">
            <v>S-Frame</v>
          </cell>
          <cell r="M1428" t="str">
            <v>S-フレーム</v>
          </cell>
          <cell r="P1428" t="str">
            <v>31B0</v>
          </cell>
          <cell r="Q1428" t="str">
            <v>SS400</v>
          </cell>
          <cell r="R1428" t="str">
            <v>E356750_01</v>
          </cell>
          <cell r="S1428">
            <v>54</v>
          </cell>
          <cell r="T1428" t="str">
            <v>標準</v>
          </cell>
        </row>
        <row r="1429">
          <cell r="F1429" t="str">
            <v>H0000097399</v>
          </cell>
          <cell r="I1429" t="str">
            <v>フレーム</v>
          </cell>
          <cell r="J1429" t="str">
            <v>S-Frame_CX-10_N_TTTT</v>
          </cell>
          <cell r="K1429" t="str">
            <v>S-フレーム_CX-10_N_TTTT</v>
          </cell>
          <cell r="L1429" t="str">
            <v>S-Frame</v>
          </cell>
          <cell r="M1429" t="str">
            <v>S-フレーム</v>
          </cell>
          <cell r="P1429" t="str">
            <v>31B0</v>
          </cell>
          <cell r="Q1429" t="str">
            <v>SS400</v>
          </cell>
          <cell r="R1429" t="str">
            <v>E356750_01</v>
          </cell>
          <cell r="S1429">
            <v>54</v>
          </cell>
          <cell r="T1429" t="str">
            <v>標準</v>
          </cell>
        </row>
        <row r="1430">
          <cell r="F1430" t="str">
            <v>H0000097400</v>
          </cell>
          <cell r="I1430" t="str">
            <v>フレーム</v>
          </cell>
          <cell r="J1430" t="str">
            <v>S-Frame_CX-10_N_TTTT</v>
          </cell>
          <cell r="K1430" t="str">
            <v>S-フレーム_CX-10_N_TTTT</v>
          </cell>
          <cell r="L1430" t="str">
            <v>S-Frame</v>
          </cell>
          <cell r="M1430" t="str">
            <v>S-フレーム</v>
          </cell>
          <cell r="P1430" t="str">
            <v>31B0</v>
          </cell>
          <cell r="Q1430" t="str">
            <v>SS400</v>
          </cell>
          <cell r="R1430" t="str">
            <v>E356750_01</v>
          </cell>
          <cell r="S1430">
            <v>54</v>
          </cell>
          <cell r="T1430" t="str">
            <v>標準</v>
          </cell>
        </row>
        <row r="1431">
          <cell r="F1431" t="str">
            <v>H0000097401</v>
          </cell>
          <cell r="I1431" t="str">
            <v>フレーム</v>
          </cell>
          <cell r="J1431" t="str">
            <v>S-Frame_CX-10_N_TTTT</v>
          </cell>
          <cell r="K1431" t="str">
            <v>S-フレーム_CX-10_N_TTTT</v>
          </cell>
          <cell r="L1431" t="str">
            <v>S-Frame</v>
          </cell>
          <cell r="M1431" t="str">
            <v>S-フレーム</v>
          </cell>
          <cell r="P1431" t="str">
            <v>31B0</v>
          </cell>
          <cell r="Q1431" t="str">
            <v>SS400</v>
          </cell>
          <cell r="R1431" t="str">
            <v>E356750_01</v>
          </cell>
          <cell r="S1431">
            <v>54</v>
          </cell>
          <cell r="T1431" t="str">
            <v>標準</v>
          </cell>
        </row>
        <row r="1432">
          <cell r="F1432" t="str">
            <v>H0000097402</v>
          </cell>
          <cell r="I1432" t="str">
            <v>フレーム</v>
          </cell>
          <cell r="J1432" t="str">
            <v>S-Frame_CX-10_N_TTTT</v>
          </cell>
          <cell r="K1432" t="str">
            <v>S-フレーム_CX-10_N_TTTT</v>
          </cell>
          <cell r="L1432" t="str">
            <v>S-Frame</v>
          </cell>
          <cell r="M1432" t="str">
            <v>S-フレーム</v>
          </cell>
          <cell r="P1432" t="str">
            <v>31B0</v>
          </cell>
          <cell r="Q1432" t="str">
            <v>SS400</v>
          </cell>
          <cell r="R1432" t="str">
            <v>E356750_01</v>
          </cell>
          <cell r="S1432">
            <v>54</v>
          </cell>
          <cell r="T1432" t="str">
            <v>標準</v>
          </cell>
        </row>
        <row r="1433">
          <cell r="F1433" t="str">
            <v>H0000097403</v>
          </cell>
          <cell r="I1433" t="str">
            <v>フレーム</v>
          </cell>
          <cell r="J1433" t="str">
            <v>S-Frame_CX-10_N_TTTT</v>
          </cell>
          <cell r="K1433" t="str">
            <v>S-フレーム_CX-10_N_TTTT</v>
          </cell>
          <cell r="L1433" t="str">
            <v>S-Frame</v>
          </cell>
          <cell r="M1433" t="str">
            <v>S-フレーム</v>
          </cell>
          <cell r="P1433" t="str">
            <v>31B0</v>
          </cell>
          <cell r="Q1433" t="str">
            <v>SS400</v>
          </cell>
          <cell r="R1433" t="str">
            <v>E356750_01</v>
          </cell>
          <cell r="S1433">
            <v>54</v>
          </cell>
          <cell r="T1433" t="str">
            <v>標準</v>
          </cell>
        </row>
        <row r="1434">
          <cell r="F1434" t="str">
            <v>H0000097404</v>
          </cell>
          <cell r="I1434" t="str">
            <v>フレーム</v>
          </cell>
          <cell r="J1434" t="str">
            <v>S-Frame_CX-10_N_TTTT</v>
          </cell>
          <cell r="K1434" t="str">
            <v>S-フレーム_CX-10_N_TTTT</v>
          </cell>
          <cell r="L1434" t="str">
            <v>S-Frame</v>
          </cell>
          <cell r="M1434" t="str">
            <v>S-フレーム</v>
          </cell>
          <cell r="P1434" t="str">
            <v>31B0</v>
          </cell>
          <cell r="Q1434" t="str">
            <v>SS400</v>
          </cell>
          <cell r="R1434" t="str">
            <v>E356750_01</v>
          </cell>
          <cell r="S1434">
            <v>54</v>
          </cell>
          <cell r="T1434" t="str">
            <v>標準</v>
          </cell>
        </row>
        <row r="1435">
          <cell r="F1435" t="str">
            <v>H0000097405</v>
          </cell>
          <cell r="I1435" t="str">
            <v>フレーム</v>
          </cell>
          <cell r="J1435" t="str">
            <v>S-Frame_CX-10_N_TKTK</v>
          </cell>
          <cell r="K1435" t="str">
            <v>S-フレーム_CX-10_N_TKTK</v>
          </cell>
          <cell r="L1435" t="str">
            <v>S-Frame</v>
          </cell>
          <cell r="M1435" t="str">
            <v>S-フレーム</v>
          </cell>
          <cell r="P1435" t="str">
            <v>31B0</v>
          </cell>
          <cell r="Q1435" t="str">
            <v>SS400</v>
          </cell>
          <cell r="R1435" t="str">
            <v>E356750_01</v>
          </cell>
          <cell r="S1435">
            <v>54</v>
          </cell>
          <cell r="T1435" t="str">
            <v>標準</v>
          </cell>
        </row>
        <row r="1436">
          <cell r="F1436" t="str">
            <v>H0000097406</v>
          </cell>
          <cell r="I1436" t="str">
            <v>フレーム</v>
          </cell>
          <cell r="J1436" t="str">
            <v>S-Frame_CX-10_N_TKTK</v>
          </cell>
          <cell r="K1436" t="str">
            <v>S-フレーム_CX-10_N_TKTK</v>
          </cell>
          <cell r="L1436" t="str">
            <v>S-Frame</v>
          </cell>
          <cell r="M1436" t="str">
            <v>S-フレーム</v>
          </cell>
          <cell r="P1436" t="str">
            <v>31B0</v>
          </cell>
          <cell r="Q1436" t="str">
            <v>SS400</v>
          </cell>
          <cell r="R1436" t="str">
            <v>E356750_01</v>
          </cell>
          <cell r="S1436">
            <v>54</v>
          </cell>
          <cell r="T1436" t="str">
            <v>標準</v>
          </cell>
        </row>
        <row r="1437">
          <cell r="F1437" t="str">
            <v>H0000097407</v>
          </cell>
          <cell r="I1437" t="str">
            <v>フレーム</v>
          </cell>
          <cell r="J1437" t="str">
            <v>S-Frame_CX-10_N_TKTK</v>
          </cell>
          <cell r="K1437" t="str">
            <v>S-フレーム_CX-10_N_TKTK</v>
          </cell>
          <cell r="L1437" t="str">
            <v>S-Frame</v>
          </cell>
          <cell r="M1437" t="str">
            <v>S-フレーム</v>
          </cell>
          <cell r="P1437" t="str">
            <v>31B0</v>
          </cell>
          <cell r="Q1437" t="str">
            <v>SS400</v>
          </cell>
          <cell r="R1437" t="str">
            <v>E356750_01</v>
          </cell>
          <cell r="S1437">
            <v>54</v>
          </cell>
          <cell r="T1437" t="str">
            <v>標準</v>
          </cell>
        </row>
        <row r="1438">
          <cell r="F1438" t="str">
            <v>H0000097408</v>
          </cell>
          <cell r="I1438" t="str">
            <v>フレーム</v>
          </cell>
          <cell r="J1438" t="str">
            <v>S-Frame_CX-10_N_TKTK</v>
          </cell>
          <cell r="K1438" t="str">
            <v>S-フレーム_CX-10_N_TKTK</v>
          </cell>
          <cell r="L1438" t="str">
            <v>S-Frame</v>
          </cell>
          <cell r="M1438" t="str">
            <v>S-フレーム</v>
          </cell>
          <cell r="P1438" t="str">
            <v>31B0</v>
          </cell>
          <cell r="Q1438" t="str">
            <v>SS400</v>
          </cell>
          <cell r="R1438" t="str">
            <v>E356750_01</v>
          </cell>
          <cell r="S1438">
            <v>54</v>
          </cell>
          <cell r="T1438" t="str">
            <v>標準</v>
          </cell>
        </row>
        <row r="1439">
          <cell r="F1439" t="str">
            <v>H0000097409</v>
          </cell>
          <cell r="I1439" t="str">
            <v>フレーム</v>
          </cell>
          <cell r="J1439" t="str">
            <v>S-Frame_CX-10_N_KTKT</v>
          </cell>
          <cell r="K1439" t="str">
            <v>S-フレーム_CX-10_N_KTKT</v>
          </cell>
          <cell r="L1439" t="str">
            <v>S-Frame</v>
          </cell>
          <cell r="M1439" t="str">
            <v>S-フレーム</v>
          </cell>
          <cell r="P1439" t="str">
            <v>31B0</v>
          </cell>
          <cell r="Q1439" t="str">
            <v>SS400</v>
          </cell>
          <cell r="R1439" t="str">
            <v>E356750_01</v>
          </cell>
          <cell r="S1439">
            <v>54</v>
          </cell>
          <cell r="T1439" t="str">
            <v>標準</v>
          </cell>
        </row>
        <row r="1440">
          <cell r="F1440" t="str">
            <v>H0000097410</v>
          </cell>
          <cell r="I1440" t="str">
            <v>フレーム</v>
          </cell>
          <cell r="J1440" t="str">
            <v>S-Frame_CX-10_N_KTKT</v>
          </cell>
          <cell r="K1440" t="str">
            <v>S-フレーム_CX-10_N_KTKT</v>
          </cell>
          <cell r="L1440" t="str">
            <v>S-Frame</v>
          </cell>
          <cell r="M1440" t="str">
            <v>S-フレーム</v>
          </cell>
          <cell r="P1440" t="str">
            <v>31B0</v>
          </cell>
          <cell r="Q1440" t="str">
            <v>SS400</v>
          </cell>
          <cell r="R1440" t="str">
            <v>E356750_01</v>
          </cell>
          <cell r="S1440">
            <v>54</v>
          </cell>
          <cell r="T1440" t="str">
            <v>標準</v>
          </cell>
        </row>
        <row r="1441">
          <cell r="F1441" t="str">
            <v>H0000097411</v>
          </cell>
          <cell r="I1441" t="str">
            <v>フレーム</v>
          </cell>
          <cell r="J1441" t="str">
            <v>S-Frame_CX-10_N_KTKT</v>
          </cell>
          <cell r="K1441" t="str">
            <v>S-フレーム_CX-10_N_KTKT</v>
          </cell>
          <cell r="L1441" t="str">
            <v>S-Frame</v>
          </cell>
          <cell r="M1441" t="str">
            <v>S-フレーム</v>
          </cell>
          <cell r="P1441" t="str">
            <v>31B0</v>
          </cell>
          <cell r="Q1441" t="str">
            <v>SS400</v>
          </cell>
          <cell r="R1441" t="str">
            <v>E356750_01</v>
          </cell>
          <cell r="S1441">
            <v>54</v>
          </cell>
          <cell r="T1441" t="str">
            <v>標準</v>
          </cell>
        </row>
        <row r="1442">
          <cell r="F1442" t="str">
            <v>H0000097412</v>
          </cell>
          <cell r="I1442" t="str">
            <v>フレーム</v>
          </cell>
          <cell r="J1442" t="str">
            <v>S-Frame_CX-10_N_KTKT</v>
          </cell>
          <cell r="K1442" t="str">
            <v>S-フレーム_CX-10_N_KTKT</v>
          </cell>
          <cell r="L1442" t="str">
            <v>S-Frame</v>
          </cell>
          <cell r="M1442" t="str">
            <v>S-フレーム</v>
          </cell>
          <cell r="P1442" t="str">
            <v>31B0</v>
          </cell>
          <cell r="Q1442" t="str">
            <v>SS400</v>
          </cell>
          <cell r="R1442" t="str">
            <v>E356750_01</v>
          </cell>
          <cell r="S1442">
            <v>54</v>
          </cell>
          <cell r="T1442" t="str">
            <v>標準</v>
          </cell>
        </row>
        <row r="1443">
          <cell r="F1443" t="str">
            <v>H0000097413</v>
          </cell>
          <cell r="I1443" t="str">
            <v>フレーム</v>
          </cell>
          <cell r="J1443" t="str">
            <v>S-Frame_CX-10_N_KKKK</v>
          </cell>
          <cell r="K1443" t="str">
            <v>S-フレーム_CX-10_N_KKKK</v>
          </cell>
          <cell r="L1443" t="str">
            <v>S-Frame</v>
          </cell>
          <cell r="M1443" t="str">
            <v>S-フレーム</v>
          </cell>
          <cell r="P1443" t="str">
            <v>31B0</v>
          </cell>
          <cell r="Q1443" t="str">
            <v>SS400</v>
          </cell>
          <cell r="R1443" t="str">
            <v>E356750_01</v>
          </cell>
          <cell r="S1443">
            <v>54</v>
          </cell>
          <cell r="T1443" t="str">
            <v>標準</v>
          </cell>
        </row>
        <row r="1444">
          <cell r="F1444" t="str">
            <v>H0000097414</v>
          </cell>
          <cell r="I1444" t="str">
            <v>フレーム</v>
          </cell>
          <cell r="J1444" t="str">
            <v>S-Frame_CX-10_N_KKKK</v>
          </cell>
          <cell r="K1444" t="str">
            <v>S-フレーム_CX-10_N_KKKK</v>
          </cell>
          <cell r="L1444" t="str">
            <v>S-Frame</v>
          </cell>
          <cell r="M1444" t="str">
            <v>S-フレーム</v>
          </cell>
          <cell r="P1444" t="str">
            <v>31B0</v>
          </cell>
          <cell r="Q1444" t="str">
            <v>SS400</v>
          </cell>
          <cell r="R1444" t="str">
            <v>E356750_01</v>
          </cell>
          <cell r="S1444">
            <v>54</v>
          </cell>
          <cell r="T1444" t="str">
            <v>標準</v>
          </cell>
        </row>
        <row r="1445">
          <cell r="F1445" t="str">
            <v>H0000097415</v>
          </cell>
          <cell r="I1445" t="str">
            <v>フレーム</v>
          </cell>
          <cell r="J1445" t="str">
            <v>S-Frame_CX-10_N_KKKK</v>
          </cell>
          <cell r="K1445" t="str">
            <v>S-フレーム_CX-10_N_KKKK</v>
          </cell>
          <cell r="L1445" t="str">
            <v>S-Frame</v>
          </cell>
          <cell r="M1445" t="str">
            <v>S-フレーム</v>
          </cell>
          <cell r="P1445" t="str">
            <v>31B0</v>
          </cell>
          <cell r="Q1445" t="str">
            <v>SS400</v>
          </cell>
          <cell r="R1445" t="str">
            <v>E356750_01</v>
          </cell>
          <cell r="S1445">
            <v>54</v>
          </cell>
          <cell r="T1445" t="str">
            <v>標準</v>
          </cell>
        </row>
        <row r="1446">
          <cell r="F1446" t="str">
            <v>H0000097416</v>
          </cell>
          <cell r="I1446" t="str">
            <v>フレーム</v>
          </cell>
          <cell r="J1446" t="str">
            <v>S-Frame_CX-10_N_KKKK</v>
          </cell>
          <cell r="K1446" t="str">
            <v>S-フレーム_CX-10_N_KKKK</v>
          </cell>
          <cell r="L1446" t="str">
            <v>S-Frame</v>
          </cell>
          <cell r="M1446" t="str">
            <v>S-フレーム</v>
          </cell>
          <cell r="P1446" t="str">
            <v>31B0</v>
          </cell>
          <cell r="Q1446" t="str">
            <v>SS400</v>
          </cell>
          <cell r="R1446" t="str">
            <v>E356750_01</v>
          </cell>
          <cell r="S1446">
            <v>54</v>
          </cell>
          <cell r="T1446" t="str">
            <v>標準</v>
          </cell>
        </row>
        <row r="1447">
          <cell r="F1447" t="str">
            <v>H0000097417</v>
          </cell>
          <cell r="I1447" t="str">
            <v>フレーム</v>
          </cell>
          <cell r="J1447" t="str">
            <v>S-Frame_CX-10_N_KKKK</v>
          </cell>
          <cell r="K1447" t="str">
            <v>S-フレーム_CX-10_N_KKKK</v>
          </cell>
          <cell r="L1447" t="str">
            <v>S-Frame</v>
          </cell>
          <cell r="M1447" t="str">
            <v>S-フレーム</v>
          </cell>
          <cell r="P1447" t="str">
            <v>31B0</v>
          </cell>
          <cell r="Q1447" t="str">
            <v>SS400</v>
          </cell>
          <cell r="R1447" t="str">
            <v>E356750_01</v>
          </cell>
          <cell r="S1447">
            <v>54</v>
          </cell>
          <cell r="T1447" t="str">
            <v>標準</v>
          </cell>
        </row>
        <row r="1448">
          <cell r="F1448" t="str">
            <v>H0000097418</v>
          </cell>
          <cell r="I1448" t="str">
            <v>フレーム</v>
          </cell>
          <cell r="J1448" t="str">
            <v>S-Frame_CX-10_N_KKKK</v>
          </cell>
          <cell r="K1448" t="str">
            <v>S-フレーム_CX-10_N_KKKK</v>
          </cell>
          <cell r="L1448" t="str">
            <v>S-Frame</v>
          </cell>
          <cell r="M1448" t="str">
            <v>S-フレーム</v>
          </cell>
          <cell r="P1448" t="str">
            <v>31B0</v>
          </cell>
          <cell r="Q1448" t="str">
            <v>SS400</v>
          </cell>
          <cell r="R1448" t="str">
            <v>E356750_01</v>
          </cell>
          <cell r="S1448">
            <v>54</v>
          </cell>
          <cell r="T1448" t="str">
            <v>標準</v>
          </cell>
        </row>
        <row r="1449">
          <cell r="F1449" t="str">
            <v>H0000097419</v>
          </cell>
          <cell r="I1449" t="str">
            <v>フレーム</v>
          </cell>
          <cell r="J1449" t="str">
            <v>S-Frame_CX-10_N_KKKK</v>
          </cell>
          <cell r="K1449" t="str">
            <v>S-フレーム_CX-10_N_KKKK</v>
          </cell>
          <cell r="L1449" t="str">
            <v>S-Frame</v>
          </cell>
          <cell r="M1449" t="str">
            <v>S-フレーム</v>
          </cell>
          <cell r="P1449" t="str">
            <v>31B0</v>
          </cell>
          <cell r="Q1449" t="str">
            <v>SS400</v>
          </cell>
          <cell r="R1449" t="str">
            <v>E356750_01</v>
          </cell>
          <cell r="S1449">
            <v>54</v>
          </cell>
          <cell r="T1449" t="str">
            <v>標準</v>
          </cell>
        </row>
        <row r="1450">
          <cell r="F1450" t="str">
            <v>H0000097420</v>
          </cell>
          <cell r="I1450" t="str">
            <v>フレーム</v>
          </cell>
          <cell r="J1450" t="str">
            <v>S-Frame_CX-10_N_KKKK</v>
          </cell>
          <cell r="K1450" t="str">
            <v>S-フレーム_CX-10_N_KKKK</v>
          </cell>
          <cell r="L1450" t="str">
            <v>S-Frame</v>
          </cell>
          <cell r="M1450" t="str">
            <v>S-フレーム</v>
          </cell>
          <cell r="P1450" t="str">
            <v>31B0</v>
          </cell>
          <cell r="Q1450" t="str">
            <v>SS400</v>
          </cell>
          <cell r="R1450" t="str">
            <v>E356750_01</v>
          </cell>
          <cell r="S1450">
            <v>54</v>
          </cell>
          <cell r="T1450" t="str">
            <v>標準</v>
          </cell>
        </row>
        <row r="1451">
          <cell r="F1451" t="str">
            <v>H0000097421</v>
          </cell>
          <cell r="I1451" t="str">
            <v>フレーム</v>
          </cell>
          <cell r="J1451" t="str">
            <v>S-Frame_CX-10_N_TKKT</v>
          </cell>
          <cell r="K1451" t="str">
            <v>S-フレーム_CX-10_N_TKKT</v>
          </cell>
          <cell r="L1451" t="str">
            <v>S-Frame</v>
          </cell>
          <cell r="M1451" t="str">
            <v>S-フレーム</v>
          </cell>
          <cell r="P1451" t="str">
            <v>31B0</v>
          </cell>
          <cell r="Q1451" t="str">
            <v>SS400</v>
          </cell>
          <cell r="R1451" t="str">
            <v>E356750_01</v>
          </cell>
          <cell r="S1451">
            <v>54</v>
          </cell>
          <cell r="T1451" t="str">
            <v>標準</v>
          </cell>
        </row>
        <row r="1452">
          <cell r="F1452" t="str">
            <v>H0000097422</v>
          </cell>
          <cell r="I1452" t="str">
            <v>フレーム</v>
          </cell>
          <cell r="J1452" t="str">
            <v>S-Frame_CX-10_N_TKKT</v>
          </cell>
          <cell r="K1452" t="str">
            <v>S-フレーム_CX-10_N_TKKT</v>
          </cell>
          <cell r="L1452" t="str">
            <v>S-Frame</v>
          </cell>
          <cell r="M1452" t="str">
            <v>S-フレーム</v>
          </cell>
          <cell r="P1452" t="str">
            <v>31B0</v>
          </cell>
          <cell r="Q1452" t="str">
            <v>SS400</v>
          </cell>
          <cell r="R1452" t="str">
            <v>E356750_01</v>
          </cell>
          <cell r="S1452">
            <v>54</v>
          </cell>
          <cell r="T1452" t="str">
            <v>標準</v>
          </cell>
        </row>
        <row r="1453">
          <cell r="F1453" t="str">
            <v>H0000097423</v>
          </cell>
          <cell r="I1453" t="str">
            <v>フレーム</v>
          </cell>
          <cell r="J1453" t="str">
            <v>S-Frame_CX-10_N_TKKT</v>
          </cell>
          <cell r="K1453" t="str">
            <v>S-フレーム_CX-10_N_TKKT</v>
          </cell>
          <cell r="L1453" t="str">
            <v>S-Frame</v>
          </cell>
          <cell r="M1453" t="str">
            <v>S-フレーム</v>
          </cell>
          <cell r="P1453" t="str">
            <v>31B0</v>
          </cell>
          <cell r="Q1453" t="str">
            <v>SS400</v>
          </cell>
          <cell r="R1453" t="str">
            <v>E356750_01</v>
          </cell>
          <cell r="S1453">
            <v>54</v>
          </cell>
          <cell r="T1453" t="str">
            <v>標準</v>
          </cell>
        </row>
        <row r="1454">
          <cell r="F1454" t="str">
            <v>H0000097424</v>
          </cell>
          <cell r="I1454" t="str">
            <v>フレーム</v>
          </cell>
          <cell r="J1454" t="str">
            <v>S-Frame_CX-10_N_TKKT</v>
          </cell>
          <cell r="K1454" t="str">
            <v>S-フレーム_CX-10_N_TKKT</v>
          </cell>
          <cell r="L1454" t="str">
            <v>S-Frame</v>
          </cell>
          <cell r="M1454" t="str">
            <v>S-フレーム</v>
          </cell>
          <cell r="P1454" t="str">
            <v>31B0</v>
          </cell>
          <cell r="Q1454" t="str">
            <v>SS400</v>
          </cell>
          <cell r="R1454" t="str">
            <v>E356750_01</v>
          </cell>
          <cell r="S1454">
            <v>54</v>
          </cell>
          <cell r="T1454" t="str">
            <v>標準</v>
          </cell>
        </row>
        <row r="1455">
          <cell r="F1455" t="str">
            <v>H0000097425</v>
          </cell>
          <cell r="I1455" t="str">
            <v>フレーム</v>
          </cell>
          <cell r="J1455" t="str">
            <v>S-Frame_CX-10_N_KTTK</v>
          </cell>
          <cell r="K1455" t="str">
            <v>S-フレーム_CX-10_N_KTTK</v>
          </cell>
          <cell r="L1455" t="str">
            <v>S-Frame</v>
          </cell>
          <cell r="M1455" t="str">
            <v>S-フレーム</v>
          </cell>
          <cell r="P1455" t="str">
            <v>31B0</v>
          </cell>
          <cell r="Q1455" t="str">
            <v>SS400</v>
          </cell>
          <cell r="R1455" t="str">
            <v>E356750_01</v>
          </cell>
          <cell r="S1455">
            <v>54</v>
          </cell>
          <cell r="T1455" t="str">
            <v>標準</v>
          </cell>
        </row>
        <row r="1456">
          <cell r="F1456" t="str">
            <v>H0000097426</v>
          </cell>
          <cell r="I1456" t="str">
            <v>フレーム</v>
          </cell>
          <cell r="J1456" t="str">
            <v>S-Frame_CX-10_N_KTTK</v>
          </cell>
          <cell r="K1456" t="str">
            <v>S-フレーム_CX-10_N_KTTK</v>
          </cell>
          <cell r="L1456" t="str">
            <v>S-Frame</v>
          </cell>
          <cell r="M1456" t="str">
            <v>S-フレーム</v>
          </cell>
          <cell r="P1456" t="str">
            <v>31B0</v>
          </cell>
          <cell r="Q1456" t="str">
            <v>SS400</v>
          </cell>
          <cell r="R1456" t="str">
            <v>E356750_01</v>
          </cell>
          <cell r="S1456">
            <v>54</v>
          </cell>
          <cell r="T1456" t="str">
            <v>標準</v>
          </cell>
        </row>
        <row r="1457">
          <cell r="F1457" t="str">
            <v>H0000097427</v>
          </cell>
          <cell r="I1457" t="str">
            <v>フレーム</v>
          </cell>
          <cell r="J1457" t="str">
            <v>S-Frame_CX-10_N_KTTK</v>
          </cell>
          <cell r="K1457" t="str">
            <v>S-フレーム_CX-10_N_KTTK</v>
          </cell>
          <cell r="L1457" t="str">
            <v>S-Frame</v>
          </cell>
          <cell r="M1457" t="str">
            <v>S-フレーム</v>
          </cell>
          <cell r="P1457" t="str">
            <v>31B0</v>
          </cell>
          <cell r="Q1457" t="str">
            <v>SS400</v>
          </cell>
          <cell r="R1457" t="str">
            <v>E356750_01</v>
          </cell>
          <cell r="S1457">
            <v>54</v>
          </cell>
          <cell r="T1457" t="str">
            <v>標準</v>
          </cell>
        </row>
        <row r="1458">
          <cell r="F1458" t="str">
            <v>H0000097428</v>
          </cell>
          <cell r="I1458" t="str">
            <v>フレーム</v>
          </cell>
          <cell r="J1458" t="str">
            <v>S-Frame_CX-10_N_KTTK</v>
          </cell>
          <cell r="K1458" t="str">
            <v>S-フレーム_CX-10_N_KTTK</v>
          </cell>
          <cell r="L1458" t="str">
            <v>S-Frame</v>
          </cell>
          <cell r="M1458" t="str">
            <v>S-フレーム</v>
          </cell>
          <cell r="P1458" t="str">
            <v>31B0</v>
          </cell>
          <cell r="Q1458" t="str">
            <v>SS400</v>
          </cell>
          <cell r="R1458" t="str">
            <v>E356750_01</v>
          </cell>
          <cell r="S1458">
            <v>54</v>
          </cell>
          <cell r="T1458" t="str">
            <v>標準</v>
          </cell>
        </row>
        <row r="1459">
          <cell r="F1459" t="str">
            <v>H0000097429</v>
          </cell>
          <cell r="I1459" t="str">
            <v>フレーム</v>
          </cell>
          <cell r="J1459" t="str">
            <v>S-Frame_GasCutting_CX-10_N_1234</v>
          </cell>
          <cell r="K1459" t="str">
            <v>S-フレーム_ガス溶断_CX-10_N_1234</v>
          </cell>
          <cell r="L1459" t="str">
            <v>S-Frame</v>
          </cell>
          <cell r="M1459" t="str">
            <v>S-フレーム</v>
          </cell>
          <cell r="N1459" t="str">
            <v>GasCutting</v>
          </cell>
          <cell r="O1459" t="str">
            <v>ガス溶断</v>
          </cell>
          <cell r="P1459" t="str">
            <v>31B0</v>
          </cell>
          <cell r="Q1459" t="str">
            <v>SS400</v>
          </cell>
          <cell r="R1459" t="str">
            <v>E356750_01</v>
          </cell>
          <cell r="S1459">
            <v>54</v>
          </cell>
          <cell r="T1459" t="str">
            <v>標準</v>
          </cell>
        </row>
        <row r="1460">
          <cell r="F1460" t="str">
            <v>H0000097430</v>
          </cell>
          <cell r="I1460" t="str">
            <v>フレーム</v>
          </cell>
          <cell r="J1460" t="str">
            <v>S-Frame_CX-10_H_TTTT</v>
          </cell>
          <cell r="K1460" t="str">
            <v>S-フレーム_CX-10_H_TTTT</v>
          </cell>
          <cell r="L1460" t="str">
            <v>S-Frame</v>
          </cell>
          <cell r="M1460" t="str">
            <v>S-フレーム</v>
          </cell>
          <cell r="P1460" t="str">
            <v>31B0</v>
          </cell>
          <cell r="Q1460" t="str">
            <v>SS400</v>
          </cell>
          <cell r="R1460" t="str">
            <v>E356750_01</v>
          </cell>
          <cell r="S1460">
            <v>60</v>
          </cell>
          <cell r="T1460" t="str">
            <v>標準</v>
          </cell>
        </row>
        <row r="1461">
          <cell r="F1461" t="str">
            <v>H0000097431</v>
          </cell>
          <cell r="I1461" t="str">
            <v>フレーム</v>
          </cell>
          <cell r="J1461" t="str">
            <v>S-Frame_CX-10_H_TTTT</v>
          </cell>
          <cell r="K1461" t="str">
            <v>S-フレーム_CX-10_H_TTTT</v>
          </cell>
          <cell r="L1461" t="str">
            <v>S-Frame</v>
          </cell>
          <cell r="M1461" t="str">
            <v>S-フレーム</v>
          </cell>
          <cell r="P1461" t="str">
            <v>31B0</v>
          </cell>
          <cell r="Q1461" t="str">
            <v>SS400</v>
          </cell>
          <cell r="R1461" t="str">
            <v>E356750_01</v>
          </cell>
          <cell r="S1461">
            <v>60</v>
          </cell>
          <cell r="T1461" t="str">
            <v>標準</v>
          </cell>
        </row>
        <row r="1462">
          <cell r="F1462" t="str">
            <v>H0000097432</v>
          </cell>
          <cell r="I1462" t="str">
            <v>フレーム</v>
          </cell>
          <cell r="J1462" t="str">
            <v>S-Frame_CX-10_H_TTTT</v>
          </cell>
          <cell r="K1462" t="str">
            <v>S-フレーム_CX-10_H_TTTT</v>
          </cell>
          <cell r="L1462" t="str">
            <v>S-Frame</v>
          </cell>
          <cell r="M1462" t="str">
            <v>S-フレーム</v>
          </cell>
          <cell r="P1462" t="str">
            <v>31B0</v>
          </cell>
          <cell r="Q1462" t="str">
            <v>SS400</v>
          </cell>
          <cell r="R1462" t="str">
            <v>E356750_01</v>
          </cell>
          <cell r="S1462">
            <v>60</v>
          </cell>
          <cell r="T1462" t="str">
            <v>標準</v>
          </cell>
        </row>
        <row r="1463">
          <cell r="F1463" t="str">
            <v>H0000097433</v>
          </cell>
          <cell r="I1463" t="str">
            <v>フレーム</v>
          </cell>
          <cell r="J1463" t="str">
            <v>S-Frame_CX-10_H_TTTT</v>
          </cell>
          <cell r="K1463" t="str">
            <v>S-フレーム_CX-10_H_TTTT</v>
          </cell>
          <cell r="L1463" t="str">
            <v>S-Frame</v>
          </cell>
          <cell r="M1463" t="str">
            <v>S-フレーム</v>
          </cell>
          <cell r="P1463" t="str">
            <v>31B0</v>
          </cell>
          <cell r="Q1463" t="str">
            <v>SS400</v>
          </cell>
          <cell r="R1463" t="str">
            <v>E356750_01</v>
          </cell>
          <cell r="S1463">
            <v>60</v>
          </cell>
          <cell r="T1463" t="str">
            <v>標準</v>
          </cell>
        </row>
        <row r="1464">
          <cell r="F1464" t="str">
            <v>H0000097434</v>
          </cell>
          <cell r="I1464" t="str">
            <v>フレーム</v>
          </cell>
          <cell r="J1464" t="str">
            <v>S-Frame_CX-10_H_TTTT</v>
          </cell>
          <cell r="K1464" t="str">
            <v>S-フレーム_CX-10_H_TTTT</v>
          </cell>
          <cell r="L1464" t="str">
            <v>S-Frame</v>
          </cell>
          <cell r="M1464" t="str">
            <v>S-フレーム</v>
          </cell>
          <cell r="P1464" t="str">
            <v>31B0</v>
          </cell>
          <cell r="Q1464" t="str">
            <v>SS400</v>
          </cell>
          <cell r="R1464" t="str">
            <v>E356750_01</v>
          </cell>
          <cell r="S1464">
            <v>60</v>
          </cell>
          <cell r="T1464" t="str">
            <v>標準</v>
          </cell>
        </row>
        <row r="1465">
          <cell r="F1465" t="str">
            <v>H0000097435</v>
          </cell>
          <cell r="I1465" t="str">
            <v>フレーム</v>
          </cell>
          <cell r="J1465" t="str">
            <v>S-Frame_CX-10_H_TTTT</v>
          </cell>
          <cell r="K1465" t="str">
            <v>S-フレーム_CX-10_H_TTTT</v>
          </cell>
          <cell r="L1465" t="str">
            <v>S-Frame</v>
          </cell>
          <cell r="M1465" t="str">
            <v>S-フレーム</v>
          </cell>
          <cell r="P1465" t="str">
            <v>31B0</v>
          </cell>
          <cell r="Q1465" t="str">
            <v>SS400</v>
          </cell>
          <cell r="R1465" t="str">
            <v>E356750_01</v>
          </cell>
          <cell r="S1465">
            <v>60</v>
          </cell>
          <cell r="T1465" t="str">
            <v>標準</v>
          </cell>
        </row>
        <row r="1466">
          <cell r="F1466" t="str">
            <v>H0000097436</v>
          </cell>
          <cell r="I1466" t="str">
            <v>フレーム</v>
          </cell>
          <cell r="J1466" t="str">
            <v>S-Frame_CX-10_H_TTTT</v>
          </cell>
          <cell r="K1466" t="str">
            <v>S-フレーム_CX-10_H_TTTT</v>
          </cell>
          <cell r="L1466" t="str">
            <v>S-Frame</v>
          </cell>
          <cell r="M1466" t="str">
            <v>S-フレーム</v>
          </cell>
          <cell r="P1466" t="str">
            <v>31B0</v>
          </cell>
          <cell r="Q1466" t="str">
            <v>SS400</v>
          </cell>
          <cell r="R1466" t="str">
            <v>E356750_01</v>
          </cell>
          <cell r="S1466">
            <v>60</v>
          </cell>
          <cell r="T1466" t="str">
            <v>標準</v>
          </cell>
        </row>
        <row r="1467">
          <cell r="F1467" t="str">
            <v>H0000097437</v>
          </cell>
          <cell r="I1467" t="str">
            <v>フレーム</v>
          </cell>
          <cell r="J1467" t="str">
            <v>S-Frame_CX-10_H_TTTT</v>
          </cell>
          <cell r="K1467" t="str">
            <v>S-フレーム_CX-10_H_TTTT</v>
          </cell>
          <cell r="L1467" t="str">
            <v>S-Frame</v>
          </cell>
          <cell r="M1467" t="str">
            <v>S-フレーム</v>
          </cell>
          <cell r="P1467" t="str">
            <v>31B0</v>
          </cell>
          <cell r="Q1467" t="str">
            <v>SS400</v>
          </cell>
          <cell r="R1467" t="str">
            <v>E356750_01</v>
          </cell>
          <cell r="S1467">
            <v>60</v>
          </cell>
          <cell r="T1467" t="str">
            <v>標準</v>
          </cell>
        </row>
        <row r="1468">
          <cell r="F1468" t="str">
            <v>H0000097438</v>
          </cell>
          <cell r="I1468" t="str">
            <v>フレーム</v>
          </cell>
          <cell r="J1468" t="str">
            <v>S-Frame_CX-10_H_TKTK</v>
          </cell>
          <cell r="K1468" t="str">
            <v>S-フレーム_CX-10_H_TKTK</v>
          </cell>
          <cell r="L1468" t="str">
            <v>S-Frame</v>
          </cell>
          <cell r="M1468" t="str">
            <v>S-フレーム</v>
          </cell>
          <cell r="P1468" t="str">
            <v>31B0</v>
          </cell>
          <cell r="Q1468" t="str">
            <v>SS400</v>
          </cell>
          <cell r="R1468" t="str">
            <v>E356750_01</v>
          </cell>
          <cell r="S1468">
            <v>60</v>
          </cell>
          <cell r="T1468" t="str">
            <v>標準</v>
          </cell>
        </row>
        <row r="1469">
          <cell r="F1469" t="str">
            <v>H0000097439</v>
          </cell>
          <cell r="I1469" t="str">
            <v>フレーム</v>
          </cell>
          <cell r="J1469" t="str">
            <v>S-Frame_CX-10_H_TKTK</v>
          </cell>
          <cell r="K1469" t="str">
            <v>S-フレーム_CX-10_H_TKTK</v>
          </cell>
          <cell r="L1469" t="str">
            <v>S-Frame</v>
          </cell>
          <cell r="M1469" t="str">
            <v>S-フレーム</v>
          </cell>
          <cell r="P1469" t="str">
            <v>31B0</v>
          </cell>
          <cell r="Q1469" t="str">
            <v>SS400</v>
          </cell>
          <cell r="R1469" t="str">
            <v>E356750_01</v>
          </cell>
          <cell r="S1469">
            <v>60</v>
          </cell>
          <cell r="T1469" t="str">
            <v>標準</v>
          </cell>
        </row>
        <row r="1470">
          <cell r="F1470" t="str">
            <v>H0000097440</v>
          </cell>
          <cell r="I1470" t="str">
            <v>フレーム</v>
          </cell>
          <cell r="J1470" t="str">
            <v>S-Frame_CX-10_H_TKTK</v>
          </cell>
          <cell r="K1470" t="str">
            <v>S-フレーム_CX-10_H_TKTK</v>
          </cell>
          <cell r="L1470" t="str">
            <v>S-Frame</v>
          </cell>
          <cell r="M1470" t="str">
            <v>S-フレーム</v>
          </cell>
          <cell r="P1470" t="str">
            <v>31B0</v>
          </cell>
          <cell r="Q1470" t="str">
            <v>SS400</v>
          </cell>
          <cell r="R1470" t="str">
            <v>E356750_01</v>
          </cell>
          <cell r="S1470">
            <v>60</v>
          </cell>
          <cell r="T1470" t="str">
            <v>標準</v>
          </cell>
        </row>
        <row r="1471">
          <cell r="F1471" t="str">
            <v>H0000097441</v>
          </cell>
          <cell r="I1471" t="str">
            <v>フレーム</v>
          </cell>
          <cell r="J1471" t="str">
            <v>S-Frame_CX-10_H_TKTK</v>
          </cell>
          <cell r="K1471" t="str">
            <v>S-フレーム_CX-10_H_TKTK</v>
          </cell>
          <cell r="L1471" t="str">
            <v>S-Frame</v>
          </cell>
          <cell r="M1471" t="str">
            <v>S-フレーム</v>
          </cell>
          <cell r="P1471" t="str">
            <v>31B0</v>
          </cell>
          <cell r="Q1471" t="str">
            <v>SS400</v>
          </cell>
          <cell r="R1471" t="str">
            <v>E356750_01</v>
          </cell>
          <cell r="S1471">
            <v>60</v>
          </cell>
          <cell r="T1471" t="str">
            <v>標準</v>
          </cell>
        </row>
        <row r="1472">
          <cell r="F1472" t="str">
            <v>H0000097442</v>
          </cell>
          <cell r="I1472" t="str">
            <v>フレーム</v>
          </cell>
          <cell r="J1472" t="str">
            <v>S-Frame_CX-10_H_KTKT</v>
          </cell>
          <cell r="K1472" t="str">
            <v>S-フレーム_CX-10_H_KTKT</v>
          </cell>
          <cell r="L1472" t="str">
            <v>S-Frame</v>
          </cell>
          <cell r="M1472" t="str">
            <v>S-フレーム</v>
          </cell>
          <cell r="P1472" t="str">
            <v>31B0</v>
          </cell>
          <cell r="Q1472" t="str">
            <v>SS400</v>
          </cell>
          <cell r="R1472" t="str">
            <v>E356750_01</v>
          </cell>
          <cell r="S1472">
            <v>60</v>
          </cell>
          <cell r="T1472" t="str">
            <v>標準</v>
          </cell>
        </row>
        <row r="1473">
          <cell r="F1473" t="str">
            <v>H0000097443</v>
          </cell>
          <cell r="I1473" t="str">
            <v>フレーム</v>
          </cell>
          <cell r="J1473" t="str">
            <v>S-Frame_CX-10_H_KTKT</v>
          </cell>
          <cell r="K1473" t="str">
            <v>S-フレーム_CX-10_H_KTKT</v>
          </cell>
          <cell r="L1473" t="str">
            <v>S-Frame</v>
          </cell>
          <cell r="M1473" t="str">
            <v>S-フレーム</v>
          </cell>
          <cell r="P1473" t="str">
            <v>31B0</v>
          </cell>
          <cell r="Q1473" t="str">
            <v>SS400</v>
          </cell>
          <cell r="R1473" t="str">
            <v>E356750_01</v>
          </cell>
          <cell r="S1473">
            <v>60</v>
          </cell>
          <cell r="T1473" t="str">
            <v>標準</v>
          </cell>
        </row>
        <row r="1474">
          <cell r="F1474" t="str">
            <v>H0000097444</v>
          </cell>
          <cell r="I1474" t="str">
            <v>フレーム</v>
          </cell>
          <cell r="J1474" t="str">
            <v>S-Frame_CX-10_H_KTKT</v>
          </cell>
          <cell r="K1474" t="str">
            <v>S-フレーム_CX-10_H_KTKT</v>
          </cell>
          <cell r="L1474" t="str">
            <v>S-Frame</v>
          </cell>
          <cell r="M1474" t="str">
            <v>S-フレーム</v>
          </cell>
          <cell r="P1474" t="str">
            <v>31B0</v>
          </cell>
          <cell r="Q1474" t="str">
            <v>SS400</v>
          </cell>
          <cell r="R1474" t="str">
            <v>E356750_01</v>
          </cell>
          <cell r="S1474">
            <v>60</v>
          </cell>
          <cell r="T1474" t="str">
            <v>標準</v>
          </cell>
        </row>
        <row r="1475">
          <cell r="F1475" t="str">
            <v>H0000097445</v>
          </cell>
          <cell r="I1475" t="str">
            <v>フレーム</v>
          </cell>
          <cell r="J1475" t="str">
            <v>S-Frame_CX-10_H_KTKT</v>
          </cell>
          <cell r="K1475" t="str">
            <v>S-フレーム_CX-10_H_KTKT</v>
          </cell>
          <cell r="L1475" t="str">
            <v>S-Frame</v>
          </cell>
          <cell r="M1475" t="str">
            <v>S-フレーム</v>
          </cell>
          <cell r="P1475" t="str">
            <v>31B0</v>
          </cell>
          <cell r="Q1475" t="str">
            <v>SS400</v>
          </cell>
          <cell r="R1475" t="str">
            <v>E356750_01</v>
          </cell>
          <cell r="S1475">
            <v>60</v>
          </cell>
          <cell r="T1475" t="str">
            <v>標準</v>
          </cell>
        </row>
        <row r="1476">
          <cell r="F1476" t="str">
            <v>H0000097446</v>
          </cell>
          <cell r="I1476" t="str">
            <v>フレーム</v>
          </cell>
          <cell r="J1476" t="str">
            <v>S-Frame_CX-10_H_KKKK</v>
          </cell>
          <cell r="K1476" t="str">
            <v>S-フレーム_CX-10_H_KKKK</v>
          </cell>
          <cell r="L1476" t="str">
            <v>S-Frame</v>
          </cell>
          <cell r="M1476" t="str">
            <v>S-フレーム</v>
          </cell>
          <cell r="P1476" t="str">
            <v>31B0</v>
          </cell>
          <cell r="Q1476" t="str">
            <v>SS400</v>
          </cell>
          <cell r="R1476" t="str">
            <v>E356750_01</v>
          </cell>
          <cell r="S1476">
            <v>60</v>
          </cell>
          <cell r="T1476" t="str">
            <v>標準</v>
          </cell>
        </row>
        <row r="1477">
          <cell r="F1477" t="str">
            <v>H0000097447</v>
          </cell>
          <cell r="I1477" t="str">
            <v>フレーム</v>
          </cell>
          <cell r="J1477" t="str">
            <v>S-Frame_CX-10_H_KKKK</v>
          </cell>
          <cell r="K1477" t="str">
            <v>S-フレーム_CX-10_H_KKKK</v>
          </cell>
          <cell r="L1477" t="str">
            <v>S-Frame</v>
          </cell>
          <cell r="M1477" t="str">
            <v>S-フレーム</v>
          </cell>
          <cell r="P1477" t="str">
            <v>31B0</v>
          </cell>
          <cell r="Q1477" t="str">
            <v>SS400</v>
          </cell>
          <cell r="R1477" t="str">
            <v>E356750_01</v>
          </cell>
          <cell r="S1477">
            <v>60</v>
          </cell>
          <cell r="T1477" t="str">
            <v>標準</v>
          </cell>
        </row>
        <row r="1478">
          <cell r="F1478" t="str">
            <v>H0000097448</v>
          </cell>
          <cell r="I1478" t="str">
            <v>フレーム</v>
          </cell>
          <cell r="J1478" t="str">
            <v>S-Frame_CX-10_H_KKKK</v>
          </cell>
          <cell r="K1478" t="str">
            <v>S-フレーム_CX-10_H_KKKK</v>
          </cell>
          <cell r="L1478" t="str">
            <v>S-Frame</v>
          </cell>
          <cell r="M1478" t="str">
            <v>S-フレーム</v>
          </cell>
          <cell r="P1478" t="str">
            <v>31B0</v>
          </cell>
          <cell r="Q1478" t="str">
            <v>SS400</v>
          </cell>
          <cell r="R1478" t="str">
            <v>E356750_01</v>
          </cell>
          <cell r="S1478">
            <v>60</v>
          </cell>
          <cell r="T1478" t="str">
            <v>標準</v>
          </cell>
        </row>
        <row r="1479">
          <cell r="F1479" t="str">
            <v>H0000097449</v>
          </cell>
          <cell r="I1479" t="str">
            <v>フレーム</v>
          </cell>
          <cell r="J1479" t="str">
            <v>S-Frame_CX-10_H_KKKK</v>
          </cell>
          <cell r="K1479" t="str">
            <v>S-フレーム_CX-10_H_KKKK</v>
          </cell>
          <cell r="L1479" t="str">
            <v>S-Frame</v>
          </cell>
          <cell r="M1479" t="str">
            <v>S-フレーム</v>
          </cell>
          <cell r="P1479" t="str">
            <v>31B0</v>
          </cell>
          <cell r="Q1479" t="str">
            <v>SS400</v>
          </cell>
          <cell r="R1479" t="str">
            <v>E356750_01</v>
          </cell>
          <cell r="S1479">
            <v>60</v>
          </cell>
          <cell r="T1479" t="str">
            <v>標準</v>
          </cell>
        </row>
        <row r="1480">
          <cell r="F1480" t="str">
            <v>H0000097450</v>
          </cell>
          <cell r="I1480" t="str">
            <v>フレーム</v>
          </cell>
          <cell r="J1480" t="str">
            <v>S-Frame_CX-10_H_KKKK</v>
          </cell>
          <cell r="K1480" t="str">
            <v>S-フレーム_CX-10_H_KKKK</v>
          </cell>
          <cell r="L1480" t="str">
            <v>S-Frame</v>
          </cell>
          <cell r="M1480" t="str">
            <v>S-フレーム</v>
          </cell>
          <cell r="P1480" t="str">
            <v>31B0</v>
          </cell>
          <cell r="Q1480" t="str">
            <v>SS400</v>
          </cell>
          <cell r="R1480" t="str">
            <v>E356750_01</v>
          </cell>
          <cell r="S1480">
            <v>60</v>
          </cell>
          <cell r="T1480" t="str">
            <v>標準</v>
          </cell>
        </row>
        <row r="1481">
          <cell r="F1481" t="str">
            <v>H0000097451</v>
          </cell>
          <cell r="I1481" t="str">
            <v>フレーム</v>
          </cell>
          <cell r="J1481" t="str">
            <v>S-Frame_CX-10_H_KKKK</v>
          </cell>
          <cell r="K1481" t="str">
            <v>S-フレーム_CX-10_H_KKKK</v>
          </cell>
          <cell r="L1481" t="str">
            <v>S-Frame</v>
          </cell>
          <cell r="M1481" t="str">
            <v>S-フレーム</v>
          </cell>
          <cell r="P1481" t="str">
            <v>31B0</v>
          </cell>
          <cell r="Q1481" t="str">
            <v>SS400</v>
          </cell>
          <cell r="R1481" t="str">
            <v>E356750_01</v>
          </cell>
          <cell r="S1481">
            <v>60</v>
          </cell>
          <cell r="T1481" t="str">
            <v>標準</v>
          </cell>
        </row>
        <row r="1482">
          <cell r="F1482" t="str">
            <v>H0000097452</v>
          </cell>
          <cell r="I1482" t="str">
            <v>フレーム</v>
          </cell>
          <cell r="J1482" t="str">
            <v>S-Frame_CX-10_H_KKKK</v>
          </cell>
          <cell r="K1482" t="str">
            <v>S-フレーム_CX-10_H_KKKK</v>
          </cell>
          <cell r="L1482" t="str">
            <v>S-Frame</v>
          </cell>
          <cell r="M1482" t="str">
            <v>S-フレーム</v>
          </cell>
          <cell r="P1482" t="str">
            <v>31B0</v>
          </cell>
          <cell r="Q1482" t="str">
            <v>SS400</v>
          </cell>
          <cell r="R1482" t="str">
            <v>E356750_01</v>
          </cell>
          <cell r="S1482">
            <v>60</v>
          </cell>
          <cell r="T1482" t="str">
            <v>標準</v>
          </cell>
        </row>
        <row r="1483">
          <cell r="F1483" t="str">
            <v>H0000097453</v>
          </cell>
          <cell r="I1483" t="str">
            <v>フレーム</v>
          </cell>
          <cell r="J1483" t="str">
            <v>S-Frame_CX-10_H_KKKK</v>
          </cell>
          <cell r="K1483" t="str">
            <v>S-フレーム_CX-10_H_KKKK</v>
          </cell>
          <cell r="L1483" t="str">
            <v>S-Frame</v>
          </cell>
          <cell r="M1483" t="str">
            <v>S-フレーム</v>
          </cell>
          <cell r="P1483" t="str">
            <v>31B0</v>
          </cell>
          <cell r="Q1483" t="str">
            <v>SS400</v>
          </cell>
          <cell r="R1483" t="str">
            <v>E356750_01</v>
          </cell>
          <cell r="S1483">
            <v>60</v>
          </cell>
          <cell r="T1483" t="str">
            <v>標準</v>
          </cell>
        </row>
        <row r="1484">
          <cell r="F1484" t="str">
            <v>H0000097454</v>
          </cell>
          <cell r="I1484" t="str">
            <v>フレーム</v>
          </cell>
          <cell r="J1484" t="str">
            <v>S-Frame_CX-10_H_TKKT</v>
          </cell>
          <cell r="K1484" t="str">
            <v>S-フレーム_CX-10_H_TKKT</v>
          </cell>
          <cell r="L1484" t="str">
            <v>S-Frame</v>
          </cell>
          <cell r="M1484" t="str">
            <v>S-フレーム</v>
          </cell>
          <cell r="P1484" t="str">
            <v>31B0</v>
          </cell>
          <cell r="Q1484" t="str">
            <v>SS400</v>
          </cell>
          <cell r="R1484" t="str">
            <v>E356750_01</v>
          </cell>
          <cell r="S1484">
            <v>60</v>
          </cell>
          <cell r="T1484" t="str">
            <v>標準</v>
          </cell>
        </row>
        <row r="1485">
          <cell r="F1485" t="str">
            <v>H0000097455</v>
          </cell>
          <cell r="I1485" t="str">
            <v>フレーム</v>
          </cell>
          <cell r="J1485" t="str">
            <v>S-Frame_CX-10_H_TKKT</v>
          </cell>
          <cell r="K1485" t="str">
            <v>S-フレーム_CX-10_H_TKKT</v>
          </cell>
          <cell r="L1485" t="str">
            <v>S-Frame</v>
          </cell>
          <cell r="M1485" t="str">
            <v>S-フレーム</v>
          </cell>
          <cell r="P1485" t="str">
            <v>31B0</v>
          </cell>
          <cell r="Q1485" t="str">
            <v>SS400</v>
          </cell>
          <cell r="R1485" t="str">
            <v>E356750_01</v>
          </cell>
          <cell r="S1485">
            <v>60</v>
          </cell>
          <cell r="T1485" t="str">
            <v>標準</v>
          </cell>
        </row>
        <row r="1486">
          <cell r="F1486" t="str">
            <v>H0000097456</v>
          </cell>
          <cell r="I1486" t="str">
            <v>フレーム</v>
          </cell>
          <cell r="J1486" t="str">
            <v>S-Frame_CX-10_H_TKKT</v>
          </cell>
          <cell r="K1486" t="str">
            <v>S-フレーム_CX-10_H_TKKT</v>
          </cell>
          <cell r="L1486" t="str">
            <v>S-Frame</v>
          </cell>
          <cell r="M1486" t="str">
            <v>S-フレーム</v>
          </cell>
          <cell r="P1486" t="str">
            <v>31B0</v>
          </cell>
          <cell r="Q1486" t="str">
            <v>SS400</v>
          </cell>
          <cell r="R1486" t="str">
            <v>E356750_01</v>
          </cell>
          <cell r="S1486">
            <v>60</v>
          </cell>
          <cell r="T1486" t="str">
            <v>標準</v>
          </cell>
        </row>
        <row r="1487">
          <cell r="F1487" t="str">
            <v>H0000097457</v>
          </cell>
          <cell r="I1487" t="str">
            <v>フレーム</v>
          </cell>
          <cell r="J1487" t="str">
            <v>S-Frame_CX-10_H_TKKT</v>
          </cell>
          <cell r="K1487" t="str">
            <v>S-フレーム_CX-10_H_TKKT</v>
          </cell>
          <cell r="L1487" t="str">
            <v>S-Frame</v>
          </cell>
          <cell r="M1487" t="str">
            <v>S-フレーム</v>
          </cell>
          <cell r="P1487" t="str">
            <v>31B0</v>
          </cell>
          <cell r="Q1487" t="str">
            <v>SS400</v>
          </cell>
          <cell r="R1487" t="str">
            <v>E356750_01</v>
          </cell>
          <cell r="S1487">
            <v>60</v>
          </cell>
          <cell r="T1487" t="str">
            <v>標準</v>
          </cell>
        </row>
        <row r="1488">
          <cell r="F1488" t="str">
            <v>H0000097458</v>
          </cell>
          <cell r="I1488" t="str">
            <v>フレーム</v>
          </cell>
          <cell r="J1488" t="str">
            <v>S-Frame_CX-10_H_KTTK</v>
          </cell>
          <cell r="K1488" t="str">
            <v>S-フレーム_CX-10_H_KTTK</v>
          </cell>
          <cell r="L1488" t="str">
            <v>S-Frame</v>
          </cell>
          <cell r="M1488" t="str">
            <v>S-フレーム</v>
          </cell>
          <cell r="P1488" t="str">
            <v>31B0</v>
          </cell>
          <cell r="Q1488" t="str">
            <v>SS400</v>
          </cell>
          <cell r="R1488" t="str">
            <v>E356750_01</v>
          </cell>
          <cell r="S1488">
            <v>60</v>
          </cell>
          <cell r="T1488" t="str">
            <v>標準</v>
          </cell>
        </row>
        <row r="1489">
          <cell r="F1489" t="str">
            <v>H0000097459</v>
          </cell>
          <cell r="I1489" t="str">
            <v>フレーム</v>
          </cell>
          <cell r="J1489" t="str">
            <v>S-Frame_CX-10_H_KTTK</v>
          </cell>
          <cell r="K1489" t="str">
            <v>S-フレーム_CX-10_H_KTTK</v>
          </cell>
          <cell r="L1489" t="str">
            <v>S-Frame</v>
          </cell>
          <cell r="M1489" t="str">
            <v>S-フレーム</v>
          </cell>
          <cell r="P1489" t="str">
            <v>31B0</v>
          </cell>
          <cell r="Q1489" t="str">
            <v>SS400</v>
          </cell>
          <cell r="R1489" t="str">
            <v>E356750_01</v>
          </cell>
          <cell r="S1489">
            <v>60</v>
          </cell>
          <cell r="T1489" t="str">
            <v>標準</v>
          </cell>
        </row>
        <row r="1490">
          <cell r="F1490" t="str">
            <v>H0000097460</v>
          </cell>
          <cell r="I1490" t="str">
            <v>フレーム</v>
          </cell>
          <cell r="J1490" t="str">
            <v>S-Frame_CX-10_H_KTTK</v>
          </cell>
          <cell r="K1490" t="str">
            <v>S-フレーム_CX-10_H_KTTK</v>
          </cell>
          <cell r="L1490" t="str">
            <v>S-Frame</v>
          </cell>
          <cell r="M1490" t="str">
            <v>S-フレーム</v>
          </cell>
          <cell r="P1490" t="str">
            <v>31B0</v>
          </cell>
          <cell r="Q1490" t="str">
            <v>SS400</v>
          </cell>
          <cell r="R1490" t="str">
            <v>E356750_01</v>
          </cell>
          <cell r="S1490">
            <v>60</v>
          </cell>
          <cell r="T1490" t="str">
            <v>標準</v>
          </cell>
        </row>
        <row r="1491">
          <cell r="F1491" t="str">
            <v>H0000097461</v>
          </cell>
          <cell r="I1491" t="str">
            <v>フレーム</v>
          </cell>
          <cell r="J1491" t="str">
            <v>S-Frame_CX-10_H_KTTK</v>
          </cell>
          <cell r="K1491" t="str">
            <v>S-フレーム_CX-10_H_KTTK</v>
          </cell>
          <cell r="L1491" t="str">
            <v>S-Frame</v>
          </cell>
          <cell r="M1491" t="str">
            <v>S-フレーム</v>
          </cell>
          <cell r="P1491" t="str">
            <v>31B0</v>
          </cell>
          <cell r="Q1491" t="str">
            <v>SS400</v>
          </cell>
          <cell r="R1491" t="str">
            <v>E356750_01</v>
          </cell>
          <cell r="S1491">
            <v>60</v>
          </cell>
          <cell r="T1491" t="str">
            <v>標準</v>
          </cell>
        </row>
        <row r="1492">
          <cell r="F1492" t="str">
            <v>H0000097462</v>
          </cell>
          <cell r="I1492" t="str">
            <v>フレーム</v>
          </cell>
          <cell r="J1492" t="str">
            <v>S-Frame_GasCutting_CX-10_H_1234</v>
          </cell>
          <cell r="K1492" t="str">
            <v>S-フレーム_ガス溶断_CX-10_H_1234</v>
          </cell>
          <cell r="L1492" t="str">
            <v>S-Frame</v>
          </cell>
          <cell r="M1492" t="str">
            <v>S-フレーム</v>
          </cell>
          <cell r="N1492" t="str">
            <v>GasCutting</v>
          </cell>
          <cell r="O1492" t="str">
            <v>ガス溶断</v>
          </cell>
          <cell r="P1492" t="str">
            <v>31B0</v>
          </cell>
          <cell r="Q1492" t="str">
            <v>SS400</v>
          </cell>
          <cell r="R1492" t="str">
            <v>E356750_01</v>
          </cell>
          <cell r="S1492">
            <v>60</v>
          </cell>
          <cell r="T1492" t="str">
            <v>標準</v>
          </cell>
        </row>
        <row r="1493">
          <cell r="F1493" t="str">
            <v>H0000097463</v>
          </cell>
          <cell r="I1493" t="str">
            <v>フレーム</v>
          </cell>
          <cell r="J1493" t="str">
            <v>S-Frame_CX-10_U_TTTT</v>
          </cell>
          <cell r="K1493" t="str">
            <v>S-フレーム_CX-10_U_TTTT</v>
          </cell>
          <cell r="L1493" t="str">
            <v>S-Frame</v>
          </cell>
          <cell r="M1493" t="str">
            <v>S-フレーム</v>
          </cell>
          <cell r="P1493" t="str">
            <v>31B0</v>
          </cell>
          <cell r="Q1493" t="str">
            <v>SS400</v>
          </cell>
          <cell r="R1493" t="str">
            <v>E356750_01</v>
          </cell>
          <cell r="S1493">
            <v>69</v>
          </cell>
          <cell r="T1493" t="str">
            <v>標準</v>
          </cell>
        </row>
        <row r="1494">
          <cell r="F1494" t="str">
            <v>H0000097464</v>
          </cell>
          <cell r="I1494" t="str">
            <v>フレーム</v>
          </cell>
          <cell r="J1494" t="str">
            <v>S-Frame_CX-10_U_TTTT</v>
          </cell>
          <cell r="K1494" t="str">
            <v>S-フレーム_CX-10_U_TTTT</v>
          </cell>
          <cell r="L1494" t="str">
            <v>S-Frame</v>
          </cell>
          <cell r="M1494" t="str">
            <v>S-フレーム</v>
          </cell>
          <cell r="P1494" t="str">
            <v>31B0</v>
          </cell>
          <cell r="Q1494" t="str">
            <v>SS400</v>
          </cell>
          <cell r="R1494" t="str">
            <v>E356750_01</v>
          </cell>
          <cell r="S1494">
            <v>69</v>
          </cell>
          <cell r="T1494" t="str">
            <v>標準</v>
          </cell>
        </row>
        <row r="1495">
          <cell r="F1495" t="str">
            <v>H0000097465</v>
          </cell>
          <cell r="I1495" t="str">
            <v>フレーム</v>
          </cell>
          <cell r="J1495" t="str">
            <v>S-Frame_CX-10_U_TTTT</v>
          </cell>
          <cell r="K1495" t="str">
            <v>S-フレーム_CX-10_U_TTTT</v>
          </cell>
          <cell r="L1495" t="str">
            <v>S-Frame</v>
          </cell>
          <cell r="M1495" t="str">
            <v>S-フレーム</v>
          </cell>
          <cell r="P1495" t="str">
            <v>31B0</v>
          </cell>
          <cell r="Q1495" t="str">
            <v>SS400</v>
          </cell>
          <cell r="R1495" t="str">
            <v>E356750_01</v>
          </cell>
          <cell r="S1495">
            <v>69</v>
          </cell>
          <cell r="T1495" t="str">
            <v>標準</v>
          </cell>
        </row>
        <row r="1496">
          <cell r="F1496" t="str">
            <v>H0000097466</v>
          </cell>
          <cell r="I1496" t="str">
            <v>フレーム</v>
          </cell>
          <cell r="J1496" t="str">
            <v>S-Frame_CX-10_U_TTTT</v>
          </cell>
          <cell r="K1496" t="str">
            <v>S-フレーム_CX-10_U_TTTT</v>
          </cell>
          <cell r="L1496" t="str">
            <v>S-Frame</v>
          </cell>
          <cell r="M1496" t="str">
            <v>S-フレーム</v>
          </cell>
          <cell r="P1496" t="str">
            <v>31B0</v>
          </cell>
          <cell r="Q1496" t="str">
            <v>SS400</v>
          </cell>
          <cell r="R1496" t="str">
            <v>E356750_01</v>
          </cell>
          <cell r="S1496">
            <v>69</v>
          </cell>
          <cell r="T1496" t="str">
            <v>標準</v>
          </cell>
        </row>
        <row r="1497">
          <cell r="F1497" t="str">
            <v>H0000097467</v>
          </cell>
          <cell r="I1497" t="str">
            <v>フレーム</v>
          </cell>
          <cell r="J1497" t="str">
            <v>S-Frame_CX-10_U_TTTT</v>
          </cell>
          <cell r="K1497" t="str">
            <v>S-フレーム_CX-10_U_TTTT</v>
          </cell>
          <cell r="L1497" t="str">
            <v>S-Frame</v>
          </cell>
          <cell r="M1497" t="str">
            <v>S-フレーム</v>
          </cell>
          <cell r="P1497" t="str">
            <v>31B0</v>
          </cell>
          <cell r="Q1497" t="str">
            <v>SS400</v>
          </cell>
          <cell r="R1497" t="str">
            <v>E356750_01</v>
          </cell>
          <cell r="S1497">
            <v>69</v>
          </cell>
          <cell r="T1497" t="str">
            <v>標準</v>
          </cell>
        </row>
        <row r="1498">
          <cell r="F1498" t="str">
            <v>H0000097468</v>
          </cell>
          <cell r="I1498" t="str">
            <v>フレーム</v>
          </cell>
          <cell r="J1498" t="str">
            <v>S-Frame_CX-10_U_TTTT</v>
          </cell>
          <cell r="K1498" t="str">
            <v>S-フレーム_CX-10_U_TTTT</v>
          </cell>
          <cell r="L1498" t="str">
            <v>S-Frame</v>
          </cell>
          <cell r="M1498" t="str">
            <v>S-フレーム</v>
          </cell>
          <cell r="P1498" t="str">
            <v>31B0</v>
          </cell>
          <cell r="Q1498" t="str">
            <v>SS400</v>
          </cell>
          <cell r="R1498" t="str">
            <v>E356750_01</v>
          </cell>
          <cell r="S1498">
            <v>69</v>
          </cell>
          <cell r="T1498" t="str">
            <v>標準</v>
          </cell>
        </row>
        <row r="1499">
          <cell r="F1499" t="str">
            <v>H0000097469</v>
          </cell>
          <cell r="I1499" t="str">
            <v>フレーム</v>
          </cell>
          <cell r="J1499" t="str">
            <v>S-Frame_CX-10_U_TTTT</v>
          </cell>
          <cell r="K1499" t="str">
            <v>S-フレーム_CX-10_U_TTTT</v>
          </cell>
          <cell r="L1499" t="str">
            <v>S-Frame</v>
          </cell>
          <cell r="M1499" t="str">
            <v>S-フレーム</v>
          </cell>
          <cell r="P1499" t="str">
            <v>31B0</v>
          </cell>
          <cell r="Q1499" t="str">
            <v>SS400</v>
          </cell>
          <cell r="R1499" t="str">
            <v>E356750_01</v>
          </cell>
          <cell r="S1499">
            <v>69</v>
          </cell>
          <cell r="T1499" t="str">
            <v>標準</v>
          </cell>
        </row>
        <row r="1500">
          <cell r="F1500" t="str">
            <v>H0000097470</v>
          </cell>
          <cell r="I1500" t="str">
            <v>フレーム</v>
          </cell>
          <cell r="J1500" t="str">
            <v>S-Frame_CX-10_U_TTTT</v>
          </cell>
          <cell r="K1500" t="str">
            <v>S-フレーム_CX-10_U_TTTT</v>
          </cell>
          <cell r="L1500" t="str">
            <v>S-Frame</v>
          </cell>
          <cell r="M1500" t="str">
            <v>S-フレーム</v>
          </cell>
          <cell r="P1500" t="str">
            <v>31B0</v>
          </cell>
          <cell r="Q1500" t="str">
            <v>SS400</v>
          </cell>
          <cell r="R1500" t="str">
            <v>E356750_01</v>
          </cell>
          <cell r="S1500">
            <v>69</v>
          </cell>
          <cell r="T1500" t="str">
            <v>標準</v>
          </cell>
        </row>
        <row r="1501">
          <cell r="F1501" t="str">
            <v>H0000097471</v>
          </cell>
          <cell r="I1501" t="str">
            <v>フレーム</v>
          </cell>
          <cell r="J1501" t="str">
            <v>S-Frame_CX-10_U_TKTK</v>
          </cell>
          <cell r="K1501" t="str">
            <v>S-フレーム_CX-10_U_TKTK</v>
          </cell>
          <cell r="L1501" t="str">
            <v>S-Frame</v>
          </cell>
          <cell r="M1501" t="str">
            <v>S-フレーム</v>
          </cell>
          <cell r="P1501" t="str">
            <v>31B0</v>
          </cell>
          <cell r="Q1501" t="str">
            <v>SS400</v>
          </cell>
          <cell r="R1501" t="str">
            <v>E356750_01</v>
          </cell>
          <cell r="S1501">
            <v>69</v>
          </cell>
          <cell r="T1501" t="str">
            <v>標準</v>
          </cell>
        </row>
        <row r="1502">
          <cell r="F1502" t="str">
            <v>H0000097472</v>
          </cell>
          <cell r="I1502" t="str">
            <v>フレーム</v>
          </cell>
          <cell r="J1502" t="str">
            <v>S-Frame_CX-10_U_TKTK</v>
          </cell>
          <cell r="K1502" t="str">
            <v>S-フレーム_CX-10_U_TKTK</v>
          </cell>
          <cell r="L1502" t="str">
            <v>S-Frame</v>
          </cell>
          <cell r="M1502" t="str">
            <v>S-フレーム</v>
          </cell>
          <cell r="P1502" t="str">
            <v>31B0</v>
          </cell>
          <cell r="Q1502" t="str">
            <v>SS400</v>
          </cell>
          <cell r="R1502" t="str">
            <v>E356750_01</v>
          </cell>
          <cell r="S1502">
            <v>69</v>
          </cell>
          <cell r="T1502" t="str">
            <v>標準</v>
          </cell>
        </row>
        <row r="1503">
          <cell r="F1503" t="str">
            <v>H0000097473</v>
          </cell>
          <cell r="I1503" t="str">
            <v>フレーム</v>
          </cell>
          <cell r="J1503" t="str">
            <v>S-Frame_CX-10_U_TKTK</v>
          </cell>
          <cell r="K1503" t="str">
            <v>S-フレーム_CX-10_U_TKTK</v>
          </cell>
          <cell r="L1503" t="str">
            <v>S-Frame</v>
          </cell>
          <cell r="M1503" t="str">
            <v>S-フレーム</v>
          </cell>
          <cell r="P1503" t="str">
            <v>31B0</v>
          </cell>
          <cell r="Q1503" t="str">
            <v>SS400</v>
          </cell>
          <cell r="R1503" t="str">
            <v>E356750_01</v>
          </cell>
          <cell r="S1503">
            <v>69</v>
          </cell>
          <cell r="T1503" t="str">
            <v>標準</v>
          </cell>
        </row>
        <row r="1504">
          <cell r="F1504" t="str">
            <v>H0000097474</v>
          </cell>
          <cell r="I1504" t="str">
            <v>フレーム</v>
          </cell>
          <cell r="J1504" t="str">
            <v>S-Frame_CX-10_U_TKTK</v>
          </cell>
          <cell r="K1504" t="str">
            <v>S-フレーム_CX-10_U_TKTK</v>
          </cell>
          <cell r="L1504" t="str">
            <v>S-Frame</v>
          </cell>
          <cell r="M1504" t="str">
            <v>S-フレーム</v>
          </cell>
          <cell r="P1504" t="str">
            <v>31B0</v>
          </cell>
          <cell r="Q1504" t="str">
            <v>SS400</v>
          </cell>
          <cell r="R1504" t="str">
            <v>E356750_01</v>
          </cell>
          <cell r="S1504">
            <v>69</v>
          </cell>
          <cell r="T1504" t="str">
            <v>標準</v>
          </cell>
        </row>
        <row r="1505">
          <cell r="F1505" t="str">
            <v>H0000097475</v>
          </cell>
          <cell r="I1505" t="str">
            <v>フレーム</v>
          </cell>
          <cell r="J1505" t="str">
            <v>S-Frame_CX-10_U_KTKT</v>
          </cell>
          <cell r="K1505" t="str">
            <v>S-フレーム_CX-10_U_KTKT</v>
          </cell>
          <cell r="L1505" t="str">
            <v>S-Frame</v>
          </cell>
          <cell r="M1505" t="str">
            <v>S-フレーム</v>
          </cell>
          <cell r="P1505" t="str">
            <v>31B0</v>
          </cell>
          <cell r="Q1505" t="str">
            <v>SS400</v>
          </cell>
          <cell r="R1505" t="str">
            <v>E356750_01</v>
          </cell>
          <cell r="S1505">
            <v>69</v>
          </cell>
          <cell r="T1505" t="str">
            <v>標準</v>
          </cell>
        </row>
        <row r="1506">
          <cell r="F1506" t="str">
            <v>H0000097476</v>
          </cell>
          <cell r="I1506" t="str">
            <v>フレーム</v>
          </cell>
          <cell r="J1506" t="str">
            <v>S-Frame_CX-10_U_KTKT</v>
          </cell>
          <cell r="K1506" t="str">
            <v>S-フレーム_CX-10_U_KTKT</v>
          </cell>
          <cell r="L1506" t="str">
            <v>S-Frame</v>
          </cell>
          <cell r="M1506" t="str">
            <v>S-フレーム</v>
          </cell>
          <cell r="P1506" t="str">
            <v>31B0</v>
          </cell>
          <cell r="Q1506" t="str">
            <v>SS400</v>
          </cell>
          <cell r="R1506" t="str">
            <v>E356750_01</v>
          </cell>
          <cell r="S1506">
            <v>69</v>
          </cell>
          <cell r="T1506" t="str">
            <v>標準</v>
          </cell>
        </row>
        <row r="1507">
          <cell r="F1507" t="str">
            <v>H0000097477</v>
          </cell>
          <cell r="I1507" t="str">
            <v>フレーム</v>
          </cell>
          <cell r="J1507" t="str">
            <v>S-Frame_CX-10_U_KTKT</v>
          </cell>
          <cell r="K1507" t="str">
            <v>S-フレーム_CX-10_U_KTKT</v>
          </cell>
          <cell r="L1507" t="str">
            <v>S-Frame</v>
          </cell>
          <cell r="M1507" t="str">
            <v>S-フレーム</v>
          </cell>
          <cell r="P1507" t="str">
            <v>31B0</v>
          </cell>
          <cell r="Q1507" t="str">
            <v>SS400</v>
          </cell>
          <cell r="R1507" t="str">
            <v>E356750_01</v>
          </cell>
          <cell r="S1507">
            <v>69</v>
          </cell>
          <cell r="T1507" t="str">
            <v>標準</v>
          </cell>
        </row>
        <row r="1508">
          <cell r="F1508" t="str">
            <v>H0000097478</v>
          </cell>
          <cell r="I1508" t="str">
            <v>フレーム</v>
          </cell>
          <cell r="J1508" t="str">
            <v>S-Frame_CX-10_U_KTKT</v>
          </cell>
          <cell r="K1508" t="str">
            <v>S-フレーム_CX-10_U_KTKT</v>
          </cell>
          <cell r="L1508" t="str">
            <v>S-Frame</v>
          </cell>
          <cell r="M1508" t="str">
            <v>S-フレーム</v>
          </cell>
          <cell r="P1508" t="str">
            <v>31B0</v>
          </cell>
          <cell r="Q1508" t="str">
            <v>SS400</v>
          </cell>
          <cell r="R1508" t="str">
            <v>E356750_01</v>
          </cell>
          <cell r="S1508">
            <v>69</v>
          </cell>
          <cell r="T1508" t="str">
            <v>標準</v>
          </cell>
        </row>
        <row r="1509">
          <cell r="F1509" t="str">
            <v>H0000097479</v>
          </cell>
          <cell r="I1509" t="str">
            <v>フレーム</v>
          </cell>
          <cell r="J1509" t="str">
            <v>S-Frame_CX-10_U_KKKK</v>
          </cell>
          <cell r="K1509" t="str">
            <v>S-フレーム_CX-10_U_KKKK</v>
          </cell>
          <cell r="L1509" t="str">
            <v>S-Frame</v>
          </cell>
          <cell r="M1509" t="str">
            <v>S-フレーム</v>
          </cell>
          <cell r="P1509" t="str">
            <v>31B0</v>
          </cell>
          <cell r="Q1509" t="str">
            <v>SS400</v>
          </cell>
          <cell r="R1509" t="str">
            <v>E356750_01</v>
          </cell>
          <cell r="S1509">
            <v>69</v>
          </cell>
          <cell r="T1509" t="str">
            <v>標準</v>
          </cell>
        </row>
        <row r="1510">
          <cell r="F1510" t="str">
            <v>H0000097480</v>
          </cell>
          <cell r="I1510" t="str">
            <v>フレーム</v>
          </cell>
          <cell r="J1510" t="str">
            <v>S-Frame_CX-10_U_KKKK</v>
          </cell>
          <cell r="K1510" t="str">
            <v>S-フレーム_CX-10_U_KKKK</v>
          </cell>
          <cell r="L1510" t="str">
            <v>S-Frame</v>
          </cell>
          <cell r="M1510" t="str">
            <v>S-フレーム</v>
          </cell>
          <cell r="P1510" t="str">
            <v>31B0</v>
          </cell>
          <cell r="Q1510" t="str">
            <v>SS400</v>
          </cell>
          <cell r="R1510" t="str">
            <v>E356750_01</v>
          </cell>
          <cell r="S1510">
            <v>69</v>
          </cell>
          <cell r="T1510" t="str">
            <v>標準</v>
          </cell>
        </row>
        <row r="1511">
          <cell r="F1511" t="str">
            <v>H0000097481</v>
          </cell>
          <cell r="I1511" t="str">
            <v>フレーム</v>
          </cell>
          <cell r="J1511" t="str">
            <v>S-Frame_CX-10_U_KKKK</v>
          </cell>
          <cell r="K1511" t="str">
            <v>S-フレーム_CX-10_U_KKKK</v>
          </cell>
          <cell r="L1511" t="str">
            <v>S-Frame</v>
          </cell>
          <cell r="M1511" t="str">
            <v>S-フレーム</v>
          </cell>
          <cell r="P1511" t="str">
            <v>31B0</v>
          </cell>
          <cell r="Q1511" t="str">
            <v>SS400</v>
          </cell>
          <cell r="R1511" t="str">
            <v>E356750_01</v>
          </cell>
          <cell r="S1511">
            <v>69</v>
          </cell>
          <cell r="T1511" t="str">
            <v>標準</v>
          </cell>
        </row>
        <row r="1512">
          <cell r="F1512" t="str">
            <v>H0000097482</v>
          </cell>
          <cell r="I1512" t="str">
            <v>フレーム</v>
          </cell>
          <cell r="J1512" t="str">
            <v>S-Frame_CX-10_U_KKKK</v>
          </cell>
          <cell r="K1512" t="str">
            <v>S-フレーム_CX-10_U_KKKK</v>
          </cell>
          <cell r="L1512" t="str">
            <v>S-Frame</v>
          </cell>
          <cell r="M1512" t="str">
            <v>S-フレーム</v>
          </cell>
          <cell r="P1512" t="str">
            <v>31B0</v>
          </cell>
          <cell r="Q1512" t="str">
            <v>SS400</v>
          </cell>
          <cell r="R1512" t="str">
            <v>E356750_01</v>
          </cell>
          <cell r="S1512">
            <v>69</v>
          </cell>
          <cell r="T1512" t="str">
            <v>標準</v>
          </cell>
        </row>
        <row r="1513">
          <cell r="F1513" t="str">
            <v>H0000097483</v>
          </cell>
          <cell r="I1513" t="str">
            <v>フレーム</v>
          </cell>
          <cell r="J1513" t="str">
            <v>S-Frame_CX-10_U_KKKK</v>
          </cell>
          <cell r="K1513" t="str">
            <v>S-フレーム_CX-10_U_KKKK</v>
          </cell>
          <cell r="L1513" t="str">
            <v>S-Frame</v>
          </cell>
          <cell r="M1513" t="str">
            <v>S-フレーム</v>
          </cell>
          <cell r="P1513" t="str">
            <v>31B0</v>
          </cell>
          <cell r="Q1513" t="str">
            <v>SS400</v>
          </cell>
          <cell r="R1513" t="str">
            <v>E356750_01</v>
          </cell>
          <cell r="S1513">
            <v>69</v>
          </cell>
          <cell r="T1513" t="str">
            <v>標準</v>
          </cell>
        </row>
        <row r="1514">
          <cell r="F1514" t="str">
            <v>H0000097484</v>
          </cell>
          <cell r="I1514" t="str">
            <v>フレーム</v>
          </cell>
          <cell r="J1514" t="str">
            <v>S-Frame_CX-10_U_KKKK</v>
          </cell>
          <cell r="K1514" t="str">
            <v>S-フレーム_CX-10_U_KKKK</v>
          </cell>
          <cell r="L1514" t="str">
            <v>S-Frame</v>
          </cell>
          <cell r="M1514" t="str">
            <v>S-フレーム</v>
          </cell>
          <cell r="P1514" t="str">
            <v>31B0</v>
          </cell>
          <cell r="Q1514" t="str">
            <v>SS400</v>
          </cell>
          <cell r="R1514" t="str">
            <v>E356750_01</v>
          </cell>
          <cell r="S1514">
            <v>69</v>
          </cell>
          <cell r="T1514" t="str">
            <v>標準</v>
          </cell>
        </row>
        <row r="1515">
          <cell r="F1515" t="str">
            <v>H0000097485</v>
          </cell>
          <cell r="I1515" t="str">
            <v>フレーム</v>
          </cell>
          <cell r="J1515" t="str">
            <v>S-Frame_CX-10_U_KKKK</v>
          </cell>
          <cell r="K1515" t="str">
            <v>S-フレーム_CX-10_U_KKKK</v>
          </cell>
          <cell r="L1515" t="str">
            <v>S-Frame</v>
          </cell>
          <cell r="M1515" t="str">
            <v>S-フレーム</v>
          </cell>
          <cell r="P1515" t="str">
            <v>31B0</v>
          </cell>
          <cell r="Q1515" t="str">
            <v>SS400</v>
          </cell>
          <cell r="R1515" t="str">
            <v>E356750_01</v>
          </cell>
          <cell r="S1515">
            <v>69</v>
          </cell>
          <cell r="T1515" t="str">
            <v>標準</v>
          </cell>
        </row>
        <row r="1516">
          <cell r="F1516" t="str">
            <v>H0000097486</v>
          </cell>
          <cell r="I1516" t="str">
            <v>フレーム</v>
          </cell>
          <cell r="J1516" t="str">
            <v>S-Frame_CX-10_U_KKKK</v>
          </cell>
          <cell r="K1516" t="str">
            <v>S-フレーム_CX-10_U_KKKK</v>
          </cell>
          <cell r="L1516" t="str">
            <v>S-Frame</v>
          </cell>
          <cell r="M1516" t="str">
            <v>S-フレーム</v>
          </cell>
          <cell r="P1516" t="str">
            <v>31B0</v>
          </cell>
          <cell r="Q1516" t="str">
            <v>SS400</v>
          </cell>
          <cell r="R1516" t="str">
            <v>E356750_01</v>
          </cell>
          <cell r="S1516">
            <v>69</v>
          </cell>
          <cell r="T1516" t="str">
            <v>標準</v>
          </cell>
        </row>
        <row r="1517">
          <cell r="F1517" t="str">
            <v>H0000097487</v>
          </cell>
          <cell r="I1517" t="str">
            <v>フレーム</v>
          </cell>
          <cell r="J1517" t="str">
            <v>S-Frame_CX-10_U_TKKT</v>
          </cell>
          <cell r="K1517" t="str">
            <v>S-フレーム_CX-10_U_TKKT</v>
          </cell>
          <cell r="L1517" t="str">
            <v>S-Frame</v>
          </cell>
          <cell r="M1517" t="str">
            <v>S-フレーム</v>
          </cell>
          <cell r="P1517" t="str">
            <v>31B0</v>
          </cell>
          <cell r="Q1517" t="str">
            <v>SS400</v>
          </cell>
          <cell r="R1517" t="str">
            <v>E356750_01</v>
          </cell>
          <cell r="S1517">
            <v>69</v>
          </cell>
          <cell r="T1517" t="str">
            <v>標準</v>
          </cell>
        </row>
        <row r="1518">
          <cell r="F1518" t="str">
            <v>H0000097488</v>
          </cell>
          <cell r="I1518" t="str">
            <v>フレーム</v>
          </cell>
          <cell r="J1518" t="str">
            <v>S-Frame_CX-10_U_TKKT</v>
          </cell>
          <cell r="K1518" t="str">
            <v>S-フレーム_CX-10_U_TKKT</v>
          </cell>
          <cell r="L1518" t="str">
            <v>S-Frame</v>
          </cell>
          <cell r="M1518" t="str">
            <v>S-フレーム</v>
          </cell>
          <cell r="P1518" t="str">
            <v>31B0</v>
          </cell>
          <cell r="Q1518" t="str">
            <v>SS400</v>
          </cell>
          <cell r="R1518" t="str">
            <v>E356750_01</v>
          </cell>
          <cell r="S1518">
            <v>69</v>
          </cell>
          <cell r="T1518" t="str">
            <v>標準</v>
          </cell>
        </row>
        <row r="1519">
          <cell r="F1519" t="str">
            <v>H0000097489</v>
          </cell>
          <cell r="I1519" t="str">
            <v>フレーム</v>
          </cell>
          <cell r="J1519" t="str">
            <v>S-Frame_CX-10_U_TKKT</v>
          </cell>
          <cell r="K1519" t="str">
            <v>S-フレーム_CX-10_U_TKKT</v>
          </cell>
          <cell r="L1519" t="str">
            <v>S-Frame</v>
          </cell>
          <cell r="M1519" t="str">
            <v>S-フレーム</v>
          </cell>
          <cell r="P1519" t="str">
            <v>31B0</v>
          </cell>
          <cell r="Q1519" t="str">
            <v>SS400</v>
          </cell>
          <cell r="R1519" t="str">
            <v>E356750_01</v>
          </cell>
          <cell r="S1519">
            <v>69</v>
          </cell>
          <cell r="T1519" t="str">
            <v>標準</v>
          </cell>
        </row>
        <row r="1520">
          <cell r="F1520" t="str">
            <v>H0000097490</v>
          </cell>
          <cell r="I1520" t="str">
            <v>フレーム</v>
          </cell>
          <cell r="J1520" t="str">
            <v>S-Frame_CX-10_U_TKKT</v>
          </cell>
          <cell r="K1520" t="str">
            <v>S-フレーム_CX-10_U_TKKT</v>
          </cell>
          <cell r="L1520" t="str">
            <v>S-Frame</v>
          </cell>
          <cell r="M1520" t="str">
            <v>S-フレーム</v>
          </cell>
          <cell r="P1520" t="str">
            <v>31B0</v>
          </cell>
          <cell r="Q1520" t="str">
            <v>SS400</v>
          </cell>
          <cell r="R1520" t="str">
            <v>E356750_01</v>
          </cell>
          <cell r="S1520">
            <v>69</v>
          </cell>
          <cell r="T1520" t="str">
            <v>標準</v>
          </cell>
        </row>
        <row r="1521">
          <cell r="F1521" t="str">
            <v>H0000097491</v>
          </cell>
          <cell r="I1521" t="str">
            <v>フレーム</v>
          </cell>
          <cell r="J1521" t="str">
            <v>S-Frame_CX-10_U_KTTK</v>
          </cell>
          <cell r="K1521" t="str">
            <v>S-フレーム_CX-10_U_KTTK</v>
          </cell>
          <cell r="L1521" t="str">
            <v>S-Frame</v>
          </cell>
          <cell r="M1521" t="str">
            <v>S-フレーム</v>
          </cell>
          <cell r="P1521" t="str">
            <v>31B0</v>
          </cell>
          <cell r="Q1521" t="str">
            <v>SS400</v>
          </cell>
          <cell r="R1521" t="str">
            <v>E356750_01</v>
          </cell>
          <cell r="S1521">
            <v>69</v>
          </cell>
          <cell r="T1521" t="str">
            <v>標準</v>
          </cell>
        </row>
        <row r="1522">
          <cell r="F1522" t="str">
            <v>H0000097492</v>
          </cell>
          <cell r="I1522" t="str">
            <v>フレーム</v>
          </cell>
          <cell r="J1522" t="str">
            <v>S-Frame_CX-10_U_KTTK</v>
          </cell>
          <cell r="K1522" t="str">
            <v>S-フレーム_CX-10_U_KTTK</v>
          </cell>
          <cell r="L1522" t="str">
            <v>S-Frame</v>
          </cell>
          <cell r="M1522" t="str">
            <v>S-フレーム</v>
          </cell>
          <cell r="P1522" t="str">
            <v>31B0</v>
          </cell>
          <cell r="Q1522" t="str">
            <v>SS400</v>
          </cell>
          <cell r="R1522" t="str">
            <v>E356750_01</v>
          </cell>
          <cell r="S1522">
            <v>69</v>
          </cell>
          <cell r="T1522" t="str">
            <v>標準</v>
          </cell>
        </row>
        <row r="1523">
          <cell r="F1523" t="str">
            <v>H0000097493</v>
          </cell>
          <cell r="I1523" t="str">
            <v>フレーム</v>
          </cell>
          <cell r="J1523" t="str">
            <v>S-Frame_CX-10_U_KTTK</v>
          </cell>
          <cell r="K1523" t="str">
            <v>S-フレーム_CX-10_U_KTTK</v>
          </cell>
          <cell r="L1523" t="str">
            <v>S-Frame</v>
          </cell>
          <cell r="M1523" t="str">
            <v>S-フレーム</v>
          </cell>
          <cell r="P1523" t="str">
            <v>31B0</v>
          </cell>
          <cell r="Q1523" t="str">
            <v>SS400</v>
          </cell>
          <cell r="R1523" t="str">
            <v>E356750_01</v>
          </cell>
          <cell r="S1523">
            <v>69</v>
          </cell>
          <cell r="T1523" t="str">
            <v>標準</v>
          </cell>
        </row>
        <row r="1524">
          <cell r="F1524" t="str">
            <v>H0000097494</v>
          </cell>
          <cell r="I1524" t="str">
            <v>フレーム</v>
          </cell>
          <cell r="J1524" t="str">
            <v>S-Frame_CX-10_U_KTTK</v>
          </cell>
          <cell r="K1524" t="str">
            <v>S-フレーム_CX-10_U_KTTK</v>
          </cell>
          <cell r="L1524" t="str">
            <v>S-Frame</v>
          </cell>
          <cell r="M1524" t="str">
            <v>S-フレーム</v>
          </cell>
          <cell r="P1524" t="str">
            <v>31B0</v>
          </cell>
          <cell r="Q1524" t="str">
            <v>SS400</v>
          </cell>
          <cell r="R1524" t="str">
            <v>E356750_01</v>
          </cell>
          <cell r="S1524">
            <v>69</v>
          </cell>
          <cell r="T1524" t="str">
            <v>標準</v>
          </cell>
        </row>
        <row r="1525">
          <cell r="F1525" t="str">
            <v>H0000097495</v>
          </cell>
          <cell r="I1525" t="str">
            <v>フレーム</v>
          </cell>
          <cell r="J1525" t="str">
            <v>S-Frame_GasCutting_CX-10_U_1234</v>
          </cell>
          <cell r="K1525" t="str">
            <v>S-フレーム_ガス溶断_CX-10_U_1234</v>
          </cell>
          <cell r="L1525" t="str">
            <v>S-Frame</v>
          </cell>
          <cell r="M1525" t="str">
            <v>S-フレーム</v>
          </cell>
          <cell r="N1525" t="str">
            <v>GasCutting</v>
          </cell>
          <cell r="O1525" t="str">
            <v>ガス溶断</v>
          </cell>
          <cell r="P1525" t="str">
            <v>31B0</v>
          </cell>
          <cell r="Q1525" t="str">
            <v>SS400</v>
          </cell>
          <cell r="R1525" t="str">
            <v>E356750_01</v>
          </cell>
          <cell r="S1525">
            <v>69</v>
          </cell>
          <cell r="T1525" t="str">
            <v>標準</v>
          </cell>
        </row>
        <row r="1526">
          <cell r="F1526" t="str">
            <v>H0000097496</v>
          </cell>
          <cell r="I1526" t="str">
            <v>フレーム</v>
          </cell>
          <cell r="J1526" t="str">
            <v>S-Frame_CX-10_S_TTTT</v>
          </cell>
          <cell r="K1526" t="str">
            <v>S-フレーム_CX-10_S_TTTT</v>
          </cell>
          <cell r="L1526" t="str">
            <v>S-Frame</v>
          </cell>
          <cell r="M1526" t="str">
            <v>S-フレーム</v>
          </cell>
          <cell r="P1526" t="str">
            <v>31B0</v>
          </cell>
          <cell r="Q1526" t="str">
            <v>SS400</v>
          </cell>
          <cell r="R1526" t="str">
            <v>E356750_01</v>
          </cell>
          <cell r="S1526">
            <v>78</v>
          </cell>
          <cell r="T1526" t="str">
            <v>標準</v>
          </cell>
        </row>
        <row r="1527">
          <cell r="F1527" t="str">
            <v>H0000097497</v>
          </cell>
          <cell r="I1527" t="str">
            <v>フレーム</v>
          </cell>
          <cell r="J1527" t="str">
            <v>S-Frame_CX-10_S_TTTT</v>
          </cell>
          <cell r="K1527" t="str">
            <v>S-フレーム_CX-10_S_TTTT</v>
          </cell>
          <cell r="L1527" t="str">
            <v>S-Frame</v>
          </cell>
          <cell r="M1527" t="str">
            <v>S-フレーム</v>
          </cell>
          <cell r="P1527" t="str">
            <v>31B0</v>
          </cell>
          <cell r="Q1527" t="str">
            <v>SS400</v>
          </cell>
          <cell r="R1527" t="str">
            <v>E356750_01</v>
          </cell>
          <cell r="S1527">
            <v>78</v>
          </cell>
          <cell r="T1527" t="str">
            <v>標準</v>
          </cell>
        </row>
        <row r="1528">
          <cell r="F1528" t="str">
            <v>H0000097498</v>
          </cell>
          <cell r="I1528" t="str">
            <v>フレーム</v>
          </cell>
          <cell r="J1528" t="str">
            <v>S-Frame_CX-10_S_TTTT</v>
          </cell>
          <cell r="K1528" t="str">
            <v>S-フレーム_CX-10_S_TTTT</v>
          </cell>
          <cell r="L1528" t="str">
            <v>S-Frame</v>
          </cell>
          <cell r="M1528" t="str">
            <v>S-フレーム</v>
          </cell>
          <cell r="P1528" t="str">
            <v>31B0</v>
          </cell>
          <cell r="Q1528" t="str">
            <v>SS400</v>
          </cell>
          <cell r="R1528" t="str">
            <v>E356750_01</v>
          </cell>
          <cell r="S1528">
            <v>78</v>
          </cell>
          <cell r="T1528" t="str">
            <v>標準</v>
          </cell>
        </row>
        <row r="1529">
          <cell r="F1529" t="str">
            <v>H0000097499</v>
          </cell>
          <cell r="I1529" t="str">
            <v>フレーム</v>
          </cell>
          <cell r="J1529" t="str">
            <v>S-Frame_CX-10_S_TTTT</v>
          </cell>
          <cell r="K1529" t="str">
            <v>S-フレーム_CX-10_S_TTTT</v>
          </cell>
          <cell r="L1529" t="str">
            <v>S-Frame</v>
          </cell>
          <cell r="M1529" t="str">
            <v>S-フレーム</v>
          </cell>
          <cell r="P1529" t="str">
            <v>31B0</v>
          </cell>
          <cell r="Q1529" t="str">
            <v>SS400</v>
          </cell>
          <cell r="R1529" t="str">
            <v>E356750_01</v>
          </cell>
          <cell r="S1529">
            <v>78</v>
          </cell>
          <cell r="T1529" t="str">
            <v>標準</v>
          </cell>
        </row>
        <row r="1530">
          <cell r="F1530" t="str">
            <v>H0000097500</v>
          </cell>
          <cell r="I1530" t="str">
            <v>フレーム</v>
          </cell>
          <cell r="J1530" t="str">
            <v>S-Frame_CX-10_S_TTTT</v>
          </cell>
          <cell r="K1530" t="str">
            <v>S-フレーム_CX-10_S_TTTT</v>
          </cell>
          <cell r="L1530" t="str">
            <v>S-Frame</v>
          </cell>
          <cell r="M1530" t="str">
            <v>S-フレーム</v>
          </cell>
          <cell r="P1530" t="str">
            <v>31B0</v>
          </cell>
          <cell r="Q1530" t="str">
            <v>SS400</v>
          </cell>
          <cell r="R1530" t="str">
            <v>E356750_01</v>
          </cell>
          <cell r="S1530">
            <v>78</v>
          </cell>
          <cell r="T1530" t="str">
            <v>標準</v>
          </cell>
        </row>
        <row r="1531">
          <cell r="F1531" t="str">
            <v>H0000097501</v>
          </cell>
          <cell r="I1531" t="str">
            <v>フレーム</v>
          </cell>
          <cell r="J1531" t="str">
            <v>S-Frame_CX-10_S_TTTT</v>
          </cell>
          <cell r="K1531" t="str">
            <v>S-フレーム_CX-10_S_TTTT</v>
          </cell>
          <cell r="L1531" t="str">
            <v>S-Frame</v>
          </cell>
          <cell r="M1531" t="str">
            <v>S-フレーム</v>
          </cell>
          <cell r="P1531" t="str">
            <v>31B0</v>
          </cell>
          <cell r="Q1531" t="str">
            <v>SS400</v>
          </cell>
          <cell r="R1531" t="str">
            <v>E356750_01</v>
          </cell>
          <cell r="S1531">
            <v>78</v>
          </cell>
          <cell r="T1531" t="str">
            <v>標準</v>
          </cell>
        </row>
        <row r="1532">
          <cell r="F1532" t="str">
            <v>H0000097502</v>
          </cell>
          <cell r="I1532" t="str">
            <v>フレーム</v>
          </cell>
          <cell r="J1532" t="str">
            <v>S-Frame_CX-10_S_TTTT</v>
          </cell>
          <cell r="K1532" t="str">
            <v>S-フレーム_CX-10_S_TTTT</v>
          </cell>
          <cell r="L1532" t="str">
            <v>S-Frame</v>
          </cell>
          <cell r="M1532" t="str">
            <v>S-フレーム</v>
          </cell>
          <cell r="P1532" t="str">
            <v>31B0</v>
          </cell>
          <cell r="Q1532" t="str">
            <v>SS400</v>
          </cell>
          <cell r="R1532" t="str">
            <v>E356750_01</v>
          </cell>
          <cell r="S1532">
            <v>78</v>
          </cell>
          <cell r="T1532" t="str">
            <v>標準</v>
          </cell>
        </row>
        <row r="1533">
          <cell r="F1533" t="str">
            <v>H0000097503</v>
          </cell>
          <cell r="I1533" t="str">
            <v>フレーム</v>
          </cell>
          <cell r="J1533" t="str">
            <v>S-Frame_CX-10_S_TTTT</v>
          </cell>
          <cell r="K1533" t="str">
            <v>S-フレーム_CX-10_S_TTTT</v>
          </cell>
          <cell r="L1533" t="str">
            <v>S-Frame</v>
          </cell>
          <cell r="M1533" t="str">
            <v>S-フレーム</v>
          </cell>
          <cell r="P1533" t="str">
            <v>31B0</v>
          </cell>
          <cell r="Q1533" t="str">
            <v>SS400</v>
          </cell>
          <cell r="R1533" t="str">
            <v>E356750_01</v>
          </cell>
          <cell r="S1533">
            <v>78</v>
          </cell>
          <cell r="T1533" t="str">
            <v>標準</v>
          </cell>
        </row>
        <row r="1534">
          <cell r="F1534" t="str">
            <v>H0000097504</v>
          </cell>
          <cell r="I1534" t="str">
            <v>フレーム</v>
          </cell>
          <cell r="J1534" t="str">
            <v>S-Frame_CX-10_S_TKTK</v>
          </cell>
          <cell r="K1534" t="str">
            <v>S-フレーム_CX-10_S_TKTK</v>
          </cell>
          <cell r="L1534" t="str">
            <v>S-Frame</v>
          </cell>
          <cell r="M1534" t="str">
            <v>S-フレーム</v>
          </cell>
          <cell r="P1534" t="str">
            <v>31B0</v>
          </cell>
          <cell r="Q1534" t="str">
            <v>SS400</v>
          </cell>
          <cell r="R1534" t="str">
            <v>E356750_01</v>
          </cell>
          <cell r="S1534">
            <v>78</v>
          </cell>
          <cell r="T1534" t="str">
            <v>標準</v>
          </cell>
        </row>
        <row r="1535">
          <cell r="F1535" t="str">
            <v>H0000097505</v>
          </cell>
          <cell r="I1535" t="str">
            <v>フレーム</v>
          </cell>
          <cell r="J1535" t="str">
            <v>S-Frame_CX-10_S_TKTK</v>
          </cell>
          <cell r="K1535" t="str">
            <v>S-フレーム_CX-10_S_TKTK</v>
          </cell>
          <cell r="L1535" t="str">
            <v>S-Frame</v>
          </cell>
          <cell r="M1535" t="str">
            <v>S-フレーム</v>
          </cell>
          <cell r="P1535" t="str">
            <v>31B0</v>
          </cell>
          <cell r="Q1535" t="str">
            <v>SS400</v>
          </cell>
          <cell r="R1535" t="str">
            <v>E356750_01</v>
          </cell>
          <cell r="S1535">
            <v>78</v>
          </cell>
          <cell r="T1535" t="str">
            <v>標準</v>
          </cell>
        </row>
        <row r="1536">
          <cell r="F1536" t="str">
            <v>H0000097506</v>
          </cell>
          <cell r="I1536" t="str">
            <v>フレーム</v>
          </cell>
          <cell r="J1536" t="str">
            <v>S-Frame_CX-10_S_TKTK</v>
          </cell>
          <cell r="K1536" t="str">
            <v>S-フレーム_CX-10_S_TKTK</v>
          </cell>
          <cell r="L1536" t="str">
            <v>S-Frame</v>
          </cell>
          <cell r="M1536" t="str">
            <v>S-フレーム</v>
          </cell>
          <cell r="P1536" t="str">
            <v>31B0</v>
          </cell>
          <cell r="Q1536" t="str">
            <v>SS400</v>
          </cell>
          <cell r="R1536" t="str">
            <v>E356750_01</v>
          </cell>
          <cell r="S1536">
            <v>78</v>
          </cell>
          <cell r="T1536" t="str">
            <v>標準</v>
          </cell>
        </row>
        <row r="1537">
          <cell r="F1537" t="str">
            <v>H0000097507</v>
          </cell>
          <cell r="I1537" t="str">
            <v>フレーム</v>
          </cell>
          <cell r="J1537" t="str">
            <v>S-Frame_CX-10_S_TKTK</v>
          </cell>
          <cell r="K1537" t="str">
            <v>S-フレーム_CX-10_S_TKTK</v>
          </cell>
          <cell r="L1537" t="str">
            <v>S-Frame</v>
          </cell>
          <cell r="M1537" t="str">
            <v>S-フレーム</v>
          </cell>
          <cell r="P1537" t="str">
            <v>31B0</v>
          </cell>
          <cell r="Q1537" t="str">
            <v>SS400</v>
          </cell>
          <cell r="R1537" t="str">
            <v>E356750_01</v>
          </cell>
          <cell r="S1537">
            <v>78</v>
          </cell>
          <cell r="T1537" t="str">
            <v>標準</v>
          </cell>
        </row>
        <row r="1538">
          <cell r="F1538" t="str">
            <v>H0000097508</v>
          </cell>
          <cell r="I1538" t="str">
            <v>フレーム</v>
          </cell>
          <cell r="J1538" t="str">
            <v>S-Frame_CX-10_S_KTKT</v>
          </cell>
          <cell r="K1538" t="str">
            <v>S-フレーム_CX-10_S_KTKT</v>
          </cell>
          <cell r="L1538" t="str">
            <v>S-Frame</v>
          </cell>
          <cell r="M1538" t="str">
            <v>S-フレーム</v>
          </cell>
          <cell r="P1538" t="str">
            <v>31B0</v>
          </cell>
          <cell r="Q1538" t="str">
            <v>SS400</v>
          </cell>
          <cell r="R1538" t="str">
            <v>E356750_01</v>
          </cell>
          <cell r="S1538">
            <v>78</v>
          </cell>
          <cell r="T1538" t="str">
            <v>標準</v>
          </cell>
        </row>
        <row r="1539">
          <cell r="F1539" t="str">
            <v>H0000097509</v>
          </cell>
          <cell r="I1539" t="str">
            <v>フレーム</v>
          </cell>
          <cell r="J1539" t="str">
            <v>S-Frame_CX-10_S_KTKT</v>
          </cell>
          <cell r="K1539" t="str">
            <v>S-フレーム_CX-10_S_KTKT</v>
          </cell>
          <cell r="L1539" t="str">
            <v>S-Frame</v>
          </cell>
          <cell r="M1539" t="str">
            <v>S-フレーム</v>
          </cell>
          <cell r="P1539" t="str">
            <v>31B0</v>
          </cell>
          <cell r="Q1539" t="str">
            <v>SS400</v>
          </cell>
          <cell r="R1539" t="str">
            <v>E356750_01</v>
          </cell>
          <cell r="S1539">
            <v>78</v>
          </cell>
          <cell r="T1539" t="str">
            <v>標準</v>
          </cell>
        </row>
        <row r="1540">
          <cell r="F1540" t="str">
            <v>H0000097510</v>
          </cell>
          <cell r="I1540" t="str">
            <v>フレーム</v>
          </cell>
          <cell r="J1540" t="str">
            <v>S-Frame_CX-10_S_KTKT</v>
          </cell>
          <cell r="K1540" t="str">
            <v>S-フレーム_CX-10_S_KTKT</v>
          </cell>
          <cell r="L1540" t="str">
            <v>S-Frame</v>
          </cell>
          <cell r="M1540" t="str">
            <v>S-フレーム</v>
          </cell>
          <cell r="P1540" t="str">
            <v>31B0</v>
          </cell>
          <cell r="Q1540" t="str">
            <v>SS400</v>
          </cell>
          <cell r="R1540" t="str">
            <v>E356750_01</v>
          </cell>
          <cell r="S1540">
            <v>78</v>
          </cell>
          <cell r="T1540" t="str">
            <v>標準</v>
          </cell>
        </row>
        <row r="1541">
          <cell r="F1541" t="str">
            <v>H0000097511</v>
          </cell>
          <cell r="I1541" t="str">
            <v>フレーム</v>
          </cell>
          <cell r="J1541" t="str">
            <v>S-Frame_CX-10_S_KTKT</v>
          </cell>
          <cell r="K1541" t="str">
            <v>S-フレーム_CX-10_S_KTKT</v>
          </cell>
          <cell r="L1541" t="str">
            <v>S-Frame</v>
          </cell>
          <cell r="M1541" t="str">
            <v>S-フレーム</v>
          </cell>
          <cell r="P1541" t="str">
            <v>31B0</v>
          </cell>
          <cell r="Q1541" t="str">
            <v>SS400</v>
          </cell>
          <cell r="R1541" t="str">
            <v>E356750_01</v>
          </cell>
          <cell r="S1541">
            <v>78</v>
          </cell>
          <cell r="T1541" t="str">
            <v>標準</v>
          </cell>
        </row>
        <row r="1542">
          <cell r="F1542" t="str">
            <v>H0000097512</v>
          </cell>
          <cell r="I1542" t="str">
            <v>フレーム</v>
          </cell>
          <cell r="J1542" t="str">
            <v>S-Frame_CX-10_S_KKKK</v>
          </cell>
          <cell r="K1542" t="str">
            <v>S-フレーム_CX-10_S_KKKK</v>
          </cell>
          <cell r="L1542" t="str">
            <v>S-Frame</v>
          </cell>
          <cell r="M1542" t="str">
            <v>S-フレーム</v>
          </cell>
          <cell r="P1542" t="str">
            <v>31B0</v>
          </cell>
          <cell r="Q1542" t="str">
            <v>SS400</v>
          </cell>
          <cell r="R1542" t="str">
            <v>E356750_01</v>
          </cell>
          <cell r="S1542">
            <v>78</v>
          </cell>
          <cell r="T1542" t="str">
            <v>標準</v>
          </cell>
        </row>
        <row r="1543">
          <cell r="F1543" t="str">
            <v>H0000097513</v>
          </cell>
          <cell r="I1543" t="str">
            <v>フレーム</v>
          </cell>
          <cell r="J1543" t="str">
            <v>S-Frame_CX-10_S_KKKK</v>
          </cell>
          <cell r="K1543" t="str">
            <v>S-フレーム_CX-10_S_KKKK</v>
          </cell>
          <cell r="L1543" t="str">
            <v>S-Frame</v>
          </cell>
          <cell r="M1543" t="str">
            <v>S-フレーム</v>
          </cell>
          <cell r="P1543" t="str">
            <v>31B0</v>
          </cell>
          <cell r="Q1543" t="str">
            <v>SS400</v>
          </cell>
          <cell r="R1543" t="str">
            <v>E356750_01</v>
          </cell>
          <cell r="S1543">
            <v>78</v>
          </cell>
          <cell r="T1543" t="str">
            <v>標準</v>
          </cell>
        </row>
        <row r="1544">
          <cell r="F1544" t="str">
            <v>H0000097514</v>
          </cell>
          <cell r="I1544" t="str">
            <v>フレーム</v>
          </cell>
          <cell r="J1544" t="str">
            <v>S-Frame_CX-10_S_KKKK</v>
          </cell>
          <cell r="K1544" t="str">
            <v>S-フレーム_CX-10_S_KKKK</v>
          </cell>
          <cell r="L1544" t="str">
            <v>S-Frame</v>
          </cell>
          <cell r="M1544" t="str">
            <v>S-フレーム</v>
          </cell>
          <cell r="P1544" t="str">
            <v>31B0</v>
          </cell>
          <cell r="Q1544" t="str">
            <v>SS400</v>
          </cell>
          <cell r="R1544" t="str">
            <v>E356750_01</v>
          </cell>
          <cell r="S1544">
            <v>78</v>
          </cell>
          <cell r="T1544" t="str">
            <v>標準</v>
          </cell>
        </row>
        <row r="1545">
          <cell r="F1545" t="str">
            <v>H0000097515</v>
          </cell>
          <cell r="I1545" t="str">
            <v>フレーム</v>
          </cell>
          <cell r="J1545" t="str">
            <v>S-Frame_CX-10_S_KKKK</v>
          </cell>
          <cell r="K1545" t="str">
            <v>S-フレーム_CX-10_S_KKKK</v>
          </cell>
          <cell r="L1545" t="str">
            <v>S-Frame</v>
          </cell>
          <cell r="M1545" t="str">
            <v>S-フレーム</v>
          </cell>
          <cell r="P1545" t="str">
            <v>31B0</v>
          </cell>
          <cell r="Q1545" t="str">
            <v>SS400</v>
          </cell>
          <cell r="R1545" t="str">
            <v>E356750_01</v>
          </cell>
          <cell r="S1545">
            <v>78</v>
          </cell>
          <cell r="T1545" t="str">
            <v>標準</v>
          </cell>
        </row>
        <row r="1546">
          <cell r="F1546" t="str">
            <v>H0000097516</v>
          </cell>
          <cell r="I1546" t="str">
            <v>フレーム</v>
          </cell>
          <cell r="J1546" t="str">
            <v>S-Frame_CX-10_S_KKKK</v>
          </cell>
          <cell r="K1546" t="str">
            <v>S-フレーム_CX-10_S_KKKK</v>
          </cell>
          <cell r="L1546" t="str">
            <v>S-Frame</v>
          </cell>
          <cell r="M1546" t="str">
            <v>S-フレーム</v>
          </cell>
          <cell r="P1546" t="str">
            <v>31B0</v>
          </cell>
          <cell r="Q1546" t="str">
            <v>SS400</v>
          </cell>
          <cell r="R1546" t="str">
            <v>E356750_01</v>
          </cell>
          <cell r="S1546">
            <v>78</v>
          </cell>
          <cell r="T1546" t="str">
            <v>標準</v>
          </cell>
        </row>
        <row r="1547">
          <cell r="F1547" t="str">
            <v>H0000097517</v>
          </cell>
          <cell r="I1547" t="str">
            <v>フレーム</v>
          </cell>
          <cell r="J1547" t="str">
            <v>S-Frame_CX-10_S_KKKK</v>
          </cell>
          <cell r="K1547" t="str">
            <v>S-フレーム_CX-10_S_KKKK</v>
          </cell>
          <cell r="L1547" t="str">
            <v>S-Frame</v>
          </cell>
          <cell r="M1547" t="str">
            <v>S-フレーム</v>
          </cell>
          <cell r="P1547" t="str">
            <v>31B0</v>
          </cell>
          <cell r="Q1547" t="str">
            <v>SS400</v>
          </cell>
          <cell r="R1547" t="str">
            <v>E356750_01</v>
          </cell>
          <cell r="S1547">
            <v>78</v>
          </cell>
          <cell r="T1547" t="str">
            <v>標準</v>
          </cell>
        </row>
        <row r="1548">
          <cell r="F1548" t="str">
            <v>H0000097518</v>
          </cell>
          <cell r="I1548" t="str">
            <v>フレーム</v>
          </cell>
          <cell r="J1548" t="str">
            <v>S-Frame_CX-10_S_KKKK</v>
          </cell>
          <cell r="K1548" t="str">
            <v>S-フレーム_CX-10_S_KKKK</v>
          </cell>
          <cell r="L1548" t="str">
            <v>S-Frame</v>
          </cell>
          <cell r="M1548" t="str">
            <v>S-フレーム</v>
          </cell>
          <cell r="P1548" t="str">
            <v>31B0</v>
          </cell>
          <cell r="Q1548" t="str">
            <v>SS400</v>
          </cell>
          <cell r="R1548" t="str">
            <v>E356750_01</v>
          </cell>
          <cell r="S1548">
            <v>78</v>
          </cell>
          <cell r="T1548" t="str">
            <v>標準</v>
          </cell>
        </row>
        <row r="1549">
          <cell r="F1549" t="str">
            <v>H0000097519</v>
          </cell>
          <cell r="I1549" t="str">
            <v>フレーム</v>
          </cell>
          <cell r="J1549" t="str">
            <v>S-Frame_CX-10_S_KKKK</v>
          </cell>
          <cell r="K1549" t="str">
            <v>S-フレーム_CX-10_S_KKKK</v>
          </cell>
          <cell r="L1549" t="str">
            <v>S-Frame</v>
          </cell>
          <cell r="M1549" t="str">
            <v>S-フレーム</v>
          </cell>
          <cell r="P1549" t="str">
            <v>31B0</v>
          </cell>
          <cell r="Q1549" t="str">
            <v>SS400</v>
          </cell>
          <cell r="R1549" t="str">
            <v>E356750_01</v>
          </cell>
          <cell r="S1549">
            <v>78</v>
          </cell>
          <cell r="T1549" t="str">
            <v>標準</v>
          </cell>
        </row>
        <row r="1550">
          <cell r="F1550" t="str">
            <v>H0000097520</v>
          </cell>
          <cell r="I1550" t="str">
            <v>フレーム</v>
          </cell>
          <cell r="J1550" t="str">
            <v>S-Frame_CX-10_S_TKKT</v>
          </cell>
          <cell r="K1550" t="str">
            <v>S-フレーム_CX-10_S_TKKT</v>
          </cell>
          <cell r="L1550" t="str">
            <v>S-Frame</v>
          </cell>
          <cell r="M1550" t="str">
            <v>S-フレーム</v>
          </cell>
          <cell r="P1550" t="str">
            <v>31B0</v>
          </cell>
          <cell r="Q1550" t="str">
            <v>SS400</v>
          </cell>
          <cell r="R1550" t="str">
            <v>E356750_01</v>
          </cell>
          <cell r="S1550">
            <v>78</v>
          </cell>
          <cell r="T1550" t="str">
            <v>標準</v>
          </cell>
        </row>
        <row r="1551">
          <cell r="F1551" t="str">
            <v>H0000097521</v>
          </cell>
          <cell r="I1551" t="str">
            <v>フレーム</v>
          </cell>
          <cell r="J1551" t="str">
            <v>S-Frame_CX-10_S_TKKT</v>
          </cell>
          <cell r="K1551" t="str">
            <v>S-フレーム_CX-10_S_TKKT</v>
          </cell>
          <cell r="L1551" t="str">
            <v>S-Frame</v>
          </cell>
          <cell r="M1551" t="str">
            <v>S-フレーム</v>
          </cell>
          <cell r="P1551" t="str">
            <v>31B0</v>
          </cell>
          <cell r="Q1551" t="str">
            <v>SS400</v>
          </cell>
          <cell r="R1551" t="str">
            <v>E356750_01</v>
          </cell>
          <cell r="S1551">
            <v>78</v>
          </cell>
          <cell r="T1551" t="str">
            <v>標準</v>
          </cell>
        </row>
        <row r="1552">
          <cell r="F1552" t="str">
            <v>H0000097522</v>
          </cell>
          <cell r="I1552" t="str">
            <v>フレーム</v>
          </cell>
          <cell r="J1552" t="str">
            <v>S-Frame_CX-10_S_TKKT</v>
          </cell>
          <cell r="K1552" t="str">
            <v>S-フレーム_CX-10_S_TKKT</v>
          </cell>
          <cell r="L1552" t="str">
            <v>S-Frame</v>
          </cell>
          <cell r="M1552" t="str">
            <v>S-フレーム</v>
          </cell>
          <cell r="P1552" t="str">
            <v>31B0</v>
          </cell>
          <cell r="Q1552" t="str">
            <v>SS400</v>
          </cell>
          <cell r="R1552" t="str">
            <v>E356750_01</v>
          </cell>
          <cell r="S1552">
            <v>78</v>
          </cell>
          <cell r="T1552" t="str">
            <v>標準</v>
          </cell>
        </row>
        <row r="1553">
          <cell r="F1553" t="str">
            <v>H0000097523</v>
          </cell>
          <cell r="I1553" t="str">
            <v>フレーム</v>
          </cell>
          <cell r="J1553" t="str">
            <v>S-Frame_CX-10_S_TKKT</v>
          </cell>
          <cell r="K1553" t="str">
            <v>S-フレーム_CX-10_S_TKKT</v>
          </cell>
          <cell r="L1553" t="str">
            <v>S-Frame</v>
          </cell>
          <cell r="M1553" t="str">
            <v>S-フレーム</v>
          </cell>
          <cell r="P1553" t="str">
            <v>31B0</v>
          </cell>
          <cell r="Q1553" t="str">
            <v>SS400</v>
          </cell>
          <cell r="R1553" t="str">
            <v>E356750_01</v>
          </cell>
          <cell r="S1553">
            <v>78</v>
          </cell>
          <cell r="T1553" t="str">
            <v>標準</v>
          </cell>
        </row>
        <row r="1554">
          <cell r="F1554" t="str">
            <v>H0000097524</v>
          </cell>
          <cell r="I1554" t="str">
            <v>フレーム</v>
          </cell>
          <cell r="J1554" t="str">
            <v>S-Frame_CX-10_S_KTTK</v>
          </cell>
          <cell r="K1554" t="str">
            <v>S-フレーム_CX-10_S_KTTK</v>
          </cell>
          <cell r="L1554" t="str">
            <v>S-Frame</v>
          </cell>
          <cell r="M1554" t="str">
            <v>S-フレーム</v>
          </cell>
          <cell r="P1554" t="str">
            <v>31B0</v>
          </cell>
          <cell r="Q1554" t="str">
            <v>SS400</v>
          </cell>
          <cell r="R1554" t="str">
            <v>E356750_01</v>
          </cell>
          <cell r="S1554">
            <v>78</v>
          </cell>
          <cell r="T1554" t="str">
            <v>標準</v>
          </cell>
        </row>
        <row r="1555">
          <cell r="F1555" t="str">
            <v>H0000097525</v>
          </cell>
          <cell r="I1555" t="str">
            <v>フレーム</v>
          </cell>
          <cell r="J1555" t="str">
            <v>S-Frame_CX-10_S_KTTK</v>
          </cell>
          <cell r="K1555" t="str">
            <v>S-フレーム_CX-10_S_KTTK</v>
          </cell>
          <cell r="L1555" t="str">
            <v>S-Frame</v>
          </cell>
          <cell r="M1555" t="str">
            <v>S-フレーム</v>
          </cell>
          <cell r="P1555" t="str">
            <v>31B0</v>
          </cell>
          <cell r="Q1555" t="str">
            <v>SS400</v>
          </cell>
          <cell r="R1555" t="str">
            <v>E356750_01</v>
          </cell>
          <cell r="S1555">
            <v>78</v>
          </cell>
          <cell r="T1555" t="str">
            <v>標準</v>
          </cell>
        </row>
        <row r="1556">
          <cell r="F1556" t="str">
            <v>H0000097526</v>
          </cell>
          <cell r="I1556" t="str">
            <v>フレーム</v>
          </cell>
          <cell r="J1556" t="str">
            <v>S-Frame_CX-10_S_KTTK</v>
          </cell>
          <cell r="K1556" t="str">
            <v>S-フレーム_CX-10_S_KTTK</v>
          </cell>
          <cell r="L1556" t="str">
            <v>S-Frame</v>
          </cell>
          <cell r="M1556" t="str">
            <v>S-フレーム</v>
          </cell>
          <cell r="P1556" t="str">
            <v>31B0</v>
          </cell>
          <cell r="Q1556" t="str">
            <v>SS400</v>
          </cell>
          <cell r="R1556" t="str">
            <v>E356750_01</v>
          </cell>
          <cell r="S1556">
            <v>78</v>
          </cell>
          <cell r="T1556" t="str">
            <v>標準</v>
          </cell>
        </row>
        <row r="1557">
          <cell r="F1557" t="str">
            <v>H0000097527</v>
          </cell>
          <cell r="I1557" t="str">
            <v>フレーム</v>
          </cell>
          <cell r="J1557" t="str">
            <v>S-Frame_CX-10_S_KTTK</v>
          </cell>
          <cell r="K1557" t="str">
            <v>S-フレーム_CX-10_S_KTTK</v>
          </cell>
          <cell r="L1557" t="str">
            <v>S-Frame</v>
          </cell>
          <cell r="M1557" t="str">
            <v>S-フレーム</v>
          </cell>
          <cell r="P1557" t="str">
            <v>31B0</v>
          </cell>
          <cell r="Q1557" t="str">
            <v>SS400</v>
          </cell>
          <cell r="R1557" t="str">
            <v>E356750_01</v>
          </cell>
          <cell r="S1557">
            <v>78</v>
          </cell>
          <cell r="T1557" t="str">
            <v>標準</v>
          </cell>
        </row>
        <row r="1558">
          <cell r="F1558" t="str">
            <v>H0000097528</v>
          </cell>
          <cell r="I1558" t="str">
            <v>フレーム</v>
          </cell>
          <cell r="J1558" t="str">
            <v>S-Frame_GasCutting_CX-10_S_1234</v>
          </cell>
          <cell r="K1558" t="str">
            <v>S-フレーム_ガス溶断_CX-10_S_1234</v>
          </cell>
          <cell r="L1558" t="str">
            <v>S-Frame</v>
          </cell>
          <cell r="M1558" t="str">
            <v>S-フレーム</v>
          </cell>
          <cell r="N1558" t="str">
            <v>GasCutting</v>
          </cell>
          <cell r="O1558" t="str">
            <v>ガス溶断</v>
          </cell>
          <cell r="P1558" t="str">
            <v>31B0</v>
          </cell>
          <cell r="Q1558" t="str">
            <v>SS400</v>
          </cell>
          <cell r="R1558" t="str">
            <v>E356750_01</v>
          </cell>
          <cell r="S1558">
            <v>78</v>
          </cell>
          <cell r="T1558" t="str">
            <v>標準</v>
          </cell>
        </row>
        <row r="1559">
          <cell r="F1559" t="str">
            <v>H0000102394</v>
          </cell>
          <cell r="I1559" t="str">
            <v>フレーム</v>
          </cell>
          <cell r="J1559" t="str">
            <v>S-Frame_LX-10_N_TTTT</v>
          </cell>
          <cell r="K1559" t="str">
            <v>S-フレーム_LX-10_N_TTTT</v>
          </cell>
          <cell r="L1559" t="str">
            <v>S-Frame</v>
          </cell>
          <cell r="M1559" t="str">
            <v>S-フレーム</v>
          </cell>
          <cell r="P1559" t="str">
            <v>31B0</v>
          </cell>
          <cell r="Q1559" t="str">
            <v>SS400</v>
          </cell>
          <cell r="R1559" t="str">
            <v>E345926_01</v>
          </cell>
          <cell r="S1559">
            <v>97</v>
          </cell>
          <cell r="T1559" t="str">
            <v>標準</v>
          </cell>
        </row>
        <row r="1560">
          <cell r="F1560" t="str">
            <v>H0000102395</v>
          </cell>
          <cell r="I1560" t="str">
            <v>フレーム</v>
          </cell>
          <cell r="J1560" t="str">
            <v>S-Frame_LX-10_N_TTTT</v>
          </cell>
          <cell r="K1560" t="str">
            <v>S-フレーム_LX-10_N_TTTT</v>
          </cell>
          <cell r="L1560" t="str">
            <v>S-Frame</v>
          </cell>
          <cell r="M1560" t="str">
            <v>S-フレーム</v>
          </cell>
          <cell r="P1560" t="str">
            <v>31B0</v>
          </cell>
          <cell r="Q1560" t="str">
            <v>SS400</v>
          </cell>
          <cell r="R1560" t="str">
            <v>E345926_01</v>
          </cell>
          <cell r="S1560">
            <v>97</v>
          </cell>
          <cell r="T1560" t="str">
            <v>標準</v>
          </cell>
        </row>
        <row r="1561">
          <cell r="F1561" t="str">
            <v>H0000102396</v>
          </cell>
          <cell r="I1561" t="str">
            <v>フレーム</v>
          </cell>
          <cell r="J1561" t="str">
            <v>S-Frame_LX-10_N_TTTT</v>
          </cell>
          <cell r="K1561" t="str">
            <v>S-フレーム_LX-10_N_TTTT</v>
          </cell>
          <cell r="L1561" t="str">
            <v>S-Frame</v>
          </cell>
          <cell r="M1561" t="str">
            <v>S-フレーム</v>
          </cell>
          <cell r="P1561" t="str">
            <v>31B0</v>
          </cell>
          <cell r="Q1561" t="str">
            <v>SS400</v>
          </cell>
          <cell r="R1561" t="str">
            <v>E345926_01</v>
          </cell>
          <cell r="S1561">
            <v>97</v>
          </cell>
          <cell r="T1561" t="str">
            <v>標準</v>
          </cell>
        </row>
        <row r="1562">
          <cell r="F1562" t="str">
            <v>H0000102397</v>
          </cell>
          <cell r="I1562" t="str">
            <v>フレーム</v>
          </cell>
          <cell r="J1562" t="str">
            <v>S-Frame_LX-10_N_TTTT</v>
          </cell>
          <cell r="K1562" t="str">
            <v>S-フレーム_LX-10_N_TTTT</v>
          </cell>
          <cell r="L1562" t="str">
            <v>S-Frame</v>
          </cell>
          <cell r="M1562" t="str">
            <v>S-フレーム</v>
          </cell>
          <cell r="P1562" t="str">
            <v>31B0</v>
          </cell>
          <cell r="Q1562" t="str">
            <v>SS400</v>
          </cell>
          <cell r="R1562" t="str">
            <v>E345926_01</v>
          </cell>
          <cell r="S1562">
            <v>97</v>
          </cell>
          <cell r="T1562" t="str">
            <v>標準</v>
          </cell>
        </row>
        <row r="1563">
          <cell r="F1563" t="str">
            <v>H0000102398</v>
          </cell>
          <cell r="I1563" t="str">
            <v>フレーム</v>
          </cell>
          <cell r="J1563" t="str">
            <v>S-Frame_LX-10_N_TKTK</v>
          </cell>
          <cell r="K1563" t="str">
            <v>S-フレーム_LX-10_N_TKTK</v>
          </cell>
          <cell r="L1563" t="str">
            <v>S-Frame</v>
          </cell>
          <cell r="M1563" t="str">
            <v>S-フレーム</v>
          </cell>
          <cell r="P1563" t="str">
            <v>31B0</v>
          </cell>
          <cell r="Q1563" t="str">
            <v>SS400</v>
          </cell>
          <cell r="R1563" t="str">
            <v>E345926_01</v>
          </cell>
          <cell r="S1563">
            <v>97</v>
          </cell>
          <cell r="T1563" t="str">
            <v>標準</v>
          </cell>
        </row>
        <row r="1564">
          <cell r="F1564" t="str">
            <v>H0000102399</v>
          </cell>
          <cell r="I1564" t="str">
            <v>フレーム</v>
          </cell>
          <cell r="J1564" t="str">
            <v>S-Frame_LX-10_N_TKTK</v>
          </cell>
          <cell r="K1564" t="str">
            <v>S-フレーム_LX-10_N_TKTK</v>
          </cell>
          <cell r="L1564" t="str">
            <v>S-Frame</v>
          </cell>
          <cell r="M1564" t="str">
            <v>S-フレーム</v>
          </cell>
          <cell r="P1564" t="str">
            <v>31B0</v>
          </cell>
          <cell r="Q1564" t="str">
            <v>SS400</v>
          </cell>
          <cell r="R1564" t="str">
            <v>E345926_01</v>
          </cell>
          <cell r="S1564">
            <v>97</v>
          </cell>
          <cell r="T1564" t="str">
            <v>標準</v>
          </cell>
        </row>
        <row r="1565">
          <cell r="F1565" t="str">
            <v>H0000102400</v>
          </cell>
          <cell r="I1565" t="str">
            <v>フレーム</v>
          </cell>
          <cell r="J1565" t="str">
            <v>S-Frame_LX-10_N_TKTK</v>
          </cell>
          <cell r="K1565" t="str">
            <v>S-フレーム_LX-10_N_TKTK</v>
          </cell>
          <cell r="L1565" t="str">
            <v>S-Frame</v>
          </cell>
          <cell r="M1565" t="str">
            <v>S-フレーム</v>
          </cell>
          <cell r="P1565" t="str">
            <v>31B0</v>
          </cell>
          <cell r="Q1565" t="str">
            <v>SS400</v>
          </cell>
          <cell r="R1565" t="str">
            <v>E345926_01</v>
          </cell>
          <cell r="S1565">
            <v>97</v>
          </cell>
          <cell r="T1565" t="str">
            <v>標準</v>
          </cell>
        </row>
        <row r="1566">
          <cell r="F1566" t="str">
            <v>H0000102401</v>
          </cell>
          <cell r="I1566" t="str">
            <v>フレーム</v>
          </cell>
          <cell r="J1566" t="str">
            <v>S-Frame_LX-10_N_TKTK</v>
          </cell>
          <cell r="K1566" t="str">
            <v>S-フレーム_LX-10_N_TKTK</v>
          </cell>
          <cell r="L1566" t="str">
            <v>S-Frame</v>
          </cell>
          <cell r="M1566" t="str">
            <v>S-フレーム</v>
          </cell>
          <cell r="P1566" t="str">
            <v>31B0</v>
          </cell>
          <cell r="Q1566" t="str">
            <v>SS400</v>
          </cell>
          <cell r="R1566" t="str">
            <v>E345926_01</v>
          </cell>
          <cell r="S1566">
            <v>97</v>
          </cell>
          <cell r="T1566" t="str">
            <v>標準</v>
          </cell>
        </row>
        <row r="1567">
          <cell r="F1567" t="str">
            <v>H0000102402</v>
          </cell>
          <cell r="I1567" t="str">
            <v>フレーム</v>
          </cell>
          <cell r="J1567" t="str">
            <v>S-Frame_LX-10_N_KTKT</v>
          </cell>
          <cell r="K1567" t="str">
            <v>S-フレーム_LX-10_N_KTKT</v>
          </cell>
          <cell r="L1567" t="str">
            <v>S-Frame</v>
          </cell>
          <cell r="M1567" t="str">
            <v>S-フレーム</v>
          </cell>
          <cell r="P1567" t="str">
            <v>31B0</v>
          </cell>
          <cell r="Q1567" t="str">
            <v>SS400</v>
          </cell>
          <cell r="R1567" t="str">
            <v>E345926_01</v>
          </cell>
          <cell r="S1567">
            <v>97</v>
          </cell>
          <cell r="T1567" t="str">
            <v>標準</v>
          </cell>
        </row>
        <row r="1568">
          <cell r="F1568" t="str">
            <v>H0000102403</v>
          </cell>
          <cell r="I1568" t="str">
            <v>フレーム</v>
          </cell>
          <cell r="J1568" t="str">
            <v>S-Frame_LX-10_N_KTKT</v>
          </cell>
          <cell r="K1568" t="str">
            <v>S-フレーム_LX-10_N_KTKT</v>
          </cell>
          <cell r="L1568" t="str">
            <v>S-Frame</v>
          </cell>
          <cell r="M1568" t="str">
            <v>S-フレーム</v>
          </cell>
          <cell r="P1568" t="str">
            <v>31B0</v>
          </cell>
          <cell r="Q1568" t="str">
            <v>SS400</v>
          </cell>
          <cell r="R1568" t="str">
            <v>E345926_01</v>
          </cell>
          <cell r="S1568">
            <v>97</v>
          </cell>
          <cell r="T1568" t="str">
            <v>標準</v>
          </cell>
        </row>
        <row r="1569">
          <cell r="F1569" t="str">
            <v>H0000102404</v>
          </cell>
          <cell r="I1569" t="str">
            <v>フレーム</v>
          </cell>
          <cell r="J1569" t="str">
            <v>S-Frame_LX-10_N_KTKT</v>
          </cell>
          <cell r="K1569" t="str">
            <v>S-フレーム_LX-10_N_KTKT</v>
          </cell>
          <cell r="L1569" t="str">
            <v>S-Frame</v>
          </cell>
          <cell r="M1569" t="str">
            <v>S-フレーム</v>
          </cell>
          <cell r="P1569" t="str">
            <v>31B0</v>
          </cell>
          <cell r="Q1569" t="str">
            <v>SS400</v>
          </cell>
          <cell r="R1569" t="str">
            <v>E345926_01</v>
          </cell>
          <cell r="S1569">
            <v>97</v>
          </cell>
          <cell r="T1569" t="str">
            <v>標準</v>
          </cell>
        </row>
        <row r="1570">
          <cell r="F1570" t="str">
            <v>H0000102405</v>
          </cell>
          <cell r="I1570" t="str">
            <v>フレーム</v>
          </cell>
          <cell r="J1570" t="str">
            <v>S-Frame_LX-10_N_KTKT</v>
          </cell>
          <cell r="K1570" t="str">
            <v>S-フレーム_LX-10_N_KTKT</v>
          </cell>
          <cell r="L1570" t="str">
            <v>S-Frame</v>
          </cell>
          <cell r="M1570" t="str">
            <v>S-フレーム</v>
          </cell>
          <cell r="P1570" t="str">
            <v>31B0</v>
          </cell>
          <cell r="Q1570" t="str">
            <v>SS400</v>
          </cell>
          <cell r="R1570" t="str">
            <v>E345926_01</v>
          </cell>
          <cell r="S1570">
            <v>97</v>
          </cell>
          <cell r="T1570" t="str">
            <v>標準</v>
          </cell>
        </row>
        <row r="1571">
          <cell r="F1571" t="str">
            <v>H0000102406</v>
          </cell>
          <cell r="I1571" t="str">
            <v>フレーム</v>
          </cell>
          <cell r="J1571" t="str">
            <v>S-Frame_LX-10_N_KKKK</v>
          </cell>
          <cell r="K1571" t="str">
            <v>S-フレーム_LX-10_N_KKKK</v>
          </cell>
          <cell r="L1571" t="str">
            <v>S-Frame</v>
          </cell>
          <cell r="M1571" t="str">
            <v>S-フレーム</v>
          </cell>
          <cell r="P1571" t="str">
            <v>31B0</v>
          </cell>
          <cell r="Q1571" t="str">
            <v>SS400</v>
          </cell>
          <cell r="R1571" t="str">
            <v>E345926_01</v>
          </cell>
          <cell r="S1571">
            <v>97</v>
          </cell>
          <cell r="T1571" t="str">
            <v>標準</v>
          </cell>
        </row>
        <row r="1572">
          <cell r="F1572" t="str">
            <v>H0000102407</v>
          </cell>
          <cell r="I1572" t="str">
            <v>フレーム</v>
          </cell>
          <cell r="J1572" t="str">
            <v>S-Frame_LX-10_N_KKKK</v>
          </cell>
          <cell r="K1572" t="str">
            <v>S-フレーム_LX-10_N_KKKK</v>
          </cell>
          <cell r="L1572" t="str">
            <v>S-Frame</v>
          </cell>
          <cell r="M1572" t="str">
            <v>S-フレーム</v>
          </cell>
          <cell r="P1572" t="str">
            <v>31B0</v>
          </cell>
          <cell r="Q1572" t="str">
            <v>SS400</v>
          </cell>
          <cell r="R1572" t="str">
            <v>E345926_01</v>
          </cell>
          <cell r="S1572">
            <v>97</v>
          </cell>
          <cell r="T1572" t="str">
            <v>標準</v>
          </cell>
        </row>
        <row r="1573">
          <cell r="F1573" t="str">
            <v>H0000102408</v>
          </cell>
          <cell r="I1573" t="str">
            <v>フレーム</v>
          </cell>
          <cell r="J1573" t="str">
            <v>S-Frame_LX-10_N_KKKK</v>
          </cell>
          <cell r="K1573" t="str">
            <v>S-フレーム_LX-10_N_KKKK</v>
          </cell>
          <cell r="L1573" t="str">
            <v>S-Frame</v>
          </cell>
          <cell r="M1573" t="str">
            <v>S-フレーム</v>
          </cell>
          <cell r="P1573" t="str">
            <v>31B0</v>
          </cell>
          <cell r="Q1573" t="str">
            <v>SS400</v>
          </cell>
          <cell r="R1573" t="str">
            <v>E345926_01</v>
          </cell>
          <cell r="S1573">
            <v>97</v>
          </cell>
          <cell r="T1573" t="str">
            <v>標準</v>
          </cell>
        </row>
        <row r="1574">
          <cell r="F1574" t="str">
            <v>H0000102409</v>
          </cell>
          <cell r="I1574" t="str">
            <v>フレーム</v>
          </cell>
          <cell r="J1574" t="str">
            <v>S-Frame_LX-10_N_KKKK</v>
          </cell>
          <cell r="K1574" t="str">
            <v>S-フレーム_LX-10_N_KKKK</v>
          </cell>
          <cell r="L1574" t="str">
            <v>S-Frame</v>
          </cell>
          <cell r="M1574" t="str">
            <v>S-フレーム</v>
          </cell>
          <cell r="P1574" t="str">
            <v>31B0</v>
          </cell>
          <cell r="Q1574" t="str">
            <v>SS400</v>
          </cell>
          <cell r="R1574" t="str">
            <v>E345926_01</v>
          </cell>
          <cell r="S1574">
            <v>97</v>
          </cell>
          <cell r="T1574" t="str">
            <v>標準</v>
          </cell>
        </row>
        <row r="1575">
          <cell r="F1575" t="str">
            <v>H0000102410</v>
          </cell>
          <cell r="I1575" t="str">
            <v>フレーム</v>
          </cell>
          <cell r="J1575" t="str">
            <v>S-Frame_LX-10_H_TTTT</v>
          </cell>
          <cell r="K1575" t="str">
            <v>S-フレーム_LX-10_H_TTTT</v>
          </cell>
          <cell r="L1575" t="str">
            <v>S-Frame</v>
          </cell>
          <cell r="M1575" t="str">
            <v>S-フレーム</v>
          </cell>
          <cell r="P1575" t="str">
            <v>31B0</v>
          </cell>
          <cell r="Q1575" t="str">
            <v>SS400</v>
          </cell>
          <cell r="R1575" t="str">
            <v>E345926_01</v>
          </cell>
          <cell r="S1575">
            <v>125</v>
          </cell>
          <cell r="T1575" t="str">
            <v>標準</v>
          </cell>
        </row>
        <row r="1576">
          <cell r="F1576" t="str">
            <v>H0000102411</v>
          </cell>
          <cell r="I1576" t="str">
            <v>フレーム</v>
          </cell>
          <cell r="J1576" t="str">
            <v>S-Frame_LX-10_H_TTTT</v>
          </cell>
          <cell r="K1576" t="str">
            <v>S-フレーム_LX-10_H_TTTT</v>
          </cell>
          <cell r="L1576" t="str">
            <v>S-Frame</v>
          </cell>
          <cell r="M1576" t="str">
            <v>S-フレーム</v>
          </cell>
          <cell r="P1576" t="str">
            <v>31B0</v>
          </cell>
          <cell r="Q1576" t="str">
            <v>SS400</v>
          </cell>
          <cell r="R1576" t="str">
            <v>E345926_01</v>
          </cell>
          <cell r="S1576">
            <v>125</v>
          </cell>
          <cell r="T1576" t="str">
            <v>標準</v>
          </cell>
        </row>
        <row r="1577">
          <cell r="F1577" t="str">
            <v>H0000102412</v>
          </cell>
          <cell r="I1577" t="str">
            <v>フレーム</v>
          </cell>
          <cell r="J1577" t="str">
            <v>S-Frame_LX-10_H_TTTT</v>
          </cell>
          <cell r="K1577" t="str">
            <v>S-フレーム_LX-10_H_TTTT</v>
          </cell>
          <cell r="L1577" t="str">
            <v>S-Frame</v>
          </cell>
          <cell r="M1577" t="str">
            <v>S-フレーム</v>
          </cell>
          <cell r="P1577" t="str">
            <v>31B0</v>
          </cell>
          <cell r="Q1577" t="str">
            <v>SS400</v>
          </cell>
          <cell r="R1577" t="str">
            <v>E345926_01</v>
          </cell>
          <cell r="S1577">
            <v>125</v>
          </cell>
          <cell r="T1577" t="str">
            <v>標準</v>
          </cell>
        </row>
        <row r="1578">
          <cell r="F1578" t="str">
            <v>H0000102413</v>
          </cell>
          <cell r="I1578" t="str">
            <v>フレーム</v>
          </cell>
          <cell r="J1578" t="str">
            <v>S-Frame_LX-10_H_TTTT</v>
          </cell>
          <cell r="K1578" t="str">
            <v>S-フレーム_LX-10_H_TTTT</v>
          </cell>
          <cell r="L1578" t="str">
            <v>S-Frame</v>
          </cell>
          <cell r="M1578" t="str">
            <v>S-フレーム</v>
          </cell>
          <cell r="P1578" t="str">
            <v>31B0</v>
          </cell>
          <cell r="Q1578" t="str">
            <v>SS400</v>
          </cell>
          <cell r="R1578" t="str">
            <v>E345926_01</v>
          </cell>
          <cell r="S1578">
            <v>125</v>
          </cell>
          <cell r="T1578" t="str">
            <v>標準</v>
          </cell>
        </row>
        <row r="1579">
          <cell r="F1579" t="str">
            <v>H0000102414</v>
          </cell>
          <cell r="I1579" t="str">
            <v>フレーム</v>
          </cell>
          <cell r="J1579" t="str">
            <v>S-Frame_LX-10_H_TKTK</v>
          </cell>
          <cell r="K1579" t="str">
            <v>S-フレーム_LX-10_H_TKTK</v>
          </cell>
          <cell r="L1579" t="str">
            <v>S-Frame</v>
          </cell>
          <cell r="M1579" t="str">
            <v>S-フレーム</v>
          </cell>
          <cell r="P1579" t="str">
            <v>31B0</v>
          </cell>
          <cell r="Q1579" t="str">
            <v>SS400</v>
          </cell>
          <cell r="R1579" t="str">
            <v>E345926_01</v>
          </cell>
          <cell r="S1579">
            <v>125</v>
          </cell>
          <cell r="T1579" t="str">
            <v>標準</v>
          </cell>
        </row>
        <row r="1580">
          <cell r="F1580" t="str">
            <v>H0000102415</v>
          </cell>
          <cell r="I1580" t="str">
            <v>フレーム</v>
          </cell>
          <cell r="J1580" t="str">
            <v>S-Frame_LX-10_H_TKTK</v>
          </cell>
          <cell r="K1580" t="str">
            <v>S-フレーム_LX-10_H_TKTK</v>
          </cell>
          <cell r="L1580" t="str">
            <v>S-Frame</v>
          </cell>
          <cell r="M1580" t="str">
            <v>S-フレーム</v>
          </cell>
          <cell r="P1580" t="str">
            <v>31B0</v>
          </cell>
          <cell r="Q1580" t="str">
            <v>SS400</v>
          </cell>
          <cell r="R1580" t="str">
            <v>E345926_01</v>
          </cell>
          <cell r="S1580">
            <v>125</v>
          </cell>
          <cell r="T1580" t="str">
            <v>標準</v>
          </cell>
        </row>
        <row r="1581">
          <cell r="F1581" t="str">
            <v>H0000102416</v>
          </cell>
          <cell r="I1581" t="str">
            <v>フレーム</v>
          </cell>
          <cell r="J1581" t="str">
            <v>S-Frame_LX-10_H_TKTK</v>
          </cell>
          <cell r="K1581" t="str">
            <v>S-フレーム_LX-10_H_TKTK</v>
          </cell>
          <cell r="L1581" t="str">
            <v>S-Frame</v>
          </cell>
          <cell r="M1581" t="str">
            <v>S-フレーム</v>
          </cell>
          <cell r="P1581" t="str">
            <v>31B0</v>
          </cell>
          <cell r="Q1581" t="str">
            <v>SS400</v>
          </cell>
          <cell r="R1581" t="str">
            <v>E345926_01</v>
          </cell>
          <cell r="S1581">
            <v>125</v>
          </cell>
          <cell r="T1581" t="str">
            <v>標準</v>
          </cell>
        </row>
        <row r="1582">
          <cell r="F1582" t="str">
            <v>H0000102417</v>
          </cell>
          <cell r="I1582" t="str">
            <v>フレーム</v>
          </cell>
          <cell r="J1582" t="str">
            <v>S-Frame_LX-10_H_TKTK</v>
          </cell>
          <cell r="K1582" t="str">
            <v>S-フレーム_LX-10_H_TKTK</v>
          </cell>
          <cell r="L1582" t="str">
            <v>S-Frame</v>
          </cell>
          <cell r="M1582" t="str">
            <v>S-フレーム</v>
          </cell>
          <cell r="P1582" t="str">
            <v>31B0</v>
          </cell>
          <cell r="Q1582" t="str">
            <v>SS400</v>
          </cell>
          <cell r="R1582" t="str">
            <v>E345926_01</v>
          </cell>
          <cell r="S1582">
            <v>125</v>
          </cell>
          <cell r="T1582" t="str">
            <v>標準</v>
          </cell>
        </row>
        <row r="1583">
          <cell r="F1583" t="str">
            <v>H0000102418</v>
          </cell>
          <cell r="I1583" t="str">
            <v>フレーム</v>
          </cell>
          <cell r="J1583" t="str">
            <v>S-Frame_LX-10_H_KTKT</v>
          </cell>
          <cell r="K1583" t="str">
            <v>S-フレーム_LX-10_H_KTKT</v>
          </cell>
          <cell r="L1583" t="str">
            <v>S-Frame</v>
          </cell>
          <cell r="M1583" t="str">
            <v>S-フレーム</v>
          </cell>
          <cell r="P1583" t="str">
            <v>31B0</v>
          </cell>
          <cell r="Q1583" t="str">
            <v>SS400</v>
          </cell>
          <cell r="R1583" t="str">
            <v>E345926_01</v>
          </cell>
          <cell r="S1583">
            <v>125</v>
          </cell>
          <cell r="T1583" t="str">
            <v>標準</v>
          </cell>
        </row>
        <row r="1584">
          <cell r="F1584" t="str">
            <v>H0000102419</v>
          </cell>
          <cell r="I1584" t="str">
            <v>フレーム</v>
          </cell>
          <cell r="J1584" t="str">
            <v>S-Frame_LX-10_H_KTKT</v>
          </cell>
          <cell r="K1584" t="str">
            <v>S-フレーム_LX-10_H_KTKT</v>
          </cell>
          <cell r="L1584" t="str">
            <v>S-Frame</v>
          </cell>
          <cell r="M1584" t="str">
            <v>S-フレーム</v>
          </cell>
          <cell r="P1584" t="str">
            <v>31B0</v>
          </cell>
          <cell r="Q1584" t="str">
            <v>SS400</v>
          </cell>
          <cell r="R1584" t="str">
            <v>E345926_01</v>
          </cell>
          <cell r="S1584">
            <v>125</v>
          </cell>
          <cell r="T1584" t="str">
            <v>標準</v>
          </cell>
        </row>
        <row r="1585">
          <cell r="F1585" t="str">
            <v>H0000102420</v>
          </cell>
          <cell r="I1585" t="str">
            <v>フレーム</v>
          </cell>
          <cell r="J1585" t="str">
            <v>S-Frame_LX-10_H_KTKT</v>
          </cell>
          <cell r="K1585" t="str">
            <v>S-フレーム_LX-10_H_KTKT</v>
          </cell>
          <cell r="L1585" t="str">
            <v>S-Frame</v>
          </cell>
          <cell r="M1585" t="str">
            <v>S-フレーム</v>
          </cell>
          <cell r="P1585" t="str">
            <v>31B0</v>
          </cell>
          <cell r="Q1585" t="str">
            <v>SS400</v>
          </cell>
          <cell r="R1585" t="str">
            <v>E345926_01</v>
          </cell>
          <cell r="S1585">
            <v>125</v>
          </cell>
          <cell r="T1585" t="str">
            <v>標準</v>
          </cell>
        </row>
        <row r="1586">
          <cell r="F1586" t="str">
            <v>H0000102421</v>
          </cell>
          <cell r="I1586" t="str">
            <v>フレーム</v>
          </cell>
          <cell r="J1586" t="str">
            <v>S-Frame_LX-10_H_KTKT</v>
          </cell>
          <cell r="K1586" t="str">
            <v>S-フレーム_LX-10_H_KTKT</v>
          </cell>
          <cell r="L1586" t="str">
            <v>S-Frame</v>
          </cell>
          <cell r="M1586" t="str">
            <v>S-フレーム</v>
          </cell>
          <cell r="P1586" t="str">
            <v>31B0</v>
          </cell>
          <cell r="Q1586" t="str">
            <v>SS400</v>
          </cell>
          <cell r="R1586" t="str">
            <v>E345926_01</v>
          </cell>
          <cell r="S1586">
            <v>125</v>
          </cell>
          <cell r="T1586" t="str">
            <v>標準</v>
          </cell>
        </row>
        <row r="1587">
          <cell r="F1587" t="str">
            <v>H0000102422</v>
          </cell>
          <cell r="I1587" t="str">
            <v>フレーム</v>
          </cell>
          <cell r="J1587" t="str">
            <v>S-Frame_LX-10_H_KKKK</v>
          </cell>
          <cell r="K1587" t="str">
            <v>S-フレーム_LX-10_H_KKKK</v>
          </cell>
          <cell r="L1587" t="str">
            <v>S-Frame</v>
          </cell>
          <cell r="M1587" t="str">
            <v>S-フレーム</v>
          </cell>
          <cell r="P1587" t="str">
            <v>31B0</v>
          </cell>
          <cell r="Q1587" t="str">
            <v>SS400</v>
          </cell>
          <cell r="R1587" t="str">
            <v>E345926_01</v>
          </cell>
          <cell r="S1587">
            <v>125</v>
          </cell>
          <cell r="T1587" t="str">
            <v>標準</v>
          </cell>
        </row>
        <row r="1588">
          <cell r="F1588" t="str">
            <v>H0000102423</v>
          </cell>
          <cell r="I1588" t="str">
            <v>フレーム</v>
          </cell>
          <cell r="J1588" t="str">
            <v>S-Frame_LX-10_H_KKKK</v>
          </cell>
          <cell r="K1588" t="str">
            <v>S-フレーム_LX-10_H_KKKK</v>
          </cell>
          <cell r="L1588" t="str">
            <v>S-Frame</v>
          </cell>
          <cell r="M1588" t="str">
            <v>S-フレーム</v>
          </cell>
          <cell r="P1588" t="str">
            <v>31B0</v>
          </cell>
          <cell r="Q1588" t="str">
            <v>SS400</v>
          </cell>
          <cell r="R1588" t="str">
            <v>E345926_01</v>
          </cell>
          <cell r="S1588">
            <v>125</v>
          </cell>
          <cell r="T1588" t="str">
            <v>標準</v>
          </cell>
        </row>
        <row r="1589">
          <cell r="F1589" t="str">
            <v>H0000102424</v>
          </cell>
          <cell r="I1589" t="str">
            <v>フレーム</v>
          </cell>
          <cell r="J1589" t="str">
            <v>S-Frame_LX-10_H_KKKK</v>
          </cell>
          <cell r="K1589" t="str">
            <v>S-フレーム_LX-10_H_KKKK</v>
          </cell>
          <cell r="L1589" t="str">
            <v>S-Frame</v>
          </cell>
          <cell r="M1589" t="str">
            <v>S-フレーム</v>
          </cell>
          <cell r="P1589" t="str">
            <v>31B0</v>
          </cell>
          <cell r="Q1589" t="str">
            <v>SS400</v>
          </cell>
          <cell r="R1589" t="str">
            <v>E345926_01</v>
          </cell>
          <cell r="S1589">
            <v>125</v>
          </cell>
          <cell r="T1589" t="str">
            <v>標準</v>
          </cell>
        </row>
        <row r="1590">
          <cell r="F1590" t="str">
            <v>H0000102425</v>
          </cell>
          <cell r="I1590" t="str">
            <v>フレーム</v>
          </cell>
          <cell r="J1590" t="str">
            <v>S-Frame_LX-10_H_KKKK</v>
          </cell>
          <cell r="K1590" t="str">
            <v>S-フレーム_LX-10_H_KKKK</v>
          </cell>
          <cell r="L1590" t="str">
            <v>S-Frame</v>
          </cell>
          <cell r="M1590" t="str">
            <v>S-フレーム</v>
          </cell>
          <cell r="P1590" t="str">
            <v>31B0</v>
          </cell>
          <cell r="Q1590" t="str">
            <v>SS400</v>
          </cell>
          <cell r="R1590" t="str">
            <v>E345926_01</v>
          </cell>
          <cell r="S1590">
            <v>125</v>
          </cell>
          <cell r="T1590" t="str">
            <v>標準</v>
          </cell>
        </row>
        <row r="1591">
          <cell r="F1591" t="str">
            <v>H0000102426</v>
          </cell>
          <cell r="I1591" t="str">
            <v>フレーム</v>
          </cell>
          <cell r="J1591" t="str">
            <v>S-Frame_GasCutting_LX-10_N_1234</v>
          </cell>
          <cell r="K1591" t="str">
            <v>S-フレーム_ガス溶断_LX-10_N_1234</v>
          </cell>
          <cell r="L1591" t="str">
            <v>S-Frame</v>
          </cell>
          <cell r="M1591" t="str">
            <v>S-フレーム</v>
          </cell>
          <cell r="N1591" t="str">
            <v>GasCutting</v>
          </cell>
          <cell r="O1591" t="str">
            <v>ガス溶断</v>
          </cell>
          <cell r="P1591" t="str">
            <v>31B0</v>
          </cell>
          <cell r="Q1591" t="str">
            <v>SS400</v>
          </cell>
          <cell r="R1591" t="str">
            <v>E345926_01</v>
          </cell>
          <cell r="S1591">
            <v>97</v>
          </cell>
          <cell r="T1591" t="str">
            <v>標準</v>
          </cell>
        </row>
        <row r="1592">
          <cell r="F1592" t="str">
            <v>H0000102427</v>
          </cell>
          <cell r="I1592" t="str">
            <v>フレーム</v>
          </cell>
          <cell r="J1592" t="str">
            <v>S-Frame_GasCutting_LX-10_H_1234</v>
          </cell>
          <cell r="K1592" t="str">
            <v>S-フレーム_ガス溶断_LX-10_H_1234</v>
          </cell>
          <cell r="L1592" t="str">
            <v>S-Frame</v>
          </cell>
          <cell r="M1592" t="str">
            <v>S-フレーム</v>
          </cell>
          <cell r="N1592" t="str">
            <v>GasCutting</v>
          </cell>
          <cell r="O1592" t="str">
            <v>ガス溶断</v>
          </cell>
          <cell r="P1592" t="str">
            <v>31B0</v>
          </cell>
          <cell r="Q1592" t="str">
            <v>SS400</v>
          </cell>
          <cell r="R1592" t="str">
            <v>E345926_01</v>
          </cell>
          <cell r="S1592">
            <v>125</v>
          </cell>
          <cell r="T1592" t="str">
            <v>標準</v>
          </cell>
        </row>
        <row r="1593">
          <cell r="F1593" t="str">
            <v>H0000102428</v>
          </cell>
          <cell r="I1593" t="str">
            <v>フレーム</v>
          </cell>
          <cell r="J1593" t="str">
            <v>S-Frame_LX-10_N_TTTT</v>
          </cell>
          <cell r="K1593" t="str">
            <v>S-フレーム_LX-10_N_TTTT</v>
          </cell>
          <cell r="L1593" t="str">
            <v>S-Frame</v>
          </cell>
          <cell r="M1593" t="str">
            <v>S-フレーム</v>
          </cell>
          <cell r="P1593" t="str">
            <v>31B0</v>
          </cell>
          <cell r="Q1593" t="str">
            <v>SS400</v>
          </cell>
          <cell r="R1593" t="str">
            <v>E349955_01</v>
          </cell>
          <cell r="S1593">
            <v>97</v>
          </cell>
          <cell r="T1593" t="str">
            <v>標準</v>
          </cell>
        </row>
        <row r="1594">
          <cell r="F1594" t="str">
            <v>H0000102429</v>
          </cell>
          <cell r="I1594" t="str">
            <v>フレーム</v>
          </cell>
          <cell r="J1594" t="str">
            <v>S-Frame_LX-10_N_TTTT</v>
          </cell>
          <cell r="K1594" t="str">
            <v>S-フレーム_LX-10_N_TTTT</v>
          </cell>
          <cell r="L1594" t="str">
            <v>S-Frame</v>
          </cell>
          <cell r="M1594" t="str">
            <v>S-フレーム</v>
          </cell>
          <cell r="P1594" t="str">
            <v>31B0</v>
          </cell>
          <cell r="Q1594" t="str">
            <v>SS400</v>
          </cell>
          <cell r="R1594" t="str">
            <v>E349955_01</v>
          </cell>
          <cell r="S1594">
            <v>97</v>
          </cell>
          <cell r="T1594" t="str">
            <v>標準</v>
          </cell>
        </row>
        <row r="1595">
          <cell r="F1595" t="str">
            <v>H0000102430</v>
          </cell>
          <cell r="I1595" t="str">
            <v>フレーム</v>
          </cell>
          <cell r="J1595" t="str">
            <v>S-Frame_LX-10_N_TTTT</v>
          </cell>
          <cell r="K1595" t="str">
            <v>S-フレーム_LX-10_N_TTTT</v>
          </cell>
          <cell r="L1595" t="str">
            <v>S-Frame</v>
          </cell>
          <cell r="M1595" t="str">
            <v>S-フレーム</v>
          </cell>
          <cell r="P1595" t="str">
            <v>31B0</v>
          </cell>
          <cell r="Q1595" t="str">
            <v>SS400</v>
          </cell>
          <cell r="R1595" t="str">
            <v>E349955_01</v>
          </cell>
          <cell r="S1595">
            <v>97</v>
          </cell>
          <cell r="T1595" t="str">
            <v>標準</v>
          </cell>
        </row>
        <row r="1596">
          <cell r="F1596" t="str">
            <v>H0000102431</v>
          </cell>
          <cell r="I1596" t="str">
            <v>フレーム</v>
          </cell>
          <cell r="J1596" t="str">
            <v>S-Frame_LX-10_N_TTTT</v>
          </cell>
          <cell r="K1596" t="str">
            <v>S-フレーム_LX-10_N_TTTT</v>
          </cell>
          <cell r="L1596" t="str">
            <v>S-Frame</v>
          </cell>
          <cell r="M1596" t="str">
            <v>S-フレーム</v>
          </cell>
          <cell r="P1596" t="str">
            <v>31B0</v>
          </cell>
          <cell r="Q1596" t="str">
            <v>SS400</v>
          </cell>
          <cell r="R1596" t="str">
            <v>E349955_01</v>
          </cell>
          <cell r="S1596">
            <v>97</v>
          </cell>
          <cell r="T1596" t="str">
            <v>標準</v>
          </cell>
        </row>
        <row r="1597">
          <cell r="F1597" t="str">
            <v>H0000102432</v>
          </cell>
          <cell r="I1597" t="str">
            <v>フレーム</v>
          </cell>
          <cell r="J1597" t="str">
            <v>S-Frame_LX-10_N_TTTT</v>
          </cell>
          <cell r="K1597" t="str">
            <v>S-フレーム_LX-10_N_TTTT</v>
          </cell>
          <cell r="L1597" t="str">
            <v>S-Frame</v>
          </cell>
          <cell r="M1597" t="str">
            <v>S-フレーム</v>
          </cell>
          <cell r="P1597" t="str">
            <v>31B0</v>
          </cell>
          <cell r="Q1597" t="str">
            <v>SS400</v>
          </cell>
          <cell r="R1597" t="str">
            <v>E349955_01</v>
          </cell>
          <cell r="S1597">
            <v>97</v>
          </cell>
          <cell r="T1597" t="str">
            <v>標準</v>
          </cell>
        </row>
        <row r="1598">
          <cell r="F1598" t="str">
            <v>H0000102433</v>
          </cell>
          <cell r="I1598" t="str">
            <v>フレーム</v>
          </cell>
          <cell r="J1598" t="str">
            <v>S-Frame_LX-10_N_TTTT</v>
          </cell>
          <cell r="K1598" t="str">
            <v>S-フレーム_LX-10_N_TTTT</v>
          </cell>
          <cell r="L1598" t="str">
            <v>S-Frame</v>
          </cell>
          <cell r="M1598" t="str">
            <v>S-フレーム</v>
          </cell>
          <cell r="P1598" t="str">
            <v>31B0</v>
          </cell>
          <cell r="Q1598" t="str">
            <v>SS400</v>
          </cell>
          <cell r="R1598" t="str">
            <v>E349955_01</v>
          </cell>
          <cell r="S1598">
            <v>97</v>
          </cell>
          <cell r="T1598" t="str">
            <v>標準</v>
          </cell>
        </row>
        <row r="1599">
          <cell r="F1599" t="str">
            <v>H0000102434</v>
          </cell>
          <cell r="I1599" t="str">
            <v>フレーム</v>
          </cell>
          <cell r="J1599" t="str">
            <v>S-Frame_LX-10_N_TTTT</v>
          </cell>
          <cell r="K1599" t="str">
            <v>S-フレーム_LX-10_N_TTTT</v>
          </cell>
          <cell r="L1599" t="str">
            <v>S-Frame</v>
          </cell>
          <cell r="M1599" t="str">
            <v>S-フレーム</v>
          </cell>
          <cell r="P1599" t="str">
            <v>31B0</v>
          </cell>
          <cell r="Q1599" t="str">
            <v>SS400</v>
          </cell>
          <cell r="R1599" t="str">
            <v>E349955_01</v>
          </cell>
          <cell r="S1599">
            <v>97</v>
          </cell>
          <cell r="T1599" t="str">
            <v>標準</v>
          </cell>
        </row>
        <row r="1600">
          <cell r="F1600" t="str">
            <v>H0000102435</v>
          </cell>
          <cell r="I1600" t="str">
            <v>フレーム</v>
          </cell>
          <cell r="J1600" t="str">
            <v>S-Frame_LX-10_N_TTTT</v>
          </cell>
          <cell r="K1600" t="str">
            <v>S-フレーム_LX-10_N_TTTT</v>
          </cell>
          <cell r="L1600" t="str">
            <v>S-Frame</v>
          </cell>
          <cell r="M1600" t="str">
            <v>S-フレーム</v>
          </cell>
          <cell r="P1600" t="str">
            <v>31B0</v>
          </cell>
          <cell r="Q1600" t="str">
            <v>SS400</v>
          </cell>
          <cell r="R1600" t="str">
            <v>E349955_01</v>
          </cell>
          <cell r="S1600">
            <v>97</v>
          </cell>
          <cell r="T1600" t="str">
            <v>標準</v>
          </cell>
        </row>
        <row r="1601">
          <cell r="F1601" t="str">
            <v>H0000102436</v>
          </cell>
          <cell r="I1601" t="str">
            <v>フレーム</v>
          </cell>
          <cell r="J1601" t="str">
            <v>S-Frame_LX-10_N_TTTT</v>
          </cell>
          <cell r="K1601" t="str">
            <v>S-フレーム_LX-10_N_TTTT</v>
          </cell>
          <cell r="L1601" t="str">
            <v>S-Frame</v>
          </cell>
          <cell r="M1601" t="str">
            <v>S-フレーム</v>
          </cell>
          <cell r="P1601" t="str">
            <v>31B0</v>
          </cell>
          <cell r="Q1601" t="str">
            <v>SS400</v>
          </cell>
          <cell r="R1601" t="str">
            <v>E349955_01</v>
          </cell>
          <cell r="S1601">
            <v>97</v>
          </cell>
          <cell r="T1601" t="str">
            <v>標準</v>
          </cell>
        </row>
        <row r="1602">
          <cell r="F1602" t="str">
            <v>H0000102437</v>
          </cell>
          <cell r="I1602" t="str">
            <v>フレーム</v>
          </cell>
          <cell r="J1602" t="str">
            <v>S-Frame_LX-10_N_TKTK</v>
          </cell>
          <cell r="K1602" t="str">
            <v>S-フレーム_LX-10_N_TKTK</v>
          </cell>
          <cell r="L1602" t="str">
            <v>S-Frame</v>
          </cell>
          <cell r="M1602" t="str">
            <v>S-フレーム</v>
          </cell>
          <cell r="P1602" t="str">
            <v>31B0</v>
          </cell>
          <cell r="Q1602" t="str">
            <v>SS400</v>
          </cell>
          <cell r="R1602" t="str">
            <v>E349955_01</v>
          </cell>
          <cell r="S1602">
            <v>97</v>
          </cell>
          <cell r="T1602" t="str">
            <v>標準</v>
          </cell>
        </row>
        <row r="1603">
          <cell r="F1603" t="str">
            <v>H0000102438</v>
          </cell>
          <cell r="I1603" t="str">
            <v>フレーム</v>
          </cell>
          <cell r="J1603" t="str">
            <v>S-Frame_LX-10_N_TKTK</v>
          </cell>
          <cell r="K1603" t="str">
            <v>S-フレーム_LX-10_N_TKTK</v>
          </cell>
          <cell r="L1603" t="str">
            <v>S-Frame</v>
          </cell>
          <cell r="M1603" t="str">
            <v>S-フレーム</v>
          </cell>
          <cell r="P1603" t="str">
            <v>31B0</v>
          </cell>
          <cell r="Q1603" t="str">
            <v>SS400</v>
          </cell>
          <cell r="R1603" t="str">
            <v>E349955_01</v>
          </cell>
          <cell r="S1603">
            <v>97</v>
          </cell>
          <cell r="T1603" t="str">
            <v>標準</v>
          </cell>
        </row>
        <row r="1604">
          <cell r="F1604" t="str">
            <v>H0000102439</v>
          </cell>
          <cell r="I1604" t="str">
            <v>フレーム</v>
          </cell>
          <cell r="J1604" t="str">
            <v>S-Frame_LX-10_N_TKTK</v>
          </cell>
          <cell r="K1604" t="str">
            <v>S-フレーム_LX-10_N_TKTK</v>
          </cell>
          <cell r="L1604" t="str">
            <v>S-Frame</v>
          </cell>
          <cell r="M1604" t="str">
            <v>S-フレーム</v>
          </cell>
          <cell r="P1604" t="str">
            <v>31B0</v>
          </cell>
          <cell r="Q1604" t="str">
            <v>SS400</v>
          </cell>
          <cell r="R1604" t="str">
            <v>E349955_01</v>
          </cell>
          <cell r="S1604">
            <v>97</v>
          </cell>
          <cell r="T1604" t="str">
            <v>標準</v>
          </cell>
        </row>
        <row r="1605">
          <cell r="F1605" t="str">
            <v>H0000102440</v>
          </cell>
          <cell r="I1605" t="str">
            <v>フレーム</v>
          </cell>
          <cell r="J1605" t="str">
            <v>S-Frame_LX-10_N_TKTK</v>
          </cell>
          <cell r="K1605" t="str">
            <v>S-フレーム_LX-10_N_TKTK</v>
          </cell>
          <cell r="L1605" t="str">
            <v>S-Frame</v>
          </cell>
          <cell r="M1605" t="str">
            <v>S-フレーム</v>
          </cell>
          <cell r="P1605" t="str">
            <v>31B0</v>
          </cell>
          <cell r="Q1605" t="str">
            <v>SS400</v>
          </cell>
          <cell r="R1605" t="str">
            <v>E349955_01</v>
          </cell>
          <cell r="S1605">
            <v>97</v>
          </cell>
          <cell r="T1605" t="str">
            <v>標準</v>
          </cell>
        </row>
        <row r="1606">
          <cell r="F1606" t="str">
            <v>H0000102441</v>
          </cell>
          <cell r="I1606" t="str">
            <v>フレーム</v>
          </cell>
          <cell r="J1606" t="str">
            <v>S-Frame_LX-10_N_TKTK</v>
          </cell>
          <cell r="K1606" t="str">
            <v>S-フレーム_LX-10_N_TKTK</v>
          </cell>
          <cell r="L1606" t="str">
            <v>S-Frame</v>
          </cell>
          <cell r="M1606" t="str">
            <v>S-フレーム</v>
          </cell>
          <cell r="P1606" t="str">
            <v>31B0</v>
          </cell>
          <cell r="Q1606" t="str">
            <v>SS400</v>
          </cell>
          <cell r="R1606" t="str">
            <v>E349955_01</v>
          </cell>
          <cell r="S1606">
            <v>97</v>
          </cell>
          <cell r="T1606" t="str">
            <v>標準</v>
          </cell>
        </row>
        <row r="1607">
          <cell r="F1607" t="str">
            <v>H0000102442</v>
          </cell>
          <cell r="I1607" t="str">
            <v>フレーム</v>
          </cell>
          <cell r="J1607" t="str">
            <v>S-Frame_LX-10_N_TKTK</v>
          </cell>
          <cell r="K1607" t="str">
            <v>S-フレーム_LX-10_N_TKTK</v>
          </cell>
          <cell r="L1607" t="str">
            <v>S-Frame</v>
          </cell>
          <cell r="M1607" t="str">
            <v>S-フレーム</v>
          </cell>
          <cell r="P1607" t="str">
            <v>31B0</v>
          </cell>
          <cell r="Q1607" t="str">
            <v>SS400</v>
          </cell>
          <cell r="R1607" t="str">
            <v>E349955_01</v>
          </cell>
          <cell r="S1607">
            <v>97</v>
          </cell>
          <cell r="T1607" t="str">
            <v>標準</v>
          </cell>
        </row>
        <row r="1608">
          <cell r="F1608" t="str">
            <v>H0000102443</v>
          </cell>
          <cell r="I1608" t="str">
            <v>フレーム</v>
          </cell>
          <cell r="J1608" t="str">
            <v>S-Frame_LX-10_N_TKTK</v>
          </cell>
          <cell r="K1608" t="str">
            <v>S-フレーム_LX-10_N_TKTK</v>
          </cell>
          <cell r="L1608" t="str">
            <v>S-Frame</v>
          </cell>
          <cell r="M1608" t="str">
            <v>S-フレーム</v>
          </cell>
          <cell r="P1608" t="str">
            <v>31B0</v>
          </cell>
          <cell r="Q1608" t="str">
            <v>SS400</v>
          </cell>
          <cell r="R1608" t="str">
            <v>E349955_01</v>
          </cell>
          <cell r="S1608">
            <v>97</v>
          </cell>
          <cell r="T1608" t="str">
            <v>標準</v>
          </cell>
        </row>
        <row r="1609">
          <cell r="F1609" t="str">
            <v>H0000102444</v>
          </cell>
          <cell r="I1609" t="str">
            <v>フレーム</v>
          </cell>
          <cell r="J1609" t="str">
            <v>S-Frame_LX-10_N_TKTK</v>
          </cell>
          <cell r="K1609" t="str">
            <v>S-フレーム_LX-10_N_TKTK</v>
          </cell>
          <cell r="L1609" t="str">
            <v>S-Frame</v>
          </cell>
          <cell r="M1609" t="str">
            <v>S-フレーム</v>
          </cell>
          <cell r="P1609" t="str">
            <v>31B0</v>
          </cell>
          <cell r="Q1609" t="str">
            <v>SS400</v>
          </cell>
          <cell r="R1609" t="str">
            <v>E349955_01</v>
          </cell>
          <cell r="S1609">
            <v>97</v>
          </cell>
          <cell r="T1609" t="str">
            <v>標準</v>
          </cell>
        </row>
        <row r="1610">
          <cell r="F1610" t="str">
            <v>H0000102445</v>
          </cell>
          <cell r="I1610" t="str">
            <v>フレーム</v>
          </cell>
          <cell r="J1610" t="str">
            <v>S-Frame_LX-10_N_TKTK</v>
          </cell>
          <cell r="K1610" t="str">
            <v>S-フレーム_LX-10_N_TKTK</v>
          </cell>
          <cell r="L1610" t="str">
            <v>S-Frame</v>
          </cell>
          <cell r="M1610" t="str">
            <v>S-フレーム</v>
          </cell>
          <cell r="P1610" t="str">
            <v>31B0</v>
          </cell>
          <cell r="Q1610" t="str">
            <v>SS400</v>
          </cell>
          <cell r="R1610" t="str">
            <v>E349955_01</v>
          </cell>
          <cell r="S1610">
            <v>97</v>
          </cell>
          <cell r="T1610" t="str">
            <v>標準</v>
          </cell>
        </row>
        <row r="1611">
          <cell r="F1611" t="str">
            <v>H0000102446</v>
          </cell>
          <cell r="I1611" t="str">
            <v>フレーム</v>
          </cell>
          <cell r="J1611" t="str">
            <v>S-Frame_LX-10_N_KTKT</v>
          </cell>
          <cell r="K1611" t="str">
            <v>S-フレーム_LX-10_N_KTKT</v>
          </cell>
          <cell r="L1611" t="str">
            <v>S-Frame</v>
          </cell>
          <cell r="M1611" t="str">
            <v>S-フレーム</v>
          </cell>
          <cell r="P1611" t="str">
            <v>31B0</v>
          </cell>
          <cell r="Q1611" t="str">
            <v>SS400</v>
          </cell>
          <cell r="R1611" t="str">
            <v>E349955_01</v>
          </cell>
          <cell r="S1611">
            <v>97</v>
          </cell>
          <cell r="T1611" t="str">
            <v>標準</v>
          </cell>
        </row>
        <row r="1612">
          <cell r="F1612" t="str">
            <v>H0000102447</v>
          </cell>
          <cell r="I1612" t="str">
            <v>フレーム</v>
          </cell>
          <cell r="J1612" t="str">
            <v>S-Frame_LX-10_N_KTKT</v>
          </cell>
          <cell r="K1612" t="str">
            <v>S-フレーム_LX-10_N_KTKT</v>
          </cell>
          <cell r="L1612" t="str">
            <v>S-Frame</v>
          </cell>
          <cell r="M1612" t="str">
            <v>S-フレーム</v>
          </cell>
          <cell r="P1612" t="str">
            <v>31B0</v>
          </cell>
          <cell r="Q1612" t="str">
            <v>SS400</v>
          </cell>
          <cell r="R1612" t="str">
            <v>E349955_01</v>
          </cell>
          <cell r="S1612">
            <v>97</v>
          </cell>
          <cell r="T1612" t="str">
            <v>標準</v>
          </cell>
        </row>
        <row r="1613">
          <cell r="F1613" t="str">
            <v>H0000102448</v>
          </cell>
          <cell r="I1613" t="str">
            <v>フレーム</v>
          </cell>
          <cell r="J1613" t="str">
            <v>S-Frame_LX-10_N_KTKT</v>
          </cell>
          <cell r="K1613" t="str">
            <v>S-フレーム_LX-10_N_KTKT</v>
          </cell>
          <cell r="L1613" t="str">
            <v>S-Frame</v>
          </cell>
          <cell r="M1613" t="str">
            <v>S-フレーム</v>
          </cell>
          <cell r="P1613" t="str">
            <v>31B0</v>
          </cell>
          <cell r="Q1613" t="str">
            <v>SS400</v>
          </cell>
          <cell r="R1613" t="str">
            <v>E349955_01</v>
          </cell>
          <cell r="S1613">
            <v>97</v>
          </cell>
          <cell r="T1613" t="str">
            <v>標準</v>
          </cell>
        </row>
        <row r="1614">
          <cell r="F1614" t="str">
            <v>H0000102449</v>
          </cell>
          <cell r="I1614" t="str">
            <v>フレーム</v>
          </cell>
          <cell r="J1614" t="str">
            <v>S-Frame_LX-10_N_KTKT</v>
          </cell>
          <cell r="K1614" t="str">
            <v>S-フレーム_LX-10_N_KTKT</v>
          </cell>
          <cell r="L1614" t="str">
            <v>S-Frame</v>
          </cell>
          <cell r="M1614" t="str">
            <v>S-フレーム</v>
          </cell>
          <cell r="P1614" t="str">
            <v>31B0</v>
          </cell>
          <cell r="Q1614" t="str">
            <v>SS400</v>
          </cell>
          <cell r="R1614" t="str">
            <v>E349955_01</v>
          </cell>
          <cell r="S1614">
            <v>97</v>
          </cell>
          <cell r="T1614" t="str">
            <v>標準</v>
          </cell>
        </row>
        <row r="1615">
          <cell r="F1615" t="str">
            <v>H0000102450</v>
          </cell>
          <cell r="I1615" t="str">
            <v>フレーム</v>
          </cell>
          <cell r="J1615" t="str">
            <v>S-Frame_LX-10_N_KTKT</v>
          </cell>
          <cell r="K1615" t="str">
            <v>S-フレーム_LX-10_N_KTKT</v>
          </cell>
          <cell r="L1615" t="str">
            <v>S-Frame</v>
          </cell>
          <cell r="M1615" t="str">
            <v>S-フレーム</v>
          </cell>
          <cell r="P1615" t="str">
            <v>31B0</v>
          </cell>
          <cell r="Q1615" t="str">
            <v>SS400</v>
          </cell>
          <cell r="R1615" t="str">
            <v>E349955_01</v>
          </cell>
          <cell r="S1615">
            <v>97</v>
          </cell>
          <cell r="T1615" t="str">
            <v>標準</v>
          </cell>
        </row>
        <row r="1616">
          <cell r="F1616" t="str">
            <v>H0000102451</v>
          </cell>
          <cell r="I1616" t="str">
            <v>フレーム</v>
          </cell>
          <cell r="J1616" t="str">
            <v>S-Frame_LX-10_N_KTKT</v>
          </cell>
          <cell r="K1616" t="str">
            <v>S-フレーム_LX-10_N_KTKT</v>
          </cell>
          <cell r="L1616" t="str">
            <v>S-Frame</v>
          </cell>
          <cell r="M1616" t="str">
            <v>S-フレーム</v>
          </cell>
          <cell r="P1616" t="str">
            <v>31B0</v>
          </cell>
          <cell r="Q1616" t="str">
            <v>SS400</v>
          </cell>
          <cell r="R1616" t="str">
            <v>E349955_01</v>
          </cell>
          <cell r="S1616">
            <v>97</v>
          </cell>
          <cell r="T1616" t="str">
            <v>標準</v>
          </cell>
        </row>
        <row r="1617">
          <cell r="F1617" t="str">
            <v>H0000102452</v>
          </cell>
          <cell r="I1617" t="str">
            <v>フレーム</v>
          </cell>
          <cell r="J1617" t="str">
            <v>S-Frame_LX-10_N_KTKT</v>
          </cell>
          <cell r="K1617" t="str">
            <v>S-フレーム_LX-10_N_KTKT</v>
          </cell>
          <cell r="L1617" t="str">
            <v>S-Frame</v>
          </cell>
          <cell r="M1617" t="str">
            <v>S-フレーム</v>
          </cell>
          <cell r="P1617" t="str">
            <v>31B0</v>
          </cell>
          <cell r="Q1617" t="str">
            <v>SS400</v>
          </cell>
          <cell r="R1617" t="str">
            <v>E349955_01</v>
          </cell>
          <cell r="S1617">
            <v>97</v>
          </cell>
          <cell r="T1617" t="str">
            <v>標準</v>
          </cell>
        </row>
        <row r="1618">
          <cell r="F1618" t="str">
            <v>H0000102453</v>
          </cell>
          <cell r="I1618" t="str">
            <v>フレーム</v>
          </cell>
          <cell r="J1618" t="str">
            <v>S-Frame_LX-10_N_KTKT</v>
          </cell>
          <cell r="K1618" t="str">
            <v>S-フレーム_LX-10_N_KTKT</v>
          </cell>
          <cell r="L1618" t="str">
            <v>S-Frame</v>
          </cell>
          <cell r="M1618" t="str">
            <v>S-フレーム</v>
          </cell>
          <cell r="P1618" t="str">
            <v>31B0</v>
          </cell>
          <cell r="Q1618" t="str">
            <v>SS400</v>
          </cell>
          <cell r="R1618" t="str">
            <v>E349955_01</v>
          </cell>
          <cell r="S1618">
            <v>97</v>
          </cell>
          <cell r="T1618" t="str">
            <v>標準</v>
          </cell>
        </row>
        <row r="1619">
          <cell r="F1619" t="str">
            <v>H0000102454</v>
          </cell>
          <cell r="I1619" t="str">
            <v>フレーム</v>
          </cell>
          <cell r="J1619" t="str">
            <v>S-Frame_LX-10_N_KTKT</v>
          </cell>
          <cell r="K1619" t="str">
            <v>S-フレーム_LX-10_N_KTKT</v>
          </cell>
          <cell r="L1619" t="str">
            <v>S-Frame</v>
          </cell>
          <cell r="M1619" t="str">
            <v>S-フレーム</v>
          </cell>
          <cell r="P1619" t="str">
            <v>31B0</v>
          </cell>
          <cell r="Q1619" t="str">
            <v>SS400</v>
          </cell>
          <cell r="R1619" t="str">
            <v>E349955_01</v>
          </cell>
          <cell r="S1619">
            <v>97</v>
          </cell>
          <cell r="T1619" t="str">
            <v>標準</v>
          </cell>
        </row>
        <row r="1620">
          <cell r="F1620" t="str">
            <v>H0000102455</v>
          </cell>
          <cell r="I1620" t="str">
            <v>フレーム</v>
          </cell>
          <cell r="J1620" t="str">
            <v>S-Frame_LX-10_N_KKKK</v>
          </cell>
          <cell r="K1620" t="str">
            <v>S-フレーム_LX-10_N_KKKK</v>
          </cell>
          <cell r="L1620" t="str">
            <v>S-Frame</v>
          </cell>
          <cell r="M1620" t="str">
            <v>S-フレーム</v>
          </cell>
          <cell r="P1620" t="str">
            <v>31B0</v>
          </cell>
          <cell r="Q1620" t="str">
            <v>SS400</v>
          </cell>
          <cell r="R1620" t="str">
            <v>E349955_01</v>
          </cell>
          <cell r="S1620">
            <v>97</v>
          </cell>
          <cell r="T1620" t="str">
            <v>標準</v>
          </cell>
        </row>
        <row r="1621">
          <cell r="F1621" t="str">
            <v>H0000102456</v>
          </cell>
          <cell r="I1621" t="str">
            <v>フレーム</v>
          </cell>
          <cell r="J1621" t="str">
            <v>S-Frame_LX-10_N_KKKK</v>
          </cell>
          <cell r="K1621" t="str">
            <v>S-フレーム_LX-10_N_KKKK</v>
          </cell>
          <cell r="L1621" t="str">
            <v>S-Frame</v>
          </cell>
          <cell r="M1621" t="str">
            <v>S-フレーム</v>
          </cell>
          <cell r="P1621" t="str">
            <v>31B0</v>
          </cell>
          <cell r="Q1621" t="str">
            <v>SS400</v>
          </cell>
          <cell r="R1621" t="str">
            <v>E349955_01</v>
          </cell>
          <cell r="S1621">
            <v>97</v>
          </cell>
          <cell r="T1621" t="str">
            <v>標準</v>
          </cell>
        </row>
        <row r="1622">
          <cell r="F1622" t="str">
            <v>H0000102457</v>
          </cell>
          <cell r="I1622" t="str">
            <v>フレーム</v>
          </cell>
          <cell r="J1622" t="str">
            <v>S-Frame_LX-10_N_KKKK</v>
          </cell>
          <cell r="K1622" t="str">
            <v>S-フレーム_LX-10_N_KKKK</v>
          </cell>
          <cell r="L1622" t="str">
            <v>S-Frame</v>
          </cell>
          <cell r="M1622" t="str">
            <v>S-フレーム</v>
          </cell>
          <cell r="P1622" t="str">
            <v>31B0</v>
          </cell>
          <cell r="Q1622" t="str">
            <v>SS400</v>
          </cell>
          <cell r="R1622" t="str">
            <v>E349955_01</v>
          </cell>
          <cell r="S1622">
            <v>97</v>
          </cell>
          <cell r="T1622" t="str">
            <v>標準</v>
          </cell>
        </row>
        <row r="1623">
          <cell r="F1623" t="str">
            <v>H0000102458</v>
          </cell>
          <cell r="I1623" t="str">
            <v>フレーム</v>
          </cell>
          <cell r="J1623" t="str">
            <v>S-Frame_LX-10_N_KKKK</v>
          </cell>
          <cell r="K1623" t="str">
            <v>S-フレーム_LX-10_N_KKKK</v>
          </cell>
          <cell r="L1623" t="str">
            <v>S-Frame</v>
          </cell>
          <cell r="M1623" t="str">
            <v>S-フレーム</v>
          </cell>
          <cell r="P1623" t="str">
            <v>31B0</v>
          </cell>
          <cell r="Q1623" t="str">
            <v>SS400</v>
          </cell>
          <cell r="R1623" t="str">
            <v>E349955_01</v>
          </cell>
          <cell r="S1623">
            <v>97</v>
          </cell>
          <cell r="T1623" t="str">
            <v>標準</v>
          </cell>
        </row>
        <row r="1624">
          <cell r="F1624" t="str">
            <v>H0000102459</v>
          </cell>
          <cell r="I1624" t="str">
            <v>フレーム</v>
          </cell>
          <cell r="J1624" t="str">
            <v>S-Frame_LX-10_N_KKKK</v>
          </cell>
          <cell r="K1624" t="str">
            <v>S-フレーム_LX-10_N_KKKK</v>
          </cell>
          <cell r="L1624" t="str">
            <v>S-Frame</v>
          </cell>
          <cell r="M1624" t="str">
            <v>S-フレーム</v>
          </cell>
          <cell r="P1624" t="str">
            <v>31B0</v>
          </cell>
          <cell r="Q1624" t="str">
            <v>SS400</v>
          </cell>
          <cell r="R1624" t="str">
            <v>E349955_01</v>
          </cell>
          <cell r="S1624">
            <v>97</v>
          </cell>
          <cell r="T1624" t="str">
            <v>標準</v>
          </cell>
        </row>
        <row r="1625">
          <cell r="F1625" t="str">
            <v>H0000102460</v>
          </cell>
          <cell r="I1625" t="str">
            <v>フレーム</v>
          </cell>
          <cell r="J1625" t="str">
            <v>S-Frame_LX-10_N_KKKK</v>
          </cell>
          <cell r="K1625" t="str">
            <v>S-フレーム_LX-10_N_KKKK</v>
          </cell>
          <cell r="L1625" t="str">
            <v>S-Frame</v>
          </cell>
          <cell r="M1625" t="str">
            <v>S-フレーム</v>
          </cell>
          <cell r="P1625" t="str">
            <v>31B0</v>
          </cell>
          <cell r="Q1625" t="str">
            <v>SS400</v>
          </cell>
          <cell r="R1625" t="str">
            <v>E349955_01</v>
          </cell>
          <cell r="S1625">
            <v>97</v>
          </cell>
          <cell r="T1625" t="str">
            <v>標準</v>
          </cell>
        </row>
        <row r="1626">
          <cell r="F1626" t="str">
            <v>H0000102461</v>
          </cell>
          <cell r="I1626" t="str">
            <v>フレーム</v>
          </cell>
          <cell r="J1626" t="str">
            <v>S-Frame_LX-10_N_KKKK</v>
          </cell>
          <cell r="K1626" t="str">
            <v>S-フレーム_LX-10_N_KKKK</v>
          </cell>
          <cell r="L1626" t="str">
            <v>S-Frame</v>
          </cell>
          <cell r="M1626" t="str">
            <v>S-フレーム</v>
          </cell>
          <cell r="P1626" t="str">
            <v>31B0</v>
          </cell>
          <cell r="Q1626" t="str">
            <v>SS400</v>
          </cell>
          <cell r="R1626" t="str">
            <v>E349955_01</v>
          </cell>
          <cell r="S1626">
            <v>97</v>
          </cell>
          <cell r="T1626" t="str">
            <v>標準</v>
          </cell>
        </row>
        <row r="1627">
          <cell r="F1627" t="str">
            <v>H0000102462</v>
          </cell>
          <cell r="I1627" t="str">
            <v>フレーム</v>
          </cell>
          <cell r="J1627" t="str">
            <v>S-Frame_LX-10_N_KKKK</v>
          </cell>
          <cell r="K1627" t="str">
            <v>S-フレーム_LX-10_N_KKKK</v>
          </cell>
          <cell r="L1627" t="str">
            <v>S-Frame</v>
          </cell>
          <cell r="M1627" t="str">
            <v>S-フレーム</v>
          </cell>
          <cell r="P1627" t="str">
            <v>31B0</v>
          </cell>
          <cell r="Q1627" t="str">
            <v>SS400</v>
          </cell>
          <cell r="R1627" t="str">
            <v>E349955_01</v>
          </cell>
          <cell r="S1627">
            <v>97</v>
          </cell>
          <cell r="T1627" t="str">
            <v>標準</v>
          </cell>
        </row>
        <row r="1628">
          <cell r="F1628" t="str">
            <v>H0000102463</v>
          </cell>
          <cell r="I1628" t="str">
            <v>フレーム</v>
          </cell>
          <cell r="J1628" t="str">
            <v>S-Frame_LX-10_N_KKKK</v>
          </cell>
          <cell r="K1628" t="str">
            <v>S-フレーム_LX-10_N_KKKK</v>
          </cell>
          <cell r="L1628" t="str">
            <v>S-Frame</v>
          </cell>
          <cell r="M1628" t="str">
            <v>S-フレーム</v>
          </cell>
          <cell r="P1628" t="str">
            <v>31B0</v>
          </cell>
          <cell r="Q1628" t="str">
            <v>SS400</v>
          </cell>
          <cell r="R1628" t="str">
            <v>E349955_01</v>
          </cell>
          <cell r="S1628">
            <v>97</v>
          </cell>
          <cell r="T1628" t="str">
            <v>標準</v>
          </cell>
        </row>
        <row r="1629">
          <cell r="F1629" t="str">
            <v>H0000102464</v>
          </cell>
          <cell r="I1629" t="str">
            <v>フレーム</v>
          </cell>
          <cell r="J1629" t="str">
            <v>S-Frame_LX-10_H_TTTT</v>
          </cell>
          <cell r="K1629" t="str">
            <v>S-フレーム_LX-10_H_TTTT</v>
          </cell>
          <cell r="L1629" t="str">
            <v>S-Frame</v>
          </cell>
          <cell r="M1629" t="str">
            <v>S-フレーム</v>
          </cell>
          <cell r="P1629" t="str">
            <v>31B0</v>
          </cell>
          <cell r="Q1629" t="str">
            <v>SS400</v>
          </cell>
          <cell r="R1629" t="str">
            <v>E349955_01</v>
          </cell>
          <cell r="S1629">
            <v>125</v>
          </cell>
          <cell r="T1629" t="str">
            <v>標準</v>
          </cell>
        </row>
        <row r="1630">
          <cell r="F1630" t="str">
            <v>H0000102465</v>
          </cell>
          <cell r="I1630" t="str">
            <v>フレーム</v>
          </cell>
          <cell r="J1630" t="str">
            <v>S-Frame_LX-10_H_TTTT</v>
          </cell>
          <cell r="K1630" t="str">
            <v>S-フレーム_LX-10_H_TTTT</v>
          </cell>
          <cell r="L1630" t="str">
            <v>S-Frame</v>
          </cell>
          <cell r="M1630" t="str">
            <v>S-フレーム</v>
          </cell>
          <cell r="P1630" t="str">
            <v>31B0</v>
          </cell>
          <cell r="Q1630" t="str">
            <v>SS400</v>
          </cell>
          <cell r="R1630" t="str">
            <v>E349955_01</v>
          </cell>
          <cell r="S1630">
            <v>125</v>
          </cell>
          <cell r="T1630" t="str">
            <v>標準</v>
          </cell>
        </row>
        <row r="1631">
          <cell r="F1631" t="str">
            <v>H0000102466</v>
          </cell>
          <cell r="I1631" t="str">
            <v>フレーム</v>
          </cell>
          <cell r="J1631" t="str">
            <v>S-Frame_LX-10_H_TTTT</v>
          </cell>
          <cell r="K1631" t="str">
            <v>S-フレーム_LX-10_H_TTTT</v>
          </cell>
          <cell r="L1631" t="str">
            <v>S-Frame</v>
          </cell>
          <cell r="M1631" t="str">
            <v>S-フレーム</v>
          </cell>
          <cell r="P1631" t="str">
            <v>31B0</v>
          </cell>
          <cell r="Q1631" t="str">
            <v>SS400</v>
          </cell>
          <cell r="R1631" t="str">
            <v>E349955_01</v>
          </cell>
          <cell r="S1631">
            <v>125</v>
          </cell>
          <cell r="T1631" t="str">
            <v>標準</v>
          </cell>
        </row>
        <row r="1632">
          <cell r="F1632" t="str">
            <v>H0000102467</v>
          </cell>
          <cell r="I1632" t="str">
            <v>フレーム</v>
          </cell>
          <cell r="J1632" t="str">
            <v>S-Frame_LX-10_H_TTTT</v>
          </cell>
          <cell r="K1632" t="str">
            <v>S-フレーム_LX-10_H_TTTT</v>
          </cell>
          <cell r="L1632" t="str">
            <v>S-Frame</v>
          </cell>
          <cell r="M1632" t="str">
            <v>S-フレーム</v>
          </cell>
          <cell r="P1632" t="str">
            <v>31B0</v>
          </cell>
          <cell r="Q1632" t="str">
            <v>SS400</v>
          </cell>
          <cell r="R1632" t="str">
            <v>E349955_01</v>
          </cell>
          <cell r="S1632">
            <v>125</v>
          </cell>
          <cell r="T1632" t="str">
            <v>標準</v>
          </cell>
        </row>
        <row r="1633">
          <cell r="F1633" t="str">
            <v>H0000102468</v>
          </cell>
          <cell r="I1633" t="str">
            <v>フレーム</v>
          </cell>
          <cell r="J1633" t="str">
            <v>S-Frame_LX-10_H_TTTT</v>
          </cell>
          <cell r="K1633" t="str">
            <v>S-フレーム_LX-10_H_TTTT</v>
          </cell>
          <cell r="L1633" t="str">
            <v>S-Frame</v>
          </cell>
          <cell r="M1633" t="str">
            <v>S-フレーム</v>
          </cell>
          <cell r="P1633" t="str">
            <v>31B0</v>
          </cell>
          <cell r="Q1633" t="str">
            <v>SS400</v>
          </cell>
          <cell r="R1633" t="str">
            <v>E349955_01</v>
          </cell>
          <cell r="S1633">
            <v>125</v>
          </cell>
          <cell r="T1633" t="str">
            <v>標準</v>
          </cell>
        </row>
        <row r="1634">
          <cell r="F1634" t="str">
            <v>H0000102469</v>
          </cell>
          <cell r="I1634" t="str">
            <v>フレーム</v>
          </cell>
          <cell r="J1634" t="str">
            <v>S-Frame_LX-10_H_TTTT</v>
          </cell>
          <cell r="K1634" t="str">
            <v>S-フレーム_LX-10_H_TTTT</v>
          </cell>
          <cell r="L1634" t="str">
            <v>S-Frame</v>
          </cell>
          <cell r="M1634" t="str">
            <v>S-フレーム</v>
          </cell>
          <cell r="P1634" t="str">
            <v>31B0</v>
          </cell>
          <cell r="Q1634" t="str">
            <v>SS400</v>
          </cell>
          <cell r="R1634" t="str">
            <v>E349955_01</v>
          </cell>
          <cell r="S1634">
            <v>125</v>
          </cell>
          <cell r="T1634" t="str">
            <v>標準</v>
          </cell>
        </row>
        <row r="1635">
          <cell r="F1635" t="str">
            <v>H0000102470</v>
          </cell>
          <cell r="I1635" t="str">
            <v>フレーム</v>
          </cell>
          <cell r="J1635" t="str">
            <v>S-Frame_LX-10_H_TTTT</v>
          </cell>
          <cell r="K1635" t="str">
            <v>S-フレーム_LX-10_H_TTTT</v>
          </cell>
          <cell r="L1635" t="str">
            <v>S-Frame</v>
          </cell>
          <cell r="M1635" t="str">
            <v>S-フレーム</v>
          </cell>
          <cell r="P1635" t="str">
            <v>31B0</v>
          </cell>
          <cell r="Q1635" t="str">
            <v>SS400</v>
          </cell>
          <cell r="R1635" t="str">
            <v>E349955_01</v>
          </cell>
          <cell r="S1635">
            <v>125</v>
          </cell>
          <cell r="T1635" t="str">
            <v>標準</v>
          </cell>
        </row>
        <row r="1636">
          <cell r="F1636" t="str">
            <v>H0000102471</v>
          </cell>
          <cell r="I1636" t="str">
            <v>フレーム</v>
          </cell>
          <cell r="J1636" t="str">
            <v>S-Frame_LX-10_H_TTTT</v>
          </cell>
          <cell r="K1636" t="str">
            <v>S-フレーム_LX-10_H_TTTT</v>
          </cell>
          <cell r="L1636" t="str">
            <v>S-Frame</v>
          </cell>
          <cell r="M1636" t="str">
            <v>S-フレーム</v>
          </cell>
          <cell r="P1636" t="str">
            <v>31B0</v>
          </cell>
          <cell r="Q1636" t="str">
            <v>SS400</v>
          </cell>
          <cell r="R1636" t="str">
            <v>E349955_01</v>
          </cell>
          <cell r="S1636">
            <v>125</v>
          </cell>
          <cell r="T1636" t="str">
            <v>標準</v>
          </cell>
        </row>
        <row r="1637">
          <cell r="F1637" t="str">
            <v>H0000102472</v>
          </cell>
          <cell r="I1637" t="str">
            <v>フレーム</v>
          </cell>
          <cell r="J1637" t="str">
            <v>S-Frame_LX-10_H_TTTT</v>
          </cell>
          <cell r="K1637" t="str">
            <v>S-フレーム_LX-10_H_TTTT</v>
          </cell>
          <cell r="L1637" t="str">
            <v>S-Frame</v>
          </cell>
          <cell r="M1637" t="str">
            <v>S-フレーム</v>
          </cell>
          <cell r="P1637" t="str">
            <v>31B0</v>
          </cell>
          <cell r="Q1637" t="str">
            <v>SS400</v>
          </cell>
          <cell r="R1637" t="str">
            <v>E349955_01</v>
          </cell>
          <cell r="S1637">
            <v>125</v>
          </cell>
          <cell r="T1637" t="str">
            <v>標準</v>
          </cell>
        </row>
        <row r="1638">
          <cell r="F1638" t="str">
            <v>H0000102473</v>
          </cell>
          <cell r="I1638" t="str">
            <v>フレーム</v>
          </cell>
          <cell r="J1638" t="str">
            <v>S-Frame_LX-10_H_TKTK</v>
          </cell>
          <cell r="K1638" t="str">
            <v>S-フレーム_LX-10_H_TKTK</v>
          </cell>
          <cell r="L1638" t="str">
            <v>S-Frame</v>
          </cell>
          <cell r="M1638" t="str">
            <v>S-フレーム</v>
          </cell>
          <cell r="P1638" t="str">
            <v>31B0</v>
          </cell>
          <cell r="Q1638" t="str">
            <v>SS400</v>
          </cell>
          <cell r="R1638" t="str">
            <v>E349955_01</v>
          </cell>
          <cell r="S1638">
            <v>125</v>
          </cell>
          <cell r="T1638" t="str">
            <v>標準</v>
          </cell>
        </row>
        <row r="1639">
          <cell r="F1639" t="str">
            <v>H0000102474</v>
          </cell>
          <cell r="I1639" t="str">
            <v>フレーム</v>
          </cell>
          <cell r="J1639" t="str">
            <v>S-Frame_LX-10_H_TKTK</v>
          </cell>
          <cell r="K1639" t="str">
            <v>S-フレーム_LX-10_H_TKTK</v>
          </cell>
          <cell r="L1639" t="str">
            <v>S-Frame</v>
          </cell>
          <cell r="M1639" t="str">
            <v>S-フレーム</v>
          </cell>
          <cell r="P1639" t="str">
            <v>31B0</v>
          </cell>
          <cell r="Q1639" t="str">
            <v>SS400</v>
          </cell>
          <cell r="R1639" t="str">
            <v>E349955_01</v>
          </cell>
          <cell r="S1639">
            <v>125</v>
          </cell>
          <cell r="T1639" t="str">
            <v>標準</v>
          </cell>
        </row>
        <row r="1640">
          <cell r="F1640" t="str">
            <v>H0000102475</v>
          </cell>
          <cell r="I1640" t="str">
            <v>フレーム</v>
          </cell>
          <cell r="J1640" t="str">
            <v>S-Frame_LX-10_H_TKTK</v>
          </cell>
          <cell r="K1640" t="str">
            <v>S-フレーム_LX-10_H_TKTK</v>
          </cell>
          <cell r="L1640" t="str">
            <v>S-Frame</v>
          </cell>
          <cell r="M1640" t="str">
            <v>S-フレーム</v>
          </cell>
          <cell r="P1640" t="str">
            <v>31B0</v>
          </cell>
          <cell r="Q1640" t="str">
            <v>SS400</v>
          </cell>
          <cell r="R1640" t="str">
            <v>E349955_01</v>
          </cell>
          <cell r="S1640">
            <v>125</v>
          </cell>
          <cell r="T1640" t="str">
            <v>標準</v>
          </cell>
        </row>
        <row r="1641">
          <cell r="F1641" t="str">
            <v>H0000102476</v>
          </cell>
          <cell r="I1641" t="str">
            <v>フレーム</v>
          </cell>
          <cell r="J1641" t="str">
            <v>S-Frame_LX-10_H_TKTK</v>
          </cell>
          <cell r="K1641" t="str">
            <v>S-フレーム_LX-10_H_TKTK</v>
          </cell>
          <cell r="L1641" t="str">
            <v>S-Frame</v>
          </cell>
          <cell r="M1641" t="str">
            <v>S-フレーム</v>
          </cell>
          <cell r="P1641" t="str">
            <v>31B0</v>
          </cell>
          <cell r="Q1641" t="str">
            <v>SS400</v>
          </cell>
          <cell r="R1641" t="str">
            <v>E349955_01</v>
          </cell>
          <cell r="S1641">
            <v>125</v>
          </cell>
          <cell r="T1641" t="str">
            <v>標準</v>
          </cell>
        </row>
        <row r="1642">
          <cell r="F1642" t="str">
            <v>H0000102477</v>
          </cell>
          <cell r="I1642" t="str">
            <v>フレーム</v>
          </cell>
          <cell r="J1642" t="str">
            <v>S-Frame_LX-10_H_TKTK</v>
          </cell>
          <cell r="K1642" t="str">
            <v>S-フレーム_LX-10_H_TKTK</v>
          </cell>
          <cell r="L1642" t="str">
            <v>S-Frame</v>
          </cell>
          <cell r="M1642" t="str">
            <v>S-フレーム</v>
          </cell>
          <cell r="P1642" t="str">
            <v>31B0</v>
          </cell>
          <cell r="Q1642" t="str">
            <v>SS400</v>
          </cell>
          <cell r="R1642" t="str">
            <v>E349955_01</v>
          </cell>
          <cell r="S1642">
            <v>125</v>
          </cell>
          <cell r="T1642" t="str">
            <v>標準</v>
          </cell>
        </row>
        <row r="1643">
          <cell r="F1643" t="str">
            <v>H0000102478</v>
          </cell>
          <cell r="I1643" t="str">
            <v>フレーム</v>
          </cell>
          <cell r="J1643" t="str">
            <v>S-Frame_LX-10_H_TKTK</v>
          </cell>
          <cell r="K1643" t="str">
            <v>S-フレーム_LX-10_H_TKTK</v>
          </cell>
          <cell r="L1643" t="str">
            <v>S-Frame</v>
          </cell>
          <cell r="M1643" t="str">
            <v>S-フレーム</v>
          </cell>
          <cell r="P1643" t="str">
            <v>31B0</v>
          </cell>
          <cell r="Q1643" t="str">
            <v>SS400</v>
          </cell>
          <cell r="R1643" t="str">
            <v>E349955_01</v>
          </cell>
          <cell r="S1643">
            <v>125</v>
          </cell>
          <cell r="T1643" t="str">
            <v>標準</v>
          </cell>
        </row>
        <row r="1644">
          <cell r="F1644" t="str">
            <v>H0000102479</v>
          </cell>
          <cell r="I1644" t="str">
            <v>フレーム</v>
          </cell>
          <cell r="J1644" t="str">
            <v>S-Frame_LX-10_H_TKTK</v>
          </cell>
          <cell r="K1644" t="str">
            <v>S-フレーム_LX-10_H_TKTK</v>
          </cell>
          <cell r="L1644" t="str">
            <v>S-Frame</v>
          </cell>
          <cell r="M1644" t="str">
            <v>S-フレーム</v>
          </cell>
          <cell r="P1644" t="str">
            <v>31B0</v>
          </cell>
          <cell r="Q1644" t="str">
            <v>SS400</v>
          </cell>
          <cell r="R1644" t="str">
            <v>E349955_01</v>
          </cell>
          <cell r="S1644">
            <v>125</v>
          </cell>
          <cell r="T1644" t="str">
            <v>標準</v>
          </cell>
        </row>
        <row r="1645">
          <cell r="F1645" t="str">
            <v>H0000102480</v>
          </cell>
          <cell r="I1645" t="str">
            <v>フレーム</v>
          </cell>
          <cell r="J1645" t="str">
            <v>S-Frame_LX-10_H_TKTK</v>
          </cell>
          <cell r="K1645" t="str">
            <v>S-フレーム_LX-10_H_TKTK</v>
          </cell>
          <cell r="L1645" t="str">
            <v>S-Frame</v>
          </cell>
          <cell r="M1645" t="str">
            <v>S-フレーム</v>
          </cell>
          <cell r="P1645" t="str">
            <v>31B0</v>
          </cell>
          <cell r="Q1645" t="str">
            <v>SS400</v>
          </cell>
          <cell r="R1645" t="str">
            <v>E349955_01</v>
          </cell>
          <cell r="S1645">
            <v>125</v>
          </cell>
          <cell r="T1645" t="str">
            <v>標準</v>
          </cell>
        </row>
        <row r="1646">
          <cell r="F1646" t="str">
            <v>H0000102481</v>
          </cell>
          <cell r="I1646" t="str">
            <v>フレーム</v>
          </cell>
          <cell r="J1646" t="str">
            <v>S-Frame_LX-10_H_TKTK</v>
          </cell>
          <cell r="K1646" t="str">
            <v>S-フレーム_LX-10_H_TKTK</v>
          </cell>
          <cell r="L1646" t="str">
            <v>S-Frame</v>
          </cell>
          <cell r="M1646" t="str">
            <v>S-フレーム</v>
          </cell>
          <cell r="P1646" t="str">
            <v>31B0</v>
          </cell>
          <cell r="Q1646" t="str">
            <v>SS400</v>
          </cell>
          <cell r="R1646" t="str">
            <v>E349955_01</v>
          </cell>
          <cell r="S1646">
            <v>125</v>
          </cell>
          <cell r="T1646" t="str">
            <v>標準</v>
          </cell>
        </row>
        <row r="1647">
          <cell r="F1647" t="str">
            <v>H0000102482</v>
          </cell>
          <cell r="I1647" t="str">
            <v>フレーム</v>
          </cell>
          <cell r="J1647" t="str">
            <v>S-Frame_LX-10_H_KTKT</v>
          </cell>
          <cell r="K1647" t="str">
            <v>S-フレーム_LX-10_H_KTKT</v>
          </cell>
          <cell r="L1647" t="str">
            <v>S-Frame</v>
          </cell>
          <cell r="M1647" t="str">
            <v>S-フレーム</v>
          </cell>
          <cell r="P1647" t="str">
            <v>31B0</v>
          </cell>
          <cell r="Q1647" t="str">
            <v>SS400</v>
          </cell>
          <cell r="R1647" t="str">
            <v>E349955_01</v>
          </cell>
          <cell r="S1647">
            <v>125</v>
          </cell>
          <cell r="T1647" t="str">
            <v>標準</v>
          </cell>
        </row>
        <row r="1648">
          <cell r="F1648" t="str">
            <v>H0000102483</v>
          </cell>
          <cell r="I1648" t="str">
            <v>フレーム</v>
          </cell>
          <cell r="J1648" t="str">
            <v>S-Frame_LX-10_H_KTKT</v>
          </cell>
          <cell r="K1648" t="str">
            <v>S-フレーム_LX-10_H_KTKT</v>
          </cell>
          <cell r="L1648" t="str">
            <v>S-Frame</v>
          </cell>
          <cell r="M1648" t="str">
            <v>S-フレーム</v>
          </cell>
          <cell r="P1648" t="str">
            <v>31B0</v>
          </cell>
          <cell r="Q1648" t="str">
            <v>SS400</v>
          </cell>
          <cell r="R1648" t="str">
            <v>E349955_01</v>
          </cell>
          <cell r="S1648">
            <v>125</v>
          </cell>
          <cell r="T1648" t="str">
            <v>標準</v>
          </cell>
        </row>
        <row r="1649">
          <cell r="F1649" t="str">
            <v>H0000102484</v>
          </cell>
          <cell r="I1649" t="str">
            <v>フレーム</v>
          </cell>
          <cell r="J1649" t="str">
            <v>S-Frame_LX-10_H_KTKT</v>
          </cell>
          <cell r="K1649" t="str">
            <v>S-フレーム_LX-10_H_KTKT</v>
          </cell>
          <cell r="L1649" t="str">
            <v>S-Frame</v>
          </cell>
          <cell r="M1649" t="str">
            <v>S-フレーム</v>
          </cell>
          <cell r="P1649" t="str">
            <v>31B0</v>
          </cell>
          <cell r="Q1649" t="str">
            <v>SS400</v>
          </cell>
          <cell r="R1649" t="str">
            <v>E349955_01</v>
          </cell>
          <cell r="S1649">
            <v>125</v>
          </cell>
          <cell r="T1649" t="str">
            <v>標準</v>
          </cell>
        </row>
        <row r="1650">
          <cell r="F1650" t="str">
            <v>H0000102485</v>
          </cell>
          <cell r="I1650" t="str">
            <v>フレーム</v>
          </cell>
          <cell r="J1650" t="str">
            <v>S-Frame_LX-10_H_KTKT</v>
          </cell>
          <cell r="K1650" t="str">
            <v>S-フレーム_LX-10_H_KTKT</v>
          </cell>
          <cell r="L1650" t="str">
            <v>S-Frame</v>
          </cell>
          <cell r="M1650" t="str">
            <v>S-フレーム</v>
          </cell>
          <cell r="P1650" t="str">
            <v>31B0</v>
          </cell>
          <cell r="Q1650" t="str">
            <v>SS400</v>
          </cell>
          <cell r="R1650" t="str">
            <v>E349955_01</v>
          </cell>
          <cell r="S1650">
            <v>125</v>
          </cell>
          <cell r="T1650" t="str">
            <v>標準</v>
          </cell>
        </row>
        <row r="1651">
          <cell r="F1651" t="str">
            <v>H0000102486</v>
          </cell>
          <cell r="I1651" t="str">
            <v>フレーム</v>
          </cell>
          <cell r="J1651" t="str">
            <v>S-Frame_LX-10_H_KTKT</v>
          </cell>
          <cell r="K1651" t="str">
            <v>S-フレーム_LX-10_H_KTKT</v>
          </cell>
          <cell r="L1651" t="str">
            <v>S-Frame</v>
          </cell>
          <cell r="M1651" t="str">
            <v>S-フレーム</v>
          </cell>
          <cell r="P1651" t="str">
            <v>31B0</v>
          </cell>
          <cell r="Q1651" t="str">
            <v>SS400</v>
          </cell>
          <cell r="R1651" t="str">
            <v>E349955_01</v>
          </cell>
          <cell r="S1651">
            <v>125</v>
          </cell>
          <cell r="T1651" t="str">
            <v>標準</v>
          </cell>
        </row>
        <row r="1652">
          <cell r="F1652" t="str">
            <v>H0000102487</v>
          </cell>
          <cell r="I1652" t="str">
            <v>フレーム</v>
          </cell>
          <cell r="J1652" t="str">
            <v>S-Frame_LX-10_H_KTKT</v>
          </cell>
          <cell r="K1652" t="str">
            <v>S-フレーム_LX-10_H_KTKT</v>
          </cell>
          <cell r="L1652" t="str">
            <v>S-Frame</v>
          </cell>
          <cell r="M1652" t="str">
            <v>S-フレーム</v>
          </cell>
          <cell r="P1652" t="str">
            <v>31B0</v>
          </cell>
          <cell r="Q1652" t="str">
            <v>SS400</v>
          </cell>
          <cell r="R1652" t="str">
            <v>E349955_01</v>
          </cell>
          <cell r="S1652">
            <v>125</v>
          </cell>
          <cell r="T1652" t="str">
            <v>標準</v>
          </cell>
        </row>
        <row r="1653">
          <cell r="F1653" t="str">
            <v>H0000102488</v>
          </cell>
          <cell r="I1653" t="str">
            <v>フレーム</v>
          </cell>
          <cell r="J1653" t="str">
            <v>S-Frame_LX-10_H_KTKT</v>
          </cell>
          <cell r="K1653" t="str">
            <v>S-フレーム_LX-10_H_KTKT</v>
          </cell>
          <cell r="L1653" t="str">
            <v>S-Frame</v>
          </cell>
          <cell r="M1653" t="str">
            <v>S-フレーム</v>
          </cell>
          <cell r="P1653" t="str">
            <v>31B0</v>
          </cell>
          <cell r="Q1653" t="str">
            <v>SS400</v>
          </cell>
          <cell r="R1653" t="str">
            <v>E349955_01</v>
          </cell>
          <cell r="S1653">
            <v>125</v>
          </cell>
          <cell r="T1653" t="str">
            <v>標準</v>
          </cell>
        </row>
        <row r="1654">
          <cell r="F1654" t="str">
            <v>H0000102489</v>
          </cell>
          <cell r="I1654" t="str">
            <v>フレーム</v>
          </cell>
          <cell r="J1654" t="str">
            <v>S-Frame_LX-10_H_KTKT</v>
          </cell>
          <cell r="K1654" t="str">
            <v>S-フレーム_LX-10_H_KTKT</v>
          </cell>
          <cell r="L1654" t="str">
            <v>S-Frame</v>
          </cell>
          <cell r="M1654" t="str">
            <v>S-フレーム</v>
          </cell>
          <cell r="P1654" t="str">
            <v>31B0</v>
          </cell>
          <cell r="Q1654" t="str">
            <v>SS400</v>
          </cell>
          <cell r="R1654" t="str">
            <v>E349955_01</v>
          </cell>
          <cell r="S1654">
            <v>125</v>
          </cell>
          <cell r="T1654" t="str">
            <v>標準</v>
          </cell>
        </row>
        <row r="1655">
          <cell r="F1655" t="str">
            <v>H0000102490</v>
          </cell>
          <cell r="I1655" t="str">
            <v>フレーム</v>
          </cell>
          <cell r="J1655" t="str">
            <v>S-Frame_LX-10_H_KTKT</v>
          </cell>
          <cell r="K1655" t="str">
            <v>S-フレーム_LX-10_H_KTKT</v>
          </cell>
          <cell r="L1655" t="str">
            <v>S-Frame</v>
          </cell>
          <cell r="M1655" t="str">
            <v>S-フレーム</v>
          </cell>
          <cell r="P1655" t="str">
            <v>31B0</v>
          </cell>
          <cell r="Q1655" t="str">
            <v>SS400</v>
          </cell>
          <cell r="R1655" t="str">
            <v>E349955_01</v>
          </cell>
          <cell r="S1655">
            <v>125</v>
          </cell>
          <cell r="T1655" t="str">
            <v>標準</v>
          </cell>
        </row>
        <row r="1656">
          <cell r="F1656" t="str">
            <v>H0000102491</v>
          </cell>
          <cell r="I1656" t="str">
            <v>フレーム</v>
          </cell>
          <cell r="J1656" t="str">
            <v>S-Frame_LX-10_H_KKKK</v>
          </cell>
          <cell r="K1656" t="str">
            <v>S-フレーム_LX-10_H_KKKK</v>
          </cell>
          <cell r="L1656" t="str">
            <v>S-Frame</v>
          </cell>
          <cell r="M1656" t="str">
            <v>S-フレーム</v>
          </cell>
          <cell r="P1656" t="str">
            <v>31B0</v>
          </cell>
          <cell r="Q1656" t="str">
            <v>SS400</v>
          </cell>
          <cell r="R1656" t="str">
            <v>E349955_01</v>
          </cell>
          <cell r="S1656">
            <v>125</v>
          </cell>
          <cell r="T1656" t="str">
            <v>標準</v>
          </cell>
        </row>
        <row r="1657">
          <cell r="F1657" t="str">
            <v>H0000102492</v>
          </cell>
          <cell r="I1657" t="str">
            <v>フレーム</v>
          </cell>
          <cell r="J1657" t="str">
            <v>S-Frame_LX-10_H_KKKK</v>
          </cell>
          <cell r="K1657" t="str">
            <v>S-フレーム_LX-10_H_KKKK</v>
          </cell>
          <cell r="L1657" t="str">
            <v>S-Frame</v>
          </cell>
          <cell r="M1657" t="str">
            <v>S-フレーム</v>
          </cell>
          <cell r="P1657" t="str">
            <v>31B0</v>
          </cell>
          <cell r="Q1657" t="str">
            <v>SS400</v>
          </cell>
          <cell r="R1657" t="str">
            <v>E349955_01</v>
          </cell>
          <cell r="S1657">
            <v>125</v>
          </cell>
          <cell r="T1657" t="str">
            <v>標準</v>
          </cell>
        </row>
        <row r="1658">
          <cell r="F1658" t="str">
            <v>H0000102493</v>
          </cell>
          <cell r="I1658" t="str">
            <v>フレーム</v>
          </cell>
          <cell r="J1658" t="str">
            <v>S-Frame_LX-10_H_KKKK</v>
          </cell>
          <cell r="K1658" t="str">
            <v>S-フレーム_LX-10_H_KKKK</v>
          </cell>
          <cell r="L1658" t="str">
            <v>S-Frame</v>
          </cell>
          <cell r="M1658" t="str">
            <v>S-フレーム</v>
          </cell>
          <cell r="P1658" t="str">
            <v>31B0</v>
          </cell>
          <cell r="Q1658" t="str">
            <v>SS400</v>
          </cell>
          <cell r="R1658" t="str">
            <v>E349955_01</v>
          </cell>
          <cell r="S1658">
            <v>125</v>
          </cell>
          <cell r="T1658" t="str">
            <v>標準</v>
          </cell>
        </row>
        <row r="1659">
          <cell r="F1659" t="str">
            <v>H0000102494</v>
          </cell>
          <cell r="I1659" t="str">
            <v>フレーム</v>
          </cell>
          <cell r="J1659" t="str">
            <v>S-Frame_LX-10_H_KKKK</v>
          </cell>
          <cell r="K1659" t="str">
            <v>S-フレーム_LX-10_H_KKKK</v>
          </cell>
          <cell r="L1659" t="str">
            <v>S-Frame</v>
          </cell>
          <cell r="M1659" t="str">
            <v>S-フレーム</v>
          </cell>
          <cell r="P1659" t="str">
            <v>31B0</v>
          </cell>
          <cell r="Q1659" t="str">
            <v>SS400</v>
          </cell>
          <cell r="R1659" t="str">
            <v>E349955_01</v>
          </cell>
          <cell r="S1659">
            <v>125</v>
          </cell>
          <cell r="T1659" t="str">
            <v>標準</v>
          </cell>
        </row>
        <row r="1660">
          <cell r="F1660" t="str">
            <v>H0000102495</v>
          </cell>
          <cell r="I1660" t="str">
            <v>フレーム</v>
          </cell>
          <cell r="J1660" t="str">
            <v>S-Frame_LX-10_H_KKKK</v>
          </cell>
          <cell r="K1660" t="str">
            <v>S-フレーム_LX-10_H_KKKK</v>
          </cell>
          <cell r="L1660" t="str">
            <v>S-Frame</v>
          </cell>
          <cell r="M1660" t="str">
            <v>S-フレーム</v>
          </cell>
          <cell r="P1660" t="str">
            <v>31B0</v>
          </cell>
          <cell r="Q1660" t="str">
            <v>SS400</v>
          </cell>
          <cell r="R1660" t="str">
            <v>E349955_01</v>
          </cell>
          <cell r="S1660">
            <v>125</v>
          </cell>
          <cell r="T1660" t="str">
            <v>標準</v>
          </cell>
        </row>
        <row r="1661">
          <cell r="F1661" t="str">
            <v>H0000102496</v>
          </cell>
          <cell r="I1661" t="str">
            <v>フレーム</v>
          </cell>
          <cell r="J1661" t="str">
            <v>S-Frame_LX-10_H_KKKK</v>
          </cell>
          <cell r="K1661" t="str">
            <v>S-フレーム_LX-10_H_KKKK</v>
          </cell>
          <cell r="L1661" t="str">
            <v>S-Frame</v>
          </cell>
          <cell r="M1661" t="str">
            <v>S-フレーム</v>
          </cell>
          <cell r="P1661" t="str">
            <v>31B0</v>
          </cell>
          <cell r="Q1661" t="str">
            <v>SS400</v>
          </cell>
          <cell r="R1661" t="str">
            <v>E349955_01</v>
          </cell>
          <cell r="S1661">
            <v>125</v>
          </cell>
          <cell r="T1661" t="str">
            <v>標準</v>
          </cell>
        </row>
        <row r="1662">
          <cell r="F1662" t="str">
            <v>H0000102497</v>
          </cell>
          <cell r="I1662" t="str">
            <v>フレーム</v>
          </cell>
          <cell r="J1662" t="str">
            <v>S-Frame_LX-10_H_KKKK</v>
          </cell>
          <cell r="K1662" t="str">
            <v>S-フレーム_LX-10_H_KKKK</v>
          </cell>
          <cell r="L1662" t="str">
            <v>S-Frame</v>
          </cell>
          <cell r="M1662" t="str">
            <v>S-フレーム</v>
          </cell>
          <cell r="P1662" t="str">
            <v>31B0</v>
          </cell>
          <cell r="Q1662" t="str">
            <v>SS400</v>
          </cell>
          <cell r="R1662" t="str">
            <v>E349955_01</v>
          </cell>
          <cell r="S1662">
            <v>125</v>
          </cell>
          <cell r="T1662" t="str">
            <v>標準</v>
          </cell>
        </row>
        <row r="1663">
          <cell r="F1663" t="str">
            <v>H0000102498</v>
          </cell>
          <cell r="I1663" t="str">
            <v>フレーム</v>
          </cell>
          <cell r="J1663" t="str">
            <v>S-Frame_LX-10_H_KKKK</v>
          </cell>
          <cell r="K1663" t="str">
            <v>S-フレーム_LX-10_H_KKKK</v>
          </cell>
          <cell r="L1663" t="str">
            <v>S-Frame</v>
          </cell>
          <cell r="M1663" t="str">
            <v>S-フレーム</v>
          </cell>
          <cell r="P1663" t="str">
            <v>31B0</v>
          </cell>
          <cell r="Q1663" t="str">
            <v>SS400</v>
          </cell>
          <cell r="R1663" t="str">
            <v>E349955_01</v>
          </cell>
          <cell r="S1663">
            <v>125</v>
          </cell>
          <cell r="T1663" t="str">
            <v>標準</v>
          </cell>
        </row>
        <row r="1664">
          <cell r="F1664" t="str">
            <v>H0000102499</v>
          </cell>
          <cell r="I1664" t="str">
            <v>フレーム</v>
          </cell>
          <cell r="J1664" t="str">
            <v>S-Frame_LX-10_H_KKKK</v>
          </cell>
          <cell r="K1664" t="str">
            <v>S-フレーム_LX-10_H_KKKK</v>
          </cell>
          <cell r="L1664" t="str">
            <v>S-Frame</v>
          </cell>
          <cell r="M1664" t="str">
            <v>S-フレーム</v>
          </cell>
          <cell r="P1664" t="str">
            <v>31B0</v>
          </cell>
          <cell r="Q1664" t="str">
            <v>SS400</v>
          </cell>
          <cell r="R1664" t="str">
            <v>E349955_01</v>
          </cell>
          <cell r="S1664">
            <v>125</v>
          </cell>
          <cell r="T1664" t="str">
            <v>標準</v>
          </cell>
        </row>
        <row r="1665">
          <cell r="F1665" t="str">
            <v>H0000102500</v>
          </cell>
          <cell r="I1665" t="str">
            <v>フレーム</v>
          </cell>
          <cell r="J1665" t="str">
            <v>S-Frame_LX-10_U_TTTT</v>
          </cell>
          <cell r="K1665" t="str">
            <v>S-フレーム_LX-10_U_TTTT</v>
          </cell>
          <cell r="L1665" t="str">
            <v>S-Frame</v>
          </cell>
          <cell r="M1665" t="str">
            <v>S-フレーム</v>
          </cell>
          <cell r="P1665" t="str">
            <v>31B0</v>
          </cell>
          <cell r="Q1665" t="str">
            <v>SS400</v>
          </cell>
          <cell r="R1665" t="str">
            <v>E349955_01</v>
          </cell>
          <cell r="S1665">
            <v>139</v>
          </cell>
          <cell r="T1665" t="str">
            <v>標準</v>
          </cell>
        </row>
        <row r="1666">
          <cell r="F1666" t="str">
            <v>H0000102501</v>
          </cell>
          <cell r="I1666" t="str">
            <v>フレーム</v>
          </cell>
          <cell r="J1666" t="str">
            <v>S-Frame_LX-10_U_TTTT</v>
          </cell>
          <cell r="K1666" t="str">
            <v>S-フレーム_LX-10_U_TTTT</v>
          </cell>
          <cell r="L1666" t="str">
            <v>S-Frame</v>
          </cell>
          <cell r="M1666" t="str">
            <v>S-フレーム</v>
          </cell>
          <cell r="P1666" t="str">
            <v>31B0</v>
          </cell>
          <cell r="Q1666" t="str">
            <v>SS400</v>
          </cell>
          <cell r="R1666" t="str">
            <v>E349955_01</v>
          </cell>
          <cell r="S1666">
            <v>139</v>
          </cell>
          <cell r="T1666" t="str">
            <v>標準</v>
          </cell>
        </row>
        <row r="1667">
          <cell r="F1667" t="str">
            <v>H0000102502</v>
          </cell>
          <cell r="I1667" t="str">
            <v>フレーム</v>
          </cell>
          <cell r="J1667" t="str">
            <v>S-Frame_LX-10_U_TTTT</v>
          </cell>
          <cell r="K1667" t="str">
            <v>S-フレーム_LX-10_U_TTTT</v>
          </cell>
          <cell r="L1667" t="str">
            <v>S-Frame</v>
          </cell>
          <cell r="M1667" t="str">
            <v>S-フレーム</v>
          </cell>
          <cell r="P1667" t="str">
            <v>31B0</v>
          </cell>
          <cell r="Q1667" t="str">
            <v>SS400</v>
          </cell>
          <cell r="R1667" t="str">
            <v>E349955_01</v>
          </cell>
          <cell r="S1667">
            <v>139</v>
          </cell>
          <cell r="T1667" t="str">
            <v>標準</v>
          </cell>
        </row>
        <row r="1668">
          <cell r="F1668" t="str">
            <v>H0000102503</v>
          </cell>
          <cell r="I1668" t="str">
            <v>フレーム</v>
          </cell>
          <cell r="J1668" t="str">
            <v>S-Frame_LX-10_U_TTTT</v>
          </cell>
          <cell r="K1668" t="str">
            <v>S-フレーム_LX-10_U_TTTT</v>
          </cell>
          <cell r="L1668" t="str">
            <v>S-Frame</v>
          </cell>
          <cell r="M1668" t="str">
            <v>S-フレーム</v>
          </cell>
          <cell r="P1668" t="str">
            <v>31B0</v>
          </cell>
          <cell r="Q1668" t="str">
            <v>SS400</v>
          </cell>
          <cell r="R1668" t="str">
            <v>E349955_01</v>
          </cell>
          <cell r="S1668">
            <v>139</v>
          </cell>
          <cell r="T1668" t="str">
            <v>標準</v>
          </cell>
        </row>
        <row r="1669">
          <cell r="F1669" t="str">
            <v>H0000102504</v>
          </cell>
          <cell r="I1669" t="str">
            <v>フレーム</v>
          </cell>
          <cell r="J1669" t="str">
            <v>S-Frame_LX-10_U_TTTT</v>
          </cell>
          <cell r="K1669" t="str">
            <v>S-フレーム_LX-10_U_TTTT</v>
          </cell>
          <cell r="L1669" t="str">
            <v>S-Frame</v>
          </cell>
          <cell r="M1669" t="str">
            <v>S-フレーム</v>
          </cell>
          <cell r="P1669" t="str">
            <v>31B0</v>
          </cell>
          <cell r="Q1669" t="str">
            <v>SS400</v>
          </cell>
          <cell r="R1669" t="str">
            <v>E349955_01</v>
          </cell>
          <cell r="S1669">
            <v>139</v>
          </cell>
          <cell r="T1669" t="str">
            <v>標準</v>
          </cell>
        </row>
        <row r="1670">
          <cell r="F1670" t="str">
            <v>H0000102505</v>
          </cell>
          <cell r="I1670" t="str">
            <v>フレーム</v>
          </cell>
          <cell r="J1670" t="str">
            <v>S-Frame_LX-10_U_TTTT</v>
          </cell>
          <cell r="K1670" t="str">
            <v>S-フレーム_LX-10_U_TTTT</v>
          </cell>
          <cell r="L1670" t="str">
            <v>S-Frame</v>
          </cell>
          <cell r="M1670" t="str">
            <v>S-フレーム</v>
          </cell>
          <cell r="P1670" t="str">
            <v>31B0</v>
          </cell>
          <cell r="Q1670" t="str">
            <v>SS400</v>
          </cell>
          <cell r="R1670" t="str">
            <v>E349955_01</v>
          </cell>
          <cell r="S1670">
            <v>139</v>
          </cell>
          <cell r="T1670" t="str">
            <v>標準</v>
          </cell>
        </row>
        <row r="1671">
          <cell r="F1671" t="str">
            <v>H0000102506</v>
          </cell>
          <cell r="I1671" t="str">
            <v>フレーム</v>
          </cell>
          <cell r="J1671" t="str">
            <v>S-Frame_LX-10_U_TTTT</v>
          </cell>
          <cell r="K1671" t="str">
            <v>S-フレーム_LX-10_U_TTTT</v>
          </cell>
          <cell r="L1671" t="str">
            <v>S-Frame</v>
          </cell>
          <cell r="M1671" t="str">
            <v>S-フレーム</v>
          </cell>
          <cell r="P1671" t="str">
            <v>31B0</v>
          </cell>
          <cell r="Q1671" t="str">
            <v>SS400</v>
          </cell>
          <cell r="R1671" t="str">
            <v>E349955_01</v>
          </cell>
          <cell r="S1671">
            <v>139</v>
          </cell>
          <cell r="T1671" t="str">
            <v>標準</v>
          </cell>
        </row>
        <row r="1672">
          <cell r="F1672" t="str">
            <v>H0000102507</v>
          </cell>
          <cell r="I1672" t="str">
            <v>フレーム</v>
          </cell>
          <cell r="J1672" t="str">
            <v>S-Frame_LX-10_U_TTTT</v>
          </cell>
          <cell r="K1672" t="str">
            <v>S-フレーム_LX-10_U_TTTT</v>
          </cell>
          <cell r="L1672" t="str">
            <v>S-Frame</v>
          </cell>
          <cell r="M1672" t="str">
            <v>S-フレーム</v>
          </cell>
          <cell r="P1672" t="str">
            <v>31B0</v>
          </cell>
          <cell r="Q1672" t="str">
            <v>SS400</v>
          </cell>
          <cell r="R1672" t="str">
            <v>E349955_01</v>
          </cell>
          <cell r="S1672">
            <v>139</v>
          </cell>
          <cell r="T1672" t="str">
            <v>標準</v>
          </cell>
        </row>
        <row r="1673">
          <cell r="F1673" t="str">
            <v>H0000102508</v>
          </cell>
          <cell r="I1673" t="str">
            <v>フレーム</v>
          </cell>
          <cell r="J1673" t="str">
            <v>S-Frame_LX-10_U_TTTT</v>
          </cell>
          <cell r="K1673" t="str">
            <v>S-フレーム_LX-10_U_TTTT</v>
          </cell>
          <cell r="L1673" t="str">
            <v>S-Frame</v>
          </cell>
          <cell r="M1673" t="str">
            <v>S-フレーム</v>
          </cell>
          <cell r="P1673" t="str">
            <v>31B0</v>
          </cell>
          <cell r="Q1673" t="str">
            <v>SS400</v>
          </cell>
          <cell r="R1673" t="str">
            <v>E349955_01</v>
          </cell>
          <cell r="S1673">
            <v>139</v>
          </cell>
          <cell r="T1673" t="str">
            <v>標準</v>
          </cell>
        </row>
        <row r="1674">
          <cell r="F1674" t="str">
            <v>H0000102509</v>
          </cell>
          <cell r="I1674" t="str">
            <v>フレーム</v>
          </cell>
          <cell r="J1674" t="str">
            <v>S-Frame_LX-10_U_TKTK</v>
          </cell>
          <cell r="K1674" t="str">
            <v>S-フレーム_LX-10_U_TKTK</v>
          </cell>
          <cell r="L1674" t="str">
            <v>S-Frame</v>
          </cell>
          <cell r="M1674" t="str">
            <v>S-フレーム</v>
          </cell>
          <cell r="P1674" t="str">
            <v>31B0</v>
          </cell>
          <cell r="Q1674" t="str">
            <v>SS400</v>
          </cell>
          <cell r="R1674" t="str">
            <v>E349955_01</v>
          </cell>
          <cell r="S1674">
            <v>139</v>
          </cell>
          <cell r="T1674" t="str">
            <v>標準</v>
          </cell>
        </row>
        <row r="1675">
          <cell r="F1675" t="str">
            <v>H0000102510</v>
          </cell>
          <cell r="I1675" t="str">
            <v>フレーム</v>
          </cell>
          <cell r="J1675" t="str">
            <v>S-Frame_LX-10_U_TKTK</v>
          </cell>
          <cell r="K1675" t="str">
            <v>S-フレーム_LX-10_U_TKTK</v>
          </cell>
          <cell r="L1675" t="str">
            <v>S-Frame</v>
          </cell>
          <cell r="M1675" t="str">
            <v>S-フレーム</v>
          </cell>
          <cell r="P1675" t="str">
            <v>31B0</v>
          </cell>
          <cell r="Q1675" t="str">
            <v>SS400</v>
          </cell>
          <cell r="R1675" t="str">
            <v>E349955_01</v>
          </cell>
          <cell r="S1675">
            <v>139</v>
          </cell>
          <cell r="T1675" t="str">
            <v>標準</v>
          </cell>
        </row>
        <row r="1676">
          <cell r="F1676" t="str">
            <v>H0000102511</v>
          </cell>
          <cell r="I1676" t="str">
            <v>フレーム</v>
          </cell>
          <cell r="J1676" t="str">
            <v>S-Frame_LX-10_U_TKTK</v>
          </cell>
          <cell r="K1676" t="str">
            <v>S-フレーム_LX-10_U_TKTK</v>
          </cell>
          <cell r="L1676" t="str">
            <v>S-Frame</v>
          </cell>
          <cell r="M1676" t="str">
            <v>S-フレーム</v>
          </cell>
          <cell r="P1676" t="str">
            <v>31B0</v>
          </cell>
          <cell r="Q1676" t="str">
            <v>SS400</v>
          </cell>
          <cell r="R1676" t="str">
            <v>E349955_01</v>
          </cell>
          <cell r="S1676">
            <v>139</v>
          </cell>
          <cell r="T1676" t="str">
            <v>標準</v>
          </cell>
        </row>
        <row r="1677">
          <cell r="F1677" t="str">
            <v>H0000102512</v>
          </cell>
          <cell r="I1677" t="str">
            <v>フレーム</v>
          </cell>
          <cell r="J1677" t="str">
            <v>S-Frame_LX-10_U_TKTK</v>
          </cell>
          <cell r="K1677" t="str">
            <v>S-フレーム_LX-10_U_TKTK</v>
          </cell>
          <cell r="L1677" t="str">
            <v>S-Frame</v>
          </cell>
          <cell r="M1677" t="str">
            <v>S-フレーム</v>
          </cell>
          <cell r="P1677" t="str">
            <v>31B0</v>
          </cell>
          <cell r="Q1677" t="str">
            <v>SS400</v>
          </cell>
          <cell r="R1677" t="str">
            <v>E349955_01</v>
          </cell>
          <cell r="S1677">
            <v>139</v>
          </cell>
          <cell r="T1677" t="str">
            <v>標準</v>
          </cell>
        </row>
        <row r="1678">
          <cell r="F1678" t="str">
            <v>H0000102513</v>
          </cell>
          <cell r="I1678" t="str">
            <v>フレーム</v>
          </cell>
          <cell r="J1678" t="str">
            <v>S-Frame_LX-10_U_TKTK</v>
          </cell>
          <cell r="K1678" t="str">
            <v>S-フレーム_LX-10_U_TKTK</v>
          </cell>
          <cell r="L1678" t="str">
            <v>S-Frame</v>
          </cell>
          <cell r="M1678" t="str">
            <v>S-フレーム</v>
          </cell>
          <cell r="P1678" t="str">
            <v>31B0</v>
          </cell>
          <cell r="Q1678" t="str">
            <v>SS400</v>
          </cell>
          <cell r="R1678" t="str">
            <v>E349955_01</v>
          </cell>
          <cell r="S1678">
            <v>139</v>
          </cell>
          <cell r="T1678" t="str">
            <v>標準</v>
          </cell>
        </row>
        <row r="1679">
          <cell r="F1679" t="str">
            <v>H0000102514</v>
          </cell>
          <cell r="I1679" t="str">
            <v>フレーム</v>
          </cell>
          <cell r="J1679" t="str">
            <v>S-Frame_LX-10_U_TKTK</v>
          </cell>
          <cell r="K1679" t="str">
            <v>S-フレーム_LX-10_U_TKTK</v>
          </cell>
          <cell r="L1679" t="str">
            <v>S-Frame</v>
          </cell>
          <cell r="M1679" t="str">
            <v>S-フレーム</v>
          </cell>
          <cell r="P1679" t="str">
            <v>31B0</v>
          </cell>
          <cell r="Q1679" t="str">
            <v>SS400</v>
          </cell>
          <cell r="R1679" t="str">
            <v>E349955_01</v>
          </cell>
          <cell r="S1679">
            <v>139</v>
          </cell>
          <cell r="T1679" t="str">
            <v>標準</v>
          </cell>
        </row>
        <row r="1680">
          <cell r="F1680" t="str">
            <v>H0000102515</v>
          </cell>
          <cell r="I1680" t="str">
            <v>フレーム</v>
          </cell>
          <cell r="J1680" t="str">
            <v>S-Frame_LX-10_U_TKTK</v>
          </cell>
          <cell r="K1680" t="str">
            <v>S-フレーム_LX-10_U_TKTK</v>
          </cell>
          <cell r="L1680" t="str">
            <v>S-Frame</v>
          </cell>
          <cell r="M1680" t="str">
            <v>S-フレーム</v>
          </cell>
          <cell r="P1680" t="str">
            <v>31B0</v>
          </cell>
          <cell r="Q1680" t="str">
            <v>SS400</v>
          </cell>
          <cell r="R1680" t="str">
            <v>E349955_01</v>
          </cell>
          <cell r="S1680">
            <v>139</v>
          </cell>
          <cell r="T1680" t="str">
            <v>標準</v>
          </cell>
        </row>
        <row r="1681">
          <cell r="F1681" t="str">
            <v>H0000102516</v>
          </cell>
          <cell r="I1681" t="str">
            <v>フレーム</v>
          </cell>
          <cell r="J1681" t="str">
            <v>S-Frame_LX-10_U_TKTK</v>
          </cell>
          <cell r="K1681" t="str">
            <v>S-フレーム_LX-10_U_TKTK</v>
          </cell>
          <cell r="L1681" t="str">
            <v>S-Frame</v>
          </cell>
          <cell r="M1681" t="str">
            <v>S-フレーム</v>
          </cell>
          <cell r="P1681" t="str">
            <v>31B0</v>
          </cell>
          <cell r="Q1681" t="str">
            <v>SS400</v>
          </cell>
          <cell r="R1681" t="str">
            <v>E349955_01</v>
          </cell>
          <cell r="S1681">
            <v>139</v>
          </cell>
          <cell r="T1681" t="str">
            <v>標準</v>
          </cell>
        </row>
        <row r="1682">
          <cell r="F1682" t="str">
            <v>H0000102517</v>
          </cell>
          <cell r="I1682" t="str">
            <v>フレーム</v>
          </cell>
          <cell r="J1682" t="str">
            <v>S-Frame_LX-10_U_TKTK</v>
          </cell>
          <cell r="K1682" t="str">
            <v>S-フレーム_LX-10_U_TKTK</v>
          </cell>
          <cell r="L1682" t="str">
            <v>S-Frame</v>
          </cell>
          <cell r="M1682" t="str">
            <v>S-フレーム</v>
          </cell>
          <cell r="P1682" t="str">
            <v>31B0</v>
          </cell>
          <cell r="Q1682" t="str">
            <v>SS400</v>
          </cell>
          <cell r="R1682" t="str">
            <v>E349955_01</v>
          </cell>
          <cell r="S1682">
            <v>139</v>
          </cell>
          <cell r="T1682" t="str">
            <v>標準</v>
          </cell>
        </row>
        <row r="1683">
          <cell r="F1683" t="str">
            <v>H0000102518</v>
          </cell>
          <cell r="I1683" t="str">
            <v>フレーム</v>
          </cell>
          <cell r="J1683" t="str">
            <v>S-Frame_LX-10_U_KTKT</v>
          </cell>
          <cell r="K1683" t="str">
            <v>S-フレーム_LX-10_U_KTKT</v>
          </cell>
          <cell r="L1683" t="str">
            <v>S-Frame</v>
          </cell>
          <cell r="M1683" t="str">
            <v>S-フレーム</v>
          </cell>
          <cell r="P1683" t="str">
            <v>31B0</v>
          </cell>
          <cell r="Q1683" t="str">
            <v>SS400</v>
          </cell>
          <cell r="R1683" t="str">
            <v>E349955_01</v>
          </cell>
          <cell r="S1683">
            <v>139</v>
          </cell>
          <cell r="T1683" t="str">
            <v>標準</v>
          </cell>
        </row>
        <row r="1684">
          <cell r="F1684" t="str">
            <v>H0000102519</v>
          </cell>
          <cell r="I1684" t="str">
            <v>フレーム</v>
          </cell>
          <cell r="J1684" t="str">
            <v>S-Frame_LX-10_U_KTKT</v>
          </cell>
          <cell r="K1684" t="str">
            <v>S-フレーム_LX-10_U_KTKT</v>
          </cell>
          <cell r="L1684" t="str">
            <v>S-Frame</v>
          </cell>
          <cell r="M1684" t="str">
            <v>S-フレーム</v>
          </cell>
          <cell r="P1684" t="str">
            <v>31B0</v>
          </cell>
          <cell r="Q1684" t="str">
            <v>SS400</v>
          </cell>
          <cell r="R1684" t="str">
            <v>E349955_01</v>
          </cell>
          <cell r="S1684">
            <v>139</v>
          </cell>
          <cell r="T1684" t="str">
            <v>標準</v>
          </cell>
        </row>
        <row r="1685">
          <cell r="F1685" t="str">
            <v>H0000102520</v>
          </cell>
          <cell r="I1685" t="str">
            <v>フレーム</v>
          </cell>
          <cell r="J1685" t="str">
            <v>S-Frame_LX-10_U_KTKT</v>
          </cell>
          <cell r="K1685" t="str">
            <v>S-フレーム_LX-10_U_KTKT</v>
          </cell>
          <cell r="L1685" t="str">
            <v>S-Frame</v>
          </cell>
          <cell r="M1685" t="str">
            <v>S-フレーム</v>
          </cell>
          <cell r="P1685" t="str">
            <v>31B0</v>
          </cell>
          <cell r="Q1685" t="str">
            <v>SS400</v>
          </cell>
          <cell r="R1685" t="str">
            <v>E349955_01</v>
          </cell>
          <cell r="S1685">
            <v>139</v>
          </cell>
          <cell r="T1685" t="str">
            <v>標準</v>
          </cell>
        </row>
        <row r="1686">
          <cell r="F1686" t="str">
            <v>H0000102521</v>
          </cell>
          <cell r="I1686" t="str">
            <v>フレーム</v>
          </cell>
          <cell r="J1686" t="str">
            <v>S-Frame_LX-10_U_KTKT</v>
          </cell>
          <cell r="K1686" t="str">
            <v>S-フレーム_LX-10_U_KTKT</v>
          </cell>
          <cell r="L1686" t="str">
            <v>S-Frame</v>
          </cell>
          <cell r="M1686" t="str">
            <v>S-フレーム</v>
          </cell>
          <cell r="P1686" t="str">
            <v>31B0</v>
          </cell>
          <cell r="Q1686" t="str">
            <v>SS400</v>
          </cell>
          <cell r="R1686" t="str">
            <v>E349955_01</v>
          </cell>
          <cell r="S1686">
            <v>139</v>
          </cell>
          <cell r="T1686" t="str">
            <v>標準</v>
          </cell>
        </row>
        <row r="1687">
          <cell r="F1687" t="str">
            <v>H0000102522</v>
          </cell>
          <cell r="I1687" t="str">
            <v>フレーム</v>
          </cell>
          <cell r="J1687" t="str">
            <v>S-Frame_LX-10_U_KTKT</v>
          </cell>
          <cell r="K1687" t="str">
            <v>S-フレーム_LX-10_U_KTKT</v>
          </cell>
          <cell r="L1687" t="str">
            <v>S-Frame</v>
          </cell>
          <cell r="M1687" t="str">
            <v>S-フレーム</v>
          </cell>
          <cell r="P1687" t="str">
            <v>31B0</v>
          </cell>
          <cell r="Q1687" t="str">
            <v>SS400</v>
          </cell>
          <cell r="R1687" t="str">
            <v>E349955_01</v>
          </cell>
          <cell r="S1687">
            <v>139</v>
          </cell>
          <cell r="T1687" t="str">
            <v>標準</v>
          </cell>
        </row>
        <row r="1688">
          <cell r="F1688" t="str">
            <v>H0000102523</v>
          </cell>
          <cell r="I1688" t="str">
            <v>フレーム</v>
          </cell>
          <cell r="J1688" t="str">
            <v>S-Frame_LX-10_U_KTKT</v>
          </cell>
          <cell r="K1688" t="str">
            <v>S-フレーム_LX-10_U_KTKT</v>
          </cell>
          <cell r="L1688" t="str">
            <v>S-Frame</v>
          </cell>
          <cell r="M1688" t="str">
            <v>S-フレーム</v>
          </cell>
          <cell r="P1688" t="str">
            <v>31B0</v>
          </cell>
          <cell r="Q1688" t="str">
            <v>SS400</v>
          </cell>
          <cell r="R1688" t="str">
            <v>E349955_01</v>
          </cell>
          <cell r="S1688">
            <v>139</v>
          </cell>
          <cell r="T1688" t="str">
            <v>標準</v>
          </cell>
        </row>
        <row r="1689">
          <cell r="F1689" t="str">
            <v>H0000102524</v>
          </cell>
          <cell r="I1689" t="str">
            <v>フレーム</v>
          </cell>
          <cell r="J1689" t="str">
            <v>S-Frame_LX-10_U_KTKT</v>
          </cell>
          <cell r="K1689" t="str">
            <v>S-フレーム_LX-10_U_KTKT</v>
          </cell>
          <cell r="L1689" t="str">
            <v>S-Frame</v>
          </cell>
          <cell r="M1689" t="str">
            <v>S-フレーム</v>
          </cell>
          <cell r="P1689" t="str">
            <v>31B0</v>
          </cell>
          <cell r="Q1689" t="str">
            <v>SS400</v>
          </cell>
          <cell r="R1689" t="str">
            <v>E349955_01</v>
          </cell>
          <cell r="S1689">
            <v>139</v>
          </cell>
          <cell r="T1689" t="str">
            <v>標準</v>
          </cell>
        </row>
        <row r="1690">
          <cell r="F1690" t="str">
            <v>H0000102525</v>
          </cell>
          <cell r="I1690" t="str">
            <v>フレーム</v>
          </cell>
          <cell r="J1690" t="str">
            <v>S-Frame_LX-10_U_KTKT</v>
          </cell>
          <cell r="K1690" t="str">
            <v>S-フレーム_LX-10_U_KTKT</v>
          </cell>
          <cell r="L1690" t="str">
            <v>S-Frame</v>
          </cell>
          <cell r="M1690" t="str">
            <v>S-フレーム</v>
          </cell>
          <cell r="P1690" t="str">
            <v>31B0</v>
          </cell>
          <cell r="Q1690" t="str">
            <v>SS400</v>
          </cell>
          <cell r="R1690" t="str">
            <v>E349955_01</v>
          </cell>
          <cell r="S1690">
            <v>139</v>
          </cell>
          <cell r="T1690" t="str">
            <v>標準</v>
          </cell>
        </row>
        <row r="1691">
          <cell r="F1691" t="str">
            <v>H0000102526</v>
          </cell>
          <cell r="I1691" t="str">
            <v>フレーム</v>
          </cell>
          <cell r="J1691" t="str">
            <v>S-Frame_LX-10_U_KTKT</v>
          </cell>
          <cell r="K1691" t="str">
            <v>S-フレーム_LX-10_U_KTKT</v>
          </cell>
          <cell r="L1691" t="str">
            <v>S-Frame</v>
          </cell>
          <cell r="M1691" t="str">
            <v>S-フレーム</v>
          </cell>
          <cell r="P1691" t="str">
            <v>31B0</v>
          </cell>
          <cell r="Q1691" t="str">
            <v>SS400</v>
          </cell>
          <cell r="R1691" t="str">
            <v>E349955_01</v>
          </cell>
          <cell r="S1691">
            <v>139</v>
          </cell>
          <cell r="T1691" t="str">
            <v>標準</v>
          </cell>
        </row>
        <row r="1692">
          <cell r="F1692" t="str">
            <v>H0000102527</v>
          </cell>
          <cell r="I1692" t="str">
            <v>フレーム</v>
          </cell>
          <cell r="J1692" t="str">
            <v>S-Frame_LX-10_U_KKKK</v>
          </cell>
          <cell r="K1692" t="str">
            <v>S-フレーム_LX-10_U_KKKK</v>
          </cell>
          <cell r="L1692" t="str">
            <v>S-Frame</v>
          </cell>
          <cell r="M1692" t="str">
            <v>S-フレーム</v>
          </cell>
          <cell r="P1692" t="str">
            <v>31B0</v>
          </cell>
          <cell r="Q1692" t="str">
            <v>SS400</v>
          </cell>
          <cell r="R1692" t="str">
            <v>E349955_01</v>
          </cell>
          <cell r="S1692">
            <v>139</v>
          </cell>
          <cell r="T1692" t="str">
            <v>標準</v>
          </cell>
        </row>
        <row r="1693">
          <cell r="F1693" t="str">
            <v>H0000102528</v>
          </cell>
          <cell r="I1693" t="str">
            <v>フレーム</v>
          </cell>
          <cell r="J1693" t="str">
            <v>S-Frame_LX-10_U_KKKK</v>
          </cell>
          <cell r="K1693" t="str">
            <v>S-フレーム_LX-10_U_KKKK</v>
          </cell>
          <cell r="L1693" t="str">
            <v>S-Frame</v>
          </cell>
          <cell r="M1693" t="str">
            <v>S-フレーム</v>
          </cell>
          <cell r="P1693" t="str">
            <v>31B0</v>
          </cell>
          <cell r="Q1693" t="str">
            <v>SS400</v>
          </cell>
          <cell r="R1693" t="str">
            <v>E349955_01</v>
          </cell>
          <cell r="S1693">
            <v>139</v>
          </cell>
          <cell r="T1693" t="str">
            <v>標準</v>
          </cell>
        </row>
        <row r="1694">
          <cell r="F1694" t="str">
            <v>H0000102529</v>
          </cell>
          <cell r="I1694" t="str">
            <v>フレーム</v>
          </cell>
          <cell r="J1694" t="str">
            <v>S-Frame_LX-10_U_KKKK</v>
          </cell>
          <cell r="K1694" t="str">
            <v>S-フレーム_LX-10_U_KKKK</v>
          </cell>
          <cell r="L1694" t="str">
            <v>S-Frame</v>
          </cell>
          <cell r="M1694" t="str">
            <v>S-フレーム</v>
          </cell>
          <cell r="P1694" t="str">
            <v>31B0</v>
          </cell>
          <cell r="Q1694" t="str">
            <v>SS400</v>
          </cell>
          <cell r="R1694" t="str">
            <v>E349955_01</v>
          </cell>
          <cell r="S1694">
            <v>139</v>
          </cell>
          <cell r="T1694" t="str">
            <v>標準</v>
          </cell>
        </row>
        <row r="1695">
          <cell r="F1695" t="str">
            <v>H0000102530</v>
          </cell>
          <cell r="I1695" t="str">
            <v>フレーム</v>
          </cell>
          <cell r="J1695" t="str">
            <v>S-Frame_LX-10_U_KKKK</v>
          </cell>
          <cell r="K1695" t="str">
            <v>S-フレーム_LX-10_U_KKKK</v>
          </cell>
          <cell r="L1695" t="str">
            <v>S-Frame</v>
          </cell>
          <cell r="M1695" t="str">
            <v>S-フレーム</v>
          </cell>
          <cell r="P1695" t="str">
            <v>31B0</v>
          </cell>
          <cell r="Q1695" t="str">
            <v>SS400</v>
          </cell>
          <cell r="R1695" t="str">
            <v>E349955_01</v>
          </cell>
          <cell r="S1695">
            <v>139</v>
          </cell>
          <cell r="T1695" t="str">
            <v>標準</v>
          </cell>
        </row>
        <row r="1696">
          <cell r="F1696" t="str">
            <v>H0000102531</v>
          </cell>
          <cell r="I1696" t="str">
            <v>フレーム</v>
          </cell>
          <cell r="J1696" t="str">
            <v>S-Frame_LX-10_U_KKKK</v>
          </cell>
          <cell r="K1696" t="str">
            <v>S-フレーム_LX-10_U_KKKK</v>
          </cell>
          <cell r="L1696" t="str">
            <v>S-Frame</v>
          </cell>
          <cell r="M1696" t="str">
            <v>S-フレーム</v>
          </cell>
          <cell r="P1696" t="str">
            <v>31B0</v>
          </cell>
          <cell r="Q1696" t="str">
            <v>SS400</v>
          </cell>
          <cell r="R1696" t="str">
            <v>E349955_01</v>
          </cell>
          <cell r="S1696">
            <v>139</v>
          </cell>
          <cell r="T1696" t="str">
            <v>標準</v>
          </cell>
        </row>
        <row r="1697">
          <cell r="F1697" t="str">
            <v>H0000102532</v>
          </cell>
          <cell r="I1697" t="str">
            <v>フレーム</v>
          </cell>
          <cell r="J1697" t="str">
            <v>S-Frame_LX-10_U_KKKK</v>
          </cell>
          <cell r="K1697" t="str">
            <v>S-フレーム_LX-10_U_KKKK</v>
          </cell>
          <cell r="L1697" t="str">
            <v>S-Frame</v>
          </cell>
          <cell r="M1697" t="str">
            <v>S-フレーム</v>
          </cell>
          <cell r="P1697" t="str">
            <v>31B0</v>
          </cell>
          <cell r="Q1697" t="str">
            <v>SS400</v>
          </cell>
          <cell r="R1697" t="str">
            <v>E349955_01</v>
          </cell>
          <cell r="S1697">
            <v>139</v>
          </cell>
          <cell r="T1697" t="str">
            <v>標準</v>
          </cell>
        </row>
        <row r="1698">
          <cell r="F1698" t="str">
            <v>H0000102533</v>
          </cell>
          <cell r="I1698" t="str">
            <v>フレーム</v>
          </cell>
          <cell r="J1698" t="str">
            <v>S-Frame_LX-10_U_KKKK</v>
          </cell>
          <cell r="K1698" t="str">
            <v>S-フレーム_LX-10_U_KKKK</v>
          </cell>
          <cell r="L1698" t="str">
            <v>S-Frame</v>
          </cell>
          <cell r="M1698" t="str">
            <v>S-フレーム</v>
          </cell>
          <cell r="P1698" t="str">
            <v>31B0</v>
          </cell>
          <cell r="Q1698" t="str">
            <v>SS400</v>
          </cell>
          <cell r="R1698" t="str">
            <v>E349955_01</v>
          </cell>
          <cell r="S1698">
            <v>139</v>
          </cell>
          <cell r="T1698" t="str">
            <v>標準</v>
          </cell>
        </row>
        <row r="1699">
          <cell r="F1699" t="str">
            <v>H0000102534</v>
          </cell>
          <cell r="I1699" t="str">
            <v>フレーム</v>
          </cell>
          <cell r="J1699" t="str">
            <v>S-Frame_LX-10_U_KKKK</v>
          </cell>
          <cell r="K1699" t="str">
            <v>S-フレーム_LX-10_U_KKKK</v>
          </cell>
          <cell r="L1699" t="str">
            <v>S-Frame</v>
          </cell>
          <cell r="M1699" t="str">
            <v>S-フレーム</v>
          </cell>
          <cell r="P1699" t="str">
            <v>31B0</v>
          </cell>
          <cell r="Q1699" t="str">
            <v>SS400</v>
          </cell>
          <cell r="R1699" t="str">
            <v>E349955_01</v>
          </cell>
          <cell r="S1699">
            <v>139</v>
          </cell>
          <cell r="T1699" t="str">
            <v>標準</v>
          </cell>
        </row>
        <row r="1700">
          <cell r="F1700" t="str">
            <v>H0000102535</v>
          </cell>
          <cell r="I1700" t="str">
            <v>フレーム</v>
          </cell>
          <cell r="J1700" t="str">
            <v>S-Frame_LX-10_U_KKKK</v>
          </cell>
          <cell r="K1700" t="str">
            <v>S-フレーム_LX-10_U_KKKK</v>
          </cell>
          <cell r="L1700" t="str">
            <v>S-Frame</v>
          </cell>
          <cell r="M1700" t="str">
            <v>S-フレーム</v>
          </cell>
          <cell r="P1700" t="str">
            <v>31B0</v>
          </cell>
          <cell r="Q1700" t="str">
            <v>SS400</v>
          </cell>
          <cell r="R1700" t="str">
            <v>E349955_01</v>
          </cell>
          <cell r="S1700">
            <v>139</v>
          </cell>
          <cell r="T1700" t="str">
            <v>標準</v>
          </cell>
        </row>
        <row r="1701">
          <cell r="F1701" t="str">
            <v>H0000102536</v>
          </cell>
          <cell r="I1701" t="str">
            <v>フレーム</v>
          </cell>
          <cell r="J1701" t="str">
            <v>Spacer_LX-10__W363,H854,T2</v>
          </cell>
          <cell r="K1701" t="str">
            <v>スペーサ―_LX-10__W363,H854,T2</v>
          </cell>
          <cell r="L1701" t="str">
            <v>Spacer</v>
          </cell>
          <cell r="M1701" t="str">
            <v>スペーサ―</v>
          </cell>
          <cell r="P1701" t="str">
            <v>31B8</v>
          </cell>
          <cell r="Q1701" t="str">
            <v>SUS304</v>
          </cell>
          <cell r="R1701" t="str">
            <v>E348550_01</v>
          </cell>
          <cell r="S1701">
            <v>4</v>
          </cell>
          <cell r="T1701" t="str">
            <v>標準</v>
          </cell>
        </row>
        <row r="1702">
          <cell r="F1702" t="str">
            <v>H0000102537</v>
          </cell>
          <cell r="I1702" t="str">
            <v>フレーム</v>
          </cell>
          <cell r="J1702" t="str">
            <v>S-Frame_GasCutting_LX-10_U_1234</v>
          </cell>
          <cell r="K1702" t="str">
            <v>S-フレーム_ガス溶断_LX-10_U_1234</v>
          </cell>
          <cell r="L1702" t="str">
            <v>S-Frame</v>
          </cell>
          <cell r="M1702" t="str">
            <v>S-フレーム</v>
          </cell>
          <cell r="N1702" t="str">
            <v>GasCutting</v>
          </cell>
          <cell r="O1702" t="str">
            <v>ガス溶断</v>
          </cell>
          <cell r="P1702" t="str">
            <v>31B0</v>
          </cell>
          <cell r="Q1702" t="str">
            <v>SS400</v>
          </cell>
          <cell r="R1702" t="str">
            <v>E349955_01</v>
          </cell>
          <cell r="S1702">
            <v>139</v>
          </cell>
          <cell r="T1702" t="str">
            <v>標準</v>
          </cell>
        </row>
        <row r="1703">
          <cell r="F1703" t="str">
            <v>H0000102538</v>
          </cell>
          <cell r="I1703" t="str">
            <v>フレーム</v>
          </cell>
          <cell r="J1703" t="str">
            <v>S-Frame_WX-10_N_TTTT</v>
          </cell>
          <cell r="K1703" t="str">
            <v>S-フレーム_WX-10_N_TTTT</v>
          </cell>
          <cell r="L1703" t="str">
            <v>S-Frame</v>
          </cell>
          <cell r="M1703" t="str">
            <v>S-フレーム</v>
          </cell>
          <cell r="P1703" t="str">
            <v>31B0</v>
          </cell>
          <cell r="Q1703" t="str">
            <v>SS400</v>
          </cell>
          <cell r="R1703" t="str">
            <v>E353766_01</v>
          </cell>
          <cell r="S1703">
            <v>135</v>
          </cell>
          <cell r="T1703" t="str">
            <v>標準</v>
          </cell>
          <cell r="V1703" t="str">
            <v>RX-10F</v>
          </cell>
        </row>
        <row r="1704">
          <cell r="F1704" t="str">
            <v>H0000102539</v>
          </cell>
          <cell r="I1704" t="str">
            <v>フレーム</v>
          </cell>
          <cell r="J1704" t="str">
            <v>S-Frame_WX-10_N_TTTT</v>
          </cell>
          <cell r="K1704" t="str">
            <v>S-フレーム_WX-10_N_TTTT</v>
          </cell>
          <cell r="L1704" t="str">
            <v>S-Frame</v>
          </cell>
          <cell r="M1704" t="str">
            <v>S-フレーム</v>
          </cell>
          <cell r="P1704" t="str">
            <v>31B0</v>
          </cell>
          <cell r="Q1704" t="str">
            <v>SS400</v>
          </cell>
          <cell r="R1704" t="str">
            <v>E353766_01</v>
          </cell>
          <cell r="S1704">
            <v>135</v>
          </cell>
          <cell r="T1704" t="str">
            <v>標準</v>
          </cell>
          <cell r="V1704" t="str">
            <v>RX-10F</v>
          </cell>
        </row>
        <row r="1705">
          <cell r="F1705" t="str">
            <v>H0000102540</v>
          </cell>
          <cell r="I1705" t="str">
            <v>フレーム</v>
          </cell>
          <cell r="J1705" t="str">
            <v>S-Frame_WX-10_N_TTTT</v>
          </cell>
          <cell r="K1705" t="str">
            <v>S-フレーム_WX-10_N_TTTT</v>
          </cell>
          <cell r="L1705" t="str">
            <v>S-Frame</v>
          </cell>
          <cell r="M1705" t="str">
            <v>S-フレーム</v>
          </cell>
          <cell r="P1705" t="str">
            <v>31B0</v>
          </cell>
          <cell r="Q1705" t="str">
            <v>SS400</v>
          </cell>
          <cell r="R1705" t="str">
            <v>E353766_01</v>
          </cell>
          <cell r="S1705">
            <v>135</v>
          </cell>
          <cell r="T1705" t="str">
            <v>標準</v>
          </cell>
          <cell r="V1705" t="str">
            <v>RX-10F</v>
          </cell>
        </row>
        <row r="1706">
          <cell r="F1706" t="str">
            <v>H0000102541</v>
          </cell>
          <cell r="I1706" t="str">
            <v>フレーム</v>
          </cell>
          <cell r="J1706" t="str">
            <v>S-Frame_WX-10_N_TTTT</v>
          </cell>
          <cell r="K1706" t="str">
            <v>S-フレーム_WX-10_N_TTTT</v>
          </cell>
          <cell r="L1706" t="str">
            <v>S-Frame</v>
          </cell>
          <cell r="M1706" t="str">
            <v>S-フレーム</v>
          </cell>
          <cell r="P1706" t="str">
            <v>31B0</v>
          </cell>
          <cell r="Q1706" t="str">
            <v>SS400</v>
          </cell>
          <cell r="R1706" t="str">
            <v>E353766_01</v>
          </cell>
          <cell r="S1706">
            <v>135</v>
          </cell>
          <cell r="T1706" t="str">
            <v>標準</v>
          </cell>
          <cell r="V1706" t="str">
            <v>RX-10F</v>
          </cell>
        </row>
        <row r="1707">
          <cell r="F1707" t="str">
            <v>H0000102542</v>
          </cell>
          <cell r="I1707" t="str">
            <v>フレーム</v>
          </cell>
          <cell r="J1707" t="str">
            <v>S-Frame_WX-10_N_TKTK</v>
          </cell>
          <cell r="K1707" t="str">
            <v>S-フレーム_WX-10_N_TKTK</v>
          </cell>
          <cell r="L1707" t="str">
            <v>S-Frame</v>
          </cell>
          <cell r="M1707" t="str">
            <v>S-フレーム</v>
          </cell>
          <cell r="P1707" t="str">
            <v>31B0</v>
          </cell>
          <cell r="Q1707" t="str">
            <v>SS400</v>
          </cell>
          <cell r="R1707" t="str">
            <v>E353766_01</v>
          </cell>
          <cell r="S1707">
            <v>135</v>
          </cell>
          <cell r="T1707" t="str">
            <v>標準</v>
          </cell>
          <cell r="V1707" t="str">
            <v>RX-10F</v>
          </cell>
        </row>
        <row r="1708">
          <cell r="F1708" t="str">
            <v>H0000102543</v>
          </cell>
          <cell r="I1708" t="str">
            <v>フレーム</v>
          </cell>
          <cell r="J1708" t="str">
            <v>S-Frame_WX-10_N_TKTK</v>
          </cell>
          <cell r="K1708" t="str">
            <v>S-フレーム_WX-10_N_TKTK</v>
          </cell>
          <cell r="L1708" t="str">
            <v>S-Frame</v>
          </cell>
          <cell r="M1708" t="str">
            <v>S-フレーム</v>
          </cell>
          <cell r="P1708" t="str">
            <v>31B0</v>
          </cell>
          <cell r="Q1708" t="str">
            <v>SS400</v>
          </cell>
          <cell r="R1708" t="str">
            <v>E353766_01</v>
          </cell>
          <cell r="S1708">
            <v>135</v>
          </cell>
          <cell r="T1708" t="str">
            <v>標準</v>
          </cell>
          <cell r="V1708" t="str">
            <v>RX-10F</v>
          </cell>
        </row>
        <row r="1709">
          <cell r="F1709" t="str">
            <v>H0000102544</v>
          </cell>
          <cell r="I1709" t="str">
            <v>フレーム</v>
          </cell>
          <cell r="J1709" t="str">
            <v>S-Frame_WX-10_N_TKTK</v>
          </cell>
          <cell r="K1709" t="str">
            <v>S-フレーム_WX-10_N_TKTK</v>
          </cell>
          <cell r="L1709" t="str">
            <v>S-Frame</v>
          </cell>
          <cell r="M1709" t="str">
            <v>S-フレーム</v>
          </cell>
          <cell r="P1709" t="str">
            <v>31B0</v>
          </cell>
          <cell r="Q1709" t="str">
            <v>SS400</v>
          </cell>
          <cell r="R1709" t="str">
            <v>E353766_01</v>
          </cell>
          <cell r="S1709">
            <v>135</v>
          </cell>
          <cell r="T1709" t="str">
            <v>標準</v>
          </cell>
          <cell r="V1709" t="str">
            <v>RX-10F</v>
          </cell>
        </row>
        <row r="1710">
          <cell r="F1710" t="str">
            <v>H0000102545</v>
          </cell>
          <cell r="I1710" t="str">
            <v>フレーム</v>
          </cell>
          <cell r="J1710" t="str">
            <v>S-Frame_WX-10_N_TKTK</v>
          </cell>
          <cell r="K1710" t="str">
            <v>S-フレーム_WX-10_N_TKTK</v>
          </cell>
          <cell r="L1710" t="str">
            <v>S-Frame</v>
          </cell>
          <cell r="M1710" t="str">
            <v>S-フレーム</v>
          </cell>
          <cell r="P1710" t="str">
            <v>31B0</v>
          </cell>
          <cell r="Q1710" t="str">
            <v>SS400</v>
          </cell>
          <cell r="R1710" t="str">
            <v>E353766_01</v>
          </cell>
          <cell r="S1710">
            <v>135</v>
          </cell>
          <cell r="T1710" t="str">
            <v>標準</v>
          </cell>
          <cell r="V1710" t="str">
            <v>RX-10F</v>
          </cell>
        </row>
        <row r="1711">
          <cell r="F1711" t="str">
            <v>H0000102546</v>
          </cell>
          <cell r="I1711" t="str">
            <v>フレーム</v>
          </cell>
          <cell r="J1711" t="str">
            <v>S-Frame_WX-10_N_KTKT</v>
          </cell>
          <cell r="K1711" t="str">
            <v>S-フレーム_WX-10_N_KTKT</v>
          </cell>
          <cell r="L1711" t="str">
            <v>S-Frame</v>
          </cell>
          <cell r="M1711" t="str">
            <v>S-フレーム</v>
          </cell>
          <cell r="P1711" t="str">
            <v>31B0</v>
          </cell>
          <cell r="Q1711" t="str">
            <v>SS400</v>
          </cell>
          <cell r="R1711" t="str">
            <v>E353766_01</v>
          </cell>
          <cell r="S1711">
            <v>135</v>
          </cell>
          <cell r="T1711" t="str">
            <v>標準</v>
          </cell>
          <cell r="V1711" t="str">
            <v>RX-10F</v>
          </cell>
        </row>
        <row r="1712">
          <cell r="F1712" t="str">
            <v>H0000102547</v>
          </cell>
          <cell r="I1712" t="str">
            <v>フレーム</v>
          </cell>
          <cell r="J1712" t="str">
            <v>S-Frame_WX-10_N_KTKT</v>
          </cell>
          <cell r="K1712" t="str">
            <v>S-フレーム_WX-10_N_KTKT</v>
          </cell>
          <cell r="L1712" t="str">
            <v>S-Frame</v>
          </cell>
          <cell r="M1712" t="str">
            <v>S-フレーム</v>
          </cell>
          <cell r="P1712" t="str">
            <v>31B0</v>
          </cell>
          <cell r="Q1712" t="str">
            <v>SS400</v>
          </cell>
          <cell r="R1712" t="str">
            <v>E353766_01</v>
          </cell>
          <cell r="S1712">
            <v>135</v>
          </cell>
          <cell r="T1712" t="str">
            <v>標準</v>
          </cell>
          <cell r="V1712" t="str">
            <v>RX-10F</v>
          </cell>
        </row>
        <row r="1713">
          <cell r="F1713" t="str">
            <v>H0000102548</v>
          </cell>
          <cell r="I1713" t="str">
            <v>フレーム</v>
          </cell>
          <cell r="J1713" t="str">
            <v>S-Frame_WX-10_N_KTKT</v>
          </cell>
          <cell r="K1713" t="str">
            <v>S-フレーム_WX-10_N_KTKT</v>
          </cell>
          <cell r="L1713" t="str">
            <v>S-Frame</v>
          </cell>
          <cell r="M1713" t="str">
            <v>S-フレーム</v>
          </cell>
          <cell r="P1713" t="str">
            <v>31B0</v>
          </cell>
          <cell r="Q1713" t="str">
            <v>SS400</v>
          </cell>
          <cell r="R1713" t="str">
            <v>E353766_01</v>
          </cell>
          <cell r="S1713">
            <v>135</v>
          </cell>
          <cell r="T1713" t="str">
            <v>標準</v>
          </cell>
          <cell r="V1713" t="str">
            <v>RX-10F</v>
          </cell>
        </row>
        <row r="1714">
          <cell r="F1714" t="str">
            <v>H0000102549</v>
          </cell>
          <cell r="I1714" t="str">
            <v>フレーム</v>
          </cell>
          <cell r="J1714" t="str">
            <v>S-Frame_WX-10_N_KTKT</v>
          </cell>
          <cell r="K1714" t="str">
            <v>S-フレーム_WX-10_N_KTKT</v>
          </cell>
          <cell r="L1714" t="str">
            <v>S-Frame</v>
          </cell>
          <cell r="M1714" t="str">
            <v>S-フレーム</v>
          </cell>
          <cell r="P1714" t="str">
            <v>31B0</v>
          </cell>
          <cell r="Q1714" t="str">
            <v>SS400</v>
          </cell>
          <cell r="R1714" t="str">
            <v>E353766_01</v>
          </cell>
          <cell r="S1714">
            <v>135</v>
          </cell>
          <cell r="T1714" t="str">
            <v>標準</v>
          </cell>
          <cell r="V1714" t="str">
            <v>RX-10F</v>
          </cell>
        </row>
        <row r="1715">
          <cell r="F1715" t="str">
            <v>H0000102550</v>
          </cell>
          <cell r="I1715" t="str">
            <v>フレーム</v>
          </cell>
          <cell r="J1715" t="str">
            <v>S-Frame_WX-10_N_KKKK</v>
          </cell>
          <cell r="K1715" t="str">
            <v>S-フレーム_WX-10_N_KKKK</v>
          </cell>
          <cell r="L1715" t="str">
            <v>S-Frame</v>
          </cell>
          <cell r="M1715" t="str">
            <v>S-フレーム</v>
          </cell>
          <cell r="P1715" t="str">
            <v>31B0</v>
          </cell>
          <cell r="Q1715" t="str">
            <v>SS400</v>
          </cell>
          <cell r="R1715" t="str">
            <v>E353766_01</v>
          </cell>
          <cell r="S1715">
            <v>135</v>
          </cell>
          <cell r="T1715" t="str">
            <v>標準</v>
          </cell>
          <cell r="V1715" t="str">
            <v>RX-10F</v>
          </cell>
        </row>
        <row r="1716">
          <cell r="F1716" t="str">
            <v>H0000102551</v>
          </cell>
          <cell r="I1716" t="str">
            <v>フレーム</v>
          </cell>
          <cell r="J1716" t="str">
            <v>S-Frame_WX-10_N_KKKK</v>
          </cell>
          <cell r="K1716" t="str">
            <v>S-フレーム_WX-10_N_KKKK</v>
          </cell>
          <cell r="L1716" t="str">
            <v>S-Frame</v>
          </cell>
          <cell r="M1716" t="str">
            <v>S-フレーム</v>
          </cell>
          <cell r="P1716" t="str">
            <v>31B0</v>
          </cell>
          <cell r="Q1716" t="str">
            <v>SS400</v>
          </cell>
          <cell r="R1716" t="str">
            <v>E353766_01</v>
          </cell>
          <cell r="S1716">
            <v>135</v>
          </cell>
          <cell r="T1716" t="str">
            <v>標準</v>
          </cell>
          <cell r="V1716" t="str">
            <v>RX-10F</v>
          </cell>
        </row>
        <row r="1717">
          <cell r="F1717" t="str">
            <v>H0000102552</v>
          </cell>
          <cell r="I1717" t="str">
            <v>フレーム</v>
          </cell>
          <cell r="J1717" t="str">
            <v>S-Frame_WX-10_N_KKKK</v>
          </cell>
          <cell r="K1717" t="str">
            <v>S-フレーム_WX-10_N_KKKK</v>
          </cell>
          <cell r="L1717" t="str">
            <v>S-Frame</v>
          </cell>
          <cell r="M1717" t="str">
            <v>S-フレーム</v>
          </cell>
          <cell r="P1717" t="str">
            <v>31B0</v>
          </cell>
          <cell r="Q1717" t="str">
            <v>SS400</v>
          </cell>
          <cell r="R1717" t="str">
            <v>E353766_01</v>
          </cell>
          <cell r="S1717">
            <v>135</v>
          </cell>
          <cell r="T1717" t="str">
            <v>標準</v>
          </cell>
          <cell r="V1717" t="str">
            <v>RX-10F</v>
          </cell>
        </row>
        <row r="1718">
          <cell r="F1718" t="str">
            <v>H0000102553</v>
          </cell>
          <cell r="I1718" t="str">
            <v>フレーム</v>
          </cell>
          <cell r="J1718" t="str">
            <v>S-Frame_WX-10_N_KKKK</v>
          </cell>
          <cell r="K1718" t="str">
            <v>S-フレーム_WX-10_N_KKKK</v>
          </cell>
          <cell r="L1718" t="str">
            <v>S-Frame</v>
          </cell>
          <cell r="M1718" t="str">
            <v>S-フレーム</v>
          </cell>
          <cell r="P1718" t="str">
            <v>31B0</v>
          </cell>
          <cell r="Q1718" t="str">
            <v>SS400</v>
          </cell>
          <cell r="R1718" t="str">
            <v>E353766_01</v>
          </cell>
          <cell r="S1718">
            <v>135</v>
          </cell>
          <cell r="T1718" t="str">
            <v>標準</v>
          </cell>
          <cell r="V1718" t="str">
            <v>RX-10F</v>
          </cell>
        </row>
        <row r="1719">
          <cell r="F1719" t="str">
            <v>H0000102554</v>
          </cell>
          <cell r="I1719" t="str">
            <v>フレーム</v>
          </cell>
          <cell r="J1719" t="str">
            <v>S-Frame_WX-10_H_TTTT</v>
          </cell>
          <cell r="K1719" t="str">
            <v>S-フレーム_WX-10_H_TTTT</v>
          </cell>
          <cell r="L1719" t="str">
            <v>S-Frame</v>
          </cell>
          <cell r="M1719" t="str">
            <v>S-フレーム</v>
          </cell>
          <cell r="P1719" t="str">
            <v>31B0</v>
          </cell>
          <cell r="Q1719" t="str">
            <v>SS400</v>
          </cell>
          <cell r="R1719" t="str">
            <v>E353766_01</v>
          </cell>
          <cell r="S1719">
            <v>169</v>
          </cell>
          <cell r="T1719" t="str">
            <v>標準</v>
          </cell>
          <cell r="V1719" t="str">
            <v>RX-10F</v>
          </cell>
        </row>
        <row r="1720">
          <cell r="F1720" t="str">
            <v>H0000102555</v>
          </cell>
          <cell r="I1720" t="str">
            <v>フレーム</v>
          </cell>
          <cell r="J1720" t="str">
            <v>S-Frame_WX-10_H_TTTT</v>
          </cell>
          <cell r="K1720" t="str">
            <v>S-フレーム_WX-10_H_TTTT</v>
          </cell>
          <cell r="L1720" t="str">
            <v>S-Frame</v>
          </cell>
          <cell r="M1720" t="str">
            <v>S-フレーム</v>
          </cell>
          <cell r="P1720" t="str">
            <v>31B0</v>
          </cell>
          <cell r="Q1720" t="str">
            <v>SS400</v>
          </cell>
          <cell r="R1720" t="str">
            <v>E353766_01</v>
          </cell>
          <cell r="S1720">
            <v>169</v>
          </cell>
          <cell r="T1720" t="str">
            <v>標準</v>
          </cell>
          <cell r="V1720" t="str">
            <v>RX-10F</v>
          </cell>
        </row>
        <row r="1721">
          <cell r="F1721" t="str">
            <v>H0000102556</v>
          </cell>
          <cell r="I1721" t="str">
            <v>フレーム</v>
          </cell>
          <cell r="J1721" t="str">
            <v>S-Frame_WX-10_H_TTTT</v>
          </cell>
          <cell r="K1721" t="str">
            <v>S-フレーム_WX-10_H_TTTT</v>
          </cell>
          <cell r="L1721" t="str">
            <v>S-Frame</v>
          </cell>
          <cell r="M1721" t="str">
            <v>S-フレーム</v>
          </cell>
          <cell r="P1721" t="str">
            <v>31B0</v>
          </cell>
          <cell r="Q1721" t="str">
            <v>SS400</v>
          </cell>
          <cell r="R1721" t="str">
            <v>E353766_01</v>
          </cell>
          <cell r="S1721">
            <v>169</v>
          </cell>
          <cell r="T1721" t="str">
            <v>標準</v>
          </cell>
          <cell r="V1721" t="str">
            <v>RX-10F</v>
          </cell>
        </row>
        <row r="1722">
          <cell r="F1722" t="str">
            <v>H0000102557</v>
          </cell>
          <cell r="I1722" t="str">
            <v>フレーム</v>
          </cell>
          <cell r="J1722" t="str">
            <v>S-Frame_WX-10_H_TTTT</v>
          </cell>
          <cell r="K1722" t="str">
            <v>S-フレーム_WX-10_H_TTTT</v>
          </cell>
          <cell r="L1722" t="str">
            <v>S-Frame</v>
          </cell>
          <cell r="M1722" t="str">
            <v>S-フレーム</v>
          </cell>
          <cell r="P1722" t="str">
            <v>31B0</v>
          </cell>
          <cell r="Q1722" t="str">
            <v>SS400</v>
          </cell>
          <cell r="R1722" t="str">
            <v>E353766_01</v>
          </cell>
          <cell r="S1722">
            <v>169</v>
          </cell>
          <cell r="T1722" t="str">
            <v>標準</v>
          </cell>
          <cell r="V1722" t="str">
            <v>RX-10F</v>
          </cell>
        </row>
        <row r="1723">
          <cell r="F1723" t="str">
            <v>H0000102558</v>
          </cell>
          <cell r="I1723" t="str">
            <v>フレーム</v>
          </cell>
          <cell r="J1723" t="str">
            <v>S-Frame_WX-10_H_TKTK</v>
          </cell>
          <cell r="K1723" t="str">
            <v>S-フレーム_WX-10_H_TKTK</v>
          </cell>
          <cell r="L1723" t="str">
            <v>S-Frame</v>
          </cell>
          <cell r="M1723" t="str">
            <v>S-フレーム</v>
          </cell>
          <cell r="P1723" t="str">
            <v>31B0</v>
          </cell>
          <cell r="Q1723" t="str">
            <v>SS400</v>
          </cell>
          <cell r="R1723" t="str">
            <v>E353766_01</v>
          </cell>
          <cell r="S1723">
            <v>169</v>
          </cell>
          <cell r="T1723" t="str">
            <v>標準</v>
          </cell>
          <cell r="V1723" t="str">
            <v>RX-10F</v>
          </cell>
        </row>
        <row r="1724">
          <cell r="F1724" t="str">
            <v>H0000102559</v>
          </cell>
          <cell r="I1724" t="str">
            <v>フレーム</v>
          </cell>
          <cell r="J1724" t="str">
            <v>S-Frame_WX-10_H_TKTK</v>
          </cell>
          <cell r="K1724" t="str">
            <v>S-フレーム_WX-10_H_TKTK</v>
          </cell>
          <cell r="L1724" t="str">
            <v>S-Frame</v>
          </cell>
          <cell r="M1724" t="str">
            <v>S-フレーム</v>
          </cell>
          <cell r="P1724" t="str">
            <v>31B0</v>
          </cell>
          <cell r="Q1724" t="str">
            <v>SS400</v>
          </cell>
          <cell r="R1724" t="str">
            <v>E353766_01</v>
          </cell>
          <cell r="S1724">
            <v>169</v>
          </cell>
          <cell r="T1724" t="str">
            <v>標準</v>
          </cell>
          <cell r="V1724" t="str">
            <v>RX-10F</v>
          </cell>
        </row>
        <row r="1725">
          <cell r="F1725" t="str">
            <v>H0000102560</v>
          </cell>
          <cell r="I1725" t="str">
            <v>フレーム</v>
          </cell>
          <cell r="J1725" t="str">
            <v>S-Frame_WX-10_H_TKTK</v>
          </cell>
          <cell r="K1725" t="str">
            <v>S-フレーム_WX-10_H_TKTK</v>
          </cell>
          <cell r="L1725" t="str">
            <v>S-Frame</v>
          </cell>
          <cell r="M1725" t="str">
            <v>S-フレーム</v>
          </cell>
          <cell r="P1725" t="str">
            <v>31B0</v>
          </cell>
          <cell r="Q1725" t="str">
            <v>SS400</v>
          </cell>
          <cell r="R1725" t="str">
            <v>E353766_01</v>
          </cell>
          <cell r="S1725">
            <v>169</v>
          </cell>
          <cell r="T1725" t="str">
            <v>標準</v>
          </cell>
          <cell r="V1725" t="str">
            <v>RX-10F</v>
          </cell>
        </row>
        <row r="1726">
          <cell r="F1726" t="str">
            <v>H0000102561</v>
          </cell>
          <cell r="I1726" t="str">
            <v>フレーム</v>
          </cell>
          <cell r="J1726" t="str">
            <v>S-Frame_WX-10_H_TKTK</v>
          </cell>
          <cell r="K1726" t="str">
            <v>S-フレーム_WX-10_H_TKTK</v>
          </cell>
          <cell r="L1726" t="str">
            <v>S-Frame</v>
          </cell>
          <cell r="M1726" t="str">
            <v>S-フレーム</v>
          </cell>
          <cell r="P1726" t="str">
            <v>31B0</v>
          </cell>
          <cell r="Q1726" t="str">
            <v>SS400</v>
          </cell>
          <cell r="R1726" t="str">
            <v>E353766_01</v>
          </cell>
          <cell r="S1726">
            <v>169</v>
          </cell>
          <cell r="T1726" t="str">
            <v>標準</v>
          </cell>
          <cell r="V1726" t="str">
            <v>RX-10F</v>
          </cell>
        </row>
        <row r="1727">
          <cell r="F1727" t="str">
            <v>H0000102562</v>
          </cell>
          <cell r="I1727" t="str">
            <v>フレーム</v>
          </cell>
          <cell r="J1727" t="str">
            <v>S-Frame_WX-10_H_KTKT</v>
          </cell>
          <cell r="K1727" t="str">
            <v>S-フレーム_WX-10_H_KTKT</v>
          </cell>
          <cell r="L1727" t="str">
            <v>S-Frame</v>
          </cell>
          <cell r="M1727" t="str">
            <v>S-フレーム</v>
          </cell>
          <cell r="P1727" t="str">
            <v>31B0</v>
          </cell>
          <cell r="Q1727" t="str">
            <v>SS400</v>
          </cell>
          <cell r="R1727" t="str">
            <v>E353766_01</v>
          </cell>
          <cell r="S1727">
            <v>169</v>
          </cell>
          <cell r="T1727" t="str">
            <v>標準</v>
          </cell>
          <cell r="V1727" t="str">
            <v>RX-10F</v>
          </cell>
        </row>
        <row r="1728">
          <cell r="F1728" t="str">
            <v>H0000102563</v>
          </cell>
          <cell r="I1728" t="str">
            <v>フレーム</v>
          </cell>
          <cell r="J1728" t="str">
            <v>S-Frame_WX-10_H_KTKT</v>
          </cell>
          <cell r="K1728" t="str">
            <v>S-フレーム_WX-10_H_KTKT</v>
          </cell>
          <cell r="L1728" t="str">
            <v>S-Frame</v>
          </cell>
          <cell r="M1728" t="str">
            <v>S-フレーム</v>
          </cell>
          <cell r="P1728" t="str">
            <v>31B0</v>
          </cell>
          <cell r="Q1728" t="str">
            <v>SS400</v>
          </cell>
          <cell r="R1728" t="str">
            <v>E353766_01</v>
          </cell>
          <cell r="S1728">
            <v>169</v>
          </cell>
          <cell r="T1728" t="str">
            <v>標準</v>
          </cell>
          <cell r="V1728" t="str">
            <v>RX-10F</v>
          </cell>
        </row>
        <row r="1729">
          <cell r="F1729" t="str">
            <v>H0000102564</v>
          </cell>
          <cell r="I1729" t="str">
            <v>フレーム</v>
          </cell>
          <cell r="J1729" t="str">
            <v>S-Frame_WX-10_H_KTKT</v>
          </cell>
          <cell r="K1729" t="str">
            <v>S-フレーム_WX-10_H_KTKT</v>
          </cell>
          <cell r="L1729" t="str">
            <v>S-Frame</v>
          </cell>
          <cell r="M1729" t="str">
            <v>S-フレーム</v>
          </cell>
          <cell r="P1729" t="str">
            <v>31B0</v>
          </cell>
          <cell r="Q1729" t="str">
            <v>SS400</v>
          </cell>
          <cell r="R1729" t="str">
            <v>E353766_01</v>
          </cell>
          <cell r="S1729">
            <v>169</v>
          </cell>
          <cell r="T1729" t="str">
            <v>標準</v>
          </cell>
          <cell r="V1729" t="str">
            <v>RX-10F</v>
          </cell>
        </row>
        <row r="1730">
          <cell r="F1730" t="str">
            <v>H0000102565</v>
          </cell>
          <cell r="I1730" t="str">
            <v>フレーム</v>
          </cell>
          <cell r="J1730" t="str">
            <v>S-Frame_WX-10_H_KTKT</v>
          </cell>
          <cell r="K1730" t="str">
            <v>S-フレーム_WX-10_H_KTKT</v>
          </cell>
          <cell r="L1730" t="str">
            <v>S-Frame</v>
          </cell>
          <cell r="M1730" t="str">
            <v>S-フレーム</v>
          </cell>
          <cell r="P1730" t="str">
            <v>31B0</v>
          </cell>
          <cell r="Q1730" t="str">
            <v>SS400</v>
          </cell>
          <cell r="R1730" t="str">
            <v>E353766_01</v>
          </cell>
          <cell r="S1730">
            <v>169</v>
          </cell>
          <cell r="T1730" t="str">
            <v>標準</v>
          </cell>
          <cell r="V1730" t="str">
            <v>RX-10F</v>
          </cell>
        </row>
        <row r="1731">
          <cell r="F1731" t="str">
            <v>H0000102566</v>
          </cell>
          <cell r="I1731" t="str">
            <v>フレーム</v>
          </cell>
          <cell r="J1731" t="str">
            <v>S-Frame_WX-10_H_KKKK</v>
          </cell>
          <cell r="K1731" t="str">
            <v>S-フレーム_WX-10_H_KKKK</v>
          </cell>
          <cell r="L1731" t="str">
            <v>S-Frame</v>
          </cell>
          <cell r="M1731" t="str">
            <v>S-フレーム</v>
          </cell>
          <cell r="P1731" t="str">
            <v>31B0</v>
          </cell>
          <cell r="Q1731" t="str">
            <v>SS400</v>
          </cell>
          <cell r="R1731" t="str">
            <v>E353766_01</v>
          </cell>
          <cell r="S1731">
            <v>169</v>
          </cell>
          <cell r="T1731" t="str">
            <v>標準</v>
          </cell>
          <cell r="V1731" t="str">
            <v>RX-10F</v>
          </cell>
        </row>
        <row r="1732">
          <cell r="F1732" t="str">
            <v>H0000102567</v>
          </cell>
          <cell r="I1732" t="str">
            <v>フレーム</v>
          </cell>
          <cell r="J1732" t="str">
            <v>S-Frame_WX-10_H_KKKK</v>
          </cell>
          <cell r="K1732" t="str">
            <v>S-フレーム_WX-10_H_KKKK</v>
          </cell>
          <cell r="L1732" t="str">
            <v>S-Frame</v>
          </cell>
          <cell r="M1732" t="str">
            <v>S-フレーム</v>
          </cell>
          <cell r="P1732" t="str">
            <v>31B0</v>
          </cell>
          <cell r="Q1732" t="str">
            <v>SS400</v>
          </cell>
          <cell r="R1732" t="str">
            <v>E353766_01</v>
          </cell>
          <cell r="S1732">
            <v>169</v>
          </cell>
          <cell r="T1732" t="str">
            <v>標準</v>
          </cell>
          <cell r="V1732" t="str">
            <v>RX-10F</v>
          </cell>
        </row>
        <row r="1733">
          <cell r="F1733" t="str">
            <v>H0000102568</v>
          </cell>
          <cell r="I1733" t="str">
            <v>フレーム</v>
          </cell>
          <cell r="J1733" t="str">
            <v>S-Frame_WX-10_H_KKKK</v>
          </cell>
          <cell r="K1733" t="str">
            <v>S-フレーム_WX-10_H_KKKK</v>
          </cell>
          <cell r="L1733" t="str">
            <v>S-Frame</v>
          </cell>
          <cell r="M1733" t="str">
            <v>S-フレーム</v>
          </cell>
          <cell r="P1733" t="str">
            <v>31B0</v>
          </cell>
          <cell r="Q1733" t="str">
            <v>SS400</v>
          </cell>
          <cell r="R1733" t="str">
            <v>E353766_01</v>
          </cell>
          <cell r="S1733">
            <v>169</v>
          </cell>
          <cell r="T1733" t="str">
            <v>標準</v>
          </cell>
          <cell r="V1733" t="str">
            <v>RX-10F</v>
          </cell>
        </row>
        <row r="1734">
          <cell r="F1734" t="str">
            <v>H0000102569</v>
          </cell>
          <cell r="I1734" t="str">
            <v>フレーム</v>
          </cell>
          <cell r="J1734" t="str">
            <v>S-Frame_WX-10_H_KKKK</v>
          </cell>
          <cell r="K1734" t="str">
            <v>S-フレーム_WX-10_H_KKKK</v>
          </cell>
          <cell r="L1734" t="str">
            <v>S-Frame</v>
          </cell>
          <cell r="M1734" t="str">
            <v>S-フレーム</v>
          </cell>
          <cell r="P1734" t="str">
            <v>31B0</v>
          </cell>
          <cell r="Q1734" t="str">
            <v>SS400</v>
          </cell>
          <cell r="R1734" t="str">
            <v>E353766_01</v>
          </cell>
          <cell r="S1734">
            <v>169</v>
          </cell>
          <cell r="T1734" t="str">
            <v>標準</v>
          </cell>
          <cell r="V1734" t="str">
            <v>RX-10F</v>
          </cell>
        </row>
        <row r="1735">
          <cell r="F1735" t="str">
            <v>H0000102570</v>
          </cell>
          <cell r="I1735" t="str">
            <v>フレーム</v>
          </cell>
          <cell r="J1735" t="str">
            <v>S-Frame_GasCutting_WX-10_N_1234</v>
          </cell>
          <cell r="K1735" t="str">
            <v>S-フレーム_ガス溶断_WX-10_N_1234</v>
          </cell>
          <cell r="L1735" t="str">
            <v>S-Frame</v>
          </cell>
          <cell r="M1735" t="str">
            <v>S-フレーム</v>
          </cell>
          <cell r="N1735" t="str">
            <v>GasCutting</v>
          </cell>
          <cell r="O1735" t="str">
            <v>ガス溶断</v>
          </cell>
          <cell r="P1735" t="str">
            <v>31B0</v>
          </cell>
          <cell r="Q1735" t="str">
            <v>SS400</v>
          </cell>
          <cell r="R1735" t="str">
            <v>E353766_01</v>
          </cell>
          <cell r="S1735">
            <v>135</v>
          </cell>
          <cell r="T1735" t="str">
            <v>標準</v>
          </cell>
          <cell r="V1735" t="str">
            <v>RX-10F</v>
          </cell>
        </row>
        <row r="1736">
          <cell r="F1736" t="str">
            <v>H0000102571</v>
          </cell>
          <cell r="I1736" t="str">
            <v>フレーム</v>
          </cell>
          <cell r="J1736" t="str">
            <v>S-Frame_GasCutting_WX-10_H_1234</v>
          </cell>
          <cell r="K1736" t="str">
            <v>S-フレーム_ガス溶断_WX-10_H_1234</v>
          </cell>
          <cell r="L1736" t="str">
            <v>S-Frame</v>
          </cell>
          <cell r="M1736" t="str">
            <v>S-フレーム</v>
          </cell>
          <cell r="N1736" t="str">
            <v>GasCutting</v>
          </cell>
          <cell r="O1736" t="str">
            <v>ガス溶断</v>
          </cell>
          <cell r="P1736" t="str">
            <v>31B0</v>
          </cell>
          <cell r="Q1736" t="str">
            <v>SS400</v>
          </cell>
          <cell r="R1736" t="str">
            <v>E353766_01</v>
          </cell>
          <cell r="S1736">
            <v>169</v>
          </cell>
          <cell r="T1736" t="str">
            <v>標準</v>
          </cell>
          <cell r="V1736" t="str">
            <v>RX-10F</v>
          </cell>
        </row>
        <row r="1737">
          <cell r="F1737" t="str">
            <v>H0000102572</v>
          </cell>
          <cell r="I1737" t="str">
            <v>フレーム</v>
          </cell>
          <cell r="J1737" t="str">
            <v>S-Frame_WX-10_N_TTTT</v>
          </cell>
          <cell r="K1737" t="str">
            <v>S-フレーム_WX-10_N_TTTT</v>
          </cell>
          <cell r="L1737" t="str">
            <v>S-Frame</v>
          </cell>
          <cell r="M1737" t="str">
            <v>S-フレーム</v>
          </cell>
          <cell r="P1737" t="str">
            <v>31B0</v>
          </cell>
          <cell r="Q1737" t="str">
            <v>SS400</v>
          </cell>
          <cell r="R1737" t="str">
            <v>E353768_01</v>
          </cell>
          <cell r="S1737">
            <v>135</v>
          </cell>
          <cell r="T1737" t="str">
            <v>標準</v>
          </cell>
          <cell r="V1737" t="str">
            <v>RX-10F</v>
          </cell>
        </row>
        <row r="1738">
          <cell r="F1738" t="str">
            <v>H0000102573</v>
          </cell>
          <cell r="I1738" t="str">
            <v>フレーム</v>
          </cell>
          <cell r="J1738" t="str">
            <v>S-Frame_WX-10_N_TTTT</v>
          </cell>
          <cell r="K1738" t="str">
            <v>S-フレーム_WX-10_N_TTTT</v>
          </cell>
          <cell r="L1738" t="str">
            <v>S-Frame</v>
          </cell>
          <cell r="M1738" t="str">
            <v>S-フレーム</v>
          </cell>
          <cell r="P1738" t="str">
            <v>31B0</v>
          </cell>
          <cell r="Q1738" t="str">
            <v>SS400</v>
          </cell>
          <cell r="R1738" t="str">
            <v>E353768_01</v>
          </cell>
          <cell r="S1738">
            <v>135</v>
          </cell>
          <cell r="T1738" t="str">
            <v>標準</v>
          </cell>
          <cell r="V1738" t="str">
            <v>RX-10F</v>
          </cell>
        </row>
        <row r="1739">
          <cell r="F1739" t="str">
            <v>H0000102574</v>
          </cell>
          <cell r="I1739" t="str">
            <v>フレーム</v>
          </cell>
          <cell r="J1739" t="str">
            <v>S-Frame_WX-10_N_TTTT</v>
          </cell>
          <cell r="K1739" t="str">
            <v>S-フレーム_WX-10_N_TTTT</v>
          </cell>
          <cell r="L1739" t="str">
            <v>S-Frame</v>
          </cell>
          <cell r="M1739" t="str">
            <v>S-フレーム</v>
          </cell>
          <cell r="P1739" t="str">
            <v>31B0</v>
          </cell>
          <cell r="Q1739" t="str">
            <v>SS400</v>
          </cell>
          <cell r="R1739" t="str">
            <v>E353768_01</v>
          </cell>
          <cell r="S1739">
            <v>135</v>
          </cell>
          <cell r="T1739" t="str">
            <v>標準</v>
          </cell>
          <cell r="V1739" t="str">
            <v>RX-10F</v>
          </cell>
        </row>
        <row r="1740">
          <cell r="F1740" t="str">
            <v>H0000102575</v>
          </cell>
          <cell r="I1740" t="str">
            <v>フレーム</v>
          </cell>
          <cell r="J1740" t="str">
            <v>S-Frame_WX-10_N_TTTT</v>
          </cell>
          <cell r="K1740" t="str">
            <v>S-フレーム_WX-10_N_TTTT</v>
          </cell>
          <cell r="L1740" t="str">
            <v>S-Frame</v>
          </cell>
          <cell r="M1740" t="str">
            <v>S-フレーム</v>
          </cell>
          <cell r="P1740" t="str">
            <v>31B0</v>
          </cell>
          <cell r="Q1740" t="str">
            <v>SS400</v>
          </cell>
          <cell r="R1740" t="str">
            <v>E353768_01</v>
          </cell>
          <cell r="S1740">
            <v>135</v>
          </cell>
          <cell r="T1740" t="str">
            <v>標準</v>
          </cell>
          <cell r="V1740" t="str">
            <v>RX-10F</v>
          </cell>
        </row>
        <row r="1741">
          <cell r="F1741" t="str">
            <v>H0000102576</v>
          </cell>
          <cell r="I1741" t="str">
            <v>フレーム</v>
          </cell>
          <cell r="J1741" t="str">
            <v>S-Frame_WX-10_N_TKTK</v>
          </cell>
          <cell r="K1741" t="str">
            <v>S-フレーム_WX-10_N_TKTK</v>
          </cell>
          <cell r="L1741" t="str">
            <v>S-Frame</v>
          </cell>
          <cell r="M1741" t="str">
            <v>S-フレーム</v>
          </cell>
          <cell r="P1741" t="str">
            <v>31B0</v>
          </cell>
          <cell r="Q1741" t="str">
            <v>SS400</v>
          </cell>
          <cell r="R1741" t="str">
            <v>E353768_01</v>
          </cell>
          <cell r="S1741">
            <v>135</v>
          </cell>
          <cell r="T1741" t="str">
            <v>標準</v>
          </cell>
          <cell r="V1741" t="str">
            <v>RX-10F</v>
          </cell>
        </row>
        <row r="1742">
          <cell r="F1742" t="str">
            <v>H0000102577</v>
          </cell>
          <cell r="I1742" t="str">
            <v>フレーム</v>
          </cell>
          <cell r="J1742" t="str">
            <v>S-Frame_WX-10_N_TKTK</v>
          </cell>
          <cell r="K1742" t="str">
            <v>S-フレーム_WX-10_N_TKTK</v>
          </cell>
          <cell r="L1742" t="str">
            <v>S-Frame</v>
          </cell>
          <cell r="M1742" t="str">
            <v>S-フレーム</v>
          </cell>
          <cell r="P1742" t="str">
            <v>31B0</v>
          </cell>
          <cell r="Q1742" t="str">
            <v>SS400</v>
          </cell>
          <cell r="R1742" t="str">
            <v>E353768_01</v>
          </cell>
          <cell r="S1742">
            <v>135</v>
          </cell>
          <cell r="T1742" t="str">
            <v>標準</v>
          </cell>
          <cell r="V1742" t="str">
            <v>RX-10F</v>
          </cell>
        </row>
        <row r="1743">
          <cell r="F1743" t="str">
            <v>H0000102578</v>
          </cell>
          <cell r="I1743" t="str">
            <v>フレーム</v>
          </cell>
          <cell r="J1743" t="str">
            <v>S-Frame_WX-10_N_TKTK</v>
          </cell>
          <cell r="K1743" t="str">
            <v>S-フレーム_WX-10_N_TKTK</v>
          </cell>
          <cell r="L1743" t="str">
            <v>S-Frame</v>
          </cell>
          <cell r="M1743" t="str">
            <v>S-フレーム</v>
          </cell>
          <cell r="P1743" t="str">
            <v>31B0</v>
          </cell>
          <cell r="Q1743" t="str">
            <v>SS400</v>
          </cell>
          <cell r="R1743" t="str">
            <v>E353768_01</v>
          </cell>
          <cell r="S1743">
            <v>135</v>
          </cell>
          <cell r="T1743" t="str">
            <v>標準</v>
          </cell>
          <cell r="V1743" t="str">
            <v>RX-10F</v>
          </cell>
        </row>
        <row r="1744">
          <cell r="F1744" t="str">
            <v>H0000102579</v>
          </cell>
          <cell r="I1744" t="str">
            <v>フレーム</v>
          </cell>
          <cell r="J1744" t="str">
            <v>S-Frame_WX-10_N_TKTK</v>
          </cell>
          <cell r="K1744" t="str">
            <v>S-フレーム_WX-10_N_TKTK</v>
          </cell>
          <cell r="L1744" t="str">
            <v>S-Frame</v>
          </cell>
          <cell r="M1744" t="str">
            <v>S-フレーム</v>
          </cell>
          <cell r="P1744" t="str">
            <v>31B0</v>
          </cell>
          <cell r="Q1744" t="str">
            <v>SS400</v>
          </cell>
          <cell r="R1744" t="str">
            <v>E353768_01</v>
          </cell>
          <cell r="S1744">
            <v>135</v>
          </cell>
          <cell r="T1744" t="str">
            <v>標準</v>
          </cell>
          <cell r="V1744" t="str">
            <v>RX-10F</v>
          </cell>
        </row>
        <row r="1745">
          <cell r="F1745" t="str">
            <v>H0000102580</v>
          </cell>
          <cell r="I1745" t="str">
            <v>フレーム</v>
          </cell>
          <cell r="J1745" t="str">
            <v>S-Frame_WX-10_N_KTKT</v>
          </cell>
          <cell r="K1745" t="str">
            <v>S-フレーム_WX-10_N_KTKT</v>
          </cell>
          <cell r="L1745" t="str">
            <v>S-Frame</v>
          </cell>
          <cell r="M1745" t="str">
            <v>S-フレーム</v>
          </cell>
          <cell r="P1745" t="str">
            <v>31B0</v>
          </cell>
          <cell r="Q1745" t="str">
            <v>SS400</v>
          </cell>
          <cell r="R1745" t="str">
            <v>E353768_01</v>
          </cell>
          <cell r="S1745">
            <v>135</v>
          </cell>
          <cell r="T1745" t="str">
            <v>標準</v>
          </cell>
          <cell r="V1745" t="str">
            <v>RX-10F</v>
          </cell>
        </row>
        <row r="1746">
          <cell r="F1746" t="str">
            <v>H0000102581</v>
          </cell>
          <cell r="I1746" t="str">
            <v>フレーム</v>
          </cell>
          <cell r="J1746" t="str">
            <v>S-Frame_WX-10_N_KTKT</v>
          </cell>
          <cell r="K1746" t="str">
            <v>S-フレーム_WX-10_N_KTKT</v>
          </cell>
          <cell r="L1746" t="str">
            <v>S-Frame</v>
          </cell>
          <cell r="M1746" t="str">
            <v>S-フレーム</v>
          </cell>
          <cell r="P1746" t="str">
            <v>31B0</v>
          </cell>
          <cell r="Q1746" t="str">
            <v>SS400</v>
          </cell>
          <cell r="R1746" t="str">
            <v>E353768_01</v>
          </cell>
          <cell r="S1746">
            <v>135</v>
          </cell>
          <cell r="T1746" t="str">
            <v>標準</v>
          </cell>
          <cell r="V1746" t="str">
            <v>RX-10F</v>
          </cell>
        </row>
        <row r="1747">
          <cell r="F1747" t="str">
            <v>H0000102582</v>
          </cell>
          <cell r="I1747" t="str">
            <v>フレーム</v>
          </cell>
          <cell r="J1747" t="str">
            <v>S-Frame_WX-10_N_KTKT</v>
          </cell>
          <cell r="K1747" t="str">
            <v>S-フレーム_WX-10_N_KTKT</v>
          </cell>
          <cell r="L1747" t="str">
            <v>S-Frame</v>
          </cell>
          <cell r="M1747" t="str">
            <v>S-フレーム</v>
          </cell>
          <cell r="P1747" t="str">
            <v>31B0</v>
          </cell>
          <cell r="Q1747" t="str">
            <v>SS400</v>
          </cell>
          <cell r="R1747" t="str">
            <v>E353768_01</v>
          </cell>
          <cell r="S1747">
            <v>135</v>
          </cell>
          <cell r="T1747" t="str">
            <v>標準</v>
          </cell>
          <cell r="V1747" t="str">
            <v>RX-10F</v>
          </cell>
        </row>
        <row r="1748">
          <cell r="F1748" t="str">
            <v>H0000102583</v>
          </cell>
          <cell r="I1748" t="str">
            <v>フレーム</v>
          </cell>
          <cell r="J1748" t="str">
            <v>S-Frame_WX-10_N_KTKT</v>
          </cell>
          <cell r="K1748" t="str">
            <v>S-フレーム_WX-10_N_KTKT</v>
          </cell>
          <cell r="L1748" t="str">
            <v>S-Frame</v>
          </cell>
          <cell r="M1748" t="str">
            <v>S-フレーム</v>
          </cell>
          <cell r="P1748" t="str">
            <v>31B0</v>
          </cell>
          <cell r="Q1748" t="str">
            <v>SS400</v>
          </cell>
          <cell r="R1748" t="str">
            <v>E353768_01</v>
          </cell>
          <cell r="S1748">
            <v>135</v>
          </cell>
          <cell r="T1748" t="str">
            <v>標準</v>
          </cell>
          <cell r="V1748" t="str">
            <v>RX-10F</v>
          </cell>
        </row>
        <row r="1749">
          <cell r="F1749" t="str">
            <v>H0000102584</v>
          </cell>
          <cell r="I1749" t="str">
            <v>フレーム</v>
          </cell>
          <cell r="J1749" t="str">
            <v>S-Frame_WX-10_N_KKKK</v>
          </cell>
          <cell r="K1749" t="str">
            <v>S-フレーム_WX-10_N_KKKK</v>
          </cell>
          <cell r="L1749" t="str">
            <v>S-Frame</v>
          </cell>
          <cell r="M1749" t="str">
            <v>S-フレーム</v>
          </cell>
          <cell r="P1749" t="str">
            <v>31B0</v>
          </cell>
          <cell r="Q1749" t="str">
            <v>SS400</v>
          </cell>
          <cell r="R1749" t="str">
            <v>E353768_01</v>
          </cell>
          <cell r="S1749">
            <v>135</v>
          </cell>
          <cell r="T1749" t="str">
            <v>標準</v>
          </cell>
          <cell r="V1749" t="str">
            <v>RX-10F</v>
          </cell>
        </row>
        <row r="1750">
          <cell r="F1750" t="str">
            <v>H0000102585</v>
          </cell>
          <cell r="I1750" t="str">
            <v>フレーム</v>
          </cell>
          <cell r="J1750" t="str">
            <v>S-Frame_WX-10_N_KKKK</v>
          </cell>
          <cell r="K1750" t="str">
            <v>S-フレーム_WX-10_N_KKKK</v>
          </cell>
          <cell r="L1750" t="str">
            <v>S-Frame</v>
          </cell>
          <cell r="M1750" t="str">
            <v>S-フレーム</v>
          </cell>
          <cell r="P1750" t="str">
            <v>31B0</v>
          </cell>
          <cell r="Q1750" t="str">
            <v>SS400</v>
          </cell>
          <cell r="R1750" t="str">
            <v>E353768_01</v>
          </cell>
          <cell r="S1750">
            <v>135</v>
          </cell>
          <cell r="T1750" t="str">
            <v>標準</v>
          </cell>
          <cell r="V1750" t="str">
            <v>RX-10F</v>
          </cell>
        </row>
        <row r="1751">
          <cell r="F1751" t="str">
            <v>H0000102586</v>
          </cell>
          <cell r="I1751" t="str">
            <v>フレーム</v>
          </cell>
          <cell r="J1751" t="str">
            <v>S-Frame_WX-10_N_KKKK</v>
          </cell>
          <cell r="K1751" t="str">
            <v>S-フレーム_WX-10_N_KKKK</v>
          </cell>
          <cell r="L1751" t="str">
            <v>S-Frame</v>
          </cell>
          <cell r="M1751" t="str">
            <v>S-フレーム</v>
          </cell>
          <cell r="P1751" t="str">
            <v>31B0</v>
          </cell>
          <cell r="Q1751" t="str">
            <v>SS400</v>
          </cell>
          <cell r="R1751" t="str">
            <v>E353768_01</v>
          </cell>
          <cell r="S1751">
            <v>135</v>
          </cell>
          <cell r="T1751" t="str">
            <v>標準</v>
          </cell>
          <cell r="V1751" t="str">
            <v>RX-10F</v>
          </cell>
        </row>
        <row r="1752">
          <cell r="F1752" t="str">
            <v>H0000102587</v>
          </cell>
          <cell r="I1752" t="str">
            <v>フレーム</v>
          </cell>
          <cell r="J1752" t="str">
            <v>S-Frame_WX-10_N_KKKK</v>
          </cell>
          <cell r="K1752" t="str">
            <v>S-フレーム_WX-10_N_KKKK</v>
          </cell>
          <cell r="L1752" t="str">
            <v>S-Frame</v>
          </cell>
          <cell r="M1752" t="str">
            <v>S-フレーム</v>
          </cell>
          <cell r="P1752" t="str">
            <v>31B0</v>
          </cell>
          <cell r="Q1752" t="str">
            <v>SS400</v>
          </cell>
          <cell r="R1752" t="str">
            <v>E353768_01</v>
          </cell>
          <cell r="S1752">
            <v>135</v>
          </cell>
          <cell r="T1752" t="str">
            <v>標準</v>
          </cell>
          <cell r="V1752" t="str">
            <v>RX-10F</v>
          </cell>
        </row>
        <row r="1753">
          <cell r="F1753" t="str">
            <v>H0000102588</v>
          </cell>
          <cell r="I1753" t="str">
            <v>フレーム</v>
          </cell>
          <cell r="J1753" t="str">
            <v>S-Frame_WX-10_H_TTTT</v>
          </cell>
          <cell r="K1753" t="str">
            <v>S-フレーム_WX-10_H_TTTT</v>
          </cell>
          <cell r="L1753" t="str">
            <v>S-Frame</v>
          </cell>
          <cell r="M1753" t="str">
            <v>S-フレーム</v>
          </cell>
          <cell r="P1753" t="str">
            <v>31B0</v>
          </cell>
          <cell r="Q1753" t="str">
            <v>SS400</v>
          </cell>
          <cell r="R1753" t="str">
            <v>E353768_01</v>
          </cell>
          <cell r="S1753">
            <v>169</v>
          </cell>
          <cell r="T1753" t="str">
            <v>標準</v>
          </cell>
          <cell r="V1753" t="str">
            <v>RX-10F</v>
          </cell>
        </row>
        <row r="1754">
          <cell r="F1754" t="str">
            <v>H0000102589</v>
          </cell>
          <cell r="I1754" t="str">
            <v>フレーム</v>
          </cell>
          <cell r="J1754" t="str">
            <v>S-Frame_WX-10_H_TTTT</v>
          </cell>
          <cell r="K1754" t="str">
            <v>S-フレーム_WX-10_H_TTTT</v>
          </cell>
          <cell r="L1754" t="str">
            <v>S-Frame</v>
          </cell>
          <cell r="M1754" t="str">
            <v>S-フレーム</v>
          </cell>
          <cell r="P1754" t="str">
            <v>31B0</v>
          </cell>
          <cell r="Q1754" t="str">
            <v>SS400</v>
          </cell>
          <cell r="R1754" t="str">
            <v>E353768_01</v>
          </cell>
          <cell r="S1754">
            <v>169</v>
          </cell>
          <cell r="T1754" t="str">
            <v>標準</v>
          </cell>
          <cell r="V1754" t="str">
            <v>RX-10F</v>
          </cell>
        </row>
        <row r="1755">
          <cell r="F1755" t="str">
            <v>H0000102590</v>
          </cell>
          <cell r="I1755" t="str">
            <v>フレーム</v>
          </cell>
          <cell r="J1755" t="str">
            <v>S-Frame_WX-10_H_TTTT</v>
          </cell>
          <cell r="K1755" t="str">
            <v>S-フレーム_WX-10_H_TTTT</v>
          </cell>
          <cell r="L1755" t="str">
            <v>S-Frame</v>
          </cell>
          <cell r="M1755" t="str">
            <v>S-フレーム</v>
          </cell>
          <cell r="P1755" t="str">
            <v>31B0</v>
          </cell>
          <cell r="Q1755" t="str">
            <v>SS400</v>
          </cell>
          <cell r="R1755" t="str">
            <v>E353768_01</v>
          </cell>
          <cell r="S1755">
            <v>169</v>
          </cell>
          <cell r="T1755" t="str">
            <v>標準</v>
          </cell>
          <cell r="V1755" t="str">
            <v>RX-10F</v>
          </cell>
        </row>
        <row r="1756">
          <cell r="F1756" t="str">
            <v>H0000102591</v>
          </cell>
          <cell r="I1756" t="str">
            <v>フレーム</v>
          </cell>
          <cell r="J1756" t="str">
            <v>S-Frame_WX-10_H_TTTT</v>
          </cell>
          <cell r="K1756" t="str">
            <v>S-フレーム_WX-10_H_TTTT</v>
          </cell>
          <cell r="L1756" t="str">
            <v>S-Frame</v>
          </cell>
          <cell r="M1756" t="str">
            <v>S-フレーム</v>
          </cell>
          <cell r="P1756" t="str">
            <v>31B0</v>
          </cell>
          <cell r="Q1756" t="str">
            <v>SS400</v>
          </cell>
          <cell r="R1756" t="str">
            <v>E353768_01</v>
          </cell>
          <cell r="S1756">
            <v>169</v>
          </cell>
          <cell r="T1756" t="str">
            <v>標準</v>
          </cell>
          <cell r="V1756" t="str">
            <v>RX-10F</v>
          </cell>
        </row>
        <row r="1757">
          <cell r="F1757" t="str">
            <v>H0000102592</v>
          </cell>
          <cell r="I1757" t="str">
            <v>フレーム</v>
          </cell>
          <cell r="J1757" t="str">
            <v>S-Frame_WX-10_H_TKTK</v>
          </cell>
          <cell r="K1757" t="str">
            <v>S-フレーム_WX-10_H_TKTK</v>
          </cell>
          <cell r="L1757" t="str">
            <v>S-Frame</v>
          </cell>
          <cell r="M1757" t="str">
            <v>S-フレーム</v>
          </cell>
          <cell r="P1757" t="str">
            <v>31B0</v>
          </cell>
          <cell r="Q1757" t="str">
            <v>SS400</v>
          </cell>
          <cell r="R1757" t="str">
            <v>E353768_01</v>
          </cell>
          <cell r="S1757">
            <v>169</v>
          </cell>
          <cell r="T1757" t="str">
            <v>標準</v>
          </cell>
          <cell r="V1757" t="str">
            <v>RX-10F</v>
          </cell>
        </row>
        <row r="1758">
          <cell r="F1758" t="str">
            <v>H0000102593</v>
          </cell>
          <cell r="I1758" t="str">
            <v>フレーム</v>
          </cell>
          <cell r="J1758" t="str">
            <v>S-Frame_WX-10_H_TKTK</v>
          </cell>
          <cell r="K1758" t="str">
            <v>S-フレーム_WX-10_H_TKTK</v>
          </cell>
          <cell r="L1758" t="str">
            <v>S-Frame</v>
          </cell>
          <cell r="M1758" t="str">
            <v>S-フレーム</v>
          </cell>
          <cell r="P1758" t="str">
            <v>31B0</v>
          </cell>
          <cell r="Q1758" t="str">
            <v>SS400</v>
          </cell>
          <cell r="R1758" t="str">
            <v>E353768_01</v>
          </cell>
          <cell r="S1758">
            <v>169</v>
          </cell>
          <cell r="T1758" t="str">
            <v>標準</v>
          </cell>
          <cell r="V1758" t="str">
            <v>RX-10F</v>
          </cell>
        </row>
        <row r="1759">
          <cell r="F1759" t="str">
            <v>H0000102594</v>
          </cell>
          <cell r="I1759" t="str">
            <v>フレーム</v>
          </cell>
          <cell r="J1759" t="str">
            <v>S-Frame_WX-10_H_TKTK</v>
          </cell>
          <cell r="K1759" t="str">
            <v>S-フレーム_WX-10_H_TKTK</v>
          </cell>
          <cell r="L1759" t="str">
            <v>S-Frame</v>
          </cell>
          <cell r="M1759" t="str">
            <v>S-フレーム</v>
          </cell>
          <cell r="P1759" t="str">
            <v>31B0</v>
          </cell>
          <cell r="Q1759" t="str">
            <v>SS400</v>
          </cell>
          <cell r="R1759" t="str">
            <v>E353768_01</v>
          </cell>
          <cell r="S1759">
            <v>169</v>
          </cell>
          <cell r="T1759" t="str">
            <v>標準</v>
          </cell>
          <cell r="V1759" t="str">
            <v>RX-10F</v>
          </cell>
        </row>
        <row r="1760">
          <cell r="F1760" t="str">
            <v>H0000102595</v>
          </cell>
          <cell r="I1760" t="str">
            <v>フレーム</v>
          </cell>
          <cell r="J1760" t="str">
            <v>S-Frame_WX-10_H_TKTK</v>
          </cell>
          <cell r="K1760" t="str">
            <v>S-フレーム_WX-10_H_TKTK</v>
          </cell>
          <cell r="L1760" t="str">
            <v>S-Frame</v>
          </cell>
          <cell r="M1760" t="str">
            <v>S-フレーム</v>
          </cell>
          <cell r="P1760" t="str">
            <v>31B0</v>
          </cell>
          <cell r="Q1760" t="str">
            <v>SS400</v>
          </cell>
          <cell r="R1760" t="str">
            <v>E353768_01</v>
          </cell>
          <cell r="S1760">
            <v>169</v>
          </cell>
          <cell r="T1760" t="str">
            <v>標準</v>
          </cell>
          <cell r="V1760" t="str">
            <v>RX-10F</v>
          </cell>
        </row>
        <row r="1761">
          <cell r="F1761" t="str">
            <v>H0000102596</v>
          </cell>
          <cell r="I1761" t="str">
            <v>フレーム</v>
          </cell>
          <cell r="J1761" t="str">
            <v>S-Frame_WX-10_H_KTKT</v>
          </cell>
          <cell r="K1761" t="str">
            <v>S-フレーム_WX-10_H_KTKT</v>
          </cell>
          <cell r="L1761" t="str">
            <v>S-Frame</v>
          </cell>
          <cell r="M1761" t="str">
            <v>S-フレーム</v>
          </cell>
          <cell r="P1761" t="str">
            <v>31B0</v>
          </cell>
          <cell r="Q1761" t="str">
            <v>SS400</v>
          </cell>
          <cell r="R1761" t="str">
            <v>E353768_01</v>
          </cell>
          <cell r="S1761">
            <v>169</v>
          </cell>
          <cell r="T1761" t="str">
            <v>標準</v>
          </cell>
          <cell r="V1761" t="str">
            <v>RX-10F</v>
          </cell>
        </row>
        <row r="1762">
          <cell r="F1762" t="str">
            <v>H0000102597</v>
          </cell>
          <cell r="I1762" t="str">
            <v>フレーム</v>
          </cell>
          <cell r="J1762" t="str">
            <v>S-Frame_WX-10_H_KTKT</v>
          </cell>
          <cell r="K1762" t="str">
            <v>S-フレーム_WX-10_H_KTKT</v>
          </cell>
          <cell r="L1762" t="str">
            <v>S-Frame</v>
          </cell>
          <cell r="M1762" t="str">
            <v>S-フレーム</v>
          </cell>
          <cell r="P1762" t="str">
            <v>31B0</v>
          </cell>
          <cell r="Q1762" t="str">
            <v>SS400</v>
          </cell>
          <cell r="R1762" t="str">
            <v>E353768_01</v>
          </cell>
          <cell r="S1762">
            <v>169</v>
          </cell>
          <cell r="T1762" t="str">
            <v>標準</v>
          </cell>
          <cell r="V1762" t="str">
            <v>RX-10F</v>
          </cell>
        </row>
        <row r="1763">
          <cell r="F1763" t="str">
            <v>H0000102598</v>
          </cell>
          <cell r="I1763" t="str">
            <v>フレーム</v>
          </cell>
          <cell r="J1763" t="str">
            <v>S-Frame_WX-10_H_KTKT</v>
          </cell>
          <cell r="K1763" t="str">
            <v>S-フレーム_WX-10_H_KTKT</v>
          </cell>
          <cell r="L1763" t="str">
            <v>S-Frame</v>
          </cell>
          <cell r="M1763" t="str">
            <v>S-フレーム</v>
          </cell>
          <cell r="P1763" t="str">
            <v>31B0</v>
          </cell>
          <cell r="Q1763" t="str">
            <v>SS400</v>
          </cell>
          <cell r="R1763" t="str">
            <v>E353768_01</v>
          </cell>
          <cell r="S1763">
            <v>169</v>
          </cell>
          <cell r="T1763" t="str">
            <v>標準</v>
          </cell>
          <cell r="V1763" t="str">
            <v>RX-10F</v>
          </cell>
        </row>
        <row r="1764">
          <cell r="F1764" t="str">
            <v>H0000102599</v>
          </cell>
          <cell r="I1764" t="str">
            <v>フレーム</v>
          </cell>
          <cell r="J1764" t="str">
            <v>S-Frame_WX-10_H_KTKT</v>
          </cell>
          <cell r="K1764" t="str">
            <v>S-フレーム_WX-10_H_KTKT</v>
          </cell>
          <cell r="L1764" t="str">
            <v>S-Frame</v>
          </cell>
          <cell r="M1764" t="str">
            <v>S-フレーム</v>
          </cell>
          <cell r="P1764" t="str">
            <v>31B0</v>
          </cell>
          <cell r="Q1764" t="str">
            <v>SS400</v>
          </cell>
          <cell r="R1764" t="str">
            <v>E353768_01</v>
          </cell>
          <cell r="S1764">
            <v>169</v>
          </cell>
          <cell r="T1764" t="str">
            <v>標準</v>
          </cell>
          <cell r="V1764" t="str">
            <v>RX-10F</v>
          </cell>
        </row>
        <row r="1765">
          <cell r="F1765" t="str">
            <v>H0000102600</v>
          </cell>
          <cell r="I1765" t="str">
            <v>フレーム</v>
          </cell>
          <cell r="J1765" t="str">
            <v>S-Frame_WX-10_H_KKKK</v>
          </cell>
          <cell r="K1765" t="str">
            <v>S-フレーム_WX-10_H_KKKK</v>
          </cell>
          <cell r="L1765" t="str">
            <v>S-Frame</v>
          </cell>
          <cell r="M1765" t="str">
            <v>S-フレーム</v>
          </cell>
          <cell r="P1765" t="str">
            <v>31B0</v>
          </cell>
          <cell r="Q1765" t="str">
            <v>SS400</v>
          </cell>
          <cell r="R1765" t="str">
            <v>E353768_01</v>
          </cell>
          <cell r="S1765">
            <v>169</v>
          </cell>
          <cell r="T1765" t="str">
            <v>標準</v>
          </cell>
          <cell r="V1765" t="str">
            <v>RX-10F</v>
          </cell>
        </row>
        <row r="1766">
          <cell r="F1766" t="str">
            <v>H0000102601</v>
          </cell>
          <cell r="I1766" t="str">
            <v>フレーム</v>
          </cell>
          <cell r="J1766" t="str">
            <v>S-Frame_WX-10_H_KKKK</v>
          </cell>
          <cell r="K1766" t="str">
            <v>S-フレーム_WX-10_H_KKKK</v>
          </cell>
          <cell r="L1766" t="str">
            <v>S-Frame</v>
          </cell>
          <cell r="M1766" t="str">
            <v>S-フレーム</v>
          </cell>
          <cell r="P1766" t="str">
            <v>31B0</v>
          </cell>
          <cell r="Q1766" t="str">
            <v>SS400</v>
          </cell>
          <cell r="R1766" t="str">
            <v>E353768_01</v>
          </cell>
          <cell r="S1766">
            <v>169</v>
          </cell>
          <cell r="T1766" t="str">
            <v>標準</v>
          </cell>
          <cell r="V1766" t="str">
            <v>RX-10F</v>
          </cell>
        </row>
        <row r="1767">
          <cell r="F1767" t="str">
            <v>H0000102602</v>
          </cell>
          <cell r="I1767" t="str">
            <v>フレーム</v>
          </cell>
          <cell r="J1767" t="str">
            <v>S-Frame_WX-10_H_KKKK</v>
          </cell>
          <cell r="K1767" t="str">
            <v>S-フレーム_WX-10_H_KKKK</v>
          </cell>
          <cell r="L1767" t="str">
            <v>S-Frame</v>
          </cell>
          <cell r="M1767" t="str">
            <v>S-フレーム</v>
          </cell>
          <cell r="P1767" t="str">
            <v>31B0</v>
          </cell>
          <cell r="Q1767" t="str">
            <v>SS400</v>
          </cell>
          <cell r="R1767" t="str">
            <v>E353768_01</v>
          </cell>
          <cell r="S1767">
            <v>169</v>
          </cell>
          <cell r="T1767" t="str">
            <v>標準</v>
          </cell>
          <cell r="V1767" t="str">
            <v>RX-10F</v>
          </cell>
        </row>
        <row r="1768">
          <cell r="F1768" t="str">
            <v>H0000102603</v>
          </cell>
          <cell r="I1768" t="str">
            <v>フレーム</v>
          </cell>
          <cell r="J1768" t="str">
            <v>S-Frame_WX-10_H_KKKK</v>
          </cell>
          <cell r="K1768" t="str">
            <v>S-フレーム_WX-10_H_KKKK</v>
          </cell>
          <cell r="L1768" t="str">
            <v>S-Frame</v>
          </cell>
          <cell r="M1768" t="str">
            <v>S-フレーム</v>
          </cell>
          <cell r="P1768" t="str">
            <v>31B0</v>
          </cell>
          <cell r="Q1768" t="str">
            <v>SS400</v>
          </cell>
          <cell r="R1768" t="str">
            <v>E353768_01</v>
          </cell>
          <cell r="S1768">
            <v>169</v>
          </cell>
          <cell r="T1768" t="str">
            <v>標準</v>
          </cell>
          <cell r="V1768" t="str">
            <v>RX-10F</v>
          </cell>
        </row>
        <row r="1769">
          <cell r="F1769" t="str">
            <v>H0000102604</v>
          </cell>
          <cell r="I1769" t="str">
            <v>フレーム</v>
          </cell>
          <cell r="J1769" t="str">
            <v>S-Frame_GasCutting_WX-10_N_1234</v>
          </cell>
          <cell r="K1769" t="str">
            <v>S-フレーム_ガス溶断_WX-10_N_1234</v>
          </cell>
          <cell r="L1769" t="str">
            <v>S-Frame</v>
          </cell>
          <cell r="M1769" t="str">
            <v>S-フレーム</v>
          </cell>
          <cell r="N1769" t="str">
            <v>GasCutting</v>
          </cell>
          <cell r="O1769" t="str">
            <v>ガス溶断</v>
          </cell>
          <cell r="P1769" t="str">
            <v>31B0</v>
          </cell>
          <cell r="Q1769" t="str">
            <v>SS400</v>
          </cell>
          <cell r="R1769" t="str">
            <v>E353768_01</v>
          </cell>
          <cell r="S1769">
            <v>135</v>
          </cell>
          <cell r="T1769" t="str">
            <v>標準</v>
          </cell>
          <cell r="V1769" t="str">
            <v>RX-10F</v>
          </cell>
        </row>
        <row r="1770">
          <cell r="F1770" t="str">
            <v>H0000102605</v>
          </cell>
          <cell r="I1770" t="str">
            <v>フレーム</v>
          </cell>
          <cell r="J1770" t="str">
            <v>S-Frame_GasCutting_WX-10_H_1234</v>
          </cell>
          <cell r="K1770" t="str">
            <v>S-フレーム_ガス溶断_WX-10_H_1234</v>
          </cell>
          <cell r="L1770" t="str">
            <v>S-Frame</v>
          </cell>
          <cell r="M1770" t="str">
            <v>S-フレーム</v>
          </cell>
          <cell r="N1770" t="str">
            <v>GasCutting</v>
          </cell>
          <cell r="O1770" t="str">
            <v>ガス溶断</v>
          </cell>
          <cell r="P1770" t="str">
            <v>31B0</v>
          </cell>
          <cell r="Q1770" t="str">
            <v>SS400</v>
          </cell>
          <cell r="R1770" t="str">
            <v>E353768_01</v>
          </cell>
          <cell r="S1770">
            <v>169</v>
          </cell>
          <cell r="T1770" t="str">
            <v>標準</v>
          </cell>
          <cell r="V1770" t="str">
            <v>RX-10F</v>
          </cell>
        </row>
        <row r="1771">
          <cell r="F1771" t="str">
            <v>H0000102606</v>
          </cell>
          <cell r="I1771" t="str">
            <v>フレーム</v>
          </cell>
          <cell r="J1771" t="str">
            <v>S-Frame_WX-10_U_TTTT</v>
          </cell>
          <cell r="K1771" t="str">
            <v>S-フレーム_WX-10_U_TTTT</v>
          </cell>
          <cell r="L1771" t="str">
            <v>S-Frame</v>
          </cell>
          <cell r="M1771" t="str">
            <v>S-フレーム</v>
          </cell>
          <cell r="P1771" t="str">
            <v>31B0</v>
          </cell>
          <cell r="Q1771" t="str">
            <v>SS400</v>
          </cell>
          <cell r="R1771" t="str">
            <v>E353770_01</v>
          </cell>
          <cell r="S1771">
            <v>211</v>
          </cell>
          <cell r="T1771" t="str">
            <v>標準</v>
          </cell>
          <cell r="V1771" t="str">
            <v>RX-10F</v>
          </cell>
        </row>
        <row r="1772">
          <cell r="F1772" t="str">
            <v>H0000102607</v>
          </cell>
          <cell r="I1772" t="str">
            <v>フレーム</v>
          </cell>
          <cell r="J1772" t="str">
            <v>S-Frame_WX-10_U_TTTT</v>
          </cell>
          <cell r="K1772" t="str">
            <v>S-フレーム_WX-10_U_TTTT</v>
          </cell>
          <cell r="L1772" t="str">
            <v>S-Frame</v>
          </cell>
          <cell r="M1772" t="str">
            <v>S-フレーム</v>
          </cell>
          <cell r="P1772" t="str">
            <v>31B0</v>
          </cell>
          <cell r="Q1772" t="str">
            <v>SS400</v>
          </cell>
          <cell r="R1772" t="str">
            <v>E353770_01</v>
          </cell>
          <cell r="S1772">
            <v>211</v>
          </cell>
          <cell r="T1772" t="str">
            <v>標準</v>
          </cell>
          <cell r="V1772" t="str">
            <v>RX-10F</v>
          </cell>
        </row>
        <row r="1773">
          <cell r="F1773" t="str">
            <v>H0000102608</v>
          </cell>
          <cell r="I1773" t="str">
            <v>フレーム</v>
          </cell>
          <cell r="J1773" t="str">
            <v>S-Frame_WX-10_U_TTTT</v>
          </cell>
          <cell r="K1773" t="str">
            <v>S-フレーム_WX-10_U_TTTT</v>
          </cell>
          <cell r="L1773" t="str">
            <v>S-Frame</v>
          </cell>
          <cell r="M1773" t="str">
            <v>S-フレーム</v>
          </cell>
          <cell r="P1773" t="str">
            <v>31B0</v>
          </cell>
          <cell r="Q1773" t="str">
            <v>SS400</v>
          </cell>
          <cell r="R1773" t="str">
            <v>E353770_01</v>
          </cell>
          <cell r="S1773">
            <v>211</v>
          </cell>
          <cell r="T1773" t="str">
            <v>標準</v>
          </cell>
          <cell r="V1773" t="str">
            <v>RX-10F</v>
          </cell>
        </row>
        <row r="1774">
          <cell r="F1774" t="str">
            <v>H0000102609</v>
          </cell>
          <cell r="I1774" t="str">
            <v>フレーム</v>
          </cell>
          <cell r="J1774" t="str">
            <v>S-Frame_WX-10_U_TTTT</v>
          </cell>
          <cell r="K1774" t="str">
            <v>S-フレーム_WX-10_U_TTTT</v>
          </cell>
          <cell r="L1774" t="str">
            <v>S-Frame</v>
          </cell>
          <cell r="M1774" t="str">
            <v>S-フレーム</v>
          </cell>
          <cell r="P1774" t="str">
            <v>31B0</v>
          </cell>
          <cell r="Q1774" t="str">
            <v>SS400</v>
          </cell>
          <cell r="R1774" t="str">
            <v>E353770_01</v>
          </cell>
          <cell r="S1774">
            <v>211</v>
          </cell>
          <cell r="T1774" t="str">
            <v>標準</v>
          </cell>
          <cell r="V1774" t="str">
            <v>RX-10F</v>
          </cell>
        </row>
        <row r="1775">
          <cell r="F1775" t="str">
            <v>H0000102610</v>
          </cell>
          <cell r="I1775" t="str">
            <v>フレーム</v>
          </cell>
          <cell r="J1775" t="str">
            <v>S-Frame_WX-10_U_TTTT</v>
          </cell>
          <cell r="K1775" t="str">
            <v>S-フレーム_WX-10_U_TTTT</v>
          </cell>
          <cell r="L1775" t="str">
            <v>S-Frame</v>
          </cell>
          <cell r="M1775" t="str">
            <v>S-フレーム</v>
          </cell>
          <cell r="P1775" t="str">
            <v>31B0</v>
          </cell>
          <cell r="Q1775" t="str">
            <v>SS400</v>
          </cell>
          <cell r="R1775" t="str">
            <v>E353770_01</v>
          </cell>
          <cell r="S1775">
            <v>211</v>
          </cell>
          <cell r="T1775" t="str">
            <v>標準</v>
          </cell>
          <cell r="V1775" t="str">
            <v>RX-10F</v>
          </cell>
        </row>
        <row r="1776">
          <cell r="F1776" t="str">
            <v>H0000102611</v>
          </cell>
          <cell r="I1776" t="str">
            <v>フレーム</v>
          </cell>
          <cell r="J1776" t="str">
            <v>S-Frame_WX-10_U_TTTT</v>
          </cell>
          <cell r="K1776" t="str">
            <v>S-フレーム_WX-10_U_TTTT</v>
          </cell>
          <cell r="L1776" t="str">
            <v>S-Frame</v>
          </cell>
          <cell r="M1776" t="str">
            <v>S-フレーム</v>
          </cell>
          <cell r="P1776" t="str">
            <v>31B0</v>
          </cell>
          <cell r="Q1776" t="str">
            <v>SS400</v>
          </cell>
          <cell r="R1776" t="str">
            <v>E353770_01</v>
          </cell>
          <cell r="S1776">
            <v>211</v>
          </cell>
          <cell r="T1776" t="str">
            <v>標準</v>
          </cell>
          <cell r="V1776" t="str">
            <v>RX-10F</v>
          </cell>
        </row>
        <row r="1777">
          <cell r="F1777" t="str">
            <v>H0000102612</v>
          </cell>
          <cell r="I1777" t="str">
            <v>フレーム</v>
          </cell>
          <cell r="J1777" t="str">
            <v>S-Frame_WX-10_U_TTTT</v>
          </cell>
          <cell r="K1777" t="str">
            <v>S-フレーム_WX-10_U_TTTT</v>
          </cell>
          <cell r="L1777" t="str">
            <v>S-Frame</v>
          </cell>
          <cell r="M1777" t="str">
            <v>S-フレーム</v>
          </cell>
          <cell r="P1777" t="str">
            <v>31B0</v>
          </cell>
          <cell r="Q1777" t="str">
            <v>SS400</v>
          </cell>
          <cell r="R1777" t="str">
            <v>E353770_01</v>
          </cell>
          <cell r="S1777">
            <v>211</v>
          </cell>
          <cell r="T1777" t="str">
            <v>標準</v>
          </cell>
          <cell r="V1777" t="str">
            <v>RX-10F</v>
          </cell>
        </row>
        <row r="1778">
          <cell r="F1778" t="str">
            <v>H0000102613</v>
          </cell>
          <cell r="I1778" t="str">
            <v>フレーム</v>
          </cell>
          <cell r="J1778" t="str">
            <v>S-Frame_WX-10_U_TTTT</v>
          </cell>
          <cell r="K1778" t="str">
            <v>S-フレーム_WX-10_U_TTTT</v>
          </cell>
          <cell r="L1778" t="str">
            <v>S-Frame</v>
          </cell>
          <cell r="M1778" t="str">
            <v>S-フレーム</v>
          </cell>
          <cell r="P1778" t="str">
            <v>31B0</v>
          </cell>
          <cell r="Q1778" t="str">
            <v>SS400</v>
          </cell>
          <cell r="R1778" t="str">
            <v>E353770_01</v>
          </cell>
          <cell r="S1778">
            <v>211</v>
          </cell>
          <cell r="T1778" t="str">
            <v>標準</v>
          </cell>
          <cell r="V1778" t="str">
            <v>RX-10F</v>
          </cell>
        </row>
        <row r="1779">
          <cell r="F1779" t="str">
            <v>H0000102614</v>
          </cell>
          <cell r="I1779" t="str">
            <v>フレーム</v>
          </cell>
          <cell r="J1779" t="str">
            <v>S-Frame_WX-10_U_TTTT</v>
          </cell>
          <cell r="K1779" t="str">
            <v>S-フレーム_WX-10_U_TTTT</v>
          </cell>
          <cell r="L1779" t="str">
            <v>S-Frame</v>
          </cell>
          <cell r="M1779" t="str">
            <v>S-フレーム</v>
          </cell>
          <cell r="P1779" t="str">
            <v>31B0</v>
          </cell>
          <cell r="Q1779" t="str">
            <v>SS400</v>
          </cell>
          <cell r="R1779" t="str">
            <v>E353770_01</v>
          </cell>
          <cell r="S1779">
            <v>211</v>
          </cell>
          <cell r="T1779" t="str">
            <v>標準</v>
          </cell>
          <cell r="V1779" t="str">
            <v>RX-10F</v>
          </cell>
        </row>
        <row r="1780">
          <cell r="F1780" t="str">
            <v>H0000102615</v>
          </cell>
          <cell r="I1780" t="str">
            <v>フレーム</v>
          </cell>
          <cell r="J1780" t="str">
            <v>S-Frame_WX-10_U_TKTK</v>
          </cell>
          <cell r="K1780" t="str">
            <v>S-フレーム_WX-10_U_TKTK</v>
          </cell>
          <cell r="L1780" t="str">
            <v>S-Frame</v>
          </cell>
          <cell r="M1780" t="str">
            <v>S-フレーム</v>
          </cell>
          <cell r="P1780" t="str">
            <v>31B0</v>
          </cell>
          <cell r="Q1780" t="str">
            <v>SS400</v>
          </cell>
          <cell r="R1780" t="str">
            <v>E353770_01</v>
          </cell>
          <cell r="S1780">
            <v>211</v>
          </cell>
          <cell r="T1780" t="str">
            <v>標準</v>
          </cell>
          <cell r="V1780" t="str">
            <v>RX-10F</v>
          </cell>
        </row>
        <row r="1781">
          <cell r="F1781" t="str">
            <v>H0000102616</v>
          </cell>
          <cell r="I1781" t="str">
            <v>フレーム</v>
          </cell>
          <cell r="J1781" t="str">
            <v>S-Frame_WX-10_U_TKTK</v>
          </cell>
          <cell r="K1781" t="str">
            <v>S-フレーム_WX-10_U_TKTK</v>
          </cell>
          <cell r="L1781" t="str">
            <v>S-Frame</v>
          </cell>
          <cell r="M1781" t="str">
            <v>S-フレーム</v>
          </cell>
          <cell r="P1781" t="str">
            <v>31B0</v>
          </cell>
          <cell r="Q1781" t="str">
            <v>SS400</v>
          </cell>
          <cell r="R1781" t="str">
            <v>E353770_01</v>
          </cell>
          <cell r="S1781">
            <v>211</v>
          </cell>
          <cell r="T1781" t="str">
            <v>標準</v>
          </cell>
          <cell r="V1781" t="str">
            <v>RX-10F</v>
          </cell>
        </row>
        <row r="1782">
          <cell r="F1782" t="str">
            <v>H0000102617</v>
          </cell>
          <cell r="I1782" t="str">
            <v>フレーム</v>
          </cell>
          <cell r="J1782" t="str">
            <v>S-Frame_WX-10_U_TKTK</v>
          </cell>
          <cell r="K1782" t="str">
            <v>S-フレーム_WX-10_U_TKTK</v>
          </cell>
          <cell r="L1782" t="str">
            <v>S-Frame</v>
          </cell>
          <cell r="M1782" t="str">
            <v>S-フレーム</v>
          </cell>
          <cell r="P1782" t="str">
            <v>31B0</v>
          </cell>
          <cell r="Q1782" t="str">
            <v>SS400</v>
          </cell>
          <cell r="R1782" t="str">
            <v>E353770_01</v>
          </cell>
          <cell r="S1782">
            <v>211</v>
          </cell>
          <cell r="T1782" t="str">
            <v>標準</v>
          </cell>
          <cell r="V1782" t="str">
            <v>RX-10F</v>
          </cell>
        </row>
        <row r="1783">
          <cell r="F1783" t="str">
            <v>H0000102618</v>
          </cell>
          <cell r="I1783" t="str">
            <v>フレーム</v>
          </cell>
          <cell r="J1783" t="str">
            <v>S-Frame_WX-10_U_TKTK</v>
          </cell>
          <cell r="K1783" t="str">
            <v>S-フレーム_WX-10_U_TKTK</v>
          </cell>
          <cell r="L1783" t="str">
            <v>S-Frame</v>
          </cell>
          <cell r="M1783" t="str">
            <v>S-フレーム</v>
          </cell>
          <cell r="P1783" t="str">
            <v>31B0</v>
          </cell>
          <cell r="Q1783" t="str">
            <v>SS400</v>
          </cell>
          <cell r="R1783" t="str">
            <v>E353770_01</v>
          </cell>
          <cell r="S1783">
            <v>211</v>
          </cell>
          <cell r="T1783" t="str">
            <v>標準</v>
          </cell>
          <cell r="V1783" t="str">
            <v>RX-10F</v>
          </cell>
        </row>
        <row r="1784">
          <cell r="F1784" t="str">
            <v>H0000102619</v>
          </cell>
          <cell r="I1784" t="str">
            <v>フレーム</v>
          </cell>
          <cell r="J1784" t="str">
            <v>S-Frame_WX-10_U_TKTK</v>
          </cell>
          <cell r="K1784" t="str">
            <v>S-フレーム_WX-10_U_TKTK</v>
          </cell>
          <cell r="L1784" t="str">
            <v>S-Frame</v>
          </cell>
          <cell r="M1784" t="str">
            <v>S-フレーム</v>
          </cell>
          <cell r="P1784" t="str">
            <v>31B0</v>
          </cell>
          <cell r="Q1784" t="str">
            <v>SS400</v>
          </cell>
          <cell r="R1784" t="str">
            <v>E353770_01</v>
          </cell>
          <cell r="S1784">
            <v>211</v>
          </cell>
          <cell r="T1784" t="str">
            <v>標準</v>
          </cell>
          <cell r="V1784" t="str">
            <v>RX-10F</v>
          </cell>
        </row>
        <row r="1785">
          <cell r="F1785" t="str">
            <v>H0000102620</v>
          </cell>
          <cell r="I1785" t="str">
            <v>フレーム</v>
          </cell>
          <cell r="J1785" t="str">
            <v>S-Frame_WX-10_U_TKTK</v>
          </cell>
          <cell r="K1785" t="str">
            <v>S-フレーム_WX-10_U_TKTK</v>
          </cell>
          <cell r="L1785" t="str">
            <v>S-Frame</v>
          </cell>
          <cell r="M1785" t="str">
            <v>S-フレーム</v>
          </cell>
          <cell r="P1785" t="str">
            <v>31B0</v>
          </cell>
          <cell r="Q1785" t="str">
            <v>SS400</v>
          </cell>
          <cell r="R1785" t="str">
            <v>E353770_01</v>
          </cell>
          <cell r="S1785">
            <v>211</v>
          </cell>
          <cell r="T1785" t="str">
            <v>標準</v>
          </cell>
          <cell r="V1785" t="str">
            <v>RX-10F</v>
          </cell>
        </row>
        <row r="1786">
          <cell r="F1786" t="str">
            <v>H0000102621</v>
          </cell>
          <cell r="I1786" t="str">
            <v>フレーム</v>
          </cell>
          <cell r="J1786" t="str">
            <v>S-Frame_WX-10_U_TKTK</v>
          </cell>
          <cell r="K1786" t="str">
            <v>S-フレーム_WX-10_U_TKTK</v>
          </cell>
          <cell r="L1786" t="str">
            <v>S-Frame</v>
          </cell>
          <cell r="M1786" t="str">
            <v>S-フレーム</v>
          </cell>
          <cell r="P1786" t="str">
            <v>31B0</v>
          </cell>
          <cell r="Q1786" t="str">
            <v>SS400</v>
          </cell>
          <cell r="R1786" t="str">
            <v>E353770_01</v>
          </cell>
          <cell r="S1786">
            <v>211</v>
          </cell>
          <cell r="T1786" t="str">
            <v>標準</v>
          </cell>
          <cell r="V1786" t="str">
            <v>RX-10F</v>
          </cell>
        </row>
        <row r="1787">
          <cell r="F1787" t="str">
            <v>H0000102622</v>
          </cell>
          <cell r="I1787" t="str">
            <v>フレーム</v>
          </cell>
          <cell r="J1787" t="str">
            <v>S-Frame_WX-10_U_TKTK</v>
          </cell>
          <cell r="K1787" t="str">
            <v>S-フレーム_WX-10_U_TKTK</v>
          </cell>
          <cell r="L1787" t="str">
            <v>S-Frame</v>
          </cell>
          <cell r="M1787" t="str">
            <v>S-フレーム</v>
          </cell>
          <cell r="P1787" t="str">
            <v>31B0</v>
          </cell>
          <cell r="Q1787" t="str">
            <v>SS400</v>
          </cell>
          <cell r="R1787" t="str">
            <v>E353770_01</v>
          </cell>
          <cell r="S1787">
            <v>211</v>
          </cell>
          <cell r="T1787" t="str">
            <v>標準</v>
          </cell>
          <cell r="V1787" t="str">
            <v>RX-10F</v>
          </cell>
        </row>
        <row r="1788">
          <cell r="F1788" t="str">
            <v>H0000102623</v>
          </cell>
          <cell r="I1788" t="str">
            <v>フレーム</v>
          </cell>
          <cell r="J1788" t="str">
            <v>S-Frame_WX-10_U_TKTK</v>
          </cell>
          <cell r="K1788" t="str">
            <v>S-フレーム_WX-10_U_TKTK</v>
          </cell>
          <cell r="L1788" t="str">
            <v>S-Frame</v>
          </cell>
          <cell r="M1788" t="str">
            <v>S-フレーム</v>
          </cell>
          <cell r="P1788" t="str">
            <v>31B0</v>
          </cell>
          <cell r="Q1788" t="str">
            <v>SS400</v>
          </cell>
          <cell r="R1788" t="str">
            <v>E353770_01</v>
          </cell>
          <cell r="S1788">
            <v>211</v>
          </cell>
          <cell r="T1788" t="str">
            <v>標準</v>
          </cell>
          <cell r="V1788" t="str">
            <v>RX-10F</v>
          </cell>
        </row>
        <row r="1789">
          <cell r="F1789" t="str">
            <v>H0000102624</v>
          </cell>
          <cell r="I1789" t="str">
            <v>フレーム</v>
          </cell>
          <cell r="J1789" t="str">
            <v>S-Frame_WX-10_U_KTKT</v>
          </cell>
          <cell r="K1789" t="str">
            <v>S-フレーム_WX-10_U_KTKT</v>
          </cell>
          <cell r="L1789" t="str">
            <v>S-Frame</v>
          </cell>
          <cell r="M1789" t="str">
            <v>S-フレーム</v>
          </cell>
          <cell r="P1789" t="str">
            <v>31B0</v>
          </cell>
          <cell r="Q1789" t="str">
            <v>SS400</v>
          </cell>
          <cell r="R1789" t="str">
            <v>E353770_01</v>
          </cell>
          <cell r="S1789">
            <v>211</v>
          </cell>
          <cell r="T1789" t="str">
            <v>標準</v>
          </cell>
          <cell r="V1789" t="str">
            <v>RX-10F</v>
          </cell>
        </row>
        <row r="1790">
          <cell r="F1790" t="str">
            <v>H0000102625</v>
          </cell>
          <cell r="I1790" t="str">
            <v>フレーム</v>
          </cell>
          <cell r="J1790" t="str">
            <v>S-Frame_WX-10_U_KTKT</v>
          </cell>
          <cell r="K1790" t="str">
            <v>S-フレーム_WX-10_U_KTKT</v>
          </cell>
          <cell r="L1790" t="str">
            <v>S-Frame</v>
          </cell>
          <cell r="M1790" t="str">
            <v>S-フレーム</v>
          </cell>
          <cell r="P1790" t="str">
            <v>31B0</v>
          </cell>
          <cell r="Q1790" t="str">
            <v>SS400</v>
          </cell>
          <cell r="R1790" t="str">
            <v>E353770_01</v>
          </cell>
          <cell r="S1790">
            <v>211</v>
          </cell>
          <cell r="T1790" t="str">
            <v>標準</v>
          </cell>
          <cell r="V1790" t="str">
            <v>RX-10F</v>
          </cell>
        </row>
        <row r="1791">
          <cell r="F1791" t="str">
            <v>H0000102626</v>
          </cell>
          <cell r="I1791" t="str">
            <v>フレーム</v>
          </cell>
          <cell r="J1791" t="str">
            <v>S-Frame_WX-10_U_KTKT</v>
          </cell>
          <cell r="K1791" t="str">
            <v>S-フレーム_WX-10_U_KTKT</v>
          </cell>
          <cell r="L1791" t="str">
            <v>S-Frame</v>
          </cell>
          <cell r="M1791" t="str">
            <v>S-フレーム</v>
          </cell>
          <cell r="P1791" t="str">
            <v>31B0</v>
          </cell>
          <cell r="Q1791" t="str">
            <v>SS400</v>
          </cell>
          <cell r="R1791" t="str">
            <v>E353770_01</v>
          </cell>
          <cell r="S1791">
            <v>211</v>
          </cell>
          <cell r="T1791" t="str">
            <v>標準</v>
          </cell>
          <cell r="V1791" t="str">
            <v>RX-10F</v>
          </cell>
        </row>
        <row r="1792">
          <cell r="F1792" t="str">
            <v>H0000102627</v>
          </cell>
          <cell r="I1792" t="str">
            <v>フレーム</v>
          </cell>
          <cell r="J1792" t="str">
            <v>S-Frame_WX-10_U_KTKT</v>
          </cell>
          <cell r="K1792" t="str">
            <v>S-フレーム_WX-10_U_KTKT</v>
          </cell>
          <cell r="L1792" t="str">
            <v>S-Frame</v>
          </cell>
          <cell r="M1792" t="str">
            <v>S-フレーム</v>
          </cell>
          <cell r="P1792" t="str">
            <v>31B0</v>
          </cell>
          <cell r="Q1792" t="str">
            <v>SS400</v>
          </cell>
          <cell r="R1792" t="str">
            <v>E353770_01</v>
          </cell>
          <cell r="S1792">
            <v>211</v>
          </cell>
          <cell r="T1792" t="str">
            <v>標準</v>
          </cell>
          <cell r="V1792" t="str">
            <v>RX-10F</v>
          </cell>
        </row>
        <row r="1793">
          <cell r="F1793" t="str">
            <v>H0000102628</v>
          </cell>
          <cell r="I1793" t="str">
            <v>フレーム</v>
          </cell>
          <cell r="J1793" t="str">
            <v>S-Frame_WX-10_U_KTKT</v>
          </cell>
          <cell r="K1793" t="str">
            <v>S-フレーム_WX-10_U_KTKT</v>
          </cell>
          <cell r="L1793" t="str">
            <v>S-Frame</v>
          </cell>
          <cell r="M1793" t="str">
            <v>S-フレーム</v>
          </cell>
          <cell r="P1793" t="str">
            <v>31B0</v>
          </cell>
          <cell r="Q1793" t="str">
            <v>SS400</v>
          </cell>
          <cell r="R1793" t="str">
            <v>E353770_01</v>
          </cell>
          <cell r="S1793">
            <v>211</v>
          </cell>
          <cell r="T1793" t="str">
            <v>標準</v>
          </cell>
          <cell r="V1793" t="str">
            <v>RX-10F</v>
          </cell>
        </row>
        <row r="1794">
          <cell r="F1794" t="str">
            <v>H0000102629</v>
          </cell>
          <cell r="I1794" t="str">
            <v>フレーム</v>
          </cell>
          <cell r="J1794" t="str">
            <v>S-Frame_WX-10_U_KTKT</v>
          </cell>
          <cell r="K1794" t="str">
            <v>S-フレーム_WX-10_U_KTKT</v>
          </cell>
          <cell r="L1794" t="str">
            <v>S-Frame</v>
          </cell>
          <cell r="M1794" t="str">
            <v>S-フレーム</v>
          </cell>
          <cell r="P1794" t="str">
            <v>31B0</v>
          </cell>
          <cell r="Q1794" t="str">
            <v>SS400</v>
          </cell>
          <cell r="R1794" t="str">
            <v>E353770_01</v>
          </cell>
          <cell r="S1794">
            <v>211</v>
          </cell>
          <cell r="T1794" t="str">
            <v>標準</v>
          </cell>
          <cell r="V1794" t="str">
            <v>RX-10F</v>
          </cell>
        </row>
        <row r="1795">
          <cell r="F1795" t="str">
            <v>H0000102630</v>
          </cell>
          <cell r="I1795" t="str">
            <v>フレーム</v>
          </cell>
          <cell r="J1795" t="str">
            <v>S-Frame_WX-10_U_KTKT</v>
          </cell>
          <cell r="K1795" t="str">
            <v>S-フレーム_WX-10_U_KTKT</v>
          </cell>
          <cell r="L1795" t="str">
            <v>S-Frame</v>
          </cell>
          <cell r="M1795" t="str">
            <v>S-フレーム</v>
          </cell>
          <cell r="P1795" t="str">
            <v>31B0</v>
          </cell>
          <cell r="Q1795" t="str">
            <v>SS400</v>
          </cell>
          <cell r="R1795" t="str">
            <v>E353770_01</v>
          </cell>
          <cell r="S1795">
            <v>211</v>
          </cell>
          <cell r="T1795" t="str">
            <v>標準</v>
          </cell>
          <cell r="V1795" t="str">
            <v>RX-10F</v>
          </cell>
        </row>
        <row r="1796">
          <cell r="F1796" t="str">
            <v>H0000102631</v>
          </cell>
          <cell r="I1796" t="str">
            <v>フレーム</v>
          </cell>
          <cell r="J1796" t="str">
            <v>S-Frame_WX-10_U_KTKT</v>
          </cell>
          <cell r="K1796" t="str">
            <v>S-フレーム_WX-10_U_KTKT</v>
          </cell>
          <cell r="L1796" t="str">
            <v>S-Frame</v>
          </cell>
          <cell r="M1796" t="str">
            <v>S-フレーム</v>
          </cell>
          <cell r="P1796" t="str">
            <v>31B0</v>
          </cell>
          <cell r="Q1796" t="str">
            <v>SS400</v>
          </cell>
          <cell r="R1796" t="str">
            <v>E353770_01</v>
          </cell>
          <cell r="S1796">
            <v>211</v>
          </cell>
          <cell r="T1796" t="str">
            <v>標準</v>
          </cell>
          <cell r="V1796" t="str">
            <v>RX-10F</v>
          </cell>
        </row>
        <row r="1797">
          <cell r="F1797" t="str">
            <v>H0000102632</v>
          </cell>
          <cell r="I1797" t="str">
            <v>フレーム</v>
          </cell>
          <cell r="J1797" t="str">
            <v>S-Frame_WX-10_U_KTKT</v>
          </cell>
          <cell r="K1797" t="str">
            <v>S-フレーム_WX-10_U_KTKT</v>
          </cell>
          <cell r="L1797" t="str">
            <v>S-Frame</v>
          </cell>
          <cell r="M1797" t="str">
            <v>S-フレーム</v>
          </cell>
          <cell r="P1797" t="str">
            <v>31B0</v>
          </cell>
          <cell r="Q1797" t="str">
            <v>SS400</v>
          </cell>
          <cell r="R1797" t="str">
            <v>E353770_01</v>
          </cell>
          <cell r="S1797">
            <v>211</v>
          </cell>
          <cell r="T1797" t="str">
            <v>標準</v>
          </cell>
          <cell r="V1797" t="str">
            <v>RX-10F</v>
          </cell>
        </row>
        <row r="1798">
          <cell r="F1798" t="str">
            <v>H0000102633</v>
          </cell>
          <cell r="I1798" t="str">
            <v>フレーム</v>
          </cell>
          <cell r="J1798" t="str">
            <v>S-Frame_WX-10_U_KKKK</v>
          </cell>
          <cell r="K1798" t="str">
            <v>S-フレーム_WX-10_U_KKKK</v>
          </cell>
          <cell r="L1798" t="str">
            <v>S-Frame</v>
          </cell>
          <cell r="M1798" t="str">
            <v>S-フレーム</v>
          </cell>
          <cell r="P1798" t="str">
            <v>31B0</v>
          </cell>
          <cell r="Q1798" t="str">
            <v>SS400</v>
          </cell>
          <cell r="R1798" t="str">
            <v>E353770_01</v>
          </cell>
          <cell r="S1798">
            <v>211</v>
          </cell>
          <cell r="T1798" t="str">
            <v>標準</v>
          </cell>
          <cell r="V1798" t="str">
            <v>RX-10F</v>
          </cell>
        </row>
        <row r="1799">
          <cell r="F1799" t="str">
            <v>H0000102634</v>
          </cell>
          <cell r="I1799" t="str">
            <v>フレーム</v>
          </cell>
          <cell r="J1799" t="str">
            <v>S-Frame_WX-10_U_KKKK</v>
          </cell>
          <cell r="K1799" t="str">
            <v>S-フレーム_WX-10_U_KKKK</v>
          </cell>
          <cell r="L1799" t="str">
            <v>S-Frame</v>
          </cell>
          <cell r="M1799" t="str">
            <v>S-フレーム</v>
          </cell>
          <cell r="P1799" t="str">
            <v>31B0</v>
          </cell>
          <cell r="Q1799" t="str">
            <v>SS400</v>
          </cell>
          <cell r="R1799" t="str">
            <v>E353770_01</v>
          </cell>
          <cell r="S1799">
            <v>211</v>
          </cell>
          <cell r="T1799" t="str">
            <v>標準</v>
          </cell>
          <cell r="V1799" t="str">
            <v>RX-10F</v>
          </cell>
        </row>
        <row r="1800">
          <cell r="F1800" t="str">
            <v>H0000102635</v>
          </cell>
          <cell r="I1800" t="str">
            <v>フレーム</v>
          </cell>
          <cell r="J1800" t="str">
            <v>S-Frame_WX-10_U_KKKK</v>
          </cell>
          <cell r="K1800" t="str">
            <v>S-フレーム_WX-10_U_KKKK</v>
          </cell>
          <cell r="L1800" t="str">
            <v>S-Frame</v>
          </cell>
          <cell r="M1800" t="str">
            <v>S-フレーム</v>
          </cell>
          <cell r="P1800" t="str">
            <v>31B0</v>
          </cell>
          <cell r="Q1800" t="str">
            <v>SS400</v>
          </cell>
          <cell r="R1800" t="str">
            <v>E353770_01</v>
          </cell>
          <cell r="S1800">
            <v>211</v>
          </cell>
          <cell r="T1800" t="str">
            <v>標準</v>
          </cell>
          <cell r="V1800" t="str">
            <v>RX-10F</v>
          </cell>
        </row>
        <row r="1801">
          <cell r="F1801" t="str">
            <v>H0000102636</v>
          </cell>
          <cell r="I1801" t="str">
            <v>フレーム</v>
          </cell>
          <cell r="J1801" t="str">
            <v>S-Frame_WX-10_U_KKKK</v>
          </cell>
          <cell r="K1801" t="str">
            <v>S-フレーム_WX-10_U_KKKK</v>
          </cell>
          <cell r="L1801" t="str">
            <v>S-Frame</v>
          </cell>
          <cell r="M1801" t="str">
            <v>S-フレーム</v>
          </cell>
          <cell r="P1801" t="str">
            <v>31B0</v>
          </cell>
          <cell r="Q1801" t="str">
            <v>SS400</v>
          </cell>
          <cell r="R1801" t="str">
            <v>E353770_01</v>
          </cell>
          <cell r="S1801">
            <v>211</v>
          </cell>
          <cell r="T1801" t="str">
            <v>標準</v>
          </cell>
          <cell r="V1801" t="str">
            <v>RX-10F</v>
          </cell>
        </row>
        <row r="1802">
          <cell r="F1802" t="str">
            <v>H0000102637</v>
          </cell>
          <cell r="I1802" t="str">
            <v>フレーム</v>
          </cell>
          <cell r="J1802" t="str">
            <v>S-Frame_WX-10_U_KKKK</v>
          </cell>
          <cell r="K1802" t="str">
            <v>S-フレーム_WX-10_U_KKKK</v>
          </cell>
          <cell r="L1802" t="str">
            <v>S-Frame</v>
          </cell>
          <cell r="M1802" t="str">
            <v>S-フレーム</v>
          </cell>
          <cell r="P1802" t="str">
            <v>31B0</v>
          </cell>
          <cell r="Q1802" t="str">
            <v>SS400</v>
          </cell>
          <cell r="R1802" t="str">
            <v>E353770_01</v>
          </cell>
          <cell r="S1802">
            <v>211</v>
          </cell>
          <cell r="T1802" t="str">
            <v>標準</v>
          </cell>
          <cell r="V1802" t="str">
            <v>RX-10F</v>
          </cell>
        </row>
        <row r="1803">
          <cell r="F1803" t="str">
            <v>H0000102638</v>
          </cell>
          <cell r="I1803" t="str">
            <v>フレーム</v>
          </cell>
          <cell r="J1803" t="str">
            <v>S-Frame_WX-10_U_KKKK</v>
          </cell>
          <cell r="K1803" t="str">
            <v>S-フレーム_WX-10_U_KKKK</v>
          </cell>
          <cell r="L1803" t="str">
            <v>S-Frame</v>
          </cell>
          <cell r="M1803" t="str">
            <v>S-フレーム</v>
          </cell>
          <cell r="P1803" t="str">
            <v>31B0</v>
          </cell>
          <cell r="Q1803" t="str">
            <v>SS400</v>
          </cell>
          <cell r="R1803" t="str">
            <v>E353770_01</v>
          </cell>
          <cell r="S1803">
            <v>211</v>
          </cell>
          <cell r="T1803" t="str">
            <v>標準</v>
          </cell>
          <cell r="V1803" t="str">
            <v>RX-10F</v>
          </cell>
        </row>
        <row r="1804">
          <cell r="F1804" t="str">
            <v>H0000102639</v>
          </cell>
          <cell r="I1804" t="str">
            <v>フレーム</v>
          </cell>
          <cell r="J1804" t="str">
            <v>S-Frame_WX-10_U_KKKK</v>
          </cell>
          <cell r="K1804" t="str">
            <v>S-フレーム_WX-10_U_KKKK</v>
          </cell>
          <cell r="L1804" t="str">
            <v>S-Frame</v>
          </cell>
          <cell r="M1804" t="str">
            <v>S-フレーム</v>
          </cell>
          <cell r="P1804" t="str">
            <v>31B0</v>
          </cell>
          <cell r="Q1804" t="str">
            <v>SS400</v>
          </cell>
          <cell r="R1804" t="str">
            <v>E353770_01</v>
          </cell>
          <cell r="S1804">
            <v>211</v>
          </cell>
          <cell r="T1804" t="str">
            <v>標準</v>
          </cell>
          <cell r="V1804" t="str">
            <v>RX-10F</v>
          </cell>
        </row>
        <row r="1805">
          <cell r="F1805" t="str">
            <v>H0000102640</v>
          </cell>
          <cell r="I1805" t="str">
            <v>フレーム</v>
          </cell>
          <cell r="J1805" t="str">
            <v>S-Frame_WX-10_U_KKKK</v>
          </cell>
          <cell r="K1805" t="str">
            <v>S-フレーム_WX-10_U_KKKK</v>
          </cell>
          <cell r="L1805" t="str">
            <v>S-Frame</v>
          </cell>
          <cell r="M1805" t="str">
            <v>S-フレーム</v>
          </cell>
          <cell r="P1805" t="str">
            <v>31B0</v>
          </cell>
          <cell r="Q1805" t="str">
            <v>SS400</v>
          </cell>
          <cell r="R1805" t="str">
            <v>E353770_01</v>
          </cell>
          <cell r="S1805">
            <v>211</v>
          </cell>
          <cell r="T1805" t="str">
            <v>標準</v>
          </cell>
          <cell r="V1805" t="str">
            <v>RX-10F</v>
          </cell>
        </row>
        <row r="1806">
          <cell r="F1806" t="str">
            <v>H0000102641</v>
          </cell>
          <cell r="I1806" t="str">
            <v>フレーム</v>
          </cell>
          <cell r="J1806" t="str">
            <v>S-Frame_WX-10_U_KKKK</v>
          </cell>
          <cell r="K1806" t="str">
            <v>S-フレーム_WX-10_U_KKKK</v>
          </cell>
          <cell r="L1806" t="str">
            <v>S-Frame</v>
          </cell>
          <cell r="M1806" t="str">
            <v>S-フレーム</v>
          </cell>
          <cell r="P1806" t="str">
            <v>31B0</v>
          </cell>
          <cell r="Q1806" t="str">
            <v>SS400</v>
          </cell>
          <cell r="R1806" t="str">
            <v>E353770_01</v>
          </cell>
          <cell r="S1806">
            <v>211</v>
          </cell>
          <cell r="T1806" t="str">
            <v>標準</v>
          </cell>
          <cell r="V1806" t="str">
            <v>RX-10F</v>
          </cell>
        </row>
        <row r="1807">
          <cell r="F1807" t="str">
            <v>H0000102642</v>
          </cell>
          <cell r="I1807" t="str">
            <v>フレーム</v>
          </cell>
          <cell r="J1807" t="str">
            <v>S-Frame_GasCutting_WX-10_U_1234</v>
          </cell>
          <cell r="K1807" t="str">
            <v>S-フレーム_ガス溶断_WX-10_U_1234</v>
          </cell>
          <cell r="L1807" t="str">
            <v>S-Frame</v>
          </cell>
          <cell r="M1807" t="str">
            <v>S-フレーム</v>
          </cell>
          <cell r="N1807" t="str">
            <v>GasCutting</v>
          </cell>
          <cell r="O1807" t="str">
            <v>ガス溶断</v>
          </cell>
          <cell r="P1807" t="str">
            <v>31B0</v>
          </cell>
          <cell r="Q1807" t="str">
            <v>SS400</v>
          </cell>
          <cell r="R1807" t="str">
            <v>E353770_01</v>
          </cell>
          <cell r="S1807">
            <v>211</v>
          </cell>
          <cell r="T1807" t="str">
            <v>標準</v>
          </cell>
          <cell r="V1807" t="str">
            <v>RX-10F</v>
          </cell>
        </row>
        <row r="1808">
          <cell r="F1808" t="str">
            <v>H0000102643</v>
          </cell>
          <cell r="I1808" t="str">
            <v>フレーム</v>
          </cell>
          <cell r="J1808" t="str">
            <v>S-Frame_WX-10_S_TTTT</v>
          </cell>
          <cell r="K1808" t="str">
            <v>S-フレーム_WX-10_S_TTTT</v>
          </cell>
          <cell r="L1808" t="str">
            <v>S-Frame</v>
          </cell>
          <cell r="M1808" t="str">
            <v>S-フレーム</v>
          </cell>
          <cell r="P1808" t="str">
            <v>31B0</v>
          </cell>
          <cell r="Q1808" t="str">
            <v>SS400</v>
          </cell>
          <cell r="R1808" t="str">
            <v>E359254_01</v>
          </cell>
          <cell r="S1808">
            <v>232</v>
          </cell>
          <cell r="T1808" t="str">
            <v>標準</v>
          </cell>
          <cell r="V1808" t="str">
            <v>RX-10F</v>
          </cell>
        </row>
        <row r="1809">
          <cell r="F1809" t="str">
            <v>H0000102644</v>
          </cell>
          <cell r="I1809" t="str">
            <v>フレーム</v>
          </cell>
          <cell r="J1809" t="str">
            <v>S-Frame_WX-10_S_TTTT</v>
          </cell>
          <cell r="K1809" t="str">
            <v>S-フレーム_WX-10_S_TTTT</v>
          </cell>
          <cell r="L1809" t="str">
            <v>S-Frame</v>
          </cell>
          <cell r="M1809" t="str">
            <v>S-フレーム</v>
          </cell>
          <cell r="P1809" t="str">
            <v>31B0</v>
          </cell>
          <cell r="Q1809" t="str">
            <v>SS400</v>
          </cell>
          <cell r="R1809" t="str">
            <v>E359254_01</v>
          </cell>
          <cell r="S1809">
            <v>232</v>
          </cell>
          <cell r="T1809" t="str">
            <v>標準</v>
          </cell>
          <cell r="V1809" t="str">
            <v>RX-10F</v>
          </cell>
        </row>
        <row r="1810">
          <cell r="F1810" t="str">
            <v>H0000102645</v>
          </cell>
          <cell r="I1810" t="str">
            <v>フレーム</v>
          </cell>
          <cell r="J1810" t="str">
            <v>S-Frame_WX-10_S_TTTT</v>
          </cell>
          <cell r="K1810" t="str">
            <v>S-フレーム_WX-10_S_TTTT</v>
          </cell>
          <cell r="L1810" t="str">
            <v>S-Frame</v>
          </cell>
          <cell r="M1810" t="str">
            <v>S-フレーム</v>
          </cell>
          <cell r="P1810" t="str">
            <v>31B0</v>
          </cell>
          <cell r="Q1810" t="str">
            <v>SS400</v>
          </cell>
          <cell r="R1810" t="str">
            <v>E359254_01</v>
          </cell>
          <cell r="S1810">
            <v>232</v>
          </cell>
          <cell r="T1810" t="str">
            <v>標準</v>
          </cell>
          <cell r="V1810" t="str">
            <v>RX-10F</v>
          </cell>
        </row>
        <row r="1811">
          <cell r="F1811" t="str">
            <v>H0000102646</v>
          </cell>
          <cell r="I1811" t="str">
            <v>フレーム</v>
          </cell>
          <cell r="J1811" t="str">
            <v>S-Frame_WX-10_S_TTTT</v>
          </cell>
          <cell r="K1811" t="str">
            <v>S-フレーム_WX-10_S_TTTT</v>
          </cell>
          <cell r="L1811" t="str">
            <v>S-Frame</v>
          </cell>
          <cell r="M1811" t="str">
            <v>S-フレーム</v>
          </cell>
          <cell r="P1811" t="str">
            <v>31B0</v>
          </cell>
          <cell r="Q1811" t="str">
            <v>SS400</v>
          </cell>
          <cell r="R1811" t="str">
            <v>E359254_01</v>
          </cell>
          <cell r="S1811">
            <v>232</v>
          </cell>
          <cell r="T1811" t="str">
            <v>標準</v>
          </cell>
          <cell r="V1811" t="str">
            <v>RX-10F</v>
          </cell>
        </row>
        <row r="1812">
          <cell r="F1812" t="str">
            <v>H0000102647</v>
          </cell>
          <cell r="I1812" t="str">
            <v>フレーム</v>
          </cell>
          <cell r="J1812" t="str">
            <v>S-Frame_WX-10_S_TTTT</v>
          </cell>
          <cell r="K1812" t="str">
            <v>S-フレーム_WX-10_S_TTTT</v>
          </cell>
          <cell r="L1812" t="str">
            <v>S-Frame</v>
          </cell>
          <cell r="M1812" t="str">
            <v>S-フレーム</v>
          </cell>
          <cell r="P1812" t="str">
            <v>31B0</v>
          </cell>
          <cell r="Q1812" t="str">
            <v>SS400</v>
          </cell>
          <cell r="R1812" t="str">
            <v>E359254_01</v>
          </cell>
          <cell r="S1812">
            <v>232</v>
          </cell>
          <cell r="T1812" t="str">
            <v>標準</v>
          </cell>
          <cell r="V1812" t="str">
            <v>RX-10F</v>
          </cell>
        </row>
        <row r="1813">
          <cell r="F1813" t="str">
            <v>H0000102648</v>
          </cell>
          <cell r="I1813" t="str">
            <v>フレーム</v>
          </cell>
          <cell r="J1813" t="str">
            <v>S-Frame_WX-10_S_TTTT</v>
          </cell>
          <cell r="K1813" t="str">
            <v>S-フレーム_WX-10_S_TTTT</v>
          </cell>
          <cell r="L1813" t="str">
            <v>S-Frame</v>
          </cell>
          <cell r="M1813" t="str">
            <v>S-フレーム</v>
          </cell>
          <cell r="P1813" t="str">
            <v>31B0</v>
          </cell>
          <cell r="Q1813" t="str">
            <v>SS400</v>
          </cell>
          <cell r="R1813" t="str">
            <v>E359254_01</v>
          </cell>
          <cell r="S1813">
            <v>232</v>
          </cell>
          <cell r="T1813" t="str">
            <v>標準</v>
          </cell>
          <cell r="V1813" t="str">
            <v>RX-10F</v>
          </cell>
        </row>
        <row r="1814">
          <cell r="F1814" t="str">
            <v>H0000102649</v>
          </cell>
          <cell r="I1814" t="str">
            <v>フレーム</v>
          </cell>
          <cell r="J1814" t="str">
            <v>S-Frame_WX-10_S_TTTT</v>
          </cell>
          <cell r="K1814" t="str">
            <v>S-フレーム_WX-10_S_TTTT</v>
          </cell>
          <cell r="L1814" t="str">
            <v>S-Frame</v>
          </cell>
          <cell r="M1814" t="str">
            <v>S-フレーム</v>
          </cell>
          <cell r="P1814" t="str">
            <v>31B0</v>
          </cell>
          <cell r="Q1814" t="str">
            <v>SS400</v>
          </cell>
          <cell r="R1814" t="str">
            <v>E359254_01</v>
          </cell>
          <cell r="S1814">
            <v>232</v>
          </cell>
          <cell r="T1814" t="str">
            <v>標準</v>
          </cell>
          <cell r="V1814" t="str">
            <v>RX-10F</v>
          </cell>
        </row>
        <row r="1815">
          <cell r="F1815" t="str">
            <v>H0000102650</v>
          </cell>
          <cell r="I1815" t="str">
            <v>フレーム</v>
          </cell>
          <cell r="J1815" t="str">
            <v>S-Frame_WX-10_S_TTTT</v>
          </cell>
          <cell r="K1815" t="str">
            <v>S-フレーム_WX-10_S_TTTT</v>
          </cell>
          <cell r="L1815" t="str">
            <v>S-Frame</v>
          </cell>
          <cell r="M1815" t="str">
            <v>S-フレーム</v>
          </cell>
          <cell r="P1815" t="str">
            <v>31B0</v>
          </cell>
          <cell r="Q1815" t="str">
            <v>SS400</v>
          </cell>
          <cell r="R1815" t="str">
            <v>E359254_01</v>
          </cell>
          <cell r="S1815">
            <v>232</v>
          </cell>
          <cell r="T1815" t="str">
            <v>標準</v>
          </cell>
          <cell r="V1815" t="str">
            <v>RX-10F</v>
          </cell>
        </row>
        <row r="1816">
          <cell r="F1816" t="str">
            <v>H0000102651</v>
          </cell>
          <cell r="I1816" t="str">
            <v>フレーム</v>
          </cell>
          <cell r="J1816" t="str">
            <v>S-Frame_WX-10_S_TTTT</v>
          </cell>
          <cell r="K1816" t="str">
            <v>S-フレーム_WX-10_S_TTTT</v>
          </cell>
          <cell r="L1816" t="str">
            <v>S-Frame</v>
          </cell>
          <cell r="M1816" t="str">
            <v>S-フレーム</v>
          </cell>
          <cell r="P1816" t="str">
            <v>31B0</v>
          </cell>
          <cell r="Q1816" t="str">
            <v>SS400</v>
          </cell>
          <cell r="R1816" t="str">
            <v>E359254_01</v>
          </cell>
          <cell r="S1816">
            <v>232</v>
          </cell>
          <cell r="T1816" t="str">
            <v>標準</v>
          </cell>
          <cell r="V1816" t="str">
            <v>RX-10F</v>
          </cell>
        </row>
        <row r="1817">
          <cell r="F1817" t="str">
            <v>H0000102652</v>
          </cell>
          <cell r="I1817" t="str">
            <v>フレーム</v>
          </cell>
          <cell r="J1817" t="str">
            <v>S-Frame_WX-10_S_TKTK</v>
          </cell>
          <cell r="K1817" t="str">
            <v>S-フレーム_WX-10_S_TKTK</v>
          </cell>
          <cell r="L1817" t="str">
            <v>S-Frame</v>
          </cell>
          <cell r="M1817" t="str">
            <v>S-フレーム</v>
          </cell>
          <cell r="P1817" t="str">
            <v>31B0</v>
          </cell>
          <cell r="Q1817" t="str">
            <v>SS400</v>
          </cell>
          <cell r="R1817" t="str">
            <v>E359254_01</v>
          </cell>
          <cell r="S1817">
            <v>232</v>
          </cell>
          <cell r="T1817" t="str">
            <v>標準</v>
          </cell>
          <cell r="V1817" t="str">
            <v>RX-10F</v>
          </cell>
        </row>
        <row r="1818">
          <cell r="F1818" t="str">
            <v>H0000102653</v>
          </cell>
          <cell r="I1818" t="str">
            <v>フレーム</v>
          </cell>
          <cell r="J1818" t="str">
            <v>S-Frame_WX-10_S_TKTK</v>
          </cell>
          <cell r="K1818" t="str">
            <v>S-フレーム_WX-10_S_TKTK</v>
          </cell>
          <cell r="L1818" t="str">
            <v>S-Frame</v>
          </cell>
          <cell r="M1818" t="str">
            <v>S-フレーム</v>
          </cell>
          <cell r="P1818" t="str">
            <v>31B0</v>
          </cell>
          <cell r="Q1818" t="str">
            <v>SS400</v>
          </cell>
          <cell r="R1818" t="str">
            <v>E359254_01</v>
          </cell>
          <cell r="S1818">
            <v>232</v>
          </cell>
          <cell r="T1818" t="str">
            <v>標準</v>
          </cell>
          <cell r="V1818" t="str">
            <v>RX-10F</v>
          </cell>
        </row>
        <row r="1819">
          <cell r="F1819" t="str">
            <v>H0000102654</v>
          </cell>
          <cell r="I1819" t="str">
            <v>フレーム</v>
          </cell>
          <cell r="J1819" t="str">
            <v>S-Frame_WX-10_S_TKTK</v>
          </cell>
          <cell r="K1819" t="str">
            <v>S-フレーム_WX-10_S_TKTK</v>
          </cell>
          <cell r="L1819" t="str">
            <v>S-Frame</v>
          </cell>
          <cell r="M1819" t="str">
            <v>S-フレーム</v>
          </cell>
          <cell r="P1819" t="str">
            <v>31B0</v>
          </cell>
          <cell r="Q1819" t="str">
            <v>SS400</v>
          </cell>
          <cell r="R1819" t="str">
            <v>E359254_01</v>
          </cell>
          <cell r="S1819">
            <v>232</v>
          </cell>
          <cell r="T1819" t="str">
            <v>標準</v>
          </cell>
          <cell r="V1819" t="str">
            <v>RX-10F</v>
          </cell>
        </row>
        <row r="1820">
          <cell r="F1820" t="str">
            <v>H0000102655</v>
          </cell>
          <cell r="I1820" t="str">
            <v>フレーム</v>
          </cell>
          <cell r="J1820" t="str">
            <v>S-Frame_WX-10_S_TKTK</v>
          </cell>
          <cell r="K1820" t="str">
            <v>S-フレーム_WX-10_S_TKTK</v>
          </cell>
          <cell r="L1820" t="str">
            <v>S-Frame</v>
          </cell>
          <cell r="M1820" t="str">
            <v>S-フレーム</v>
          </cell>
          <cell r="P1820" t="str">
            <v>31B0</v>
          </cell>
          <cell r="Q1820" t="str">
            <v>SS400</v>
          </cell>
          <cell r="R1820" t="str">
            <v>E359254_01</v>
          </cell>
          <cell r="S1820">
            <v>232</v>
          </cell>
          <cell r="T1820" t="str">
            <v>標準</v>
          </cell>
          <cell r="V1820" t="str">
            <v>RX-10F</v>
          </cell>
        </row>
        <row r="1821">
          <cell r="F1821" t="str">
            <v>H0000102656</v>
          </cell>
          <cell r="I1821" t="str">
            <v>フレーム</v>
          </cell>
          <cell r="J1821" t="str">
            <v>S-Frame_WX-10_S_TKTK</v>
          </cell>
          <cell r="K1821" t="str">
            <v>S-フレーム_WX-10_S_TKTK</v>
          </cell>
          <cell r="L1821" t="str">
            <v>S-Frame</v>
          </cell>
          <cell r="M1821" t="str">
            <v>S-フレーム</v>
          </cell>
          <cell r="P1821" t="str">
            <v>31B0</v>
          </cell>
          <cell r="Q1821" t="str">
            <v>SS400</v>
          </cell>
          <cell r="R1821" t="str">
            <v>E359254_01</v>
          </cell>
          <cell r="S1821">
            <v>232</v>
          </cell>
          <cell r="T1821" t="str">
            <v>標準</v>
          </cell>
          <cell r="V1821" t="str">
            <v>RX-10F</v>
          </cell>
        </row>
        <row r="1822">
          <cell r="F1822" t="str">
            <v>H0000102657</v>
          </cell>
          <cell r="I1822" t="str">
            <v>フレーム</v>
          </cell>
          <cell r="J1822" t="str">
            <v>S-Frame_WX-10_S_TKTK</v>
          </cell>
          <cell r="K1822" t="str">
            <v>S-フレーム_WX-10_S_TKTK</v>
          </cell>
          <cell r="L1822" t="str">
            <v>S-Frame</v>
          </cell>
          <cell r="M1822" t="str">
            <v>S-フレーム</v>
          </cell>
          <cell r="P1822" t="str">
            <v>31B0</v>
          </cell>
          <cell r="Q1822" t="str">
            <v>SS400</v>
          </cell>
          <cell r="R1822" t="str">
            <v>E359254_01</v>
          </cell>
          <cell r="S1822">
            <v>232</v>
          </cell>
          <cell r="T1822" t="str">
            <v>標準</v>
          </cell>
          <cell r="V1822" t="str">
            <v>RX-10F</v>
          </cell>
        </row>
        <row r="1823">
          <cell r="F1823" t="str">
            <v>H0000102658</v>
          </cell>
          <cell r="I1823" t="str">
            <v>フレーム</v>
          </cell>
          <cell r="J1823" t="str">
            <v>S-Frame_WX-10_S_TKTK</v>
          </cell>
          <cell r="K1823" t="str">
            <v>S-フレーム_WX-10_S_TKTK</v>
          </cell>
          <cell r="L1823" t="str">
            <v>S-Frame</v>
          </cell>
          <cell r="M1823" t="str">
            <v>S-フレーム</v>
          </cell>
          <cell r="P1823" t="str">
            <v>31B0</v>
          </cell>
          <cell r="Q1823" t="str">
            <v>SS400</v>
          </cell>
          <cell r="R1823" t="str">
            <v>E359254_01</v>
          </cell>
          <cell r="S1823">
            <v>232</v>
          </cell>
          <cell r="T1823" t="str">
            <v>標準</v>
          </cell>
          <cell r="V1823" t="str">
            <v>RX-10F</v>
          </cell>
        </row>
        <row r="1824">
          <cell r="F1824" t="str">
            <v>H0000102659</v>
          </cell>
          <cell r="I1824" t="str">
            <v>フレーム</v>
          </cell>
          <cell r="J1824" t="str">
            <v>S-Frame_WX-10_S_TKTK</v>
          </cell>
          <cell r="K1824" t="str">
            <v>S-フレーム_WX-10_S_TKTK</v>
          </cell>
          <cell r="L1824" t="str">
            <v>S-Frame</v>
          </cell>
          <cell r="M1824" t="str">
            <v>S-フレーム</v>
          </cell>
          <cell r="P1824" t="str">
            <v>31B0</v>
          </cell>
          <cell r="Q1824" t="str">
            <v>SS400</v>
          </cell>
          <cell r="R1824" t="str">
            <v>E359254_01</v>
          </cell>
          <cell r="S1824">
            <v>232</v>
          </cell>
          <cell r="T1824" t="str">
            <v>標準</v>
          </cell>
          <cell r="V1824" t="str">
            <v>RX-10F</v>
          </cell>
        </row>
        <row r="1825">
          <cell r="F1825" t="str">
            <v>H0000102660</v>
          </cell>
          <cell r="I1825" t="str">
            <v>フレーム</v>
          </cell>
          <cell r="J1825" t="str">
            <v>S-Frame_WX-10_S_TKTK</v>
          </cell>
          <cell r="K1825" t="str">
            <v>S-フレーム_WX-10_S_TKTK</v>
          </cell>
          <cell r="L1825" t="str">
            <v>S-Frame</v>
          </cell>
          <cell r="M1825" t="str">
            <v>S-フレーム</v>
          </cell>
          <cell r="P1825" t="str">
            <v>31B0</v>
          </cell>
          <cell r="Q1825" t="str">
            <v>SS400</v>
          </cell>
          <cell r="R1825" t="str">
            <v>E359254_01</v>
          </cell>
          <cell r="S1825">
            <v>232</v>
          </cell>
          <cell r="T1825" t="str">
            <v>標準</v>
          </cell>
          <cell r="V1825" t="str">
            <v>RX-10F</v>
          </cell>
        </row>
        <row r="1826">
          <cell r="F1826" t="str">
            <v>H0000102661</v>
          </cell>
          <cell r="I1826" t="str">
            <v>フレーム</v>
          </cell>
          <cell r="J1826" t="str">
            <v>S-Frame_WX-10_S_KTKT</v>
          </cell>
          <cell r="K1826" t="str">
            <v>S-フレーム_WX-10_S_KTKT</v>
          </cell>
          <cell r="L1826" t="str">
            <v>S-Frame</v>
          </cell>
          <cell r="M1826" t="str">
            <v>S-フレーム</v>
          </cell>
          <cell r="P1826" t="str">
            <v>31B0</v>
          </cell>
          <cell r="Q1826" t="str">
            <v>SS400</v>
          </cell>
          <cell r="R1826" t="str">
            <v>E359254_01</v>
          </cell>
          <cell r="S1826">
            <v>232</v>
          </cell>
          <cell r="T1826" t="str">
            <v>標準</v>
          </cell>
          <cell r="V1826" t="str">
            <v>RX-10F</v>
          </cell>
        </row>
        <row r="1827">
          <cell r="F1827" t="str">
            <v>H0000102662</v>
          </cell>
          <cell r="I1827" t="str">
            <v>フレーム</v>
          </cell>
          <cell r="J1827" t="str">
            <v>S-Frame_WX-10_S_KTKT</v>
          </cell>
          <cell r="K1827" t="str">
            <v>S-フレーム_WX-10_S_KTKT</v>
          </cell>
          <cell r="L1827" t="str">
            <v>S-Frame</v>
          </cell>
          <cell r="M1827" t="str">
            <v>S-フレーム</v>
          </cell>
          <cell r="P1827" t="str">
            <v>31B0</v>
          </cell>
          <cell r="Q1827" t="str">
            <v>SS400</v>
          </cell>
          <cell r="R1827" t="str">
            <v>E359254_01</v>
          </cell>
          <cell r="S1827">
            <v>232</v>
          </cell>
          <cell r="T1827" t="str">
            <v>標準</v>
          </cell>
          <cell r="V1827" t="str">
            <v>RX-10F</v>
          </cell>
        </row>
        <row r="1828">
          <cell r="F1828" t="str">
            <v>H0000102663</v>
          </cell>
          <cell r="I1828" t="str">
            <v>フレーム</v>
          </cell>
          <cell r="J1828" t="str">
            <v>S-Frame_WX-10_S_KTKT</v>
          </cell>
          <cell r="K1828" t="str">
            <v>S-フレーム_WX-10_S_KTKT</v>
          </cell>
          <cell r="L1828" t="str">
            <v>S-Frame</v>
          </cell>
          <cell r="M1828" t="str">
            <v>S-フレーム</v>
          </cell>
          <cell r="P1828" t="str">
            <v>31B0</v>
          </cell>
          <cell r="Q1828" t="str">
            <v>SS400</v>
          </cell>
          <cell r="R1828" t="str">
            <v>E359254_01</v>
          </cell>
          <cell r="S1828">
            <v>232</v>
          </cell>
          <cell r="T1828" t="str">
            <v>標準</v>
          </cell>
          <cell r="V1828" t="str">
            <v>RX-10F</v>
          </cell>
        </row>
        <row r="1829">
          <cell r="F1829" t="str">
            <v>H0000102664</v>
          </cell>
          <cell r="I1829" t="str">
            <v>フレーム</v>
          </cell>
          <cell r="J1829" t="str">
            <v>S-Frame_WX-10_S_KTKT</v>
          </cell>
          <cell r="K1829" t="str">
            <v>S-フレーム_WX-10_S_KTKT</v>
          </cell>
          <cell r="L1829" t="str">
            <v>S-Frame</v>
          </cell>
          <cell r="M1829" t="str">
            <v>S-フレーム</v>
          </cell>
          <cell r="P1829" t="str">
            <v>31B0</v>
          </cell>
          <cell r="Q1829" t="str">
            <v>SS400</v>
          </cell>
          <cell r="R1829" t="str">
            <v>E359254_01</v>
          </cell>
          <cell r="S1829">
            <v>232</v>
          </cell>
          <cell r="T1829" t="str">
            <v>標準</v>
          </cell>
          <cell r="V1829" t="str">
            <v>RX-10F</v>
          </cell>
        </row>
        <row r="1830">
          <cell r="F1830" t="str">
            <v>H0000102665</v>
          </cell>
          <cell r="I1830" t="str">
            <v>フレーム</v>
          </cell>
          <cell r="J1830" t="str">
            <v>S-Frame_WX-10_S_KTKT</v>
          </cell>
          <cell r="K1830" t="str">
            <v>S-フレーム_WX-10_S_KTKT</v>
          </cell>
          <cell r="L1830" t="str">
            <v>S-Frame</v>
          </cell>
          <cell r="M1830" t="str">
            <v>S-フレーム</v>
          </cell>
          <cell r="P1830" t="str">
            <v>31B0</v>
          </cell>
          <cell r="Q1830" t="str">
            <v>SS400</v>
          </cell>
          <cell r="R1830" t="str">
            <v>E359254_01</v>
          </cell>
          <cell r="S1830">
            <v>232</v>
          </cell>
          <cell r="T1830" t="str">
            <v>標準</v>
          </cell>
          <cell r="V1830" t="str">
            <v>RX-10F</v>
          </cell>
        </row>
        <row r="1831">
          <cell r="F1831" t="str">
            <v>H0000102666</v>
          </cell>
          <cell r="I1831" t="str">
            <v>フレーム</v>
          </cell>
          <cell r="J1831" t="str">
            <v>S-Frame_WX-10_S_KTKT</v>
          </cell>
          <cell r="K1831" t="str">
            <v>S-フレーム_WX-10_S_KTKT</v>
          </cell>
          <cell r="L1831" t="str">
            <v>S-Frame</v>
          </cell>
          <cell r="M1831" t="str">
            <v>S-フレーム</v>
          </cell>
          <cell r="P1831" t="str">
            <v>31B0</v>
          </cell>
          <cell r="Q1831" t="str">
            <v>SS400</v>
          </cell>
          <cell r="R1831" t="str">
            <v>E359254_01</v>
          </cell>
          <cell r="S1831">
            <v>232</v>
          </cell>
          <cell r="T1831" t="str">
            <v>標準</v>
          </cell>
          <cell r="V1831" t="str">
            <v>RX-10F</v>
          </cell>
        </row>
        <row r="1832">
          <cell r="F1832" t="str">
            <v>H0000102667</v>
          </cell>
          <cell r="I1832" t="str">
            <v>フレーム</v>
          </cell>
          <cell r="J1832" t="str">
            <v>S-Frame_WX-10_S_KTKT</v>
          </cell>
          <cell r="K1832" t="str">
            <v>S-フレーム_WX-10_S_KTKT</v>
          </cell>
          <cell r="L1832" t="str">
            <v>S-Frame</v>
          </cell>
          <cell r="M1832" t="str">
            <v>S-フレーム</v>
          </cell>
          <cell r="P1832" t="str">
            <v>31B0</v>
          </cell>
          <cell r="Q1832" t="str">
            <v>SS400</v>
          </cell>
          <cell r="R1832" t="str">
            <v>E359254_01</v>
          </cell>
          <cell r="S1832">
            <v>232</v>
          </cell>
          <cell r="T1832" t="str">
            <v>標準</v>
          </cell>
          <cell r="V1832" t="str">
            <v>RX-10F</v>
          </cell>
        </row>
        <row r="1833">
          <cell r="F1833" t="str">
            <v>H0000102668</v>
          </cell>
          <cell r="I1833" t="str">
            <v>フレーム</v>
          </cell>
          <cell r="J1833" t="str">
            <v>S-Frame_WX-10_S_KTKT</v>
          </cell>
          <cell r="K1833" t="str">
            <v>S-フレーム_WX-10_S_KTKT</v>
          </cell>
          <cell r="L1833" t="str">
            <v>S-Frame</v>
          </cell>
          <cell r="M1833" t="str">
            <v>S-フレーム</v>
          </cell>
          <cell r="P1833" t="str">
            <v>31B0</v>
          </cell>
          <cell r="Q1833" t="str">
            <v>SS400</v>
          </cell>
          <cell r="R1833" t="str">
            <v>E359254_01</v>
          </cell>
          <cell r="S1833">
            <v>232</v>
          </cell>
          <cell r="T1833" t="str">
            <v>標準</v>
          </cell>
          <cell r="V1833" t="str">
            <v>RX-10F</v>
          </cell>
        </row>
        <row r="1834">
          <cell r="F1834" t="str">
            <v>H0000102669</v>
          </cell>
          <cell r="I1834" t="str">
            <v>フレーム</v>
          </cell>
          <cell r="J1834" t="str">
            <v>S-Frame_WX-10_S_KTKT</v>
          </cell>
          <cell r="K1834" t="str">
            <v>S-フレーム_WX-10_S_KTKT</v>
          </cell>
          <cell r="L1834" t="str">
            <v>S-Frame</v>
          </cell>
          <cell r="M1834" t="str">
            <v>S-フレーム</v>
          </cell>
          <cell r="P1834" t="str">
            <v>31B0</v>
          </cell>
          <cell r="Q1834" t="str">
            <v>SS400</v>
          </cell>
          <cell r="R1834" t="str">
            <v>E359254_01</v>
          </cell>
          <cell r="S1834">
            <v>232</v>
          </cell>
          <cell r="T1834" t="str">
            <v>標準</v>
          </cell>
          <cell r="V1834" t="str">
            <v>RX-10F</v>
          </cell>
        </row>
        <row r="1835">
          <cell r="F1835" t="str">
            <v>H0000102670</v>
          </cell>
          <cell r="I1835" t="str">
            <v>フレーム</v>
          </cell>
          <cell r="J1835" t="str">
            <v>S-Frame_WX-10_S_KKKK</v>
          </cell>
          <cell r="K1835" t="str">
            <v>S-フレーム_WX-10_S_KKKK</v>
          </cell>
          <cell r="L1835" t="str">
            <v>S-Frame</v>
          </cell>
          <cell r="M1835" t="str">
            <v>S-フレーム</v>
          </cell>
          <cell r="P1835" t="str">
            <v>31B0</v>
          </cell>
          <cell r="Q1835" t="str">
            <v>SS400</v>
          </cell>
          <cell r="R1835" t="str">
            <v>E359254_01</v>
          </cell>
          <cell r="S1835">
            <v>232</v>
          </cell>
          <cell r="T1835" t="str">
            <v>標準</v>
          </cell>
          <cell r="V1835" t="str">
            <v>RX-10F</v>
          </cell>
        </row>
        <row r="1836">
          <cell r="F1836" t="str">
            <v>H0000102671</v>
          </cell>
          <cell r="I1836" t="str">
            <v>フレーム</v>
          </cell>
          <cell r="J1836" t="str">
            <v>S-Frame_WX-10_S_KKKK</v>
          </cell>
          <cell r="K1836" t="str">
            <v>S-フレーム_WX-10_S_KKKK</v>
          </cell>
          <cell r="L1836" t="str">
            <v>S-Frame</v>
          </cell>
          <cell r="M1836" t="str">
            <v>S-フレーム</v>
          </cell>
          <cell r="P1836" t="str">
            <v>31B0</v>
          </cell>
          <cell r="Q1836" t="str">
            <v>SS400</v>
          </cell>
          <cell r="R1836" t="str">
            <v>E359254_01</v>
          </cell>
          <cell r="S1836">
            <v>232</v>
          </cell>
          <cell r="T1836" t="str">
            <v>標準</v>
          </cell>
          <cell r="V1836" t="str">
            <v>RX-10F</v>
          </cell>
        </row>
        <row r="1837">
          <cell r="F1837" t="str">
            <v>H0000102672</v>
          </cell>
          <cell r="I1837" t="str">
            <v>フレーム</v>
          </cell>
          <cell r="J1837" t="str">
            <v>S-Frame_WX-10_S_KKKK</v>
          </cell>
          <cell r="K1837" t="str">
            <v>S-フレーム_WX-10_S_KKKK</v>
          </cell>
          <cell r="L1837" t="str">
            <v>S-Frame</v>
          </cell>
          <cell r="M1837" t="str">
            <v>S-フレーム</v>
          </cell>
          <cell r="P1837" t="str">
            <v>31B0</v>
          </cell>
          <cell r="Q1837" t="str">
            <v>SS400</v>
          </cell>
          <cell r="R1837" t="str">
            <v>E359254_01</v>
          </cell>
          <cell r="S1837">
            <v>232</v>
          </cell>
          <cell r="T1837" t="str">
            <v>標準</v>
          </cell>
          <cell r="V1837" t="str">
            <v>RX-10F</v>
          </cell>
        </row>
        <row r="1838">
          <cell r="F1838" t="str">
            <v>H0000102673</v>
          </cell>
          <cell r="I1838" t="str">
            <v>フレーム</v>
          </cell>
          <cell r="J1838" t="str">
            <v>S-Frame_WX-10_S_KKKK</v>
          </cell>
          <cell r="K1838" t="str">
            <v>S-フレーム_WX-10_S_KKKK</v>
          </cell>
          <cell r="L1838" t="str">
            <v>S-Frame</v>
          </cell>
          <cell r="M1838" t="str">
            <v>S-フレーム</v>
          </cell>
          <cell r="P1838" t="str">
            <v>31B0</v>
          </cell>
          <cell r="Q1838" t="str">
            <v>SS400</v>
          </cell>
          <cell r="R1838" t="str">
            <v>E359254_01</v>
          </cell>
          <cell r="S1838">
            <v>232</v>
          </cell>
          <cell r="T1838" t="str">
            <v>標準</v>
          </cell>
          <cell r="V1838" t="str">
            <v>RX-10F</v>
          </cell>
        </row>
        <row r="1839">
          <cell r="F1839" t="str">
            <v>H0000102674</v>
          </cell>
          <cell r="I1839" t="str">
            <v>フレーム</v>
          </cell>
          <cell r="J1839" t="str">
            <v>S-Frame_WX-10_S_KKKK</v>
          </cell>
          <cell r="K1839" t="str">
            <v>S-フレーム_WX-10_S_KKKK</v>
          </cell>
          <cell r="L1839" t="str">
            <v>S-Frame</v>
          </cell>
          <cell r="M1839" t="str">
            <v>S-フレーム</v>
          </cell>
          <cell r="P1839" t="str">
            <v>31B0</v>
          </cell>
          <cell r="Q1839" t="str">
            <v>SS400</v>
          </cell>
          <cell r="R1839" t="str">
            <v>E359254_01</v>
          </cell>
          <cell r="S1839">
            <v>232</v>
          </cell>
          <cell r="T1839" t="str">
            <v>標準</v>
          </cell>
          <cell r="V1839" t="str">
            <v>RX-10F</v>
          </cell>
        </row>
        <row r="1840">
          <cell r="F1840" t="str">
            <v>H0000102675</v>
          </cell>
          <cell r="I1840" t="str">
            <v>フレーム</v>
          </cell>
          <cell r="J1840" t="str">
            <v>S-Frame_WX-10_S_KKKK</v>
          </cell>
          <cell r="K1840" t="str">
            <v>S-フレーム_WX-10_S_KKKK</v>
          </cell>
          <cell r="L1840" t="str">
            <v>S-Frame</v>
          </cell>
          <cell r="M1840" t="str">
            <v>S-フレーム</v>
          </cell>
          <cell r="P1840" t="str">
            <v>31B0</v>
          </cell>
          <cell r="Q1840" t="str">
            <v>SS400</v>
          </cell>
          <cell r="R1840" t="str">
            <v>E359254_01</v>
          </cell>
          <cell r="S1840">
            <v>232</v>
          </cell>
          <cell r="T1840" t="str">
            <v>標準</v>
          </cell>
          <cell r="V1840" t="str">
            <v>RX-10F</v>
          </cell>
        </row>
        <row r="1841">
          <cell r="F1841" t="str">
            <v>H0000102676</v>
          </cell>
          <cell r="I1841" t="str">
            <v>フレーム</v>
          </cell>
          <cell r="J1841" t="str">
            <v>S-Frame_WX-10_S_KKKK</v>
          </cell>
          <cell r="K1841" t="str">
            <v>S-フレーム_WX-10_S_KKKK</v>
          </cell>
          <cell r="L1841" t="str">
            <v>S-Frame</v>
          </cell>
          <cell r="M1841" t="str">
            <v>S-フレーム</v>
          </cell>
          <cell r="P1841" t="str">
            <v>31B0</v>
          </cell>
          <cell r="Q1841" t="str">
            <v>SS400</v>
          </cell>
          <cell r="R1841" t="str">
            <v>E359254_01</v>
          </cell>
          <cell r="S1841">
            <v>232</v>
          </cell>
          <cell r="T1841" t="str">
            <v>標準</v>
          </cell>
          <cell r="V1841" t="str">
            <v>RX-10F</v>
          </cell>
        </row>
        <row r="1842">
          <cell r="F1842" t="str">
            <v>H0000102677</v>
          </cell>
          <cell r="I1842" t="str">
            <v>フレーム</v>
          </cell>
          <cell r="J1842" t="str">
            <v>S-Frame_WX-10_S_KKKK</v>
          </cell>
          <cell r="K1842" t="str">
            <v>S-フレーム_WX-10_S_KKKK</v>
          </cell>
          <cell r="L1842" t="str">
            <v>S-Frame</v>
          </cell>
          <cell r="M1842" t="str">
            <v>S-フレーム</v>
          </cell>
          <cell r="P1842" t="str">
            <v>31B0</v>
          </cell>
          <cell r="Q1842" t="str">
            <v>SS400</v>
          </cell>
          <cell r="R1842" t="str">
            <v>E359254_01</v>
          </cell>
          <cell r="S1842">
            <v>232</v>
          </cell>
          <cell r="T1842" t="str">
            <v>標準</v>
          </cell>
          <cell r="V1842" t="str">
            <v>RX-10F</v>
          </cell>
        </row>
        <row r="1843">
          <cell r="F1843" t="str">
            <v>H0000102678</v>
          </cell>
          <cell r="I1843" t="str">
            <v>フレーム</v>
          </cell>
          <cell r="J1843" t="str">
            <v>S-Frame_WX-10_S_KKKK</v>
          </cell>
          <cell r="K1843" t="str">
            <v>S-フレーム_WX-10_S_KKKK</v>
          </cell>
          <cell r="L1843" t="str">
            <v>S-Frame</v>
          </cell>
          <cell r="M1843" t="str">
            <v>S-フレーム</v>
          </cell>
          <cell r="P1843" t="str">
            <v>31B0</v>
          </cell>
          <cell r="Q1843" t="str">
            <v>SS400</v>
          </cell>
          <cell r="R1843" t="str">
            <v>E359254_01</v>
          </cell>
          <cell r="S1843">
            <v>232</v>
          </cell>
          <cell r="T1843" t="str">
            <v>標準</v>
          </cell>
          <cell r="V1843" t="str">
            <v>RX-10F</v>
          </cell>
        </row>
        <row r="1844">
          <cell r="F1844" t="str">
            <v>H0000102679</v>
          </cell>
          <cell r="I1844" t="str">
            <v>フレーム</v>
          </cell>
          <cell r="J1844" t="str">
            <v>S-Frame_GasCutting_WX-10_S_1234</v>
          </cell>
          <cell r="K1844" t="str">
            <v>S-フレーム_ガス溶断_WX-10_S_1234</v>
          </cell>
          <cell r="L1844" t="str">
            <v>S-Frame</v>
          </cell>
          <cell r="M1844" t="str">
            <v>S-フレーム</v>
          </cell>
          <cell r="N1844" t="str">
            <v>GasCutting</v>
          </cell>
          <cell r="O1844" t="str">
            <v>ガス溶断</v>
          </cell>
          <cell r="P1844" t="str">
            <v>31B0</v>
          </cell>
          <cell r="Q1844" t="str">
            <v>SS400</v>
          </cell>
          <cell r="R1844" t="str">
            <v>E359254_01</v>
          </cell>
          <cell r="S1844">
            <v>232</v>
          </cell>
          <cell r="T1844" t="str">
            <v>標準</v>
          </cell>
          <cell r="V1844" t="str">
            <v>RX-10F</v>
          </cell>
        </row>
        <row r="1845">
          <cell r="F1845" t="str">
            <v>H0000102702</v>
          </cell>
          <cell r="I1845" t="str">
            <v>フレーム</v>
          </cell>
          <cell r="J1845" t="str">
            <v>S-Frame_RX-50_N_NNNN</v>
          </cell>
          <cell r="K1845" t="str">
            <v>S-フレーム_RX-50_N_NNNN</v>
          </cell>
          <cell r="L1845" t="str">
            <v>S-Frame</v>
          </cell>
          <cell r="M1845" t="str">
            <v>S-フレーム</v>
          </cell>
          <cell r="P1845" t="str">
            <v>31B0</v>
          </cell>
          <cell r="Q1845" t="str">
            <v>SS400</v>
          </cell>
          <cell r="R1845" t="str">
            <v>E389566_01</v>
          </cell>
          <cell r="S1845">
            <v>548</v>
          </cell>
          <cell r="T1845" t="str">
            <v>標準</v>
          </cell>
        </row>
        <row r="1846">
          <cell r="F1846" t="str">
            <v>H0000102703</v>
          </cell>
          <cell r="I1846" t="str">
            <v>フレーム</v>
          </cell>
          <cell r="J1846" t="str">
            <v>S-Frame_RX-50_N_NNNN</v>
          </cell>
          <cell r="K1846" t="str">
            <v>S-フレーム_RX-50_N_NNNN</v>
          </cell>
          <cell r="L1846" t="str">
            <v>S-Frame</v>
          </cell>
          <cell r="M1846" t="str">
            <v>S-フレーム</v>
          </cell>
          <cell r="P1846" t="str">
            <v>31B0</v>
          </cell>
          <cell r="Q1846" t="str">
            <v>SS400</v>
          </cell>
          <cell r="R1846" t="str">
            <v>E389566_01</v>
          </cell>
          <cell r="S1846">
            <v>548</v>
          </cell>
          <cell r="T1846" t="str">
            <v>標準</v>
          </cell>
        </row>
        <row r="1847">
          <cell r="F1847" t="str">
            <v>H0000102704</v>
          </cell>
          <cell r="I1847" t="str">
            <v>フレーム</v>
          </cell>
          <cell r="J1847" t="str">
            <v>S-Frame_RX-50_N_NNNN</v>
          </cell>
          <cell r="K1847" t="str">
            <v>S-フレーム_RX-50_N_NNNN</v>
          </cell>
          <cell r="L1847" t="str">
            <v>S-Frame</v>
          </cell>
          <cell r="M1847" t="str">
            <v>S-フレーム</v>
          </cell>
          <cell r="P1847" t="str">
            <v>31B0</v>
          </cell>
          <cell r="Q1847" t="str">
            <v>SS400</v>
          </cell>
          <cell r="R1847" t="str">
            <v>E389566_01</v>
          </cell>
          <cell r="S1847">
            <v>548</v>
          </cell>
          <cell r="T1847" t="str">
            <v>標準</v>
          </cell>
        </row>
        <row r="1848">
          <cell r="F1848" t="str">
            <v>H0000102705</v>
          </cell>
          <cell r="I1848" t="str">
            <v>フレーム</v>
          </cell>
          <cell r="J1848" t="str">
            <v>S-Frame_RX-50_N_NNNN</v>
          </cell>
          <cell r="K1848" t="str">
            <v>S-フレーム_RX-50_N_NNNN</v>
          </cell>
          <cell r="L1848" t="str">
            <v>S-Frame</v>
          </cell>
          <cell r="M1848" t="str">
            <v>S-フレーム</v>
          </cell>
          <cell r="P1848" t="str">
            <v>31B0</v>
          </cell>
          <cell r="Q1848" t="str">
            <v>SS400</v>
          </cell>
          <cell r="R1848" t="str">
            <v>E389566_01</v>
          </cell>
          <cell r="S1848">
            <v>548</v>
          </cell>
          <cell r="T1848" t="str">
            <v>標準</v>
          </cell>
        </row>
        <row r="1849">
          <cell r="F1849" t="str">
            <v>H0000102706</v>
          </cell>
          <cell r="I1849" t="str">
            <v>フレーム</v>
          </cell>
          <cell r="J1849" t="str">
            <v>S-Frame_RX-50_N_NNNN</v>
          </cell>
          <cell r="K1849" t="str">
            <v>S-フレーム_RX-50_N_NNNN</v>
          </cell>
          <cell r="L1849" t="str">
            <v>S-Frame</v>
          </cell>
          <cell r="M1849" t="str">
            <v>S-フレーム</v>
          </cell>
          <cell r="P1849" t="str">
            <v>31B0</v>
          </cell>
          <cell r="Q1849" t="str">
            <v>SS400</v>
          </cell>
          <cell r="R1849" t="str">
            <v>E389566_01</v>
          </cell>
          <cell r="S1849">
            <v>548</v>
          </cell>
          <cell r="T1849" t="str">
            <v>標準</v>
          </cell>
        </row>
        <row r="1850">
          <cell r="F1850" t="str">
            <v>H0000102707</v>
          </cell>
          <cell r="I1850" t="str">
            <v>フレーム</v>
          </cell>
          <cell r="J1850" t="str">
            <v>S-Frame_RX-50_N_NNNN</v>
          </cell>
          <cell r="K1850" t="str">
            <v>S-フレーム_RX-50_N_NNNN</v>
          </cell>
          <cell r="L1850" t="str">
            <v>S-Frame</v>
          </cell>
          <cell r="M1850" t="str">
            <v>S-フレーム</v>
          </cell>
          <cell r="P1850" t="str">
            <v>31B0</v>
          </cell>
          <cell r="Q1850" t="str">
            <v>SS400</v>
          </cell>
          <cell r="R1850" t="str">
            <v>E389566_01</v>
          </cell>
          <cell r="S1850">
            <v>548</v>
          </cell>
          <cell r="T1850" t="str">
            <v>標準</v>
          </cell>
        </row>
        <row r="1851">
          <cell r="F1851" t="str">
            <v>H0000102708</v>
          </cell>
          <cell r="I1851" t="str">
            <v>フレーム</v>
          </cell>
          <cell r="J1851" t="str">
            <v>S-Frame_RX-50_N_NNNN</v>
          </cell>
          <cell r="K1851" t="str">
            <v>S-フレーム_RX-50_N_NNNN</v>
          </cell>
          <cell r="L1851" t="str">
            <v>S-Frame</v>
          </cell>
          <cell r="M1851" t="str">
            <v>S-フレーム</v>
          </cell>
          <cell r="P1851" t="str">
            <v>31B0</v>
          </cell>
          <cell r="Q1851" t="str">
            <v>SS400</v>
          </cell>
          <cell r="R1851" t="str">
            <v>E389566_01</v>
          </cell>
          <cell r="S1851">
            <v>548</v>
          </cell>
          <cell r="T1851" t="str">
            <v>標準</v>
          </cell>
        </row>
        <row r="1852">
          <cell r="F1852" t="str">
            <v>H0000102709</v>
          </cell>
          <cell r="I1852" t="str">
            <v>フレーム</v>
          </cell>
          <cell r="J1852" t="str">
            <v>S-Frame_RX-50_N_NNNN</v>
          </cell>
          <cell r="K1852" t="str">
            <v>S-フレーム_RX-50_N_NNNN</v>
          </cell>
          <cell r="L1852" t="str">
            <v>S-Frame</v>
          </cell>
          <cell r="M1852" t="str">
            <v>S-フレーム</v>
          </cell>
          <cell r="P1852" t="str">
            <v>31B0</v>
          </cell>
          <cell r="Q1852" t="str">
            <v>SS400</v>
          </cell>
          <cell r="R1852" t="str">
            <v>E389566_01</v>
          </cell>
          <cell r="S1852">
            <v>548</v>
          </cell>
          <cell r="T1852" t="str">
            <v>標準</v>
          </cell>
        </row>
        <row r="1853">
          <cell r="F1853" t="str">
            <v>H0000102710</v>
          </cell>
          <cell r="I1853" t="str">
            <v>フレーム</v>
          </cell>
          <cell r="J1853" t="str">
            <v>S-Frame_RX-50_N_NNNN</v>
          </cell>
          <cell r="K1853" t="str">
            <v>S-フレーム_RX-50_N_NNNN</v>
          </cell>
          <cell r="L1853" t="str">
            <v>S-Frame</v>
          </cell>
          <cell r="M1853" t="str">
            <v>S-フレーム</v>
          </cell>
          <cell r="P1853" t="str">
            <v>31B0</v>
          </cell>
          <cell r="Q1853" t="str">
            <v>SS400</v>
          </cell>
          <cell r="R1853" t="str">
            <v>E389566_01</v>
          </cell>
          <cell r="S1853">
            <v>548</v>
          </cell>
          <cell r="T1853" t="str">
            <v>標準</v>
          </cell>
        </row>
        <row r="1854">
          <cell r="F1854" t="str">
            <v>H0000102711</v>
          </cell>
          <cell r="I1854" t="str">
            <v>フレーム</v>
          </cell>
          <cell r="J1854" t="str">
            <v>S-Frame_RX-50_N_TTTT</v>
          </cell>
          <cell r="K1854" t="str">
            <v>S-フレーム_RX-50_N_TTTT</v>
          </cell>
          <cell r="L1854" t="str">
            <v>S-Frame</v>
          </cell>
          <cell r="M1854" t="str">
            <v>S-フレーム</v>
          </cell>
          <cell r="P1854" t="str">
            <v>31B0</v>
          </cell>
          <cell r="Q1854" t="str">
            <v>SS400</v>
          </cell>
          <cell r="R1854" t="str">
            <v>E389566_01</v>
          </cell>
          <cell r="S1854">
            <v>548</v>
          </cell>
          <cell r="T1854" t="str">
            <v>標準</v>
          </cell>
        </row>
        <row r="1855">
          <cell r="F1855" t="str">
            <v>H0000102712</v>
          </cell>
          <cell r="I1855" t="str">
            <v>フレーム</v>
          </cell>
          <cell r="J1855" t="str">
            <v>S-Frame_RX-50_N_TTTT</v>
          </cell>
          <cell r="K1855" t="str">
            <v>S-フレーム_RX-50_N_TTTT</v>
          </cell>
          <cell r="L1855" t="str">
            <v>S-Frame</v>
          </cell>
          <cell r="M1855" t="str">
            <v>S-フレーム</v>
          </cell>
          <cell r="P1855" t="str">
            <v>31B0</v>
          </cell>
          <cell r="Q1855" t="str">
            <v>SS400</v>
          </cell>
          <cell r="R1855" t="str">
            <v>E389566_01</v>
          </cell>
          <cell r="S1855">
            <v>548</v>
          </cell>
          <cell r="T1855" t="str">
            <v>標準</v>
          </cell>
        </row>
        <row r="1856">
          <cell r="F1856" t="str">
            <v>H0000102713</v>
          </cell>
          <cell r="I1856" t="str">
            <v>フレーム</v>
          </cell>
          <cell r="J1856" t="str">
            <v>S-Frame_RX-50_N_TTTT</v>
          </cell>
          <cell r="K1856" t="str">
            <v>S-フレーム_RX-50_N_TTTT</v>
          </cell>
          <cell r="L1856" t="str">
            <v>S-Frame</v>
          </cell>
          <cell r="M1856" t="str">
            <v>S-フレーム</v>
          </cell>
          <cell r="P1856" t="str">
            <v>31B0</v>
          </cell>
          <cell r="Q1856" t="str">
            <v>SS400</v>
          </cell>
          <cell r="R1856" t="str">
            <v>E389566_01</v>
          </cell>
          <cell r="S1856">
            <v>548</v>
          </cell>
          <cell r="T1856" t="str">
            <v>標準</v>
          </cell>
        </row>
        <row r="1857">
          <cell r="F1857" t="str">
            <v>H0000102714</v>
          </cell>
          <cell r="I1857" t="str">
            <v>フレーム</v>
          </cell>
          <cell r="J1857" t="str">
            <v>S-Frame_RX-50_N_TTTT</v>
          </cell>
          <cell r="K1857" t="str">
            <v>S-フレーム_RX-50_N_TTTT</v>
          </cell>
          <cell r="L1857" t="str">
            <v>S-Frame</v>
          </cell>
          <cell r="M1857" t="str">
            <v>S-フレーム</v>
          </cell>
          <cell r="P1857" t="str">
            <v>31B0</v>
          </cell>
          <cell r="Q1857" t="str">
            <v>SS400</v>
          </cell>
          <cell r="R1857" t="str">
            <v>E389566_01</v>
          </cell>
          <cell r="S1857">
            <v>548</v>
          </cell>
          <cell r="T1857" t="str">
            <v>標準</v>
          </cell>
        </row>
        <row r="1858">
          <cell r="F1858" t="str">
            <v>H0000102715</v>
          </cell>
          <cell r="I1858" t="str">
            <v>フレーム</v>
          </cell>
          <cell r="J1858" t="str">
            <v>S-Frame_RX-50_N_TTTT</v>
          </cell>
          <cell r="K1858" t="str">
            <v>S-フレーム_RX-50_N_TTTT</v>
          </cell>
          <cell r="L1858" t="str">
            <v>S-Frame</v>
          </cell>
          <cell r="M1858" t="str">
            <v>S-フレーム</v>
          </cell>
          <cell r="P1858" t="str">
            <v>31B0</v>
          </cell>
          <cell r="Q1858" t="str">
            <v>SS400</v>
          </cell>
          <cell r="R1858" t="str">
            <v>E389566_01</v>
          </cell>
          <cell r="S1858">
            <v>548</v>
          </cell>
          <cell r="T1858" t="str">
            <v>標準</v>
          </cell>
        </row>
        <row r="1859">
          <cell r="F1859" t="str">
            <v>H0000102716</v>
          </cell>
          <cell r="I1859" t="str">
            <v>フレーム</v>
          </cell>
          <cell r="J1859" t="str">
            <v>S-Frame_RX-50_N_TTTT</v>
          </cell>
          <cell r="K1859" t="str">
            <v>S-フレーム_RX-50_N_TTTT</v>
          </cell>
          <cell r="L1859" t="str">
            <v>S-Frame</v>
          </cell>
          <cell r="M1859" t="str">
            <v>S-フレーム</v>
          </cell>
          <cell r="P1859" t="str">
            <v>31B0</v>
          </cell>
          <cell r="Q1859" t="str">
            <v>SS400</v>
          </cell>
          <cell r="R1859" t="str">
            <v>E389566_01</v>
          </cell>
          <cell r="S1859">
            <v>548</v>
          </cell>
          <cell r="T1859" t="str">
            <v>標準</v>
          </cell>
        </row>
        <row r="1860">
          <cell r="F1860" t="str">
            <v>H0000102717</v>
          </cell>
          <cell r="I1860" t="str">
            <v>フレーム</v>
          </cell>
          <cell r="J1860" t="str">
            <v>S-Frame_RX-50_N_TTTT</v>
          </cell>
          <cell r="K1860" t="str">
            <v>S-フレーム_RX-50_N_TTTT</v>
          </cell>
          <cell r="L1860" t="str">
            <v>S-Frame</v>
          </cell>
          <cell r="M1860" t="str">
            <v>S-フレーム</v>
          </cell>
          <cell r="P1860" t="str">
            <v>31B0</v>
          </cell>
          <cell r="Q1860" t="str">
            <v>SS400</v>
          </cell>
          <cell r="R1860" t="str">
            <v>E389566_01</v>
          </cell>
          <cell r="S1860">
            <v>548</v>
          </cell>
          <cell r="T1860" t="str">
            <v>標準</v>
          </cell>
        </row>
        <row r="1861">
          <cell r="F1861" t="str">
            <v>H0000102718</v>
          </cell>
          <cell r="I1861" t="str">
            <v>フレーム</v>
          </cell>
          <cell r="J1861" t="str">
            <v>S-Frame_RX-50_N_TTTT</v>
          </cell>
          <cell r="K1861" t="str">
            <v>S-フレーム_RX-50_N_TTTT</v>
          </cell>
          <cell r="L1861" t="str">
            <v>S-Frame</v>
          </cell>
          <cell r="M1861" t="str">
            <v>S-フレーム</v>
          </cell>
          <cell r="P1861" t="str">
            <v>31B0</v>
          </cell>
          <cell r="Q1861" t="str">
            <v>SS400</v>
          </cell>
          <cell r="R1861" t="str">
            <v>E389566_01</v>
          </cell>
          <cell r="S1861">
            <v>548</v>
          </cell>
          <cell r="T1861" t="str">
            <v>標準</v>
          </cell>
        </row>
        <row r="1862">
          <cell r="F1862" t="str">
            <v>H0000102719</v>
          </cell>
          <cell r="I1862" t="str">
            <v>フレーム</v>
          </cell>
          <cell r="J1862" t="str">
            <v>S-Frame_RX-50_N_TTTT</v>
          </cell>
          <cell r="K1862" t="str">
            <v>S-フレーム_RX-50_N_TTTT</v>
          </cell>
          <cell r="L1862" t="str">
            <v>S-Frame</v>
          </cell>
          <cell r="M1862" t="str">
            <v>S-フレーム</v>
          </cell>
          <cell r="P1862" t="str">
            <v>31B0</v>
          </cell>
          <cell r="Q1862" t="str">
            <v>SS400</v>
          </cell>
          <cell r="R1862" t="str">
            <v>E389566_01</v>
          </cell>
          <cell r="S1862">
            <v>548</v>
          </cell>
          <cell r="T1862" t="str">
            <v>標準</v>
          </cell>
        </row>
        <row r="1863">
          <cell r="F1863" t="str">
            <v>H0000102720</v>
          </cell>
          <cell r="I1863" t="str">
            <v>フレーム</v>
          </cell>
          <cell r="J1863" t="str">
            <v>S-Frame_RX-50_N_TKTK</v>
          </cell>
          <cell r="K1863" t="str">
            <v>S-フレーム_RX-50_N_TKTK</v>
          </cell>
          <cell r="L1863" t="str">
            <v>S-Frame</v>
          </cell>
          <cell r="M1863" t="str">
            <v>S-フレーム</v>
          </cell>
          <cell r="P1863" t="str">
            <v>31B0</v>
          </cell>
          <cell r="Q1863" t="str">
            <v>SS400</v>
          </cell>
          <cell r="R1863" t="str">
            <v>E389566_01</v>
          </cell>
          <cell r="S1863">
            <v>548</v>
          </cell>
          <cell r="T1863" t="str">
            <v>標準</v>
          </cell>
        </row>
        <row r="1864">
          <cell r="F1864" t="str">
            <v>H0000102721</v>
          </cell>
          <cell r="I1864" t="str">
            <v>フレーム</v>
          </cell>
          <cell r="J1864" t="str">
            <v>S-Frame_RX-50_N_TKTK</v>
          </cell>
          <cell r="K1864" t="str">
            <v>S-フレーム_RX-50_N_TKTK</v>
          </cell>
          <cell r="L1864" t="str">
            <v>S-Frame</v>
          </cell>
          <cell r="M1864" t="str">
            <v>S-フレーム</v>
          </cell>
          <cell r="P1864" t="str">
            <v>31B0</v>
          </cell>
          <cell r="Q1864" t="str">
            <v>SS400</v>
          </cell>
          <cell r="R1864" t="str">
            <v>E389566_01</v>
          </cell>
          <cell r="S1864">
            <v>548</v>
          </cell>
          <cell r="T1864" t="str">
            <v>標準</v>
          </cell>
        </row>
        <row r="1865">
          <cell r="F1865" t="str">
            <v>H0000102722</v>
          </cell>
          <cell r="I1865" t="str">
            <v>フレーム</v>
          </cell>
          <cell r="J1865" t="str">
            <v>S-Frame_RX-50_N_TKTK</v>
          </cell>
          <cell r="K1865" t="str">
            <v>S-フレーム_RX-50_N_TKTK</v>
          </cell>
          <cell r="L1865" t="str">
            <v>S-Frame</v>
          </cell>
          <cell r="M1865" t="str">
            <v>S-フレーム</v>
          </cell>
          <cell r="P1865" t="str">
            <v>31B0</v>
          </cell>
          <cell r="Q1865" t="str">
            <v>SS400</v>
          </cell>
          <cell r="R1865" t="str">
            <v>E389566_01</v>
          </cell>
          <cell r="S1865">
            <v>548</v>
          </cell>
          <cell r="T1865" t="str">
            <v>標準</v>
          </cell>
        </row>
        <row r="1866">
          <cell r="F1866" t="str">
            <v>H0000102723</v>
          </cell>
          <cell r="I1866" t="str">
            <v>フレーム</v>
          </cell>
          <cell r="J1866" t="str">
            <v>S-Frame_RX-50_N_TKTK</v>
          </cell>
          <cell r="K1866" t="str">
            <v>S-フレーム_RX-50_N_TKTK</v>
          </cell>
          <cell r="L1866" t="str">
            <v>S-Frame</v>
          </cell>
          <cell r="M1866" t="str">
            <v>S-フレーム</v>
          </cell>
          <cell r="P1866" t="str">
            <v>31B0</v>
          </cell>
          <cell r="Q1866" t="str">
            <v>SS400</v>
          </cell>
          <cell r="R1866" t="str">
            <v>E389566_01</v>
          </cell>
          <cell r="S1866">
            <v>548</v>
          </cell>
          <cell r="T1866" t="str">
            <v>標準</v>
          </cell>
        </row>
        <row r="1867">
          <cell r="F1867" t="str">
            <v>H0000102724</v>
          </cell>
          <cell r="I1867" t="str">
            <v>フレーム</v>
          </cell>
          <cell r="J1867" t="str">
            <v>S-Frame_RX-50_N_TKTK</v>
          </cell>
          <cell r="K1867" t="str">
            <v>S-フレーム_RX-50_N_TKTK</v>
          </cell>
          <cell r="L1867" t="str">
            <v>S-Frame</v>
          </cell>
          <cell r="M1867" t="str">
            <v>S-フレーム</v>
          </cell>
          <cell r="P1867" t="str">
            <v>31B0</v>
          </cell>
          <cell r="Q1867" t="str">
            <v>SS400</v>
          </cell>
          <cell r="R1867" t="str">
            <v>E389566_01</v>
          </cell>
          <cell r="S1867">
            <v>548</v>
          </cell>
          <cell r="T1867" t="str">
            <v>標準</v>
          </cell>
        </row>
        <row r="1868">
          <cell r="F1868" t="str">
            <v>H0000102725</v>
          </cell>
          <cell r="I1868" t="str">
            <v>フレーム</v>
          </cell>
          <cell r="J1868" t="str">
            <v>S-Frame_RX-50_N_TKTK</v>
          </cell>
          <cell r="K1868" t="str">
            <v>S-フレーム_RX-50_N_TKTK</v>
          </cell>
          <cell r="L1868" t="str">
            <v>S-Frame</v>
          </cell>
          <cell r="M1868" t="str">
            <v>S-フレーム</v>
          </cell>
          <cell r="P1868" t="str">
            <v>31B0</v>
          </cell>
          <cell r="Q1868" t="str">
            <v>SS400</v>
          </cell>
          <cell r="R1868" t="str">
            <v>E389566_01</v>
          </cell>
          <cell r="S1868">
            <v>548</v>
          </cell>
          <cell r="T1868" t="str">
            <v>標準</v>
          </cell>
        </row>
        <row r="1869">
          <cell r="F1869" t="str">
            <v>H0000102726</v>
          </cell>
          <cell r="I1869" t="str">
            <v>フレーム</v>
          </cell>
          <cell r="J1869" t="str">
            <v>S-Frame_RX-50_N_TKTK</v>
          </cell>
          <cell r="K1869" t="str">
            <v>S-フレーム_RX-50_N_TKTK</v>
          </cell>
          <cell r="L1869" t="str">
            <v>S-Frame</v>
          </cell>
          <cell r="M1869" t="str">
            <v>S-フレーム</v>
          </cell>
          <cell r="P1869" t="str">
            <v>31B0</v>
          </cell>
          <cell r="Q1869" t="str">
            <v>SS400</v>
          </cell>
          <cell r="R1869" t="str">
            <v>E389566_01</v>
          </cell>
          <cell r="S1869">
            <v>548</v>
          </cell>
          <cell r="T1869" t="str">
            <v>標準</v>
          </cell>
        </row>
        <row r="1870">
          <cell r="F1870" t="str">
            <v>H0000102727</v>
          </cell>
          <cell r="I1870" t="str">
            <v>フレーム</v>
          </cell>
          <cell r="J1870" t="str">
            <v>S-Frame_RX-50_N_TKTK</v>
          </cell>
          <cell r="K1870" t="str">
            <v>S-フレーム_RX-50_N_TKTK</v>
          </cell>
          <cell r="L1870" t="str">
            <v>S-Frame</v>
          </cell>
          <cell r="M1870" t="str">
            <v>S-フレーム</v>
          </cell>
          <cell r="P1870" t="str">
            <v>31B0</v>
          </cell>
          <cell r="Q1870" t="str">
            <v>SS400</v>
          </cell>
          <cell r="R1870" t="str">
            <v>E389566_01</v>
          </cell>
          <cell r="S1870">
            <v>548</v>
          </cell>
          <cell r="T1870" t="str">
            <v>標準</v>
          </cell>
        </row>
        <row r="1871">
          <cell r="F1871" t="str">
            <v>H0000102728</v>
          </cell>
          <cell r="I1871" t="str">
            <v>フレーム</v>
          </cell>
          <cell r="J1871" t="str">
            <v>S-Frame_RX-50_N_TKTK</v>
          </cell>
          <cell r="K1871" t="str">
            <v>S-フレーム_RX-50_N_TKTK</v>
          </cell>
          <cell r="L1871" t="str">
            <v>S-Frame</v>
          </cell>
          <cell r="M1871" t="str">
            <v>S-フレーム</v>
          </cell>
          <cell r="P1871" t="str">
            <v>31B0</v>
          </cell>
          <cell r="Q1871" t="str">
            <v>SS400</v>
          </cell>
          <cell r="R1871" t="str">
            <v>E389566_01</v>
          </cell>
          <cell r="S1871">
            <v>548</v>
          </cell>
          <cell r="T1871" t="str">
            <v>標準</v>
          </cell>
        </row>
        <row r="1872">
          <cell r="F1872" t="str">
            <v>H0000102729</v>
          </cell>
          <cell r="I1872" t="str">
            <v>フレーム</v>
          </cell>
          <cell r="J1872" t="str">
            <v>S-Frame_RX-50_N_KTKT</v>
          </cell>
          <cell r="K1872" t="str">
            <v>S-フレーム_RX-50_N_KTKT</v>
          </cell>
          <cell r="L1872" t="str">
            <v>S-Frame</v>
          </cell>
          <cell r="M1872" t="str">
            <v>S-フレーム</v>
          </cell>
          <cell r="P1872" t="str">
            <v>31B0</v>
          </cell>
          <cell r="Q1872" t="str">
            <v>SS400</v>
          </cell>
          <cell r="R1872" t="str">
            <v>E389566_01</v>
          </cell>
          <cell r="S1872">
            <v>548</v>
          </cell>
          <cell r="T1872" t="str">
            <v>標準</v>
          </cell>
        </row>
        <row r="1873">
          <cell r="F1873" t="str">
            <v>H0000102730</v>
          </cell>
          <cell r="I1873" t="str">
            <v>フレーム</v>
          </cell>
          <cell r="J1873" t="str">
            <v>S-Frame_RX-50_N_KTKT</v>
          </cell>
          <cell r="K1873" t="str">
            <v>S-フレーム_RX-50_N_KTKT</v>
          </cell>
          <cell r="L1873" t="str">
            <v>S-Frame</v>
          </cell>
          <cell r="M1873" t="str">
            <v>S-フレーム</v>
          </cell>
          <cell r="P1873" t="str">
            <v>31B0</v>
          </cell>
          <cell r="Q1873" t="str">
            <v>SS400</v>
          </cell>
          <cell r="R1873" t="str">
            <v>E389566_01</v>
          </cell>
          <cell r="S1873">
            <v>548</v>
          </cell>
          <cell r="T1873" t="str">
            <v>標準</v>
          </cell>
        </row>
        <row r="1874">
          <cell r="F1874" t="str">
            <v>H0000102731</v>
          </cell>
          <cell r="I1874" t="str">
            <v>フレーム</v>
          </cell>
          <cell r="J1874" t="str">
            <v>S-Frame_RX-50_N_KTKT</v>
          </cell>
          <cell r="K1874" t="str">
            <v>S-フレーム_RX-50_N_KTKT</v>
          </cell>
          <cell r="L1874" t="str">
            <v>S-Frame</v>
          </cell>
          <cell r="M1874" t="str">
            <v>S-フレーム</v>
          </cell>
          <cell r="P1874" t="str">
            <v>31B0</v>
          </cell>
          <cell r="Q1874" t="str">
            <v>SS400</v>
          </cell>
          <cell r="R1874" t="str">
            <v>E389566_01</v>
          </cell>
          <cell r="S1874">
            <v>548</v>
          </cell>
          <cell r="T1874" t="str">
            <v>標準</v>
          </cell>
        </row>
        <row r="1875">
          <cell r="F1875" t="str">
            <v>H0000102732</v>
          </cell>
          <cell r="I1875" t="str">
            <v>フレーム</v>
          </cell>
          <cell r="J1875" t="str">
            <v>S-Frame_RX-50_N_KTKT</v>
          </cell>
          <cell r="K1875" t="str">
            <v>S-フレーム_RX-50_N_KTKT</v>
          </cell>
          <cell r="L1875" t="str">
            <v>S-Frame</v>
          </cell>
          <cell r="M1875" t="str">
            <v>S-フレーム</v>
          </cell>
          <cell r="P1875" t="str">
            <v>31B0</v>
          </cell>
          <cell r="Q1875" t="str">
            <v>SS400</v>
          </cell>
          <cell r="R1875" t="str">
            <v>E389566_01</v>
          </cell>
          <cell r="S1875">
            <v>548</v>
          </cell>
          <cell r="T1875" t="str">
            <v>標準</v>
          </cell>
        </row>
        <row r="1876">
          <cell r="F1876" t="str">
            <v>H0000102733</v>
          </cell>
          <cell r="I1876" t="str">
            <v>フレーム</v>
          </cell>
          <cell r="J1876" t="str">
            <v>S-Frame_RX-50_N_KTKT</v>
          </cell>
          <cell r="K1876" t="str">
            <v>S-フレーム_RX-50_N_KTKT</v>
          </cell>
          <cell r="L1876" t="str">
            <v>S-Frame</v>
          </cell>
          <cell r="M1876" t="str">
            <v>S-フレーム</v>
          </cell>
          <cell r="P1876" t="str">
            <v>31B0</v>
          </cell>
          <cell r="Q1876" t="str">
            <v>SS400</v>
          </cell>
          <cell r="R1876" t="str">
            <v>E389566_01</v>
          </cell>
          <cell r="S1876">
            <v>548</v>
          </cell>
          <cell r="T1876" t="str">
            <v>標準</v>
          </cell>
        </row>
        <row r="1877">
          <cell r="F1877" t="str">
            <v>H0000102734</v>
          </cell>
          <cell r="I1877" t="str">
            <v>フレーム</v>
          </cell>
          <cell r="J1877" t="str">
            <v>S-Frame_RX-50_N_KTKT</v>
          </cell>
          <cell r="K1877" t="str">
            <v>S-フレーム_RX-50_N_KTKT</v>
          </cell>
          <cell r="L1877" t="str">
            <v>S-Frame</v>
          </cell>
          <cell r="M1877" t="str">
            <v>S-フレーム</v>
          </cell>
          <cell r="P1877" t="str">
            <v>31B0</v>
          </cell>
          <cell r="Q1877" t="str">
            <v>SS400</v>
          </cell>
          <cell r="R1877" t="str">
            <v>E389566_01</v>
          </cell>
          <cell r="S1877">
            <v>548</v>
          </cell>
          <cell r="T1877" t="str">
            <v>標準</v>
          </cell>
        </row>
        <row r="1878">
          <cell r="F1878" t="str">
            <v>H0000102735</v>
          </cell>
          <cell r="I1878" t="str">
            <v>フレーム</v>
          </cell>
          <cell r="J1878" t="str">
            <v>S-Frame_RX-50_N_KTKT</v>
          </cell>
          <cell r="K1878" t="str">
            <v>S-フレーム_RX-50_N_KTKT</v>
          </cell>
          <cell r="L1878" t="str">
            <v>S-Frame</v>
          </cell>
          <cell r="M1878" t="str">
            <v>S-フレーム</v>
          </cell>
          <cell r="P1878" t="str">
            <v>31B0</v>
          </cell>
          <cell r="Q1878" t="str">
            <v>SS400</v>
          </cell>
          <cell r="R1878" t="str">
            <v>E389566_01</v>
          </cell>
          <cell r="S1878">
            <v>548</v>
          </cell>
          <cell r="T1878" t="str">
            <v>標準</v>
          </cell>
        </row>
        <row r="1879">
          <cell r="F1879" t="str">
            <v>H0000102736</v>
          </cell>
          <cell r="I1879" t="str">
            <v>フレーム</v>
          </cell>
          <cell r="J1879" t="str">
            <v>S-Frame_RX-50_N_KTKT</v>
          </cell>
          <cell r="K1879" t="str">
            <v>S-フレーム_RX-50_N_KTKT</v>
          </cell>
          <cell r="L1879" t="str">
            <v>S-Frame</v>
          </cell>
          <cell r="M1879" t="str">
            <v>S-フレーム</v>
          </cell>
          <cell r="P1879" t="str">
            <v>31B0</v>
          </cell>
          <cell r="Q1879" t="str">
            <v>SS400</v>
          </cell>
          <cell r="R1879" t="str">
            <v>E389566_01</v>
          </cell>
          <cell r="S1879">
            <v>548</v>
          </cell>
          <cell r="T1879" t="str">
            <v>標準</v>
          </cell>
        </row>
        <row r="1880">
          <cell r="F1880" t="str">
            <v>H0000102737</v>
          </cell>
          <cell r="I1880" t="str">
            <v>フレーム</v>
          </cell>
          <cell r="J1880" t="str">
            <v>S-Frame_RX-50_N_KTKT</v>
          </cell>
          <cell r="K1880" t="str">
            <v>S-フレーム_RX-50_N_KTKT</v>
          </cell>
          <cell r="L1880" t="str">
            <v>S-Frame</v>
          </cell>
          <cell r="M1880" t="str">
            <v>S-フレーム</v>
          </cell>
          <cell r="P1880" t="str">
            <v>31B0</v>
          </cell>
          <cell r="Q1880" t="str">
            <v>SS400</v>
          </cell>
          <cell r="R1880" t="str">
            <v>E389566_01</v>
          </cell>
          <cell r="S1880">
            <v>548</v>
          </cell>
          <cell r="T1880" t="str">
            <v>標準</v>
          </cell>
        </row>
        <row r="1881">
          <cell r="F1881" t="str">
            <v>H0000102738</v>
          </cell>
          <cell r="I1881" t="str">
            <v>フレーム</v>
          </cell>
          <cell r="J1881" t="str">
            <v>S-Frame_RX-50_N_KKKK</v>
          </cell>
          <cell r="K1881" t="str">
            <v>S-フレーム_RX-50_N_KKKK</v>
          </cell>
          <cell r="L1881" t="str">
            <v>S-Frame</v>
          </cell>
          <cell r="M1881" t="str">
            <v>S-フレーム</v>
          </cell>
          <cell r="P1881" t="str">
            <v>31B0</v>
          </cell>
          <cell r="Q1881" t="str">
            <v>SS400</v>
          </cell>
          <cell r="R1881" t="str">
            <v>E389566_01</v>
          </cell>
          <cell r="S1881">
            <v>548</v>
          </cell>
          <cell r="T1881" t="str">
            <v>標準</v>
          </cell>
        </row>
        <row r="1882">
          <cell r="F1882" t="str">
            <v>H0000102739</v>
          </cell>
          <cell r="I1882" t="str">
            <v>フレーム</v>
          </cell>
          <cell r="J1882" t="str">
            <v>S-Frame_RX-50_N_KKKK</v>
          </cell>
          <cell r="K1882" t="str">
            <v>S-フレーム_RX-50_N_KKKK</v>
          </cell>
          <cell r="L1882" t="str">
            <v>S-Frame</v>
          </cell>
          <cell r="M1882" t="str">
            <v>S-フレーム</v>
          </cell>
          <cell r="P1882" t="str">
            <v>31B0</v>
          </cell>
          <cell r="Q1882" t="str">
            <v>SS400</v>
          </cell>
          <cell r="R1882" t="str">
            <v>E389566_01</v>
          </cell>
          <cell r="S1882">
            <v>548</v>
          </cell>
          <cell r="T1882" t="str">
            <v>標準</v>
          </cell>
        </row>
        <row r="1883">
          <cell r="F1883" t="str">
            <v>H0000102740</v>
          </cell>
          <cell r="I1883" t="str">
            <v>フレーム</v>
          </cell>
          <cell r="J1883" t="str">
            <v>S-Frame_RX-50_N_KKKK</v>
          </cell>
          <cell r="K1883" t="str">
            <v>S-フレーム_RX-50_N_KKKK</v>
          </cell>
          <cell r="L1883" t="str">
            <v>S-Frame</v>
          </cell>
          <cell r="M1883" t="str">
            <v>S-フレーム</v>
          </cell>
          <cell r="P1883" t="str">
            <v>31B0</v>
          </cell>
          <cell r="Q1883" t="str">
            <v>SS400</v>
          </cell>
          <cell r="R1883" t="str">
            <v>E389566_01</v>
          </cell>
          <cell r="S1883">
            <v>548</v>
          </cell>
          <cell r="T1883" t="str">
            <v>標準</v>
          </cell>
        </row>
        <row r="1884">
          <cell r="F1884" t="str">
            <v>H0000102741</v>
          </cell>
          <cell r="I1884" t="str">
            <v>フレーム</v>
          </cell>
          <cell r="J1884" t="str">
            <v>S-Frame_RX-50_N_KKKK</v>
          </cell>
          <cell r="K1884" t="str">
            <v>S-フレーム_RX-50_N_KKKK</v>
          </cell>
          <cell r="L1884" t="str">
            <v>S-Frame</v>
          </cell>
          <cell r="M1884" t="str">
            <v>S-フレーム</v>
          </cell>
          <cell r="P1884" t="str">
            <v>31B0</v>
          </cell>
          <cell r="Q1884" t="str">
            <v>SS400</v>
          </cell>
          <cell r="R1884" t="str">
            <v>E389566_01</v>
          </cell>
          <cell r="S1884">
            <v>548</v>
          </cell>
          <cell r="T1884" t="str">
            <v>標準</v>
          </cell>
        </row>
        <row r="1885">
          <cell r="F1885" t="str">
            <v>H0000102742</v>
          </cell>
          <cell r="I1885" t="str">
            <v>フレーム</v>
          </cell>
          <cell r="J1885" t="str">
            <v>S-Frame_RX-50_N_KKKK</v>
          </cell>
          <cell r="K1885" t="str">
            <v>S-フレーム_RX-50_N_KKKK</v>
          </cell>
          <cell r="L1885" t="str">
            <v>S-Frame</v>
          </cell>
          <cell r="M1885" t="str">
            <v>S-フレーム</v>
          </cell>
          <cell r="P1885" t="str">
            <v>31B0</v>
          </cell>
          <cell r="Q1885" t="str">
            <v>SS400</v>
          </cell>
          <cell r="R1885" t="str">
            <v>E389566_01</v>
          </cell>
          <cell r="S1885">
            <v>548</v>
          </cell>
          <cell r="T1885" t="str">
            <v>標準</v>
          </cell>
        </row>
        <row r="1886">
          <cell r="F1886" t="str">
            <v>H0000102743</v>
          </cell>
          <cell r="I1886" t="str">
            <v>フレーム</v>
          </cell>
          <cell r="J1886" t="str">
            <v>S-Frame_RX-50_N_KKKK</v>
          </cell>
          <cell r="K1886" t="str">
            <v>S-フレーム_RX-50_N_KKKK</v>
          </cell>
          <cell r="L1886" t="str">
            <v>S-Frame</v>
          </cell>
          <cell r="M1886" t="str">
            <v>S-フレーム</v>
          </cell>
          <cell r="P1886" t="str">
            <v>31B0</v>
          </cell>
          <cell r="Q1886" t="str">
            <v>SS400</v>
          </cell>
          <cell r="R1886" t="str">
            <v>E389566_01</v>
          </cell>
          <cell r="S1886">
            <v>548</v>
          </cell>
          <cell r="T1886" t="str">
            <v>標準</v>
          </cell>
        </row>
        <row r="1887">
          <cell r="F1887" t="str">
            <v>H0000102744</v>
          </cell>
          <cell r="I1887" t="str">
            <v>フレーム</v>
          </cell>
          <cell r="J1887" t="str">
            <v>S-Frame_RX-50_N_KKKK</v>
          </cell>
          <cell r="K1887" t="str">
            <v>S-フレーム_RX-50_N_KKKK</v>
          </cell>
          <cell r="L1887" t="str">
            <v>S-Frame</v>
          </cell>
          <cell r="M1887" t="str">
            <v>S-フレーム</v>
          </cell>
          <cell r="P1887" t="str">
            <v>31B0</v>
          </cell>
          <cell r="Q1887" t="str">
            <v>SS400</v>
          </cell>
          <cell r="R1887" t="str">
            <v>E389566_01</v>
          </cell>
          <cell r="S1887">
            <v>548</v>
          </cell>
          <cell r="T1887" t="str">
            <v>標準</v>
          </cell>
        </row>
        <row r="1888">
          <cell r="F1888" t="str">
            <v>H0000102745</v>
          </cell>
          <cell r="I1888" t="str">
            <v>フレーム</v>
          </cell>
          <cell r="J1888" t="str">
            <v>S-Frame_RX-50_N_KKKK</v>
          </cell>
          <cell r="K1888" t="str">
            <v>S-フレーム_RX-50_N_KKKK</v>
          </cell>
          <cell r="L1888" t="str">
            <v>S-Frame</v>
          </cell>
          <cell r="M1888" t="str">
            <v>S-フレーム</v>
          </cell>
          <cell r="P1888" t="str">
            <v>31B0</v>
          </cell>
          <cell r="Q1888" t="str">
            <v>SS400</v>
          </cell>
          <cell r="R1888" t="str">
            <v>E389566_01</v>
          </cell>
          <cell r="S1888">
            <v>548</v>
          </cell>
          <cell r="T1888" t="str">
            <v>標準</v>
          </cell>
        </row>
        <row r="1889">
          <cell r="F1889" t="str">
            <v>H0000102746</v>
          </cell>
          <cell r="I1889" t="str">
            <v>フレーム</v>
          </cell>
          <cell r="J1889" t="str">
            <v>S-Frame_RX-50_N_KKKK</v>
          </cell>
          <cell r="K1889" t="str">
            <v>S-フレーム_RX-50_N_KKKK</v>
          </cell>
          <cell r="L1889" t="str">
            <v>S-Frame</v>
          </cell>
          <cell r="M1889" t="str">
            <v>S-フレーム</v>
          </cell>
          <cell r="P1889" t="str">
            <v>31B0</v>
          </cell>
          <cell r="Q1889" t="str">
            <v>SS400</v>
          </cell>
          <cell r="R1889" t="str">
            <v>E389566_01</v>
          </cell>
          <cell r="S1889">
            <v>548</v>
          </cell>
          <cell r="T1889" t="str">
            <v>標準</v>
          </cell>
        </row>
        <row r="1890">
          <cell r="F1890" t="str">
            <v>H0000102747</v>
          </cell>
          <cell r="I1890" t="str">
            <v>フレーム</v>
          </cell>
          <cell r="J1890" t="str">
            <v>S-Frame_GasCutting_RX-50_N_1234</v>
          </cell>
          <cell r="K1890" t="str">
            <v>S-フレーム_ガス溶断_RX-50_N_1234</v>
          </cell>
          <cell r="L1890" t="str">
            <v>S-Frame</v>
          </cell>
          <cell r="M1890" t="str">
            <v>S-フレーム</v>
          </cell>
          <cell r="N1890" t="str">
            <v>GasCutting</v>
          </cell>
          <cell r="O1890" t="str">
            <v>ガス溶断</v>
          </cell>
          <cell r="P1890" t="str">
            <v>31B0</v>
          </cell>
          <cell r="Q1890" t="str">
            <v>SS400</v>
          </cell>
          <cell r="R1890" t="str">
            <v>E389566_01</v>
          </cell>
          <cell r="S1890">
            <v>548</v>
          </cell>
          <cell r="T1890" t="str">
            <v>標準</v>
          </cell>
        </row>
        <row r="1891">
          <cell r="F1891" t="str">
            <v>H0000102748</v>
          </cell>
          <cell r="I1891" t="str">
            <v>フレーム</v>
          </cell>
          <cell r="J1891" t="str">
            <v>S-Frame_RX-50_H_NNNN</v>
          </cell>
          <cell r="K1891" t="str">
            <v>S-フレーム_RX-50_H_NNNN</v>
          </cell>
          <cell r="L1891" t="str">
            <v>S-Frame</v>
          </cell>
          <cell r="M1891" t="str">
            <v>S-フレーム</v>
          </cell>
          <cell r="P1891" t="str">
            <v>31B0</v>
          </cell>
          <cell r="Q1891" t="str">
            <v>SS400</v>
          </cell>
          <cell r="R1891" t="str">
            <v>E389568_01</v>
          </cell>
          <cell r="S1891">
            <v>730</v>
          </cell>
          <cell r="T1891" t="str">
            <v>標準</v>
          </cell>
        </row>
        <row r="1892">
          <cell r="F1892" t="str">
            <v>H0000102749</v>
          </cell>
          <cell r="I1892" t="str">
            <v>フレーム</v>
          </cell>
          <cell r="J1892" t="str">
            <v>S-Frame_RX-50_H_NNNN</v>
          </cell>
          <cell r="K1892" t="str">
            <v>S-フレーム_RX-50_H_NNNN</v>
          </cell>
          <cell r="L1892" t="str">
            <v>S-Frame</v>
          </cell>
          <cell r="M1892" t="str">
            <v>S-フレーム</v>
          </cell>
          <cell r="P1892" t="str">
            <v>31B0</v>
          </cell>
          <cell r="Q1892" t="str">
            <v>SS400</v>
          </cell>
          <cell r="R1892" t="str">
            <v>E389568_01</v>
          </cell>
          <cell r="S1892">
            <v>730</v>
          </cell>
          <cell r="T1892" t="str">
            <v>標準</v>
          </cell>
        </row>
        <row r="1893">
          <cell r="F1893" t="str">
            <v>H0000102750</v>
          </cell>
          <cell r="I1893" t="str">
            <v>フレーム</v>
          </cell>
          <cell r="J1893" t="str">
            <v>S-Frame_RX-50_H_NNNN</v>
          </cell>
          <cell r="K1893" t="str">
            <v>S-フレーム_RX-50_H_NNNN</v>
          </cell>
          <cell r="L1893" t="str">
            <v>S-Frame</v>
          </cell>
          <cell r="M1893" t="str">
            <v>S-フレーム</v>
          </cell>
          <cell r="P1893" t="str">
            <v>31B0</v>
          </cell>
          <cell r="Q1893" t="str">
            <v>SS400</v>
          </cell>
          <cell r="R1893" t="str">
            <v>E389568_01</v>
          </cell>
          <cell r="S1893">
            <v>730</v>
          </cell>
          <cell r="T1893" t="str">
            <v>標準</v>
          </cell>
        </row>
        <row r="1894">
          <cell r="F1894" t="str">
            <v>H0000102751</v>
          </cell>
          <cell r="I1894" t="str">
            <v>フレーム</v>
          </cell>
          <cell r="J1894" t="str">
            <v>S-Frame_RX-50_H_NNNN</v>
          </cell>
          <cell r="K1894" t="str">
            <v>S-フレーム_RX-50_H_NNNN</v>
          </cell>
          <cell r="L1894" t="str">
            <v>S-Frame</v>
          </cell>
          <cell r="M1894" t="str">
            <v>S-フレーム</v>
          </cell>
          <cell r="P1894" t="str">
            <v>31B0</v>
          </cell>
          <cell r="Q1894" t="str">
            <v>SS400</v>
          </cell>
          <cell r="R1894" t="str">
            <v>E389568_01</v>
          </cell>
          <cell r="S1894">
            <v>730</v>
          </cell>
          <cell r="T1894" t="str">
            <v>標準</v>
          </cell>
        </row>
        <row r="1895">
          <cell r="F1895" t="str">
            <v>H0000102752</v>
          </cell>
          <cell r="I1895" t="str">
            <v>フレーム</v>
          </cell>
          <cell r="J1895" t="str">
            <v>S-Frame_RX-50_H_NNNN</v>
          </cell>
          <cell r="K1895" t="str">
            <v>S-フレーム_RX-50_H_NNNN</v>
          </cell>
          <cell r="L1895" t="str">
            <v>S-Frame</v>
          </cell>
          <cell r="M1895" t="str">
            <v>S-フレーム</v>
          </cell>
          <cell r="P1895" t="str">
            <v>31B0</v>
          </cell>
          <cell r="Q1895" t="str">
            <v>SS400</v>
          </cell>
          <cell r="R1895" t="str">
            <v>E389568_01</v>
          </cell>
          <cell r="S1895">
            <v>730</v>
          </cell>
          <cell r="T1895" t="str">
            <v>標準</v>
          </cell>
        </row>
        <row r="1896">
          <cell r="F1896" t="str">
            <v>H0000102753</v>
          </cell>
          <cell r="I1896" t="str">
            <v>フレーム</v>
          </cell>
          <cell r="J1896" t="str">
            <v>S-Frame_RX-50_H_NNNN</v>
          </cell>
          <cell r="K1896" t="str">
            <v>S-フレーム_RX-50_H_NNNN</v>
          </cell>
          <cell r="L1896" t="str">
            <v>S-Frame</v>
          </cell>
          <cell r="M1896" t="str">
            <v>S-フレーム</v>
          </cell>
          <cell r="P1896" t="str">
            <v>31B0</v>
          </cell>
          <cell r="Q1896" t="str">
            <v>SS400</v>
          </cell>
          <cell r="R1896" t="str">
            <v>E389568_01</v>
          </cell>
          <cell r="S1896">
            <v>730</v>
          </cell>
          <cell r="T1896" t="str">
            <v>標準</v>
          </cell>
        </row>
        <row r="1897">
          <cell r="F1897" t="str">
            <v>H0000102754</v>
          </cell>
          <cell r="I1897" t="str">
            <v>フレーム</v>
          </cell>
          <cell r="J1897" t="str">
            <v>S-Frame_RX-50_H_NNNN</v>
          </cell>
          <cell r="K1897" t="str">
            <v>S-フレーム_RX-50_H_NNNN</v>
          </cell>
          <cell r="L1897" t="str">
            <v>S-Frame</v>
          </cell>
          <cell r="M1897" t="str">
            <v>S-フレーム</v>
          </cell>
          <cell r="P1897" t="str">
            <v>31B0</v>
          </cell>
          <cell r="Q1897" t="str">
            <v>SS400</v>
          </cell>
          <cell r="R1897" t="str">
            <v>E389568_01</v>
          </cell>
          <cell r="S1897">
            <v>730</v>
          </cell>
          <cell r="T1897" t="str">
            <v>標準</v>
          </cell>
        </row>
        <row r="1898">
          <cell r="F1898" t="str">
            <v>H0000102755</v>
          </cell>
          <cell r="I1898" t="str">
            <v>フレーム</v>
          </cell>
          <cell r="J1898" t="str">
            <v>S-Frame_RX-50_H_NNNN</v>
          </cell>
          <cell r="K1898" t="str">
            <v>S-フレーム_RX-50_H_NNNN</v>
          </cell>
          <cell r="L1898" t="str">
            <v>S-Frame</v>
          </cell>
          <cell r="M1898" t="str">
            <v>S-フレーム</v>
          </cell>
          <cell r="P1898" t="str">
            <v>31B0</v>
          </cell>
          <cell r="Q1898" t="str">
            <v>SS400</v>
          </cell>
          <cell r="R1898" t="str">
            <v>E389568_01</v>
          </cell>
          <cell r="S1898">
            <v>730</v>
          </cell>
          <cell r="T1898" t="str">
            <v>標準</v>
          </cell>
        </row>
        <row r="1899">
          <cell r="F1899" t="str">
            <v>H0000102756</v>
          </cell>
          <cell r="I1899" t="str">
            <v>フレーム</v>
          </cell>
          <cell r="J1899" t="str">
            <v>S-Frame_RX-50_H_NNNN</v>
          </cell>
          <cell r="K1899" t="str">
            <v>S-フレーム_RX-50_H_NNNN</v>
          </cell>
          <cell r="L1899" t="str">
            <v>S-Frame</v>
          </cell>
          <cell r="M1899" t="str">
            <v>S-フレーム</v>
          </cell>
          <cell r="P1899" t="str">
            <v>31B0</v>
          </cell>
          <cell r="Q1899" t="str">
            <v>SS400</v>
          </cell>
          <cell r="R1899" t="str">
            <v>E389568_01</v>
          </cell>
          <cell r="S1899">
            <v>730</v>
          </cell>
          <cell r="T1899" t="str">
            <v>標準</v>
          </cell>
        </row>
        <row r="1900">
          <cell r="F1900" t="str">
            <v>H0000102757</v>
          </cell>
          <cell r="I1900" t="str">
            <v>フレーム</v>
          </cell>
          <cell r="J1900" t="str">
            <v>S-Frame_RX-50_H_TTTT</v>
          </cell>
          <cell r="K1900" t="str">
            <v>S-フレーム_RX-50_H_TTTT</v>
          </cell>
          <cell r="L1900" t="str">
            <v>S-Frame</v>
          </cell>
          <cell r="M1900" t="str">
            <v>S-フレーム</v>
          </cell>
          <cell r="P1900" t="str">
            <v>31B0</v>
          </cell>
          <cell r="Q1900" t="str">
            <v>SS400</v>
          </cell>
          <cell r="R1900" t="str">
            <v>E389568_01</v>
          </cell>
          <cell r="S1900">
            <v>730</v>
          </cell>
          <cell r="T1900" t="str">
            <v>標準</v>
          </cell>
        </row>
        <row r="1901">
          <cell r="F1901" t="str">
            <v>H0000102758</v>
          </cell>
          <cell r="I1901" t="str">
            <v>フレーム</v>
          </cell>
          <cell r="J1901" t="str">
            <v>S-Frame_RX-50_H_TTTT</v>
          </cell>
          <cell r="K1901" t="str">
            <v>S-フレーム_RX-50_H_TTTT</v>
          </cell>
          <cell r="L1901" t="str">
            <v>S-Frame</v>
          </cell>
          <cell r="M1901" t="str">
            <v>S-フレーム</v>
          </cell>
          <cell r="P1901" t="str">
            <v>31B0</v>
          </cell>
          <cell r="Q1901" t="str">
            <v>SS400</v>
          </cell>
          <cell r="R1901" t="str">
            <v>E389568_01</v>
          </cell>
          <cell r="S1901">
            <v>730</v>
          </cell>
          <cell r="T1901" t="str">
            <v>標準</v>
          </cell>
        </row>
        <row r="1902">
          <cell r="F1902" t="str">
            <v>H0000102759</v>
          </cell>
          <cell r="I1902" t="str">
            <v>フレーム</v>
          </cell>
          <cell r="J1902" t="str">
            <v>S-Frame_RX-50_H_TTTT</v>
          </cell>
          <cell r="K1902" t="str">
            <v>S-フレーム_RX-50_H_TTTT</v>
          </cell>
          <cell r="L1902" t="str">
            <v>S-Frame</v>
          </cell>
          <cell r="M1902" t="str">
            <v>S-フレーム</v>
          </cell>
          <cell r="P1902" t="str">
            <v>31B0</v>
          </cell>
          <cell r="Q1902" t="str">
            <v>SS400</v>
          </cell>
          <cell r="R1902" t="str">
            <v>E389568_01</v>
          </cell>
          <cell r="S1902">
            <v>730</v>
          </cell>
          <cell r="T1902" t="str">
            <v>標準</v>
          </cell>
        </row>
        <row r="1903">
          <cell r="F1903" t="str">
            <v>H0000102760</v>
          </cell>
          <cell r="I1903" t="str">
            <v>フレーム</v>
          </cell>
          <cell r="J1903" t="str">
            <v>S-Frame_RX-50_H_TTTT</v>
          </cell>
          <cell r="K1903" t="str">
            <v>S-フレーム_RX-50_H_TTTT</v>
          </cell>
          <cell r="L1903" t="str">
            <v>S-Frame</v>
          </cell>
          <cell r="M1903" t="str">
            <v>S-フレーム</v>
          </cell>
          <cell r="P1903" t="str">
            <v>31B0</v>
          </cell>
          <cell r="Q1903" t="str">
            <v>SS400</v>
          </cell>
          <cell r="R1903" t="str">
            <v>E389568_01</v>
          </cell>
          <cell r="S1903">
            <v>730</v>
          </cell>
          <cell r="T1903" t="str">
            <v>標準</v>
          </cell>
        </row>
        <row r="1904">
          <cell r="F1904" t="str">
            <v>H0000102761</v>
          </cell>
          <cell r="I1904" t="str">
            <v>フレーム</v>
          </cell>
          <cell r="J1904" t="str">
            <v>S-Frame_RX-50_H_TTTT</v>
          </cell>
          <cell r="K1904" t="str">
            <v>S-フレーム_RX-50_H_TTTT</v>
          </cell>
          <cell r="L1904" t="str">
            <v>S-Frame</v>
          </cell>
          <cell r="M1904" t="str">
            <v>S-フレーム</v>
          </cell>
          <cell r="P1904" t="str">
            <v>31B0</v>
          </cell>
          <cell r="Q1904" t="str">
            <v>SS400</v>
          </cell>
          <cell r="R1904" t="str">
            <v>E389568_01</v>
          </cell>
          <cell r="S1904">
            <v>730</v>
          </cell>
          <cell r="T1904" t="str">
            <v>標準</v>
          </cell>
        </row>
        <row r="1905">
          <cell r="F1905" t="str">
            <v>H0000102762</v>
          </cell>
          <cell r="I1905" t="str">
            <v>フレーム</v>
          </cell>
          <cell r="J1905" t="str">
            <v>S-Frame_RX-50_H_TTTT</v>
          </cell>
          <cell r="K1905" t="str">
            <v>S-フレーム_RX-50_H_TTTT</v>
          </cell>
          <cell r="L1905" t="str">
            <v>S-Frame</v>
          </cell>
          <cell r="M1905" t="str">
            <v>S-フレーム</v>
          </cell>
          <cell r="P1905" t="str">
            <v>31B0</v>
          </cell>
          <cell r="Q1905" t="str">
            <v>SS400</v>
          </cell>
          <cell r="R1905" t="str">
            <v>E389568_01</v>
          </cell>
          <cell r="S1905">
            <v>730</v>
          </cell>
          <cell r="T1905" t="str">
            <v>標準</v>
          </cell>
        </row>
        <row r="1906">
          <cell r="F1906" t="str">
            <v>H0000102763</v>
          </cell>
          <cell r="I1906" t="str">
            <v>フレーム</v>
          </cell>
          <cell r="J1906" t="str">
            <v>S-Frame_RX-50_H_TTTT</v>
          </cell>
          <cell r="K1906" t="str">
            <v>S-フレーム_RX-50_H_TTTT</v>
          </cell>
          <cell r="L1906" t="str">
            <v>S-Frame</v>
          </cell>
          <cell r="M1906" t="str">
            <v>S-フレーム</v>
          </cell>
          <cell r="P1906" t="str">
            <v>31B0</v>
          </cell>
          <cell r="Q1906" t="str">
            <v>SS400</v>
          </cell>
          <cell r="R1906" t="str">
            <v>E389568_01</v>
          </cell>
          <cell r="S1906">
            <v>730</v>
          </cell>
          <cell r="T1906" t="str">
            <v>標準</v>
          </cell>
        </row>
        <row r="1907">
          <cell r="F1907" t="str">
            <v>H0000102764</v>
          </cell>
          <cell r="I1907" t="str">
            <v>フレーム</v>
          </cell>
          <cell r="J1907" t="str">
            <v>S-Frame_RX-50_H_TTTT</v>
          </cell>
          <cell r="K1907" t="str">
            <v>S-フレーム_RX-50_H_TTTT</v>
          </cell>
          <cell r="L1907" t="str">
            <v>S-Frame</v>
          </cell>
          <cell r="M1907" t="str">
            <v>S-フレーム</v>
          </cell>
          <cell r="P1907" t="str">
            <v>31B0</v>
          </cell>
          <cell r="Q1907" t="str">
            <v>SS400</v>
          </cell>
          <cell r="R1907" t="str">
            <v>E389568_01</v>
          </cell>
          <cell r="S1907">
            <v>730</v>
          </cell>
          <cell r="T1907" t="str">
            <v>標準</v>
          </cell>
        </row>
        <row r="1908">
          <cell r="F1908" t="str">
            <v>H0000102765</v>
          </cell>
          <cell r="I1908" t="str">
            <v>フレーム</v>
          </cell>
          <cell r="J1908" t="str">
            <v>S-Frame_RX-50_H_TTTT</v>
          </cell>
          <cell r="K1908" t="str">
            <v>S-フレーム_RX-50_H_TTTT</v>
          </cell>
          <cell r="L1908" t="str">
            <v>S-Frame</v>
          </cell>
          <cell r="M1908" t="str">
            <v>S-フレーム</v>
          </cell>
          <cell r="P1908" t="str">
            <v>31B0</v>
          </cell>
          <cell r="Q1908" t="str">
            <v>SS400</v>
          </cell>
          <cell r="R1908" t="str">
            <v>E389568_01</v>
          </cell>
          <cell r="S1908">
            <v>730</v>
          </cell>
          <cell r="T1908" t="str">
            <v>標準</v>
          </cell>
        </row>
        <row r="1909">
          <cell r="F1909" t="str">
            <v>H0000102766</v>
          </cell>
          <cell r="I1909" t="str">
            <v>フレーム</v>
          </cell>
          <cell r="J1909" t="str">
            <v>S-Frame_RX-50_H_TKTK</v>
          </cell>
          <cell r="K1909" t="str">
            <v>S-フレーム_RX-50_H_TKTK</v>
          </cell>
          <cell r="L1909" t="str">
            <v>S-Frame</v>
          </cell>
          <cell r="M1909" t="str">
            <v>S-フレーム</v>
          </cell>
          <cell r="P1909" t="str">
            <v>31B0</v>
          </cell>
          <cell r="Q1909" t="str">
            <v>SS400</v>
          </cell>
          <cell r="R1909" t="str">
            <v>E389568_01</v>
          </cell>
          <cell r="S1909">
            <v>730</v>
          </cell>
          <cell r="T1909" t="str">
            <v>標準</v>
          </cell>
        </row>
        <row r="1910">
          <cell r="F1910" t="str">
            <v>H0000102767</v>
          </cell>
          <cell r="I1910" t="str">
            <v>フレーム</v>
          </cell>
          <cell r="J1910" t="str">
            <v>S-Frame_RX-50_H_TKTK</v>
          </cell>
          <cell r="K1910" t="str">
            <v>S-フレーム_RX-50_H_TKTK</v>
          </cell>
          <cell r="L1910" t="str">
            <v>S-Frame</v>
          </cell>
          <cell r="M1910" t="str">
            <v>S-フレーム</v>
          </cell>
          <cell r="P1910" t="str">
            <v>31B0</v>
          </cell>
          <cell r="Q1910" t="str">
            <v>SS400</v>
          </cell>
          <cell r="R1910" t="str">
            <v>E389568_01</v>
          </cell>
          <cell r="S1910">
            <v>730</v>
          </cell>
          <cell r="T1910" t="str">
            <v>標準</v>
          </cell>
        </row>
        <row r="1911">
          <cell r="F1911" t="str">
            <v>H0000102768</v>
          </cell>
          <cell r="I1911" t="str">
            <v>フレーム</v>
          </cell>
          <cell r="J1911" t="str">
            <v>S-Frame_RX-50_H_TKTK</v>
          </cell>
          <cell r="K1911" t="str">
            <v>S-フレーム_RX-50_H_TKTK</v>
          </cell>
          <cell r="L1911" t="str">
            <v>S-Frame</v>
          </cell>
          <cell r="M1911" t="str">
            <v>S-フレーム</v>
          </cell>
          <cell r="P1911" t="str">
            <v>31B0</v>
          </cell>
          <cell r="Q1911" t="str">
            <v>SS400</v>
          </cell>
          <cell r="R1911" t="str">
            <v>E389568_01</v>
          </cell>
          <cell r="S1911">
            <v>730</v>
          </cell>
          <cell r="T1911" t="str">
            <v>標準</v>
          </cell>
        </row>
        <row r="1912">
          <cell r="F1912" t="str">
            <v>H0000102769</v>
          </cell>
          <cell r="I1912" t="str">
            <v>フレーム</v>
          </cell>
          <cell r="J1912" t="str">
            <v>S-Frame_RX-50_H_TKTK</v>
          </cell>
          <cell r="K1912" t="str">
            <v>S-フレーム_RX-50_H_TKTK</v>
          </cell>
          <cell r="L1912" t="str">
            <v>S-Frame</v>
          </cell>
          <cell r="M1912" t="str">
            <v>S-フレーム</v>
          </cell>
          <cell r="P1912" t="str">
            <v>31B0</v>
          </cell>
          <cell r="Q1912" t="str">
            <v>SS400</v>
          </cell>
          <cell r="R1912" t="str">
            <v>E389568_01</v>
          </cell>
          <cell r="S1912">
            <v>730</v>
          </cell>
          <cell r="T1912" t="str">
            <v>標準</v>
          </cell>
        </row>
        <row r="1913">
          <cell r="F1913" t="str">
            <v>H0000102770</v>
          </cell>
          <cell r="I1913" t="str">
            <v>フレーム</v>
          </cell>
          <cell r="J1913" t="str">
            <v>S-Frame_RX-50_H_TKTK</v>
          </cell>
          <cell r="K1913" t="str">
            <v>S-フレーム_RX-50_H_TKTK</v>
          </cell>
          <cell r="L1913" t="str">
            <v>S-Frame</v>
          </cell>
          <cell r="M1913" t="str">
            <v>S-フレーム</v>
          </cell>
          <cell r="P1913" t="str">
            <v>31B0</v>
          </cell>
          <cell r="Q1913" t="str">
            <v>SS400</v>
          </cell>
          <cell r="R1913" t="str">
            <v>E389568_01</v>
          </cell>
          <cell r="S1913">
            <v>730</v>
          </cell>
          <cell r="T1913" t="str">
            <v>標準</v>
          </cell>
        </row>
        <row r="1914">
          <cell r="F1914" t="str">
            <v>H0000102771</v>
          </cell>
          <cell r="I1914" t="str">
            <v>フレーム</v>
          </cell>
          <cell r="J1914" t="str">
            <v>S-Frame_RX-50_H_TKTK</v>
          </cell>
          <cell r="K1914" t="str">
            <v>S-フレーム_RX-50_H_TKTK</v>
          </cell>
          <cell r="L1914" t="str">
            <v>S-Frame</v>
          </cell>
          <cell r="M1914" t="str">
            <v>S-フレーム</v>
          </cell>
          <cell r="P1914" t="str">
            <v>31B0</v>
          </cell>
          <cell r="Q1914" t="str">
            <v>SS400</v>
          </cell>
          <cell r="R1914" t="str">
            <v>E389568_01</v>
          </cell>
          <cell r="S1914">
            <v>730</v>
          </cell>
          <cell r="T1914" t="str">
            <v>標準</v>
          </cell>
        </row>
        <row r="1915">
          <cell r="F1915" t="str">
            <v>H0000102772</v>
          </cell>
          <cell r="I1915" t="str">
            <v>フレーム</v>
          </cell>
          <cell r="J1915" t="str">
            <v>S-Frame_RX-50_H_TKTK</v>
          </cell>
          <cell r="K1915" t="str">
            <v>S-フレーム_RX-50_H_TKTK</v>
          </cell>
          <cell r="L1915" t="str">
            <v>S-Frame</v>
          </cell>
          <cell r="M1915" t="str">
            <v>S-フレーム</v>
          </cell>
          <cell r="P1915" t="str">
            <v>31B0</v>
          </cell>
          <cell r="Q1915" t="str">
            <v>SS400</v>
          </cell>
          <cell r="R1915" t="str">
            <v>E389568_01</v>
          </cell>
          <cell r="S1915">
            <v>730</v>
          </cell>
          <cell r="T1915" t="str">
            <v>標準</v>
          </cell>
        </row>
        <row r="1916">
          <cell r="F1916" t="str">
            <v>H0000102773</v>
          </cell>
          <cell r="I1916" t="str">
            <v>フレーム</v>
          </cell>
          <cell r="J1916" t="str">
            <v>S-Frame_RX-50_H_TKTK</v>
          </cell>
          <cell r="K1916" t="str">
            <v>S-フレーム_RX-50_H_TKTK</v>
          </cell>
          <cell r="L1916" t="str">
            <v>S-Frame</v>
          </cell>
          <cell r="M1916" t="str">
            <v>S-フレーム</v>
          </cell>
          <cell r="P1916" t="str">
            <v>31B0</v>
          </cell>
          <cell r="Q1916" t="str">
            <v>SS400</v>
          </cell>
          <cell r="R1916" t="str">
            <v>E389568_01</v>
          </cell>
          <cell r="S1916">
            <v>730</v>
          </cell>
          <cell r="T1916" t="str">
            <v>標準</v>
          </cell>
        </row>
        <row r="1917">
          <cell r="F1917" t="str">
            <v>H0000102774</v>
          </cell>
          <cell r="I1917" t="str">
            <v>フレーム</v>
          </cell>
          <cell r="J1917" t="str">
            <v>S-Frame_RX-50_H_TKTK</v>
          </cell>
          <cell r="K1917" t="str">
            <v>S-フレーム_RX-50_H_TKTK</v>
          </cell>
          <cell r="L1917" t="str">
            <v>S-Frame</v>
          </cell>
          <cell r="M1917" t="str">
            <v>S-フレーム</v>
          </cell>
          <cell r="P1917" t="str">
            <v>31B0</v>
          </cell>
          <cell r="Q1917" t="str">
            <v>SS400</v>
          </cell>
          <cell r="R1917" t="str">
            <v>E389568_01</v>
          </cell>
          <cell r="S1917">
            <v>730</v>
          </cell>
          <cell r="T1917" t="str">
            <v>標準</v>
          </cell>
        </row>
        <row r="1918">
          <cell r="F1918" t="str">
            <v>H0000102775</v>
          </cell>
          <cell r="I1918" t="str">
            <v>フレーム</v>
          </cell>
          <cell r="J1918" t="str">
            <v>S-Frame_RX-50_H_KTKT</v>
          </cell>
          <cell r="K1918" t="str">
            <v>S-フレーム_RX-50_H_KTKT</v>
          </cell>
          <cell r="L1918" t="str">
            <v>S-Frame</v>
          </cell>
          <cell r="M1918" t="str">
            <v>S-フレーム</v>
          </cell>
          <cell r="P1918" t="str">
            <v>31B0</v>
          </cell>
          <cell r="Q1918" t="str">
            <v>SS400</v>
          </cell>
          <cell r="R1918" t="str">
            <v>E389568_01</v>
          </cell>
          <cell r="S1918">
            <v>730</v>
          </cell>
          <cell r="T1918" t="str">
            <v>標準</v>
          </cell>
        </row>
        <row r="1919">
          <cell r="F1919" t="str">
            <v>H0000102776</v>
          </cell>
          <cell r="I1919" t="str">
            <v>フレーム</v>
          </cell>
          <cell r="J1919" t="str">
            <v>S-Frame_RX-50_H_KTKT</v>
          </cell>
          <cell r="K1919" t="str">
            <v>S-フレーム_RX-50_H_KTKT</v>
          </cell>
          <cell r="L1919" t="str">
            <v>S-Frame</v>
          </cell>
          <cell r="M1919" t="str">
            <v>S-フレーム</v>
          </cell>
          <cell r="P1919" t="str">
            <v>31B0</v>
          </cell>
          <cell r="Q1919" t="str">
            <v>SS400</v>
          </cell>
          <cell r="R1919" t="str">
            <v>E389568_01</v>
          </cell>
          <cell r="S1919">
            <v>730</v>
          </cell>
          <cell r="T1919" t="str">
            <v>標準</v>
          </cell>
        </row>
        <row r="1920">
          <cell r="F1920" t="str">
            <v>H0000102777</v>
          </cell>
          <cell r="I1920" t="str">
            <v>フレーム</v>
          </cell>
          <cell r="J1920" t="str">
            <v>S-Frame_RX-50_H_KTKT</v>
          </cell>
          <cell r="K1920" t="str">
            <v>S-フレーム_RX-50_H_KTKT</v>
          </cell>
          <cell r="L1920" t="str">
            <v>S-Frame</v>
          </cell>
          <cell r="M1920" t="str">
            <v>S-フレーム</v>
          </cell>
          <cell r="P1920" t="str">
            <v>31B0</v>
          </cell>
          <cell r="Q1920" t="str">
            <v>SS400</v>
          </cell>
          <cell r="R1920" t="str">
            <v>E389568_01</v>
          </cell>
          <cell r="S1920">
            <v>730</v>
          </cell>
          <cell r="T1920" t="str">
            <v>標準</v>
          </cell>
        </row>
        <row r="1921">
          <cell r="F1921" t="str">
            <v>H0000102778</v>
          </cell>
          <cell r="I1921" t="str">
            <v>フレーム</v>
          </cell>
          <cell r="J1921" t="str">
            <v>S-Frame_RX-50_H_KTKT</v>
          </cell>
          <cell r="K1921" t="str">
            <v>S-フレーム_RX-50_H_KTKT</v>
          </cell>
          <cell r="L1921" t="str">
            <v>S-Frame</v>
          </cell>
          <cell r="M1921" t="str">
            <v>S-フレーム</v>
          </cell>
          <cell r="P1921" t="str">
            <v>31B0</v>
          </cell>
          <cell r="Q1921" t="str">
            <v>SS400</v>
          </cell>
          <cell r="R1921" t="str">
            <v>E389568_01</v>
          </cell>
          <cell r="S1921">
            <v>730</v>
          </cell>
          <cell r="T1921" t="str">
            <v>標準</v>
          </cell>
        </row>
        <row r="1922">
          <cell r="F1922" t="str">
            <v>H0000102779</v>
          </cell>
          <cell r="I1922" t="str">
            <v>フレーム</v>
          </cell>
          <cell r="J1922" t="str">
            <v>S-Frame_RX-50_H_KTKT</v>
          </cell>
          <cell r="K1922" t="str">
            <v>S-フレーム_RX-50_H_KTKT</v>
          </cell>
          <cell r="L1922" t="str">
            <v>S-Frame</v>
          </cell>
          <cell r="M1922" t="str">
            <v>S-フレーム</v>
          </cell>
          <cell r="P1922" t="str">
            <v>31B0</v>
          </cell>
          <cell r="Q1922" t="str">
            <v>SS400</v>
          </cell>
          <cell r="R1922" t="str">
            <v>E389568_01</v>
          </cell>
          <cell r="S1922">
            <v>730</v>
          </cell>
          <cell r="T1922" t="str">
            <v>標準</v>
          </cell>
        </row>
        <row r="1923">
          <cell r="F1923" t="str">
            <v>H0000102780</v>
          </cell>
          <cell r="I1923" t="str">
            <v>フレーム</v>
          </cell>
          <cell r="J1923" t="str">
            <v>S-Frame_RX-50_H_KTKT</v>
          </cell>
          <cell r="K1923" t="str">
            <v>S-フレーム_RX-50_H_KTKT</v>
          </cell>
          <cell r="L1923" t="str">
            <v>S-Frame</v>
          </cell>
          <cell r="M1923" t="str">
            <v>S-フレーム</v>
          </cell>
          <cell r="P1923" t="str">
            <v>31B0</v>
          </cell>
          <cell r="Q1923" t="str">
            <v>SS400</v>
          </cell>
          <cell r="R1923" t="str">
            <v>E389568_01</v>
          </cell>
          <cell r="S1923">
            <v>730</v>
          </cell>
          <cell r="T1923" t="str">
            <v>標準</v>
          </cell>
        </row>
        <row r="1924">
          <cell r="F1924" t="str">
            <v>H0000102781</v>
          </cell>
          <cell r="I1924" t="str">
            <v>フレーム</v>
          </cell>
          <cell r="J1924" t="str">
            <v>S-Frame_RX-50_H_KTKT</v>
          </cell>
          <cell r="K1924" t="str">
            <v>S-フレーム_RX-50_H_KTKT</v>
          </cell>
          <cell r="L1924" t="str">
            <v>S-Frame</v>
          </cell>
          <cell r="M1924" t="str">
            <v>S-フレーム</v>
          </cell>
          <cell r="P1924" t="str">
            <v>31B0</v>
          </cell>
          <cell r="Q1924" t="str">
            <v>SS400</v>
          </cell>
          <cell r="R1924" t="str">
            <v>E389568_01</v>
          </cell>
          <cell r="S1924">
            <v>730</v>
          </cell>
          <cell r="T1924" t="str">
            <v>標準</v>
          </cell>
        </row>
        <row r="1925">
          <cell r="F1925" t="str">
            <v>H0000102782</v>
          </cell>
          <cell r="I1925" t="str">
            <v>フレーム</v>
          </cell>
          <cell r="J1925" t="str">
            <v>S-Frame_RX-50_H_KTKT</v>
          </cell>
          <cell r="K1925" t="str">
            <v>S-フレーム_RX-50_H_KTKT</v>
          </cell>
          <cell r="L1925" t="str">
            <v>S-Frame</v>
          </cell>
          <cell r="M1925" t="str">
            <v>S-フレーム</v>
          </cell>
          <cell r="P1925" t="str">
            <v>31B0</v>
          </cell>
          <cell r="Q1925" t="str">
            <v>SS400</v>
          </cell>
          <cell r="R1925" t="str">
            <v>E389568_01</v>
          </cell>
          <cell r="S1925">
            <v>730</v>
          </cell>
          <cell r="T1925" t="str">
            <v>標準</v>
          </cell>
        </row>
        <row r="1926">
          <cell r="F1926" t="str">
            <v>H0000102783</v>
          </cell>
          <cell r="I1926" t="str">
            <v>フレーム</v>
          </cell>
          <cell r="J1926" t="str">
            <v>S-Frame_RX-50_H_KTKT</v>
          </cell>
          <cell r="K1926" t="str">
            <v>S-フレーム_RX-50_H_KTKT</v>
          </cell>
          <cell r="L1926" t="str">
            <v>S-Frame</v>
          </cell>
          <cell r="M1926" t="str">
            <v>S-フレーム</v>
          </cell>
          <cell r="P1926" t="str">
            <v>31B0</v>
          </cell>
          <cell r="Q1926" t="str">
            <v>SS400</v>
          </cell>
          <cell r="R1926" t="str">
            <v>E389568_01</v>
          </cell>
          <cell r="S1926">
            <v>730</v>
          </cell>
          <cell r="T1926" t="str">
            <v>標準</v>
          </cell>
        </row>
        <row r="1927">
          <cell r="F1927" t="str">
            <v>H0000102784</v>
          </cell>
          <cell r="I1927" t="str">
            <v>フレーム</v>
          </cell>
          <cell r="J1927" t="str">
            <v>S-Frame_RX-50_H_KKKK</v>
          </cell>
          <cell r="K1927" t="str">
            <v>S-フレーム_RX-50_H_KKKK</v>
          </cell>
          <cell r="L1927" t="str">
            <v>S-Frame</v>
          </cell>
          <cell r="M1927" t="str">
            <v>S-フレーム</v>
          </cell>
          <cell r="P1927" t="str">
            <v>31B0</v>
          </cell>
          <cell r="Q1927" t="str">
            <v>SS400</v>
          </cell>
          <cell r="R1927" t="str">
            <v>E389568_01</v>
          </cell>
          <cell r="S1927">
            <v>730</v>
          </cell>
          <cell r="T1927" t="str">
            <v>標準</v>
          </cell>
        </row>
        <row r="1928">
          <cell r="F1928" t="str">
            <v>H0000102785</v>
          </cell>
          <cell r="I1928" t="str">
            <v>フレーム</v>
          </cell>
          <cell r="J1928" t="str">
            <v>S-Frame_RX-50_H_KKKK</v>
          </cell>
          <cell r="K1928" t="str">
            <v>S-フレーム_RX-50_H_KKKK</v>
          </cell>
          <cell r="L1928" t="str">
            <v>S-Frame</v>
          </cell>
          <cell r="M1928" t="str">
            <v>S-フレーム</v>
          </cell>
          <cell r="P1928" t="str">
            <v>31B0</v>
          </cell>
          <cell r="Q1928" t="str">
            <v>SS400</v>
          </cell>
          <cell r="R1928" t="str">
            <v>E389568_01</v>
          </cell>
          <cell r="S1928">
            <v>730</v>
          </cell>
          <cell r="T1928" t="str">
            <v>標準</v>
          </cell>
        </row>
        <row r="1929">
          <cell r="F1929" t="str">
            <v>H0000102786</v>
          </cell>
          <cell r="I1929" t="str">
            <v>フレーム</v>
          </cell>
          <cell r="J1929" t="str">
            <v>S-Frame_RX-50_H_KKKK</v>
          </cell>
          <cell r="K1929" t="str">
            <v>S-フレーム_RX-50_H_KKKK</v>
          </cell>
          <cell r="L1929" t="str">
            <v>S-Frame</v>
          </cell>
          <cell r="M1929" t="str">
            <v>S-フレーム</v>
          </cell>
          <cell r="P1929" t="str">
            <v>31B0</v>
          </cell>
          <cell r="Q1929" t="str">
            <v>SS400</v>
          </cell>
          <cell r="R1929" t="str">
            <v>E389568_01</v>
          </cell>
          <cell r="S1929">
            <v>730</v>
          </cell>
          <cell r="T1929" t="str">
            <v>標準</v>
          </cell>
        </row>
        <row r="1930">
          <cell r="F1930" t="str">
            <v>H0000102787</v>
          </cell>
          <cell r="I1930" t="str">
            <v>フレーム</v>
          </cell>
          <cell r="J1930" t="str">
            <v>S-Frame_RX-50_H_KKKK</v>
          </cell>
          <cell r="K1930" t="str">
            <v>S-フレーム_RX-50_H_KKKK</v>
          </cell>
          <cell r="L1930" t="str">
            <v>S-Frame</v>
          </cell>
          <cell r="M1930" t="str">
            <v>S-フレーム</v>
          </cell>
          <cell r="P1930" t="str">
            <v>31B0</v>
          </cell>
          <cell r="Q1930" t="str">
            <v>SS400</v>
          </cell>
          <cell r="R1930" t="str">
            <v>E389568_01</v>
          </cell>
          <cell r="S1930">
            <v>730</v>
          </cell>
          <cell r="T1930" t="str">
            <v>標準</v>
          </cell>
        </row>
        <row r="1931">
          <cell r="F1931" t="str">
            <v>H0000102788</v>
          </cell>
          <cell r="I1931" t="str">
            <v>フレーム</v>
          </cell>
          <cell r="J1931" t="str">
            <v>S-Frame_RX-50_H_KKKK</v>
          </cell>
          <cell r="K1931" t="str">
            <v>S-フレーム_RX-50_H_KKKK</v>
          </cell>
          <cell r="L1931" t="str">
            <v>S-Frame</v>
          </cell>
          <cell r="M1931" t="str">
            <v>S-フレーム</v>
          </cell>
          <cell r="P1931" t="str">
            <v>31B0</v>
          </cell>
          <cell r="Q1931" t="str">
            <v>SS400</v>
          </cell>
          <cell r="R1931" t="str">
            <v>E389568_01</v>
          </cell>
          <cell r="S1931">
            <v>730</v>
          </cell>
          <cell r="T1931" t="str">
            <v>標準</v>
          </cell>
        </row>
        <row r="1932">
          <cell r="F1932" t="str">
            <v>H0000102789</v>
          </cell>
          <cell r="I1932" t="str">
            <v>フレーム</v>
          </cell>
          <cell r="J1932" t="str">
            <v>S-Frame_RX-50_H_KKKK</v>
          </cell>
          <cell r="K1932" t="str">
            <v>S-フレーム_RX-50_H_KKKK</v>
          </cell>
          <cell r="L1932" t="str">
            <v>S-Frame</v>
          </cell>
          <cell r="M1932" t="str">
            <v>S-フレーム</v>
          </cell>
          <cell r="P1932" t="str">
            <v>31B0</v>
          </cell>
          <cell r="Q1932" t="str">
            <v>SS400</v>
          </cell>
          <cell r="R1932" t="str">
            <v>E389568_01</v>
          </cell>
          <cell r="S1932">
            <v>730</v>
          </cell>
          <cell r="T1932" t="str">
            <v>標準</v>
          </cell>
        </row>
        <row r="1933">
          <cell r="F1933" t="str">
            <v>H0000102790</v>
          </cell>
          <cell r="I1933" t="str">
            <v>フレーム</v>
          </cell>
          <cell r="J1933" t="str">
            <v>S-Frame_RX-50_H_KKKK</v>
          </cell>
          <cell r="K1933" t="str">
            <v>S-フレーム_RX-50_H_KKKK</v>
          </cell>
          <cell r="L1933" t="str">
            <v>S-Frame</v>
          </cell>
          <cell r="M1933" t="str">
            <v>S-フレーム</v>
          </cell>
          <cell r="P1933" t="str">
            <v>31B0</v>
          </cell>
          <cell r="Q1933" t="str">
            <v>SS400</v>
          </cell>
          <cell r="R1933" t="str">
            <v>E389568_01</v>
          </cell>
          <cell r="S1933">
            <v>730</v>
          </cell>
          <cell r="T1933" t="str">
            <v>標準</v>
          </cell>
        </row>
        <row r="1934">
          <cell r="F1934" t="str">
            <v>H0000102791</v>
          </cell>
          <cell r="I1934" t="str">
            <v>フレーム</v>
          </cell>
          <cell r="J1934" t="str">
            <v>S-Frame_RX-50_H_KKKK</v>
          </cell>
          <cell r="K1934" t="str">
            <v>S-フレーム_RX-50_H_KKKK</v>
          </cell>
          <cell r="L1934" t="str">
            <v>S-Frame</v>
          </cell>
          <cell r="M1934" t="str">
            <v>S-フレーム</v>
          </cell>
          <cell r="P1934" t="str">
            <v>31B0</v>
          </cell>
          <cell r="Q1934" t="str">
            <v>SS400</v>
          </cell>
          <cell r="R1934" t="str">
            <v>E389568_01</v>
          </cell>
          <cell r="S1934">
            <v>730</v>
          </cell>
          <cell r="T1934" t="str">
            <v>標準</v>
          </cell>
        </row>
        <row r="1935">
          <cell r="F1935" t="str">
            <v>H0000102792</v>
          </cell>
          <cell r="I1935" t="str">
            <v>フレーム</v>
          </cell>
          <cell r="J1935" t="str">
            <v>S-Frame_RX-50_H_KKKK</v>
          </cell>
          <cell r="K1935" t="str">
            <v>S-フレーム_RX-50_H_KKKK</v>
          </cell>
          <cell r="L1935" t="str">
            <v>S-Frame</v>
          </cell>
          <cell r="M1935" t="str">
            <v>S-フレーム</v>
          </cell>
          <cell r="P1935" t="str">
            <v>31B0</v>
          </cell>
          <cell r="Q1935" t="str">
            <v>SS400</v>
          </cell>
          <cell r="R1935" t="str">
            <v>E389568_01</v>
          </cell>
          <cell r="S1935">
            <v>730</v>
          </cell>
          <cell r="T1935" t="str">
            <v>標準</v>
          </cell>
        </row>
        <row r="1936">
          <cell r="F1936" t="str">
            <v>H0000102793</v>
          </cell>
          <cell r="I1936" t="str">
            <v>フレーム</v>
          </cell>
          <cell r="J1936" t="str">
            <v>S-Frame_GasCutting_RX-50_H_1234</v>
          </cell>
          <cell r="K1936" t="str">
            <v>S-フレーム_ガス溶断_RX-50_H_1234</v>
          </cell>
          <cell r="L1936" t="str">
            <v>S-Frame</v>
          </cell>
          <cell r="M1936" t="str">
            <v>S-フレーム</v>
          </cell>
          <cell r="N1936" t="str">
            <v>GasCutting</v>
          </cell>
          <cell r="O1936" t="str">
            <v>ガス溶断</v>
          </cell>
          <cell r="P1936" t="str">
            <v>31B0</v>
          </cell>
          <cell r="Q1936" t="str">
            <v>SS400</v>
          </cell>
          <cell r="R1936" t="str">
            <v>E389568_01</v>
          </cell>
          <cell r="S1936">
            <v>730</v>
          </cell>
          <cell r="T1936" t="str">
            <v>標準</v>
          </cell>
        </row>
        <row r="1937">
          <cell r="F1937" t="str">
            <v>H0000102794</v>
          </cell>
          <cell r="I1937" t="str">
            <v>フレーム</v>
          </cell>
          <cell r="J1937" t="str">
            <v>S-Frame_RX-50_U_TTTT</v>
          </cell>
          <cell r="K1937" t="str">
            <v>S-フレーム_RX-50_U_TTTT</v>
          </cell>
          <cell r="L1937" t="str">
            <v>S-Frame</v>
          </cell>
          <cell r="M1937" t="str">
            <v>S-フレーム</v>
          </cell>
          <cell r="P1937" t="str">
            <v>31B0</v>
          </cell>
          <cell r="Q1937" t="str">
            <v>SS400</v>
          </cell>
          <cell r="R1937" t="str">
            <v>E389570_01</v>
          </cell>
          <cell r="S1937">
            <v>1063</v>
          </cell>
          <cell r="T1937" t="str">
            <v>標準</v>
          </cell>
        </row>
        <row r="1938">
          <cell r="F1938" t="str">
            <v>H0000102795</v>
          </cell>
          <cell r="I1938" t="str">
            <v>フレーム</v>
          </cell>
          <cell r="J1938" t="str">
            <v>S-Frame_RX-50_U_TTTT</v>
          </cell>
          <cell r="K1938" t="str">
            <v>S-フレーム_RX-50_U_TTTT</v>
          </cell>
          <cell r="L1938" t="str">
            <v>S-Frame</v>
          </cell>
          <cell r="M1938" t="str">
            <v>S-フレーム</v>
          </cell>
          <cell r="P1938" t="str">
            <v>31B0</v>
          </cell>
          <cell r="Q1938" t="str">
            <v>SS400</v>
          </cell>
          <cell r="R1938" t="str">
            <v>E389570_01</v>
          </cell>
          <cell r="S1938">
            <v>1063</v>
          </cell>
          <cell r="T1938" t="str">
            <v>標準</v>
          </cell>
        </row>
        <row r="1939">
          <cell r="F1939" t="str">
            <v>H0000102796</v>
          </cell>
          <cell r="I1939" t="str">
            <v>フレーム</v>
          </cell>
          <cell r="J1939" t="str">
            <v>S-Frame_RX-50_U_TTTT</v>
          </cell>
          <cell r="K1939" t="str">
            <v>S-フレーム_RX-50_U_TTTT</v>
          </cell>
          <cell r="L1939" t="str">
            <v>S-Frame</v>
          </cell>
          <cell r="M1939" t="str">
            <v>S-フレーム</v>
          </cell>
          <cell r="P1939" t="str">
            <v>31B0</v>
          </cell>
          <cell r="Q1939" t="str">
            <v>SS400</v>
          </cell>
          <cell r="R1939" t="str">
            <v>E389570_01</v>
          </cell>
          <cell r="S1939">
            <v>1063</v>
          </cell>
          <cell r="T1939" t="str">
            <v>標準</v>
          </cell>
        </row>
        <row r="1940">
          <cell r="F1940" t="str">
            <v>H0000102797</v>
          </cell>
          <cell r="I1940" t="str">
            <v>フレーム</v>
          </cell>
          <cell r="J1940" t="str">
            <v>S-Frame_RX-50_U_TTTT</v>
          </cell>
          <cell r="K1940" t="str">
            <v>S-フレーム_RX-50_U_TTTT</v>
          </cell>
          <cell r="L1940" t="str">
            <v>S-Frame</v>
          </cell>
          <cell r="M1940" t="str">
            <v>S-フレーム</v>
          </cell>
          <cell r="P1940" t="str">
            <v>31B0</v>
          </cell>
          <cell r="Q1940" t="str">
            <v>SS400</v>
          </cell>
          <cell r="R1940" t="str">
            <v>E389570_01</v>
          </cell>
          <cell r="S1940">
            <v>1063</v>
          </cell>
          <cell r="T1940" t="str">
            <v>標準</v>
          </cell>
        </row>
        <row r="1941">
          <cell r="F1941" t="str">
            <v>H0000102798</v>
          </cell>
          <cell r="I1941" t="str">
            <v>フレーム</v>
          </cell>
          <cell r="J1941" t="str">
            <v>S-Frame_RX-50_U_TTTT</v>
          </cell>
          <cell r="K1941" t="str">
            <v>S-フレーム_RX-50_U_TTTT</v>
          </cell>
          <cell r="L1941" t="str">
            <v>S-Frame</v>
          </cell>
          <cell r="M1941" t="str">
            <v>S-フレーム</v>
          </cell>
          <cell r="P1941" t="str">
            <v>31B0</v>
          </cell>
          <cell r="Q1941" t="str">
            <v>SS400</v>
          </cell>
          <cell r="R1941" t="str">
            <v>E389570_01</v>
          </cell>
          <cell r="S1941">
            <v>1063</v>
          </cell>
          <cell r="T1941" t="str">
            <v>標準</v>
          </cell>
        </row>
        <row r="1942">
          <cell r="F1942" t="str">
            <v>H0000102799</v>
          </cell>
          <cell r="I1942" t="str">
            <v>フレーム</v>
          </cell>
          <cell r="J1942" t="str">
            <v>S-Frame_RX-50_U_TTTT</v>
          </cell>
          <cell r="K1942" t="str">
            <v>S-フレーム_RX-50_U_TTTT</v>
          </cell>
          <cell r="L1942" t="str">
            <v>S-Frame</v>
          </cell>
          <cell r="M1942" t="str">
            <v>S-フレーム</v>
          </cell>
          <cell r="P1942" t="str">
            <v>31B0</v>
          </cell>
          <cell r="Q1942" t="str">
            <v>SS400</v>
          </cell>
          <cell r="R1942" t="str">
            <v>E389570_01</v>
          </cell>
          <cell r="S1942">
            <v>1063</v>
          </cell>
          <cell r="T1942" t="str">
            <v>標準</v>
          </cell>
        </row>
        <row r="1943">
          <cell r="F1943" t="str">
            <v>H0000102800</v>
          </cell>
          <cell r="I1943" t="str">
            <v>フレーム</v>
          </cell>
          <cell r="J1943" t="str">
            <v>S-Frame_RX-50_U_TTTT</v>
          </cell>
          <cell r="K1943" t="str">
            <v>S-フレーム_RX-50_U_TTTT</v>
          </cell>
          <cell r="L1943" t="str">
            <v>S-Frame</v>
          </cell>
          <cell r="M1943" t="str">
            <v>S-フレーム</v>
          </cell>
          <cell r="P1943" t="str">
            <v>31B0</v>
          </cell>
          <cell r="Q1943" t="str">
            <v>SS400</v>
          </cell>
          <cell r="R1943" t="str">
            <v>E389570_01</v>
          </cell>
          <cell r="S1943">
            <v>1063</v>
          </cell>
          <cell r="T1943" t="str">
            <v>標準</v>
          </cell>
        </row>
        <row r="1944">
          <cell r="F1944" t="str">
            <v>H0000102801</v>
          </cell>
          <cell r="I1944" t="str">
            <v>フレーム</v>
          </cell>
          <cell r="J1944" t="str">
            <v>S-Frame_RX-50_U_TTTT</v>
          </cell>
          <cell r="K1944" t="str">
            <v>S-フレーム_RX-50_U_TTTT</v>
          </cell>
          <cell r="L1944" t="str">
            <v>S-Frame</v>
          </cell>
          <cell r="M1944" t="str">
            <v>S-フレーム</v>
          </cell>
          <cell r="P1944" t="str">
            <v>31B0</v>
          </cell>
          <cell r="Q1944" t="str">
            <v>SS400</v>
          </cell>
          <cell r="R1944" t="str">
            <v>E389570_01</v>
          </cell>
          <cell r="S1944">
            <v>1063</v>
          </cell>
          <cell r="T1944" t="str">
            <v>標準</v>
          </cell>
        </row>
        <row r="1945">
          <cell r="F1945" t="str">
            <v>H0000102802</v>
          </cell>
          <cell r="I1945" t="str">
            <v>フレーム</v>
          </cell>
          <cell r="J1945" t="str">
            <v>S-Frame_RX-50_U_TTTT</v>
          </cell>
          <cell r="K1945" t="str">
            <v>S-フレーム_RX-50_U_TTTT</v>
          </cell>
          <cell r="L1945" t="str">
            <v>S-Frame</v>
          </cell>
          <cell r="M1945" t="str">
            <v>S-フレーム</v>
          </cell>
          <cell r="P1945" t="str">
            <v>31B0</v>
          </cell>
          <cell r="Q1945" t="str">
            <v>SS400</v>
          </cell>
          <cell r="R1945" t="str">
            <v>E389570_01</v>
          </cell>
          <cell r="S1945">
            <v>1063</v>
          </cell>
          <cell r="T1945" t="str">
            <v>標準</v>
          </cell>
        </row>
        <row r="1946">
          <cell r="F1946" t="str">
            <v>H0000102803</v>
          </cell>
          <cell r="I1946" t="str">
            <v>フレーム</v>
          </cell>
          <cell r="J1946" t="str">
            <v>S-Frame_RX-50_U_TTTT</v>
          </cell>
          <cell r="K1946" t="str">
            <v>S-フレーム_RX-50_U_TTTT</v>
          </cell>
          <cell r="L1946" t="str">
            <v>S-Frame</v>
          </cell>
          <cell r="M1946" t="str">
            <v>S-フレーム</v>
          </cell>
          <cell r="P1946" t="str">
            <v>31B0</v>
          </cell>
          <cell r="Q1946" t="str">
            <v>SS400</v>
          </cell>
          <cell r="R1946" t="str">
            <v>E389570_01</v>
          </cell>
          <cell r="S1946">
            <v>1063</v>
          </cell>
          <cell r="T1946" t="str">
            <v>標準</v>
          </cell>
        </row>
        <row r="1947">
          <cell r="F1947" t="str">
            <v>H0000102804</v>
          </cell>
          <cell r="I1947" t="str">
            <v>フレーム</v>
          </cell>
          <cell r="J1947" t="str">
            <v>S-Frame_RX-50_U_TTTT</v>
          </cell>
          <cell r="K1947" t="str">
            <v>S-フレーム_RX-50_U_TTTT</v>
          </cell>
          <cell r="L1947" t="str">
            <v>S-Frame</v>
          </cell>
          <cell r="M1947" t="str">
            <v>S-フレーム</v>
          </cell>
          <cell r="P1947" t="str">
            <v>31B0</v>
          </cell>
          <cell r="Q1947" t="str">
            <v>SS400</v>
          </cell>
          <cell r="R1947" t="str">
            <v>E389570_01</v>
          </cell>
          <cell r="S1947">
            <v>1063</v>
          </cell>
          <cell r="T1947" t="str">
            <v>標準</v>
          </cell>
        </row>
        <row r="1948">
          <cell r="F1948" t="str">
            <v>H0000102805</v>
          </cell>
          <cell r="I1948" t="str">
            <v>フレーム</v>
          </cell>
          <cell r="J1948" t="str">
            <v>S-Frame_RX-50_U_TTTT</v>
          </cell>
          <cell r="K1948" t="str">
            <v>S-フレーム_RX-50_U_TTTT</v>
          </cell>
          <cell r="L1948" t="str">
            <v>S-Frame</v>
          </cell>
          <cell r="M1948" t="str">
            <v>S-フレーム</v>
          </cell>
          <cell r="P1948" t="str">
            <v>31B0</v>
          </cell>
          <cell r="Q1948" t="str">
            <v>SS400</v>
          </cell>
          <cell r="R1948" t="str">
            <v>E389570_01</v>
          </cell>
          <cell r="S1948">
            <v>1063</v>
          </cell>
          <cell r="T1948" t="str">
            <v>標準</v>
          </cell>
        </row>
        <row r="1949">
          <cell r="F1949" t="str">
            <v>H0000102806</v>
          </cell>
          <cell r="I1949" t="str">
            <v>フレーム</v>
          </cell>
          <cell r="J1949" t="str">
            <v>S-Frame_RX-50_U_TTTT</v>
          </cell>
          <cell r="K1949" t="str">
            <v>S-フレーム_RX-50_U_TTTT</v>
          </cell>
          <cell r="L1949" t="str">
            <v>S-Frame</v>
          </cell>
          <cell r="M1949" t="str">
            <v>S-フレーム</v>
          </cell>
          <cell r="P1949" t="str">
            <v>31B0</v>
          </cell>
          <cell r="Q1949" t="str">
            <v>SS400</v>
          </cell>
          <cell r="R1949" t="str">
            <v>E389570_01</v>
          </cell>
          <cell r="S1949">
            <v>1063</v>
          </cell>
          <cell r="T1949" t="str">
            <v>標準</v>
          </cell>
        </row>
        <row r="1950">
          <cell r="F1950" t="str">
            <v>H0000102807</v>
          </cell>
          <cell r="I1950" t="str">
            <v>フレーム</v>
          </cell>
          <cell r="J1950" t="str">
            <v>S-Frame_RX-50_U_TTTT</v>
          </cell>
          <cell r="K1950" t="str">
            <v>S-フレーム_RX-50_U_TTTT</v>
          </cell>
          <cell r="L1950" t="str">
            <v>S-Frame</v>
          </cell>
          <cell r="M1950" t="str">
            <v>S-フレーム</v>
          </cell>
          <cell r="P1950" t="str">
            <v>31B0</v>
          </cell>
          <cell r="Q1950" t="str">
            <v>SS400</v>
          </cell>
          <cell r="R1950" t="str">
            <v>E389570_01</v>
          </cell>
          <cell r="S1950">
            <v>1063</v>
          </cell>
          <cell r="T1950" t="str">
            <v>標準</v>
          </cell>
        </row>
        <row r="1951">
          <cell r="F1951" t="str">
            <v>H0000102808</v>
          </cell>
          <cell r="I1951" t="str">
            <v>フレーム</v>
          </cell>
          <cell r="J1951" t="str">
            <v>S-Frame_RX-50_U_TTTT</v>
          </cell>
          <cell r="K1951" t="str">
            <v>S-フレーム_RX-50_U_TTTT</v>
          </cell>
          <cell r="L1951" t="str">
            <v>S-Frame</v>
          </cell>
          <cell r="M1951" t="str">
            <v>S-フレーム</v>
          </cell>
          <cell r="P1951" t="str">
            <v>31B0</v>
          </cell>
          <cell r="Q1951" t="str">
            <v>SS400</v>
          </cell>
          <cell r="R1951" t="str">
            <v>E389570_01</v>
          </cell>
          <cell r="S1951">
            <v>1063</v>
          </cell>
          <cell r="T1951" t="str">
            <v>標準</v>
          </cell>
        </row>
        <row r="1952">
          <cell r="F1952" t="str">
            <v>H0000102809</v>
          </cell>
          <cell r="I1952" t="str">
            <v>フレーム</v>
          </cell>
          <cell r="J1952" t="str">
            <v>S-Frame_RX-50_U_TTTT</v>
          </cell>
          <cell r="K1952" t="str">
            <v>S-フレーム_RX-50_U_TTTT</v>
          </cell>
          <cell r="L1952" t="str">
            <v>S-Frame</v>
          </cell>
          <cell r="M1952" t="str">
            <v>S-フレーム</v>
          </cell>
          <cell r="P1952" t="str">
            <v>31B0</v>
          </cell>
          <cell r="Q1952" t="str">
            <v>SS400</v>
          </cell>
          <cell r="R1952" t="str">
            <v>E389570_01</v>
          </cell>
          <cell r="S1952">
            <v>1063</v>
          </cell>
          <cell r="T1952" t="str">
            <v>標準</v>
          </cell>
        </row>
        <row r="1953">
          <cell r="F1953" t="str">
            <v>H0000102810</v>
          </cell>
          <cell r="I1953" t="str">
            <v>フレーム</v>
          </cell>
          <cell r="J1953" t="str">
            <v>S-Frame_RX-50_U_TTTT</v>
          </cell>
          <cell r="K1953" t="str">
            <v>S-フレーム_RX-50_U_TTTT</v>
          </cell>
          <cell r="L1953" t="str">
            <v>S-Frame</v>
          </cell>
          <cell r="M1953" t="str">
            <v>S-フレーム</v>
          </cell>
          <cell r="P1953" t="str">
            <v>31B0</v>
          </cell>
          <cell r="Q1953" t="str">
            <v>SS400</v>
          </cell>
          <cell r="R1953" t="str">
            <v>E389570_01</v>
          </cell>
          <cell r="S1953">
            <v>1063</v>
          </cell>
          <cell r="T1953" t="str">
            <v>標準</v>
          </cell>
        </row>
        <row r="1954">
          <cell r="F1954" t="str">
            <v>H0000102811</v>
          </cell>
          <cell r="I1954" t="str">
            <v>フレーム</v>
          </cell>
          <cell r="J1954" t="str">
            <v>S-Frame_RX-50_U_TTTT</v>
          </cell>
          <cell r="K1954" t="str">
            <v>S-フレーム_RX-50_U_TTTT</v>
          </cell>
          <cell r="L1954" t="str">
            <v>S-Frame</v>
          </cell>
          <cell r="M1954" t="str">
            <v>S-フレーム</v>
          </cell>
          <cell r="P1954" t="str">
            <v>31B0</v>
          </cell>
          <cell r="Q1954" t="str">
            <v>SS400</v>
          </cell>
          <cell r="R1954" t="str">
            <v>E389570_01</v>
          </cell>
          <cell r="S1954">
            <v>1063</v>
          </cell>
          <cell r="T1954" t="str">
            <v>標準</v>
          </cell>
        </row>
        <row r="1955">
          <cell r="F1955" t="str">
            <v>H0000102812</v>
          </cell>
          <cell r="I1955" t="str">
            <v>フレーム</v>
          </cell>
          <cell r="J1955" t="str">
            <v>S-Frame_RX-50_U_TTTT</v>
          </cell>
          <cell r="K1955" t="str">
            <v>S-フレーム_RX-50_U_TTTT</v>
          </cell>
          <cell r="L1955" t="str">
            <v>S-Frame</v>
          </cell>
          <cell r="M1955" t="str">
            <v>S-フレーム</v>
          </cell>
          <cell r="P1955" t="str">
            <v>31B0</v>
          </cell>
          <cell r="Q1955" t="str">
            <v>SS400</v>
          </cell>
          <cell r="R1955" t="str">
            <v>E389570_01</v>
          </cell>
          <cell r="S1955">
            <v>1063</v>
          </cell>
          <cell r="T1955" t="str">
            <v>標準</v>
          </cell>
        </row>
        <row r="1956">
          <cell r="F1956" t="str">
            <v>H0000102813</v>
          </cell>
          <cell r="I1956" t="str">
            <v>フレーム</v>
          </cell>
          <cell r="J1956" t="str">
            <v>S-Frame_RX-50_U_TTTT</v>
          </cell>
          <cell r="K1956" t="str">
            <v>S-フレーム_RX-50_U_TTTT</v>
          </cell>
          <cell r="L1956" t="str">
            <v>S-Frame</v>
          </cell>
          <cell r="M1956" t="str">
            <v>S-フレーム</v>
          </cell>
          <cell r="P1956" t="str">
            <v>31B0</v>
          </cell>
          <cell r="Q1956" t="str">
            <v>SS400</v>
          </cell>
          <cell r="R1956" t="str">
            <v>E389570_01</v>
          </cell>
          <cell r="S1956">
            <v>1063</v>
          </cell>
          <cell r="T1956" t="str">
            <v>標準</v>
          </cell>
        </row>
        <row r="1957">
          <cell r="F1957" t="str">
            <v>H0000102814</v>
          </cell>
          <cell r="I1957" t="str">
            <v>フレーム</v>
          </cell>
          <cell r="J1957" t="str">
            <v>S-Frame_RX-50_U_TTTT</v>
          </cell>
          <cell r="K1957" t="str">
            <v>S-フレーム_RX-50_U_TTTT</v>
          </cell>
          <cell r="L1957" t="str">
            <v>S-Frame</v>
          </cell>
          <cell r="M1957" t="str">
            <v>S-フレーム</v>
          </cell>
          <cell r="P1957" t="str">
            <v>31B0</v>
          </cell>
          <cell r="Q1957" t="str">
            <v>SS400</v>
          </cell>
          <cell r="R1957" t="str">
            <v>E389570_01</v>
          </cell>
          <cell r="S1957">
            <v>1063</v>
          </cell>
          <cell r="T1957" t="str">
            <v>標準</v>
          </cell>
        </row>
        <row r="1958">
          <cell r="F1958" t="str">
            <v>H0000102815</v>
          </cell>
          <cell r="I1958" t="str">
            <v>フレーム</v>
          </cell>
          <cell r="J1958" t="str">
            <v>S-Frame_RX-50_U_TTTT</v>
          </cell>
          <cell r="K1958" t="str">
            <v>S-フレーム_RX-50_U_TTTT</v>
          </cell>
          <cell r="L1958" t="str">
            <v>S-Frame</v>
          </cell>
          <cell r="M1958" t="str">
            <v>S-フレーム</v>
          </cell>
          <cell r="P1958" t="str">
            <v>31B0</v>
          </cell>
          <cell r="Q1958" t="str">
            <v>SS400</v>
          </cell>
          <cell r="R1958" t="str">
            <v>E389570_01</v>
          </cell>
          <cell r="S1958">
            <v>1063</v>
          </cell>
          <cell r="T1958" t="str">
            <v>標準</v>
          </cell>
        </row>
        <row r="1959">
          <cell r="F1959" t="str">
            <v>H0000102816</v>
          </cell>
          <cell r="I1959" t="str">
            <v>フレーム</v>
          </cell>
          <cell r="J1959" t="str">
            <v>S-Frame_RX-50_U_TTTT</v>
          </cell>
          <cell r="K1959" t="str">
            <v>S-フレーム_RX-50_U_TTTT</v>
          </cell>
          <cell r="L1959" t="str">
            <v>S-Frame</v>
          </cell>
          <cell r="M1959" t="str">
            <v>S-フレーム</v>
          </cell>
          <cell r="P1959" t="str">
            <v>31B0</v>
          </cell>
          <cell r="Q1959" t="str">
            <v>SS400</v>
          </cell>
          <cell r="R1959" t="str">
            <v>E389570_01</v>
          </cell>
          <cell r="S1959">
            <v>1063</v>
          </cell>
          <cell r="T1959" t="str">
            <v>標準</v>
          </cell>
        </row>
        <row r="1960">
          <cell r="F1960" t="str">
            <v>H0000102817</v>
          </cell>
          <cell r="I1960" t="str">
            <v>フレーム</v>
          </cell>
          <cell r="J1960" t="str">
            <v>S-Frame_RX-50_U_TTTT</v>
          </cell>
          <cell r="K1960" t="str">
            <v>S-フレーム_RX-50_U_TTTT</v>
          </cell>
          <cell r="L1960" t="str">
            <v>S-Frame</v>
          </cell>
          <cell r="M1960" t="str">
            <v>S-フレーム</v>
          </cell>
          <cell r="P1960" t="str">
            <v>31B0</v>
          </cell>
          <cell r="Q1960" t="str">
            <v>SS400</v>
          </cell>
          <cell r="R1960" t="str">
            <v>E389570_01</v>
          </cell>
          <cell r="S1960">
            <v>1063</v>
          </cell>
          <cell r="T1960" t="str">
            <v>標準</v>
          </cell>
        </row>
        <row r="1961">
          <cell r="F1961" t="str">
            <v>H0000102818</v>
          </cell>
          <cell r="I1961" t="str">
            <v>フレーム</v>
          </cell>
          <cell r="J1961" t="str">
            <v>S-Frame_RX-50_U_TTTT</v>
          </cell>
          <cell r="K1961" t="str">
            <v>S-フレーム_RX-50_U_TTTT</v>
          </cell>
          <cell r="L1961" t="str">
            <v>S-Frame</v>
          </cell>
          <cell r="M1961" t="str">
            <v>S-フレーム</v>
          </cell>
          <cell r="P1961" t="str">
            <v>31B0</v>
          </cell>
          <cell r="Q1961" t="str">
            <v>SS400</v>
          </cell>
          <cell r="R1961" t="str">
            <v>E389570_01</v>
          </cell>
          <cell r="S1961">
            <v>1063</v>
          </cell>
          <cell r="T1961" t="str">
            <v>標準</v>
          </cell>
        </row>
        <row r="1962">
          <cell r="F1962" t="str">
            <v>H0000102819</v>
          </cell>
          <cell r="I1962" t="str">
            <v>フレーム</v>
          </cell>
          <cell r="J1962" t="str">
            <v>S-Frame_RX-50_U_TKTK</v>
          </cell>
          <cell r="K1962" t="str">
            <v>S-フレーム_RX-50_U_TKTK</v>
          </cell>
          <cell r="L1962" t="str">
            <v>S-Frame</v>
          </cell>
          <cell r="M1962" t="str">
            <v>S-フレーム</v>
          </cell>
          <cell r="P1962" t="str">
            <v>31B0</v>
          </cell>
          <cell r="Q1962" t="str">
            <v>SS400</v>
          </cell>
          <cell r="R1962" t="str">
            <v>E389570_01</v>
          </cell>
          <cell r="S1962">
            <v>1063</v>
          </cell>
          <cell r="T1962" t="str">
            <v>標準</v>
          </cell>
        </row>
        <row r="1963">
          <cell r="F1963" t="str">
            <v>H0000102820</v>
          </cell>
          <cell r="I1963" t="str">
            <v>フレーム</v>
          </cell>
          <cell r="J1963" t="str">
            <v>S-Frame_RX-50_U_TKTK</v>
          </cell>
          <cell r="K1963" t="str">
            <v>S-フレーム_RX-50_U_TKTK</v>
          </cell>
          <cell r="L1963" t="str">
            <v>S-Frame</v>
          </cell>
          <cell r="M1963" t="str">
            <v>S-フレーム</v>
          </cell>
          <cell r="P1963" t="str">
            <v>31B0</v>
          </cell>
          <cell r="Q1963" t="str">
            <v>SS400</v>
          </cell>
          <cell r="R1963" t="str">
            <v>E389570_01</v>
          </cell>
          <cell r="S1963">
            <v>1063</v>
          </cell>
          <cell r="T1963" t="str">
            <v>標準</v>
          </cell>
        </row>
        <row r="1964">
          <cell r="F1964" t="str">
            <v>H0000102821</v>
          </cell>
          <cell r="I1964" t="str">
            <v>フレーム</v>
          </cell>
          <cell r="J1964" t="str">
            <v>S-Frame_RX-50_U_TKTK</v>
          </cell>
          <cell r="K1964" t="str">
            <v>S-フレーム_RX-50_U_TKTK</v>
          </cell>
          <cell r="L1964" t="str">
            <v>S-Frame</v>
          </cell>
          <cell r="M1964" t="str">
            <v>S-フレーム</v>
          </cell>
          <cell r="P1964" t="str">
            <v>31B0</v>
          </cell>
          <cell r="Q1964" t="str">
            <v>SS400</v>
          </cell>
          <cell r="R1964" t="str">
            <v>E389570_01</v>
          </cell>
          <cell r="S1964">
            <v>1063</v>
          </cell>
          <cell r="T1964" t="str">
            <v>標準</v>
          </cell>
        </row>
        <row r="1965">
          <cell r="F1965" t="str">
            <v>H0000102822</v>
          </cell>
          <cell r="I1965" t="str">
            <v>フレーム</v>
          </cell>
          <cell r="J1965" t="str">
            <v>S-Frame_RX-50_U_TKTK</v>
          </cell>
          <cell r="K1965" t="str">
            <v>S-フレーム_RX-50_U_TKTK</v>
          </cell>
          <cell r="L1965" t="str">
            <v>S-Frame</v>
          </cell>
          <cell r="M1965" t="str">
            <v>S-フレーム</v>
          </cell>
          <cell r="P1965" t="str">
            <v>31B0</v>
          </cell>
          <cell r="Q1965" t="str">
            <v>SS400</v>
          </cell>
          <cell r="R1965" t="str">
            <v>E389570_01</v>
          </cell>
          <cell r="S1965">
            <v>1063</v>
          </cell>
          <cell r="T1965" t="str">
            <v>標準</v>
          </cell>
        </row>
        <row r="1966">
          <cell r="F1966" t="str">
            <v>H0000102823</v>
          </cell>
          <cell r="I1966" t="str">
            <v>フレーム</v>
          </cell>
          <cell r="J1966" t="str">
            <v>S-Frame_RX-50_U_TKTK</v>
          </cell>
          <cell r="K1966" t="str">
            <v>S-フレーム_RX-50_U_TKTK</v>
          </cell>
          <cell r="L1966" t="str">
            <v>S-Frame</v>
          </cell>
          <cell r="M1966" t="str">
            <v>S-フレーム</v>
          </cell>
          <cell r="P1966" t="str">
            <v>31B0</v>
          </cell>
          <cell r="Q1966" t="str">
            <v>SS400</v>
          </cell>
          <cell r="R1966" t="str">
            <v>E389570_01</v>
          </cell>
          <cell r="S1966">
            <v>1063</v>
          </cell>
          <cell r="T1966" t="str">
            <v>標準</v>
          </cell>
        </row>
        <row r="1967">
          <cell r="F1967" t="str">
            <v>H0000102824</v>
          </cell>
          <cell r="I1967" t="str">
            <v>フレーム</v>
          </cell>
          <cell r="J1967" t="str">
            <v>S-Frame_RX-50_U_TKTK</v>
          </cell>
          <cell r="K1967" t="str">
            <v>S-フレーム_RX-50_U_TKTK</v>
          </cell>
          <cell r="L1967" t="str">
            <v>S-Frame</v>
          </cell>
          <cell r="M1967" t="str">
            <v>S-フレーム</v>
          </cell>
          <cell r="P1967" t="str">
            <v>31B0</v>
          </cell>
          <cell r="Q1967" t="str">
            <v>SS400</v>
          </cell>
          <cell r="R1967" t="str">
            <v>E389570_01</v>
          </cell>
          <cell r="S1967">
            <v>1063</v>
          </cell>
          <cell r="T1967" t="str">
            <v>標準</v>
          </cell>
        </row>
        <row r="1968">
          <cell r="F1968" t="str">
            <v>H0000102825</v>
          </cell>
          <cell r="I1968" t="str">
            <v>フレーム</v>
          </cell>
          <cell r="J1968" t="str">
            <v>S-Frame_RX-50_U_TKTK</v>
          </cell>
          <cell r="K1968" t="str">
            <v>S-フレーム_RX-50_U_TKTK</v>
          </cell>
          <cell r="L1968" t="str">
            <v>S-Frame</v>
          </cell>
          <cell r="M1968" t="str">
            <v>S-フレーム</v>
          </cell>
          <cell r="P1968" t="str">
            <v>31B0</v>
          </cell>
          <cell r="Q1968" t="str">
            <v>SS400</v>
          </cell>
          <cell r="R1968" t="str">
            <v>E389570_01</v>
          </cell>
          <cell r="S1968">
            <v>1063</v>
          </cell>
          <cell r="T1968" t="str">
            <v>標準</v>
          </cell>
        </row>
        <row r="1969">
          <cell r="F1969" t="str">
            <v>H0000102826</v>
          </cell>
          <cell r="I1969" t="str">
            <v>フレーム</v>
          </cell>
          <cell r="J1969" t="str">
            <v>S-Frame_RX-50_U_TKTK</v>
          </cell>
          <cell r="K1969" t="str">
            <v>S-フレーム_RX-50_U_TKTK</v>
          </cell>
          <cell r="L1969" t="str">
            <v>S-Frame</v>
          </cell>
          <cell r="M1969" t="str">
            <v>S-フレーム</v>
          </cell>
          <cell r="P1969" t="str">
            <v>31B0</v>
          </cell>
          <cell r="Q1969" t="str">
            <v>SS400</v>
          </cell>
          <cell r="R1969" t="str">
            <v>E389570_01</v>
          </cell>
          <cell r="S1969">
            <v>1063</v>
          </cell>
          <cell r="T1969" t="str">
            <v>標準</v>
          </cell>
        </row>
        <row r="1970">
          <cell r="F1970" t="str">
            <v>H0000102827</v>
          </cell>
          <cell r="I1970" t="str">
            <v>フレーム</v>
          </cell>
          <cell r="J1970" t="str">
            <v>S-Frame_RX-50_U_TKTK</v>
          </cell>
          <cell r="K1970" t="str">
            <v>S-フレーム_RX-50_U_TKTK</v>
          </cell>
          <cell r="L1970" t="str">
            <v>S-Frame</v>
          </cell>
          <cell r="M1970" t="str">
            <v>S-フレーム</v>
          </cell>
          <cell r="P1970" t="str">
            <v>31B0</v>
          </cell>
          <cell r="Q1970" t="str">
            <v>SS400</v>
          </cell>
          <cell r="R1970" t="str">
            <v>E389570_01</v>
          </cell>
          <cell r="S1970">
            <v>1063</v>
          </cell>
          <cell r="T1970" t="str">
            <v>標準</v>
          </cell>
        </row>
        <row r="1971">
          <cell r="F1971" t="str">
            <v>H0000102828</v>
          </cell>
          <cell r="I1971" t="str">
            <v>フレーム</v>
          </cell>
          <cell r="J1971" t="str">
            <v>S-Frame_RX-50_U_TKTK</v>
          </cell>
          <cell r="K1971" t="str">
            <v>S-フレーム_RX-50_U_TKTK</v>
          </cell>
          <cell r="L1971" t="str">
            <v>S-Frame</v>
          </cell>
          <cell r="M1971" t="str">
            <v>S-フレーム</v>
          </cell>
          <cell r="P1971" t="str">
            <v>31B0</v>
          </cell>
          <cell r="Q1971" t="str">
            <v>SS400</v>
          </cell>
          <cell r="R1971" t="str">
            <v>E389570_01</v>
          </cell>
          <cell r="S1971">
            <v>1063</v>
          </cell>
          <cell r="T1971" t="str">
            <v>標準</v>
          </cell>
        </row>
        <row r="1972">
          <cell r="F1972" t="str">
            <v>H0000102829</v>
          </cell>
          <cell r="I1972" t="str">
            <v>フレーム</v>
          </cell>
          <cell r="J1972" t="str">
            <v>S-Frame_RX-50_U_TKTK</v>
          </cell>
          <cell r="K1972" t="str">
            <v>S-フレーム_RX-50_U_TKTK</v>
          </cell>
          <cell r="L1972" t="str">
            <v>S-Frame</v>
          </cell>
          <cell r="M1972" t="str">
            <v>S-フレーム</v>
          </cell>
          <cell r="P1972" t="str">
            <v>31B0</v>
          </cell>
          <cell r="Q1972" t="str">
            <v>SS400</v>
          </cell>
          <cell r="R1972" t="str">
            <v>E389570_01</v>
          </cell>
          <cell r="S1972">
            <v>1063</v>
          </cell>
          <cell r="T1972" t="str">
            <v>標準</v>
          </cell>
        </row>
        <row r="1973">
          <cell r="F1973" t="str">
            <v>H0000102830</v>
          </cell>
          <cell r="I1973" t="str">
            <v>フレーム</v>
          </cell>
          <cell r="J1973" t="str">
            <v>S-Frame_RX-50_U_TKTK</v>
          </cell>
          <cell r="K1973" t="str">
            <v>S-フレーム_RX-50_U_TKTK</v>
          </cell>
          <cell r="L1973" t="str">
            <v>S-Frame</v>
          </cell>
          <cell r="M1973" t="str">
            <v>S-フレーム</v>
          </cell>
          <cell r="P1973" t="str">
            <v>31B0</v>
          </cell>
          <cell r="Q1973" t="str">
            <v>SS400</v>
          </cell>
          <cell r="R1973" t="str">
            <v>E389570_01</v>
          </cell>
          <cell r="S1973">
            <v>1063</v>
          </cell>
          <cell r="T1973" t="str">
            <v>標準</v>
          </cell>
        </row>
        <row r="1974">
          <cell r="F1974" t="str">
            <v>H0000102831</v>
          </cell>
          <cell r="I1974" t="str">
            <v>フレーム</v>
          </cell>
          <cell r="J1974" t="str">
            <v>S-Frame_RX-50_U_TKTK</v>
          </cell>
          <cell r="K1974" t="str">
            <v>S-フレーム_RX-50_U_TKTK</v>
          </cell>
          <cell r="L1974" t="str">
            <v>S-Frame</v>
          </cell>
          <cell r="M1974" t="str">
            <v>S-フレーム</v>
          </cell>
          <cell r="P1974" t="str">
            <v>31B0</v>
          </cell>
          <cell r="Q1974" t="str">
            <v>SS400</v>
          </cell>
          <cell r="R1974" t="str">
            <v>E389570_01</v>
          </cell>
          <cell r="S1974">
            <v>1063</v>
          </cell>
          <cell r="T1974" t="str">
            <v>標準</v>
          </cell>
        </row>
        <row r="1975">
          <cell r="F1975" t="str">
            <v>H0000102832</v>
          </cell>
          <cell r="I1975" t="str">
            <v>フレーム</v>
          </cell>
          <cell r="J1975" t="str">
            <v>S-Frame_RX-50_U_TKTK</v>
          </cell>
          <cell r="K1975" t="str">
            <v>S-フレーム_RX-50_U_TKTK</v>
          </cell>
          <cell r="L1975" t="str">
            <v>S-Frame</v>
          </cell>
          <cell r="M1975" t="str">
            <v>S-フレーム</v>
          </cell>
          <cell r="P1975" t="str">
            <v>31B0</v>
          </cell>
          <cell r="Q1975" t="str">
            <v>SS400</v>
          </cell>
          <cell r="R1975" t="str">
            <v>E389570_01</v>
          </cell>
          <cell r="S1975">
            <v>1063</v>
          </cell>
          <cell r="T1975" t="str">
            <v>標準</v>
          </cell>
        </row>
        <row r="1976">
          <cell r="F1976" t="str">
            <v>H0000102833</v>
          </cell>
          <cell r="I1976" t="str">
            <v>フレーム</v>
          </cell>
          <cell r="J1976" t="str">
            <v>S-Frame_RX-50_U_TKTK</v>
          </cell>
          <cell r="K1976" t="str">
            <v>S-フレーム_RX-50_U_TKTK</v>
          </cell>
          <cell r="L1976" t="str">
            <v>S-Frame</v>
          </cell>
          <cell r="M1976" t="str">
            <v>S-フレーム</v>
          </cell>
          <cell r="P1976" t="str">
            <v>31B0</v>
          </cell>
          <cell r="Q1976" t="str">
            <v>SS400</v>
          </cell>
          <cell r="R1976" t="str">
            <v>E389570_01</v>
          </cell>
          <cell r="S1976">
            <v>1063</v>
          </cell>
          <cell r="T1976" t="str">
            <v>標準</v>
          </cell>
        </row>
        <row r="1977">
          <cell r="F1977" t="str">
            <v>H0000102834</v>
          </cell>
          <cell r="I1977" t="str">
            <v>フレーム</v>
          </cell>
          <cell r="J1977" t="str">
            <v>S-Frame_RX-50_U_TKTK</v>
          </cell>
          <cell r="K1977" t="str">
            <v>S-フレーム_RX-50_U_TKTK</v>
          </cell>
          <cell r="L1977" t="str">
            <v>S-Frame</v>
          </cell>
          <cell r="M1977" t="str">
            <v>S-フレーム</v>
          </cell>
          <cell r="P1977" t="str">
            <v>31B0</v>
          </cell>
          <cell r="Q1977" t="str">
            <v>SS400</v>
          </cell>
          <cell r="R1977" t="str">
            <v>E389570_01</v>
          </cell>
          <cell r="S1977">
            <v>1063</v>
          </cell>
          <cell r="T1977" t="str">
            <v>標準</v>
          </cell>
        </row>
        <row r="1978">
          <cell r="F1978" t="str">
            <v>H0000102835</v>
          </cell>
          <cell r="I1978" t="str">
            <v>フレーム</v>
          </cell>
          <cell r="J1978" t="str">
            <v>S-Frame_RX-50_U_TKTK</v>
          </cell>
          <cell r="K1978" t="str">
            <v>S-フレーム_RX-50_U_TKTK</v>
          </cell>
          <cell r="L1978" t="str">
            <v>S-Frame</v>
          </cell>
          <cell r="M1978" t="str">
            <v>S-フレーム</v>
          </cell>
          <cell r="P1978" t="str">
            <v>31B0</v>
          </cell>
          <cell r="Q1978" t="str">
            <v>SS400</v>
          </cell>
          <cell r="R1978" t="str">
            <v>E389570_01</v>
          </cell>
          <cell r="S1978">
            <v>1063</v>
          </cell>
          <cell r="T1978" t="str">
            <v>標準</v>
          </cell>
        </row>
        <row r="1979">
          <cell r="F1979" t="str">
            <v>H0000102836</v>
          </cell>
          <cell r="I1979" t="str">
            <v>フレーム</v>
          </cell>
          <cell r="J1979" t="str">
            <v>S-Frame_RX-50_U_TKTK</v>
          </cell>
          <cell r="K1979" t="str">
            <v>S-フレーム_RX-50_U_TKTK</v>
          </cell>
          <cell r="L1979" t="str">
            <v>S-Frame</v>
          </cell>
          <cell r="M1979" t="str">
            <v>S-フレーム</v>
          </cell>
          <cell r="P1979" t="str">
            <v>31B0</v>
          </cell>
          <cell r="Q1979" t="str">
            <v>SS400</v>
          </cell>
          <cell r="R1979" t="str">
            <v>E389570_01</v>
          </cell>
          <cell r="S1979">
            <v>1063</v>
          </cell>
          <cell r="T1979" t="str">
            <v>標準</v>
          </cell>
        </row>
        <row r="1980">
          <cell r="F1980" t="str">
            <v>H0000102837</v>
          </cell>
          <cell r="I1980" t="str">
            <v>フレーム</v>
          </cell>
          <cell r="J1980" t="str">
            <v>S-Frame_RX-50_U_TKTK</v>
          </cell>
          <cell r="K1980" t="str">
            <v>S-フレーム_RX-50_U_TKTK</v>
          </cell>
          <cell r="L1980" t="str">
            <v>S-Frame</v>
          </cell>
          <cell r="M1980" t="str">
            <v>S-フレーム</v>
          </cell>
          <cell r="P1980" t="str">
            <v>31B0</v>
          </cell>
          <cell r="Q1980" t="str">
            <v>SS400</v>
          </cell>
          <cell r="R1980" t="str">
            <v>E389570_01</v>
          </cell>
          <cell r="S1980">
            <v>1063</v>
          </cell>
          <cell r="T1980" t="str">
            <v>標準</v>
          </cell>
        </row>
        <row r="1981">
          <cell r="F1981" t="str">
            <v>H0000102838</v>
          </cell>
          <cell r="I1981" t="str">
            <v>フレーム</v>
          </cell>
          <cell r="J1981" t="str">
            <v>S-Frame_RX-50_U_TKTK</v>
          </cell>
          <cell r="K1981" t="str">
            <v>S-フレーム_RX-50_U_TKTK</v>
          </cell>
          <cell r="L1981" t="str">
            <v>S-Frame</v>
          </cell>
          <cell r="M1981" t="str">
            <v>S-フレーム</v>
          </cell>
          <cell r="P1981" t="str">
            <v>31B0</v>
          </cell>
          <cell r="Q1981" t="str">
            <v>SS400</v>
          </cell>
          <cell r="R1981" t="str">
            <v>E389570_01</v>
          </cell>
          <cell r="S1981">
            <v>1063</v>
          </cell>
          <cell r="T1981" t="str">
            <v>標準</v>
          </cell>
        </row>
        <row r="1982">
          <cell r="F1982" t="str">
            <v>H0000102839</v>
          </cell>
          <cell r="I1982" t="str">
            <v>フレーム</v>
          </cell>
          <cell r="J1982" t="str">
            <v>S-Frame_RX-50_U_TKTK</v>
          </cell>
          <cell r="K1982" t="str">
            <v>S-フレーム_RX-50_U_TKTK</v>
          </cell>
          <cell r="L1982" t="str">
            <v>S-Frame</v>
          </cell>
          <cell r="M1982" t="str">
            <v>S-フレーム</v>
          </cell>
          <cell r="P1982" t="str">
            <v>31B0</v>
          </cell>
          <cell r="Q1982" t="str">
            <v>SS400</v>
          </cell>
          <cell r="R1982" t="str">
            <v>E389570_01</v>
          </cell>
          <cell r="S1982">
            <v>1063</v>
          </cell>
          <cell r="T1982" t="str">
            <v>標準</v>
          </cell>
        </row>
        <row r="1983">
          <cell r="F1983" t="str">
            <v>H0000102840</v>
          </cell>
          <cell r="I1983" t="str">
            <v>フレーム</v>
          </cell>
          <cell r="J1983" t="str">
            <v>S-Frame_RX-50_U_TKTK</v>
          </cell>
          <cell r="K1983" t="str">
            <v>S-フレーム_RX-50_U_TKTK</v>
          </cell>
          <cell r="L1983" t="str">
            <v>S-Frame</v>
          </cell>
          <cell r="M1983" t="str">
            <v>S-フレーム</v>
          </cell>
          <cell r="P1983" t="str">
            <v>31B0</v>
          </cell>
          <cell r="Q1983" t="str">
            <v>SS400</v>
          </cell>
          <cell r="R1983" t="str">
            <v>E389570_01</v>
          </cell>
          <cell r="S1983">
            <v>1063</v>
          </cell>
          <cell r="T1983" t="str">
            <v>標準</v>
          </cell>
        </row>
        <row r="1984">
          <cell r="F1984" t="str">
            <v>H0000102841</v>
          </cell>
          <cell r="I1984" t="str">
            <v>フレーム</v>
          </cell>
          <cell r="J1984" t="str">
            <v>S-Frame_RX-50_U_TKTK</v>
          </cell>
          <cell r="K1984" t="str">
            <v>S-フレーム_RX-50_U_TKTK</v>
          </cell>
          <cell r="L1984" t="str">
            <v>S-Frame</v>
          </cell>
          <cell r="M1984" t="str">
            <v>S-フレーム</v>
          </cell>
          <cell r="P1984" t="str">
            <v>31B0</v>
          </cell>
          <cell r="Q1984" t="str">
            <v>SS400</v>
          </cell>
          <cell r="R1984" t="str">
            <v>E389570_01</v>
          </cell>
          <cell r="S1984">
            <v>1063</v>
          </cell>
          <cell r="T1984" t="str">
            <v>標準</v>
          </cell>
        </row>
        <row r="1985">
          <cell r="F1985" t="str">
            <v>H0000102842</v>
          </cell>
          <cell r="I1985" t="str">
            <v>フレーム</v>
          </cell>
          <cell r="J1985" t="str">
            <v>S-Frame_RX-50_U_TKTK</v>
          </cell>
          <cell r="K1985" t="str">
            <v>S-フレーム_RX-50_U_TKTK</v>
          </cell>
          <cell r="L1985" t="str">
            <v>S-Frame</v>
          </cell>
          <cell r="M1985" t="str">
            <v>S-フレーム</v>
          </cell>
          <cell r="P1985" t="str">
            <v>31B0</v>
          </cell>
          <cell r="Q1985" t="str">
            <v>SS400</v>
          </cell>
          <cell r="R1985" t="str">
            <v>E389570_01</v>
          </cell>
          <cell r="S1985">
            <v>1063</v>
          </cell>
          <cell r="T1985" t="str">
            <v>標準</v>
          </cell>
        </row>
        <row r="1986">
          <cell r="F1986" t="str">
            <v>H0000102843</v>
          </cell>
          <cell r="I1986" t="str">
            <v>フレーム</v>
          </cell>
          <cell r="J1986" t="str">
            <v>S-Frame_RX-50_U_TKTK</v>
          </cell>
          <cell r="K1986" t="str">
            <v>S-フレーム_RX-50_U_TKTK</v>
          </cell>
          <cell r="L1986" t="str">
            <v>S-Frame</v>
          </cell>
          <cell r="M1986" t="str">
            <v>S-フレーム</v>
          </cell>
          <cell r="P1986" t="str">
            <v>31B0</v>
          </cell>
          <cell r="Q1986" t="str">
            <v>SS400</v>
          </cell>
          <cell r="R1986" t="str">
            <v>E389570_01</v>
          </cell>
          <cell r="S1986">
            <v>1063</v>
          </cell>
          <cell r="T1986" t="str">
            <v>標準</v>
          </cell>
        </row>
        <row r="1987">
          <cell r="F1987" t="str">
            <v>H0000102844</v>
          </cell>
          <cell r="I1987" t="str">
            <v>フレーム</v>
          </cell>
          <cell r="J1987" t="str">
            <v>S-Frame_RX-50_U_KTKT</v>
          </cell>
          <cell r="K1987" t="str">
            <v>S-フレーム_RX-50_U_KTKT</v>
          </cell>
          <cell r="L1987" t="str">
            <v>S-Frame</v>
          </cell>
          <cell r="M1987" t="str">
            <v>S-フレーム</v>
          </cell>
          <cell r="P1987" t="str">
            <v>31B0</v>
          </cell>
          <cell r="Q1987" t="str">
            <v>SS400</v>
          </cell>
          <cell r="R1987" t="str">
            <v>E389570_01</v>
          </cell>
          <cell r="S1987">
            <v>1063</v>
          </cell>
          <cell r="T1987" t="str">
            <v>標準</v>
          </cell>
        </row>
        <row r="1988">
          <cell r="F1988" t="str">
            <v>H0000102845</v>
          </cell>
          <cell r="I1988" t="str">
            <v>フレーム</v>
          </cell>
          <cell r="J1988" t="str">
            <v>S-Frame_RX-50_U_KTKT</v>
          </cell>
          <cell r="K1988" t="str">
            <v>S-フレーム_RX-50_U_KTKT</v>
          </cell>
          <cell r="L1988" t="str">
            <v>S-Frame</v>
          </cell>
          <cell r="M1988" t="str">
            <v>S-フレーム</v>
          </cell>
          <cell r="P1988" t="str">
            <v>31B0</v>
          </cell>
          <cell r="Q1988" t="str">
            <v>SS400</v>
          </cell>
          <cell r="R1988" t="str">
            <v>E389570_01</v>
          </cell>
          <cell r="S1988">
            <v>1063</v>
          </cell>
          <cell r="T1988" t="str">
            <v>標準</v>
          </cell>
        </row>
        <row r="1989">
          <cell r="F1989" t="str">
            <v>H0000102846</v>
          </cell>
          <cell r="I1989" t="str">
            <v>フレーム</v>
          </cell>
          <cell r="J1989" t="str">
            <v>S-Frame_RX-50_U_KTKT</v>
          </cell>
          <cell r="K1989" t="str">
            <v>S-フレーム_RX-50_U_KTKT</v>
          </cell>
          <cell r="L1989" t="str">
            <v>S-Frame</v>
          </cell>
          <cell r="M1989" t="str">
            <v>S-フレーム</v>
          </cell>
          <cell r="P1989" t="str">
            <v>31B0</v>
          </cell>
          <cell r="Q1989" t="str">
            <v>SS400</v>
          </cell>
          <cell r="R1989" t="str">
            <v>E389570_01</v>
          </cell>
          <cell r="S1989">
            <v>1063</v>
          </cell>
          <cell r="T1989" t="str">
            <v>標準</v>
          </cell>
        </row>
        <row r="1990">
          <cell r="F1990" t="str">
            <v>H0000102847</v>
          </cell>
          <cell r="I1990" t="str">
            <v>フレーム</v>
          </cell>
          <cell r="J1990" t="str">
            <v>S-Frame_RX-50_U_KTKT</v>
          </cell>
          <cell r="K1990" t="str">
            <v>S-フレーム_RX-50_U_KTKT</v>
          </cell>
          <cell r="L1990" t="str">
            <v>S-Frame</v>
          </cell>
          <cell r="M1990" t="str">
            <v>S-フレーム</v>
          </cell>
          <cell r="P1990" t="str">
            <v>31B0</v>
          </cell>
          <cell r="Q1990" t="str">
            <v>SS400</v>
          </cell>
          <cell r="R1990" t="str">
            <v>E389570_01</v>
          </cell>
          <cell r="S1990">
            <v>1063</v>
          </cell>
          <cell r="T1990" t="str">
            <v>標準</v>
          </cell>
        </row>
        <row r="1991">
          <cell r="F1991" t="str">
            <v>H0000102848</v>
          </cell>
          <cell r="I1991" t="str">
            <v>フレーム</v>
          </cell>
          <cell r="J1991" t="str">
            <v>S-Frame_RX-50_U_KTKT</v>
          </cell>
          <cell r="K1991" t="str">
            <v>S-フレーム_RX-50_U_KTKT</v>
          </cell>
          <cell r="L1991" t="str">
            <v>S-Frame</v>
          </cell>
          <cell r="M1991" t="str">
            <v>S-フレーム</v>
          </cell>
          <cell r="P1991" t="str">
            <v>31B0</v>
          </cell>
          <cell r="Q1991" t="str">
            <v>SS400</v>
          </cell>
          <cell r="R1991" t="str">
            <v>E389570_01</v>
          </cell>
          <cell r="S1991">
            <v>1063</v>
          </cell>
          <cell r="T1991" t="str">
            <v>標準</v>
          </cell>
        </row>
        <row r="1992">
          <cell r="F1992" t="str">
            <v>H0000102849</v>
          </cell>
          <cell r="I1992" t="str">
            <v>フレーム</v>
          </cell>
          <cell r="J1992" t="str">
            <v>S-Frame_RX-50_U_KTKT</v>
          </cell>
          <cell r="K1992" t="str">
            <v>S-フレーム_RX-50_U_KTKT</v>
          </cell>
          <cell r="L1992" t="str">
            <v>S-Frame</v>
          </cell>
          <cell r="M1992" t="str">
            <v>S-フレーム</v>
          </cell>
          <cell r="P1992" t="str">
            <v>31B0</v>
          </cell>
          <cell r="Q1992" t="str">
            <v>SS400</v>
          </cell>
          <cell r="R1992" t="str">
            <v>E389570_01</v>
          </cell>
          <cell r="S1992">
            <v>1063</v>
          </cell>
          <cell r="T1992" t="str">
            <v>標準</v>
          </cell>
        </row>
        <row r="1993">
          <cell r="F1993" t="str">
            <v>H0000102850</v>
          </cell>
          <cell r="I1993" t="str">
            <v>フレーム</v>
          </cell>
          <cell r="J1993" t="str">
            <v>S-Frame_RX-50_U_KTKT</v>
          </cell>
          <cell r="K1993" t="str">
            <v>S-フレーム_RX-50_U_KTKT</v>
          </cell>
          <cell r="L1993" t="str">
            <v>S-Frame</v>
          </cell>
          <cell r="M1993" t="str">
            <v>S-フレーム</v>
          </cell>
          <cell r="P1993" t="str">
            <v>31B0</v>
          </cell>
          <cell r="Q1993" t="str">
            <v>SS400</v>
          </cell>
          <cell r="R1993" t="str">
            <v>E389570_01</v>
          </cell>
          <cell r="S1993">
            <v>1063</v>
          </cell>
          <cell r="T1993" t="str">
            <v>標準</v>
          </cell>
        </row>
        <row r="1994">
          <cell r="F1994" t="str">
            <v>H0000102851</v>
          </cell>
          <cell r="I1994" t="str">
            <v>フレーム</v>
          </cell>
          <cell r="J1994" t="str">
            <v>S-Frame_RX-50_U_KTKT</v>
          </cell>
          <cell r="K1994" t="str">
            <v>S-フレーム_RX-50_U_KTKT</v>
          </cell>
          <cell r="L1994" t="str">
            <v>S-Frame</v>
          </cell>
          <cell r="M1994" t="str">
            <v>S-フレーム</v>
          </cell>
          <cell r="P1994" t="str">
            <v>31B0</v>
          </cell>
          <cell r="Q1994" t="str">
            <v>SS400</v>
          </cell>
          <cell r="R1994" t="str">
            <v>E389570_01</v>
          </cell>
          <cell r="S1994">
            <v>1063</v>
          </cell>
          <cell r="T1994" t="str">
            <v>標準</v>
          </cell>
        </row>
        <row r="1995">
          <cell r="F1995" t="str">
            <v>H0000102852</v>
          </cell>
          <cell r="I1995" t="str">
            <v>フレーム</v>
          </cell>
          <cell r="J1995" t="str">
            <v>S-Frame_RX-50_U_KTKT</v>
          </cell>
          <cell r="K1995" t="str">
            <v>S-フレーム_RX-50_U_KTKT</v>
          </cell>
          <cell r="L1995" t="str">
            <v>S-Frame</v>
          </cell>
          <cell r="M1995" t="str">
            <v>S-フレーム</v>
          </cell>
          <cell r="P1995" t="str">
            <v>31B0</v>
          </cell>
          <cell r="Q1995" t="str">
            <v>SS400</v>
          </cell>
          <cell r="R1995" t="str">
            <v>E389570_01</v>
          </cell>
          <cell r="S1995">
            <v>1063</v>
          </cell>
          <cell r="T1995" t="str">
            <v>標準</v>
          </cell>
        </row>
        <row r="1996">
          <cell r="F1996" t="str">
            <v>H0000102853</v>
          </cell>
          <cell r="I1996" t="str">
            <v>フレーム</v>
          </cell>
          <cell r="J1996" t="str">
            <v>S-Frame_RX-50_U_KTKT</v>
          </cell>
          <cell r="K1996" t="str">
            <v>S-フレーム_RX-50_U_KTKT</v>
          </cell>
          <cell r="L1996" t="str">
            <v>S-Frame</v>
          </cell>
          <cell r="M1996" t="str">
            <v>S-フレーム</v>
          </cell>
          <cell r="P1996" t="str">
            <v>31B0</v>
          </cell>
          <cell r="Q1996" t="str">
            <v>SS400</v>
          </cell>
          <cell r="R1996" t="str">
            <v>E389570_01</v>
          </cell>
          <cell r="S1996">
            <v>1063</v>
          </cell>
          <cell r="T1996" t="str">
            <v>標準</v>
          </cell>
        </row>
        <row r="1997">
          <cell r="F1997" t="str">
            <v>H0000102854</v>
          </cell>
          <cell r="I1997" t="str">
            <v>フレーム</v>
          </cell>
          <cell r="J1997" t="str">
            <v>S-Frame_RX-50_U_KTKT</v>
          </cell>
          <cell r="K1997" t="str">
            <v>S-フレーム_RX-50_U_KTKT</v>
          </cell>
          <cell r="L1997" t="str">
            <v>S-Frame</v>
          </cell>
          <cell r="M1997" t="str">
            <v>S-フレーム</v>
          </cell>
          <cell r="P1997" t="str">
            <v>31B0</v>
          </cell>
          <cell r="Q1997" t="str">
            <v>SS400</v>
          </cell>
          <cell r="R1997" t="str">
            <v>E389570_01</v>
          </cell>
          <cell r="S1997">
            <v>1063</v>
          </cell>
          <cell r="T1997" t="str">
            <v>標準</v>
          </cell>
        </row>
        <row r="1998">
          <cell r="F1998" t="str">
            <v>H0000102855</v>
          </cell>
          <cell r="I1998" t="str">
            <v>フレーム</v>
          </cell>
          <cell r="J1998" t="str">
            <v>S-Frame_RX-50_U_KTKT</v>
          </cell>
          <cell r="K1998" t="str">
            <v>S-フレーム_RX-50_U_KTKT</v>
          </cell>
          <cell r="L1998" t="str">
            <v>S-Frame</v>
          </cell>
          <cell r="M1998" t="str">
            <v>S-フレーム</v>
          </cell>
          <cell r="P1998" t="str">
            <v>31B0</v>
          </cell>
          <cell r="Q1998" t="str">
            <v>SS400</v>
          </cell>
          <cell r="R1998" t="str">
            <v>E389570_01</v>
          </cell>
          <cell r="S1998">
            <v>1063</v>
          </cell>
          <cell r="T1998" t="str">
            <v>標準</v>
          </cell>
        </row>
        <row r="1999">
          <cell r="F1999" t="str">
            <v>H0000102856</v>
          </cell>
          <cell r="I1999" t="str">
            <v>フレーム</v>
          </cell>
          <cell r="J1999" t="str">
            <v>S-Frame_RX-50_U_KTKT</v>
          </cell>
          <cell r="K1999" t="str">
            <v>S-フレーム_RX-50_U_KTKT</v>
          </cell>
          <cell r="L1999" t="str">
            <v>S-Frame</v>
          </cell>
          <cell r="M1999" t="str">
            <v>S-フレーム</v>
          </cell>
          <cell r="P1999" t="str">
            <v>31B0</v>
          </cell>
          <cell r="Q1999" t="str">
            <v>SS400</v>
          </cell>
          <cell r="R1999" t="str">
            <v>E389570_01</v>
          </cell>
          <cell r="S1999">
            <v>1063</v>
          </cell>
          <cell r="T1999" t="str">
            <v>標準</v>
          </cell>
        </row>
        <row r="2000">
          <cell r="F2000" t="str">
            <v>H0000102857</v>
          </cell>
          <cell r="I2000" t="str">
            <v>フレーム</v>
          </cell>
          <cell r="J2000" t="str">
            <v>S-Frame_RX-50_U_KTKT</v>
          </cell>
          <cell r="K2000" t="str">
            <v>S-フレーム_RX-50_U_KTKT</v>
          </cell>
          <cell r="L2000" t="str">
            <v>S-Frame</v>
          </cell>
          <cell r="M2000" t="str">
            <v>S-フレーム</v>
          </cell>
          <cell r="P2000" t="str">
            <v>31B0</v>
          </cell>
          <cell r="Q2000" t="str">
            <v>SS400</v>
          </cell>
          <cell r="R2000" t="str">
            <v>E389570_01</v>
          </cell>
          <cell r="S2000">
            <v>1063</v>
          </cell>
          <cell r="T2000" t="str">
            <v>標準</v>
          </cell>
        </row>
        <row r="2001">
          <cell r="F2001" t="str">
            <v>H0000102858</v>
          </cell>
          <cell r="I2001" t="str">
            <v>フレーム</v>
          </cell>
          <cell r="J2001" t="str">
            <v>S-Frame_RX-50_U_KTKT</v>
          </cell>
          <cell r="K2001" t="str">
            <v>S-フレーム_RX-50_U_KTKT</v>
          </cell>
          <cell r="L2001" t="str">
            <v>S-Frame</v>
          </cell>
          <cell r="M2001" t="str">
            <v>S-フレーム</v>
          </cell>
          <cell r="P2001" t="str">
            <v>31B0</v>
          </cell>
          <cell r="Q2001" t="str">
            <v>SS400</v>
          </cell>
          <cell r="R2001" t="str">
            <v>E389570_01</v>
          </cell>
          <cell r="S2001">
            <v>1063</v>
          </cell>
          <cell r="T2001" t="str">
            <v>標準</v>
          </cell>
        </row>
        <row r="2002">
          <cell r="F2002" t="str">
            <v>H0000102859</v>
          </cell>
          <cell r="I2002" t="str">
            <v>フレーム</v>
          </cell>
          <cell r="J2002" t="str">
            <v>S-Frame_RX-50_U_KTKT</v>
          </cell>
          <cell r="K2002" t="str">
            <v>S-フレーム_RX-50_U_KTKT</v>
          </cell>
          <cell r="L2002" t="str">
            <v>S-Frame</v>
          </cell>
          <cell r="M2002" t="str">
            <v>S-フレーム</v>
          </cell>
          <cell r="P2002" t="str">
            <v>31B0</v>
          </cell>
          <cell r="Q2002" t="str">
            <v>SS400</v>
          </cell>
          <cell r="R2002" t="str">
            <v>E389570_01</v>
          </cell>
          <cell r="S2002">
            <v>1063</v>
          </cell>
          <cell r="T2002" t="str">
            <v>標準</v>
          </cell>
        </row>
        <row r="2003">
          <cell r="F2003" t="str">
            <v>H0000102860</v>
          </cell>
          <cell r="I2003" t="str">
            <v>フレーム</v>
          </cell>
          <cell r="J2003" t="str">
            <v>S-Frame_RX-50_U_KTKT</v>
          </cell>
          <cell r="K2003" t="str">
            <v>S-フレーム_RX-50_U_KTKT</v>
          </cell>
          <cell r="L2003" t="str">
            <v>S-Frame</v>
          </cell>
          <cell r="M2003" t="str">
            <v>S-フレーム</v>
          </cell>
          <cell r="P2003" t="str">
            <v>31B0</v>
          </cell>
          <cell r="Q2003" t="str">
            <v>SS400</v>
          </cell>
          <cell r="R2003" t="str">
            <v>E389570_01</v>
          </cell>
          <cell r="S2003">
            <v>1063</v>
          </cell>
          <cell r="T2003" t="str">
            <v>標準</v>
          </cell>
        </row>
        <row r="2004">
          <cell r="F2004" t="str">
            <v>H0000102861</v>
          </cell>
          <cell r="I2004" t="str">
            <v>フレーム</v>
          </cell>
          <cell r="J2004" t="str">
            <v>S-Frame_RX-50_U_KTKT</v>
          </cell>
          <cell r="K2004" t="str">
            <v>S-フレーム_RX-50_U_KTKT</v>
          </cell>
          <cell r="L2004" t="str">
            <v>S-Frame</v>
          </cell>
          <cell r="M2004" t="str">
            <v>S-フレーム</v>
          </cell>
          <cell r="P2004" t="str">
            <v>31B0</v>
          </cell>
          <cell r="Q2004" t="str">
            <v>SS400</v>
          </cell>
          <cell r="R2004" t="str">
            <v>E389570_01</v>
          </cell>
          <cell r="S2004">
            <v>1063</v>
          </cell>
          <cell r="T2004" t="str">
            <v>標準</v>
          </cell>
        </row>
        <row r="2005">
          <cell r="F2005" t="str">
            <v>H0000102862</v>
          </cell>
          <cell r="I2005" t="str">
            <v>フレーム</v>
          </cell>
          <cell r="J2005" t="str">
            <v>S-Frame_RX-50_U_KTKT</v>
          </cell>
          <cell r="K2005" t="str">
            <v>S-フレーム_RX-50_U_KTKT</v>
          </cell>
          <cell r="L2005" t="str">
            <v>S-Frame</v>
          </cell>
          <cell r="M2005" t="str">
            <v>S-フレーム</v>
          </cell>
          <cell r="P2005" t="str">
            <v>31B0</v>
          </cell>
          <cell r="Q2005" t="str">
            <v>SS400</v>
          </cell>
          <cell r="R2005" t="str">
            <v>E389570_01</v>
          </cell>
          <cell r="S2005">
            <v>1063</v>
          </cell>
          <cell r="T2005" t="str">
            <v>標準</v>
          </cell>
        </row>
        <row r="2006">
          <cell r="F2006" t="str">
            <v>H0000102863</v>
          </cell>
          <cell r="I2006" t="str">
            <v>フレーム</v>
          </cell>
          <cell r="J2006" t="str">
            <v>S-Frame_RX-50_U_KTKT</v>
          </cell>
          <cell r="K2006" t="str">
            <v>S-フレーム_RX-50_U_KTKT</v>
          </cell>
          <cell r="L2006" t="str">
            <v>S-Frame</v>
          </cell>
          <cell r="M2006" t="str">
            <v>S-フレーム</v>
          </cell>
          <cell r="P2006" t="str">
            <v>31B0</v>
          </cell>
          <cell r="Q2006" t="str">
            <v>SS400</v>
          </cell>
          <cell r="R2006" t="str">
            <v>E389570_01</v>
          </cell>
          <cell r="S2006">
            <v>1063</v>
          </cell>
          <cell r="T2006" t="str">
            <v>標準</v>
          </cell>
        </row>
        <row r="2007">
          <cell r="F2007" t="str">
            <v>H0000102864</v>
          </cell>
          <cell r="I2007" t="str">
            <v>フレーム</v>
          </cell>
          <cell r="J2007" t="str">
            <v>S-Frame_RX-50_U_KTKT</v>
          </cell>
          <cell r="K2007" t="str">
            <v>S-フレーム_RX-50_U_KTKT</v>
          </cell>
          <cell r="L2007" t="str">
            <v>S-Frame</v>
          </cell>
          <cell r="M2007" t="str">
            <v>S-フレーム</v>
          </cell>
          <cell r="P2007" t="str">
            <v>31B0</v>
          </cell>
          <cell r="Q2007" t="str">
            <v>SS400</v>
          </cell>
          <cell r="R2007" t="str">
            <v>E389570_01</v>
          </cell>
          <cell r="S2007">
            <v>1063</v>
          </cell>
          <cell r="T2007" t="str">
            <v>標準</v>
          </cell>
        </row>
        <row r="2008">
          <cell r="F2008" t="str">
            <v>H0000102865</v>
          </cell>
          <cell r="I2008" t="str">
            <v>フレーム</v>
          </cell>
          <cell r="J2008" t="str">
            <v>S-Frame_RX-50_U_KTKT</v>
          </cell>
          <cell r="K2008" t="str">
            <v>S-フレーム_RX-50_U_KTKT</v>
          </cell>
          <cell r="L2008" t="str">
            <v>S-Frame</v>
          </cell>
          <cell r="M2008" t="str">
            <v>S-フレーム</v>
          </cell>
          <cell r="P2008" t="str">
            <v>31B0</v>
          </cell>
          <cell r="Q2008" t="str">
            <v>SS400</v>
          </cell>
          <cell r="R2008" t="str">
            <v>E389570_01</v>
          </cell>
          <cell r="S2008">
            <v>1063</v>
          </cell>
          <cell r="T2008" t="str">
            <v>標準</v>
          </cell>
        </row>
        <row r="2009">
          <cell r="F2009" t="str">
            <v>H0000102866</v>
          </cell>
          <cell r="I2009" t="str">
            <v>フレーム</v>
          </cell>
          <cell r="J2009" t="str">
            <v>S-Frame_RX-50_U_KTKT</v>
          </cell>
          <cell r="K2009" t="str">
            <v>S-フレーム_RX-50_U_KTKT</v>
          </cell>
          <cell r="L2009" t="str">
            <v>S-Frame</v>
          </cell>
          <cell r="M2009" t="str">
            <v>S-フレーム</v>
          </cell>
          <cell r="P2009" t="str">
            <v>31B0</v>
          </cell>
          <cell r="Q2009" t="str">
            <v>SS400</v>
          </cell>
          <cell r="R2009" t="str">
            <v>E389570_01</v>
          </cell>
          <cell r="S2009">
            <v>1063</v>
          </cell>
          <cell r="T2009" t="str">
            <v>標準</v>
          </cell>
        </row>
        <row r="2010">
          <cell r="F2010" t="str">
            <v>H0000102867</v>
          </cell>
          <cell r="I2010" t="str">
            <v>フレーム</v>
          </cell>
          <cell r="J2010" t="str">
            <v>S-Frame_RX-50_U_KTKT</v>
          </cell>
          <cell r="K2010" t="str">
            <v>S-フレーム_RX-50_U_KTKT</v>
          </cell>
          <cell r="L2010" t="str">
            <v>S-Frame</v>
          </cell>
          <cell r="M2010" t="str">
            <v>S-フレーム</v>
          </cell>
          <cell r="P2010" t="str">
            <v>31B0</v>
          </cell>
          <cell r="Q2010" t="str">
            <v>SS400</v>
          </cell>
          <cell r="R2010" t="str">
            <v>E389570_01</v>
          </cell>
          <cell r="S2010">
            <v>1063</v>
          </cell>
          <cell r="T2010" t="str">
            <v>標準</v>
          </cell>
        </row>
        <row r="2011">
          <cell r="F2011" t="str">
            <v>H0000102868</v>
          </cell>
          <cell r="I2011" t="str">
            <v>フレーム</v>
          </cell>
          <cell r="J2011" t="str">
            <v>S-Frame_RX-50_U_KTKT</v>
          </cell>
          <cell r="K2011" t="str">
            <v>S-フレーム_RX-50_U_KTKT</v>
          </cell>
          <cell r="L2011" t="str">
            <v>S-Frame</v>
          </cell>
          <cell r="M2011" t="str">
            <v>S-フレーム</v>
          </cell>
          <cell r="P2011" t="str">
            <v>31B0</v>
          </cell>
          <cell r="Q2011" t="str">
            <v>SS400</v>
          </cell>
          <cell r="R2011" t="str">
            <v>E389570_01</v>
          </cell>
          <cell r="S2011">
            <v>1063</v>
          </cell>
          <cell r="T2011" t="str">
            <v>標準</v>
          </cell>
        </row>
        <row r="2012">
          <cell r="F2012" t="str">
            <v>H0000102869</v>
          </cell>
          <cell r="I2012" t="str">
            <v>フレーム</v>
          </cell>
          <cell r="J2012" t="str">
            <v>S-Frame_RX-50_U_KKKK</v>
          </cell>
          <cell r="K2012" t="str">
            <v>S-フレーム_RX-50_U_KKKK</v>
          </cell>
          <cell r="L2012" t="str">
            <v>S-Frame</v>
          </cell>
          <cell r="M2012" t="str">
            <v>S-フレーム</v>
          </cell>
          <cell r="P2012" t="str">
            <v>31B0</v>
          </cell>
          <cell r="Q2012" t="str">
            <v>SS400</v>
          </cell>
          <cell r="R2012" t="str">
            <v>E389570_01</v>
          </cell>
          <cell r="S2012">
            <v>1063</v>
          </cell>
          <cell r="T2012" t="str">
            <v>標準</v>
          </cell>
        </row>
        <row r="2013">
          <cell r="F2013" t="str">
            <v>H0000102870</v>
          </cell>
          <cell r="I2013" t="str">
            <v>フレーム</v>
          </cell>
          <cell r="J2013" t="str">
            <v>S-Frame_RX-50_U_KKKK</v>
          </cell>
          <cell r="K2013" t="str">
            <v>S-フレーム_RX-50_U_KKKK</v>
          </cell>
          <cell r="L2013" t="str">
            <v>S-Frame</v>
          </cell>
          <cell r="M2013" t="str">
            <v>S-フレーム</v>
          </cell>
          <cell r="P2013" t="str">
            <v>31B0</v>
          </cell>
          <cell r="Q2013" t="str">
            <v>SS400</v>
          </cell>
          <cell r="R2013" t="str">
            <v>E389570_01</v>
          </cell>
          <cell r="S2013">
            <v>1063</v>
          </cell>
          <cell r="T2013" t="str">
            <v>標準</v>
          </cell>
        </row>
        <row r="2014">
          <cell r="F2014" t="str">
            <v>H0000102871</v>
          </cell>
          <cell r="I2014" t="str">
            <v>フレーム</v>
          </cell>
          <cell r="J2014" t="str">
            <v>S-Frame_RX-50_U_KKKK</v>
          </cell>
          <cell r="K2014" t="str">
            <v>S-フレーム_RX-50_U_KKKK</v>
          </cell>
          <cell r="L2014" t="str">
            <v>S-Frame</v>
          </cell>
          <cell r="M2014" t="str">
            <v>S-フレーム</v>
          </cell>
          <cell r="P2014" t="str">
            <v>31B0</v>
          </cell>
          <cell r="Q2014" t="str">
            <v>SS400</v>
          </cell>
          <cell r="R2014" t="str">
            <v>E389570_01</v>
          </cell>
          <cell r="S2014">
            <v>1063</v>
          </cell>
          <cell r="T2014" t="str">
            <v>標準</v>
          </cell>
        </row>
        <row r="2015">
          <cell r="F2015" t="str">
            <v>H0000102872</v>
          </cell>
          <cell r="I2015" t="str">
            <v>フレーム</v>
          </cell>
          <cell r="J2015" t="str">
            <v>S-Frame_RX-50_U_KKKK</v>
          </cell>
          <cell r="K2015" t="str">
            <v>S-フレーム_RX-50_U_KKKK</v>
          </cell>
          <cell r="L2015" t="str">
            <v>S-Frame</v>
          </cell>
          <cell r="M2015" t="str">
            <v>S-フレーム</v>
          </cell>
          <cell r="P2015" t="str">
            <v>31B0</v>
          </cell>
          <cell r="Q2015" t="str">
            <v>SS400</v>
          </cell>
          <cell r="R2015" t="str">
            <v>E389570_01</v>
          </cell>
          <cell r="S2015">
            <v>1063</v>
          </cell>
          <cell r="T2015" t="str">
            <v>標準</v>
          </cell>
        </row>
        <row r="2016">
          <cell r="F2016" t="str">
            <v>H0000102873</v>
          </cell>
          <cell r="I2016" t="str">
            <v>フレーム</v>
          </cell>
          <cell r="J2016" t="str">
            <v>S-Frame_RX-50_U_KKKK</v>
          </cell>
          <cell r="K2016" t="str">
            <v>S-フレーム_RX-50_U_KKKK</v>
          </cell>
          <cell r="L2016" t="str">
            <v>S-Frame</v>
          </cell>
          <cell r="M2016" t="str">
            <v>S-フレーム</v>
          </cell>
          <cell r="P2016" t="str">
            <v>31B0</v>
          </cell>
          <cell r="Q2016" t="str">
            <v>SS400</v>
          </cell>
          <cell r="R2016" t="str">
            <v>E389570_01</v>
          </cell>
          <cell r="S2016">
            <v>1063</v>
          </cell>
          <cell r="T2016" t="str">
            <v>標準</v>
          </cell>
        </row>
        <row r="2017">
          <cell r="F2017" t="str">
            <v>H0000102874</v>
          </cell>
          <cell r="I2017" t="str">
            <v>フレーム</v>
          </cell>
          <cell r="J2017" t="str">
            <v>S-Frame_RX-50_U_KKKK</v>
          </cell>
          <cell r="K2017" t="str">
            <v>S-フレーム_RX-50_U_KKKK</v>
          </cell>
          <cell r="L2017" t="str">
            <v>S-Frame</v>
          </cell>
          <cell r="M2017" t="str">
            <v>S-フレーム</v>
          </cell>
          <cell r="P2017" t="str">
            <v>31B0</v>
          </cell>
          <cell r="Q2017" t="str">
            <v>SS400</v>
          </cell>
          <cell r="R2017" t="str">
            <v>E389570_01</v>
          </cell>
          <cell r="S2017">
            <v>1063</v>
          </cell>
          <cell r="T2017" t="str">
            <v>標準</v>
          </cell>
        </row>
        <row r="2018">
          <cell r="F2018" t="str">
            <v>H0000102875</v>
          </cell>
          <cell r="I2018" t="str">
            <v>フレーム</v>
          </cell>
          <cell r="J2018" t="str">
            <v>S-Frame_RX-50_U_KKKK</v>
          </cell>
          <cell r="K2018" t="str">
            <v>S-フレーム_RX-50_U_KKKK</v>
          </cell>
          <cell r="L2018" t="str">
            <v>S-Frame</v>
          </cell>
          <cell r="M2018" t="str">
            <v>S-フレーム</v>
          </cell>
          <cell r="P2018" t="str">
            <v>31B0</v>
          </cell>
          <cell r="Q2018" t="str">
            <v>SS400</v>
          </cell>
          <cell r="R2018" t="str">
            <v>E389570_01</v>
          </cell>
          <cell r="S2018">
            <v>1063</v>
          </cell>
          <cell r="T2018" t="str">
            <v>標準</v>
          </cell>
        </row>
        <row r="2019">
          <cell r="F2019" t="str">
            <v>H0000102876</v>
          </cell>
          <cell r="I2019" t="str">
            <v>フレーム</v>
          </cell>
          <cell r="J2019" t="str">
            <v>S-Frame_RX-50_U_KKKK</v>
          </cell>
          <cell r="K2019" t="str">
            <v>S-フレーム_RX-50_U_KKKK</v>
          </cell>
          <cell r="L2019" t="str">
            <v>S-Frame</v>
          </cell>
          <cell r="M2019" t="str">
            <v>S-フレーム</v>
          </cell>
          <cell r="P2019" t="str">
            <v>31B0</v>
          </cell>
          <cell r="Q2019" t="str">
            <v>SS400</v>
          </cell>
          <cell r="R2019" t="str">
            <v>E389570_01</v>
          </cell>
          <cell r="S2019">
            <v>1063</v>
          </cell>
          <cell r="T2019" t="str">
            <v>標準</v>
          </cell>
        </row>
        <row r="2020">
          <cell r="F2020" t="str">
            <v>H0000102877</v>
          </cell>
          <cell r="I2020" t="str">
            <v>フレーム</v>
          </cell>
          <cell r="J2020" t="str">
            <v>S-Frame_RX-50_U_KKKK</v>
          </cell>
          <cell r="K2020" t="str">
            <v>S-フレーム_RX-50_U_KKKK</v>
          </cell>
          <cell r="L2020" t="str">
            <v>S-Frame</v>
          </cell>
          <cell r="M2020" t="str">
            <v>S-フレーム</v>
          </cell>
          <cell r="P2020" t="str">
            <v>31B0</v>
          </cell>
          <cell r="Q2020" t="str">
            <v>SS400</v>
          </cell>
          <cell r="R2020" t="str">
            <v>E389570_01</v>
          </cell>
          <cell r="S2020">
            <v>1063</v>
          </cell>
          <cell r="T2020" t="str">
            <v>標準</v>
          </cell>
        </row>
        <row r="2021">
          <cell r="F2021" t="str">
            <v>H0000102878</v>
          </cell>
          <cell r="I2021" t="str">
            <v>フレーム</v>
          </cell>
          <cell r="J2021" t="str">
            <v>S-Frame_RX-50_U_KKKK</v>
          </cell>
          <cell r="K2021" t="str">
            <v>S-フレーム_RX-50_U_KKKK</v>
          </cell>
          <cell r="L2021" t="str">
            <v>S-Frame</v>
          </cell>
          <cell r="M2021" t="str">
            <v>S-フレーム</v>
          </cell>
          <cell r="P2021" t="str">
            <v>31B0</v>
          </cell>
          <cell r="Q2021" t="str">
            <v>SS400</v>
          </cell>
          <cell r="R2021" t="str">
            <v>E389570_01</v>
          </cell>
          <cell r="S2021">
            <v>1063</v>
          </cell>
          <cell r="T2021" t="str">
            <v>標準</v>
          </cell>
        </row>
        <row r="2022">
          <cell r="F2022" t="str">
            <v>H0000102879</v>
          </cell>
          <cell r="I2022" t="str">
            <v>フレーム</v>
          </cell>
          <cell r="J2022" t="str">
            <v>S-Frame_RX-50_U_KKKK</v>
          </cell>
          <cell r="K2022" t="str">
            <v>S-フレーム_RX-50_U_KKKK</v>
          </cell>
          <cell r="L2022" t="str">
            <v>S-Frame</v>
          </cell>
          <cell r="M2022" t="str">
            <v>S-フレーム</v>
          </cell>
          <cell r="P2022" t="str">
            <v>31B0</v>
          </cell>
          <cell r="Q2022" t="str">
            <v>SS400</v>
          </cell>
          <cell r="R2022" t="str">
            <v>E389570_01</v>
          </cell>
          <cell r="S2022">
            <v>1063</v>
          </cell>
          <cell r="T2022" t="str">
            <v>標準</v>
          </cell>
        </row>
        <row r="2023">
          <cell r="F2023" t="str">
            <v>H0000102880</v>
          </cell>
          <cell r="I2023" t="str">
            <v>フレーム</v>
          </cell>
          <cell r="J2023" t="str">
            <v>S-Frame_RX-50_U_KKKK</v>
          </cell>
          <cell r="K2023" t="str">
            <v>S-フレーム_RX-50_U_KKKK</v>
          </cell>
          <cell r="L2023" t="str">
            <v>S-Frame</v>
          </cell>
          <cell r="M2023" t="str">
            <v>S-フレーム</v>
          </cell>
          <cell r="P2023" t="str">
            <v>31B0</v>
          </cell>
          <cell r="Q2023" t="str">
            <v>SS400</v>
          </cell>
          <cell r="R2023" t="str">
            <v>E389570_01</v>
          </cell>
          <cell r="S2023">
            <v>1063</v>
          </cell>
          <cell r="T2023" t="str">
            <v>標準</v>
          </cell>
        </row>
        <row r="2024">
          <cell r="F2024" t="str">
            <v>H0000102881</v>
          </cell>
          <cell r="I2024" t="str">
            <v>フレーム</v>
          </cell>
          <cell r="J2024" t="str">
            <v>S-Frame_RX-50_U_KKKK</v>
          </cell>
          <cell r="K2024" t="str">
            <v>S-フレーム_RX-50_U_KKKK</v>
          </cell>
          <cell r="L2024" t="str">
            <v>S-Frame</v>
          </cell>
          <cell r="M2024" t="str">
            <v>S-フレーム</v>
          </cell>
          <cell r="P2024" t="str">
            <v>31B0</v>
          </cell>
          <cell r="Q2024" t="str">
            <v>SS400</v>
          </cell>
          <cell r="R2024" t="str">
            <v>E389570_01</v>
          </cell>
          <cell r="S2024">
            <v>1063</v>
          </cell>
          <cell r="T2024" t="str">
            <v>標準</v>
          </cell>
        </row>
        <row r="2025">
          <cell r="F2025" t="str">
            <v>H0000102882</v>
          </cell>
          <cell r="I2025" t="str">
            <v>フレーム</v>
          </cell>
          <cell r="J2025" t="str">
            <v>S-Frame_RX-50_U_KKKK</v>
          </cell>
          <cell r="K2025" t="str">
            <v>S-フレーム_RX-50_U_KKKK</v>
          </cell>
          <cell r="L2025" t="str">
            <v>S-Frame</v>
          </cell>
          <cell r="M2025" t="str">
            <v>S-フレーム</v>
          </cell>
          <cell r="P2025" t="str">
            <v>31B0</v>
          </cell>
          <cell r="Q2025" t="str">
            <v>SS400</v>
          </cell>
          <cell r="R2025" t="str">
            <v>E389570_01</v>
          </cell>
          <cell r="S2025">
            <v>1063</v>
          </cell>
          <cell r="T2025" t="str">
            <v>標準</v>
          </cell>
        </row>
        <row r="2026">
          <cell r="F2026" t="str">
            <v>H0000102883</v>
          </cell>
          <cell r="I2026" t="str">
            <v>フレーム</v>
          </cell>
          <cell r="J2026" t="str">
            <v>S-Frame_RX-50_U_KKKK</v>
          </cell>
          <cell r="K2026" t="str">
            <v>S-フレーム_RX-50_U_KKKK</v>
          </cell>
          <cell r="L2026" t="str">
            <v>S-Frame</v>
          </cell>
          <cell r="M2026" t="str">
            <v>S-フレーム</v>
          </cell>
          <cell r="P2026" t="str">
            <v>31B0</v>
          </cell>
          <cell r="Q2026" t="str">
            <v>SS400</v>
          </cell>
          <cell r="R2026" t="str">
            <v>E389570_01</v>
          </cell>
          <cell r="S2026">
            <v>1063</v>
          </cell>
          <cell r="T2026" t="str">
            <v>標準</v>
          </cell>
        </row>
        <row r="2027">
          <cell r="F2027" t="str">
            <v>H0000102884</v>
          </cell>
          <cell r="I2027" t="str">
            <v>フレーム</v>
          </cell>
          <cell r="J2027" t="str">
            <v>S-Frame_RX-50_U_KKKK</v>
          </cell>
          <cell r="K2027" t="str">
            <v>S-フレーム_RX-50_U_KKKK</v>
          </cell>
          <cell r="L2027" t="str">
            <v>S-Frame</v>
          </cell>
          <cell r="M2027" t="str">
            <v>S-フレーム</v>
          </cell>
          <cell r="P2027" t="str">
            <v>31B0</v>
          </cell>
          <cell r="Q2027" t="str">
            <v>SS400</v>
          </cell>
          <cell r="R2027" t="str">
            <v>E389570_01</v>
          </cell>
          <cell r="S2027">
            <v>1063</v>
          </cell>
          <cell r="T2027" t="str">
            <v>標準</v>
          </cell>
        </row>
        <row r="2028">
          <cell r="F2028" t="str">
            <v>H0000102885</v>
          </cell>
          <cell r="I2028" t="str">
            <v>フレーム</v>
          </cell>
          <cell r="J2028" t="str">
            <v>S-Frame_RX-50_U_KKKK</v>
          </cell>
          <cell r="K2028" t="str">
            <v>S-フレーム_RX-50_U_KKKK</v>
          </cell>
          <cell r="L2028" t="str">
            <v>S-Frame</v>
          </cell>
          <cell r="M2028" t="str">
            <v>S-フレーム</v>
          </cell>
          <cell r="P2028" t="str">
            <v>31B0</v>
          </cell>
          <cell r="Q2028" t="str">
            <v>SS400</v>
          </cell>
          <cell r="R2028" t="str">
            <v>E389570_01</v>
          </cell>
          <cell r="S2028">
            <v>1063</v>
          </cell>
          <cell r="T2028" t="str">
            <v>標準</v>
          </cell>
        </row>
        <row r="2029">
          <cell r="F2029" t="str">
            <v>H0000102886</v>
          </cell>
          <cell r="I2029" t="str">
            <v>フレーム</v>
          </cell>
          <cell r="J2029" t="str">
            <v>S-Frame_RX-50_U_KKKK</v>
          </cell>
          <cell r="K2029" t="str">
            <v>S-フレーム_RX-50_U_KKKK</v>
          </cell>
          <cell r="L2029" t="str">
            <v>S-Frame</v>
          </cell>
          <cell r="M2029" t="str">
            <v>S-フレーム</v>
          </cell>
          <cell r="P2029" t="str">
            <v>31B0</v>
          </cell>
          <cell r="Q2029" t="str">
            <v>SS400</v>
          </cell>
          <cell r="R2029" t="str">
            <v>E389570_01</v>
          </cell>
          <cell r="S2029">
            <v>1063</v>
          </cell>
          <cell r="T2029" t="str">
            <v>標準</v>
          </cell>
        </row>
        <row r="2030">
          <cell r="F2030" t="str">
            <v>H0000102887</v>
          </cell>
          <cell r="I2030" t="str">
            <v>フレーム</v>
          </cell>
          <cell r="J2030" t="str">
            <v>S-Frame_RX-50_U_KKKK</v>
          </cell>
          <cell r="K2030" t="str">
            <v>S-フレーム_RX-50_U_KKKK</v>
          </cell>
          <cell r="L2030" t="str">
            <v>S-Frame</v>
          </cell>
          <cell r="M2030" t="str">
            <v>S-フレーム</v>
          </cell>
          <cell r="P2030" t="str">
            <v>31B0</v>
          </cell>
          <cell r="Q2030" t="str">
            <v>SS400</v>
          </cell>
          <cell r="R2030" t="str">
            <v>E389570_01</v>
          </cell>
          <cell r="S2030">
            <v>1063</v>
          </cell>
          <cell r="T2030" t="str">
            <v>標準</v>
          </cell>
        </row>
        <row r="2031">
          <cell r="F2031" t="str">
            <v>H0000102888</v>
          </cell>
          <cell r="I2031" t="str">
            <v>フレーム</v>
          </cell>
          <cell r="J2031" t="str">
            <v>S-Frame_RX-50_U_KKKK</v>
          </cell>
          <cell r="K2031" t="str">
            <v>S-フレーム_RX-50_U_KKKK</v>
          </cell>
          <cell r="L2031" t="str">
            <v>S-Frame</v>
          </cell>
          <cell r="M2031" t="str">
            <v>S-フレーム</v>
          </cell>
          <cell r="P2031" t="str">
            <v>31B0</v>
          </cell>
          <cell r="Q2031" t="str">
            <v>SS400</v>
          </cell>
          <cell r="R2031" t="str">
            <v>E389570_01</v>
          </cell>
          <cell r="S2031">
            <v>1063</v>
          </cell>
          <cell r="T2031" t="str">
            <v>標準</v>
          </cell>
        </row>
        <row r="2032">
          <cell r="F2032" t="str">
            <v>H0000102889</v>
          </cell>
          <cell r="I2032" t="str">
            <v>フレーム</v>
          </cell>
          <cell r="J2032" t="str">
            <v>S-Frame_RX-50_U_KKKK</v>
          </cell>
          <cell r="K2032" t="str">
            <v>S-フレーム_RX-50_U_KKKK</v>
          </cell>
          <cell r="L2032" t="str">
            <v>S-Frame</v>
          </cell>
          <cell r="M2032" t="str">
            <v>S-フレーム</v>
          </cell>
          <cell r="P2032" t="str">
            <v>31B0</v>
          </cell>
          <cell r="Q2032" t="str">
            <v>SS400</v>
          </cell>
          <cell r="R2032" t="str">
            <v>E389570_01</v>
          </cell>
          <cell r="S2032">
            <v>1063</v>
          </cell>
          <cell r="T2032" t="str">
            <v>標準</v>
          </cell>
        </row>
        <row r="2033">
          <cell r="F2033" t="str">
            <v>H0000102890</v>
          </cell>
          <cell r="I2033" t="str">
            <v>フレーム</v>
          </cell>
          <cell r="J2033" t="str">
            <v>S-Frame_RX-50_U_KKKK</v>
          </cell>
          <cell r="K2033" t="str">
            <v>S-フレーム_RX-50_U_KKKK</v>
          </cell>
          <cell r="L2033" t="str">
            <v>S-Frame</v>
          </cell>
          <cell r="M2033" t="str">
            <v>S-フレーム</v>
          </cell>
          <cell r="P2033" t="str">
            <v>31B0</v>
          </cell>
          <cell r="Q2033" t="str">
            <v>SS400</v>
          </cell>
          <cell r="R2033" t="str">
            <v>E389570_01</v>
          </cell>
          <cell r="S2033">
            <v>1063</v>
          </cell>
          <cell r="T2033" t="str">
            <v>標準</v>
          </cell>
        </row>
        <row r="2034">
          <cell r="F2034" t="str">
            <v>H0000102891</v>
          </cell>
          <cell r="I2034" t="str">
            <v>フレーム</v>
          </cell>
          <cell r="J2034" t="str">
            <v>S-Frame_RX-50_U_KKKK</v>
          </cell>
          <cell r="K2034" t="str">
            <v>S-フレーム_RX-50_U_KKKK</v>
          </cell>
          <cell r="L2034" t="str">
            <v>S-Frame</v>
          </cell>
          <cell r="M2034" t="str">
            <v>S-フレーム</v>
          </cell>
          <cell r="P2034" t="str">
            <v>31B0</v>
          </cell>
          <cell r="Q2034" t="str">
            <v>SS400</v>
          </cell>
          <cell r="R2034" t="str">
            <v>E389570_01</v>
          </cell>
          <cell r="S2034">
            <v>1063</v>
          </cell>
          <cell r="T2034" t="str">
            <v>標準</v>
          </cell>
        </row>
        <row r="2035">
          <cell r="F2035" t="str">
            <v>H0000102892</v>
          </cell>
          <cell r="I2035" t="str">
            <v>フレーム</v>
          </cell>
          <cell r="J2035" t="str">
            <v>S-Frame_RX-50_U_KKKK</v>
          </cell>
          <cell r="K2035" t="str">
            <v>S-フレーム_RX-50_U_KKKK</v>
          </cell>
          <cell r="L2035" t="str">
            <v>S-Frame</v>
          </cell>
          <cell r="M2035" t="str">
            <v>S-フレーム</v>
          </cell>
          <cell r="P2035" t="str">
            <v>31B0</v>
          </cell>
          <cell r="Q2035" t="str">
            <v>SS400</v>
          </cell>
          <cell r="R2035" t="str">
            <v>E389570_01</v>
          </cell>
          <cell r="S2035">
            <v>1063</v>
          </cell>
          <cell r="T2035" t="str">
            <v>標準</v>
          </cell>
        </row>
        <row r="2036">
          <cell r="F2036" t="str">
            <v>H0000102893</v>
          </cell>
          <cell r="I2036" t="str">
            <v>フレーム</v>
          </cell>
          <cell r="J2036" t="str">
            <v>S-Frame_RX-50_U_KKKK</v>
          </cell>
          <cell r="K2036" t="str">
            <v>S-フレーム_RX-50_U_KKKK</v>
          </cell>
          <cell r="L2036" t="str">
            <v>S-Frame</v>
          </cell>
          <cell r="M2036" t="str">
            <v>S-フレーム</v>
          </cell>
          <cell r="P2036" t="str">
            <v>31B0</v>
          </cell>
          <cell r="Q2036" t="str">
            <v>SS400</v>
          </cell>
          <cell r="R2036" t="str">
            <v>E389570_01</v>
          </cell>
          <cell r="S2036">
            <v>1063</v>
          </cell>
          <cell r="T2036" t="str">
            <v>標準</v>
          </cell>
        </row>
        <row r="2037">
          <cell r="F2037" t="str">
            <v>H0000102894</v>
          </cell>
          <cell r="I2037" t="str">
            <v>フレーム</v>
          </cell>
          <cell r="J2037" t="str">
            <v>S-Frame_GasCutting_RX-50_U_1234</v>
          </cell>
          <cell r="K2037" t="str">
            <v>S-フレーム_ガス溶断_RX-50_U_1234</v>
          </cell>
          <cell r="L2037" t="str">
            <v>S-Frame</v>
          </cell>
          <cell r="M2037" t="str">
            <v>S-フレーム</v>
          </cell>
          <cell r="N2037" t="str">
            <v>GasCutting</v>
          </cell>
          <cell r="O2037" t="str">
            <v>ガス溶断</v>
          </cell>
          <cell r="P2037" t="str">
            <v>31B0</v>
          </cell>
          <cell r="Q2037" t="str">
            <v>SS400</v>
          </cell>
          <cell r="R2037" t="str">
            <v>E389570_01</v>
          </cell>
          <cell r="S2037">
            <v>1063</v>
          </cell>
          <cell r="T2037" t="str">
            <v>標準</v>
          </cell>
        </row>
        <row r="2038">
          <cell r="F2038" t="str">
            <v>H0000102895</v>
          </cell>
          <cell r="I2038" t="str">
            <v>フレーム</v>
          </cell>
          <cell r="J2038" t="str">
            <v>S-Frame_RX-50_S_TTTT</v>
          </cell>
          <cell r="K2038" t="str">
            <v>S-フレーム_RX-50_S_TTTT</v>
          </cell>
          <cell r="L2038" t="str">
            <v>S-Frame</v>
          </cell>
          <cell r="M2038" t="str">
            <v>S-フレーム</v>
          </cell>
          <cell r="P2038" t="str">
            <v>31B0</v>
          </cell>
          <cell r="Q2038" t="str">
            <v>SS400</v>
          </cell>
          <cell r="R2038" t="str">
            <v>E389571_01</v>
          </cell>
          <cell r="S2038">
            <v>1174</v>
          </cell>
          <cell r="T2038" t="str">
            <v>標準</v>
          </cell>
        </row>
        <row r="2039">
          <cell r="F2039" t="str">
            <v>H0000102896</v>
          </cell>
          <cell r="I2039" t="str">
            <v>フレーム</v>
          </cell>
          <cell r="J2039" t="str">
            <v>S-Frame_RX-50_S_TTTT</v>
          </cell>
          <cell r="K2039" t="str">
            <v>S-フレーム_RX-50_S_TTTT</v>
          </cell>
          <cell r="L2039" t="str">
            <v>S-Frame</v>
          </cell>
          <cell r="M2039" t="str">
            <v>S-フレーム</v>
          </cell>
          <cell r="P2039" t="str">
            <v>31B0</v>
          </cell>
          <cell r="Q2039" t="str">
            <v>SS400</v>
          </cell>
          <cell r="R2039" t="str">
            <v>E389571_01</v>
          </cell>
          <cell r="S2039">
            <v>1174</v>
          </cell>
          <cell r="T2039" t="str">
            <v>標準</v>
          </cell>
        </row>
        <row r="2040">
          <cell r="F2040" t="str">
            <v>H0000102897</v>
          </cell>
          <cell r="I2040" t="str">
            <v>フレーム</v>
          </cell>
          <cell r="J2040" t="str">
            <v>S-Frame_RX-50_S_TTTT</v>
          </cell>
          <cell r="K2040" t="str">
            <v>S-フレーム_RX-50_S_TTTT</v>
          </cell>
          <cell r="L2040" t="str">
            <v>S-Frame</v>
          </cell>
          <cell r="M2040" t="str">
            <v>S-フレーム</v>
          </cell>
          <cell r="P2040" t="str">
            <v>31B0</v>
          </cell>
          <cell r="Q2040" t="str">
            <v>SS400</v>
          </cell>
          <cell r="R2040" t="str">
            <v>E389571_01</v>
          </cell>
          <cell r="S2040">
            <v>1174</v>
          </cell>
          <cell r="T2040" t="str">
            <v>標準</v>
          </cell>
        </row>
        <row r="2041">
          <cell r="F2041" t="str">
            <v>H0000102898</v>
          </cell>
          <cell r="I2041" t="str">
            <v>フレーム</v>
          </cell>
          <cell r="J2041" t="str">
            <v>S-Frame_RX-50_S_TTTT</v>
          </cell>
          <cell r="K2041" t="str">
            <v>S-フレーム_RX-50_S_TTTT</v>
          </cell>
          <cell r="L2041" t="str">
            <v>S-Frame</v>
          </cell>
          <cell r="M2041" t="str">
            <v>S-フレーム</v>
          </cell>
          <cell r="P2041" t="str">
            <v>31B0</v>
          </cell>
          <cell r="Q2041" t="str">
            <v>SS400</v>
          </cell>
          <cell r="R2041" t="str">
            <v>E389571_01</v>
          </cell>
          <cell r="S2041">
            <v>1174</v>
          </cell>
          <cell r="T2041" t="str">
            <v>標準</v>
          </cell>
        </row>
        <row r="2042">
          <cell r="F2042" t="str">
            <v>H0000102899</v>
          </cell>
          <cell r="I2042" t="str">
            <v>フレーム</v>
          </cell>
          <cell r="J2042" t="str">
            <v>S-Frame_RX-50_S_TTTT</v>
          </cell>
          <cell r="K2042" t="str">
            <v>S-フレーム_RX-50_S_TTTT</v>
          </cell>
          <cell r="L2042" t="str">
            <v>S-Frame</v>
          </cell>
          <cell r="M2042" t="str">
            <v>S-フレーム</v>
          </cell>
          <cell r="P2042" t="str">
            <v>31B0</v>
          </cell>
          <cell r="Q2042" t="str">
            <v>SS400</v>
          </cell>
          <cell r="R2042" t="str">
            <v>E389571_01</v>
          </cell>
          <cell r="S2042">
            <v>1174</v>
          </cell>
          <cell r="T2042" t="str">
            <v>標準</v>
          </cell>
        </row>
        <row r="2043">
          <cell r="F2043" t="str">
            <v>H0000102900</v>
          </cell>
          <cell r="I2043" t="str">
            <v>フレーム</v>
          </cell>
          <cell r="J2043" t="str">
            <v>S-Frame_RX-50_S_TTTT</v>
          </cell>
          <cell r="K2043" t="str">
            <v>S-フレーム_RX-50_S_TTTT</v>
          </cell>
          <cell r="L2043" t="str">
            <v>S-Frame</v>
          </cell>
          <cell r="M2043" t="str">
            <v>S-フレーム</v>
          </cell>
          <cell r="P2043" t="str">
            <v>31B0</v>
          </cell>
          <cell r="Q2043" t="str">
            <v>SS400</v>
          </cell>
          <cell r="R2043" t="str">
            <v>E389571_01</v>
          </cell>
          <cell r="S2043">
            <v>1174</v>
          </cell>
          <cell r="T2043" t="str">
            <v>標準</v>
          </cell>
        </row>
        <row r="2044">
          <cell r="F2044" t="str">
            <v>H0000102901</v>
          </cell>
          <cell r="I2044" t="str">
            <v>フレーム</v>
          </cell>
          <cell r="J2044" t="str">
            <v>S-Frame_RX-50_S_TTTT</v>
          </cell>
          <cell r="K2044" t="str">
            <v>S-フレーム_RX-50_S_TTTT</v>
          </cell>
          <cell r="L2044" t="str">
            <v>S-Frame</v>
          </cell>
          <cell r="M2044" t="str">
            <v>S-フレーム</v>
          </cell>
          <cell r="P2044" t="str">
            <v>31B0</v>
          </cell>
          <cell r="Q2044" t="str">
            <v>SS400</v>
          </cell>
          <cell r="R2044" t="str">
            <v>E389571_01</v>
          </cell>
          <cell r="S2044">
            <v>1174</v>
          </cell>
          <cell r="T2044" t="str">
            <v>標準</v>
          </cell>
        </row>
        <row r="2045">
          <cell r="F2045" t="str">
            <v>H0000102902</v>
          </cell>
          <cell r="I2045" t="str">
            <v>フレーム</v>
          </cell>
          <cell r="J2045" t="str">
            <v>S-Frame_RX-50_S_TTTT</v>
          </cell>
          <cell r="K2045" t="str">
            <v>S-フレーム_RX-50_S_TTTT</v>
          </cell>
          <cell r="L2045" t="str">
            <v>S-Frame</v>
          </cell>
          <cell r="M2045" t="str">
            <v>S-フレーム</v>
          </cell>
          <cell r="P2045" t="str">
            <v>31B0</v>
          </cell>
          <cell r="Q2045" t="str">
            <v>SS400</v>
          </cell>
          <cell r="R2045" t="str">
            <v>E389571_01</v>
          </cell>
          <cell r="S2045">
            <v>1174</v>
          </cell>
          <cell r="T2045" t="str">
            <v>標準</v>
          </cell>
        </row>
        <row r="2046">
          <cell r="F2046" t="str">
            <v>H0000102903</v>
          </cell>
          <cell r="I2046" t="str">
            <v>フレーム</v>
          </cell>
          <cell r="J2046" t="str">
            <v>S-Frame_RX-50_S_TTTT</v>
          </cell>
          <cell r="K2046" t="str">
            <v>S-フレーム_RX-50_S_TTTT</v>
          </cell>
          <cell r="L2046" t="str">
            <v>S-Frame</v>
          </cell>
          <cell r="M2046" t="str">
            <v>S-フレーム</v>
          </cell>
          <cell r="P2046" t="str">
            <v>31B0</v>
          </cell>
          <cell r="Q2046" t="str">
            <v>SS400</v>
          </cell>
          <cell r="R2046" t="str">
            <v>E389571_01</v>
          </cell>
          <cell r="S2046">
            <v>1174</v>
          </cell>
          <cell r="T2046" t="str">
            <v>標準</v>
          </cell>
        </row>
        <row r="2047">
          <cell r="F2047" t="str">
            <v>H0000102904</v>
          </cell>
          <cell r="I2047" t="str">
            <v>フレーム</v>
          </cell>
          <cell r="J2047" t="str">
            <v>S-Frame_RX-50_S_TTTT</v>
          </cell>
          <cell r="K2047" t="str">
            <v>S-フレーム_RX-50_S_TTTT</v>
          </cell>
          <cell r="L2047" t="str">
            <v>S-Frame</v>
          </cell>
          <cell r="M2047" t="str">
            <v>S-フレーム</v>
          </cell>
          <cell r="P2047" t="str">
            <v>31B0</v>
          </cell>
          <cell r="Q2047" t="str">
            <v>SS400</v>
          </cell>
          <cell r="R2047" t="str">
            <v>E389571_01</v>
          </cell>
          <cell r="S2047">
            <v>1174</v>
          </cell>
          <cell r="T2047" t="str">
            <v>標準</v>
          </cell>
        </row>
        <row r="2048">
          <cell r="F2048" t="str">
            <v>H0000102905</v>
          </cell>
          <cell r="I2048" t="str">
            <v>フレーム</v>
          </cell>
          <cell r="J2048" t="str">
            <v>S-Frame_RX-50_S_TTTT</v>
          </cell>
          <cell r="K2048" t="str">
            <v>S-フレーム_RX-50_S_TTTT</v>
          </cell>
          <cell r="L2048" t="str">
            <v>S-Frame</v>
          </cell>
          <cell r="M2048" t="str">
            <v>S-フレーム</v>
          </cell>
          <cell r="P2048" t="str">
            <v>31B0</v>
          </cell>
          <cell r="Q2048" t="str">
            <v>SS400</v>
          </cell>
          <cell r="R2048" t="str">
            <v>E389571_01</v>
          </cell>
          <cell r="S2048">
            <v>1174</v>
          </cell>
          <cell r="T2048" t="str">
            <v>標準</v>
          </cell>
        </row>
        <row r="2049">
          <cell r="F2049" t="str">
            <v>H0000102906</v>
          </cell>
          <cell r="I2049" t="str">
            <v>フレーム</v>
          </cell>
          <cell r="J2049" t="str">
            <v>S-Frame_RX-50_S_TTTT</v>
          </cell>
          <cell r="K2049" t="str">
            <v>S-フレーム_RX-50_S_TTTT</v>
          </cell>
          <cell r="L2049" t="str">
            <v>S-Frame</v>
          </cell>
          <cell r="M2049" t="str">
            <v>S-フレーム</v>
          </cell>
          <cell r="P2049" t="str">
            <v>31B0</v>
          </cell>
          <cell r="Q2049" t="str">
            <v>SS400</v>
          </cell>
          <cell r="R2049" t="str">
            <v>E389571_01</v>
          </cell>
          <cell r="S2049">
            <v>1174</v>
          </cell>
          <cell r="T2049" t="str">
            <v>標準</v>
          </cell>
        </row>
        <row r="2050">
          <cell r="F2050" t="str">
            <v>H0000102907</v>
          </cell>
          <cell r="I2050" t="str">
            <v>フレーム</v>
          </cell>
          <cell r="J2050" t="str">
            <v>S-Frame_RX-50_S_TTTT</v>
          </cell>
          <cell r="K2050" t="str">
            <v>S-フレーム_RX-50_S_TTTT</v>
          </cell>
          <cell r="L2050" t="str">
            <v>S-Frame</v>
          </cell>
          <cell r="M2050" t="str">
            <v>S-フレーム</v>
          </cell>
          <cell r="P2050" t="str">
            <v>31B0</v>
          </cell>
          <cell r="Q2050" t="str">
            <v>SS400</v>
          </cell>
          <cell r="R2050" t="str">
            <v>E389571_01</v>
          </cell>
          <cell r="S2050">
            <v>1174</v>
          </cell>
          <cell r="T2050" t="str">
            <v>標準</v>
          </cell>
        </row>
        <row r="2051">
          <cell r="F2051" t="str">
            <v>H0000102908</v>
          </cell>
          <cell r="I2051" t="str">
            <v>フレーム</v>
          </cell>
          <cell r="J2051" t="str">
            <v>S-Frame_RX-50_S_TTTT</v>
          </cell>
          <cell r="K2051" t="str">
            <v>S-フレーム_RX-50_S_TTTT</v>
          </cell>
          <cell r="L2051" t="str">
            <v>S-Frame</v>
          </cell>
          <cell r="M2051" t="str">
            <v>S-フレーム</v>
          </cell>
          <cell r="P2051" t="str">
            <v>31B0</v>
          </cell>
          <cell r="Q2051" t="str">
            <v>SS400</v>
          </cell>
          <cell r="R2051" t="str">
            <v>E389571_01</v>
          </cell>
          <cell r="S2051">
            <v>1174</v>
          </cell>
          <cell r="T2051" t="str">
            <v>標準</v>
          </cell>
        </row>
        <row r="2052">
          <cell r="F2052" t="str">
            <v>H0000102909</v>
          </cell>
          <cell r="I2052" t="str">
            <v>フレーム</v>
          </cell>
          <cell r="J2052" t="str">
            <v>S-Frame_RX-50_S_TTTT</v>
          </cell>
          <cell r="K2052" t="str">
            <v>S-フレーム_RX-50_S_TTTT</v>
          </cell>
          <cell r="L2052" t="str">
            <v>S-Frame</v>
          </cell>
          <cell r="M2052" t="str">
            <v>S-フレーム</v>
          </cell>
          <cell r="P2052" t="str">
            <v>31B0</v>
          </cell>
          <cell r="Q2052" t="str">
            <v>SS400</v>
          </cell>
          <cell r="R2052" t="str">
            <v>E389571_01</v>
          </cell>
          <cell r="S2052">
            <v>1174</v>
          </cell>
          <cell r="T2052" t="str">
            <v>標準</v>
          </cell>
        </row>
        <row r="2053">
          <cell r="F2053" t="str">
            <v>H0000102910</v>
          </cell>
          <cell r="I2053" t="str">
            <v>フレーム</v>
          </cell>
          <cell r="J2053" t="str">
            <v>S-Frame_RX-50_S_TTTT</v>
          </cell>
          <cell r="K2053" t="str">
            <v>S-フレーム_RX-50_S_TTTT</v>
          </cell>
          <cell r="L2053" t="str">
            <v>S-Frame</v>
          </cell>
          <cell r="M2053" t="str">
            <v>S-フレーム</v>
          </cell>
          <cell r="P2053" t="str">
            <v>31B0</v>
          </cell>
          <cell r="Q2053" t="str">
            <v>SS400</v>
          </cell>
          <cell r="R2053" t="str">
            <v>E389571_01</v>
          </cell>
          <cell r="S2053">
            <v>1174</v>
          </cell>
          <cell r="T2053" t="str">
            <v>標準</v>
          </cell>
        </row>
        <row r="2054">
          <cell r="F2054" t="str">
            <v>H0000102911</v>
          </cell>
          <cell r="I2054" t="str">
            <v>フレーム</v>
          </cell>
          <cell r="J2054" t="str">
            <v>S-Frame_RX-50_S_TTTT</v>
          </cell>
          <cell r="K2054" t="str">
            <v>S-フレーム_RX-50_S_TTTT</v>
          </cell>
          <cell r="L2054" t="str">
            <v>S-Frame</v>
          </cell>
          <cell r="M2054" t="str">
            <v>S-フレーム</v>
          </cell>
          <cell r="P2054" t="str">
            <v>31B0</v>
          </cell>
          <cell r="Q2054" t="str">
            <v>SS400</v>
          </cell>
          <cell r="R2054" t="str">
            <v>E389571_01</v>
          </cell>
          <cell r="S2054">
            <v>1174</v>
          </cell>
          <cell r="T2054" t="str">
            <v>標準</v>
          </cell>
        </row>
        <row r="2055">
          <cell r="F2055" t="str">
            <v>H0000102912</v>
          </cell>
          <cell r="I2055" t="str">
            <v>フレーム</v>
          </cell>
          <cell r="J2055" t="str">
            <v>S-Frame_RX-50_S_TTTT</v>
          </cell>
          <cell r="K2055" t="str">
            <v>S-フレーム_RX-50_S_TTTT</v>
          </cell>
          <cell r="L2055" t="str">
            <v>S-Frame</v>
          </cell>
          <cell r="M2055" t="str">
            <v>S-フレーム</v>
          </cell>
          <cell r="P2055" t="str">
            <v>31B0</v>
          </cell>
          <cell r="Q2055" t="str">
            <v>SS400</v>
          </cell>
          <cell r="R2055" t="str">
            <v>E389571_01</v>
          </cell>
          <cell r="S2055">
            <v>1174</v>
          </cell>
          <cell r="T2055" t="str">
            <v>標準</v>
          </cell>
        </row>
        <row r="2056">
          <cell r="F2056" t="str">
            <v>H0000102913</v>
          </cell>
          <cell r="I2056" t="str">
            <v>フレーム</v>
          </cell>
          <cell r="J2056" t="str">
            <v>S-Frame_RX-50_S_TTTT</v>
          </cell>
          <cell r="K2056" t="str">
            <v>S-フレーム_RX-50_S_TTTT</v>
          </cell>
          <cell r="L2056" t="str">
            <v>S-Frame</v>
          </cell>
          <cell r="M2056" t="str">
            <v>S-フレーム</v>
          </cell>
          <cell r="P2056" t="str">
            <v>31B0</v>
          </cell>
          <cell r="Q2056" t="str">
            <v>SS400</v>
          </cell>
          <cell r="R2056" t="str">
            <v>E389571_01</v>
          </cell>
          <cell r="S2056">
            <v>1174</v>
          </cell>
          <cell r="T2056" t="str">
            <v>標準</v>
          </cell>
        </row>
        <row r="2057">
          <cell r="F2057" t="str">
            <v>H0000102914</v>
          </cell>
          <cell r="I2057" t="str">
            <v>フレーム</v>
          </cell>
          <cell r="J2057" t="str">
            <v>S-Frame_RX-50_S_TTTT</v>
          </cell>
          <cell r="K2057" t="str">
            <v>S-フレーム_RX-50_S_TTTT</v>
          </cell>
          <cell r="L2057" t="str">
            <v>S-Frame</v>
          </cell>
          <cell r="M2057" t="str">
            <v>S-フレーム</v>
          </cell>
          <cell r="P2057" t="str">
            <v>31B0</v>
          </cell>
          <cell r="Q2057" t="str">
            <v>SS400</v>
          </cell>
          <cell r="R2057" t="str">
            <v>E389571_01</v>
          </cell>
          <cell r="S2057">
            <v>1174</v>
          </cell>
          <cell r="T2057" t="str">
            <v>標準</v>
          </cell>
        </row>
        <row r="2058">
          <cell r="F2058" t="str">
            <v>H0000102915</v>
          </cell>
          <cell r="I2058" t="str">
            <v>フレーム</v>
          </cell>
          <cell r="J2058" t="str">
            <v>S-Frame_RX-50_S_TTTT</v>
          </cell>
          <cell r="K2058" t="str">
            <v>S-フレーム_RX-50_S_TTTT</v>
          </cell>
          <cell r="L2058" t="str">
            <v>S-Frame</v>
          </cell>
          <cell r="M2058" t="str">
            <v>S-フレーム</v>
          </cell>
          <cell r="P2058" t="str">
            <v>31B0</v>
          </cell>
          <cell r="Q2058" t="str">
            <v>SS400</v>
          </cell>
          <cell r="R2058" t="str">
            <v>E389571_01</v>
          </cell>
          <cell r="S2058">
            <v>1174</v>
          </cell>
          <cell r="T2058" t="str">
            <v>標準</v>
          </cell>
        </row>
        <row r="2059">
          <cell r="F2059" t="str">
            <v>H0000102916</v>
          </cell>
          <cell r="I2059" t="str">
            <v>フレーム</v>
          </cell>
          <cell r="J2059" t="str">
            <v>S-Frame_RX-50_S_TTTT</v>
          </cell>
          <cell r="K2059" t="str">
            <v>S-フレーム_RX-50_S_TTTT</v>
          </cell>
          <cell r="L2059" t="str">
            <v>S-Frame</v>
          </cell>
          <cell r="M2059" t="str">
            <v>S-フレーム</v>
          </cell>
          <cell r="P2059" t="str">
            <v>31B0</v>
          </cell>
          <cell r="Q2059" t="str">
            <v>SS400</v>
          </cell>
          <cell r="R2059" t="str">
            <v>E389571_01</v>
          </cell>
          <cell r="S2059">
            <v>1174</v>
          </cell>
          <cell r="T2059" t="str">
            <v>標準</v>
          </cell>
        </row>
        <row r="2060">
          <cell r="F2060" t="str">
            <v>H0000102917</v>
          </cell>
          <cell r="I2060" t="str">
            <v>フレーム</v>
          </cell>
          <cell r="J2060" t="str">
            <v>S-Frame_RX-50_S_TTTT</v>
          </cell>
          <cell r="K2060" t="str">
            <v>S-フレーム_RX-50_S_TTTT</v>
          </cell>
          <cell r="L2060" t="str">
            <v>S-Frame</v>
          </cell>
          <cell r="M2060" t="str">
            <v>S-フレーム</v>
          </cell>
          <cell r="P2060" t="str">
            <v>31B0</v>
          </cell>
          <cell r="Q2060" t="str">
            <v>SS400</v>
          </cell>
          <cell r="R2060" t="str">
            <v>E389571_01</v>
          </cell>
          <cell r="S2060">
            <v>1174</v>
          </cell>
          <cell r="T2060" t="str">
            <v>標準</v>
          </cell>
        </row>
        <row r="2061">
          <cell r="F2061" t="str">
            <v>H0000102918</v>
          </cell>
          <cell r="I2061" t="str">
            <v>フレーム</v>
          </cell>
          <cell r="J2061" t="str">
            <v>S-Frame_RX-50_S_TTTT</v>
          </cell>
          <cell r="K2061" t="str">
            <v>S-フレーム_RX-50_S_TTTT</v>
          </cell>
          <cell r="L2061" t="str">
            <v>S-Frame</v>
          </cell>
          <cell r="M2061" t="str">
            <v>S-フレーム</v>
          </cell>
          <cell r="P2061" t="str">
            <v>31B0</v>
          </cell>
          <cell r="Q2061" t="str">
            <v>SS400</v>
          </cell>
          <cell r="R2061" t="str">
            <v>E389571_01</v>
          </cell>
          <cell r="S2061">
            <v>1174</v>
          </cell>
          <cell r="T2061" t="str">
            <v>標準</v>
          </cell>
        </row>
        <row r="2062">
          <cell r="F2062" t="str">
            <v>H0000102919</v>
          </cell>
          <cell r="I2062" t="str">
            <v>フレーム</v>
          </cell>
          <cell r="J2062" t="str">
            <v>S-Frame_RX-50_S_TTTT</v>
          </cell>
          <cell r="K2062" t="str">
            <v>S-フレーム_RX-50_S_TTTT</v>
          </cell>
          <cell r="L2062" t="str">
            <v>S-Frame</v>
          </cell>
          <cell r="M2062" t="str">
            <v>S-フレーム</v>
          </cell>
          <cell r="P2062" t="str">
            <v>31B0</v>
          </cell>
          <cell r="Q2062" t="str">
            <v>SS400</v>
          </cell>
          <cell r="R2062" t="str">
            <v>E389571_01</v>
          </cell>
          <cell r="S2062">
            <v>1174</v>
          </cell>
          <cell r="T2062" t="str">
            <v>標準</v>
          </cell>
        </row>
        <row r="2063">
          <cell r="F2063" t="str">
            <v>H0000102920</v>
          </cell>
          <cell r="I2063" t="str">
            <v>フレーム</v>
          </cell>
          <cell r="J2063" t="str">
            <v>S-Frame_RX-50_S_TKTK</v>
          </cell>
          <cell r="K2063" t="str">
            <v>S-フレーム_RX-50_S_TKTK</v>
          </cell>
          <cell r="L2063" t="str">
            <v>S-Frame</v>
          </cell>
          <cell r="M2063" t="str">
            <v>S-フレーム</v>
          </cell>
          <cell r="P2063" t="str">
            <v>31B0</v>
          </cell>
          <cell r="Q2063" t="str">
            <v>SS400</v>
          </cell>
          <cell r="R2063" t="str">
            <v>E389571_01</v>
          </cell>
          <cell r="S2063">
            <v>1174</v>
          </cell>
          <cell r="T2063" t="str">
            <v>標準</v>
          </cell>
        </row>
        <row r="2064">
          <cell r="F2064" t="str">
            <v>H0000102921</v>
          </cell>
          <cell r="I2064" t="str">
            <v>フレーム</v>
          </cell>
          <cell r="J2064" t="str">
            <v>S-Frame_RX-50_S_TKTK</v>
          </cell>
          <cell r="K2064" t="str">
            <v>S-フレーム_RX-50_S_TKTK</v>
          </cell>
          <cell r="L2064" t="str">
            <v>S-Frame</v>
          </cell>
          <cell r="M2064" t="str">
            <v>S-フレーム</v>
          </cell>
          <cell r="P2064" t="str">
            <v>31B0</v>
          </cell>
          <cell r="Q2064" t="str">
            <v>SS400</v>
          </cell>
          <cell r="R2064" t="str">
            <v>E389571_01</v>
          </cell>
          <cell r="S2064">
            <v>1174</v>
          </cell>
          <cell r="T2064" t="str">
            <v>標準</v>
          </cell>
        </row>
        <row r="2065">
          <cell r="F2065" t="str">
            <v>H0000102922</v>
          </cell>
          <cell r="I2065" t="str">
            <v>フレーム</v>
          </cell>
          <cell r="J2065" t="str">
            <v>S-Frame_RX-50_S_TKTK</v>
          </cell>
          <cell r="K2065" t="str">
            <v>S-フレーム_RX-50_S_TKTK</v>
          </cell>
          <cell r="L2065" t="str">
            <v>S-Frame</v>
          </cell>
          <cell r="M2065" t="str">
            <v>S-フレーム</v>
          </cell>
          <cell r="P2065" t="str">
            <v>31B0</v>
          </cell>
          <cell r="Q2065" t="str">
            <v>SS400</v>
          </cell>
          <cell r="R2065" t="str">
            <v>E389571_01</v>
          </cell>
          <cell r="S2065">
            <v>1174</v>
          </cell>
          <cell r="T2065" t="str">
            <v>標準</v>
          </cell>
        </row>
        <row r="2066">
          <cell r="F2066" t="str">
            <v>H0000102923</v>
          </cell>
          <cell r="I2066" t="str">
            <v>フレーム</v>
          </cell>
          <cell r="J2066" t="str">
            <v>S-Frame_RX-50_S_TKTK</v>
          </cell>
          <cell r="K2066" t="str">
            <v>S-フレーム_RX-50_S_TKTK</v>
          </cell>
          <cell r="L2066" t="str">
            <v>S-Frame</v>
          </cell>
          <cell r="M2066" t="str">
            <v>S-フレーム</v>
          </cell>
          <cell r="P2066" t="str">
            <v>31B0</v>
          </cell>
          <cell r="Q2066" t="str">
            <v>SS400</v>
          </cell>
          <cell r="R2066" t="str">
            <v>E389571_01</v>
          </cell>
          <cell r="S2066">
            <v>1174</v>
          </cell>
          <cell r="T2066" t="str">
            <v>標準</v>
          </cell>
        </row>
        <row r="2067">
          <cell r="F2067" t="str">
            <v>H0000102924</v>
          </cell>
          <cell r="I2067" t="str">
            <v>フレーム</v>
          </cell>
          <cell r="J2067" t="str">
            <v>S-Frame_RX-50_S_TKTK</v>
          </cell>
          <cell r="K2067" t="str">
            <v>S-フレーム_RX-50_S_TKTK</v>
          </cell>
          <cell r="L2067" t="str">
            <v>S-Frame</v>
          </cell>
          <cell r="M2067" t="str">
            <v>S-フレーム</v>
          </cell>
          <cell r="P2067" t="str">
            <v>31B0</v>
          </cell>
          <cell r="Q2067" t="str">
            <v>SS400</v>
          </cell>
          <cell r="R2067" t="str">
            <v>E389571_01</v>
          </cell>
          <cell r="S2067">
            <v>1174</v>
          </cell>
          <cell r="T2067" t="str">
            <v>標準</v>
          </cell>
        </row>
        <row r="2068">
          <cell r="F2068" t="str">
            <v>H0000102925</v>
          </cell>
          <cell r="I2068" t="str">
            <v>フレーム</v>
          </cell>
          <cell r="J2068" t="str">
            <v>S-Frame_RX-50_S_TKTK</v>
          </cell>
          <cell r="K2068" t="str">
            <v>S-フレーム_RX-50_S_TKTK</v>
          </cell>
          <cell r="L2068" t="str">
            <v>S-Frame</v>
          </cell>
          <cell r="M2068" t="str">
            <v>S-フレーム</v>
          </cell>
          <cell r="P2068" t="str">
            <v>31B0</v>
          </cell>
          <cell r="Q2068" t="str">
            <v>SS400</v>
          </cell>
          <cell r="R2068" t="str">
            <v>E389571_01</v>
          </cell>
          <cell r="S2068">
            <v>1174</v>
          </cell>
          <cell r="T2068" t="str">
            <v>標準</v>
          </cell>
        </row>
        <row r="2069">
          <cell r="F2069" t="str">
            <v>H0000102926</v>
          </cell>
          <cell r="I2069" t="str">
            <v>フレーム</v>
          </cell>
          <cell r="J2069" t="str">
            <v>S-Frame_RX-50_S_TKTK</v>
          </cell>
          <cell r="K2069" t="str">
            <v>S-フレーム_RX-50_S_TKTK</v>
          </cell>
          <cell r="L2069" t="str">
            <v>S-Frame</v>
          </cell>
          <cell r="M2069" t="str">
            <v>S-フレーム</v>
          </cell>
          <cell r="P2069" t="str">
            <v>31B0</v>
          </cell>
          <cell r="Q2069" t="str">
            <v>SS400</v>
          </cell>
          <cell r="R2069" t="str">
            <v>E389571_01</v>
          </cell>
          <cell r="S2069">
            <v>1174</v>
          </cell>
          <cell r="T2069" t="str">
            <v>標準</v>
          </cell>
        </row>
        <row r="2070">
          <cell r="F2070" t="str">
            <v>H0000102927</v>
          </cell>
          <cell r="I2070" t="str">
            <v>フレーム</v>
          </cell>
          <cell r="J2070" t="str">
            <v>S-Frame_RX-50_S_TKTK</v>
          </cell>
          <cell r="K2070" t="str">
            <v>S-フレーム_RX-50_S_TKTK</v>
          </cell>
          <cell r="L2070" t="str">
            <v>S-Frame</v>
          </cell>
          <cell r="M2070" t="str">
            <v>S-フレーム</v>
          </cell>
          <cell r="P2070" t="str">
            <v>31B0</v>
          </cell>
          <cell r="Q2070" t="str">
            <v>SS400</v>
          </cell>
          <cell r="R2070" t="str">
            <v>E389571_01</v>
          </cell>
          <cell r="S2070">
            <v>1174</v>
          </cell>
          <cell r="T2070" t="str">
            <v>標準</v>
          </cell>
        </row>
        <row r="2071">
          <cell r="F2071" t="str">
            <v>H0000102928</v>
          </cell>
          <cell r="I2071" t="str">
            <v>フレーム</v>
          </cell>
          <cell r="J2071" t="str">
            <v>S-Frame_RX-50_S_TKTK</v>
          </cell>
          <cell r="K2071" t="str">
            <v>S-フレーム_RX-50_S_TKTK</v>
          </cell>
          <cell r="L2071" t="str">
            <v>S-Frame</v>
          </cell>
          <cell r="M2071" t="str">
            <v>S-フレーム</v>
          </cell>
          <cell r="P2071" t="str">
            <v>31B0</v>
          </cell>
          <cell r="Q2071" t="str">
            <v>SS400</v>
          </cell>
          <cell r="R2071" t="str">
            <v>E389571_01</v>
          </cell>
          <cell r="S2071">
            <v>1174</v>
          </cell>
          <cell r="T2071" t="str">
            <v>標準</v>
          </cell>
        </row>
        <row r="2072">
          <cell r="F2072" t="str">
            <v>H0000102929</v>
          </cell>
          <cell r="I2072" t="str">
            <v>フレーム</v>
          </cell>
          <cell r="J2072" t="str">
            <v>S-Frame_RX-50_S_TKTK</v>
          </cell>
          <cell r="K2072" t="str">
            <v>S-フレーム_RX-50_S_TKTK</v>
          </cell>
          <cell r="L2072" t="str">
            <v>S-Frame</v>
          </cell>
          <cell r="M2072" t="str">
            <v>S-フレーム</v>
          </cell>
          <cell r="P2072" t="str">
            <v>31B0</v>
          </cell>
          <cell r="Q2072" t="str">
            <v>SS400</v>
          </cell>
          <cell r="R2072" t="str">
            <v>E389571_01</v>
          </cell>
          <cell r="S2072">
            <v>1174</v>
          </cell>
          <cell r="T2072" t="str">
            <v>標準</v>
          </cell>
        </row>
        <row r="2073">
          <cell r="F2073" t="str">
            <v>H0000102930</v>
          </cell>
          <cell r="I2073" t="str">
            <v>フレーム</v>
          </cell>
          <cell r="J2073" t="str">
            <v>S-Frame_RX-50_S_TKTK</v>
          </cell>
          <cell r="K2073" t="str">
            <v>S-フレーム_RX-50_S_TKTK</v>
          </cell>
          <cell r="L2073" t="str">
            <v>S-Frame</v>
          </cell>
          <cell r="M2073" t="str">
            <v>S-フレーム</v>
          </cell>
          <cell r="P2073" t="str">
            <v>31B0</v>
          </cell>
          <cell r="Q2073" t="str">
            <v>SS400</v>
          </cell>
          <cell r="R2073" t="str">
            <v>E389571_01</v>
          </cell>
          <cell r="S2073">
            <v>1174</v>
          </cell>
          <cell r="T2073" t="str">
            <v>標準</v>
          </cell>
        </row>
        <row r="2074">
          <cell r="F2074" t="str">
            <v>H0000102931</v>
          </cell>
          <cell r="I2074" t="str">
            <v>フレーム</v>
          </cell>
          <cell r="J2074" t="str">
            <v>S-Frame_RX-50_S_TKTK</v>
          </cell>
          <cell r="K2074" t="str">
            <v>S-フレーム_RX-50_S_TKTK</v>
          </cell>
          <cell r="L2074" t="str">
            <v>S-Frame</v>
          </cell>
          <cell r="M2074" t="str">
            <v>S-フレーム</v>
          </cell>
          <cell r="P2074" t="str">
            <v>31B0</v>
          </cell>
          <cell r="Q2074" t="str">
            <v>SS400</v>
          </cell>
          <cell r="R2074" t="str">
            <v>E389571_01</v>
          </cell>
          <cell r="S2074">
            <v>1174</v>
          </cell>
          <cell r="T2074" t="str">
            <v>標準</v>
          </cell>
        </row>
        <row r="2075">
          <cell r="F2075" t="str">
            <v>H0000102932</v>
          </cell>
          <cell r="I2075" t="str">
            <v>フレーム</v>
          </cell>
          <cell r="J2075" t="str">
            <v>S-Frame_RX-50_S_TKTK</v>
          </cell>
          <cell r="K2075" t="str">
            <v>S-フレーム_RX-50_S_TKTK</v>
          </cell>
          <cell r="L2075" t="str">
            <v>S-Frame</v>
          </cell>
          <cell r="M2075" t="str">
            <v>S-フレーム</v>
          </cell>
          <cell r="P2075" t="str">
            <v>31B0</v>
          </cell>
          <cell r="Q2075" t="str">
            <v>SS400</v>
          </cell>
          <cell r="R2075" t="str">
            <v>E389571_01</v>
          </cell>
          <cell r="S2075">
            <v>1174</v>
          </cell>
          <cell r="T2075" t="str">
            <v>標準</v>
          </cell>
        </row>
        <row r="2076">
          <cell r="F2076" t="str">
            <v>H0000102933</v>
          </cell>
          <cell r="I2076" t="str">
            <v>フレーム</v>
          </cell>
          <cell r="J2076" t="str">
            <v>S-Frame_RX-50_S_TKTK</v>
          </cell>
          <cell r="K2076" t="str">
            <v>S-フレーム_RX-50_S_TKTK</v>
          </cell>
          <cell r="L2076" t="str">
            <v>S-Frame</v>
          </cell>
          <cell r="M2076" t="str">
            <v>S-フレーム</v>
          </cell>
          <cell r="P2076" t="str">
            <v>31B0</v>
          </cell>
          <cell r="Q2076" t="str">
            <v>SS400</v>
          </cell>
          <cell r="R2076" t="str">
            <v>E389571_01</v>
          </cell>
          <cell r="S2076">
            <v>1174</v>
          </cell>
          <cell r="T2076" t="str">
            <v>標準</v>
          </cell>
        </row>
        <row r="2077">
          <cell r="F2077" t="str">
            <v>H0000102934</v>
          </cell>
          <cell r="I2077" t="str">
            <v>フレーム</v>
          </cell>
          <cell r="J2077" t="str">
            <v>S-Frame_RX-50_S_TKTK</v>
          </cell>
          <cell r="K2077" t="str">
            <v>S-フレーム_RX-50_S_TKTK</v>
          </cell>
          <cell r="L2077" t="str">
            <v>S-Frame</v>
          </cell>
          <cell r="M2077" t="str">
            <v>S-フレーム</v>
          </cell>
          <cell r="P2077" t="str">
            <v>31B0</v>
          </cell>
          <cell r="Q2077" t="str">
            <v>SS400</v>
          </cell>
          <cell r="R2077" t="str">
            <v>E389571_01</v>
          </cell>
          <cell r="S2077">
            <v>1174</v>
          </cell>
          <cell r="T2077" t="str">
            <v>標準</v>
          </cell>
        </row>
        <row r="2078">
          <cell r="F2078" t="str">
            <v>H0000102935</v>
          </cell>
          <cell r="I2078" t="str">
            <v>フレーム</v>
          </cell>
          <cell r="J2078" t="str">
            <v>S-Frame_RX-50_S_TKTK</v>
          </cell>
          <cell r="K2078" t="str">
            <v>S-フレーム_RX-50_S_TKTK</v>
          </cell>
          <cell r="L2078" t="str">
            <v>S-Frame</v>
          </cell>
          <cell r="M2078" t="str">
            <v>S-フレーム</v>
          </cell>
          <cell r="P2078" t="str">
            <v>31B0</v>
          </cell>
          <cell r="Q2078" t="str">
            <v>SS400</v>
          </cell>
          <cell r="R2078" t="str">
            <v>E389571_01</v>
          </cell>
          <cell r="S2078">
            <v>1174</v>
          </cell>
          <cell r="T2078" t="str">
            <v>標準</v>
          </cell>
        </row>
        <row r="2079">
          <cell r="F2079" t="str">
            <v>H0000102936</v>
          </cell>
          <cell r="I2079" t="str">
            <v>フレーム</v>
          </cell>
          <cell r="J2079" t="str">
            <v>S-Frame_RX-50_S_TKTK</v>
          </cell>
          <cell r="K2079" t="str">
            <v>S-フレーム_RX-50_S_TKTK</v>
          </cell>
          <cell r="L2079" t="str">
            <v>S-Frame</v>
          </cell>
          <cell r="M2079" t="str">
            <v>S-フレーム</v>
          </cell>
          <cell r="P2079" t="str">
            <v>31B0</v>
          </cell>
          <cell r="Q2079" t="str">
            <v>SS400</v>
          </cell>
          <cell r="R2079" t="str">
            <v>E389571_01</v>
          </cell>
          <cell r="S2079">
            <v>1174</v>
          </cell>
          <cell r="T2079" t="str">
            <v>標準</v>
          </cell>
        </row>
        <row r="2080">
          <cell r="F2080" t="str">
            <v>H0000102937</v>
          </cell>
          <cell r="I2080" t="str">
            <v>フレーム</v>
          </cell>
          <cell r="J2080" t="str">
            <v>S-Frame_RX-50_S_TKTK</v>
          </cell>
          <cell r="K2080" t="str">
            <v>S-フレーム_RX-50_S_TKTK</v>
          </cell>
          <cell r="L2080" t="str">
            <v>S-Frame</v>
          </cell>
          <cell r="M2080" t="str">
            <v>S-フレーム</v>
          </cell>
          <cell r="P2080" t="str">
            <v>31B0</v>
          </cell>
          <cell r="Q2080" t="str">
            <v>SS400</v>
          </cell>
          <cell r="R2080" t="str">
            <v>E389571_01</v>
          </cell>
          <cell r="S2080">
            <v>1174</v>
          </cell>
          <cell r="T2080" t="str">
            <v>標準</v>
          </cell>
        </row>
        <row r="2081">
          <cell r="F2081" t="str">
            <v>H0000102938</v>
          </cell>
          <cell r="I2081" t="str">
            <v>フレーム</v>
          </cell>
          <cell r="J2081" t="str">
            <v>S-Frame_RX-50_S_TKTK</v>
          </cell>
          <cell r="K2081" t="str">
            <v>S-フレーム_RX-50_S_TKTK</v>
          </cell>
          <cell r="L2081" t="str">
            <v>S-Frame</v>
          </cell>
          <cell r="M2081" t="str">
            <v>S-フレーム</v>
          </cell>
          <cell r="P2081" t="str">
            <v>31B0</v>
          </cell>
          <cell r="Q2081" t="str">
            <v>SS400</v>
          </cell>
          <cell r="R2081" t="str">
            <v>E389571_01</v>
          </cell>
          <cell r="S2081">
            <v>1174</v>
          </cell>
          <cell r="T2081" t="str">
            <v>標準</v>
          </cell>
        </row>
        <row r="2082">
          <cell r="F2082" t="str">
            <v>H0000102939</v>
          </cell>
          <cell r="I2082" t="str">
            <v>フレーム</v>
          </cell>
          <cell r="J2082" t="str">
            <v>S-Frame_RX-50_S_TKTK</v>
          </cell>
          <cell r="K2082" t="str">
            <v>S-フレーム_RX-50_S_TKTK</v>
          </cell>
          <cell r="L2082" t="str">
            <v>S-Frame</v>
          </cell>
          <cell r="M2082" t="str">
            <v>S-フレーム</v>
          </cell>
          <cell r="P2082" t="str">
            <v>31B0</v>
          </cell>
          <cell r="Q2082" t="str">
            <v>SS400</v>
          </cell>
          <cell r="R2082" t="str">
            <v>E389571_01</v>
          </cell>
          <cell r="S2082">
            <v>1174</v>
          </cell>
          <cell r="T2082" t="str">
            <v>標準</v>
          </cell>
        </row>
        <row r="2083">
          <cell r="F2083" t="str">
            <v>H0000102940</v>
          </cell>
          <cell r="I2083" t="str">
            <v>フレーム</v>
          </cell>
          <cell r="J2083" t="str">
            <v>S-Frame_RX-50_S_TKTK</v>
          </cell>
          <cell r="K2083" t="str">
            <v>S-フレーム_RX-50_S_TKTK</v>
          </cell>
          <cell r="L2083" t="str">
            <v>S-Frame</v>
          </cell>
          <cell r="M2083" t="str">
            <v>S-フレーム</v>
          </cell>
          <cell r="P2083" t="str">
            <v>31B0</v>
          </cell>
          <cell r="Q2083" t="str">
            <v>SS400</v>
          </cell>
          <cell r="R2083" t="str">
            <v>E389571_01</v>
          </cell>
          <cell r="S2083">
            <v>1174</v>
          </cell>
          <cell r="T2083" t="str">
            <v>標準</v>
          </cell>
        </row>
        <row r="2084">
          <cell r="F2084" t="str">
            <v>H0000102941</v>
          </cell>
          <cell r="I2084" t="str">
            <v>フレーム</v>
          </cell>
          <cell r="J2084" t="str">
            <v>S-Frame_RX-50_S_TKTK</v>
          </cell>
          <cell r="K2084" t="str">
            <v>S-フレーム_RX-50_S_TKTK</v>
          </cell>
          <cell r="L2084" t="str">
            <v>S-Frame</v>
          </cell>
          <cell r="M2084" t="str">
            <v>S-フレーム</v>
          </cell>
          <cell r="P2084" t="str">
            <v>31B0</v>
          </cell>
          <cell r="Q2084" t="str">
            <v>SS400</v>
          </cell>
          <cell r="R2084" t="str">
            <v>E389571_01</v>
          </cell>
          <cell r="S2084">
            <v>1174</v>
          </cell>
          <cell r="T2084" t="str">
            <v>標準</v>
          </cell>
        </row>
        <row r="2085">
          <cell r="F2085" t="str">
            <v>H0000102942</v>
          </cell>
          <cell r="I2085" t="str">
            <v>フレーム</v>
          </cell>
          <cell r="J2085" t="str">
            <v>S-Frame_RX-50_S_TKTK</v>
          </cell>
          <cell r="K2085" t="str">
            <v>S-フレーム_RX-50_S_TKTK</v>
          </cell>
          <cell r="L2085" t="str">
            <v>S-Frame</v>
          </cell>
          <cell r="M2085" t="str">
            <v>S-フレーム</v>
          </cell>
          <cell r="P2085" t="str">
            <v>31B0</v>
          </cell>
          <cell r="Q2085" t="str">
            <v>SS400</v>
          </cell>
          <cell r="R2085" t="str">
            <v>E389571_01</v>
          </cell>
          <cell r="S2085">
            <v>1174</v>
          </cell>
          <cell r="T2085" t="str">
            <v>標準</v>
          </cell>
        </row>
        <row r="2086">
          <cell r="F2086" t="str">
            <v>H0000102943</v>
          </cell>
          <cell r="I2086" t="str">
            <v>フレーム</v>
          </cell>
          <cell r="J2086" t="str">
            <v>S-Frame_RX-50_S_TKTK</v>
          </cell>
          <cell r="K2086" t="str">
            <v>S-フレーム_RX-50_S_TKTK</v>
          </cell>
          <cell r="L2086" t="str">
            <v>S-Frame</v>
          </cell>
          <cell r="M2086" t="str">
            <v>S-フレーム</v>
          </cell>
          <cell r="P2086" t="str">
            <v>31B0</v>
          </cell>
          <cell r="Q2086" t="str">
            <v>SS400</v>
          </cell>
          <cell r="R2086" t="str">
            <v>E389571_01</v>
          </cell>
          <cell r="S2086">
            <v>1174</v>
          </cell>
          <cell r="T2086" t="str">
            <v>標準</v>
          </cell>
        </row>
        <row r="2087">
          <cell r="F2087" t="str">
            <v>H0000102944</v>
          </cell>
          <cell r="I2087" t="str">
            <v>フレーム</v>
          </cell>
          <cell r="J2087" t="str">
            <v>S-Frame_RX-50_S_TKTK</v>
          </cell>
          <cell r="K2087" t="str">
            <v>S-フレーム_RX-50_S_TKTK</v>
          </cell>
          <cell r="L2087" t="str">
            <v>S-Frame</v>
          </cell>
          <cell r="M2087" t="str">
            <v>S-フレーム</v>
          </cell>
          <cell r="P2087" t="str">
            <v>31B0</v>
          </cell>
          <cell r="Q2087" t="str">
            <v>SS400</v>
          </cell>
          <cell r="R2087" t="str">
            <v>E389571_01</v>
          </cell>
          <cell r="S2087">
            <v>1174</v>
          </cell>
          <cell r="T2087" t="str">
            <v>標準</v>
          </cell>
        </row>
        <row r="2088">
          <cell r="F2088" t="str">
            <v>H0000102945</v>
          </cell>
          <cell r="I2088" t="str">
            <v>フレーム</v>
          </cell>
          <cell r="J2088" t="str">
            <v>S-Frame_RX-50_S_KTKT</v>
          </cell>
          <cell r="K2088" t="str">
            <v>S-フレーム_RX-50_S_KTKT</v>
          </cell>
          <cell r="L2088" t="str">
            <v>S-Frame</v>
          </cell>
          <cell r="M2088" t="str">
            <v>S-フレーム</v>
          </cell>
          <cell r="P2088" t="str">
            <v>31B0</v>
          </cell>
          <cell r="Q2088" t="str">
            <v>SS400</v>
          </cell>
          <cell r="R2088" t="str">
            <v>E389571_01</v>
          </cell>
          <cell r="S2088">
            <v>1174</v>
          </cell>
          <cell r="T2088" t="str">
            <v>標準</v>
          </cell>
        </row>
        <row r="2089">
          <cell r="F2089" t="str">
            <v>H0000102946</v>
          </cell>
          <cell r="I2089" t="str">
            <v>フレーム</v>
          </cell>
          <cell r="J2089" t="str">
            <v>S-Frame_RX-50_S_KTKT</v>
          </cell>
          <cell r="K2089" t="str">
            <v>S-フレーム_RX-50_S_KTKT</v>
          </cell>
          <cell r="L2089" t="str">
            <v>S-Frame</v>
          </cell>
          <cell r="M2089" t="str">
            <v>S-フレーム</v>
          </cell>
          <cell r="P2089" t="str">
            <v>31B0</v>
          </cell>
          <cell r="Q2089" t="str">
            <v>SS400</v>
          </cell>
          <cell r="R2089" t="str">
            <v>E389571_01</v>
          </cell>
          <cell r="S2089">
            <v>1174</v>
          </cell>
          <cell r="T2089" t="str">
            <v>標準</v>
          </cell>
        </row>
        <row r="2090">
          <cell r="F2090" t="str">
            <v>H0000102947</v>
          </cell>
          <cell r="I2090" t="str">
            <v>フレーム</v>
          </cell>
          <cell r="J2090" t="str">
            <v>S-Frame_RX-50_S_KTKT</v>
          </cell>
          <cell r="K2090" t="str">
            <v>S-フレーム_RX-50_S_KTKT</v>
          </cell>
          <cell r="L2090" t="str">
            <v>S-Frame</v>
          </cell>
          <cell r="M2090" t="str">
            <v>S-フレーム</v>
          </cell>
          <cell r="P2090" t="str">
            <v>31B0</v>
          </cell>
          <cell r="Q2090" t="str">
            <v>SS400</v>
          </cell>
          <cell r="R2090" t="str">
            <v>E389571_01</v>
          </cell>
          <cell r="S2090">
            <v>1174</v>
          </cell>
          <cell r="T2090" t="str">
            <v>標準</v>
          </cell>
        </row>
        <row r="2091">
          <cell r="F2091" t="str">
            <v>H0000102948</v>
          </cell>
          <cell r="I2091" t="str">
            <v>フレーム</v>
          </cell>
          <cell r="J2091" t="str">
            <v>S-Frame_RX-50_S_KTKT</v>
          </cell>
          <cell r="K2091" t="str">
            <v>S-フレーム_RX-50_S_KTKT</v>
          </cell>
          <cell r="L2091" t="str">
            <v>S-Frame</v>
          </cell>
          <cell r="M2091" t="str">
            <v>S-フレーム</v>
          </cell>
          <cell r="P2091" t="str">
            <v>31B0</v>
          </cell>
          <cell r="Q2091" t="str">
            <v>SS400</v>
          </cell>
          <cell r="R2091" t="str">
            <v>E389571_01</v>
          </cell>
          <cell r="S2091">
            <v>1174</v>
          </cell>
          <cell r="T2091" t="str">
            <v>標準</v>
          </cell>
        </row>
        <row r="2092">
          <cell r="F2092" t="str">
            <v>H0000102949</v>
          </cell>
          <cell r="I2092" t="str">
            <v>フレーム</v>
          </cell>
          <cell r="J2092" t="str">
            <v>S-Frame_RX-50_S_KTKT</v>
          </cell>
          <cell r="K2092" t="str">
            <v>S-フレーム_RX-50_S_KTKT</v>
          </cell>
          <cell r="L2092" t="str">
            <v>S-Frame</v>
          </cell>
          <cell r="M2092" t="str">
            <v>S-フレーム</v>
          </cell>
          <cell r="P2092" t="str">
            <v>31B0</v>
          </cell>
          <cell r="Q2092" t="str">
            <v>SS400</v>
          </cell>
          <cell r="R2092" t="str">
            <v>E389571_01</v>
          </cell>
          <cell r="S2092">
            <v>1174</v>
          </cell>
          <cell r="T2092" t="str">
            <v>標準</v>
          </cell>
        </row>
        <row r="2093">
          <cell r="F2093" t="str">
            <v>H0000102950</v>
          </cell>
          <cell r="I2093" t="str">
            <v>フレーム</v>
          </cell>
          <cell r="J2093" t="str">
            <v>S-Frame_RX-50_S_KTKT</v>
          </cell>
          <cell r="K2093" t="str">
            <v>S-フレーム_RX-50_S_KTKT</v>
          </cell>
          <cell r="L2093" t="str">
            <v>S-Frame</v>
          </cell>
          <cell r="M2093" t="str">
            <v>S-フレーム</v>
          </cell>
          <cell r="P2093" t="str">
            <v>31B0</v>
          </cell>
          <cell r="Q2093" t="str">
            <v>SS400</v>
          </cell>
          <cell r="R2093" t="str">
            <v>E389571_01</v>
          </cell>
          <cell r="S2093">
            <v>1174</v>
          </cell>
          <cell r="T2093" t="str">
            <v>標準</v>
          </cell>
        </row>
        <row r="2094">
          <cell r="F2094" t="str">
            <v>H0000102951</v>
          </cell>
          <cell r="I2094" t="str">
            <v>フレーム</v>
          </cell>
          <cell r="J2094" t="str">
            <v>S-Frame_RX-50_S_KTKT</v>
          </cell>
          <cell r="K2094" t="str">
            <v>S-フレーム_RX-50_S_KTKT</v>
          </cell>
          <cell r="L2094" t="str">
            <v>S-Frame</v>
          </cell>
          <cell r="M2094" t="str">
            <v>S-フレーム</v>
          </cell>
          <cell r="P2094" t="str">
            <v>31B0</v>
          </cell>
          <cell r="Q2094" t="str">
            <v>SS400</v>
          </cell>
          <cell r="R2094" t="str">
            <v>E389571_01</v>
          </cell>
          <cell r="S2094">
            <v>1174</v>
          </cell>
          <cell r="T2094" t="str">
            <v>標準</v>
          </cell>
        </row>
        <row r="2095">
          <cell r="F2095" t="str">
            <v>H0000102952</v>
          </cell>
          <cell r="I2095" t="str">
            <v>フレーム</v>
          </cell>
          <cell r="J2095" t="str">
            <v>S-Frame_RX-50_S_KTKT</v>
          </cell>
          <cell r="K2095" t="str">
            <v>S-フレーム_RX-50_S_KTKT</v>
          </cell>
          <cell r="L2095" t="str">
            <v>S-Frame</v>
          </cell>
          <cell r="M2095" t="str">
            <v>S-フレーム</v>
          </cell>
          <cell r="P2095" t="str">
            <v>31B0</v>
          </cell>
          <cell r="Q2095" t="str">
            <v>SS400</v>
          </cell>
          <cell r="R2095" t="str">
            <v>E389571_01</v>
          </cell>
          <cell r="S2095">
            <v>1174</v>
          </cell>
          <cell r="T2095" t="str">
            <v>標準</v>
          </cell>
        </row>
        <row r="2096">
          <cell r="F2096" t="str">
            <v>H0000102953</v>
          </cell>
          <cell r="I2096" t="str">
            <v>フレーム</v>
          </cell>
          <cell r="J2096" t="str">
            <v>S-Frame_RX-50_S_KTKT</v>
          </cell>
          <cell r="K2096" t="str">
            <v>S-フレーム_RX-50_S_KTKT</v>
          </cell>
          <cell r="L2096" t="str">
            <v>S-Frame</v>
          </cell>
          <cell r="M2096" t="str">
            <v>S-フレーム</v>
          </cell>
          <cell r="P2096" t="str">
            <v>31B0</v>
          </cell>
          <cell r="Q2096" t="str">
            <v>SS400</v>
          </cell>
          <cell r="R2096" t="str">
            <v>E389571_01</v>
          </cell>
          <cell r="S2096">
            <v>1174</v>
          </cell>
          <cell r="T2096" t="str">
            <v>標準</v>
          </cell>
        </row>
        <row r="2097">
          <cell r="F2097" t="str">
            <v>H0000102954</v>
          </cell>
          <cell r="I2097" t="str">
            <v>フレーム</v>
          </cell>
          <cell r="J2097" t="str">
            <v>S-Frame_RX-50_S_KTKT</v>
          </cell>
          <cell r="K2097" t="str">
            <v>S-フレーム_RX-50_S_KTKT</v>
          </cell>
          <cell r="L2097" t="str">
            <v>S-Frame</v>
          </cell>
          <cell r="M2097" t="str">
            <v>S-フレーム</v>
          </cell>
          <cell r="P2097" t="str">
            <v>31B0</v>
          </cell>
          <cell r="Q2097" t="str">
            <v>SS400</v>
          </cell>
          <cell r="R2097" t="str">
            <v>E389571_01</v>
          </cell>
          <cell r="S2097">
            <v>1174</v>
          </cell>
          <cell r="T2097" t="str">
            <v>標準</v>
          </cell>
        </row>
        <row r="2098">
          <cell r="F2098" t="str">
            <v>H0000102955</v>
          </cell>
          <cell r="I2098" t="str">
            <v>フレーム</v>
          </cell>
          <cell r="J2098" t="str">
            <v>S-Frame_RX-50_S_KTKT</v>
          </cell>
          <cell r="K2098" t="str">
            <v>S-フレーム_RX-50_S_KTKT</v>
          </cell>
          <cell r="L2098" t="str">
            <v>S-Frame</v>
          </cell>
          <cell r="M2098" t="str">
            <v>S-フレーム</v>
          </cell>
          <cell r="P2098" t="str">
            <v>31B0</v>
          </cell>
          <cell r="Q2098" t="str">
            <v>SS400</v>
          </cell>
          <cell r="R2098" t="str">
            <v>E389571_01</v>
          </cell>
          <cell r="S2098">
            <v>1174</v>
          </cell>
          <cell r="T2098" t="str">
            <v>標準</v>
          </cell>
        </row>
        <row r="2099">
          <cell r="F2099" t="str">
            <v>H0000102956</v>
          </cell>
          <cell r="I2099" t="str">
            <v>フレーム</v>
          </cell>
          <cell r="J2099" t="str">
            <v>S-Frame_RX-50_S_KTKT</v>
          </cell>
          <cell r="K2099" t="str">
            <v>S-フレーム_RX-50_S_KTKT</v>
          </cell>
          <cell r="L2099" t="str">
            <v>S-Frame</v>
          </cell>
          <cell r="M2099" t="str">
            <v>S-フレーム</v>
          </cell>
          <cell r="P2099" t="str">
            <v>31B0</v>
          </cell>
          <cell r="Q2099" t="str">
            <v>SS400</v>
          </cell>
          <cell r="R2099" t="str">
            <v>E389571_01</v>
          </cell>
          <cell r="S2099">
            <v>1174</v>
          </cell>
          <cell r="T2099" t="str">
            <v>標準</v>
          </cell>
        </row>
        <row r="2100">
          <cell r="F2100" t="str">
            <v>H0000102957</v>
          </cell>
          <cell r="I2100" t="str">
            <v>フレーム</v>
          </cell>
          <cell r="J2100" t="str">
            <v>S-Frame_RX-50_S_KTKT</v>
          </cell>
          <cell r="K2100" t="str">
            <v>S-フレーム_RX-50_S_KTKT</v>
          </cell>
          <cell r="L2100" t="str">
            <v>S-Frame</v>
          </cell>
          <cell r="M2100" t="str">
            <v>S-フレーム</v>
          </cell>
          <cell r="P2100" t="str">
            <v>31B0</v>
          </cell>
          <cell r="Q2100" t="str">
            <v>SS400</v>
          </cell>
          <cell r="R2100" t="str">
            <v>E389571_01</v>
          </cell>
          <cell r="S2100">
            <v>1174</v>
          </cell>
          <cell r="T2100" t="str">
            <v>標準</v>
          </cell>
        </row>
        <row r="2101">
          <cell r="F2101" t="str">
            <v>H0000102958</v>
          </cell>
          <cell r="I2101" t="str">
            <v>フレーム</v>
          </cell>
          <cell r="J2101" t="str">
            <v>S-Frame_RX-50_S_KTKT</v>
          </cell>
          <cell r="K2101" t="str">
            <v>S-フレーム_RX-50_S_KTKT</v>
          </cell>
          <cell r="L2101" t="str">
            <v>S-Frame</v>
          </cell>
          <cell r="M2101" t="str">
            <v>S-フレーム</v>
          </cell>
          <cell r="P2101" t="str">
            <v>31B0</v>
          </cell>
          <cell r="Q2101" t="str">
            <v>SS400</v>
          </cell>
          <cell r="R2101" t="str">
            <v>E389571_01</v>
          </cell>
          <cell r="S2101">
            <v>1174</v>
          </cell>
          <cell r="T2101" t="str">
            <v>標準</v>
          </cell>
        </row>
        <row r="2102">
          <cell r="F2102" t="str">
            <v>H0000102959</v>
          </cell>
          <cell r="I2102" t="str">
            <v>フレーム</v>
          </cell>
          <cell r="J2102" t="str">
            <v>S-Frame_RX-50_S_KTKT</v>
          </cell>
          <cell r="K2102" t="str">
            <v>S-フレーム_RX-50_S_KTKT</v>
          </cell>
          <cell r="L2102" t="str">
            <v>S-Frame</v>
          </cell>
          <cell r="M2102" t="str">
            <v>S-フレーム</v>
          </cell>
          <cell r="P2102" t="str">
            <v>31B0</v>
          </cell>
          <cell r="Q2102" t="str">
            <v>SS400</v>
          </cell>
          <cell r="R2102" t="str">
            <v>E389571_01</v>
          </cell>
          <cell r="S2102">
            <v>1174</v>
          </cell>
          <cell r="T2102" t="str">
            <v>標準</v>
          </cell>
        </row>
        <row r="2103">
          <cell r="F2103" t="str">
            <v>H0000102960</v>
          </cell>
          <cell r="I2103" t="str">
            <v>フレーム</v>
          </cell>
          <cell r="J2103" t="str">
            <v>S-Frame_RX-50_S_KTKT</v>
          </cell>
          <cell r="K2103" t="str">
            <v>S-フレーム_RX-50_S_KTKT</v>
          </cell>
          <cell r="L2103" t="str">
            <v>S-Frame</v>
          </cell>
          <cell r="M2103" t="str">
            <v>S-フレーム</v>
          </cell>
          <cell r="P2103" t="str">
            <v>31B0</v>
          </cell>
          <cell r="Q2103" t="str">
            <v>SS400</v>
          </cell>
          <cell r="R2103" t="str">
            <v>E389571_01</v>
          </cell>
          <cell r="S2103">
            <v>1174</v>
          </cell>
          <cell r="T2103" t="str">
            <v>標準</v>
          </cell>
        </row>
        <row r="2104">
          <cell r="F2104" t="str">
            <v>H0000102961</v>
          </cell>
          <cell r="I2104" t="str">
            <v>フレーム</v>
          </cell>
          <cell r="J2104" t="str">
            <v>S-Frame_RX-50_S_KTKT</v>
          </cell>
          <cell r="K2104" t="str">
            <v>S-フレーム_RX-50_S_KTKT</v>
          </cell>
          <cell r="L2104" t="str">
            <v>S-Frame</v>
          </cell>
          <cell r="M2104" t="str">
            <v>S-フレーム</v>
          </cell>
          <cell r="P2104" t="str">
            <v>31B0</v>
          </cell>
          <cell r="Q2104" t="str">
            <v>SS400</v>
          </cell>
          <cell r="R2104" t="str">
            <v>E389571_01</v>
          </cell>
          <cell r="S2104">
            <v>1174</v>
          </cell>
          <cell r="T2104" t="str">
            <v>標準</v>
          </cell>
        </row>
        <row r="2105">
          <cell r="F2105" t="str">
            <v>H0000102962</v>
          </cell>
          <cell r="I2105" t="str">
            <v>フレーム</v>
          </cell>
          <cell r="J2105" t="str">
            <v>S-Frame_RX-50_S_KTKT</v>
          </cell>
          <cell r="K2105" t="str">
            <v>S-フレーム_RX-50_S_KTKT</v>
          </cell>
          <cell r="L2105" t="str">
            <v>S-Frame</v>
          </cell>
          <cell r="M2105" t="str">
            <v>S-フレーム</v>
          </cell>
          <cell r="P2105" t="str">
            <v>31B0</v>
          </cell>
          <cell r="Q2105" t="str">
            <v>SS400</v>
          </cell>
          <cell r="R2105" t="str">
            <v>E389571_01</v>
          </cell>
          <cell r="S2105">
            <v>1174</v>
          </cell>
          <cell r="T2105" t="str">
            <v>標準</v>
          </cell>
        </row>
        <row r="2106">
          <cell r="F2106" t="str">
            <v>H0000102963</v>
          </cell>
          <cell r="I2106" t="str">
            <v>フレーム</v>
          </cell>
          <cell r="J2106" t="str">
            <v>S-Frame_RX-50_S_KTKT</v>
          </cell>
          <cell r="K2106" t="str">
            <v>S-フレーム_RX-50_S_KTKT</v>
          </cell>
          <cell r="L2106" t="str">
            <v>S-Frame</v>
          </cell>
          <cell r="M2106" t="str">
            <v>S-フレーム</v>
          </cell>
          <cell r="P2106" t="str">
            <v>31B0</v>
          </cell>
          <cell r="Q2106" t="str">
            <v>SS400</v>
          </cell>
          <cell r="R2106" t="str">
            <v>E389571_01</v>
          </cell>
          <cell r="S2106">
            <v>1174</v>
          </cell>
          <cell r="T2106" t="str">
            <v>標準</v>
          </cell>
        </row>
        <row r="2107">
          <cell r="F2107" t="str">
            <v>H0000102964</v>
          </cell>
          <cell r="I2107" t="str">
            <v>フレーム</v>
          </cell>
          <cell r="J2107" t="str">
            <v>S-Frame_RX-50_S_KTKT</v>
          </cell>
          <cell r="K2107" t="str">
            <v>S-フレーム_RX-50_S_KTKT</v>
          </cell>
          <cell r="L2107" t="str">
            <v>S-Frame</v>
          </cell>
          <cell r="M2107" t="str">
            <v>S-フレーム</v>
          </cell>
          <cell r="P2107" t="str">
            <v>31B0</v>
          </cell>
          <cell r="Q2107" t="str">
            <v>SS400</v>
          </cell>
          <cell r="R2107" t="str">
            <v>E389571_01</v>
          </cell>
          <cell r="S2107">
            <v>1174</v>
          </cell>
          <cell r="T2107" t="str">
            <v>標準</v>
          </cell>
        </row>
        <row r="2108">
          <cell r="F2108" t="str">
            <v>H0000102965</v>
          </cell>
          <cell r="I2108" t="str">
            <v>フレーム</v>
          </cell>
          <cell r="J2108" t="str">
            <v>S-Frame_RX-50_S_KTKT</v>
          </cell>
          <cell r="K2108" t="str">
            <v>S-フレーム_RX-50_S_KTKT</v>
          </cell>
          <cell r="L2108" t="str">
            <v>S-Frame</v>
          </cell>
          <cell r="M2108" t="str">
            <v>S-フレーム</v>
          </cell>
          <cell r="P2108" t="str">
            <v>31B0</v>
          </cell>
          <cell r="Q2108" t="str">
            <v>SS400</v>
          </cell>
          <cell r="R2108" t="str">
            <v>E389571_01</v>
          </cell>
          <cell r="S2108">
            <v>1174</v>
          </cell>
          <cell r="T2108" t="str">
            <v>標準</v>
          </cell>
        </row>
        <row r="2109">
          <cell r="F2109" t="str">
            <v>H0000102966</v>
          </cell>
          <cell r="I2109" t="str">
            <v>フレーム</v>
          </cell>
          <cell r="J2109" t="str">
            <v>S-Frame_RX-50_S_KTKT</v>
          </cell>
          <cell r="K2109" t="str">
            <v>S-フレーム_RX-50_S_KTKT</v>
          </cell>
          <cell r="L2109" t="str">
            <v>S-Frame</v>
          </cell>
          <cell r="M2109" t="str">
            <v>S-フレーム</v>
          </cell>
          <cell r="P2109" t="str">
            <v>31B0</v>
          </cell>
          <cell r="Q2109" t="str">
            <v>SS400</v>
          </cell>
          <cell r="R2109" t="str">
            <v>E389571_01</v>
          </cell>
          <cell r="S2109">
            <v>1174</v>
          </cell>
          <cell r="T2109" t="str">
            <v>標準</v>
          </cell>
        </row>
        <row r="2110">
          <cell r="F2110" t="str">
            <v>H0000102967</v>
          </cell>
          <cell r="I2110" t="str">
            <v>フレーム</v>
          </cell>
          <cell r="J2110" t="str">
            <v>S-Frame_RX-50_S_KTKT</v>
          </cell>
          <cell r="K2110" t="str">
            <v>S-フレーム_RX-50_S_KTKT</v>
          </cell>
          <cell r="L2110" t="str">
            <v>S-Frame</v>
          </cell>
          <cell r="M2110" t="str">
            <v>S-フレーム</v>
          </cell>
          <cell r="P2110" t="str">
            <v>31B0</v>
          </cell>
          <cell r="Q2110" t="str">
            <v>SS400</v>
          </cell>
          <cell r="R2110" t="str">
            <v>E389571_01</v>
          </cell>
          <cell r="S2110">
            <v>1174</v>
          </cell>
          <cell r="T2110" t="str">
            <v>標準</v>
          </cell>
        </row>
        <row r="2111">
          <cell r="F2111" t="str">
            <v>H0000102968</v>
          </cell>
          <cell r="I2111" t="str">
            <v>フレーム</v>
          </cell>
          <cell r="J2111" t="str">
            <v>S-Frame_RX-50_S_KTKT</v>
          </cell>
          <cell r="K2111" t="str">
            <v>S-フレーム_RX-50_S_KTKT</v>
          </cell>
          <cell r="L2111" t="str">
            <v>S-Frame</v>
          </cell>
          <cell r="M2111" t="str">
            <v>S-フレーム</v>
          </cell>
          <cell r="P2111" t="str">
            <v>31B0</v>
          </cell>
          <cell r="Q2111" t="str">
            <v>SS400</v>
          </cell>
          <cell r="R2111" t="str">
            <v>E389571_01</v>
          </cell>
          <cell r="S2111">
            <v>1174</v>
          </cell>
          <cell r="T2111" t="str">
            <v>標準</v>
          </cell>
        </row>
        <row r="2112">
          <cell r="F2112" t="str">
            <v>H0000102969</v>
          </cell>
          <cell r="I2112" t="str">
            <v>フレーム</v>
          </cell>
          <cell r="J2112" t="str">
            <v>S-Frame_RX-50_S_KTKT</v>
          </cell>
          <cell r="K2112" t="str">
            <v>S-フレーム_RX-50_S_KTKT</v>
          </cell>
          <cell r="L2112" t="str">
            <v>S-Frame</v>
          </cell>
          <cell r="M2112" t="str">
            <v>S-フレーム</v>
          </cell>
          <cell r="P2112" t="str">
            <v>31B0</v>
          </cell>
          <cell r="Q2112" t="str">
            <v>SS400</v>
          </cell>
          <cell r="R2112" t="str">
            <v>E389571_01</v>
          </cell>
          <cell r="S2112">
            <v>1174</v>
          </cell>
          <cell r="T2112" t="str">
            <v>標準</v>
          </cell>
        </row>
        <row r="2113">
          <cell r="F2113" t="str">
            <v>H0000102970</v>
          </cell>
          <cell r="I2113" t="str">
            <v>フレーム</v>
          </cell>
          <cell r="J2113" t="str">
            <v>S-Frame_RX-50_S_KKKK</v>
          </cell>
          <cell r="K2113" t="str">
            <v>S-フレーム_RX-50_S_KKKK</v>
          </cell>
          <cell r="L2113" t="str">
            <v>S-Frame</v>
          </cell>
          <cell r="M2113" t="str">
            <v>S-フレーム</v>
          </cell>
          <cell r="P2113" t="str">
            <v>31B0</v>
          </cell>
          <cell r="Q2113" t="str">
            <v>SS400</v>
          </cell>
          <cell r="R2113" t="str">
            <v>E389571_01</v>
          </cell>
          <cell r="S2113">
            <v>1174</v>
          </cell>
          <cell r="T2113" t="str">
            <v>標準</v>
          </cell>
        </row>
        <row r="2114">
          <cell r="F2114" t="str">
            <v>H0000102971</v>
          </cell>
          <cell r="I2114" t="str">
            <v>フレーム</v>
          </cell>
          <cell r="J2114" t="str">
            <v>S-Frame_RX-50_S_KKKK</v>
          </cell>
          <cell r="K2114" t="str">
            <v>S-フレーム_RX-50_S_KKKK</v>
          </cell>
          <cell r="L2114" t="str">
            <v>S-Frame</v>
          </cell>
          <cell r="M2114" t="str">
            <v>S-フレーム</v>
          </cell>
          <cell r="P2114" t="str">
            <v>31B0</v>
          </cell>
          <cell r="Q2114" t="str">
            <v>SS400</v>
          </cell>
          <cell r="R2114" t="str">
            <v>E389571_01</v>
          </cell>
          <cell r="S2114">
            <v>1174</v>
          </cell>
          <cell r="T2114" t="str">
            <v>標準</v>
          </cell>
        </row>
        <row r="2115">
          <cell r="F2115" t="str">
            <v>H0000102972</v>
          </cell>
          <cell r="I2115" t="str">
            <v>フレーム</v>
          </cell>
          <cell r="J2115" t="str">
            <v>S-Frame_RX-50_S_KKKK</v>
          </cell>
          <cell r="K2115" t="str">
            <v>S-フレーム_RX-50_S_KKKK</v>
          </cell>
          <cell r="L2115" t="str">
            <v>S-Frame</v>
          </cell>
          <cell r="M2115" t="str">
            <v>S-フレーム</v>
          </cell>
          <cell r="P2115" t="str">
            <v>31B0</v>
          </cell>
          <cell r="Q2115" t="str">
            <v>SS400</v>
          </cell>
          <cell r="R2115" t="str">
            <v>E389571_01</v>
          </cell>
          <cell r="S2115">
            <v>1174</v>
          </cell>
          <cell r="T2115" t="str">
            <v>標準</v>
          </cell>
        </row>
        <row r="2116">
          <cell r="F2116" t="str">
            <v>H0000102973</v>
          </cell>
          <cell r="I2116" t="str">
            <v>フレーム</v>
          </cell>
          <cell r="J2116" t="str">
            <v>S-Frame_RX-50_S_KKKK</v>
          </cell>
          <cell r="K2116" t="str">
            <v>S-フレーム_RX-50_S_KKKK</v>
          </cell>
          <cell r="L2116" t="str">
            <v>S-Frame</v>
          </cell>
          <cell r="M2116" t="str">
            <v>S-フレーム</v>
          </cell>
          <cell r="P2116" t="str">
            <v>31B0</v>
          </cell>
          <cell r="Q2116" t="str">
            <v>SS400</v>
          </cell>
          <cell r="R2116" t="str">
            <v>E389571_01</v>
          </cell>
          <cell r="S2116">
            <v>1174</v>
          </cell>
          <cell r="T2116" t="str">
            <v>標準</v>
          </cell>
        </row>
        <row r="2117">
          <cell r="F2117" t="str">
            <v>H0000102974</v>
          </cell>
          <cell r="I2117" t="str">
            <v>フレーム</v>
          </cell>
          <cell r="J2117" t="str">
            <v>S-Frame_RX-50_S_KKKK</v>
          </cell>
          <cell r="K2117" t="str">
            <v>S-フレーム_RX-50_S_KKKK</v>
          </cell>
          <cell r="L2117" t="str">
            <v>S-Frame</v>
          </cell>
          <cell r="M2117" t="str">
            <v>S-フレーム</v>
          </cell>
          <cell r="P2117" t="str">
            <v>31B0</v>
          </cell>
          <cell r="Q2117" t="str">
            <v>SS400</v>
          </cell>
          <cell r="R2117" t="str">
            <v>E389571_01</v>
          </cell>
          <cell r="S2117">
            <v>1174</v>
          </cell>
          <cell r="T2117" t="str">
            <v>標準</v>
          </cell>
        </row>
        <row r="2118">
          <cell r="F2118" t="str">
            <v>H0000102975</v>
          </cell>
          <cell r="I2118" t="str">
            <v>フレーム</v>
          </cell>
          <cell r="J2118" t="str">
            <v>S-Frame_RX-50_S_KKKK</v>
          </cell>
          <cell r="K2118" t="str">
            <v>S-フレーム_RX-50_S_KKKK</v>
          </cell>
          <cell r="L2118" t="str">
            <v>S-Frame</v>
          </cell>
          <cell r="M2118" t="str">
            <v>S-フレーム</v>
          </cell>
          <cell r="P2118" t="str">
            <v>31B0</v>
          </cell>
          <cell r="Q2118" t="str">
            <v>SS400</v>
          </cell>
          <cell r="R2118" t="str">
            <v>E389571_01</v>
          </cell>
          <cell r="S2118">
            <v>1174</v>
          </cell>
          <cell r="T2118" t="str">
            <v>標準</v>
          </cell>
        </row>
        <row r="2119">
          <cell r="F2119" t="str">
            <v>H0000102976</v>
          </cell>
          <cell r="I2119" t="str">
            <v>フレーム</v>
          </cell>
          <cell r="J2119" t="str">
            <v>S-Frame_RX-50_S_KKKK</v>
          </cell>
          <cell r="K2119" t="str">
            <v>S-フレーム_RX-50_S_KKKK</v>
          </cell>
          <cell r="L2119" t="str">
            <v>S-Frame</v>
          </cell>
          <cell r="M2119" t="str">
            <v>S-フレーム</v>
          </cell>
          <cell r="P2119" t="str">
            <v>31B0</v>
          </cell>
          <cell r="Q2119" t="str">
            <v>SS400</v>
          </cell>
          <cell r="R2119" t="str">
            <v>E389571_01</v>
          </cell>
          <cell r="S2119">
            <v>1174</v>
          </cell>
          <cell r="T2119" t="str">
            <v>標準</v>
          </cell>
        </row>
        <row r="2120">
          <cell r="F2120" t="str">
            <v>H0000102977</v>
          </cell>
          <cell r="I2120" t="str">
            <v>フレーム</v>
          </cell>
          <cell r="J2120" t="str">
            <v>S-Frame_RX-50_S_KKKK</v>
          </cell>
          <cell r="K2120" t="str">
            <v>S-フレーム_RX-50_S_KKKK</v>
          </cell>
          <cell r="L2120" t="str">
            <v>S-Frame</v>
          </cell>
          <cell r="M2120" t="str">
            <v>S-フレーム</v>
          </cell>
          <cell r="P2120" t="str">
            <v>31B0</v>
          </cell>
          <cell r="Q2120" t="str">
            <v>SS400</v>
          </cell>
          <cell r="R2120" t="str">
            <v>E389571_01</v>
          </cell>
          <cell r="S2120">
            <v>1174</v>
          </cell>
          <cell r="T2120" t="str">
            <v>標準</v>
          </cell>
        </row>
        <row r="2121">
          <cell r="F2121" t="str">
            <v>H0000102978</v>
          </cell>
          <cell r="I2121" t="str">
            <v>フレーム</v>
          </cell>
          <cell r="J2121" t="str">
            <v>S-Frame_RX-50_S_KKKK</v>
          </cell>
          <cell r="K2121" t="str">
            <v>S-フレーム_RX-50_S_KKKK</v>
          </cell>
          <cell r="L2121" t="str">
            <v>S-Frame</v>
          </cell>
          <cell r="M2121" t="str">
            <v>S-フレーム</v>
          </cell>
          <cell r="P2121" t="str">
            <v>31B0</v>
          </cell>
          <cell r="Q2121" t="str">
            <v>SS400</v>
          </cell>
          <cell r="R2121" t="str">
            <v>E389571_01</v>
          </cell>
          <cell r="S2121">
            <v>1174</v>
          </cell>
          <cell r="T2121" t="str">
            <v>標準</v>
          </cell>
        </row>
        <row r="2122">
          <cell r="F2122" t="str">
            <v>H0000102979</v>
          </cell>
          <cell r="I2122" t="str">
            <v>フレーム</v>
          </cell>
          <cell r="J2122" t="str">
            <v>S-Frame_RX-50_S_KKKK</v>
          </cell>
          <cell r="K2122" t="str">
            <v>S-フレーム_RX-50_S_KKKK</v>
          </cell>
          <cell r="L2122" t="str">
            <v>S-Frame</v>
          </cell>
          <cell r="M2122" t="str">
            <v>S-フレーム</v>
          </cell>
          <cell r="P2122" t="str">
            <v>31B0</v>
          </cell>
          <cell r="Q2122" t="str">
            <v>SS400</v>
          </cell>
          <cell r="R2122" t="str">
            <v>E389571_01</v>
          </cell>
          <cell r="S2122">
            <v>1174</v>
          </cell>
          <cell r="T2122" t="str">
            <v>標準</v>
          </cell>
        </row>
        <row r="2123">
          <cell r="F2123" t="str">
            <v>H0000102980</v>
          </cell>
          <cell r="I2123" t="str">
            <v>フレーム</v>
          </cell>
          <cell r="J2123" t="str">
            <v>S-Frame_RX-50_S_KKKK</v>
          </cell>
          <cell r="K2123" t="str">
            <v>S-フレーム_RX-50_S_KKKK</v>
          </cell>
          <cell r="L2123" t="str">
            <v>S-Frame</v>
          </cell>
          <cell r="M2123" t="str">
            <v>S-フレーム</v>
          </cell>
          <cell r="P2123" t="str">
            <v>31B0</v>
          </cell>
          <cell r="Q2123" t="str">
            <v>SS400</v>
          </cell>
          <cell r="R2123" t="str">
            <v>E389571_01</v>
          </cell>
          <cell r="S2123">
            <v>1174</v>
          </cell>
          <cell r="T2123" t="str">
            <v>標準</v>
          </cell>
        </row>
        <row r="2124">
          <cell r="F2124" t="str">
            <v>H0000102981</v>
          </cell>
          <cell r="I2124" t="str">
            <v>フレーム</v>
          </cell>
          <cell r="J2124" t="str">
            <v>S-Frame_RX-50_S_KKKK</v>
          </cell>
          <cell r="K2124" t="str">
            <v>S-フレーム_RX-50_S_KKKK</v>
          </cell>
          <cell r="L2124" t="str">
            <v>S-Frame</v>
          </cell>
          <cell r="M2124" t="str">
            <v>S-フレーム</v>
          </cell>
          <cell r="P2124" t="str">
            <v>31B0</v>
          </cell>
          <cell r="Q2124" t="str">
            <v>SS400</v>
          </cell>
          <cell r="R2124" t="str">
            <v>E389571_01</v>
          </cell>
          <cell r="S2124">
            <v>1174</v>
          </cell>
          <cell r="T2124" t="str">
            <v>標準</v>
          </cell>
        </row>
        <row r="2125">
          <cell r="F2125" t="str">
            <v>H0000102982</v>
          </cell>
          <cell r="I2125" t="str">
            <v>フレーム</v>
          </cell>
          <cell r="J2125" t="str">
            <v>S-Frame_RX-50_S_KKKK</v>
          </cell>
          <cell r="K2125" t="str">
            <v>S-フレーム_RX-50_S_KKKK</v>
          </cell>
          <cell r="L2125" t="str">
            <v>S-Frame</v>
          </cell>
          <cell r="M2125" t="str">
            <v>S-フレーム</v>
          </cell>
          <cell r="P2125" t="str">
            <v>31B0</v>
          </cell>
          <cell r="Q2125" t="str">
            <v>SS400</v>
          </cell>
          <cell r="R2125" t="str">
            <v>E389571_01</v>
          </cell>
          <cell r="S2125">
            <v>1174</v>
          </cell>
          <cell r="T2125" t="str">
            <v>標準</v>
          </cell>
        </row>
        <row r="2126">
          <cell r="F2126" t="str">
            <v>H0000102983</v>
          </cell>
          <cell r="I2126" t="str">
            <v>フレーム</v>
          </cell>
          <cell r="J2126" t="str">
            <v>S-Frame_RX-50_S_KKKK</v>
          </cell>
          <cell r="K2126" t="str">
            <v>S-フレーム_RX-50_S_KKKK</v>
          </cell>
          <cell r="L2126" t="str">
            <v>S-Frame</v>
          </cell>
          <cell r="M2126" t="str">
            <v>S-フレーム</v>
          </cell>
          <cell r="P2126" t="str">
            <v>31B0</v>
          </cell>
          <cell r="Q2126" t="str">
            <v>SS400</v>
          </cell>
          <cell r="R2126" t="str">
            <v>E389571_01</v>
          </cell>
          <cell r="S2126">
            <v>1174</v>
          </cell>
          <cell r="T2126" t="str">
            <v>標準</v>
          </cell>
        </row>
        <row r="2127">
          <cell r="F2127" t="str">
            <v>H0000102984</v>
          </cell>
          <cell r="I2127" t="str">
            <v>フレーム</v>
          </cell>
          <cell r="J2127" t="str">
            <v>S-Frame_RX-50_S_KKKK</v>
          </cell>
          <cell r="K2127" t="str">
            <v>S-フレーム_RX-50_S_KKKK</v>
          </cell>
          <cell r="L2127" t="str">
            <v>S-Frame</v>
          </cell>
          <cell r="M2127" t="str">
            <v>S-フレーム</v>
          </cell>
          <cell r="P2127" t="str">
            <v>31B0</v>
          </cell>
          <cell r="Q2127" t="str">
            <v>SS400</v>
          </cell>
          <cell r="R2127" t="str">
            <v>E389571_01</v>
          </cell>
          <cell r="S2127">
            <v>1174</v>
          </cell>
          <cell r="T2127" t="str">
            <v>標準</v>
          </cell>
        </row>
        <row r="2128">
          <cell r="F2128" t="str">
            <v>H0000102985</v>
          </cell>
          <cell r="I2128" t="str">
            <v>フレーム</v>
          </cell>
          <cell r="J2128" t="str">
            <v>S-Frame_RX-50_S_KKKK</v>
          </cell>
          <cell r="K2128" t="str">
            <v>S-フレーム_RX-50_S_KKKK</v>
          </cell>
          <cell r="L2128" t="str">
            <v>S-Frame</v>
          </cell>
          <cell r="M2128" t="str">
            <v>S-フレーム</v>
          </cell>
          <cell r="P2128" t="str">
            <v>31B0</v>
          </cell>
          <cell r="Q2128" t="str">
            <v>SS400</v>
          </cell>
          <cell r="R2128" t="str">
            <v>E389571_01</v>
          </cell>
          <cell r="S2128">
            <v>1174</v>
          </cell>
          <cell r="T2128" t="str">
            <v>標準</v>
          </cell>
        </row>
        <row r="2129">
          <cell r="F2129" t="str">
            <v>H0000102986</v>
          </cell>
          <cell r="I2129" t="str">
            <v>フレーム</v>
          </cell>
          <cell r="J2129" t="str">
            <v>S-Frame_RX-50_S_KKKK</v>
          </cell>
          <cell r="K2129" t="str">
            <v>S-フレーム_RX-50_S_KKKK</v>
          </cell>
          <cell r="L2129" t="str">
            <v>S-Frame</v>
          </cell>
          <cell r="M2129" t="str">
            <v>S-フレーム</v>
          </cell>
          <cell r="P2129" t="str">
            <v>31B0</v>
          </cell>
          <cell r="Q2129" t="str">
            <v>SS400</v>
          </cell>
          <cell r="R2129" t="str">
            <v>E389571_01</v>
          </cell>
          <cell r="S2129">
            <v>1174</v>
          </cell>
          <cell r="T2129" t="str">
            <v>標準</v>
          </cell>
        </row>
        <row r="2130">
          <cell r="F2130" t="str">
            <v>H0000102987</v>
          </cell>
          <cell r="I2130" t="str">
            <v>フレーム</v>
          </cell>
          <cell r="J2130" t="str">
            <v>S-Frame_RX-50_S_KKKK</v>
          </cell>
          <cell r="K2130" t="str">
            <v>S-フレーム_RX-50_S_KKKK</v>
          </cell>
          <cell r="L2130" t="str">
            <v>S-Frame</v>
          </cell>
          <cell r="M2130" t="str">
            <v>S-フレーム</v>
          </cell>
          <cell r="P2130" t="str">
            <v>31B0</v>
          </cell>
          <cell r="Q2130" t="str">
            <v>SS400</v>
          </cell>
          <cell r="R2130" t="str">
            <v>E389571_01</v>
          </cell>
          <cell r="S2130">
            <v>1174</v>
          </cell>
          <cell r="T2130" t="str">
            <v>標準</v>
          </cell>
        </row>
        <row r="2131">
          <cell r="F2131" t="str">
            <v>H0000102988</v>
          </cell>
          <cell r="I2131" t="str">
            <v>フレーム</v>
          </cell>
          <cell r="J2131" t="str">
            <v>S-Frame_RX-50_S_KKKK</v>
          </cell>
          <cell r="K2131" t="str">
            <v>S-フレーム_RX-50_S_KKKK</v>
          </cell>
          <cell r="L2131" t="str">
            <v>S-Frame</v>
          </cell>
          <cell r="M2131" t="str">
            <v>S-フレーム</v>
          </cell>
          <cell r="P2131" t="str">
            <v>31B0</v>
          </cell>
          <cell r="Q2131" t="str">
            <v>SS400</v>
          </cell>
          <cell r="R2131" t="str">
            <v>E389571_01</v>
          </cell>
          <cell r="S2131">
            <v>1174</v>
          </cell>
          <cell r="T2131" t="str">
            <v>標準</v>
          </cell>
        </row>
        <row r="2132">
          <cell r="F2132" t="str">
            <v>H0000102989</v>
          </cell>
          <cell r="I2132" t="str">
            <v>フレーム</v>
          </cell>
          <cell r="J2132" t="str">
            <v>S-Frame_RX-50_S_KKKK</v>
          </cell>
          <cell r="K2132" t="str">
            <v>S-フレーム_RX-50_S_KKKK</v>
          </cell>
          <cell r="L2132" t="str">
            <v>S-Frame</v>
          </cell>
          <cell r="M2132" t="str">
            <v>S-フレーム</v>
          </cell>
          <cell r="P2132" t="str">
            <v>31B0</v>
          </cell>
          <cell r="Q2132" t="str">
            <v>SS400</v>
          </cell>
          <cell r="R2132" t="str">
            <v>E389571_01</v>
          </cell>
          <cell r="S2132">
            <v>1174</v>
          </cell>
          <cell r="T2132" t="str">
            <v>標準</v>
          </cell>
        </row>
        <row r="2133">
          <cell r="F2133" t="str">
            <v>H0000102990</v>
          </cell>
          <cell r="I2133" t="str">
            <v>フレーム</v>
          </cell>
          <cell r="J2133" t="str">
            <v>S-Frame_RX-50_S_KKKK</v>
          </cell>
          <cell r="K2133" t="str">
            <v>S-フレーム_RX-50_S_KKKK</v>
          </cell>
          <cell r="L2133" t="str">
            <v>S-Frame</v>
          </cell>
          <cell r="M2133" t="str">
            <v>S-フレーム</v>
          </cell>
          <cell r="P2133" t="str">
            <v>31B0</v>
          </cell>
          <cell r="Q2133" t="str">
            <v>SS400</v>
          </cell>
          <cell r="R2133" t="str">
            <v>E389571_01</v>
          </cell>
          <cell r="S2133">
            <v>1174</v>
          </cell>
          <cell r="T2133" t="str">
            <v>標準</v>
          </cell>
        </row>
        <row r="2134">
          <cell r="F2134" t="str">
            <v>H0000102991</v>
          </cell>
          <cell r="I2134" t="str">
            <v>フレーム</v>
          </cell>
          <cell r="J2134" t="str">
            <v>S-Frame_RX-50_S_KKKK</v>
          </cell>
          <cell r="K2134" t="str">
            <v>S-フレーム_RX-50_S_KKKK</v>
          </cell>
          <cell r="L2134" t="str">
            <v>S-Frame</v>
          </cell>
          <cell r="M2134" t="str">
            <v>S-フレーム</v>
          </cell>
          <cell r="P2134" t="str">
            <v>31B0</v>
          </cell>
          <cell r="Q2134" t="str">
            <v>SS400</v>
          </cell>
          <cell r="R2134" t="str">
            <v>E389571_01</v>
          </cell>
          <cell r="S2134">
            <v>1174</v>
          </cell>
          <cell r="T2134" t="str">
            <v>標準</v>
          </cell>
        </row>
        <row r="2135">
          <cell r="F2135" t="str">
            <v>H0000102992</v>
          </cell>
          <cell r="I2135" t="str">
            <v>フレーム</v>
          </cell>
          <cell r="J2135" t="str">
            <v>S-Frame_RX-50_S_KKKK</v>
          </cell>
          <cell r="K2135" t="str">
            <v>S-フレーム_RX-50_S_KKKK</v>
          </cell>
          <cell r="L2135" t="str">
            <v>S-Frame</v>
          </cell>
          <cell r="M2135" t="str">
            <v>S-フレーム</v>
          </cell>
          <cell r="P2135" t="str">
            <v>31B0</v>
          </cell>
          <cell r="Q2135" t="str">
            <v>SS400</v>
          </cell>
          <cell r="R2135" t="str">
            <v>E389571_01</v>
          </cell>
          <cell r="S2135">
            <v>1174</v>
          </cell>
          <cell r="T2135" t="str">
            <v>標準</v>
          </cell>
        </row>
        <row r="2136">
          <cell r="F2136" t="str">
            <v>H0000102993</v>
          </cell>
          <cell r="I2136" t="str">
            <v>フレーム</v>
          </cell>
          <cell r="J2136" t="str">
            <v>S-Frame_RX-50_S_KKKK</v>
          </cell>
          <cell r="K2136" t="str">
            <v>S-フレーム_RX-50_S_KKKK</v>
          </cell>
          <cell r="L2136" t="str">
            <v>S-Frame</v>
          </cell>
          <cell r="M2136" t="str">
            <v>S-フレーム</v>
          </cell>
          <cell r="P2136" t="str">
            <v>31B0</v>
          </cell>
          <cell r="Q2136" t="str">
            <v>SS400</v>
          </cell>
          <cell r="R2136" t="str">
            <v>E389571_01</v>
          </cell>
          <cell r="S2136">
            <v>1174</v>
          </cell>
          <cell r="T2136" t="str">
            <v>標準</v>
          </cell>
        </row>
        <row r="2137">
          <cell r="F2137" t="str">
            <v>H0000102994</v>
          </cell>
          <cell r="I2137" t="str">
            <v>フレーム</v>
          </cell>
          <cell r="J2137" t="str">
            <v>S-Frame_RX-50_S_KKKK</v>
          </cell>
          <cell r="K2137" t="str">
            <v>S-フレーム_RX-50_S_KKKK</v>
          </cell>
          <cell r="L2137" t="str">
            <v>S-Frame</v>
          </cell>
          <cell r="M2137" t="str">
            <v>S-フレーム</v>
          </cell>
          <cell r="P2137" t="str">
            <v>31B0</v>
          </cell>
          <cell r="Q2137" t="str">
            <v>SS400</v>
          </cell>
          <cell r="R2137" t="str">
            <v>E389571_01</v>
          </cell>
          <cell r="S2137">
            <v>1174</v>
          </cell>
          <cell r="T2137" t="str">
            <v>標準</v>
          </cell>
        </row>
        <row r="2138">
          <cell r="F2138" t="str">
            <v>H0000102995</v>
          </cell>
          <cell r="I2138" t="str">
            <v>フレーム</v>
          </cell>
          <cell r="J2138" t="str">
            <v>S-Frame_GasCutting_RX-50_S_1234</v>
          </cell>
          <cell r="K2138" t="str">
            <v>S-フレーム_ガス溶断_RX-50_S_1234</v>
          </cell>
          <cell r="L2138" t="str">
            <v>S-Frame</v>
          </cell>
          <cell r="M2138" t="str">
            <v>S-フレーム</v>
          </cell>
          <cell r="N2138" t="str">
            <v>GasCutting</v>
          </cell>
          <cell r="O2138" t="str">
            <v>ガス溶断</v>
          </cell>
          <cell r="P2138" t="str">
            <v>31B0</v>
          </cell>
          <cell r="Q2138" t="str">
            <v>SS400</v>
          </cell>
          <cell r="R2138" t="str">
            <v>E389571_01</v>
          </cell>
          <cell r="S2138">
            <v>1174</v>
          </cell>
          <cell r="T2138" t="str">
            <v>標準</v>
          </cell>
        </row>
        <row r="2139">
          <cell r="F2139" t="str">
            <v>H0000102996</v>
          </cell>
          <cell r="I2139" t="str">
            <v>フレーム</v>
          </cell>
          <cell r="J2139" t="str">
            <v>S-Frame_RX-50_S_KKKK</v>
          </cell>
          <cell r="K2139" t="str">
            <v>S-フレーム_RX-50_S_KKKK</v>
          </cell>
          <cell r="L2139" t="str">
            <v>S-Frame</v>
          </cell>
          <cell r="M2139" t="str">
            <v>S-フレーム</v>
          </cell>
          <cell r="P2139" t="str">
            <v>31B0</v>
          </cell>
          <cell r="Q2139" t="str">
            <v>SS400</v>
          </cell>
          <cell r="R2139" t="str">
            <v>E389572_01</v>
          </cell>
          <cell r="S2139">
            <v>1167</v>
          </cell>
          <cell r="T2139" t="str">
            <v>標準</v>
          </cell>
        </row>
        <row r="2140">
          <cell r="F2140" t="str">
            <v>H0000102997</v>
          </cell>
          <cell r="I2140" t="str">
            <v>フレーム</v>
          </cell>
          <cell r="J2140" t="str">
            <v>S-Frame_RX-50_S_KKKK</v>
          </cell>
          <cell r="K2140" t="str">
            <v>S-フレーム_RX-50_S_KKKK</v>
          </cell>
          <cell r="L2140" t="str">
            <v>S-Frame</v>
          </cell>
          <cell r="M2140" t="str">
            <v>S-フレーム</v>
          </cell>
          <cell r="P2140" t="str">
            <v>31B0</v>
          </cell>
          <cell r="Q2140" t="str">
            <v>SS400</v>
          </cell>
          <cell r="R2140" t="str">
            <v>E389572_01</v>
          </cell>
          <cell r="S2140">
            <v>1167</v>
          </cell>
          <cell r="T2140" t="str">
            <v>標準</v>
          </cell>
        </row>
        <row r="2141">
          <cell r="F2141" t="str">
            <v>H0000102998</v>
          </cell>
          <cell r="I2141" t="str">
            <v>フレーム</v>
          </cell>
          <cell r="J2141" t="str">
            <v>S-Frame_RX-50_S_KKKK</v>
          </cell>
          <cell r="K2141" t="str">
            <v>S-フレーム_RX-50_S_KKKK</v>
          </cell>
          <cell r="L2141" t="str">
            <v>S-Frame</v>
          </cell>
          <cell r="M2141" t="str">
            <v>S-フレーム</v>
          </cell>
          <cell r="P2141" t="str">
            <v>31B0</v>
          </cell>
          <cell r="Q2141" t="str">
            <v>SS400</v>
          </cell>
          <cell r="R2141" t="str">
            <v>E389572_01</v>
          </cell>
          <cell r="S2141">
            <v>1167</v>
          </cell>
          <cell r="T2141" t="str">
            <v>標準</v>
          </cell>
        </row>
        <row r="2142">
          <cell r="F2142" t="str">
            <v>H0000102999</v>
          </cell>
          <cell r="I2142" t="str">
            <v>フレーム</v>
          </cell>
          <cell r="J2142" t="str">
            <v>S-Frame_RX-50_S_KKKK</v>
          </cell>
          <cell r="K2142" t="str">
            <v>S-フレーム_RX-50_S_KKKK</v>
          </cell>
          <cell r="L2142" t="str">
            <v>S-Frame</v>
          </cell>
          <cell r="M2142" t="str">
            <v>S-フレーム</v>
          </cell>
          <cell r="P2142" t="str">
            <v>31B0</v>
          </cell>
          <cell r="Q2142" t="str">
            <v>SS400</v>
          </cell>
          <cell r="R2142" t="str">
            <v>E389572_01</v>
          </cell>
          <cell r="S2142">
            <v>1167</v>
          </cell>
          <cell r="T2142" t="str">
            <v>標準</v>
          </cell>
        </row>
        <row r="2143">
          <cell r="F2143" t="str">
            <v>H0000108339</v>
          </cell>
          <cell r="I2143" t="str">
            <v>フレーム</v>
          </cell>
          <cell r="J2143" t="str">
            <v>S-Frame_SX-40_N_TTTT</v>
          </cell>
          <cell r="K2143" t="str">
            <v>S-フレーム_SX-40_N_TTTT</v>
          </cell>
          <cell r="L2143" t="str">
            <v>S-Frame</v>
          </cell>
          <cell r="M2143" t="str">
            <v>S-フレーム</v>
          </cell>
          <cell r="P2143" t="str">
            <v>31B0</v>
          </cell>
          <cell r="Q2143" t="str">
            <v>SS400</v>
          </cell>
          <cell r="R2143" t="str">
            <v>E389458_01</v>
          </cell>
          <cell r="S2143">
            <v>514</v>
          </cell>
          <cell r="T2143" t="str">
            <v>標準</v>
          </cell>
        </row>
        <row r="2144">
          <cell r="F2144" t="str">
            <v>H0000108340</v>
          </cell>
          <cell r="I2144" t="str">
            <v>フレーム</v>
          </cell>
          <cell r="J2144" t="str">
            <v>S-Frame_SX-40_N_TTTT</v>
          </cell>
          <cell r="K2144" t="str">
            <v>S-フレーム_SX-40_N_TTTT</v>
          </cell>
          <cell r="L2144" t="str">
            <v>S-Frame</v>
          </cell>
          <cell r="M2144" t="str">
            <v>S-フレーム</v>
          </cell>
          <cell r="P2144" t="str">
            <v>31B0</v>
          </cell>
          <cell r="Q2144" t="str">
            <v>SS400</v>
          </cell>
          <cell r="R2144" t="str">
            <v>E389458_01</v>
          </cell>
          <cell r="S2144">
            <v>514</v>
          </cell>
          <cell r="T2144" t="str">
            <v>標準</v>
          </cell>
        </row>
        <row r="2145">
          <cell r="F2145" t="str">
            <v>H0000108341</v>
          </cell>
          <cell r="I2145" t="str">
            <v>フレーム</v>
          </cell>
          <cell r="J2145" t="str">
            <v>S-Frame_SX-40_N_TTTT</v>
          </cell>
          <cell r="K2145" t="str">
            <v>S-フレーム_SX-40_N_TTTT</v>
          </cell>
          <cell r="L2145" t="str">
            <v>S-Frame</v>
          </cell>
          <cell r="M2145" t="str">
            <v>S-フレーム</v>
          </cell>
          <cell r="P2145" t="str">
            <v>31B0</v>
          </cell>
          <cell r="Q2145" t="str">
            <v>SS400</v>
          </cell>
          <cell r="R2145" t="str">
            <v>E389458_01</v>
          </cell>
          <cell r="S2145">
            <v>514</v>
          </cell>
          <cell r="T2145" t="str">
            <v>標準</v>
          </cell>
        </row>
        <row r="2146">
          <cell r="F2146" t="str">
            <v>H0000108342</v>
          </cell>
          <cell r="I2146" t="str">
            <v>フレーム</v>
          </cell>
          <cell r="J2146" t="str">
            <v>S-Frame_SX-40_N_TTTT</v>
          </cell>
          <cell r="K2146" t="str">
            <v>S-フレーム_SX-40_N_TTTT</v>
          </cell>
          <cell r="L2146" t="str">
            <v>S-Frame</v>
          </cell>
          <cell r="M2146" t="str">
            <v>S-フレーム</v>
          </cell>
          <cell r="P2146" t="str">
            <v>31B0</v>
          </cell>
          <cell r="Q2146" t="str">
            <v>SS400</v>
          </cell>
          <cell r="R2146" t="str">
            <v>E389458_01</v>
          </cell>
          <cell r="S2146">
            <v>514</v>
          </cell>
          <cell r="T2146" t="str">
            <v>標準</v>
          </cell>
        </row>
        <row r="2147">
          <cell r="F2147" t="str">
            <v>H0000108343</v>
          </cell>
          <cell r="I2147" t="str">
            <v>フレーム</v>
          </cell>
          <cell r="J2147" t="str">
            <v>S-Frame_SX-40_N_TTTT</v>
          </cell>
          <cell r="K2147" t="str">
            <v>S-フレーム_SX-40_N_TTTT</v>
          </cell>
          <cell r="L2147" t="str">
            <v>S-Frame</v>
          </cell>
          <cell r="M2147" t="str">
            <v>S-フレーム</v>
          </cell>
          <cell r="P2147" t="str">
            <v>31B0</v>
          </cell>
          <cell r="Q2147" t="str">
            <v>SS400</v>
          </cell>
          <cell r="R2147" t="str">
            <v>E389458_01</v>
          </cell>
          <cell r="S2147">
            <v>514</v>
          </cell>
          <cell r="T2147" t="str">
            <v>標準</v>
          </cell>
        </row>
        <row r="2148">
          <cell r="F2148" t="str">
            <v>H0000108344</v>
          </cell>
          <cell r="I2148" t="str">
            <v>フレーム</v>
          </cell>
          <cell r="J2148" t="str">
            <v>S-Frame_SX-40_N_TTTT</v>
          </cell>
          <cell r="K2148" t="str">
            <v>S-フレーム_SX-40_N_TTTT</v>
          </cell>
          <cell r="L2148" t="str">
            <v>S-Frame</v>
          </cell>
          <cell r="M2148" t="str">
            <v>S-フレーム</v>
          </cell>
          <cell r="P2148" t="str">
            <v>31B0</v>
          </cell>
          <cell r="Q2148" t="str">
            <v>SS400</v>
          </cell>
          <cell r="R2148" t="str">
            <v>E389458_01</v>
          </cell>
          <cell r="S2148">
            <v>514</v>
          </cell>
          <cell r="T2148" t="str">
            <v>標準</v>
          </cell>
        </row>
        <row r="2149">
          <cell r="F2149" t="str">
            <v>H0000108345</v>
          </cell>
          <cell r="I2149" t="str">
            <v>フレーム</v>
          </cell>
          <cell r="J2149" t="str">
            <v>S-Frame_SX-40_N_TTTT</v>
          </cell>
          <cell r="K2149" t="str">
            <v>S-フレーム_SX-40_N_TTTT</v>
          </cell>
          <cell r="L2149" t="str">
            <v>S-Frame</v>
          </cell>
          <cell r="M2149" t="str">
            <v>S-フレーム</v>
          </cell>
          <cell r="P2149" t="str">
            <v>31B0</v>
          </cell>
          <cell r="Q2149" t="str">
            <v>SS400</v>
          </cell>
          <cell r="R2149" t="str">
            <v>E389458_01</v>
          </cell>
          <cell r="S2149">
            <v>514</v>
          </cell>
          <cell r="T2149" t="str">
            <v>標準</v>
          </cell>
        </row>
        <row r="2150">
          <cell r="F2150" t="str">
            <v>H0000108346</v>
          </cell>
          <cell r="I2150" t="str">
            <v>フレーム</v>
          </cell>
          <cell r="J2150" t="str">
            <v>S-Frame_SX-40_N_TTTT</v>
          </cell>
          <cell r="K2150" t="str">
            <v>S-フレーム_SX-40_N_TTTT</v>
          </cell>
          <cell r="L2150" t="str">
            <v>S-Frame</v>
          </cell>
          <cell r="M2150" t="str">
            <v>S-フレーム</v>
          </cell>
          <cell r="P2150" t="str">
            <v>31B0</v>
          </cell>
          <cell r="Q2150" t="str">
            <v>SS400</v>
          </cell>
          <cell r="R2150" t="str">
            <v>E389458_01</v>
          </cell>
          <cell r="S2150">
            <v>514</v>
          </cell>
          <cell r="T2150" t="str">
            <v>標準</v>
          </cell>
        </row>
        <row r="2151">
          <cell r="F2151" t="str">
            <v>H0000108347</v>
          </cell>
          <cell r="I2151" t="str">
            <v>フレーム</v>
          </cell>
          <cell r="J2151" t="str">
            <v>S-Frame_SX-40_N_TTTT</v>
          </cell>
          <cell r="K2151" t="str">
            <v>S-フレーム_SX-40_N_TTTT</v>
          </cell>
          <cell r="L2151" t="str">
            <v>S-Frame</v>
          </cell>
          <cell r="M2151" t="str">
            <v>S-フレーム</v>
          </cell>
          <cell r="P2151" t="str">
            <v>31B0</v>
          </cell>
          <cell r="Q2151" t="str">
            <v>SS400</v>
          </cell>
          <cell r="R2151" t="str">
            <v>E389458_01</v>
          </cell>
          <cell r="S2151">
            <v>514</v>
          </cell>
          <cell r="T2151" t="str">
            <v>標準</v>
          </cell>
        </row>
        <row r="2152">
          <cell r="F2152" t="str">
            <v>H0000108348</v>
          </cell>
          <cell r="I2152" t="str">
            <v>フレーム</v>
          </cell>
          <cell r="J2152" t="str">
            <v>S-Frame_SX-40_N_TTTT</v>
          </cell>
          <cell r="K2152" t="str">
            <v>S-フレーム_SX-40_N_TTTT</v>
          </cell>
          <cell r="L2152" t="str">
            <v>S-Frame</v>
          </cell>
          <cell r="M2152" t="str">
            <v>S-フレーム</v>
          </cell>
          <cell r="P2152" t="str">
            <v>31B0</v>
          </cell>
          <cell r="Q2152" t="str">
            <v>SS400</v>
          </cell>
          <cell r="R2152" t="str">
            <v>E389458_01</v>
          </cell>
          <cell r="S2152">
            <v>514</v>
          </cell>
          <cell r="T2152" t="str">
            <v>標準</v>
          </cell>
        </row>
        <row r="2153">
          <cell r="F2153" t="str">
            <v>H0000108349</v>
          </cell>
          <cell r="I2153" t="str">
            <v>フレーム</v>
          </cell>
          <cell r="J2153" t="str">
            <v>S-Frame_SX-40_N_TTTT</v>
          </cell>
          <cell r="K2153" t="str">
            <v>S-フレーム_SX-40_N_TTTT</v>
          </cell>
          <cell r="L2153" t="str">
            <v>S-Frame</v>
          </cell>
          <cell r="M2153" t="str">
            <v>S-フレーム</v>
          </cell>
          <cell r="P2153" t="str">
            <v>31B0</v>
          </cell>
          <cell r="Q2153" t="str">
            <v>SS400</v>
          </cell>
          <cell r="R2153" t="str">
            <v>E389458_01</v>
          </cell>
          <cell r="S2153">
            <v>514</v>
          </cell>
          <cell r="T2153" t="str">
            <v>標準</v>
          </cell>
        </row>
        <row r="2154">
          <cell r="F2154" t="str">
            <v>H0000108350</v>
          </cell>
          <cell r="I2154" t="str">
            <v>フレーム</v>
          </cell>
          <cell r="J2154" t="str">
            <v>S-Frame_SX-40_N_TTTT</v>
          </cell>
          <cell r="K2154" t="str">
            <v>S-フレーム_SX-40_N_TTTT</v>
          </cell>
          <cell r="L2154" t="str">
            <v>S-Frame</v>
          </cell>
          <cell r="M2154" t="str">
            <v>S-フレーム</v>
          </cell>
          <cell r="P2154" t="str">
            <v>31B0</v>
          </cell>
          <cell r="Q2154" t="str">
            <v>SS400</v>
          </cell>
          <cell r="R2154" t="str">
            <v>E389458_01</v>
          </cell>
          <cell r="S2154">
            <v>514</v>
          </cell>
          <cell r="T2154" t="str">
            <v>標準</v>
          </cell>
        </row>
        <row r="2155">
          <cell r="F2155" t="str">
            <v>H0000108351</v>
          </cell>
          <cell r="I2155" t="str">
            <v>フレーム</v>
          </cell>
          <cell r="J2155" t="str">
            <v>S-Frame_SX-40_N_TTTT</v>
          </cell>
          <cell r="K2155" t="str">
            <v>S-フレーム_SX-40_N_TTTT</v>
          </cell>
          <cell r="L2155" t="str">
            <v>S-Frame</v>
          </cell>
          <cell r="M2155" t="str">
            <v>S-フレーム</v>
          </cell>
          <cell r="P2155" t="str">
            <v>31B0</v>
          </cell>
          <cell r="Q2155" t="str">
            <v>SS400</v>
          </cell>
          <cell r="R2155" t="str">
            <v>E389458_01</v>
          </cell>
          <cell r="S2155">
            <v>514</v>
          </cell>
          <cell r="T2155" t="str">
            <v>標準</v>
          </cell>
        </row>
        <row r="2156">
          <cell r="F2156" t="str">
            <v>H0000108352</v>
          </cell>
          <cell r="I2156" t="str">
            <v>フレーム</v>
          </cell>
          <cell r="J2156" t="str">
            <v>S-Frame_SX-40_N_TTTT</v>
          </cell>
          <cell r="K2156" t="str">
            <v>S-フレーム_SX-40_N_TTTT</v>
          </cell>
          <cell r="L2156" t="str">
            <v>S-Frame</v>
          </cell>
          <cell r="M2156" t="str">
            <v>S-フレーム</v>
          </cell>
          <cell r="P2156" t="str">
            <v>31B0</v>
          </cell>
          <cell r="Q2156" t="str">
            <v>SS400</v>
          </cell>
          <cell r="R2156" t="str">
            <v>E389458_01</v>
          </cell>
          <cell r="S2156">
            <v>514</v>
          </cell>
          <cell r="T2156" t="str">
            <v>標準</v>
          </cell>
        </row>
        <row r="2157">
          <cell r="F2157" t="str">
            <v>H0000108353</v>
          </cell>
          <cell r="I2157" t="str">
            <v>フレーム</v>
          </cell>
          <cell r="J2157" t="str">
            <v>S-Frame_SX-40_N_TTTT</v>
          </cell>
          <cell r="K2157" t="str">
            <v>S-フレーム_SX-40_N_TTTT</v>
          </cell>
          <cell r="L2157" t="str">
            <v>S-Frame</v>
          </cell>
          <cell r="M2157" t="str">
            <v>S-フレーム</v>
          </cell>
          <cell r="P2157" t="str">
            <v>31B0</v>
          </cell>
          <cell r="Q2157" t="str">
            <v>SS400</v>
          </cell>
          <cell r="R2157" t="str">
            <v>E389458_01</v>
          </cell>
          <cell r="S2157">
            <v>514</v>
          </cell>
          <cell r="T2157" t="str">
            <v>標準</v>
          </cell>
        </row>
        <row r="2158">
          <cell r="F2158" t="str">
            <v>H0000108354</v>
          </cell>
          <cell r="I2158" t="str">
            <v>フレーム</v>
          </cell>
          <cell r="J2158" t="str">
            <v>S-Frame_SX-40_N_TTTT</v>
          </cell>
          <cell r="K2158" t="str">
            <v>S-フレーム_SX-40_N_TTTT</v>
          </cell>
          <cell r="L2158" t="str">
            <v>S-Frame</v>
          </cell>
          <cell r="M2158" t="str">
            <v>S-フレーム</v>
          </cell>
          <cell r="P2158" t="str">
            <v>31B0</v>
          </cell>
          <cell r="Q2158" t="str">
            <v>SS400</v>
          </cell>
          <cell r="R2158" t="str">
            <v>E389458_01</v>
          </cell>
          <cell r="S2158">
            <v>514</v>
          </cell>
          <cell r="T2158" t="str">
            <v>標準</v>
          </cell>
        </row>
        <row r="2159">
          <cell r="F2159" t="str">
            <v>H0000108355</v>
          </cell>
          <cell r="I2159" t="str">
            <v>フレーム</v>
          </cell>
          <cell r="J2159" t="str">
            <v>S-Frame_SX-40_N_TKTK</v>
          </cell>
          <cell r="K2159" t="str">
            <v>S-フレーム_SX-40_N_TKTK</v>
          </cell>
          <cell r="L2159" t="str">
            <v>S-Frame</v>
          </cell>
          <cell r="M2159" t="str">
            <v>S-フレーム</v>
          </cell>
          <cell r="P2159" t="str">
            <v>31B0</v>
          </cell>
          <cell r="Q2159" t="str">
            <v>SS400</v>
          </cell>
          <cell r="R2159" t="str">
            <v>E389458_01</v>
          </cell>
          <cell r="S2159">
            <v>514</v>
          </cell>
          <cell r="T2159" t="str">
            <v>標準</v>
          </cell>
        </row>
        <row r="2160">
          <cell r="F2160" t="str">
            <v>H0000108356</v>
          </cell>
          <cell r="I2160" t="str">
            <v>フレーム</v>
          </cell>
          <cell r="J2160" t="str">
            <v>S-Frame_SX-40_N_TKTK</v>
          </cell>
          <cell r="K2160" t="str">
            <v>S-フレーム_SX-40_N_TKTK</v>
          </cell>
          <cell r="L2160" t="str">
            <v>S-Frame</v>
          </cell>
          <cell r="M2160" t="str">
            <v>S-フレーム</v>
          </cell>
          <cell r="P2160" t="str">
            <v>31B0</v>
          </cell>
          <cell r="Q2160" t="str">
            <v>SS400</v>
          </cell>
          <cell r="R2160" t="str">
            <v>E389458_01</v>
          </cell>
          <cell r="S2160">
            <v>514</v>
          </cell>
          <cell r="T2160" t="str">
            <v>標準</v>
          </cell>
        </row>
        <row r="2161">
          <cell r="F2161" t="str">
            <v>H0000108357</v>
          </cell>
          <cell r="I2161" t="str">
            <v>フレーム</v>
          </cell>
          <cell r="J2161" t="str">
            <v>S-Frame_SX-40_N_TKTK</v>
          </cell>
          <cell r="K2161" t="str">
            <v>S-フレーム_SX-40_N_TKTK</v>
          </cell>
          <cell r="L2161" t="str">
            <v>S-Frame</v>
          </cell>
          <cell r="M2161" t="str">
            <v>S-フレーム</v>
          </cell>
          <cell r="P2161" t="str">
            <v>31B0</v>
          </cell>
          <cell r="Q2161" t="str">
            <v>SS400</v>
          </cell>
          <cell r="R2161" t="str">
            <v>E389458_01</v>
          </cell>
          <cell r="S2161">
            <v>514</v>
          </cell>
          <cell r="T2161" t="str">
            <v>標準</v>
          </cell>
        </row>
        <row r="2162">
          <cell r="F2162" t="str">
            <v>H0000108358</v>
          </cell>
          <cell r="I2162" t="str">
            <v>フレーム</v>
          </cell>
          <cell r="J2162" t="str">
            <v>S-Frame_SX-40_N_TKTK</v>
          </cell>
          <cell r="K2162" t="str">
            <v>S-フレーム_SX-40_N_TKTK</v>
          </cell>
          <cell r="L2162" t="str">
            <v>S-Frame</v>
          </cell>
          <cell r="M2162" t="str">
            <v>S-フレーム</v>
          </cell>
          <cell r="P2162" t="str">
            <v>31B0</v>
          </cell>
          <cell r="Q2162" t="str">
            <v>SS400</v>
          </cell>
          <cell r="R2162" t="str">
            <v>E389458_01</v>
          </cell>
          <cell r="S2162">
            <v>514</v>
          </cell>
          <cell r="T2162" t="str">
            <v>標準</v>
          </cell>
        </row>
        <row r="2163">
          <cell r="F2163" t="str">
            <v>H0000108359</v>
          </cell>
          <cell r="I2163" t="str">
            <v>フレーム</v>
          </cell>
          <cell r="J2163" t="str">
            <v>S-Frame_SX-40_N_TKTK</v>
          </cell>
          <cell r="K2163" t="str">
            <v>S-フレーム_SX-40_N_TKTK</v>
          </cell>
          <cell r="L2163" t="str">
            <v>S-Frame</v>
          </cell>
          <cell r="M2163" t="str">
            <v>S-フレーム</v>
          </cell>
          <cell r="P2163" t="str">
            <v>31B0</v>
          </cell>
          <cell r="Q2163" t="str">
            <v>SS400</v>
          </cell>
          <cell r="R2163" t="str">
            <v>E389458_01</v>
          </cell>
          <cell r="S2163">
            <v>514</v>
          </cell>
          <cell r="T2163" t="str">
            <v>標準</v>
          </cell>
        </row>
        <row r="2164">
          <cell r="F2164" t="str">
            <v>H0000108360</v>
          </cell>
          <cell r="I2164" t="str">
            <v>フレーム</v>
          </cell>
          <cell r="J2164" t="str">
            <v>S-Frame_SX-40_N_TKTK</v>
          </cell>
          <cell r="K2164" t="str">
            <v>S-フレーム_SX-40_N_TKTK</v>
          </cell>
          <cell r="L2164" t="str">
            <v>S-Frame</v>
          </cell>
          <cell r="M2164" t="str">
            <v>S-フレーム</v>
          </cell>
          <cell r="P2164" t="str">
            <v>31B0</v>
          </cell>
          <cell r="Q2164" t="str">
            <v>SS400</v>
          </cell>
          <cell r="R2164" t="str">
            <v>E389458_01</v>
          </cell>
          <cell r="S2164">
            <v>514</v>
          </cell>
          <cell r="T2164" t="str">
            <v>標準</v>
          </cell>
        </row>
        <row r="2165">
          <cell r="F2165" t="str">
            <v>H0000108361</v>
          </cell>
          <cell r="I2165" t="str">
            <v>フレーム</v>
          </cell>
          <cell r="J2165" t="str">
            <v>S-Frame_SX-40_N_TKTK</v>
          </cell>
          <cell r="K2165" t="str">
            <v>S-フレーム_SX-40_N_TKTK</v>
          </cell>
          <cell r="L2165" t="str">
            <v>S-Frame</v>
          </cell>
          <cell r="M2165" t="str">
            <v>S-フレーム</v>
          </cell>
          <cell r="P2165" t="str">
            <v>31B0</v>
          </cell>
          <cell r="Q2165" t="str">
            <v>SS400</v>
          </cell>
          <cell r="R2165" t="str">
            <v>E389458_01</v>
          </cell>
          <cell r="S2165">
            <v>514</v>
          </cell>
          <cell r="T2165" t="str">
            <v>標準</v>
          </cell>
        </row>
        <row r="2166">
          <cell r="F2166" t="str">
            <v>H0000108362</v>
          </cell>
          <cell r="I2166" t="str">
            <v>フレーム</v>
          </cell>
          <cell r="J2166" t="str">
            <v>S-Frame_SX-40_N_TKTK</v>
          </cell>
          <cell r="K2166" t="str">
            <v>S-フレーム_SX-40_N_TKTK</v>
          </cell>
          <cell r="L2166" t="str">
            <v>S-Frame</v>
          </cell>
          <cell r="M2166" t="str">
            <v>S-フレーム</v>
          </cell>
          <cell r="P2166" t="str">
            <v>31B0</v>
          </cell>
          <cell r="Q2166" t="str">
            <v>SS400</v>
          </cell>
          <cell r="R2166" t="str">
            <v>E389458_01</v>
          </cell>
          <cell r="S2166">
            <v>514</v>
          </cell>
          <cell r="T2166" t="str">
            <v>標準</v>
          </cell>
        </row>
        <row r="2167">
          <cell r="F2167" t="str">
            <v>H0000108363</v>
          </cell>
          <cell r="I2167" t="str">
            <v>フレーム</v>
          </cell>
          <cell r="J2167" t="str">
            <v>S-Frame_SX-40_N_TKTK</v>
          </cell>
          <cell r="K2167" t="str">
            <v>S-フレーム_SX-40_N_TKTK</v>
          </cell>
          <cell r="L2167" t="str">
            <v>S-Frame</v>
          </cell>
          <cell r="M2167" t="str">
            <v>S-フレーム</v>
          </cell>
          <cell r="P2167" t="str">
            <v>31B0</v>
          </cell>
          <cell r="Q2167" t="str">
            <v>SS400</v>
          </cell>
          <cell r="R2167" t="str">
            <v>E389458_01</v>
          </cell>
          <cell r="S2167">
            <v>514</v>
          </cell>
          <cell r="T2167" t="str">
            <v>標準</v>
          </cell>
        </row>
        <row r="2168">
          <cell r="F2168" t="str">
            <v>H0000108364</v>
          </cell>
          <cell r="I2168" t="str">
            <v>フレーム</v>
          </cell>
          <cell r="J2168" t="str">
            <v>S-Frame_SX-40_N_TKTK</v>
          </cell>
          <cell r="K2168" t="str">
            <v>S-フレーム_SX-40_N_TKTK</v>
          </cell>
          <cell r="L2168" t="str">
            <v>S-Frame</v>
          </cell>
          <cell r="M2168" t="str">
            <v>S-フレーム</v>
          </cell>
          <cell r="P2168" t="str">
            <v>31B0</v>
          </cell>
          <cell r="Q2168" t="str">
            <v>SS400</v>
          </cell>
          <cell r="R2168" t="str">
            <v>E389458_01</v>
          </cell>
          <cell r="S2168">
            <v>514</v>
          </cell>
          <cell r="T2168" t="str">
            <v>標準</v>
          </cell>
        </row>
        <row r="2169">
          <cell r="F2169" t="str">
            <v>H0000108365</v>
          </cell>
          <cell r="I2169" t="str">
            <v>フレーム</v>
          </cell>
          <cell r="J2169" t="str">
            <v>S-Frame_SX-40_N_TKTK</v>
          </cell>
          <cell r="K2169" t="str">
            <v>S-フレーム_SX-40_N_TKTK</v>
          </cell>
          <cell r="L2169" t="str">
            <v>S-Frame</v>
          </cell>
          <cell r="M2169" t="str">
            <v>S-フレーム</v>
          </cell>
          <cell r="P2169" t="str">
            <v>31B0</v>
          </cell>
          <cell r="Q2169" t="str">
            <v>SS400</v>
          </cell>
          <cell r="R2169" t="str">
            <v>E389458_01</v>
          </cell>
          <cell r="S2169">
            <v>514</v>
          </cell>
          <cell r="T2169" t="str">
            <v>標準</v>
          </cell>
        </row>
        <row r="2170">
          <cell r="F2170" t="str">
            <v>H0000108366</v>
          </cell>
          <cell r="I2170" t="str">
            <v>フレーム</v>
          </cell>
          <cell r="J2170" t="str">
            <v>S-Frame_SX-40_N_TKTK</v>
          </cell>
          <cell r="K2170" t="str">
            <v>S-フレーム_SX-40_N_TKTK</v>
          </cell>
          <cell r="L2170" t="str">
            <v>S-Frame</v>
          </cell>
          <cell r="M2170" t="str">
            <v>S-フレーム</v>
          </cell>
          <cell r="P2170" t="str">
            <v>31B0</v>
          </cell>
          <cell r="Q2170" t="str">
            <v>SS400</v>
          </cell>
          <cell r="R2170" t="str">
            <v>E389458_01</v>
          </cell>
          <cell r="S2170">
            <v>514</v>
          </cell>
          <cell r="T2170" t="str">
            <v>標準</v>
          </cell>
        </row>
        <row r="2171">
          <cell r="F2171" t="str">
            <v>H0000108367</v>
          </cell>
          <cell r="I2171" t="str">
            <v>フレーム</v>
          </cell>
          <cell r="J2171" t="str">
            <v>S-Frame_SX-40_N_TKTK</v>
          </cell>
          <cell r="K2171" t="str">
            <v>S-フレーム_SX-40_N_TKTK</v>
          </cell>
          <cell r="L2171" t="str">
            <v>S-Frame</v>
          </cell>
          <cell r="M2171" t="str">
            <v>S-フレーム</v>
          </cell>
          <cell r="P2171" t="str">
            <v>31B0</v>
          </cell>
          <cell r="Q2171" t="str">
            <v>SS400</v>
          </cell>
          <cell r="R2171" t="str">
            <v>E389458_01</v>
          </cell>
          <cell r="S2171">
            <v>514</v>
          </cell>
          <cell r="T2171" t="str">
            <v>標準</v>
          </cell>
        </row>
        <row r="2172">
          <cell r="F2172" t="str">
            <v>H0000108368</v>
          </cell>
          <cell r="I2172" t="str">
            <v>フレーム</v>
          </cell>
          <cell r="J2172" t="str">
            <v>S-Frame_SX-40_N_TKTK</v>
          </cell>
          <cell r="K2172" t="str">
            <v>S-フレーム_SX-40_N_TKTK</v>
          </cell>
          <cell r="L2172" t="str">
            <v>S-Frame</v>
          </cell>
          <cell r="M2172" t="str">
            <v>S-フレーム</v>
          </cell>
          <cell r="P2172" t="str">
            <v>31B0</v>
          </cell>
          <cell r="Q2172" t="str">
            <v>SS400</v>
          </cell>
          <cell r="R2172" t="str">
            <v>E389458_01</v>
          </cell>
          <cell r="S2172">
            <v>514</v>
          </cell>
          <cell r="T2172" t="str">
            <v>標準</v>
          </cell>
        </row>
        <row r="2173">
          <cell r="F2173" t="str">
            <v>H0000108369</v>
          </cell>
          <cell r="I2173" t="str">
            <v>フレーム</v>
          </cell>
          <cell r="J2173" t="str">
            <v>S-Frame_SX-40_N_TKTK</v>
          </cell>
          <cell r="K2173" t="str">
            <v>S-フレーム_SX-40_N_TKTK</v>
          </cell>
          <cell r="L2173" t="str">
            <v>S-Frame</v>
          </cell>
          <cell r="M2173" t="str">
            <v>S-フレーム</v>
          </cell>
          <cell r="P2173" t="str">
            <v>31B0</v>
          </cell>
          <cell r="Q2173" t="str">
            <v>SS400</v>
          </cell>
          <cell r="R2173" t="str">
            <v>E389458_01</v>
          </cell>
          <cell r="S2173">
            <v>514</v>
          </cell>
          <cell r="T2173" t="str">
            <v>標準</v>
          </cell>
        </row>
        <row r="2174">
          <cell r="F2174" t="str">
            <v>H0000108370</v>
          </cell>
          <cell r="I2174" t="str">
            <v>フレーム</v>
          </cell>
          <cell r="J2174" t="str">
            <v>S-Frame_SX-40_N_TKTK</v>
          </cell>
          <cell r="K2174" t="str">
            <v>S-フレーム_SX-40_N_TKTK</v>
          </cell>
          <cell r="L2174" t="str">
            <v>S-Frame</v>
          </cell>
          <cell r="M2174" t="str">
            <v>S-フレーム</v>
          </cell>
          <cell r="P2174" t="str">
            <v>31B0</v>
          </cell>
          <cell r="Q2174" t="str">
            <v>SS400</v>
          </cell>
          <cell r="R2174" t="str">
            <v>E389458_01</v>
          </cell>
          <cell r="S2174">
            <v>514</v>
          </cell>
          <cell r="T2174" t="str">
            <v>標準</v>
          </cell>
        </row>
        <row r="2175">
          <cell r="F2175" t="str">
            <v>H0000108371</v>
          </cell>
          <cell r="I2175" t="str">
            <v>フレーム</v>
          </cell>
          <cell r="J2175" t="str">
            <v>S-Frame_SX-40_N_KTKT</v>
          </cell>
          <cell r="K2175" t="str">
            <v>S-フレーム_SX-40_N_KTKT</v>
          </cell>
          <cell r="L2175" t="str">
            <v>S-Frame</v>
          </cell>
          <cell r="M2175" t="str">
            <v>S-フレーム</v>
          </cell>
          <cell r="P2175" t="str">
            <v>31B0</v>
          </cell>
          <cell r="Q2175" t="str">
            <v>SS400</v>
          </cell>
          <cell r="R2175" t="str">
            <v>E389458_01</v>
          </cell>
          <cell r="S2175">
            <v>514</v>
          </cell>
          <cell r="T2175" t="str">
            <v>標準</v>
          </cell>
        </row>
        <row r="2176">
          <cell r="F2176" t="str">
            <v>H0000108372</v>
          </cell>
          <cell r="I2176" t="str">
            <v>フレーム</v>
          </cell>
          <cell r="J2176" t="str">
            <v>S-Frame_SX-40_N_KTKT</v>
          </cell>
          <cell r="K2176" t="str">
            <v>S-フレーム_SX-40_N_KTKT</v>
          </cell>
          <cell r="L2176" t="str">
            <v>S-Frame</v>
          </cell>
          <cell r="M2176" t="str">
            <v>S-フレーム</v>
          </cell>
          <cell r="P2176" t="str">
            <v>31B0</v>
          </cell>
          <cell r="Q2176" t="str">
            <v>SS400</v>
          </cell>
          <cell r="R2176" t="str">
            <v>E389458_01</v>
          </cell>
          <cell r="S2176">
            <v>514</v>
          </cell>
          <cell r="T2176" t="str">
            <v>標準</v>
          </cell>
        </row>
        <row r="2177">
          <cell r="F2177" t="str">
            <v>H0000108373</v>
          </cell>
          <cell r="I2177" t="str">
            <v>フレーム</v>
          </cell>
          <cell r="J2177" t="str">
            <v>S-Frame_SX-40_N_KTKT</v>
          </cell>
          <cell r="K2177" t="str">
            <v>S-フレーム_SX-40_N_KTKT</v>
          </cell>
          <cell r="L2177" t="str">
            <v>S-Frame</v>
          </cell>
          <cell r="M2177" t="str">
            <v>S-フレーム</v>
          </cell>
          <cell r="P2177" t="str">
            <v>31B0</v>
          </cell>
          <cell r="Q2177" t="str">
            <v>SS400</v>
          </cell>
          <cell r="R2177" t="str">
            <v>E389458_01</v>
          </cell>
          <cell r="S2177">
            <v>514</v>
          </cell>
          <cell r="T2177" t="str">
            <v>標準</v>
          </cell>
        </row>
        <row r="2178">
          <cell r="F2178" t="str">
            <v>H0000108374</v>
          </cell>
          <cell r="I2178" t="str">
            <v>フレーム</v>
          </cell>
          <cell r="J2178" t="str">
            <v>S-Frame_SX-40_N_KTKT</v>
          </cell>
          <cell r="K2178" t="str">
            <v>S-フレーム_SX-40_N_KTKT</v>
          </cell>
          <cell r="L2178" t="str">
            <v>S-Frame</v>
          </cell>
          <cell r="M2178" t="str">
            <v>S-フレーム</v>
          </cell>
          <cell r="P2178" t="str">
            <v>31B0</v>
          </cell>
          <cell r="Q2178" t="str">
            <v>SS400</v>
          </cell>
          <cell r="R2178" t="str">
            <v>E389458_01</v>
          </cell>
          <cell r="S2178">
            <v>514</v>
          </cell>
          <cell r="T2178" t="str">
            <v>標準</v>
          </cell>
        </row>
        <row r="2179">
          <cell r="F2179" t="str">
            <v>H0000108375</v>
          </cell>
          <cell r="I2179" t="str">
            <v>フレーム</v>
          </cell>
          <cell r="J2179" t="str">
            <v>S-Frame_SX-40_N_KTKT</v>
          </cell>
          <cell r="K2179" t="str">
            <v>S-フレーム_SX-40_N_KTKT</v>
          </cell>
          <cell r="L2179" t="str">
            <v>S-Frame</v>
          </cell>
          <cell r="M2179" t="str">
            <v>S-フレーム</v>
          </cell>
          <cell r="P2179" t="str">
            <v>31B0</v>
          </cell>
          <cell r="Q2179" t="str">
            <v>SS400</v>
          </cell>
          <cell r="R2179" t="str">
            <v>E389458_01</v>
          </cell>
          <cell r="S2179">
            <v>514</v>
          </cell>
          <cell r="T2179" t="str">
            <v>標準</v>
          </cell>
        </row>
        <row r="2180">
          <cell r="F2180" t="str">
            <v>H0000108376</v>
          </cell>
          <cell r="I2180" t="str">
            <v>フレーム</v>
          </cell>
          <cell r="J2180" t="str">
            <v>S-Frame_SX-40_N_KTKT</v>
          </cell>
          <cell r="K2180" t="str">
            <v>S-フレーム_SX-40_N_KTKT</v>
          </cell>
          <cell r="L2180" t="str">
            <v>S-Frame</v>
          </cell>
          <cell r="M2180" t="str">
            <v>S-フレーム</v>
          </cell>
          <cell r="P2180" t="str">
            <v>31B0</v>
          </cell>
          <cell r="Q2180" t="str">
            <v>SS400</v>
          </cell>
          <cell r="R2180" t="str">
            <v>E389458_01</v>
          </cell>
          <cell r="S2180">
            <v>514</v>
          </cell>
          <cell r="T2180" t="str">
            <v>標準</v>
          </cell>
        </row>
        <row r="2181">
          <cell r="F2181" t="str">
            <v>H0000108377</v>
          </cell>
          <cell r="I2181" t="str">
            <v>フレーム</v>
          </cell>
          <cell r="J2181" t="str">
            <v>S-Frame_SX-40_N_KTKT</v>
          </cell>
          <cell r="K2181" t="str">
            <v>S-フレーム_SX-40_N_KTKT</v>
          </cell>
          <cell r="L2181" t="str">
            <v>S-Frame</v>
          </cell>
          <cell r="M2181" t="str">
            <v>S-フレーム</v>
          </cell>
          <cell r="P2181" t="str">
            <v>31B0</v>
          </cell>
          <cell r="Q2181" t="str">
            <v>SS400</v>
          </cell>
          <cell r="R2181" t="str">
            <v>E389458_01</v>
          </cell>
          <cell r="S2181">
            <v>514</v>
          </cell>
          <cell r="T2181" t="str">
            <v>標準</v>
          </cell>
        </row>
        <row r="2182">
          <cell r="F2182" t="str">
            <v>H0000108378</v>
          </cell>
          <cell r="I2182" t="str">
            <v>フレーム</v>
          </cell>
          <cell r="J2182" t="str">
            <v>S-Frame_SX-40_N_KTKT</v>
          </cell>
          <cell r="K2182" t="str">
            <v>S-フレーム_SX-40_N_KTKT</v>
          </cell>
          <cell r="L2182" t="str">
            <v>S-Frame</v>
          </cell>
          <cell r="M2182" t="str">
            <v>S-フレーム</v>
          </cell>
          <cell r="P2182" t="str">
            <v>31B0</v>
          </cell>
          <cell r="Q2182" t="str">
            <v>SS400</v>
          </cell>
          <cell r="R2182" t="str">
            <v>E389458_01</v>
          </cell>
          <cell r="S2182">
            <v>514</v>
          </cell>
          <cell r="T2182" t="str">
            <v>標準</v>
          </cell>
        </row>
        <row r="2183">
          <cell r="F2183" t="str">
            <v>H0000108379</v>
          </cell>
          <cell r="I2183" t="str">
            <v>フレーム</v>
          </cell>
          <cell r="J2183" t="str">
            <v>S-Frame_SX-40_N_KTKT</v>
          </cell>
          <cell r="K2183" t="str">
            <v>S-フレーム_SX-40_N_KTKT</v>
          </cell>
          <cell r="L2183" t="str">
            <v>S-Frame</v>
          </cell>
          <cell r="M2183" t="str">
            <v>S-フレーム</v>
          </cell>
          <cell r="P2183" t="str">
            <v>31B0</v>
          </cell>
          <cell r="Q2183" t="str">
            <v>SS400</v>
          </cell>
          <cell r="R2183" t="str">
            <v>E389458_01</v>
          </cell>
          <cell r="S2183">
            <v>514</v>
          </cell>
          <cell r="T2183" t="str">
            <v>標準</v>
          </cell>
        </row>
        <row r="2184">
          <cell r="F2184" t="str">
            <v>H0000108380</v>
          </cell>
          <cell r="I2184" t="str">
            <v>フレーム</v>
          </cell>
          <cell r="J2184" t="str">
            <v>S-Frame_SX-40_N_KTKT</v>
          </cell>
          <cell r="K2184" t="str">
            <v>S-フレーム_SX-40_N_KTKT</v>
          </cell>
          <cell r="L2184" t="str">
            <v>S-Frame</v>
          </cell>
          <cell r="M2184" t="str">
            <v>S-フレーム</v>
          </cell>
          <cell r="P2184" t="str">
            <v>31B0</v>
          </cell>
          <cell r="Q2184" t="str">
            <v>SS400</v>
          </cell>
          <cell r="R2184" t="str">
            <v>E389458_01</v>
          </cell>
          <cell r="S2184">
            <v>514</v>
          </cell>
          <cell r="T2184" t="str">
            <v>標準</v>
          </cell>
        </row>
        <row r="2185">
          <cell r="F2185" t="str">
            <v>H0000108381</v>
          </cell>
          <cell r="I2185" t="str">
            <v>フレーム</v>
          </cell>
          <cell r="J2185" t="str">
            <v>S-Frame_SX-40_N_KTKT</v>
          </cell>
          <cell r="K2185" t="str">
            <v>S-フレーム_SX-40_N_KTKT</v>
          </cell>
          <cell r="L2185" t="str">
            <v>S-Frame</v>
          </cell>
          <cell r="M2185" t="str">
            <v>S-フレーム</v>
          </cell>
          <cell r="P2185" t="str">
            <v>31B0</v>
          </cell>
          <cell r="Q2185" t="str">
            <v>SS400</v>
          </cell>
          <cell r="R2185" t="str">
            <v>E389458_01</v>
          </cell>
          <cell r="S2185">
            <v>514</v>
          </cell>
          <cell r="T2185" t="str">
            <v>標準</v>
          </cell>
        </row>
        <row r="2186">
          <cell r="F2186" t="str">
            <v>H0000108382</v>
          </cell>
          <cell r="I2186" t="str">
            <v>フレーム</v>
          </cell>
          <cell r="J2186" t="str">
            <v>S-Frame_SX-40_N_KTKT</v>
          </cell>
          <cell r="K2186" t="str">
            <v>S-フレーム_SX-40_N_KTKT</v>
          </cell>
          <cell r="L2186" t="str">
            <v>S-Frame</v>
          </cell>
          <cell r="M2186" t="str">
            <v>S-フレーム</v>
          </cell>
          <cell r="P2186" t="str">
            <v>31B0</v>
          </cell>
          <cell r="Q2186" t="str">
            <v>SS400</v>
          </cell>
          <cell r="R2186" t="str">
            <v>E389458_01</v>
          </cell>
          <cell r="S2186">
            <v>514</v>
          </cell>
          <cell r="T2186" t="str">
            <v>標準</v>
          </cell>
        </row>
        <row r="2187">
          <cell r="F2187" t="str">
            <v>H0000108383</v>
          </cell>
          <cell r="I2187" t="str">
            <v>フレーム</v>
          </cell>
          <cell r="J2187" t="str">
            <v>S-Frame_SX-40_N_KTKT</v>
          </cell>
          <cell r="K2187" t="str">
            <v>S-フレーム_SX-40_N_KTKT</v>
          </cell>
          <cell r="L2187" t="str">
            <v>S-Frame</v>
          </cell>
          <cell r="M2187" t="str">
            <v>S-フレーム</v>
          </cell>
          <cell r="P2187" t="str">
            <v>31B0</v>
          </cell>
          <cell r="Q2187" t="str">
            <v>SS400</v>
          </cell>
          <cell r="R2187" t="str">
            <v>E389458_01</v>
          </cell>
          <cell r="S2187">
            <v>514</v>
          </cell>
          <cell r="T2187" t="str">
            <v>標準</v>
          </cell>
        </row>
        <row r="2188">
          <cell r="F2188" t="str">
            <v>H0000108384</v>
          </cell>
          <cell r="I2188" t="str">
            <v>フレーム</v>
          </cell>
          <cell r="J2188" t="str">
            <v>S-Frame_SX-40_N_KTKT</v>
          </cell>
          <cell r="K2188" t="str">
            <v>S-フレーム_SX-40_N_KTKT</v>
          </cell>
          <cell r="L2188" t="str">
            <v>S-Frame</v>
          </cell>
          <cell r="M2188" t="str">
            <v>S-フレーム</v>
          </cell>
          <cell r="P2188" t="str">
            <v>31B0</v>
          </cell>
          <cell r="Q2188" t="str">
            <v>SS400</v>
          </cell>
          <cell r="R2188" t="str">
            <v>E389458_01</v>
          </cell>
          <cell r="S2188">
            <v>514</v>
          </cell>
          <cell r="T2188" t="str">
            <v>標準</v>
          </cell>
        </row>
        <row r="2189">
          <cell r="F2189" t="str">
            <v>H0000108385</v>
          </cell>
          <cell r="I2189" t="str">
            <v>フレーム</v>
          </cell>
          <cell r="J2189" t="str">
            <v>S-Frame_SX-40_N_KTKT</v>
          </cell>
          <cell r="K2189" t="str">
            <v>S-フレーム_SX-40_N_KTKT</v>
          </cell>
          <cell r="L2189" t="str">
            <v>S-Frame</v>
          </cell>
          <cell r="M2189" t="str">
            <v>S-フレーム</v>
          </cell>
          <cell r="P2189" t="str">
            <v>31B0</v>
          </cell>
          <cell r="Q2189" t="str">
            <v>SS400</v>
          </cell>
          <cell r="R2189" t="str">
            <v>E389458_01</v>
          </cell>
          <cell r="S2189">
            <v>514</v>
          </cell>
          <cell r="T2189" t="str">
            <v>標準</v>
          </cell>
        </row>
        <row r="2190">
          <cell r="F2190" t="str">
            <v>H0000108386</v>
          </cell>
          <cell r="I2190" t="str">
            <v>フレーム</v>
          </cell>
          <cell r="J2190" t="str">
            <v>S-Frame_SX-40_N_KTKT</v>
          </cell>
          <cell r="K2190" t="str">
            <v>S-フレーム_SX-40_N_KTKT</v>
          </cell>
          <cell r="L2190" t="str">
            <v>S-Frame</v>
          </cell>
          <cell r="M2190" t="str">
            <v>S-フレーム</v>
          </cell>
          <cell r="P2190" t="str">
            <v>31B0</v>
          </cell>
          <cell r="Q2190" t="str">
            <v>SS400</v>
          </cell>
          <cell r="R2190" t="str">
            <v>E389458_01</v>
          </cell>
          <cell r="S2190">
            <v>514</v>
          </cell>
          <cell r="T2190" t="str">
            <v>標準</v>
          </cell>
        </row>
        <row r="2191">
          <cell r="F2191" t="str">
            <v>H0000108387</v>
          </cell>
          <cell r="I2191" t="str">
            <v>フレーム</v>
          </cell>
          <cell r="J2191" t="str">
            <v>S-Frame_SX-40_N_KKKK</v>
          </cell>
          <cell r="K2191" t="str">
            <v>S-フレーム_SX-40_N_KKKK</v>
          </cell>
          <cell r="L2191" t="str">
            <v>S-Frame</v>
          </cell>
          <cell r="M2191" t="str">
            <v>S-フレーム</v>
          </cell>
          <cell r="P2191" t="str">
            <v>31B0</v>
          </cell>
          <cell r="Q2191" t="str">
            <v>SS400</v>
          </cell>
          <cell r="R2191" t="str">
            <v>E389458_01</v>
          </cell>
          <cell r="S2191">
            <v>514</v>
          </cell>
          <cell r="T2191" t="str">
            <v>標準</v>
          </cell>
        </row>
        <row r="2192">
          <cell r="F2192" t="str">
            <v>H0000108388</v>
          </cell>
          <cell r="I2192" t="str">
            <v>フレーム</v>
          </cell>
          <cell r="J2192" t="str">
            <v>S-Frame_SX-40_N_KKKK</v>
          </cell>
          <cell r="K2192" t="str">
            <v>S-フレーム_SX-40_N_KKKK</v>
          </cell>
          <cell r="L2192" t="str">
            <v>S-Frame</v>
          </cell>
          <cell r="M2192" t="str">
            <v>S-フレーム</v>
          </cell>
          <cell r="P2192" t="str">
            <v>31B0</v>
          </cell>
          <cell r="Q2192" t="str">
            <v>SS400</v>
          </cell>
          <cell r="R2192" t="str">
            <v>E389458_01</v>
          </cell>
          <cell r="S2192">
            <v>514</v>
          </cell>
          <cell r="T2192" t="str">
            <v>標準</v>
          </cell>
        </row>
        <row r="2193">
          <cell r="F2193" t="str">
            <v>H0000108389</v>
          </cell>
          <cell r="I2193" t="str">
            <v>フレーム</v>
          </cell>
          <cell r="J2193" t="str">
            <v>S-Frame_SX-40_N_KKKK</v>
          </cell>
          <cell r="K2193" t="str">
            <v>S-フレーム_SX-40_N_KKKK</v>
          </cell>
          <cell r="L2193" t="str">
            <v>S-Frame</v>
          </cell>
          <cell r="M2193" t="str">
            <v>S-フレーム</v>
          </cell>
          <cell r="P2193" t="str">
            <v>31B0</v>
          </cell>
          <cell r="Q2193" t="str">
            <v>SS400</v>
          </cell>
          <cell r="R2193" t="str">
            <v>E389458_01</v>
          </cell>
          <cell r="S2193">
            <v>514</v>
          </cell>
          <cell r="T2193" t="str">
            <v>標準</v>
          </cell>
        </row>
        <row r="2194">
          <cell r="F2194" t="str">
            <v>H0000108390</v>
          </cell>
          <cell r="I2194" t="str">
            <v>フレーム</v>
          </cell>
          <cell r="J2194" t="str">
            <v>S-Frame_SX-40_N_KKKK</v>
          </cell>
          <cell r="K2194" t="str">
            <v>S-フレーム_SX-40_N_KKKK</v>
          </cell>
          <cell r="L2194" t="str">
            <v>S-Frame</v>
          </cell>
          <cell r="M2194" t="str">
            <v>S-フレーム</v>
          </cell>
          <cell r="P2194" t="str">
            <v>31B0</v>
          </cell>
          <cell r="Q2194" t="str">
            <v>SS400</v>
          </cell>
          <cell r="R2194" t="str">
            <v>E389458_01</v>
          </cell>
          <cell r="S2194">
            <v>514</v>
          </cell>
          <cell r="T2194" t="str">
            <v>標準</v>
          </cell>
        </row>
        <row r="2195">
          <cell r="F2195" t="str">
            <v>H0000108391</v>
          </cell>
          <cell r="I2195" t="str">
            <v>フレーム</v>
          </cell>
          <cell r="J2195" t="str">
            <v>S-Frame_SX-40_N_KKKK</v>
          </cell>
          <cell r="K2195" t="str">
            <v>S-フレーム_SX-40_N_KKKK</v>
          </cell>
          <cell r="L2195" t="str">
            <v>S-Frame</v>
          </cell>
          <cell r="M2195" t="str">
            <v>S-フレーム</v>
          </cell>
          <cell r="P2195" t="str">
            <v>31B0</v>
          </cell>
          <cell r="Q2195" t="str">
            <v>SS400</v>
          </cell>
          <cell r="R2195" t="str">
            <v>E389458_01</v>
          </cell>
          <cell r="S2195">
            <v>514</v>
          </cell>
          <cell r="T2195" t="str">
            <v>標準</v>
          </cell>
        </row>
        <row r="2196">
          <cell r="F2196" t="str">
            <v>H0000108392</v>
          </cell>
          <cell r="I2196" t="str">
            <v>フレーム</v>
          </cell>
          <cell r="J2196" t="str">
            <v>S-Frame_SX-40_N_KKKK</v>
          </cell>
          <cell r="K2196" t="str">
            <v>S-フレーム_SX-40_N_KKKK</v>
          </cell>
          <cell r="L2196" t="str">
            <v>S-Frame</v>
          </cell>
          <cell r="M2196" t="str">
            <v>S-フレーム</v>
          </cell>
          <cell r="P2196" t="str">
            <v>31B0</v>
          </cell>
          <cell r="Q2196" t="str">
            <v>SS400</v>
          </cell>
          <cell r="R2196" t="str">
            <v>E389458_01</v>
          </cell>
          <cell r="S2196">
            <v>514</v>
          </cell>
          <cell r="T2196" t="str">
            <v>標準</v>
          </cell>
        </row>
        <row r="2197">
          <cell r="F2197" t="str">
            <v>H0000108393</v>
          </cell>
          <cell r="I2197" t="str">
            <v>フレーム</v>
          </cell>
          <cell r="J2197" t="str">
            <v>S-Frame_SX-40_N_KKKK</v>
          </cell>
          <cell r="K2197" t="str">
            <v>S-フレーム_SX-40_N_KKKK</v>
          </cell>
          <cell r="L2197" t="str">
            <v>S-Frame</v>
          </cell>
          <cell r="M2197" t="str">
            <v>S-フレーム</v>
          </cell>
          <cell r="P2197" t="str">
            <v>31B0</v>
          </cell>
          <cell r="Q2197" t="str">
            <v>SS400</v>
          </cell>
          <cell r="R2197" t="str">
            <v>E389458_01</v>
          </cell>
          <cell r="S2197">
            <v>514</v>
          </cell>
          <cell r="T2197" t="str">
            <v>標準</v>
          </cell>
        </row>
        <row r="2198">
          <cell r="F2198" t="str">
            <v>H0000108394</v>
          </cell>
          <cell r="I2198" t="str">
            <v>フレーム</v>
          </cell>
          <cell r="J2198" t="str">
            <v>S-Frame_SX-40_N_KKKK</v>
          </cell>
          <cell r="K2198" t="str">
            <v>S-フレーム_SX-40_N_KKKK</v>
          </cell>
          <cell r="L2198" t="str">
            <v>S-Frame</v>
          </cell>
          <cell r="M2198" t="str">
            <v>S-フレーム</v>
          </cell>
          <cell r="P2198" t="str">
            <v>31B0</v>
          </cell>
          <cell r="Q2198" t="str">
            <v>SS400</v>
          </cell>
          <cell r="R2198" t="str">
            <v>E389458_01</v>
          </cell>
          <cell r="S2198">
            <v>514</v>
          </cell>
          <cell r="T2198" t="str">
            <v>標準</v>
          </cell>
        </row>
        <row r="2199">
          <cell r="F2199" t="str">
            <v>H0000108395</v>
          </cell>
          <cell r="I2199" t="str">
            <v>フレーム</v>
          </cell>
          <cell r="J2199" t="str">
            <v>S-Frame_SX-40_N_KKKK</v>
          </cell>
          <cell r="K2199" t="str">
            <v>S-フレーム_SX-40_N_KKKK</v>
          </cell>
          <cell r="L2199" t="str">
            <v>S-Frame</v>
          </cell>
          <cell r="M2199" t="str">
            <v>S-フレーム</v>
          </cell>
          <cell r="P2199" t="str">
            <v>31B0</v>
          </cell>
          <cell r="Q2199" t="str">
            <v>SS400</v>
          </cell>
          <cell r="R2199" t="str">
            <v>E389458_01</v>
          </cell>
          <cell r="S2199">
            <v>514</v>
          </cell>
          <cell r="T2199" t="str">
            <v>標準</v>
          </cell>
        </row>
        <row r="2200">
          <cell r="F2200" t="str">
            <v>H0000108396</v>
          </cell>
          <cell r="I2200" t="str">
            <v>フレーム</v>
          </cell>
          <cell r="J2200" t="str">
            <v>S-Frame_SX-40_N_KKKK</v>
          </cell>
          <cell r="K2200" t="str">
            <v>S-フレーム_SX-40_N_KKKK</v>
          </cell>
          <cell r="L2200" t="str">
            <v>S-Frame</v>
          </cell>
          <cell r="M2200" t="str">
            <v>S-フレーム</v>
          </cell>
          <cell r="P2200" t="str">
            <v>31B0</v>
          </cell>
          <cell r="Q2200" t="str">
            <v>SS400</v>
          </cell>
          <cell r="R2200" t="str">
            <v>E389458_01</v>
          </cell>
          <cell r="S2200">
            <v>514</v>
          </cell>
          <cell r="T2200" t="str">
            <v>標準</v>
          </cell>
        </row>
        <row r="2201">
          <cell r="F2201" t="str">
            <v>H0000108397</v>
          </cell>
          <cell r="I2201" t="str">
            <v>フレーム</v>
          </cell>
          <cell r="J2201" t="str">
            <v>S-Frame_SX-40_N_KKKK</v>
          </cell>
          <cell r="K2201" t="str">
            <v>S-フレーム_SX-40_N_KKKK</v>
          </cell>
          <cell r="L2201" t="str">
            <v>S-Frame</v>
          </cell>
          <cell r="M2201" t="str">
            <v>S-フレーム</v>
          </cell>
          <cell r="P2201" t="str">
            <v>31B0</v>
          </cell>
          <cell r="Q2201" t="str">
            <v>SS400</v>
          </cell>
          <cell r="R2201" t="str">
            <v>E389458_01</v>
          </cell>
          <cell r="S2201">
            <v>514</v>
          </cell>
          <cell r="T2201" t="str">
            <v>標準</v>
          </cell>
        </row>
        <row r="2202">
          <cell r="F2202" t="str">
            <v>H0000108398</v>
          </cell>
          <cell r="I2202" t="str">
            <v>フレーム</v>
          </cell>
          <cell r="J2202" t="str">
            <v>S-Frame_SX-40_N_KKKK</v>
          </cell>
          <cell r="K2202" t="str">
            <v>S-フレーム_SX-40_N_KKKK</v>
          </cell>
          <cell r="L2202" t="str">
            <v>S-Frame</v>
          </cell>
          <cell r="M2202" t="str">
            <v>S-フレーム</v>
          </cell>
          <cell r="P2202" t="str">
            <v>31B0</v>
          </cell>
          <cell r="Q2202" t="str">
            <v>SS400</v>
          </cell>
          <cell r="R2202" t="str">
            <v>E389458_01</v>
          </cell>
          <cell r="S2202">
            <v>514</v>
          </cell>
          <cell r="T2202" t="str">
            <v>標準</v>
          </cell>
        </row>
        <row r="2203">
          <cell r="F2203" t="str">
            <v>H0000108399</v>
          </cell>
          <cell r="I2203" t="str">
            <v>フレーム</v>
          </cell>
          <cell r="J2203" t="str">
            <v>S-Frame_SX-40_N_KKKK</v>
          </cell>
          <cell r="K2203" t="str">
            <v>S-フレーム_SX-40_N_KKKK</v>
          </cell>
          <cell r="L2203" t="str">
            <v>S-Frame</v>
          </cell>
          <cell r="M2203" t="str">
            <v>S-フレーム</v>
          </cell>
          <cell r="P2203" t="str">
            <v>31B0</v>
          </cell>
          <cell r="Q2203" t="str">
            <v>SS400</v>
          </cell>
          <cell r="R2203" t="str">
            <v>E389458_01</v>
          </cell>
          <cell r="S2203">
            <v>514</v>
          </cell>
          <cell r="T2203" t="str">
            <v>標準</v>
          </cell>
        </row>
        <row r="2204">
          <cell r="F2204" t="str">
            <v>H0000108400</v>
          </cell>
          <cell r="I2204" t="str">
            <v>フレーム</v>
          </cell>
          <cell r="J2204" t="str">
            <v>S-Frame_SX-40_N_KKKK</v>
          </cell>
          <cell r="K2204" t="str">
            <v>S-フレーム_SX-40_N_KKKK</v>
          </cell>
          <cell r="L2204" t="str">
            <v>S-Frame</v>
          </cell>
          <cell r="M2204" t="str">
            <v>S-フレーム</v>
          </cell>
          <cell r="P2204" t="str">
            <v>31B0</v>
          </cell>
          <cell r="Q2204" t="str">
            <v>SS400</v>
          </cell>
          <cell r="R2204" t="str">
            <v>E389458_01</v>
          </cell>
          <cell r="S2204">
            <v>514</v>
          </cell>
          <cell r="T2204" t="str">
            <v>標準</v>
          </cell>
        </row>
        <row r="2205">
          <cell r="F2205" t="str">
            <v>H0000108401</v>
          </cell>
          <cell r="I2205" t="str">
            <v>フレーム</v>
          </cell>
          <cell r="J2205" t="str">
            <v>S-Frame_SX-40_N_KKKK</v>
          </cell>
          <cell r="K2205" t="str">
            <v>S-フレーム_SX-40_N_KKKK</v>
          </cell>
          <cell r="L2205" t="str">
            <v>S-Frame</v>
          </cell>
          <cell r="M2205" t="str">
            <v>S-フレーム</v>
          </cell>
          <cell r="P2205" t="str">
            <v>31B0</v>
          </cell>
          <cell r="Q2205" t="str">
            <v>SS400</v>
          </cell>
          <cell r="R2205" t="str">
            <v>E389458_01</v>
          </cell>
          <cell r="S2205">
            <v>514</v>
          </cell>
          <cell r="T2205" t="str">
            <v>標準</v>
          </cell>
        </row>
        <row r="2206">
          <cell r="F2206" t="str">
            <v>H0000108402</v>
          </cell>
          <cell r="I2206" t="str">
            <v>フレーム</v>
          </cell>
          <cell r="J2206" t="str">
            <v>S-Frame_SX-40_N_KKKK</v>
          </cell>
          <cell r="K2206" t="str">
            <v>S-フレーム_SX-40_N_KKKK</v>
          </cell>
          <cell r="L2206" t="str">
            <v>S-Frame</v>
          </cell>
          <cell r="M2206" t="str">
            <v>S-フレーム</v>
          </cell>
          <cell r="P2206" t="str">
            <v>31B0</v>
          </cell>
          <cell r="Q2206" t="str">
            <v>SS400</v>
          </cell>
          <cell r="R2206" t="str">
            <v>E389458_01</v>
          </cell>
          <cell r="S2206">
            <v>514</v>
          </cell>
          <cell r="T2206" t="str">
            <v>標準</v>
          </cell>
        </row>
        <row r="2207">
          <cell r="F2207" t="str">
            <v>H0000108403</v>
          </cell>
          <cell r="I2207" t="str">
            <v>フレーム</v>
          </cell>
          <cell r="J2207" t="str">
            <v>S-Frame_GasCutting_SX-40_N_1234</v>
          </cell>
          <cell r="K2207" t="str">
            <v>S-フレーム_ガス溶断_SX-40_N_1234</v>
          </cell>
          <cell r="L2207" t="str">
            <v>S-Frame</v>
          </cell>
          <cell r="M2207" t="str">
            <v>S-フレーム</v>
          </cell>
          <cell r="N2207" t="str">
            <v>GasCutting</v>
          </cell>
          <cell r="O2207" t="str">
            <v>ガス溶断</v>
          </cell>
          <cell r="P2207" t="str">
            <v>31B0</v>
          </cell>
          <cell r="Q2207" t="str">
            <v>SS400</v>
          </cell>
          <cell r="R2207" t="str">
            <v>E389458_01</v>
          </cell>
          <cell r="S2207">
            <v>514</v>
          </cell>
          <cell r="T2207" t="str">
            <v>標準</v>
          </cell>
        </row>
        <row r="2208">
          <cell r="F2208" t="str">
            <v>H0000108404</v>
          </cell>
          <cell r="I2208" t="str">
            <v>フレーム</v>
          </cell>
          <cell r="J2208" t="str">
            <v>S-Frame_SX-40_H_TTTT</v>
          </cell>
          <cell r="K2208" t="str">
            <v>S-フレーム_SX-40_H_TTTT</v>
          </cell>
          <cell r="L2208" t="str">
            <v>S-Frame</v>
          </cell>
          <cell r="M2208" t="str">
            <v>S-フレーム</v>
          </cell>
          <cell r="P2208" t="str">
            <v>31B0</v>
          </cell>
          <cell r="Q2208" t="str">
            <v>SS400</v>
          </cell>
          <cell r="R2208" t="str">
            <v>E389458_01</v>
          </cell>
          <cell r="S2208">
            <v>629</v>
          </cell>
          <cell r="T2208" t="str">
            <v>標準</v>
          </cell>
        </row>
        <row r="2209">
          <cell r="F2209" t="str">
            <v>H0000108405</v>
          </cell>
          <cell r="I2209" t="str">
            <v>フレーム</v>
          </cell>
          <cell r="J2209" t="str">
            <v>S-Frame_SX-40_H_TTTT</v>
          </cell>
          <cell r="K2209" t="str">
            <v>S-フレーム_SX-40_H_TTTT</v>
          </cell>
          <cell r="L2209" t="str">
            <v>S-Frame</v>
          </cell>
          <cell r="M2209" t="str">
            <v>S-フレーム</v>
          </cell>
          <cell r="P2209" t="str">
            <v>31B0</v>
          </cell>
          <cell r="Q2209" t="str">
            <v>SS400</v>
          </cell>
          <cell r="R2209" t="str">
            <v>E389458_01</v>
          </cell>
          <cell r="S2209">
            <v>629</v>
          </cell>
          <cell r="T2209" t="str">
            <v>標準</v>
          </cell>
        </row>
        <row r="2210">
          <cell r="F2210" t="str">
            <v>H0000108406</v>
          </cell>
          <cell r="I2210" t="str">
            <v>フレーム</v>
          </cell>
          <cell r="J2210" t="str">
            <v>S-Frame_SX-40_H_TTTT</v>
          </cell>
          <cell r="K2210" t="str">
            <v>S-フレーム_SX-40_H_TTTT</v>
          </cell>
          <cell r="L2210" t="str">
            <v>S-Frame</v>
          </cell>
          <cell r="M2210" t="str">
            <v>S-フレーム</v>
          </cell>
          <cell r="P2210" t="str">
            <v>31B0</v>
          </cell>
          <cell r="Q2210" t="str">
            <v>SS400</v>
          </cell>
          <cell r="R2210" t="str">
            <v>E389458_01</v>
          </cell>
          <cell r="S2210">
            <v>629</v>
          </cell>
          <cell r="T2210" t="str">
            <v>標準</v>
          </cell>
        </row>
        <row r="2211">
          <cell r="F2211" t="str">
            <v>H0000108407</v>
          </cell>
          <cell r="I2211" t="str">
            <v>フレーム</v>
          </cell>
          <cell r="J2211" t="str">
            <v>S-Frame_SX-40_H_TTTT</v>
          </cell>
          <cell r="K2211" t="str">
            <v>S-フレーム_SX-40_H_TTTT</v>
          </cell>
          <cell r="L2211" t="str">
            <v>S-Frame</v>
          </cell>
          <cell r="M2211" t="str">
            <v>S-フレーム</v>
          </cell>
          <cell r="P2211" t="str">
            <v>31B0</v>
          </cell>
          <cell r="Q2211" t="str">
            <v>SS400</v>
          </cell>
          <cell r="R2211" t="str">
            <v>E389458_01</v>
          </cell>
          <cell r="S2211">
            <v>629</v>
          </cell>
          <cell r="T2211" t="str">
            <v>標準</v>
          </cell>
        </row>
        <row r="2212">
          <cell r="F2212" t="str">
            <v>H0000108408</v>
          </cell>
          <cell r="I2212" t="str">
            <v>フレーム</v>
          </cell>
          <cell r="J2212" t="str">
            <v>S-Frame_SX-40_H_TTTT</v>
          </cell>
          <cell r="K2212" t="str">
            <v>S-フレーム_SX-40_H_TTTT</v>
          </cell>
          <cell r="L2212" t="str">
            <v>S-Frame</v>
          </cell>
          <cell r="M2212" t="str">
            <v>S-フレーム</v>
          </cell>
          <cell r="P2212" t="str">
            <v>31B0</v>
          </cell>
          <cell r="Q2212" t="str">
            <v>SS400</v>
          </cell>
          <cell r="R2212" t="str">
            <v>E389458_01</v>
          </cell>
          <cell r="S2212">
            <v>629</v>
          </cell>
          <cell r="T2212" t="str">
            <v>標準</v>
          </cell>
        </row>
        <row r="2213">
          <cell r="F2213" t="str">
            <v>H0000108409</v>
          </cell>
          <cell r="I2213" t="str">
            <v>フレーム</v>
          </cell>
          <cell r="J2213" t="str">
            <v>S-Frame_SX-40_H_TTTT</v>
          </cell>
          <cell r="K2213" t="str">
            <v>S-フレーム_SX-40_H_TTTT</v>
          </cell>
          <cell r="L2213" t="str">
            <v>S-Frame</v>
          </cell>
          <cell r="M2213" t="str">
            <v>S-フレーム</v>
          </cell>
          <cell r="P2213" t="str">
            <v>31B0</v>
          </cell>
          <cell r="Q2213" t="str">
            <v>SS400</v>
          </cell>
          <cell r="R2213" t="str">
            <v>E389458_01</v>
          </cell>
          <cell r="S2213">
            <v>629</v>
          </cell>
          <cell r="T2213" t="str">
            <v>標準</v>
          </cell>
        </row>
        <row r="2214">
          <cell r="F2214" t="str">
            <v>H0000108410</v>
          </cell>
          <cell r="I2214" t="str">
            <v>フレーム</v>
          </cell>
          <cell r="J2214" t="str">
            <v>S-Frame_SX-40_H_TTTT</v>
          </cell>
          <cell r="K2214" t="str">
            <v>S-フレーム_SX-40_H_TTTT</v>
          </cell>
          <cell r="L2214" t="str">
            <v>S-Frame</v>
          </cell>
          <cell r="M2214" t="str">
            <v>S-フレーム</v>
          </cell>
          <cell r="P2214" t="str">
            <v>31B0</v>
          </cell>
          <cell r="Q2214" t="str">
            <v>SS400</v>
          </cell>
          <cell r="R2214" t="str">
            <v>E389458_01</v>
          </cell>
          <cell r="S2214">
            <v>629</v>
          </cell>
          <cell r="T2214" t="str">
            <v>標準</v>
          </cell>
        </row>
        <row r="2215">
          <cell r="F2215" t="str">
            <v>H0000108411</v>
          </cell>
          <cell r="I2215" t="str">
            <v>フレーム</v>
          </cell>
          <cell r="J2215" t="str">
            <v>S-Frame_SX-40_H_TTTT</v>
          </cell>
          <cell r="K2215" t="str">
            <v>S-フレーム_SX-40_H_TTTT</v>
          </cell>
          <cell r="L2215" t="str">
            <v>S-Frame</v>
          </cell>
          <cell r="M2215" t="str">
            <v>S-フレーム</v>
          </cell>
          <cell r="P2215" t="str">
            <v>31B0</v>
          </cell>
          <cell r="Q2215" t="str">
            <v>SS400</v>
          </cell>
          <cell r="R2215" t="str">
            <v>E389458_01</v>
          </cell>
          <cell r="S2215">
            <v>629</v>
          </cell>
          <cell r="T2215" t="str">
            <v>標準</v>
          </cell>
        </row>
        <row r="2216">
          <cell r="F2216" t="str">
            <v>H0000108412</v>
          </cell>
          <cell r="I2216" t="str">
            <v>フレーム</v>
          </cell>
          <cell r="J2216" t="str">
            <v>S-Frame_SX-40_H_TTTT</v>
          </cell>
          <cell r="K2216" t="str">
            <v>S-フレーム_SX-40_H_TTTT</v>
          </cell>
          <cell r="L2216" t="str">
            <v>S-Frame</v>
          </cell>
          <cell r="M2216" t="str">
            <v>S-フレーム</v>
          </cell>
          <cell r="P2216" t="str">
            <v>31B0</v>
          </cell>
          <cell r="Q2216" t="str">
            <v>SS400</v>
          </cell>
          <cell r="R2216" t="str">
            <v>E389458_01</v>
          </cell>
          <cell r="S2216">
            <v>629</v>
          </cell>
          <cell r="T2216" t="str">
            <v>標準</v>
          </cell>
        </row>
        <row r="2217">
          <cell r="F2217" t="str">
            <v>H0000108413</v>
          </cell>
          <cell r="I2217" t="str">
            <v>フレーム</v>
          </cell>
          <cell r="J2217" t="str">
            <v>S-Frame_SX-40_H_TTTT</v>
          </cell>
          <cell r="K2217" t="str">
            <v>S-フレーム_SX-40_H_TTTT</v>
          </cell>
          <cell r="L2217" t="str">
            <v>S-Frame</v>
          </cell>
          <cell r="M2217" t="str">
            <v>S-フレーム</v>
          </cell>
          <cell r="P2217" t="str">
            <v>31B0</v>
          </cell>
          <cell r="Q2217" t="str">
            <v>SS400</v>
          </cell>
          <cell r="R2217" t="str">
            <v>E389458_01</v>
          </cell>
          <cell r="S2217">
            <v>629</v>
          </cell>
          <cell r="T2217" t="str">
            <v>標準</v>
          </cell>
        </row>
        <row r="2218">
          <cell r="F2218" t="str">
            <v>H0000108414</v>
          </cell>
          <cell r="I2218" t="str">
            <v>フレーム</v>
          </cell>
          <cell r="J2218" t="str">
            <v>S-Frame_SX-40_H_TTTT</v>
          </cell>
          <cell r="K2218" t="str">
            <v>S-フレーム_SX-40_H_TTTT</v>
          </cell>
          <cell r="L2218" t="str">
            <v>S-Frame</v>
          </cell>
          <cell r="M2218" t="str">
            <v>S-フレーム</v>
          </cell>
          <cell r="P2218" t="str">
            <v>31B0</v>
          </cell>
          <cell r="Q2218" t="str">
            <v>SS400</v>
          </cell>
          <cell r="R2218" t="str">
            <v>E389458_01</v>
          </cell>
          <cell r="S2218">
            <v>629</v>
          </cell>
          <cell r="T2218" t="str">
            <v>標準</v>
          </cell>
        </row>
        <row r="2219">
          <cell r="F2219" t="str">
            <v>H0000108415</v>
          </cell>
          <cell r="I2219" t="str">
            <v>フレーム</v>
          </cell>
          <cell r="J2219" t="str">
            <v>S-Frame_SX-40_H_TTTT</v>
          </cell>
          <cell r="K2219" t="str">
            <v>S-フレーム_SX-40_H_TTTT</v>
          </cell>
          <cell r="L2219" t="str">
            <v>S-Frame</v>
          </cell>
          <cell r="M2219" t="str">
            <v>S-フレーム</v>
          </cell>
          <cell r="P2219" t="str">
            <v>31B0</v>
          </cell>
          <cell r="Q2219" t="str">
            <v>SS400</v>
          </cell>
          <cell r="R2219" t="str">
            <v>E389458_01</v>
          </cell>
          <cell r="S2219">
            <v>629</v>
          </cell>
          <cell r="T2219" t="str">
            <v>標準</v>
          </cell>
        </row>
        <row r="2220">
          <cell r="F2220" t="str">
            <v>H0000108416</v>
          </cell>
          <cell r="I2220" t="str">
            <v>フレーム</v>
          </cell>
          <cell r="J2220" t="str">
            <v>S-Frame_SX-40_H_TTTT</v>
          </cell>
          <cell r="K2220" t="str">
            <v>S-フレーム_SX-40_H_TTTT</v>
          </cell>
          <cell r="L2220" t="str">
            <v>S-Frame</v>
          </cell>
          <cell r="M2220" t="str">
            <v>S-フレーム</v>
          </cell>
          <cell r="P2220" t="str">
            <v>31B0</v>
          </cell>
          <cell r="Q2220" t="str">
            <v>SS400</v>
          </cell>
          <cell r="R2220" t="str">
            <v>E389458_01</v>
          </cell>
          <cell r="S2220">
            <v>629</v>
          </cell>
          <cell r="T2220" t="str">
            <v>標準</v>
          </cell>
        </row>
        <row r="2221">
          <cell r="F2221" t="str">
            <v>H0000108417</v>
          </cell>
          <cell r="I2221" t="str">
            <v>フレーム</v>
          </cell>
          <cell r="J2221" t="str">
            <v>S-Frame_SX-40_H_TTTT</v>
          </cell>
          <cell r="K2221" t="str">
            <v>S-フレーム_SX-40_H_TTTT</v>
          </cell>
          <cell r="L2221" t="str">
            <v>S-Frame</v>
          </cell>
          <cell r="M2221" t="str">
            <v>S-フレーム</v>
          </cell>
          <cell r="P2221" t="str">
            <v>31B0</v>
          </cell>
          <cell r="Q2221" t="str">
            <v>SS400</v>
          </cell>
          <cell r="R2221" t="str">
            <v>E389458_01</v>
          </cell>
          <cell r="S2221">
            <v>629</v>
          </cell>
          <cell r="T2221" t="str">
            <v>標準</v>
          </cell>
        </row>
        <row r="2222">
          <cell r="F2222" t="str">
            <v>H0000108418</v>
          </cell>
          <cell r="I2222" t="str">
            <v>フレーム</v>
          </cell>
          <cell r="J2222" t="str">
            <v>S-Frame_SX-40_H_TTTT</v>
          </cell>
          <cell r="K2222" t="str">
            <v>S-フレーム_SX-40_H_TTTT</v>
          </cell>
          <cell r="L2222" t="str">
            <v>S-Frame</v>
          </cell>
          <cell r="M2222" t="str">
            <v>S-フレーム</v>
          </cell>
          <cell r="P2222" t="str">
            <v>31B0</v>
          </cell>
          <cell r="Q2222" t="str">
            <v>SS400</v>
          </cell>
          <cell r="R2222" t="str">
            <v>E389458_01</v>
          </cell>
          <cell r="S2222">
            <v>629</v>
          </cell>
          <cell r="T2222" t="str">
            <v>標準</v>
          </cell>
        </row>
        <row r="2223">
          <cell r="F2223" t="str">
            <v>H0000108419</v>
          </cell>
          <cell r="I2223" t="str">
            <v>フレーム</v>
          </cell>
          <cell r="J2223" t="str">
            <v>S-Frame_SX-40_H_TTTT</v>
          </cell>
          <cell r="K2223" t="str">
            <v>S-フレーム_SX-40_H_TTTT</v>
          </cell>
          <cell r="L2223" t="str">
            <v>S-Frame</v>
          </cell>
          <cell r="M2223" t="str">
            <v>S-フレーム</v>
          </cell>
          <cell r="P2223" t="str">
            <v>31B0</v>
          </cell>
          <cell r="Q2223" t="str">
            <v>SS400</v>
          </cell>
          <cell r="R2223" t="str">
            <v>E389458_01</v>
          </cell>
          <cell r="S2223">
            <v>629</v>
          </cell>
          <cell r="T2223" t="str">
            <v>標準</v>
          </cell>
        </row>
        <row r="2224">
          <cell r="F2224" t="str">
            <v>H0000108420</v>
          </cell>
          <cell r="I2224" t="str">
            <v>フレーム</v>
          </cell>
          <cell r="J2224" t="str">
            <v>S-Frame_SX-40_H_TKTK</v>
          </cell>
          <cell r="K2224" t="str">
            <v>S-フレーム_SX-40_H_TKTK</v>
          </cell>
          <cell r="L2224" t="str">
            <v>S-Frame</v>
          </cell>
          <cell r="M2224" t="str">
            <v>S-フレーム</v>
          </cell>
          <cell r="P2224" t="str">
            <v>31B0</v>
          </cell>
          <cell r="Q2224" t="str">
            <v>SS400</v>
          </cell>
          <cell r="R2224" t="str">
            <v>E389458_01</v>
          </cell>
          <cell r="S2224">
            <v>629</v>
          </cell>
          <cell r="T2224" t="str">
            <v>標準</v>
          </cell>
        </row>
        <row r="2225">
          <cell r="F2225" t="str">
            <v>H0000108421</v>
          </cell>
          <cell r="I2225" t="str">
            <v>フレーム</v>
          </cell>
          <cell r="J2225" t="str">
            <v>S-Frame_SX-40_H_TKTK</v>
          </cell>
          <cell r="K2225" t="str">
            <v>S-フレーム_SX-40_H_TKTK</v>
          </cell>
          <cell r="L2225" t="str">
            <v>S-Frame</v>
          </cell>
          <cell r="M2225" t="str">
            <v>S-フレーム</v>
          </cell>
          <cell r="P2225" t="str">
            <v>31B0</v>
          </cell>
          <cell r="Q2225" t="str">
            <v>SS400</v>
          </cell>
          <cell r="R2225" t="str">
            <v>E389458_01</v>
          </cell>
          <cell r="S2225">
            <v>629</v>
          </cell>
          <cell r="T2225" t="str">
            <v>標準</v>
          </cell>
        </row>
        <row r="2226">
          <cell r="F2226" t="str">
            <v>H0000108422</v>
          </cell>
          <cell r="I2226" t="str">
            <v>フレーム</v>
          </cell>
          <cell r="J2226" t="str">
            <v>S-Frame_SX-40_H_TKTK</v>
          </cell>
          <cell r="K2226" t="str">
            <v>S-フレーム_SX-40_H_TKTK</v>
          </cell>
          <cell r="L2226" t="str">
            <v>S-Frame</v>
          </cell>
          <cell r="M2226" t="str">
            <v>S-フレーム</v>
          </cell>
          <cell r="P2226" t="str">
            <v>31B0</v>
          </cell>
          <cell r="Q2226" t="str">
            <v>SS400</v>
          </cell>
          <cell r="R2226" t="str">
            <v>E389458_01</v>
          </cell>
          <cell r="S2226">
            <v>629</v>
          </cell>
          <cell r="T2226" t="str">
            <v>標準</v>
          </cell>
        </row>
        <row r="2227">
          <cell r="F2227" t="str">
            <v>H0000108423</v>
          </cell>
          <cell r="I2227" t="str">
            <v>フレーム</v>
          </cell>
          <cell r="J2227" t="str">
            <v>S-Frame_SX-40_H_TKTK</v>
          </cell>
          <cell r="K2227" t="str">
            <v>S-フレーム_SX-40_H_TKTK</v>
          </cell>
          <cell r="L2227" t="str">
            <v>S-Frame</v>
          </cell>
          <cell r="M2227" t="str">
            <v>S-フレーム</v>
          </cell>
          <cell r="P2227" t="str">
            <v>31B0</v>
          </cell>
          <cell r="Q2227" t="str">
            <v>SS400</v>
          </cell>
          <cell r="R2227" t="str">
            <v>E389458_01</v>
          </cell>
          <cell r="S2227">
            <v>629</v>
          </cell>
          <cell r="T2227" t="str">
            <v>標準</v>
          </cell>
        </row>
        <row r="2228">
          <cell r="F2228" t="str">
            <v>H0000108424</v>
          </cell>
          <cell r="I2228" t="str">
            <v>フレーム</v>
          </cell>
          <cell r="J2228" t="str">
            <v>S-Frame_SX-40_H_TKTK</v>
          </cell>
          <cell r="K2228" t="str">
            <v>S-フレーム_SX-40_H_TKTK</v>
          </cell>
          <cell r="L2228" t="str">
            <v>S-Frame</v>
          </cell>
          <cell r="M2228" t="str">
            <v>S-フレーム</v>
          </cell>
          <cell r="P2228" t="str">
            <v>31B0</v>
          </cell>
          <cell r="Q2228" t="str">
            <v>SS400</v>
          </cell>
          <cell r="R2228" t="str">
            <v>E389458_01</v>
          </cell>
          <cell r="S2228">
            <v>629</v>
          </cell>
          <cell r="T2228" t="str">
            <v>標準</v>
          </cell>
        </row>
        <row r="2229">
          <cell r="F2229" t="str">
            <v>H0000108425</v>
          </cell>
          <cell r="I2229" t="str">
            <v>フレーム</v>
          </cell>
          <cell r="J2229" t="str">
            <v>S-Frame_SX-40_H_TKTK</v>
          </cell>
          <cell r="K2229" t="str">
            <v>S-フレーム_SX-40_H_TKTK</v>
          </cell>
          <cell r="L2229" t="str">
            <v>S-Frame</v>
          </cell>
          <cell r="M2229" t="str">
            <v>S-フレーム</v>
          </cell>
          <cell r="P2229" t="str">
            <v>31B0</v>
          </cell>
          <cell r="Q2229" t="str">
            <v>SS400</v>
          </cell>
          <cell r="R2229" t="str">
            <v>E389458_01</v>
          </cell>
          <cell r="S2229">
            <v>629</v>
          </cell>
          <cell r="T2229" t="str">
            <v>標準</v>
          </cell>
        </row>
        <row r="2230">
          <cell r="F2230" t="str">
            <v>H0000108426</v>
          </cell>
          <cell r="I2230" t="str">
            <v>フレーム</v>
          </cell>
          <cell r="J2230" t="str">
            <v>S-Frame_SX-40_H_TKTK</v>
          </cell>
          <cell r="K2230" t="str">
            <v>S-フレーム_SX-40_H_TKTK</v>
          </cell>
          <cell r="L2230" t="str">
            <v>S-Frame</v>
          </cell>
          <cell r="M2230" t="str">
            <v>S-フレーム</v>
          </cell>
          <cell r="P2230" t="str">
            <v>31B0</v>
          </cell>
          <cell r="Q2230" t="str">
            <v>SS400</v>
          </cell>
          <cell r="R2230" t="str">
            <v>E389458_01</v>
          </cell>
          <cell r="S2230">
            <v>629</v>
          </cell>
          <cell r="T2230" t="str">
            <v>標準</v>
          </cell>
        </row>
        <row r="2231">
          <cell r="F2231" t="str">
            <v>H0000108427</v>
          </cell>
          <cell r="I2231" t="str">
            <v>フレーム</v>
          </cell>
          <cell r="J2231" t="str">
            <v>S-Frame_SX-40_H_TKTK</v>
          </cell>
          <cell r="K2231" t="str">
            <v>S-フレーム_SX-40_H_TKTK</v>
          </cell>
          <cell r="L2231" t="str">
            <v>S-Frame</v>
          </cell>
          <cell r="M2231" t="str">
            <v>S-フレーム</v>
          </cell>
          <cell r="P2231" t="str">
            <v>31B0</v>
          </cell>
          <cell r="Q2231" t="str">
            <v>SS400</v>
          </cell>
          <cell r="R2231" t="str">
            <v>E389458_01</v>
          </cell>
          <cell r="S2231">
            <v>629</v>
          </cell>
          <cell r="T2231" t="str">
            <v>標準</v>
          </cell>
        </row>
        <row r="2232">
          <cell r="F2232" t="str">
            <v>H0000108428</v>
          </cell>
          <cell r="I2232" t="str">
            <v>フレーム</v>
          </cell>
          <cell r="J2232" t="str">
            <v>S-Frame_SX-40_H_TKTK</v>
          </cell>
          <cell r="K2232" t="str">
            <v>S-フレーム_SX-40_H_TKTK</v>
          </cell>
          <cell r="L2232" t="str">
            <v>S-Frame</v>
          </cell>
          <cell r="M2232" t="str">
            <v>S-フレーム</v>
          </cell>
          <cell r="P2232" t="str">
            <v>31B0</v>
          </cell>
          <cell r="Q2232" t="str">
            <v>SS400</v>
          </cell>
          <cell r="R2232" t="str">
            <v>E389458_01</v>
          </cell>
          <cell r="S2232">
            <v>629</v>
          </cell>
          <cell r="T2232" t="str">
            <v>標準</v>
          </cell>
        </row>
        <row r="2233">
          <cell r="F2233" t="str">
            <v>H0000108429</v>
          </cell>
          <cell r="I2233" t="str">
            <v>フレーム</v>
          </cell>
          <cell r="J2233" t="str">
            <v>S-Frame_SX-40_H_TKTK</v>
          </cell>
          <cell r="K2233" t="str">
            <v>S-フレーム_SX-40_H_TKTK</v>
          </cell>
          <cell r="L2233" t="str">
            <v>S-Frame</v>
          </cell>
          <cell r="M2233" t="str">
            <v>S-フレーム</v>
          </cell>
          <cell r="P2233" t="str">
            <v>31B0</v>
          </cell>
          <cell r="Q2233" t="str">
            <v>SS400</v>
          </cell>
          <cell r="R2233" t="str">
            <v>E389458_01</v>
          </cell>
          <cell r="S2233">
            <v>629</v>
          </cell>
          <cell r="T2233" t="str">
            <v>標準</v>
          </cell>
        </row>
        <row r="2234">
          <cell r="F2234" t="str">
            <v>H0000108430</v>
          </cell>
          <cell r="I2234" t="str">
            <v>フレーム</v>
          </cell>
          <cell r="J2234" t="str">
            <v>S-Frame_SX-40_H_TKTK</v>
          </cell>
          <cell r="K2234" t="str">
            <v>S-フレーム_SX-40_H_TKTK</v>
          </cell>
          <cell r="L2234" t="str">
            <v>S-Frame</v>
          </cell>
          <cell r="M2234" t="str">
            <v>S-フレーム</v>
          </cell>
          <cell r="P2234" t="str">
            <v>31B0</v>
          </cell>
          <cell r="Q2234" t="str">
            <v>SS400</v>
          </cell>
          <cell r="R2234" t="str">
            <v>E389458_01</v>
          </cell>
          <cell r="S2234">
            <v>629</v>
          </cell>
          <cell r="T2234" t="str">
            <v>標準</v>
          </cell>
        </row>
        <row r="2235">
          <cell r="F2235" t="str">
            <v>H0000108431</v>
          </cell>
          <cell r="I2235" t="str">
            <v>フレーム</v>
          </cell>
          <cell r="J2235" t="str">
            <v>S-Frame_SX-40_H_TKTK</v>
          </cell>
          <cell r="K2235" t="str">
            <v>S-フレーム_SX-40_H_TKTK</v>
          </cell>
          <cell r="L2235" t="str">
            <v>S-Frame</v>
          </cell>
          <cell r="M2235" t="str">
            <v>S-フレーム</v>
          </cell>
          <cell r="P2235" t="str">
            <v>31B0</v>
          </cell>
          <cell r="Q2235" t="str">
            <v>SS400</v>
          </cell>
          <cell r="R2235" t="str">
            <v>E389458_01</v>
          </cell>
          <cell r="S2235">
            <v>629</v>
          </cell>
          <cell r="T2235" t="str">
            <v>標準</v>
          </cell>
        </row>
        <row r="2236">
          <cell r="F2236" t="str">
            <v>H0000108432</v>
          </cell>
          <cell r="I2236" t="str">
            <v>フレーム</v>
          </cell>
          <cell r="J2236" t="str">
            <v>S-Frame_SX-40_H_TKTK</v>
          </cell>
          <cell r="K2236" t="str">
            <v>S-フレーム_SX-40_H_TKTK</v>
          </cell>
          <cell r="L2236" t="str">
            <v>S-Frame</v>
          </cell>
          <cell r="M2236" t="str">
            <v>S-フレーム</v>
          </cell>
          <cell r="P2236" t="str">
            <v>31B0</v>
          </cell>
          <cell r="Q2236" t="str">
            <v>SS400</v>
          </cell>
          <cell r="R2236" t="str">
            <v>E389458_01</v>
          </cell>
          <cell r="S2236">
            <v>629</v>
          </cell>
          <cell r="T2236" t="str">
            <v>標準</v>
          </cell>
        </row>
        <row r="2237">
          <cell r="F2237" t="str">
            <v>H0000108433</v>
          </cell>
          <cell r="I2237" t="str">
            <v>フレーム</v>
          </cell>
          <cell r="J2237" t="str">
            <v>S-Frame_SX-40_H_TKTK</v>
          </cell>
          <cell r="K2237" t="str">
            <v>S-フレーム_SX-40_H_TKTK</v>
          </cell>
          <cell r="L2237" t="str">
            <v>S-Frame</v>
          </cell>
          <cell r="M2237" t="str">
            <v>S-フレーム</v>
          </cell>
          <cell r="P2237" t="str">
            <v>31B0</v>
          </cell>
          <cell r="Q2237" t="str">
            <v>SS400</v>
          </cell>
          <cell r="R2237" t="str">
            <v>E389458_01</v>
          </cell>
          <cell r="S2237">
            <v>629</v>
          </cell>
          <cell r="T2237" t="str">
            <v>標準</v>
          </cell>
        </row>
        <row r="2238">
          <cell r="F2238" t="str">
            <v>H0000108434</v>
          </cell>
          <cell r="I2238" t="str">
            <v>フレーム</v>
          </cell>
          <cell r="J2238" t="str">
            <v>S-Frame_SX-40_H_TKTK</v>
          </cell>
          <cell r="K2238" t="str">
            <v>S-フレーム_SX-40_H_TKTK</v>
          </cell>
          <cell r="L2238" t="str">
            <v>S-Frame</v>
          </cell>
          <cell r="M2238" t="str">
            <v>S-フレーム</v>
          </cell>
          <cell r="P2238" t="str">
            <v>31B0</v>
          </cell>
          <cell r="Q2238" t="str">
            <v>SS400</v>
          </cell>
          <cell r="R2238" t="str">
            <v>E389458_01</v>
          </cell>
          <cell r="S2238">
            <v>629</v>
          </cell>
          <cell r="T2238" t="str">
            <v>標準</v>
          </cell>
        </row>
        <row r="2239">
          <cell r="F2239" t="str">
            <v>H0000108435</v>
          </cell>
          <cell r="I2239" t="str">
            <v>フレーム</v>
          </cell>
          <cell r="J2239" t="str">
            <v>S-Frame_SX-40_H_TKTK</v>
          </cell>
          <cell r="K2239" t="str">
            <v>S-フレーム_SX-40_H_TKTK</v>
          </cell>
          <cell r="L2239" t="str">
            <v>S-Frame</v>
          </cell>
          <cell r="M2239" t="str">
            <v>S-フレーム</v>
          </cell>
          <cell r="P2239" t="str">
            <v>31B0</v>
          </cell>
          <cell r="Q2239" t="str">
            <v>SS400</v>
          </cell>
          <cell r="R2239" t="str">
            <v>E389458_01</v>
          </cell>
          <cell r="S2239">
            <v>629</v>
          </cell>
          <cell r="T2239" t="str">
            <v>標準</v>
          </cell>
        </row>
        <row r="2240">
          <cell r="F2240" t="str">
            <v>H0000108436</v>
          </cell>
          <cell r="I2240" t="str">
            <v>フレーム</v>
          </cell>
          <cell r="J2240" t="str">
            <v>S-Frame_SX-40_H_KTKT</v>
          </cell>
          <cell r="K2240" t="str">
            <v>S-フレーム_SX-40_H_KTKT</v>
          </cell>
          <cell r="L2240" t="str">
            <v>S-Frame</v>
          </cell>
          <cell r="M2240" t="str">
            <v>S-フレーム</v>
          </cell>
          <cell r="P2240" t="str">
            <v>31B0</v>
          </cell>
          <cell r="Q2240" t="str">
            <v>SS400</v>
          </cell>
          <cell r="R2240" t="str">
            <v>E389458_01</v>
          </cell>
          <cell r="S2240">
            <v>629</v>
          </cell>
          <cell r="T2240" t="str">
            <v>標準</v>
          </cell>
        </row>
        <row r="2241">
          <cell r="F2241" t="str">
            <v>H0000108437</v>
          </cell>
          <cell r="I2241" t="str">
            <v>フレーム</v>
          </cell>
          <cell r="J2241" t="str">
            <v>S-Frame_SX-40_H_KTKT</v>
          </cell>
          <cell r="K2241" t="str">
            <v>S-フレーム_SX-40_H_KTKT</v>
          </cell>
          <cell r="L2241" t="str">
            <v>S-Frame</v>
          </cell>
          <cell r="M2241" t="str">
            <v>S-フレーム</v>
          </cell>
          <cell r="P2241" t="str">
            <v>31B0</v>
          </cell>
          <cell r="Q2241" t="str">
            <v>SS400</v>
          </cell>
          <cell r="R2241" t="str">
            <v>E389458_01</v>
          </cell>
          <cell r="S2241">
            <v>629</v>
          </cell>
          <cell r="T2241" t="str">
            <v>標準</v>
          </cell>
        </row>
        <row r="2242">
          <cell r="F2242" t="str">
            <v>H0000108438</v>
          </cell>
          <cell r="I2242" t="str">
            <v>フレーム</v>
          </cell>
          <cell r="J2242" t="str">
            <v>S-Frame_SX-40_H_KTKT</v>
          </cell>
          <cell r="K2242" t="str">
            <v>S-フレーム_SX-40_H_KTKT</v>
          </cell>
          <cell r="L2242" t="str">
            <v>S-Frame</v>
          </cell>
          <cell r="M2242" t="str">
            <v>S-フレーム</v>
          </cell>
          <cell r="P2242" t="str">
            <v>31B0</v>
          </cell>
          <cell r="Q2242" t="str">
            <v>SS400</v>
          </cell>
          <cell r="R2242" t="str">
            <v>E389458_01</v>
          </cell>
          <cell r="S2242">
            <v>629</v>
          </cell>
          <cell r="T2242" t="str">
            <v>標準</v>
          </cell>
        </row>
        <row r="2243">
          <cell r="F2243" t="str">
            <v>H0000108439</v>
          </cell>
          <cell r="I2243" t="str">
            <v>フレーム</v>
          </cell>
          <cell r="J2243" t="str">
            <v>S-Frame_SX-40_H_KTKT</v>
          </cell>
          <cell r="K2243" t="str">
            <v>S-フレーム_SX-40_H_KTKT</v>
          </cell>
          <cell r="L2243" t="str">
            <v>S-Frame</v>
          </cell>
          <cell r="M2243" t="str">
            <v>S-フレーム</v>
          </cell>
          <cell r="P2243" t="str">
            <v>31B0</v>
          </cell>
          <cell r="Q2243" t="str">
            <v>SS400</v>
          </cell>
          <cell r="R2243" t="str">
            <v>E389458_01</v>
          </cell>
          <cell r="S2243">
            <v>629</v>
          </cell>
          <cell r="T2243" t="str">
            <v>標準</v>
          </cell>
        </row>
        <row r="2244">
          <cell r="F2244" t="str">
            <v>H0000108440</v>
          </cell>
          <cell r="I2244" t="str">
            <v>フレーム</v>
          </cell>
          <cell r="J2244" t="str">
            <v>S-Frame_SX-40_H_KTKT</v>
          </cell>
          <cell r="K2244" t="str">
            <v>S-フレーム_SX-40_H_KTKT</v>
          </cell>
          <cell r="L2244" t="str">
            <v>S-Frame</v>
          </cell>
          <cell r="M2244" t="str">
            <v>S-フレーム</v>
          </cell>
          <cell r="P2244" t="str">
            <v>31B0</v>
          </cell>
          <cell r="Q2244" t="str">
            <v>SS400</v>
          </cell>
          <cell r="R2244" t="str">
            <v>E389458_01</v>
          </cell>
          <cell r="S2244">
            <v>629</v>
          </cell>
          <cell r="T2244" t="str">
            <v>標準</v>
          </cell>
        </row>
        <row r="2245">
          <cell r="F2245" t="str">
            <v>H0000108441</v>
          </cell>
          <cell r="I2245" t="str">
            <v>フレーム</v>
          </cell>
          <cell r="J2245" t="str">
            <v>S-Frame_SX-40_H_KTKT</v>
          </cell>
          <cell r="K2245" t="str">
            <v>S-フレーム_SX-40_H_KTKT</v>
          </cell>
          <cell r="L2245" t="str">
            <v>S-Frame</v>
          </cell>
          <cell r="M2245" t="str">
            <v>S-フレーム</v>
          </cell>
          <cell r="P2245" t="str">
            <v>31B0</v>
          </cell>
          <cell r="Q2245" t="str">
            <v>SS400</v>
          </cell>
          <cell r="R2245" t="str">
            <v>E389458_01</v>
          </cell>
          <cell r="S2245">
            <v>629</v>
          </cell>
          <cell r="T2245" t="str">
            <v>標準</v>
          </cell>
        </row>
        <row r="2246">
          <cell r="F2246" t="str">
            <v>H0000108442</v>
          </cell>
          <cell r="I2246" t="str">
            <v>フレーム</v>
          </cell>
          <cell r="J2246" t="str">
            <v>S-Frame_SX-40_H_KTKT</v>
          </cell>
          <cell r="K2246" t="str">
            <v>S-フレーム_SX-40_H_KTKT</v>
          </cell>
          <cell r="L2246" t="str">
            <v>S-Frame</v>
          </cell>
          <cell r="M2246" t="str">
            <v>S-フレーム</v>
          </cell>
          <cell r="P2246" t="str">
            <v>31B0</v>
          </cell>
          <cell r="Q2246" t="str">
            <v>SS400</v>
          </cell>
          <cell r="R2246" t="str">
            <v>E389458_01</v>
          </cell>
          <cell r="S2246">
            <v>629</v>
          </cell>
          <cell r="T2246" t="str">
            <v>標準</v>
          </cell>
        </row>
        <row r="2247">
          <cell r="F2247" t="str">
            <v>H0000108443</v>
          </cell>
          <cell r="I2247" t="str">
            <v>フレーム</v>
          </cell>
          <cell r="J2247" t="str">
            <v>S-Frame_SX-40_H_KTKT</v>
          </cell>
          <cell r="K2247" t="str">
            <v>S-フレーム_SX-40_H_KTKT</v>
          </cell>
          <cell r="L2247" t="str">
            <v>S-Frame</v>
          </cell>
          <cell r="M2247" t="str">
            <v>S-フレーム</v>
          </cell>
          <cell r="P2247" t="str">
            <v>31B0</v>
          </cell>
          <cell r="Q2247" t="str">
            <v>SS400</v>
          </cell>
          <cell r="R2247" t="str">
            <v>E389458_01</v>
          </cell>
          <cell r="S2247">
            <v>629</v>
          </cell>
          <cell r="T2247" t="str">
            <v>標準</v>
          </cell>
        </row>
        <row r="2248">
          <cell r="F2248" t="str">
            <v>H0000108444</v>
          </cell>
          <cell r="I2248" t="str">
            <v>フレーム</v>
          </cell>
          <cell r="J2248" t="str">
            <v>S-Frame_SX-40_H_KTKT</v>
          </cell>
          <cell r="K2248" t="str">
            <v>S-フレーム_SX-40_H_KTKT</v>
          </cell>
          <cell r="L2248" t="str">
            <v>S-Frame</v>
          </cell>
          <cell r="M2248" t="str">
            <v>S-フレーム</v>
          </cell>
          <cell r="P2248" t="str">
            <v>31B0</v>
          </cell>
          <cell r="Q2248" t="str">
            <v>SS400</v>
          </cell>
          <cell r="R2248" t="str">
            <v>E389458_01</v>
          </cell>
          <cell r="S2248">
            <v>629</v>
          </cell>
          <cell r="T2248" t="str">
            <v>標準</v>
          </cell>
        </row>
        <row r="2249">
          <cell r="F2249" t="str">
            <v>H0000108445</v>
          </cell>
          <cell r="I2249" t="str">
            <v>フレーム</v>
          </cell>
          <cell r="J2249" t="str">
            <v>S-Frame_SX-40_H_KTKT</v>
          </cell>
          <cell r="K2249" t="str">
            <v>S-フレーム_SX-40_H_KTKT</v>
          </cell>
          <cell r="L2249" t="str">
            <v>S-Frame</v>
          </cell>
          <cell r="M2249" t="str">
            <v>S-フレーム</v>
          </cell>
          <cell r="P2249" t="str">
            <v>31B0</v>
          </cell>
          <cell r="Q2249" t="str">
            <v>SS400</v>
          </cell>
          <cell r="R2249" t="str">
            <v>E389458_01</v>
          </cell>
          <cell r="S2249">
            <v>629</v>
          </cell>
          <cell r="T2249" t="str">
            <v>標準</v>
          </cell>
        </row>
        <row r="2250">
          <cell r="F2250" t="str">
            <v>H0000108446</v>
          </cell>
          <cell r="I2250" t="str">
            <v>フレーム</v>
          </cell>
          <cell r="J2250" t="str">
            <v>S-Frame_SX-40_H_KTKT</v>
          </cell>
          <cell r="K2250" t="str">
            <v>S-フレーム_SX-40_H_KTKT</v>
          </cell>
          <cell r="L2250" t="str">
            <v>S-Frame</v>
          </cell>
          <cell r="M2250" t="str">
            <v>S-フレーム</v>
          </cell>
          <cell r="P2250" t="str">
            <v>31B0</v>
          </cell>
          <cell r="Q2250" t="str">
            <v>SS400</v>
          </cell>
          <cell r="R2250" t="str">
            <v>E389458_01</v>
          </cell>
          <cell r="S2250">
            <v>629</v>
          </cell>
          <cell r="T2250" t="str">
            <v>標準</v>
          </cell>
        </row>
        <row r="2251">
          <cell r="F2251" t="str">
            <v>H0000108447</v>
          </cell>
          <cell r="I2251" t="str">
            <v>フレーム</v>
          </cell>
          <cell r="J2251" t="str">
            <v>S-Frame_SX-40_H_KTKT</v>
          </cell>
          <cell r="K2251" t="str">
            <v>S-フレーム_SX-40_H_KTKT</v>
          </cell>
          <cell r="L2251" t="str">
            <v>S-Frame</v>
          </cell>
          <cell r="M2251" t="str">
            <v>S-フレーム</v>
          </cell>
          <cell r="P2251" t="str">
            <v>31B0</v>
          </cell>
          <cell r="Q2251" t="str">
            <v>SS400</v>
          </cell>
          <cell r="R2251" t="str">
            <v>E389458_01</v>
          </cell>
          <cell r="S2251">
            <v>629</v>
          </cell>
          <cell r="T2251" t="str">
            <v>標準</v>
          </cell>
        </row>
        <row r="2252">
          <cell r="F2252" t="str">
            <v>H0000108448</v>
          </cell>
          <cell r="I2252" t="str">
            <v>フレーム</v>
          </cell>
          <cell r="J2252" t="str">
            <v>S-Frame_SX-40_H_KTKT</v>
          </cell>
          <cell r="K2252" t="str">
            <v>S-フレーム_SX-40_H_KTKT</v>
          </cell>
          <cell r="L2252" t="str">
            <v>S-Frame</v>
          </cell>
          <cell r="M2252" t="str">
            <v>S-フレーム</v>
          </cell>
          <cell r="P2252" t="str">
            <v>31B0</v>
          </cell>
          <cell r="Q2252" t="str">
            <v>SS400</v>
          </cell>
          <cell r="R2252" t="str">
            <v>E389458_01</v>
          </cell>
          <cell r="S2252">
            <v>629</v>
          </cell>
          <cell r="T2252" t="str">
            <v>標準</v>
          </cell>
        </row>
        <row r="2253">
          <cell r="F2253" t="str">
            <v>H0000108449</v>
          </cell>
          <cell r="I2253" t="str">
            <v>フレーム</v>
          </cell>
          <cell r="J2253" t="str">
            <v>S-Frame_SX-40_H_KTKT</v>
          </cell>
          <cell r="K2253" t="str">
            <v>S-フレーム_SX-40_H_KTKT</v>
          </cell>
          <cell r="L2253" t="str">
            <v>S-Frame</v>
          </cell>
          <cell r="M2253" t="str">
            <v>S-フレーム</v>
          </cell>
          <cell r="P2253" t="str">
            <v>31B0</v>
          </cell>
          <cell r="Q2253" t="str">
            <v>SS400</v>
          </cell>
          <cell r="R2253" t="str">
            <v>E389458_01</v>
          </cell>
          <cell r="S2253">
            <v>629</v>
          </cell>
          <cell r="T2253" t="str">
            <v>標準</v>
          </cell>
        </row>
        <row r="2254">
          <cell r="F2254" t="str">
            <v>H0000108450</v>
          </cell>
          <cell r="I2254" t="str">
            <v>フレーム</v>
          </cell>
          <cell r="J2254" t="str">
            <v>S-Frame_SX-40_H_KTKT</v>
          </cell>
          <cell r="K2254" t="str">
            <v>S-フレーム_SX-40_H_KTKT</v>
          </cell>
          <cell r="L2254" t="str">
            <v>S-Frame</v>
          </cell>
          <cell r="M2254" t="str">
            <v>S-フレーム</v>
          </cell>
          <cell r="P2254" t="str">
            <v>31B0</v>
          </cell>
          <cell r="Q2254" t="str">
            <v>SS400</v>
          </cell>
          <cell r="R2254" t="str">
            <v>E389458_01</v>
          </cell>
          <cell r="S2254">
            <v>629</v>
          </cell>
          <cell r="T2254" t="str">
            <v>標準</v>
          </cell>
        </row>
        <row r="2255">
          <cell r="F2255" t="str">
            <v>H0000108451</v>
          </cell>
          <cell r="I2255" t="str">
            <v>フレーム</v>
          </cell>
          <cell r="J2255" t="str">
            <v>S-Frame_SX-40_H_KTKT</v>
          </cell>
          <cell r="K2255" t="str">
            <v>S-フレーム_SX-40_H_KTKT</v>
          </cell>
          <cell r="L2255" t="str">
            <v>S-Frame</v>
          </cell>
          <cell r="M2255" t="str">
            <v>S-フレーム</v>
          </cell>
          <cell r="P2255" t="str">
            <v>31B0</v>
          </cell>
          <cell r="Q2255" t="str">
            <v>SS400</v>
          </cell>
          <cell r="R2255" t="str">
            <v>E389458_01</v>
          </cell>
          <cell r="S2255">
            <v>629</v>
          </cell>
          <cell r="T2255" t="str">
            <v>標準</v>
          </cell>
        </row>
        <row r="2256">
          <cell r="F2256" t="str">
            <v>H0000108452</v>
          </cell>
          <cell r="I2256" t="str">
            <v>フレーム</v>
          </cell>
          <cell r="J2256" t="str">
            <v>S-Frame_SX-40_H_KKKK</v>
          </cell>
          <cell r="K2256" t="str">
            <v>S-フレーム_SX-40_H_KKKK</v>
          </cell>
          <cell r="L2256" t="str">
            <v>S-Frame</v>
          </cell>
          <cell r="M2256" t="str">
            <v>S-フレーム</v>
          </cell>
          <cell r="P2256" t="str">
            <v>31B0</v>
          </cell>
          <cell r="Q2256" t="str">
            <v>SS400</v>
          </cell>
          <cell r="R2256" t="str">
            <v>E389458_01</v>
          </cell>
          <cell r="S2256">
            <v>629</v>
          </cell>
          <cell r="T2256" t="str">
            <v>標準</v>
          </cell>
        </row>
        <row r="2257">
          <cell r="F2257" t="str">
            <v>H0000108453</v>
          </cell>
          <cell r="I2257" t="str">
            <v>フレーム</v>
          </cell>
          <cell r="J2257" t="str">
            <v>S-Frame_SX-40_H_KKKK</v>
          </cell>
          <cell r="K2257" t="str">
            <v>S-フレーム_SX-40_H_KKKK</v>
          </cell>
          <cell r="L2257" t="str">
            <v>S-Frame</v>
          </cell>
          <cell r="M2257" t="str">
            <v>S-フレーム</v>
          </cell>
          <cell r="P2257" t="str">
            <v>31B0</v>
          </cell>
          <cell r="Q2257" t="str">
            <v>SS400</v>
          </cell>
          <cell r="R2257" t="str">
            <v>E389458_01</v>
          </cell>
          <cell r="S2257">
            <v>629</v>
          </cell>
          <cell r="T2257" t="str">
            <v>標準</v>
          </cell>
        </row>
        <row r="2258">
          <cell r="F2258" t="str">
            <v>H0000108454</v>
          </cell>
          <cell r="I2258" t="str">
            <v>フレーム</v>
          </cell>
          <cell r="J2258" t="str">
            <v>S-Frame_SX-40_H_KKKK</v>
          </cell>
          <cell r="K2258" t="str">
            <v>S-フレーム_SX-40_H_KKKK</v>
          </cell>
          <cell r="L2258" t="str">
            <v>S-Frame</v>
          </cell>
          <cell r="M2258" t="str">
            <v>S-フレーム</v>
          </cell>
          <cell r="P2258" t="str">
            <v>31B0</v>
          </cell>
          <cell r="Q2258" t="str">
            <v>SS400</v>
          </cell>
          <cell r="R2258" t="str">
            <v>E389458_01</v>
          </cell>
          <cell r="S2258">
            <v>629</v>
          </cell>
          <cell r="T2258" t="str">
            <v>標準</v>
          </cell>
        </row>
        <row r="2259">
          <cell r="F2259" t="str">
            <v>H0000108455</v>
          </cell>
          <cell r="I2259" t="str">
            <v>フレーム</v>
          </cell>
          <cell r="J2259" t="str">
            <v>S-Frame_SX-40_H_KKKK</v>
          </cell>
          <cell r="K2259" t="str">
            <v>S-フレーム_SX-40_H_KKKK</v>
          </cell>
          <cell r="L2259" t="str">
            <v>S-Frame</v>
          </cell>
          <cell r="M2259" t="str">
            <v>S-フレーム</v>
          </cell>
          <cell r="P2259" t="str">
            <v>31B0</v>
          </cell>
          <cell r="Q2259" t="str">
            <v>SS400</v>
          </cell>
          <cell r="R2259" t="str">
            <v>E389458_01</v>
          </cell>
          <cell r="S2259">
            <v>629</v>
          </cell>
          <cell r="T2259" t="str">
            <v>標準</v>
          </cell>
        </row>
        <row r="2260">
          <cell r="F2260" t="str">
            <v>H0000108456</v>
          </cell>
          <cell r="I2260" t="str">
            <v>フレーム</v>
          </cell>
          <cell r="J2260" t="str">
            <v>S-Frame_SX-40_H_KKKK</v>
          </cell>
          <cell r="K2260" t="str">
            <v>S-フレーム_SX-40_H_KKKK</v>
          </cell>
          <cell r="L2260" t="str">
            <v>S-Frame</v>
          </cell>
          <cell r="M2260" t="str">
            <v>S-フレーム</v>
          </cell>
          <cell r="P2260" t="str">
            <v>31B0</v>
          </cell>
          <cell r="Q2260" t="str">
            <v>SS400</v>
          </cell>
          <cell r="R2260" t="str">
            <v>E389458_01</v>
          </cell>
          <cell r="S2260">
            <v>629</v>
          </cell>
          <cell r="T2260" t="str">
            <v>標準</v>
          </cell>
        </row>
        <row r="2261">
          <cell r="F2261" t="str">
            <v>H0000108457</v>
          </cell>
          <cell r="I2261" t="str">
            <v>フレーム</v>
          </cell>
          <cell r="J2261" t="str">
            <v>S-Frame_SX-40_H_KKKK</v>
          </cell>
          <cell r="K2261" t="str">
            <v>S-フレーム_SX-40_H_KKKK</v>
          </cell>
          <cell r="L2261" t="str">
            <v>S-Frame</v>
          </cell>
          <cell r="M2261" t="str">
            <v>S-フレーム</v>
          </cell>
          <cell r="P2261" t="str">
            <v>31B0</v>
          </cell>
          <cell r="Q2261" t="str">
            <v>SS400</v>
          </cell>
          <cell r="R2261" t="str">
            <v>E389458_01</v>
          </cell>
          <cell r="S2261">
            <v>629</v>
          </cell>
          <cell r="T2261" t="str">
            <v>標準</v>
          </cell>
        </row>
        <row r="2262">
          <cell r="F2262" t="str">
            <v>H0000108458</v>
          </cell>
          <cell r="I2262" t="str">
            <v>フレーム</v>
          </cell>
          <cell r="J2262" t="str">
            <v>S-Frame_SX-40_H_KKKK</v>
          </cell>
          <cell r="K2262" t="str">
            <v>S-フレーム_SX-40_H_KKKK</v>
          </cell>
          <cell r="L2262" t="str">
            <v>S-Frame</v>
          </cell>
          <cell r="M2262" t="str">
            <v>S-フレーム</v>
          </cell>
          <cell r="P2262" t="str">
            <v>31B0</v>
          </cell>
          <cell r="Q2262" t="str">
            <v>SS400</v>
          </cell>
          <cell r="R2262" t="str">
            <v>E389458_01</v>
          </cell>
          <cell r="S2262">
            <v>629</v>
          </cell>
          <cell r="T2262" t="str">
            <v>標準</v>
          </cell>
        </row>
        <row r="2263">
          <cell r="F2263" t="str">
            <v>H0000108459</v>
          </cell>
          <cell r="I2263" t="str">
            <v>フレーム</v>
          </cell>
          <cell r="J2263" t="str">
            <v>S-Frame_SX-40_H_KKKK</v>
          </cell>
          <cell r="K2263" t="str">
            <v>S-フレーム_SX-40_H_KKKK</v>
          </cell>
          <cell r="L2263" t="str">
            <v>S-Frame</v>
          </cell>
          <cell r="M2263" t="str">
            <v>S-フレーム</v>
          </cell>
          <cell r="P2263" t="str">
            <v>31B0</v>
          </cell>
          <cell r="Q2263" t="str">
            <v>SS400</v>
          </cell>
          <cell r="R2263" t="str">
            <v>E389458_01</v>
          </cell>
          <cell r="S2263">
            <v>629</v>
          </cell>
          <cell r="T2263" t="str">
            <v>標準</v>
          </cell>
        </row>
        <row r="2264">
          <cell r="F2264" t="str">
            <v>H0000108460</v>
          </cell>
          <cell r="I2264" t="str">
            <v>フレーム</v>
          </cell>
          <cell r="J2264" t="str">
            <v>S-Frame_SX-40_H_KKKK</v>
          </cell>
          <cell r="K2264" t="str">
            <v>S-フレーム_SX-40_H_KKKK</v>
          </cell>
          <cell r="L2264" t="str">
            <v>S-Frame</v>
          </cell>
          <cell r="M2264" t="str">
            <v>S-フレーム</v>
          </cell>
          <cell r="P2264" t="str">
            <v>31B0</v>
          </cell>
          <cell r="Q2264" t="str">
            <v>SS400</v>
          </cell>
          <cell r="R2264" t="str">
            <v>E389458_01</v>
          </cell>
          <cell r="S2264">
            <v>629</v>
          </cell>
          <cell r="T2264" t="str">
            <v>標準</v>
          </cell>
        </row>
        <row r="2265">
          <cell r="F2265" t="str">
            <v>H0000108461</v>
          </cell>
          <cell r="I2265" t="str">
            <v>フレーム</v>
          </cell>
          <cell r="J2265" t="str">
            <v>S-Frame_SX-40_H_KKKK</v>
          </cell>
          <cell r="K2265" t="str">
            <v>S-フレーム_SX-40_H_KKKK</v>
          </cell>
          <cell r="L2265" t="str">
            <v>S-Frame</v>
          </cell>
          <cell r="M2265" t="str">
            <v>S-フレーム</v>
          </cell>
          <cell r="P2265" t="str">
            <v>31B0</v>
          </cell>
          <cell r="Q2265" t="str">
            <v>SS400</v>
          </cell>
          <cell r="R2265" t="str">
            <v>E389458_01</v>
          </cell>
          <cell r="S2265">
            <v>629</v>
          </cell>
          <cell r="T2265" t="str">
            <v>標準</v>
          </cell>
        </row>
        <row r="2266">
          <cell r="F2266" t="str">
            <v>H0000108462</v>
          </cell>
          <cell r="I2266" t="str">
            <v>フレーム</v>
          </cell>
          <cell r="J2266" t="str">
            <v>S-Frame_SX-40_H_KKKK</v>
          </cell>
          <cell r="K2266" t="str">
            <v>S-フレーム_SX-40_H_KKKK</v>
          </cell>
          <cell r="L2266" t="str">
            <v>S-Frame</v>
          </cell>
          <cell r="M2266" t="str">
            <v>S-フレーム</v>
          </cell>
          <cell r="P2266" t="str">
            <v>31B0</v>
          </cell>
          <cell r="Q2266" t="str">
            <v>SS400</v>
          </cell>
          <cell r="R2266" t="str">
            <v>E389458_01</v>
          </cell>
          <cell r="S2266">
            <v>629</v>
          </cell>
          <cell r="T2266" t="str">
            <v>標準</v>
          </cell>
        </row>
        <row r="2267">
          <cell r="F2267" t="str">
            <v>H0000108463</v>
          </cell>
          <cell r="I2267" t="str">
            <v>フレーム</v>
          </cell>
          <cell r="J2267" t="str">
            <v>S-Frame_SX-40_H_KKKK</v>
          </cell>
          <cell r="K2267" t="str">
            <v>S-フレーム_SX-40_H_KKKK</v>
          </cell>
          <cell r="L2267" t="str">
            <v>S-Frame</v>
          </cell>
          <cell r="M2267" t="str">
            <v>S-フレーム</v>
          </cell>
          <cell r="P2267" t="str">
            <v>31B0</v>
          </cell>
          <cell r="Q2267" t="str">
            <v>SS400</v>
          </cell>
          <cell r="R2267" t="str">
            <v>E389458_01</v>
          </cell>
          <cell r="S2267">
            <v>629</v>
          </cell>
          <cell r="T2267" t="str">
            <v>標準</v>
          </cell>
        </row>
        <row r="2268">
          <cell r="F2268" t="str">
            <v>H0000108464</v>
          </cell>
          <cell r="I2268" t="str">
            <v>フレーム</v>
          </cell>
          <cell r="J2268" t="str">
            <v>S-Frame_SX-40_H_KKKK</v>
          </cell>
          <cell r="K2268" t="str">
            <v>S-フレーム_SX-40_H_KKKK</v>
          </cell>
          <cell r="L2268" t="str">
            <v>S-Frame</v>
          </cell>
          <cell r="M2268" t="str">
            <v>S-フレーム</v>
          </cell>
          <cell r="P2268" t="str">
            <v>31B0</v>
          </cell>
          <cell r="Q2268" t="str">
            <v>SS400</v>
          </cell>
          <cell r="R2268" t="str">
            <v>E389458_01</v>
          </cell>
          <cell r="S2268">
            <v>629</v>
          </cell>
          <cell r="T2268" t="str">
            <v>標準</v>
          </cell>
        </row>
        <row r="2269">
          <cell r="F2269" t="str">
            <v>H0000108465</v>
          </cell>
          <cell r="I2269" t="str">
            <v>フレーム</v>
          </cell>
          <cell r="J2269" t="str">
            <v>S-Frame_SX-40_H_KKKK</v>
          </cell>
          <cell r="K2269" t="str">
            <v>S-フレーム_SX-40_H_KKKK</v>
          </cell>
          <cell r="L2269" t="str">
            <v>S-Frame</v>
          </cell>
          <cell r="M2269" t="str">
            <v>S-フレーム</v>
          </cell>
          <cell r="P2269" t="str">
            <v>31B0</v>
          </cell>
          <cell r="Q2269" t="str">
            <v>SS400</v>
          </cell>
          <cell r="R2269" t="str">
            <v>E389458_01</v>
          </cell>
          <cell r="S2269">
            <v>629</v>
          </cell>
          <cell r="T2269" t="str">
            <v>標準</v>
          </cell>
        </row>
        <row r="2270">
          <cell r="F2270" t="str">
            <v>H0000108466</v>
          </cell>
          <cell r="I2270" t="str">
            <v>フレーム</v>
          </cell>
          <cell r="J2270" t="str">
            <v>S-Frame_SX-40_H_KKKK</v>
          </cell>
          <cell r="K2270" t="str">
            <v>S-フレーム_SX-40_H_KKKK</v>
          </cell>
          <cell r="L2270" t="str">
            <v>S-Frame</v>
          </cell>
          <cell r="M2270" t="str">
            <v>S-フレーム</v>
          </cell>
          <cell r="P2270" t="str">
            <v>31B0</v>
          </cell>
          <cell r="Q2270" t="str">
            <v>SS400</v>
          </cell>
          <cell r="R2270" t="str">
            <v>E389458_01</v>
          </cell>
          <cell r="S2270">
            <v>629</v>
          </cell>
          <cell r="T2270" t="str">
            <v>標準</v>
          </cell>
        </row>
        <row r="2271">
          <cell r="F2271" t="str">
            <v>H0000108467</v>
          </cell>
          <cell r="I2271" t="str">
            <v>フレーム</v>
          </cell>
          <cell r="J2271" t="str">
            <v>S-Frame_SX-40_H_KKKK</v>
          </cell>
          <cell r="K2271" t="str">
            <v>S-フレーム_SX-40_H_KKKK</v>
          </cell>
          <cell r="L2271" t="str">
            <v>S-Frame</v>
          </cell>
          <cell r="M2271" t="str">
            <v>S-フレーム</v>
          </cell>
          <cell r="P2271" t="str">
            <v>31B0</v>
          </cell>
          <cell r="Q2271" t="str">
            <v>SS400</v>
          </cell>
          <cell r="R2271" t="str">
            <v>E389458_01</v>
          </cell>
          <cell r="S2271">
            <v>629</v>
          </cell>
          <cell r="T2271" t="str">
            <v>標準</v>
          </cell>
        </row>
        <row r="2272">
          <cell r="F2272" t="str">
            <v>H0000108468</v>
          </cell>
          <cell r="I2272" t="str">
            <v>フレーム</v>
          </cell>
          <cell r="J2272" t="str">
            <v>S-Frame_GasCutting_SX-40_H_1234</v>
          </cell>
          <cell r="K2272" t="str">
            <v>S-フレーム_ガス溶断_SX-40_H_1234</v>
          </cell>
          <cell r="L2272" t="str">
            <v>S-Frame</v>
          </cell>
          <cell r="M2272" t="str">
            <v>S-フレーム</v>
          </cell>
          <cell r="N2272" t="str">
            <v>GasCutting</v>
          </cell>
          <cell r="O2272" t="str">
            <v>ガス溶断</v>
          </cell>
          <cell r="P2272" t="str">
            <v>31B0</v>
          </cell>
          <cell r="Q2272" t="str">
            <v>SS400</v>
          </cell>
          <cell r="R2272" t="str">
            <v>E389458_01</v>
          </cell>
          <cell r="S2272">
            <v>629</v>
          </cell>
          <cell r="T2272" t="str">
            <v>標準</v>
          </cell>
        </row>
        <row r="2273">
          <cell r="F2273" t="str">
            <v>H0000108469</v>
          </cell>
          <cell r="I2273" t="str">
            <v>フレーム</v>
          </cell>
          <cell r="J2273" t="str">
            <v>S-Frame_SX-40_U_TTTT</v>
          </cell>
          <cell r="K2273" t="str">
            <v>S-フレーム_SX-40_U_TTTT</v>
          </cell>
          <cell r="L2273" t="str">
            <v>S-Frame</v>
          </cell>
          <cell r="M2273" t="str">
            <v>S-フレーム</v>
          </cell>
          <cell r="P2273" t="str">
            <v>31B0</v>
          </cell>
          <cell r="Q2273" t="str">
            <v>SS400</v>
          </cell>
          <cell r="R2273" t="str">
            <v>E389460_01</v>
          </cell>
          <cell r="S2273">
            <v>800</v>
          </cell>
          <cell r="T2273" t="str">
            <v>標準</v>
          </cell>
        </row>
        <row r="2274">
          <cell r="F2274" t="str">
            <v>H0000108470</v>
          </cell>
          <cell r="I2274" t="str">
            <v>フレーム</v>
          </cell>
          <cell r="J2274" t="str">
            <v>S-Frame_SX-40_U_TTTT</v>
          </cell>
          <cell r="K2274" t="str">
            <v>S-フレーム_SX-40_U_TTTT</v>
          </cell>
          <cell r="L2274" t="str">
            <v>S-Frame</v>
          </cell>
          <cell r="M2274" t="str">
            <v>S-フレーム</v>
          </cell>
          <cell r="P2274" t="str">
            <v>31B0</v>
          </cell>
          <cell r="Q2274" t="str">
            <v>SS400</v>
          </cell>
          <cell r="R2274" t="str">
            <v>E389460_01</v>
          </cell>
          <cell r="S2274">
            <v>800</v>
          </cell>
          <cell r="T2274" t="str">
            <v>標準</v>
          </cell>
        </row>
        <row r="2275">
          <cell r="F2275" t="str">
            <v>H0000108471</v>
          </cell>
          <cell r="I2275" t="str">
            <v>フレーム</v>
          </cell>
          <cell r="J2275" t="str">
            <v>S-Frame_SX-40_U_TTTT</v>
          </cell>
          <cell r="K2275" t="str">
            <v>S-フレーム_SX-40_U_TTTT</v>
          </cell>
          <cell r="L2275" t="str">
            <v>S-Frame</v>
          </cell>
          <cell r="M2275" t="str">
            <v>S-フレーム</v>
          </cell>
          <cell r="P2275" t="str">
            <v>31B0</v>
          </cell>
          <cell r="Q2275" t="str">
            <v>SS400</v>
          </cell>
          <cell r="R2275" t="str">
            <v>E389460_01</v>
          </cell>
          <cell r="S2275">
            <v>800</v>
          </cell>
          <cell r="T2275" t="str">
            <v>標準</v>
          </cell>
        </row>
        <row r="2276">
          <cell r="F2276" t="str">
            <v>H0000108472</v>
          </cell>
          <cell r="I2276" t="str">
            <v>フレーム</v>
          </cell>
          <cell r="J2276" t="str">
            <v>S-Frame_SX-40_U_TTTT</v>
          </cell>
          <cell r="K2276" t="str">
            <v>S-フレーム_SX-40_U_TTTT</v>
          </cell>
          <cell r="L2276" t="str">
            <v>S-Frame</v>
          </cell>
          <cell r="M2276" t="str">
            <v>S-フレーム</v>
          </cell>
          <cell r="P2276" t="str">
            <v>31B0</v>
          </cell>
          <cell r="Q2276" t="str">
            <v>SS400</v>
          </cell>
          <cell r="R2276" t="str">
            <v>E389460_01</v>
          </cell>
          <cell r="S2276">
            <v>800</v>
          </cell>
          <cell r="T2276" t="str">
            <v>標準</v>
          </cell>
        </row>
        <row r="2277">
          <cell r="F2277" t="str">
            <v>H0000108473</v>
          </cell>
          <cell r="I2277" t="str">
            <v>フレーム</v>
          </cell>
          <cell r="J2277" t="str">
            <v>S-Frame_SX-40_U_TTTT</v>
          </cell>
          <cell r="K2277" t="str">
            <v>S-フレーム_SX-40_U_TTTT</v>
          </cell>
          <cell r="L2277" t="str">
            <v>S-Frame</v>
          </cell>
          <cell r="M2277" t="str">
            <v>S-フレーム</v>
          </cell>
          <cell r="P2277" t="str">
            <v>31B0</v>
          </cell>
          <cell r="Q2277" t="str">
            <v>SS400</v>
          </cell>
          <cell r="R2277" t="str">
            <v>E389460_01</v>
          </cell>
          <cell r="S2277">
            <v>800</v>
          </cell>
          <cell r="T2277" t="str">
            <v>標準</v>
          </cell>
        </row>
        <row r="2278">
          <cell r="F2278" t="str">
            <v>H0000108474</v>
          </cell>
          <cell r="I2278" t="str">
            <v>フレーム</v>
          </cell>
          <cell r="J2278" t="str">
            <v>S-Frame_SX-40_U_TTTT</v>
          </cell>
          <cell r="K2278" t="str">
            <v>S-フレーム_SX-40_U_TTTT</v>
          </cell>
          <cell r="L2278" t="str">
            <v>S-Frame</v>
          </cell>
          <cell r="M2278" t="str">
            <v>S-フレーム</v>
          </cell>
          <cell r="P2278" t="str">
            <v>31B0</v>
          </cell>
          <cell r="Q2278" t="str">
            <v>SS400</v>
          </cell>
          <cell r="R2278" t="str">
            <v>E389460_01</v>
          </cell>
          <cell r="S2278">
            <v>800</v>
          </cell>
          <cell r="T2278" t="str">
            <v>標準</v>
          </cell>
        </row>
        <row r="2279">
          <cell r="F2279" t="str">
            <v>H0000108475</v>
          </cell>
          <cell r="I2279" t="str">
            <v>フレーム</v>
          </cell>
          <cell r="J2279" t="str">
            <v>S-Frame_SX-40_U_TTTT</v>
          </cell>
          <cell r="K2279" t="str">
            <v>S-フレーム_SX-40_U_TTTT</v>
          </cell>
          <cell r="L2279" t="str">
            <v>S-Frame</v>
          </cell>
          <cell r="M2279" t="str">
            <v>S-フレーム</v>
          </cell>
          <cell r="P2279" t="str">
            <v>31B0</v>
          </cell>
          <cell r="Q2279" t="str">
            <v>SS400</v>
          </cell>
          <cell r="R2279" t="str">
            <v>E389460_01</v>
          </cell>
          <cell r="S2279">
            <v>800</v>
          </cell>
          <cell r="T2279" t="str">
            <v>標準</v>
          </cell>
        </row>
        <row r="2280">
          <cell r="F2280" t="str">
            <v>H0000108476</v>
          </cell>
          <cell r="I2280" t="str">
            <v>フレーム</v>
          </cell>
          <cell r="J2280" t="str">
            <v>S-Frame_SX-40_U_TTTT</v>
          </cell>
          <cell r="K2280" t="str">
            <v>S-フレーム_SX-40_U_TTTT</v>
          </cell>
          <cell r="L2280" t="str">
            <v>S-Frame</v>
          </cell>
          <cell r="M2280" t="str">
            <v>S-フレーム</v>
          </cell>
          <cell r="P2280" t="str">
            <v>31B0</v>
          </cell>
          <cell r="Q2280" t="str">
            <v>SS400</v>
          </cell>
          <cell r="R2280" t="str">
            <v>E389460_01</v>
          </cell>
          <cell r="S2280">
            <v>800</v>
          </cell>
          <cell r="T2280" t="str">
            <v>標準</v>
          </cell>
        </row>
        <row r="2281">
          <cell r="F2281" t="str">
            <v>H0000108477</v>
          </cell>
          <cell r="I2281" t="str">
            <v>フレーム</v>
          </cell>
          <cell r="J2281" t="str">
            <v>S-Frame_SX-40_U_TTTT</v>
          </cell>
          <cell r="K2281" t="str">
            <v>S-フレーム_SX-40_U_TTTT</v>
          </cell>
          <cell r="L2281" t="str">
            <v>S-Frame</v>
          </cell>
          <cell r="M2281" t="str">
            <v>S-フレーム</v>
          </cell>
          <cell r="P2281" t="str">
            <v>31B0</v>
          </cell>
          <cell r="Q2281" t="str">
            <v>SS400</v>
          </cell>
          <cell r="R2281" t="str">
            <v>E389460_01</v>
          </cell>
          <cell r="S2281">
            <v>800</v>
          </cell>
          <cell r="T2281" t="str">
            <v>標準</v>
          </cell>
        </row>
        <row r="2282">
          <cell r="F2282" t="str">
            <v>H0000108478</v>
          </cell>
          <cell r="I2282" t="str">
            <v>フレーム</v>
          </cell>
          <cell r="J2282" t="str">
            <v>S-Frame_SX-40_U_TTTT</v>
          </cell>
          <cell r="K2282" t="str">
            <v>S-フレーム_SX-40_U_TTTT</v>
          </cell>
          <cell r="L2282" t="str">
            <v>S-Frame</v>
          </cell>
          <cell r="M2282" t="str">
            <v>S-フレーム</v>
          </cell>
          <cell r="P2282" t="str">
            <v>31B0</v>
          </cell>
          <cell r="Q2282" t="str">
            <v>SS400</v>
          </cell>
          <cell r="R2282" t="str">
            <v>E389460_01</v>
          </cell>
          <cell r="S2282">
            <v>800</v>
          </cell>
          <cell r="T2282" t="str">
            <v>標準</v>
          </cell>
        </row>
        <row r="2283">
          <cell r="F2283" t="str">
            <v>H0000108479</v>
          </cell>
          <cell r="I2283" t="str">
            <v>フレーム</v>
          </cell>
          <cell r="J2283" t="str">
            <v>S-Frame_SX-40_U_TTTT</v>
          </cell>
          <cell r="K2283" t="str">
            <v>S-フレーム_SX-40_U_TTTT</v>
          </cell>
          <cell r="L2283" t="str">
            <v>S-Frame</v>
          </cell>
          <cell r="M2283" t="str">
            <v>S-フレーム</v>
          </cell>
          <cell r="P2283" t="str">
            <v>31B0</v>
          </cell>
          <cell r="Q2283" t="str">
            <v>SS400</v>
          </cell>
          <cell r="R2283" t="str">
            <v>E389460_01</v>
          </cell>
          <cell r="S2283">
            <v>800</v>
          </cell>
          <cell r="T2283" t="str">
            <v>標準</v>
          </cell>
        </row>
        <row r="2284">
          <cell r="F2284" t="str">
            <v>H0000108480</v>
          </cell>
          <cell r="I2284" t="str">
            <v>フレーム</v>
          </cell>
          <cell r="J2284" t="str">
            <v>S-Frame_SX-40_U_TTTT</v>
          </cell>
          <cell r="K2284" t="str">
            <v>S-フレーム_SX-40_U_TTTT</v>
          </cell>
          <cell r="L2284" t="str">
            <v>S-Frame</v>
          </cell>
          <cell r="M2284" t="str">
            <v>S-フレーム</v>
          </cell>
          <cell r="P2284" t="str">
            <v>31B0</v>
          </cell>
          <cell r="Q2284" t="str">
            <v>SS400</v>
          </cell>
          <cell r="R2284" t="str">
            <v>E389460_01</v>
          </cell>
          <cell r="S2284">
            <v>800</v>
          </cell>
          <cell r="T2284" t="str">
            <v>標準</v>
          </cell>
        </row>
        <row r="2285">
          <cell r="F2285" t="str">
            <v>H0000108481</v>
          </cell>
          <cell r="I2285" t="str">
            <v>フレーム</v>
          </cell>
          <cell r="J2285" t="str">
            <v>S-Frame_SX-40_U_TTTT</v>
          </cell>
          <cell r="K2285" t="str">
            <v>S-フレーム_SX-40_U_TTTT</v>
          </cell>
          <cell r="L2285" t="str">
            <v>S-Frame</v>
          </cell>
          <cell r="M2285" t="str">
            <v>S-フレーム</v>
          </cell>
          <cell r="P2285" t="str">
            <v>31B0</v>
          </cell>
          <cell r="Q2285" t="str">
            <v>SS400</v>
          </cell>
          <cell r="R2285" t="str">
            <v>E389460_01</v>
          </cell>
          <cell r="S2285">
            <v>800</v>
          </cell>
          <cell r="T2285" t="str">
            <v>標準</v>
          </cell>
        </row>
        <row r="2286">
          <cell r="F2286" t="str">
            <v>H0000108482</v>
          </cell>
          <cell r="I2286" t="str">
            <v>フレーム</v>
          </cell>
          <cell r="J2286" t="str">
            <v>S-Frame_SX-40_U_TTTT</v>
          </cell>
          <cell r="K2286" t="str">
            <v>S-フレーム_SX-40_U_TTTT</v>
          </cell>
          <cell r="L2286" t="str">
            <v>S-Frame</v>
          </cell>
          <cell r="M2286" t="str">
            <v>S-フレーム</v>
          </cell>
          <cell r="P2286" t="str">
            <v>31B0</v>
          </cell>
          <cell r="Q2286" t="str">
            <v>SS400</v>
          </cell>
          <cell r="R2286" t="str">
            <v>E389460_01</v>
          </cell>
          <cell r="S2286">
            <v>800</v>
          </cell>
          <cell r="T2286" t="str">
            <v>標準</v>
          </cell>
        </row>
        <row r="2287">
          <cell r="F2287" t="str">
            <v>H0000108483</v>
          </cell>
          <cell r="I2287" t="str">
            <v>フレーム</v>
          </cell>
          <cell r="J2287" t="str">
            <v>S-Frame_SX-40_U_TTTT</v>
          </cell>
          <cell r="K2287" t="str">
            <v>S-フレーム_SX-40_U_TTTT</v>
          </cell>
          <cell r="L2287" t="str">
            <v>S-Frame</v>
          </cell>
          <cell r="M2287" t="str">
            <v>S-フレーム</v>
          </cell>
          <cell r="P2287" t="str">
            <v>31B0</v>
          </cell>
          <cell r="Q2287" t="str">
            <v>SS400</v>
          </cell>
          <cell r="R2287" t="str">
            <v>E389460_01</v>
          </cell>
          <cell r="S2287">
            <v>800</v>
          </cell>
          <cell r="T2287" t="str">
            <v>標準</v>
          </cell>
        </row>
        <row r="2288">
          <cell r="F2288" t="str">
            <v>H0000108484</v>
          </cell>
          <cell r="I2288" t="str">
            <v>フレーム</v>
          </cell>
          <cell r="J2288" t="str">
            <v>S-Frame_SX-40_U_TTTT</v>
          </cell>
          <cell r="K2288" t="str">
            <v>S-フレーム_SX-40_U_TTTT</v>
          </cell>
          <cell r="L2288" t="str">
            <v>S-Frame</v>
          </cell>
          <cell r="M2288" t="str">
            <v>S-フレーム</v>
          </cell>
          <cell r="P2288" t="str">
            <v>31B0</v>
          </cell>
          <cell r="Q2288" t="str">
            <v>SS400</v>
          </cell>
          <cell r="R2288" t="str">
            <v>E389460_01</v>
          </cell>
          <cell r="S2288">
            <v>800</v>
          </cell>
          <cell r="T2288" t="str">
            <v>標準</v>
          </cell>
        </row>
        <row r="2289">
          <cell r="F2289" t="str">
            <v>H0000108485</v>
          </cell>
          <cell r="I2289" t="str">
            <v>フレーム</v>
          </cell>
          <cell r="J2289" t="str">
            <v>S-Frame_SX-40_U_TTTT</v>
          </cell>
          <cell r="K2289" t="str">
            <v>S-フレーム_SX-40_U_TTTT</v>
          </cell>
          <cell r="L2289" t="str">
            <v>S-Frame</v>
          </cell>
          <cell r="M2289" t="str">
            <v>S-フレーム</v>
          </cell>
          <cell r="P2289" t="str">
            <v>31B0</v>
          </cell>
          <cell r="Q2289" t="str">
            <v>SS400</v>
          </cell>
          <cell r="R2289" t="str">
            <v>E389460_01</v>
          </cell>
          <cell r="S2289">
            <v>800</v>
          </cell>
          <cell r="T2289" t="str">
            <v>標準</v>
          </cell>
        </row>
        <row r="2290">
          <cell r="F2290" t="str">
            <v>H0000108486</v>
          </cell>
          <cell r="I2290" t="str">
            <v>フレーム</v>
          </cell>
          <cell r="J2290" t="str">
            <v>S-Frame_SX-40_U_TTTT</v>
          </cell>
          <cell r="K2290" t="str">
            <v>S-フレーム_SX-40_U_TTTT</v>
          </cell>
          <cell r="L2290" t="str">
            <v>S-Frame</v>
          </cell>
          <cell r="M2290" t="str">
            <v>S-フレーム</v>
          </cell>
          <cell r="P2290" t="str">
            <v>31B0</v>
          </cell>
          <cell r="Q2290" t="str">
            <v>SS400</v>
          </cell>
          <cell r="R2290" t="str">
            <v>E389460_01</v>
          </cell>
          <cell r="S2290">
            <v>800</v>
          </cell>
          <cell r="T2290" t="str">
            <v>標準</v>
          </cell>
        </row>
        <row r="2291">
          <cell r="F2291" t="str">
            <v>H0000108487</v>
          </cell>
          <cell r="I2291" t="str">
            <v>フレーム</v>
          </cell>
          <cell r="J2291" t="str">
            <v>S-Frame_SX-40_U_TTTT</v>
          </cell>
          <cell r="K2291" t="str">
            <v>S-フレーム_SX-40_U_TTTT</v>
          </cell>
          <cell r="L2291" t="str">
            <v>S-Frame</v>
          </cell>
          <cell r="M2291" t="str">
            <v>S-フレーム</v>
          </cell>
          <cell r="P2291" t="str">
            <v>31B0</v>
          </cell>
          <cell r="Q2291" t="str">
            <v>SS400</v>
          </cell>
          <cell r="R2291" t="str">
            <v>E389460_01</v>
          </cell>
          <cell r="S2291">
            <v>800</v>
          </cell>
          <cell r="T2291" t="str">
            <v>標準</v>
          </cell>
        </row>
        <row r="2292">
          <cell r="F2292" t="str">
            <v>H0000108488</v>
          </cell>
          <cell r="I2292" t="str">
            <v>フレーム</v>
          </cell>
          <cell r="J2292" t="str">
            <v>S-Frame_SX-40_U_TTTT</v>
          </cell>
          <cell r="K2292" t="str">
            <v>S-フレーム_SX-40_U_TTTT</v>
          </cell>
          <cell r="L2292" t="str">
            <v>S-Frame</v>
          </cell>
          <cell r="M2292" t="str">
            <v>S-フレーム</v>
          </cell>
          <cell r="P2292" t="str">
            <v>31B0</v>
          </cell>
          <cell r="Q2292" t="str">
            <v>SS400</v>
          </cell>
          <cell r="R2292" t="str">
            <v>E389460_01</v>
          </cell>
          <cell r="S2292">
            <v>800</v>
          </cell>
          <cell r="T2292" t="str">
            <v>標準</v>
          </cell>
        </row>
        <row r="2293">
          <cell r="F2293" t="str">
            <v>H0000108489</v>
          </cell>
          <cell r="I2293" t="str">
            <v>フレーム</v>
          </cell>
          <cell r="J2293" t="str">
            <v>S-Frame_SX-40_U_TTTT</v>
          </cell>
          <cell r="K2293" t="str">
            <v>S-フレーム_SX-40_U_TTTT</v>
          </cell>
          <cell r="L2293" t="str">
            <v>S-Frame</v>
          </cell>
          <cell r="M2293" t="str">
            <v>S-フレーム</v>
          </cell>
          <cell r="P2293" t="str">
            <v>31B0</v>
          </cell>
          <cell r="Q2293" t="str">
            <v>SS400</v>
          </cell>
          <cell r="R2293" t="str">
            <v>E389460_01</v>
          </cell>
          <cell r="S2293">
            <v>800</v>
          </cell>
          <cell r="T2293" t="str">
            <v>標準</v>
          </cell>
        </row>
        <row r="2294">
          <cell r="F2294" t="str">
            <v>H0000108490</v>
          </cell>
          <cell r="I2294" t="str">
            <v>フレーム</v>
          </cell>
          <cell r="J2294" t="str">
            <v>S-Frame_SX-40_U_TTTT</v>
          </cell>
          <cell r="K2294" t="str">
            <v>S-フレーム_SX-40_U_TTTT</v>
          </cell>
          <cell r="L2294" t="str">
            <v>S-Frame</v>
          </cell>
          <cell r="M2294" t="str">
            <v>S-フレーム</v>
          </cell>
          <cell r="P2294" t="str">
            <v>31B0</v>
          </cell>
          <cell r="Q2294" t="str">
            <v>SS400</v>
          </cell>
          <cell r="R2294" t="str">
            <v>E389460_01</v>
          </cell>
          <cell r="S2294">
            <v>800</v>
          </cell>
          <cell r="T2294" t="str">
            <v>標準</v>
          </cell>
        </row>
        <row r="2295">
          <cell r="F2295" t="str">
            <v>H0000108491</v>
          </cell>
          <cell r="I2295" t="str">
            <v>フレーム</v>
          </cell>
          <cell r="J2295" t="str">
            <v>S-Frame_SX-40_U_TTTT</v>
          </cell>
          <cell r="K2295" t="str">
            <v>S-フレーム_SX-40_U_TTTT</v>
          </cell>
          <cell r="L2295" t="str">
            <v>S-Frame</v>
          </cell>
          <cell r="M2295" t="str">
            <v>S-フレーム</v>
          </cell>
          <cell r="P2295" t="str">
            <v>31B0</v>
          </cell>
          <cell r="Q2295" t="str">
            <v>SS400</v>
          </cell>
          <cell r="R2295" t="str">
            <v>E389460_01</v>
          </cell>
          <cell r="S2295">
            <v>800</v>
          </cell>
          <cell r="T2295" t="str">
            <v>標準</v>
          </cell>
        </row>
        <row r="2296">
          <cell r="F2296" t="str">
            <v>H0000108492</v>
          </cell>
          <cell r="I2296" t="str">
            <v>フレーム</v>
          </cell>
          <cell r="J2296" t="str">
            <v>S-Frame_SX-40_U_TTTT</v>
          </cell>
          <cell r="K2296" t="str">
            <v>S-フレーム_SX-40_U_TTTT</v>
          </cell>
          <cell r="L2296" t="str">
            <v>S-Frame</v>
          </cell>
          <cell r="M2296" t="str">
            <v>S-フレーム</v>
          </cell>
          <cell r="P2296" t="str">
            <v>31B0</v>
          </cell>
          <cell r="Q2296" t="str">
            <v>SS400</v>
          </cell>
          <cell r="R2296" t="str">
            <v>E389460_01</v>
          </cell>
          <cell r="S2296">
            <v>800</v>
          </cell>
          <cell r="T2296" t="str">
            <v>標準</v>
          </cell>
        </row>
        <row r="2297">
          <cell r="F2297" t="str">
            <v>H0000108493</v>
          </cell>
          <cell r="I2297" t="str">
            <v>フレーム</v>
          </cell>
          <cell r="J2297" t="str">
            <v>S-Frame_SX-40_U_TTTT</v>
          </cell>
          <cell r="K2297" t="str">
            <v>S-フレーム_SX-40_U_TTTT</v>
          </cell>
          <cell r="L2297" t="str">
            <v>S-Frame</v>
          </cell>
          <cell r="M2297" t="str">
            <v>S-フレーム</v>
          </cell>
          <cell r="P2297" t="str">
            <v>31B0</v>
          </cell>
          <cell r="Q2297" t="str">
            <v>SS400</v>
          </cell>
          <cell r="R2297" t="str">
            <v>E389460_01</v>
          </cell>
          <cell r="S2297">
            <v>800</v>
          </cell>
          <cell r="T2297" t="str">
            <v>標準</v>
          </cell>
        </row>
        <row r="2298">
          <cell r="F2298" t="str">
            <v>H0000108494</v>
          </cell>
          <cell r="I2298" t="str">
            <v>フレーム</v>
          </cell>
          <cell r="J2298" t="str">
            <v>S-Frame_SX-40_U_TTTT</v>
          </cell>
          <cell r="K2298" t="str">
            <v>S-フレーム_SX-40_U_TTTT</v>
          </cell>
          <cell r="L2298" t="str">
            <v>S-Frame</v>
          </cell>
          <cell r="M2298" t="str">
            <v>S-フレーム</v>
          </cell>
          <cell r="P2298" t="str">
            <v>31B0</v>
          </cell>
          <cell r="Q2298" t="str">
            <v>SS400</v>
          </cell>
          <cell r="R2298" t="str">
            <v>E389460_01</v>
          </cell>
          <cell r="S2298">
            <v>800</v>
          </cell>
          <cell r="T2298" t="str">
            <v>標準</v>
          </cell>
        </row>
        <row r="2299">
          <cell r="F2299" t="str">
            <v>H0000108495</v>
          </cell>
          <cell r="I2299" t="str">
            <v>フレーム</v>
          </cell>
          <cell r="J2299" t="str">
            <v>S-Frame_SX-40_U_TTTT</v>
          </cell>
          <cell r="K2299" t="str">
            <v>S-フレーム_SX-40_U_TTTT</v>
          </cell>
          <cell r="L2299" t="str">
            <v>S-Frame</v>
          </cell>
          <cell r="M2299" t="str">
            <v>S-フレーム</v>
          </cell>
          <cell r="P2299" t="str">
            <v>31B0</v>
          </cell>
          <cell r="Q2299" t="str">
            <v>SS400</v>
          </cell>
          <cell r="R2299" t="str">
            <v>E389460_01</v>
          </cell>
          <cell r="S2299">
            <v>800</v>
          </cell>
          <cell r="T2299" t="str">
            <v>標準</v>
          </cell>
        </row>
        <row r="2300">
          <cell r="F2300" t="str">
            <v>H0000108496</v>
          </cell>
          <cell r="I2300" t="str">
            <v>フレーム</v>
          </cell>
          <cell r="J2300" t="str">
            <v>S-Frame_SX-40_U_TTTT</v>
          </cell>
          <cell r="K2300" t="str">
            <v>S-フレーム_SX-40_U_TTTT</v>
          </cell>
          <cell r="L2300" t="str">
            <v>S-Frame</v>
          </cell>
          <cell r="M2300" t="str">
            <v>S-フレーム</v>
          </cell>
          <cell r="P2300" t="str">
            <v>31B0</v>
          </cell>
          <cell r="Q2300" t="str">
            <v>SS400</v>
          </cell>
          <cell r="R2300" t="str">
            <v>E389460_01</v>
          </cell>
          <cell r="S2300">
            <v>800</v>
          </cell>
          <cell r="T2300" t="str">
            <v>標準</v>
          </cell>
        </row>
        <row r="2301">
          <cell r="F2301" t="str">
            <v>H0000108497</v>
          </cell>
          <cell r="I2301" t="str">
            <v>フレーム</v>
          </cell>
          <cell r="J2301" t="str">
            <v>S-Frame_SX-40_U_TTTT</v>
          </cell>
          <cell r="K2301" t="str">
            <v>S-フレーム_SX-40_U_TTTT</v>
          </cell>
          <cell r="L2301" t="str">
            <v>S-Frame</v>
          </cell>
          <cell r="M2301" t="str">
            <v>S-フレーム</v>
          </cell>
          <cell r="P2301" t="str">
            <v>31B0</v>
          </cell>
          <cell r="Q2301" t="str">
            <v>SS400</v>
          </cell>
          <cell r="R2301" t="str">
            <v>E389460_01</v>
          </cell>
          <cell r="S2301">
            <v>800</v>
          </cell>
          <cell r="T2301" t="str">
            <v>標準</v>
          </cell>
        </row>
        <row r="2302">
          <cell r="F2302" t="str">
            <v>H0000108498</v>
          </cell>
          <cell r="I2302" t="str">
            <v>フレーム</v>
          </cell>
          <cell r="J2302" t="str">
            <v>S-Frame_SX-40_U_TTTT</v>
          </cell>
          <cell r="K2302" t="str">
            <v>S-フレーム_SX-40_U_TTTT</v>
          </cell>
          <cell r="L2302" t="str">
            <v>S-Frame</v>
          </cell>
          <cell r="M2302" t="str">
            <v>S-フレーム</v>
          </cell>
          <cell r="P2302" t="str">
            <v>31B0</v>
          </cell>
          <cell r="Q2302" t="str">
            <v>SS400</v>
          </cell>
          <cell r="R2302" t="str">
            <v>E389460_01</v>
          </cell>
          <cell r="S2302">
            <v>800</v>
          </cell>
          <cell r="T2302" t="str">
            <v>標準</v>
          </cell>
        </row>
        <row r="2303">
          <cell r="F2303" t="str">
            <v>H0000108499</v>
          </cell>
          <cell r="I2303" t="str">
            <v>フレーム</v>
          </cell>
          <cell r="J2303" t="str">
            <v>S-Frame_SX-40_U_TTTT</v>
          </cell>
          <cell r="K2303" t="str">
            <v>S-フレーム_SX-40_U_TTTT</v>
          </cell>
          <cell r="L2303" t="str">
            <v>S-Frame</v>
          </cell>
          <cell r="M2303" t="str">
            <v>S-フレーム</v>
          </cell>
          <cell r="P2303" t="str">
            <v>31B0</v>
          </cell>
          <cell r="Q2303" t="str">
            <v>SS400</v>
          </cell>
          <cell r="R2303" t="str">
            <v>E389460_01</v>
          </cell>
          <cell r="S2303">
            <v>800</v>
          </cell>
          <cell r="T2303" t="str">
            <v>標準</v>
          </cell>
        </row>
        <row r="2304">
          <cell r="F2304" t="str">
            <v>H0000108500</v>
          </cell>
          <cell r="I2304" t="str">
            <v>フレーム</v>
          </cell>
          <cell r="J2304" t="str">
            <v>S-Frame_SX-40_U_TTTT</v>
          </cell>
          <cell r="K2304" t="str">
            <v>S-フレーム_SX-40_U_TTTT</v>
          </cell>
          <cell r="L2304" t="str">
            <v>S-Frame</v>
          </cell>
          <cell r="M2304" t="str">
            <v>S-フレーム</v>
          </cell>
          <cell r="P2304" t="str">
            <v>31B0</v>
          </cell>
          <cell r="Q2304" t="str">
            <v>SS400</v>
          </cell>
          <cell r="R2304" t="str">
            <v>E389460_01</v>
          </cell>
          <cell r="S2304">
            <v>800</v>
          </cell>
          <cell r="T2304" t="str">
            <v>標準</v>
          </cell>
        </row>
        <row r="2305">
          <cell r="F2305" t="str">
            <v>H0000108501</v>
          </cell>
          <cell r="I2305" t="str">
            <v>フレーム</v>
          </cell>
          <cell r="J2305" t="str">
            <v>S-Frame_SX-40_U_TTTT</v>
          </cell>
          <cell r="K2305" t="str">
            <v>S-フレーム_SX-40_U_TTTT</v>
          </cell>
          <cell r="L2305" t="str">
            <v>S-Frame</v>
          </cell>
          <cell r="M2305" t="str">
            <v>S-フレーム</v>
          </cell>
          <cell r="P2305" t="str">
            <v>31B0</v>
          </cell>
          <cell r="Q2305" t="str">
            <v>SS400</v>
          </cell>
          <cell r="R2305" t="str">
            <v>E389460_01</v>
          </cell>
          <cell r="S2305">
            <v>800</v>
          </cell>
          <cell r="T2305" t="str">
            <v>標準</v>
          </cell>
        </row>
        <row r="2306">
          <cell r="F2306" t="str">
            <v>H0000108502</v>
          </cell>
          <cell r="I2306" t="str">
            <v>フレーム</v>
          </cell>
          <cell r="J2306" t="str">
            <v>S-Frame_SX-40_U_TTTT</v>
          </cell>
          <cell r="K2306" t="str">
            <v>S-フレーム_SX-40_U_TTTT</v>
          </cell>
          <cell r="L2306" t="str">
            <v>S-Frame</v>
          </cell>
          <cell r="M2306" t="str">
            <v>S-フレーム</v>
          </cell>
          <cell r="P2306" t="str">
            <v>31B0</v>
          </cell>
          <cell r="Q2306" t="str">
            <v>SS400</v>
          </cell>
          <cell r="R2306" t="str">
            <v>E389460_01</v>
          </cell>
          <cell r="S2306">
            <v>800</v>
          </cell>
          <cell r="T2306" t="str">
            <v>標準</v>
          </cell>
        </row>
        <row r="2307">
          <cell r="F2307" t="str">
            <v>H0000108503</v>
          </cell>
          <cell r="I2307" t="str">
            <v>フレーム</v>
          </cell>
          <cell r="J2307" t="str">
            <v>S-Frame_SX-40_U_TTTT</v>
          </cell>
          <cell r="K2307" t="str">
            <v>S-フレーム_SX-40_U_TTTT</v>
          </cell>
          <cell r="L2307" t="str">
            <v>S-Frame</v>
          </cell>
          <cell r="M2307" t="str">
            <v>S-フレーム</v>
          </cell>
          <cell r="P2307" t="str">
            <v>31B0</v>
          </cell>
          <cell r="Q2307" t="str">
            <v>SS400</v>
          </cell>
          <cell r="R2307" t="str">
            <v>E389460_01</v>
          </cell>
          <cell r="S2307">
            <v>800</v>
          </cell>
          <cell r="T2307" t="str">
            <v>標準</v>
          </cell>
        </row>
        <row r="2308">
          <cell r="F2308" t="str">
            <v>H0000108504</v>
          </cell>
          <cell r="I2308" t="str">
            <v>フレーム</v>
          </cell>
          <cell r="J2308" t="str">
            <v>S-Frame_SX-40_U_TTTT</v>
          </cell>
          <cell r="K2308" t="str">
            <v>S-フレーム_SX-40_U_TTTT</v>
          </cell>
          <cell r="L2308" t="str">
            <v>S-Frame</v>
          </cell>
          <cell r="M2308" t="str">
            <v>S-フレーム</v>
          </cell>
          <cell r="P2308" t="str">
            <v>31B0</v>
          </cell>
          <cell r="Q2308" t="str">
            <v>SS400</v>
          </cell>
          <cell r="R2308" t="str">
            <v>E389460_01</v>
          </cell>
          <cell r="S2308">
            <v>800</v>
          </cell>
          <cell r="T2308" t="str">
            <v>標準</v>
          </cell>
        </row>
        <row r="2309">
          <cell r="F2309" t="str">
            <v>H0000108505</v>
          </cell>
          <cell r="I2309" t="str">
            <v>フレーム</v>
          </cell>
          <cell r="J2309" t="str">
            <v>S-Frame_SX-40_U_TKTK</v>
          </cell>
          <cell r="K2309" t="str">
            <v>S-フレーム_SX-40_U_TKTK</v>
          </cell>
          <cell r="L2309" t="str">
            <v>S-Frame</v>
          </cell>
          <cell r="M2309" t="str">
            <v>S-フレーム</v>
          </cell>
          <cell r="P2309" t="str">
            <v>31B0</v>
          </cell>
          <cell r="Q2309" t="str">
            <v>SS400</v>
          </cell>
          <cell r="R2309" t="str">
            <v>E389460_01</v>
          </cell>
          <cell r="S2309">
            <v>800</v>
          </cell>
          <cell r="T2309" t="str">
            <v>標準</v>
          </cell>
        </row>
        <row r="2310">
          <cell r="F2310" t="str">
            <v>H0000108506</v>
          </cell>
          <cell r="I2310" t="str">
            <v>フレーム</v>
          </cell>
          <cell r="J2310" t="str">
            <v>S-Frame_SX-40_U_TKTK</v>
          </cell>
          <cell r="K2310" t="str">
            <v>S-フレーム_SX-40_U_TKTK</v>
          </cell>
          <cell r="L2310" t="str">
            <v>S-Frame</v>
          </cell>
          <cell r="M2310" t="str">
            <v>S-フレーム</v>
          </cell>
          <cell r="P2310" t="str">
            <v>31B0</v>
          </cell>
          <cell r="Q2310" t="str">
            <v>SS400</v>
          </cell>
          <cell r="R2310" t="str">
            <v>E389460_01</v>
          </cell>
          <cell r="S2310">
            <v>800</v>
          </cell>
          <cell r="T2310" t="str">
            <v>標準</v>
          </cell>
        </row>
        <row r="2311">
          <cell r="F2311" t="str">
            <v>H0000108507</v>
          </cell>
          <cell r="I2311" t="str">
            <v>フレーム</v>
          </cell>
          <cell r="J2311" t="str">
            <v>S-Frame_SX-40_U_TKTK</v>
          </cell>
          <cell r="K2311" t="str">
            <v>S-フレーム_SX-40_U_TKTK</v>
          </cell>
          <cell r="L2311" t="str">
            <v>S-Frame</v>
          </cell>
          <cell r="M2311" t="str">
            <v>S-フレーム</v>
          </cell>
          <cell r="P2311" t="str">
            <v>31B0</v>
          </cell>
          <cell r="Q2311" t="str">
            <v>SS400</v>
          </cell>
          <cell r="R2311" t="str">
            <v>E389460_01</v>
          </cell>
          <cell r="S2311">
            <v>800</v>
          </cell>
          <cell r="T2311" t="str">
            <v>標準</v>
          </cell>
        </row>
        <row r="2312">
          <cell r="F2312" t="str">
            <v>H0000108508</v>
          </cell>
          <cell r="I2312" t="str">
            <v>フレーム</v>
          </cell>
          <cell r="J2312" t="str">
            <v>S-Frame_SX-40_U_TKTK</v>
          </cell>
          <cell r="K2312" t="str">
            <v>S-フレーム_SX-40_U_TKTK</v>
          </cell>
          <cell r="L2312" t="str">
            <v>S-Frame</v>
          </cell>
          <cell r="M2312" t="str">
            <v>S-フレーム</v>
          </cell>
          <cell r="P2312" t="str">
            <v>31B0</v>
          </cell>
          <cell r="Q2312" t="str">
            <v>SS400</v>
          </cell>
          <cell r="R2312" t="str">
            <v>E389460_01</v>
          </cell>
          <cell r="S2312">
            <v>800</v>
          </cell>
          <cell r="T2312" t="str">
            <v>標準</v>
          </cell>
        </row>
        <row r="2313">
          <cell r="F2313" t="str">
            <v>H0000108509</v>
          </cell>
          <cell r="I2313" t="str">
            <v>フレーム</v>
          </cell>
          <cell r="J2313" t="str">
            <v>S-Frame_SX-40_U_TKTK</v>
          </cell>
          <cell r="K2313" t="str">
            <v>S-フレーム_SX-40_U_TKTK</v>
          </cell>
          <cell r="L2313" t="str">
            <v>S-Frame</v>
          </cell>
          <cell r="M2313" t="str">
            <v>S-フレーム</v>
          </cell>
          <cell r="P2313" t="str">
            <v>31B0</v>
          </cell>
          <cell r="Q2313" t="str">
            <v>SS400</v>
          </cell>
          <cell r="R2313" t="str">
            <v>E389460_01</v>
          </cell>
          <cell r="S2313">
            <v>800</v>
          </cell>
          <cell r="T2313" t="str">
            <v>標準</v>
          </cell>
        </row>
        <row r="2314">
          <cell r="F2314" t="str">
            <v>H0000108510</v>
          </cell>
          <cell r="I2314" t="str">
            <v>フレーム</v>
          </cell>
          <cell r="J2314" t="str">
            <v>S-Frame_SX-40_U_TKTK</v>
          </cell>
          <cell r="K2314" t="str">
            <v>S-フレーム_SX-40_U_TKTK</v>
          </cell>
          <cell r="L2314" t="str">
            <v>S-Frame</v>
          </cell>
          <cell r="M2314" t="str">
            <v>S-フレーム</v>
          </cell>
          <cell r="P2314" t="str">
            <v>31B0</v>
          </cell>
          <cell r="Q2314" t="str">
            <v>SS400</v>
          </cell>
          <cell r="R2314" t="str">
            <v>E389460_01</v>
          </cell>
          <cell r="S2314">
            <v>800</v>
          </cell>
          <cell r="T2314" t="str">
            <v>標準</v>
          </cell>
        </row>
        <row r="2315">
          <cell r="F2315" t="str">
            <v>H0000108511</v>
          </cell>
          <cell r="I2315" t="str">
            <v>フレーム</v>
          </cell>
          <cell r="J2315" t="str">
            <v>S-Frame_SX-40_U_TKTK</v>
          </cell>
          <cell r="K2315" t="str">
            <v>S-フレーム_SX-40_U_TKTK</v>
          </cell>
          <cell r="L2315" t="str">
            <v>S-Frame</v>
          </cell>
          <cell r="M2315" t="str">
            <v>S-フレーム</v>
          </cell>
          <cell r="P2315" t="str">
            <v>31B0</v>
          </cell>
          <cell r="Q2315" t="str">
            <v>SS400</v>
          </cell>
          <cell r="R2315" t="str">
            <v>E389460_01</v>
          </cell>
          <cell r="S2315">
            <v>800</v>
          </cell>
          <cell r="T2315" t="str">
            <v>標準</v>
          </cell>
        </row>
        <row r="2316">
          <cell r="F2316" t="str">
            <v>H0000108512</v>
          </cell>
          <cell r="I2316" t="str">
            <v>フレーム</v>
          </cell>
          <cell r="J2316" t="str">
            <v>S-Frame_SX-40_U_TKTK</v>
          </cell>
          <cell r="K2316" t="str">
            <v>S-フレーム_SX-40_U_TKTK</v>
          </cell>
          <cell r="L2316" t="str">
            <v>S-Frame</v>
          </cell>
          <cell r="M2316" t="str">
            <v>S-フレーム</v>
          </cell>
          <cell r="P2316" t="str">
            <v>31B0</v>
          </cell>
          <cell r="Q2316" t="str">
            <v>SS400</v>
          </cell>
          <cell r="R2316" t="str">
            <v>E389460_01</v>
          </cell>
          <cell r="S2316">
            <v>800</v>
          </cell>
          <cell r="T2316" t="str">
            <v>標準</v>
          </cell>
        </row>
        <row r="2317">
          <cell r="F2317" t="str">
            <v>H0000108513</v>
          </cell>
          <cell r="I2317" t="str">
            <v>フレーム</v>
          </cell>
          <cell r="J2317" t="str">
            <v>S-Frame_SX-40_U_TKTK</v>
          </cell>
          <cell r="K2317" t="str">
            <v>S-フレーム_SX-40_U_TKTK</v>
          </cell>
          <cell r="L2317" t="str">
            <v>S-Frame</v>
          </cell>
          <cell r="M2317" t="str">
            <v>S-フレーム</v>
          </cell>
          <cell r="P2317" t="str">
            <v>31B0</v>
          </cell>
          <cell r="Q2317" t="str">
            <v>SS400</v>
          </cell>
          <cell r="R2317" t="str">
            <v>E389460_01</v>
          </cell>
          <cell r="S2317">
            <v>800</v>
          </cell>
          <cell r="T2317" t="str">
            <v>標準</v>
          </cell>
        </row>
        <row r="2318">
          <cell r="F2318" t="str">
            <v>H0000108514</v>
          </cell>
          <cell r="I2318" t="str">
            <v>フレーム</v>
          </cell>
          <cell r="J2318" t="str">
            <v>S-Frame_SX-40_U_TKTK</v>
          </cell>
          <cell r="K2318" t="str">
            <v>S-フレーム_SX-40_U_TKTK</v>
          </cell>
          <cell r="L2318" t="str">
            <v>S-Frame</v>
          </cell>
          <cell r="M2318" t="str">
            <v>S-フレーム</v>
          </cell>
          <cell r="P2318" t="str">
            <v>31B0</v>
          </cell>
          <cell r="Q2318" t="str">
            <v>SS400</v>
          </cell>
          <cell r="R2318" t="str">
            <v>E389460_01</v>
          </cell>
          <cell r="S2318">
            <v>800</v>
          </cell>
          <cell r="T2318" t="str">
            <v>標準</v>
          </cell>
        </row>
        <row r="2319">
          <cell r="F2319" t="str">
            <v>H0000108515</v>
          </cell>
          <cell r="I2319" t="str">
            <v>フレーム</v>
          </cell>
          <cell r="J2319" t="str">
            <v>S-Frame_SX-40_U_TKTK</v>
          </cell>
          <cell r="K2319" t="str">
            <v>S-フレーム_SX-40_U_TKTK</v>
          </cell>
          <cell r="L2319" t="str">
            <v>S-Frame</v>
          </cell>
          <cell r="M2319" t="str">
            <v>S-フレーム</v>
          </cell>
          <cell r="P2319" t="str">
            <v>31B0</v>
          </cell>
          <cell r="Q2319" t="str">
            <v>SS400</v>
          </cell>
          <cell r="R2319" t="str">
            <v>E389460_01</v>
          </cell>
          <cell r="S2319">
            <v>800</v>
          </cell>
          <cell r="T2319" t="str">
            <v>標準</v>
          </cell>
        </row>
        <row r="2320">
          <cell r="F2320" t="str">
            <v>H0000108516</v>
          </cell>
          <cell r="I2320" t="str">
            <v>フレーム</v>
          </cell>
          <cell r="J2320" t="str">
            <v>S-Frame_SX-40_U_TKTK</v>
          </cell>
          <cell r="K2320" t="str">
            <v>S-フレーム_SX-40_U_TKTK</v>
          </cell>
          <cell r="L2320" t="str">
            <v>S-Frame</v>
          </cell>
          <cell r="M2320" t="str">
            <v>S-フレーム</v>
          </cell>
          <cell r="P2320" t="str">
            <v>31B0</v>
          </cell>
          <cell r="Q2320" t="str">
            <v>SS400</v>
          </cell>
          <cell r="R2320" t="str">
            <v>E389460_01</v>
          </cell>
          <cell r="S2320">
            <v>800</v>
          </cell>
          <cell r="T2320" t="str">
            <v>標準</v>
          </cell>
        </row>
        <row r="2321">
          <cell r="F2321" t="str">
            <v>H0000108517</v>
          </cell>
          <cell r="I2321" t="str">
            <v>フレーム</v>
          </cell>
          <cell r="J2321" t="str">
            <v>S-Frame_SX-40_U_TKTK</v>
          </cell>
          <cell r="K2321" t="str">
            <v>S-フレーム_SX-40_U_TKTK</v>
          </cell>
          <cell r="L2321" t="str">
            <v>S-Frame</v>
          </cell>
          <cell r="M2321" t="str">
            <v>S-フレーム</v>
          </cell>
          <cell r="P2321" t="str">
            <v>31B0</v>
          </cell>
          <cell r="Q2321" t="str">
            <v>SS400</v>
          </cell>
          <cell r="R2321" t="str">
            <v>E389460_01</v>
          </cell>
          <cell r="S2321">
            <v>800</v>
          </cell>
          <cell r="T2321" t="str">
            <v>標準</v>
          </cell>
        </row>
        <row r="2322">
          <cell r="F2322" t="str">
            <v>H0000108518</v>
          </cell>
          <cell r="I2322" t="str">
            <v>フレーム</v>
          </cell>
          <cell r="J2322" t="str">
            <v>S-Frame_SX-40_U_TKTK</v>
          </cell>
          <cell r="K2322" t="str">
            <v>S-フレーム_SX-40_U_TKTK</v>
          </cell>
          <cell r="L2322" t="str">
            <v>S-Frame</v>
          </cell>
          <cell r="M2322" t="str">
            <v>S-フレーム</v>
          </cell>
          <cell r="P2322" t="str">
            <v>31B0</v>
          </cell>
          <cell r="Q2322" t="str">
            <v>SS400</v>
          </cell>
          <cell r="R2322" t="str">
            <v>E389460_01</v>
          </cell>
          <cell r="S2322">
            <v>800</v>
          </cell>
          <cell r="T2322" t="str">
            <v>標準</v>
          </cell>
        </row>
        <row r="2323">
          <cell r="F2323" t="str">
            <v>H0000108519</v>
          </cell>
          <cell r="I2323" t="str">
            <v>フレーム</v>
          </cell>
          <cell r="J2323" t="str">
            <v>S-Frame_SX-40_U_TKTK</v>
          </cell>
          <cell r="K2323" t="str">
            <v>S-フレーム_SX-40_U_TKTK</v>
          </cell>
          <cell r="L2323" t="str">
            <v>S-Frame</v>
          </cell>
          <cell r="M2323" t="str">
            <v>S-フレーム</v>
          </cell>
          <cell r="P2323" t="str">
            <v>31B0</v>
          </cell>
          <cell r="Q2323" t="str">
            <v>SS400</v>
          </cell>
          <cell r="R2323" t="str">
            <v>E389460_01</v>
          </cell>
          <cell r="S2323">
            <v>800</v>
          </cell>
          <cell r="T2323" t="str">
            <v>標準</v>
          </cell>
        </row>
        <row r="2324">
          <cell r="F2324" t="str">
            <v>H0000108520</v>
          </cell>
          <cell r="I2324" t="str">
            <v>フレーム</v>
          </cell>
          <cell r="J2324" t="str">
            <v>S-Frame_SX-40_U_TKTK</v>
          </cell>
          <cell r="K2324" t="str">
            <v>S-フレーム_SX-40_U_TKTK</v>
          </cell>
          <cell r="L2324" t="str">
            <v>S-Frame</v>
          </cell>
          <cell r="M2324" t="str">
            <v>S-フレーム</v>
          </cell>
          <cell r="P2324" t="str">
            <v>31B0</v>
          </cell>
          <cell r="Q2324" t="str">
            <v>SS400</v>
          </cell>
          <cell r="R2324" t="str">
            <v>E389460_01</v>
          </cell>
          <cell r="S2324">
            <v>800</v>
          </cell>
          <cell r="T2324" t="str">
            <v>標準</v>
          </cell>
        </row>
        <row r="2325">
          <cell r="F2325" t="str">
            <v>H0000108521</v>
          </cell>
          <cell r="I2325" t="str">
            <v>フレーム</v>
          </cell>
          <cell r="J2325" t="str">
            <v>S-Frame_SX-40_U_TKTK</v>
          </cell>
          <cell r="K2325" t="str">
            <v>S-フレーム_SX-40_U_TKTK</v>
          </cell>
          <cell r="L2325" t="str">
            <v>S-Frame</v>
          </cell>
          <cell r="M2325" t="str">
            <v>S-フレーム</v>
          </cell>
          <cell r="P2325" t="str">
            <v>31B0</v>
          </cell>
          <cell r="Q2325" t="str">
            <v>SS400</v>
          </cell>
          <cell r="R2325" t="str">
            <v>E389460_01</v>
          </cell>
          <cell r="S2325">
            <v>800</v>
          </cell>
          <cell r="T2325" t="str">
            <v>標準</v>
          </cell>
        </row>
        <row r="2326">
          <cell r="F2326" t="str">
            <v>H0000108522</v>
          </cell>
          <cell r="I2326" t="str">
            <v>フレーム</v>
          </cell>
          <cell r="J2326" t="str">
            <v>S-Frame_SX-40_U_TKTK</v>
          </cell>
          <cell r="K2326" t="str">
            <v>S-フレーム_SX-40_U_TKTK</v>
          </cell>
          <cell r="L2326" t="str">
            <v>S-Frame</v>
          </cell>
          <cell r="M2326" t="str">
            <v>S-フレーム</v>
          </cell>
          <cell r="P2326" t="str">
            <v>31B0</v>
          </cell>
          <cell r="Q2326" t="str">
            <v>SS400</v>
          </cell>
          <cell r="R2326" t="str">
            <v>E389460_01</v>
          </cell>
          <cell r="S2326">
            <v>800</v>
          </cell>
          <cell r="T2326" t="str">
            <v>標準</v>
          </cell>
        </row>
        <row r="2327">
          <cell r="F2327" t="str">
            <v>H0000108523</v>
          </cell>
          <cell r="I2327" t="str">
            <v>フレーム</v>
          </cell>
          <cell r="J2327" t="str">
            <v>S-Frame_SX-40_U_TKTK</v>
          </cell>
          <cell r="K2327" t="str">
            <v>S-フレーム_SX-40_U_TKTK</v>
          </cell>
          <cell r="L2327" t="str">
            <v>S-Frame</v>
          </cell>
          <cell r="M2327" t="str">
            <v>S-フレーム</v>
          </cell>
          <cell r="P2327" t="str">
            <v>31B0</v>
          </cell>
          <cell r="Q2327" t="str">
            <v>SS400</v>
          </cell>
          <cell r="R2327" t="str">
            <v>E389460_01</v>
          </cell>
          <cell r="S2327">
            <v>800</v>
          </cell>
          <cell r="T2327" t="str">
            <v>標準</v>
          </cell>
        </row>
        <row r="2328">
          <cell r="F2328" t="str">
            <v>H0000108524</v>
          </cell>
          <cell r="I2328" t="str">
            <v>フレーム</v>
          </cell>
          <cell r="J2328" t="str">
            <v>S-Frame_SX-40_U_TKTK</v>
          </cell>
          <cell r="K2328" t="str">
            <v>S-フレーム_SX-40_U_TKTK</v>
          </cell>
          <cell r="L2328" t="str">
            <v>S-Frame</v>
          </cell>
          <cell r="M2328" t="str">
            <v>S-フレーム</v>
          </cell>
          <cell r="P2328" t="str">
            <v>31B0</v>
          </cell>
          <cell r="Q2328" t="str">
            <v>SS400</v>
          </cell>
          <cell r="R2328" t="str">
            <v>E389460_01</v>
          </cell>
          <cell r="S2328">
            <v>800</v>
          </cell>
          <cell r="T2328" t="str">
            <v>標準</v>
          </cell>
        </row>
        <row r="2329">
          <cell r="F2329" t="str">
            <v>H0000108525</v>
          </cell>
          <cell r="I2329" t="str">
            <v>フレーム</v>
          </cell>
          <cell r="J2329" t="str">
            <v>S-Frame_SX-40_U_TKTK</v>
          </cell>
          <cell r="K2329" t="str">
            <v>S-フレーム_SX-40_U_TKTK</v>
          </cell>
          <cell r="L2329" t="str">
            <v>S-Frame</v>
          </cell>
          <cell r="M2329" t="str">
            <v>S-フレーム</v>
          </cell>
          <cell r="P2329" t="str">
            <v>31B0</v>
          </cell>
          <cell r="Q2329" t="str">
            <v>SS400</v>
          </cell>
          <cell r="R2329" t="str">
            <v>E389460_01</v>
          </cell>
          <cell r="S2329">
            <v>800</v>
          </cell>
          <cell r="T2329" t="str">
            <v>標準</v>
          </cell>
        </row>
        <row r="2330">
          <cell r="F2330" t="str">
            <v>H0000108526</v>
          </cell>
          <cell r="I2330" t="str">
            <v>フレーム</v>
          </cell>
          <cell r="J2330" t="str">
            <v>S-Frame_SX-40_U_TKTK</v>
          </cell>
          <cell r="K2330" t="str">
            <v>S-フレーム_SX-40_U_TKTK</v>
          </cell>
          <cell r="L2330" t="str">
            <v>S-Frame</v>
          </cell>
          <cell r="M2330" t="str">
            <v>S-フレーム</v>
          </cell>
          <cell r="P2330" t="str">
            <v>31B0</v>
          </cell>
          <cell r="Q2330" t="str">
            <v>SS400</v>
          </cell>
          <cell r="R2330" t="str">
            <v>E389460_01</v>
          </cell>
          <cell r="S2330">
            <v>800</v>
          </cell>
          <cell r="T2330" t="str">
            <v>標準</v>
          </cell>
        </row>
        <row r="2331">
          <cell r="F2331" t="str">
            <v>H0000108527</v>
          </cell>
          <cell r="I2331" t="str">
            <v>フレーム</v>
          </cell>
          <cell r="J2331" t="str">
            <v>S-Frame_SX-40_U_TKTK</v>
          </cell>
          <cell r="K2331" t="str">
            <v>S-フレーム_SX-40_U_TKTK</v>
          </cell>
          <cell r="L2331" t="str">
            <v>S-Frame</v>
          </cell>
          <cell r="M2331" t="str">
            <v>S-フレーム</v>
          </cell>
          <cell r="P2331" t="str">
            <v>31B0</v>
          </cell>
          <cell r="Q2331" t="str">
            <v>SS400</v>
          </cell>
          <cell r="R2331" t="str">
            <v>E389460_01</v>
          </cell>
          <cell r="S2331">
            <v>800</v>
          </cell>
          <cell r="T2331" t="str">
            <v>標準</v>
          </cell>
        </row>
        <row r="2332">
          <cell r="F2332" t="str">
            <v>H0000108528</v>
          </cell>
          <cell r="I2332" t="str">
            <v>フレーム</v>
          </cell>
          <cell r="J2332" t="str">
            <v>S-Frame_SX-40_U_TKTK</v>
          </cell>
          <cell r="K2332" t="str">
            <v>S-フレーム_SX-40_U_TKTK</v>
          </cell>
          <cell r="L2332" t="str">
            <v>S-Frame</v>
          </cell>
          <cell r="M2332" t="str">
            <v>S-フレーム</v>
          </cell>
          <cell r="P2332" t="str">
            <v>31B0</v>
          </cell>
          <cell r="Q2332" t="str">
            <v>SS400</v>
          </cell>
          <cell r="R2332" t="str">
            <v>E389460_01</v>
          </cell>
          <cell r="S2332">
            <v>800</v>
          </cell>
          <cell r="T2332" t="str">
            <v>標準</v>
          </cell>
        </row>
        <row r="2333">
          <cell r="F2333" t="str">
            <v>H0000108529</v>
          </cell>
          <cell r="I2333" t="str">
            <v>フレーム</v>
          </cell>
          <cell r="J2333" t="str">
            <v>S-Frame_SX-40_U_TKTK</v>
          </cell>
          <cell r="K2333" t="str">
            <v>S-フレーム_SX-40_U_TKTK</v>
          </cell>
          <cell r="L2333" t="str">
            <v>S-Frame</v>
          </cell>
          <cell r="M2333" t="str">
            <v>S-フレーム</v>
          </cell>
          <cell r="P2333" t="str">
            <v>31B0</v>
          </cell>
          <cell r="Q2333" t="str">
            <v>SS400</v>
          </cell>
          <cell r="R2333" t="str">
            <v>E389460_01</v>
          </cell>
          <cell r="S2333">
            <v>800</v>
          </cell>
          <cell r="T2333" t="str">
            <v>標準</v>
          </cell>
        </row>
        <row r="2334">
          <cell r="F2334" t="str">
            <v>H0000108530</v>
          </cell>
          <cell r="I2334" t="str">
            <v>フレーム</v>
          </cell>
          <cell r="J2334" t="str">
            <v>S-Frame_SX-40_U_TKTK</v>
          </cell>
          <cell r="K2334" t="str">
            <v>S-フレーム_SX-40_U_TKTK</v>
          </cell>
          <cell r="L2334" t="str">
            <v>S-Frame</v>
          </cell>
          <cell r="M2334" t="str">
            <v>S-フレーム</v>
          </cell>
          <cell r="P2334" t="str">
            <v>31B0</v>
          </cell>
          <cell r="Q2334" t="str">
            <v>SS400</v>
          </cell>
          <cell r="R2334" t="str">
            <v>E389460_01</v>
          </cell>
          <cell r="S2334">
            <v>800</v>
          </cell>
          <cell r="T2334" t="str">
            <v>標準</v>
          </cell>
        </row>
        <row r="2335">
          <cell r="F2335" t="str">
            <v>H0000108531</v>
          </cell>
          <cell r="I2335" t="str">
            <v>フレーム</v>
          </cell>
          <cell r="J2335" t="str">
            <v>S-Frame_SX-40_U_TKTK</v>
          </cell>
          <cell r="K2335" t="str">
            <v>S-フレーム_SX-40_U_TKTK</v>
          </cell>
          <cell r="L2335" t="str">
            <v>S-Frame</v>
          </cell>
          <cell r="M2335" t="str">
            <v>S-フレーム</v>
          </cell>
          <cell r="P2335" t="str">
            <v>31B0</v>
          </cell>
          <cell r="Q2335" t="str">
            <v>SS400</v>
          </cell>
          <cell r="R2335" t="str">
            <v>E389460_01</v>
          </cell>
          <cell r="S2335">
            <v>800</v>
          </cell>
          <cell r="T2335" t="str">
            <v>標準</v>
          </cell>
        </row>
        <row r="2336">
          <cell r="F2336" t="str">
            <v>H0000108532</v>
          </cell>
          <cell r="I2336" t="str">
            <v>フレーム</v>
          </cell>
          <cell r="J2336" t="str">
            <v>S-Frame_SX-40_U_TKTK</v>
          </cell>
          <cell r="K2336" t="str">
            <v>S-フレーム_SX-40_U_TKTK</v>
          </cell>
          <cell r="L2336" t="str">
            <v>S-Frame</v>
          </cell>
          <cell r="M2336" t="str">
            <v>S-フレーム</v>
          </cell>
          <cell r="P2336" t="str">
            <v>31B0</v>
          </cell>
          <cell r="Q2336" t="str">
            <v>SS400</v>
          </cell>
          <cell r="R2336" t="str">
            <v>E389460_01</v>
          </cell>
          <cell r="S2336">
            <v>800</v>
          </cell>
          <cell r="T2336" t="str">
            <v>標準</v>
          </cell>
        </row>
        <row r="2337">
          <cell r="F2337" t="str">
            <v>H0000108533</v>
          </cell>
          <cell r="I2337" t="str">
            <v>フレーム</v>
          </cell>
          <cell r="J2337" t="str">
            <v>S-Frame_SX-40_U_TKTK</v>
          </cell>
          <cell r="K2337" t="str">
            <v>S-フレーム_SX-40_U_TKTK</v>
          </cell>
          <cell r="L2337" t="str">
            <v>S-Frame</v>
          </cell>
          <cell r="M2337" t="str">
            <v>S-フレーム</v>
          </cell>
          <cell r="P2337" t="str">
            <v>31B0</v>
          </cell>
          <cell r="Q2337" t="str">
            <v>SS400</v>
          </cell>
          <cell r="R2337" t="str">
            <v>E389460_01</v>
          </cell>
          <cell r="S2337">
            <v>800</v>
          </cell>
          <cell r="T2337" t="str">
            <v>標準</v>
          </cell>
        </row>
        <row r="2338">
          <cell r="F2338" t="str">
            <v>H0000108534</v>
          </cell>
          <cell r="I2338" t="str">
            <v>フレーム</v>
          </cell>
          <cell r="J2338" t="str">
            <v>S-Frame_SX-40_U_TKTK</v>
          </cell>
          <cell r="K2338" t="str">
            <v>S-フレーム_SX-40_U_TKTK</v>
          </cell>
          <cell r="L2338" t="str">
            <v>S-Frame</v>
          </cell>
          <cell r="M2338" t="str">
            <v>S-フレーム</v>
          </cell>
          <cell r="P2338" t="str">
            <v>31B0</v>
          </cell>
          <cell r="Q2338" t="str">
            <v>SS400</v>
          </cell>
          <cell r="R2338" t="str">
            <v>E389460_01</v>
          </cell>
          <cell r="S2338">
            <v>800</v>
          </cell>
          <cell r="T2338" t="str">
            <v>標準</v>
          </cell>
        </row>
        <row r="2339">
          <cell r="F2339" t="str">
            <v>H0000108535</v>
          </cell>
          <cell r="I2339" t="str">
            <v>フレーム</v>
          </cell>
          <cell r="J2339" t="str">
            <v>S-Frame_SX-40_U_TKTK</v>
          </cell>
          <cell r="K2339" t="str">
            <v>S-フレーム_SX-40_U_TKTK</v>
          </cell>
          <cell r="L2339" t="str">
            <v>S-Frame</v>
          </cell>
          <cell r="M2339" t="str">
            <v>S-フレーム</v>
          </cell>
          <cell r="P2339" t="str">
            <v>31B0</v>
          </cell>
          <cell r="Q2339" t="str">
            <v>SS400</v>
          </cell>
          <cell r="R2339" t="str">
            <v>E389460_01</v>
          </cell>
          <cell r="S2339">
            <v>800</v>
          </cell>
          <cell r="T2339" t="str">
            <v>標準</v>
          </cell>
        </row>
        <row r="2340">
          <cell r="F2340" t="str">
            <v>H0000108536</v>
          </cell>
          <cell r="I2340" t="str">
            <v>フレーム</v>
          </cell>
          <cell r="J2340" t="str">
            <v>S-Frame_SX-40_U_TKTK</v>
          </cell>
          <cell r="K2340" t="str">
            <v>S-フレーム_SX-40_U_TKTK</v>
          </cell>
          <cell r="L2340" t="str">
            <v>S-Frame</v>
          </cell>
          <cell r="M2340" t="str">
            <v>S-フレーム</v>
          </cell>
          <cell r="P2340" t="str">
            <v>31B0</v>
          </cell>
          <cell r="Q2340" t="str">
            <v>SS400</v>
          </cell>
          <cell r="R2340" t="str">
            <v>E389460_01</v>
          </cell>
          <cell r="S2340">
            <v>800</v>
          </cell>
          <cell r="T2340" t="str">
            <v>標準</v>
          </cell>
        </row>
        <row r="2341">
          <cell r="F2341" t="str">
            <v>H0000108537</v>
          </cell>
          <cell r="I2341" t="str">
            <v>フレーム</v>
          </cell>
          <cell r="J2341" t="str">
            <v>S-Frame_SX-40_U_TKTK</v>
          </cell>
          <cell r="K2341" t="str">
            <v>S-フレーム_SX-40_U_TKTK</v>
          </cell>
          <cell r="L2341" t="str">
            <v>S-Frame</v>
          </cell>
          <cell r="M2341" t="str">
            <v>S-フレーム</v>
          </cell>
          <cell r="P2341" t="str">
            <v>31B0</v>
          </cell>
          <cell r="Q2341" t="str">
            <v>SS400</v>
          </cell>
          <cell r="R2341" t="str">
            <v>E389460_01</v>
          </cell>
          <cell r="S2341">
            <v>800</v>
          </cell>
          <cell r="T2341" t="str">
            <v>標準</v>
          </cell>
        </row>
        <row r="2342">
          <cell r="F2342" t="str">
            <v>H0000108538</v>
          </cell>
          <cell r="I2342" t="str">
            <v>フレーム</v>
          </cell>
          <cell r="J2342" t="str">
            <v>S-Frame_SX-40_U_TKTK</v>
          </cell>
          <cell r="K2342" t="str">
            <v>S-フレーム_SX-40_U_TKTK</v>
          </cell>
          <cell r="L2342" t="str">
            <v>S-Frame</v>
          </cell>
          <cell r="M2342" t="str">
            <v>S-フレーム</v>
          </cell>
          <cell r="P2342" t="str">
            <v>31B0</v>
          </cell>
          <cell r="Q2342" t="str">
            <v>SS400</v>
          </cell>
          <cell r="R2342" t="str">
            <v>E389460_01</v>
          </cell>
          <cell r="S2342">
            <v>800</v>
          </cell>
          <cell r="T2342" t="str">
            <v>標準</v>
          </cell>
        </row>
        <row r="2343">
          <cell r="F2343" t="str">
            <v>H0000108539</v>
          </cell>
          <cell r="I2343" t="str">
            <v>フレーム</v>
          </cell>
          <cell r="J2343" t="str">
            <v>S-Frame_SX-40_U_TKTK</v>
          </cell>
          <cell r="K2343" t="str">
            <v>S-フレーム_SX-40_U_TKTK</v>
          </cell>
          <cell r="L2343" t="str">
            <v>S-Frame</v>
          </cell>
          <cell r="M2343" t="str">
            <v>S-フレーム</v>
          </cell>
          <cell r="P2343" t="str">
            <v>31B0</v>
          </cell>
          <cell r="Q2343" t="str">
            <v>SS400</v>
          </cell>
          <cell r="R2343" t="str">
            <v>E389460_01</v>
          </cell>
          <cell r="S2343">
            <v>800</v>
          </cell>
          <cell r="T2343" t="str">
            <v>標準</v>
          </cell>
        </row>
        <row r="2344">
          <cell r="F2344" t="str">
            <v>H0000108540</v>
          </cell>
          <cell r="I2344" t="str">
            <v>フレーム</v>
          </cell>
          <cell r="J2344" t="str">
            <v>S-Frame_SX-40_U_TKTK</v>
          </cell>
          <cell r="K2344" t="str">
            <v>S-フレーム_SX-40_U_TKTK</v>
          </cell>
          <cell r="L2344" t="str">
            <v>S-Frame</v>
          </cell>
          <cell r="M2344" t="str">
            <v>S-フレーム</v>
          </cell>
          <cell r="P2344" t="str">
            <v>31B0</v>
          </cell>
          <cell r="Q2344" t="str">
            <v>SS400</v>
          </cell>
          <cell r="R2344" t="str">
            <v>E389460_01</v>
          </cell>
          <cell r="S2344">
            <v>800</v>
          </cell>
          <cell r="T2344" t="str">
            <v>標準</v>
          </cell>
        </row>
        <row r="2345">
          <cell r="F2345" t="str">
            <v>H0000108541</v>
          </cell>
          <cell r="I2345" t="str">
            <v>フレーム</v>
          </cell>
          <cell r="J2345" t="str">
            <v>S-Frame_SX-40_U_KTKT</v>
          </cell>
          <cell r="K2345" t="str">
            <v>S-フレーム_SX-40_U_KTKT</v>
          </cell>
          <cell r="L2345" t="str">
            <v>S-Frame</v>
          </cell>
          <cell r="M2345" t="str">
            <v>S-フレーム</v>
          </cell>
          <cell r="P2345" t="str">
            <v>31B0</v>
          </cell>
          <cell r="Q2345" t="str">
            <v>SS400</v>
          </cell>
          <cell r="R2345" t="str">
            <v>E389460_01</v>
          </cell>
          <cell r="S2345">
            <v>800</v>
          </cell>
          <cell r="T2345" t="str">
            <v>標準</v>
          </cell>
        </row>
        <row r="2346">
          <cell r="F2346" t="str">
            <v>H0000108542</v>
          </cell>
          <cell r="I2346" t="str">
            <v>フレーム</v>
          </cell>
          <cell r="J2346" t="str">
            <v>S-Frame_SX-40_U_KTKT</v>
          </cell>
          <cell r="K2346" t="str">
            <v>S-フレーム_SX-40_U_KTKT</v>
          </cell>
          <cell r="L2346" t="str">
            <v>S-Frame</v>
          </cell>
          <cell r="M2346" t="str">
            <v>S-フレーム</v>
          </cell>
          <cell r="P2346" t="str">
            <v>31B0</v>
          </cell>
          <cell r="Q2346" t="str">
            <v>SS400</v>
          </cell>
          <cell r="R2346" t="str">
            <v>E389460_01</v>
          </cell>
          <cell r="S2346">
            <v>800</v>
          </cell>
          <cell r="T2346" t="str">
            <v>標準</v>
          </cell>
        </row>
        <row r="2347">
          <cell r="F2347" t="str">
            <v>H0000108543</v>
          </cell>
          <cell r="I2347" t="str">
            <v>フレーム</v>
          </cell>
          <cell r="J2347" t="str">
            <v>S-Frame_SX-40_U_KTKT</v>
          </cell>
          <cell r="K2347" t="str">
            <v>S-フレーム_SX-40_U_KTKT</v>
          </cell>
          <cell r="L2347" t="str">
            <v>S-Frame</v>
          </cell>
          <cell r="M2347" t="str">
            <v>S-フレーム</v>
          </cell>
          <cell r="P2347" t="str">
            <v>31B0</v>
          </cell>
          <cell r="Q2347" t="str">
            <v>SS400</v>
          </cell>
          <cell r="R2347" t="str">
            <v>E389460_01</v>
          </cell>
          <cell r="S2347">
            <v>800</v>
          </cell>
          <cell r="T2347" t="str">
            <v>標準</v>
          </cell>
        </row>
        <row r="2348">
          <cell r="F2348" t="str">
            <v>H0000108544</v>
          </cell>
          <cell r="I2348" t="str">
            <v>フレーム</v>
          </cell>
          <cell r="J2348" t="str">
            <v>S-Frame_SX-40_U_KTKT</v>
          </cell>
          <cell r="K2348" t="str">
            <v>S-フレーム_SX-40_U_KTKT</v>
          </cell>
          <cell r="L2348" t="str">
            <v>S-Frame</v>
          </cell>
          <cell r="M2348" t="str">
            <v>S-フレーム</v>
          </cell>
          <cell r="P2348" t="str">
            <v>31B0</v>
          </cell>
          <cell r="Q2348" t="str">
            <v>SS400</v>
          </cell>
          <cell r="R2348" t="str">
            <v>E389460_01</v>
          </cell>
          <cell r="S2348">
            <v>800</v>
          </cell>
          <cell r="T2348" t="str">
            <v>標準</v>
          </cell>
        </row>
        <row r="2349">
          <cell r="F2349" t="str">
            <v>H0000108545</v>
          </cell>
          <cell r="I2349" t="str">
            <v>フレーム</v>
          </cell>
          <cell r="J2349" t="str">
            <v>S-Frame_SX-40_U_KTKT</v>
          </cell>
          <cell r="K2349" t="str">
            <v>S-フレーム_SX-40_U_KTKT</v>
          </cell>
          <cell r="L2349" t="str">
            <v>S-Frame</v>
          </cell>
          <cell r="M2349" t="str">
            <v>S-フレーム</v>
          </cell>
          <cell r="P2349" t="str">
            <v>31B0</v>
          </cell>
          <cell r="Q2349" t="str">
            <v>SS400</v>
          </cell>
          <cell r="R2349" t="str">
            <v>E389460_01</v>
          </cell>
          <cell r="S2349">
            <v>800</v>
          </cell>
          <cell r="T2349" t="str">
            <v>標準</v>
          </cell>
        </row>
        <row r="2350">
          <cell r="F2350" t="str">
            <v>H0000108546</v>
          </cell>
          <cell r="I2350" t="str">
            <v>フレーム</v>
          </cell>
          <cell r="J2350" t="str">
            <v>S-Frame_SX-40_U_KTKT</v>
          </cell>
          <cell r="K2350" t="str">
            <v>S-フレーム_SX-40_U_KTKT</v>
          </cell>
          <cell r="L2350" t="str">
            <v>S-Frame</v>
          </cell>
          <cell r="M2350" t="str">
            <v>S-フレーム</v>
          </cell>
          <cell r="P2350" t="str">
            <v>31B0</v>
          </cell>
          <cell r="Q2350" t="str">
            <v>SS400</v>
          </cell>
          <cell r="R2350" t="str">
            <v>E389460_01</v>
          </cell>
          <cell r="S2350">
            <v>800</v>
          </cell>
          <cell r="T2350" t="str">
            <v>標準</v>
          </cell>
        </row>
        <row r="2351">
          <cell r="F2351" t="str">
            <v>H0000108547</v>
          </cell>
          <cell r="I2351" t="str">
            <v>フレーム</v>
          </cell>
          <cell r="J2351" t="str">
            <v>S-Frame_SX-40_U_KTKT</v>
          </cell>
          <cell r="K2351" t="str">
            <v>S-フレーム_SX-40_U_KTKT</v>
          </cell>
          <cell r="L2351" t="str">
            <v>S-Frame</v>
          </cell>
          <cell r="M2351" t="str">
            <v>S-フレーム</v>
          </cell>
          <cell r="P2351" t="str">
            <v>31B0</v>
          </cell>
          <cell r="Q2351" t="str">
            <v>SS400</v>
          </cell>
          <cell r="R2351" t="str">
            <v>E389460_01</v>
          </cell>
          <cell r="S2351">
            <v>800</v>
          </cell>
          <cell r="T2351" t="str">
            <v>標準</v>
          </cell>
        </row>
        <row r="2352">
          <cell r="F2352" t="str">
            <v>H0000108548</v>
          </cell>
          <cell r="I2352" t="str">
            <v>フレーム</v>
          </cell>
          <cell r="J2352" t="str">
            <v>S-Frame_SX-40_U_KTKT</v>
          </cell>
          <cell r="K2352" t="str">
            <v>S-フレーム_SX-40_U_KTKT</v>
          </cell>
          <cell r="L2352" t="str">
            <v>S-Frame</v>
          </cell>
          <cell r="M2352" t="str">
            <v>S-フレーム</v>
          </cell>
          <cell r="P2352" t="str">
            <v>31B0</v>
          </cell>
          <cell r="Q2352" t="str">
            <v>SS400</v>
          </cell>
          <cell r="R2352" t="str">
            <v>E389460_01</v>
          </cell>
          <cell r="S2352">
            <v>800</v>
          </cell>
          <cell r="T2352" t="str">
            <v>標準</v>
          </cell>
        </row>
        <row r="2353">
          <cell r="F2353" t="str">
            <v>H0000108549</v>
          </cell>
          <cell r="I2353" t="str">
            <v>フレーム</v>
          </cell>
          <cell r="J2353" t="str">
            <v>S-Frame_SX-40_U_KTKT</v>
          </cell>
          <cell r="K2353" t="str">
            <v>S-フレーム_SX-40_U_KTKT</v>
          </cell>
          <cell r="L2353" t="str">
            <v>S-Frame</v>
          </cell>
          <cell r="M2353" t="str">
            <v>S-フレーム</v>
          </cell>
          <cell r="P2353" t="str">
            <v>31B0</v>
          </cell>
          <cell r="Q2353" t="str">
            <v>SS400</v>
          </cell>
          <cell r="R2353" t="str">
            <v>E389460_01</v>
          </cell>
          <cell r="S2353">
            <v>800</v>
          </cell>
          <cell r="T2353" t="str">
            <v>標準</v>
          </cell>
        </row>
        <row r="2354">
          <cell r="F2354" t="str">
            <v>H0000108550</v>
          </cell>
          <cell r="I2354" t="str">
            <v>フレーム</v>
          </cell>
          <cell r="J2354" t="str">
            <v>S-Frame_SX-40_U_KTKT</v>
          </cell>
          <cell r="K2354" t="str">
            <v>S-フレーム_SX-40_U_KTKT</v>
          </cell>
          <cell r="L2354" t="str">
            <v>S-Frame</v>
          </cell>
          <cell r="M2354" t="str">
            <v>S-フレーム</v>
          </cell>
          <cell r="P2354" t="str">
            <v>31B0</v>
          </cell>
          <cell r="Q2354" t="str">
            <v>SS400</v>
          </cell>
          <cell r="R2354" t="str">
            <v>E389460_01</v>
          </cell>
          <cell r="S2354">
            <v>800</v>
          </cell>
          <cell r="T2354" t="str">
            <v>標準</v>
          </cell>
        </row>
        <row r="2355">
          <cell r="F2355" t="str">
            <v>H0000108551</v>
          </cell>
          <cell r="I2355" t="str">
            <v>フレーム</v>
          </cell>
          <cell r="J2355" t="str">
            <v>S-Frame_SX-40_U_KTKT</v>
          </cell>
          <cell r="K2355" t="str">
            <v>S-フレーム_SX-40_U_KTKT</v>
          </cell>
          <cell r="L2355" t="str">
            <v>S-Frame</v>
          </cell>
          <cell r="M2355" t="str">
            <v>S-フレーム</v>
          </cell>
          <cell r="P2355" t="str">
            <v>31B0</v>
          </cell>
          <cell r="Q2355" t="str">
            <v>SS400</v>
          </cell>
          <cell r="R2355" t="str">
            <v>E389460_01</v>
          </cell>
          <cell r="S2355">
            <v>800</v>
          </cell>
          <cell r="T2355" t="str">
            <v>標準</v>
          </cell>
        </row>
        <row r="2356">
          <cell r="F2356" t="str">
            <v>H0000108552</v>
          </cell>
          <cell r="I2356" t="str">
            <v>フレーム</v>
          </cell>
          <cell r="J2356" t="str">
            <v>S-Frame_SX-40_U_KTKT</v>
          </cell>
          <cell r="K2356" t="str">
            <v>S-フレーム_SX-40_U_KTKT</v>
          </cell>
          <cell r="L2356" t="str">
            <v>S-Frame</v>
          </cell>
          <cell r="M2356" t="str">
            <v>S-フレーム</v>
          </cell>
          <cell r="P2356" t="str">
            <v>31B0</v>
          </cell>
          <cell r="Q2356" t="str">
            <v>SS400</v>
          </cell>
          <cell r="R2356" t="str">
            <v>E389460_01</v>
          </cell>
          <cell r="S2356">
            <v>800</v>
          </cell>
          <cell r="T2356" t="str">
            <v>標準</v>
          </cell>
        </row>
        <row r="2357">
          <cell r="F2357" t="str">
            <v>H0000108553</v>
          </cell>
          <cell r="I2357" t="str">
            <v>フレーム</v>
          </cell>
          <cell r="J2357" t="str">
            <v>S-Frame_SX-40_U_KTKT</v>
          </cell>
          <cell r="K2357" t="str">
            <v>S-フレーム_SX-40_U_KTKT</v>
          </cell>
          <cell r="L2357" t="str">
            <v>S-Frame</v>
          </cell>
          <cell r="M2357" t="str">
            <v>S-フレーム</v>
          </cell>
          <cell r="P2357" t="str">
            <v>31B0</v>
          </cell>
          <cell r="Q2357" t="str">
            <v>SS400</v>
          </cell>
          <cell r="R2357" t="str">
            <v>E389460_01</v>
          </cell>
          <cell r="S2357">
            <v>800</v>
          </cell>
          <cell r="T2357" t="str">
            <v>標準</v>
          </cell>
        </row>
        <row r="2358">
          <cell r="F2358" t="str">
            <v>H0000108554</v>
          </cell>
          <cell r="I2358" t="str">
            <v>フレーム</v>
          </cell>
          <cell r="J2358" t="str">
            <v>S-Frame_SX-40_U_KTKT</v>
          </cell>
          <cell r="K2358" t="str">
            <v>S-フレーム_SX-40_U_KTKT</v>
          </cell>
          <cell r="L2358" t="str">
            <v>S-Frame</v>
          </cell>
          <cell r="M2358" t="str">
            <v>S-フレーム</v>
          </cell>
          <cell r="P2358" t="str">
            <v>31B0</v>
          </cell>
          <cell r="Q2358" t="str">
            <v>SS400</v>
          </cell>
          <cell r="R2358" t="str">
            <v>E389460_01</v>
          </cell>
          <cell r="S2358">
            <v>800</v>
          </cell>
          <cell r="T2358" t="str">
            <v>標準</v>
          </cell>
        </row>
        <row r="2359">
          <cell r="F2359" t="str">
            <v>H0000108555</v>
          </cell>
          <cell r="I2359" t="str">
            <v>フレーム</v>
          </cell>
          <cell r="J2359" t="str">
            <v>S-Frame_SX-40_U_KTKT</v>
          </cell>
          <cell r="K2359" t="str">
            <v>S-フレーム_SX-40_U_KTKT</v>
          </cell>
          <cell r="L2359" t="str">
            <v>S-Frame</v>
          </cell>
          <cell r="M2359" t="str">
            <v>S-フレーム</v>
          </cell>
          <cell r="P2359" t="str">
            <v>31B0</v>
          </cell>
          <cell r="Q2359" t="str">
            <v>SS400</v>
          </cell>
          <cell r="R2359" t="str">
            <v>E389460_01</v>
          </cell>
          <cell r="S2359">
            <v>800</v>
          </cell>
          <cell r="T2359" t="str">
            <v>標準</v>
          </cell>
        </row>
        <row r="2360">
          <cell r="F2360" t="str">
            <v>H0000108556</v>
          </cell>
          <cell r="I2360" t="str">
            <v>フレーム</v>
          </cell>
          <cell r="J2360" t="str">
            <v>S-Frame_SX-40_U_KTKT</v>
          </cell>
          <cell r="K2360" t="str">
            <v>S-フレーム_SX-40_U_KTKT</v>
          </cell>
          <cell r="L2360" t="str">
            <v>S-Frame</v>
          </cell>
          <cell r="M2360" t="str">
            <v>S-フレーム</v>
          </cell>
          <cell r="P2360" t="str">
            <v>31B0</v>
          </cell>
          <cell r="Q2360" t="str">
            <v>SS400</v>
          </cell>
          <cell r="R2360" t="str">
            <v>E389460_01</v>
          </cell>
          <cell r="S2360">
            <v>800</v>
          </cell>
          <cell r="T2360" t="str">
            <v>標準</v>
          </cell>
        </row>
        <row r="2361">
          <cell r="F2361" t="str">
            <v>H0000108557</v>
          </cell>
          <cell r="I2361" t="str">
            <v>フレーム</v>
          </cell>
          <cell r="J2361" t="str">
            <v>S-Frame_SX-40_U_KTKT</v>
          </cell>
          <cell r="K2361" t="str">
            <v>S-フレーム_SX-40_U_KTKT</v>
          </cell>
          <cell r="L2361" t="str">
            <v>S-Frame</v>
          </cell>
          <cell r="M2361" t="str">
            <v>S-フレーム</v>
          </cell>
          <cell r="P2361" t="str">
            <v>31B0</v>
          </cell>
          <cell r="Q2361" t="str">
            <v>SS400</v>
          </cell>
          <cell r="R2361" t="str">
            <v>E389460_01</v>
          </cell>
          <cell r="S2361">
            <v>800</v>
          </cell>
          <cell r="T2361" t="str">
            <v>標準</v>
          </cell>
        </row>
        <row r="2362">
          <cell r="F2362" t="str">
            <v>H0000108558</v>
          </cell>
          <cell r="I2362" t="str">
            <v>フレーム</v>
          </cell>
          <cell r="J2362" t="str">
            <v>S-Frame_SX-40_U_KTKT</v>
          </cell>
          <cell r="K2362" t="str">
            <v>S-フレーム_SX-40_U_KTKT</v>
          </cell>
          <cell r="L2362" t="str">
            <v>S-Frame</v>
          </cell>
          <cell r="M2362" t="str">
            <v>S-フレーム</v>
          </cell>
          <cell r="P2362" t="str">
            <v>31B0</v>
          </cell>
          <cell r="Q2362" t="str">
            <v>SS400</v>
          </cell>
          <cell r="R2362" t="str">
            <v>E389460_01</v>
          </cell>
          <cell r="S2362">
            <v>800</v>
          </cell>
          <cell r="T2362" t="str">
            <v>標準</v>
          </cell>
        </row>
        <row r="2363">
          <cell r="F2363" t="str">
            <v>H0000108559</v>
          </cell>
          <cell r="I2363" t="str">
            <v>フレーム</v>
          </cell>
          <cell r="J2363" t="str">
            <v>S-Frame_SX-40_U_KTKT</v>
          </cell>
          <cell r="K2363" t="str">
            <v>S-フレーム_SX-40_U_KTKT</v>
          </cell>
          <cell r="L2363" t="str">
            <v>S-Frame</v>
          </cell>
          <cell r="M2363" t="str">
            <v>S-フレーム</v>
          </cell>
          <cell r="P2363" t="str">
            <v>31B0</v>
          </cell>
          <cell r="Q2363" t="str">
            <v>SS400</v>
          </cell>
          <cell r="R2363" t="str">
            <v>E389460_01</v>
          </cell>
          <cell r="S2363">
            <v>800</v>
          </cell>
          <cell r="T2363" t="str">
            <v>標準</v>
          </cell>
        </row>
        <row r="2364">
          <cell r="F2364" t="str">
            <v>H0000108560</v>
          </cell>
          <cell r="I2364" t="str">
            <v>フレーム</v>
          </cell>
          <cell r="J2364" t="str">
            <v>S-Frame_SX-40_U_KTKT</v>
          </cell>
          <cell r="K2364" t="str">
            <v>S-フレーム_SX-40_U_KTKT</v>
          </cell>
          <cell r="L2364" t="str">
            <v>S-Frame</v>
          </cell>
          <cell r="M2364" t="str">
            <v>S-フレーム</v>
          </cell>
          <cell r="P2364" t="str">
            <v>31B0</v>
          </cell>
          <cell r="Q2364" t="str">
            <v>SS400</v>
          </cell>
          <cell r="R2364" t="str">
            <v>E389460_01</v>
          </cell>
          <cell r="S2364">
            <v>800</v>
          </cell>
          <cell r="T2364" t="str">
            <v>標準</v>
          </cell>
        </row>
        <row r="2365">
          <cell r="F2365" t="str">
            <v>H0000108561</v>
          </cell>
          <cell r="I2365" t="str">
            <v>フレーム</v>
          </cell>
          <cell r="J2365" t="str">
            <v>S-Frame_SX-40_U_KTKT</v>
          </cell>
          <cell r="K2365" t="str">
            <v>S-フレーム_SX-40_U_KTKT</v>
          </cell>
          <cell r="L2365" t="str">
            <v>S-Frame</v>
          </cell>
          <cell r="M2365" t="str">
            <v>S-フレーム</v>
          </cell>
          <cell r="P2365" t="str">
            <v>31B0</v>
          </cell>
          <cell r="Q2365" t="str">
            <v>SS400</v>
          </cell>
          <cell r="R2365" t="str">
            <v>E389460_01</v>
          </cell>
          <cell r="S2365">
            <v>800</v>
          </cell>
          <cell r="T2365" t="str">
            <v>標準</v>
          </cell>
        </row>
        <row r="2366">
          <cell r="F2366" t="str">
            <v>H0000108562</v>
          </cell>
          <cell r="I2366" t="str">
            <v>フレーム</v>
          </cell>
          <cell r="J2366" t="str">
            <v>S-Frame_SX-40_U_KTKT</v>
          </cell>
          <cell r="K2366" t="str">
            <v>S-フレーム_SX-40_U_KTKT</v>
          </cell>
          <cell r="L2366" t="str">
            <v>S-Frame</v>
          </cell>
          <cell r="M2366" t="str">
            <v>S-フレーム</v>
          </cell>
          <cell r="P2366" t="str">
            <v>31B0</v>
          </cell>
          <cell r="Q2366" t="str">
            <v>SS400</v>
          </cell>
          <cell r="R2366" t="str">
            <v>E389460_01</v>
          </cell>
          <cell r="S2366">
            <v>800</v>
          </cell>
          <cell r="T2366" t="str">
            <v>標準</v>
          </cell>
        </row>
        <row r="2367">
          <cell r="F2367" t="str">
            <v>H0000108563</v>
          </cell>
          <cell r="I2367" t="str">
            <v>フレーム</v>
          </cell>
          <cell r="J2367" t="str">
            <v>S-Frame_SX-40_U_KTKT</v>
          </cell>
          <cell r="K2367" t="str">
            <v>S-フレーム_SX-40_U_KTKT</v>
          </cell>
          <cell r="L2367" t="str">
            <v>S-Frame</v>
          </cell>
          <cell r="M2367" t="str">
            <v>S-フレーム</v>
          </cell>
          <cell r="P2367" t="str">
            <v>31B0</v>
          </cell>
          <cell r="Q2367" t="str">
            <v>SS400</v>
          </cell>
          <cell r="R2367" t="str">
            <v>E389460_01</v>
          </cell>
          <cell r="S2367">
            <v>800</v>
          </cell>
          <cell r="T2367" t="str">
            <v>標準</v>
          </cell>
        </row>
        <row r="2368">
          <cell r="F2368" t="str">
            <v>H0000108564</v>
          </cell>
          <cell r="I2368" t="str">
            <v>フレーム</v>
          </cell>
          <cell r="J2368" t="str">
            <v>S-Frame_SX-40_U_KTKT</v>
          </cell>
          <cell r="K2368" t="str">
            <v>S-フレーム_SX-40_U_KTKT</v>
          </cell>
          <cell r="L2368" t="str">
            <v>S-Frame</v>
          </cell>
          <cell r="M2368" t="str">
            <v>S-フレーム</v>
          </cell>
          <cell r="P2368" t="str">
            <v>31B0</v>
          </cell>
          <cell r="Q2368" t="str">
            <v>SS400</v>
          </cell>
          <cell r="R2368" t="str">
            <v>E389460_01</v>
          </cell>
          <cell r="S2368">
            <v>800</v>
          </cell>
          <cell r="T2368" t="str">
            <v>標準</v>
          </cell>
        </row>
        <row r="2369">
          <cell r="F2369" t="str">
            <v>H0000108565</v>
          </cell>
          <cell r="I2369" t="str">
            <v>フレーム</v>
          </cell>
          <cell r="J2369" t="str">
            <v>S-Frame_SX-40_U_KTKT</v>
          </cell>
          <cell r="K2369" t="str">
            <v>S-フレーム_SX-40_U_KTKT</v>
          </cell>
          <cell r="L2369" t="str">
            <v>S-Frame</v>
          </cell>
          <cell r="M2369" t="str">
            <v>S-フレーム</v>
          </cell>
          <cell r="P2369" t="str">
            <v>31B0</v>
          </cell>
          <cell r="Q2369" t="str">
            <v>SS400</v>
          </cell>
          <cell r="R2369" t="str">
            <v>E389460_01</v>
          </cell>
          <cell r="S2369">
            <v>800</v>
          </cell>
          <cell r="T2369" t="str">
            <v>標準</v>
          </cell>
        </row>
        <row r="2370">
          <cell r="F2370" t="str">
            <v>H0000108566</v>
          </cell>
          <cell r="I2370" t="str">
            <v>フレーム</v>
          </cell>
          <cell r="J2370" t="str">
            <v>S-Frame_SX-40_U_KTKT</v>
          </cell>
          <cell r="K2370" t="str">
            <v>S-フレーム_SX-40_U_KTKT</v>
          </cell>
          <cell r="L2370" t="str">
            <v>S-Frame</v>
          </cell>
          <cell r="M2370" t="str">
            <v>S-フレーム</v>
          </cell>
          <cell r="P2370" t="str">
            <v>31B0</v>
          </cell>
          <cell r="Q2370" t="str">
            <v>SS400</v>
          </cell>
          <cell r="R2370" t="str">
            <v>E389460_01</v>
          </cell>
          <cell r="S2370">
            <v>800</v>
          </cell>
          <cell r="T2370" t="str">
            <v>標準</v>
          </cell>
        </row>
        <row r="2371">
          <cell r="F2371" t="str">
            <v>H0000108567</v>
          </cell>
          <cell r="I2371" t="str">
            <v>フレーム</v>
          </cell>
          <cell r="J2371" t="str">
            <v>S-Frame_SX-40_U_KTKT</v>
          </cell>
          <cell r="K2371" t="str">
            <v>S-フレーム_SX-40_U_KTKT</v>
          </cell>
          <cell r="L2371" t="str">
            <v>S-Frame</v>
          </cell>
          <cell r="M2371" t="str">
            <v>S-フレーム</v>
          </cell>
          <cell r="P2371" t="str">
            <v>31B0</v>
          </cell>
          <cell r="Q2371" t="str">
            <v>SS400</v>
          </cell>
          <cell r="R2371" t="str">
            <v>E389460_01</v>
          </cell>
          <cell r="S2371">
            <v>800</v>
          </cell>
          <cell r="T2371" t="str">
            <v>標準</v>
          </cell>
        </row>
        <row r="2372">
          <cell r="F2372" t="str">
            <v>H0000108568</v>
          </cell>
          <cell r="I2372" t="str">
            <v>フレーム</v>
          </cell>
          <cell r="J2372" t="str">
            <v>S-Frame_SX-40_U_KTKT</v>
          </cell>
          <cell r="K2372" t="str">
            <v>S-フレーム_SX-40_U_KTKT</v>
          </cell>
          <cell r="L2372" t="str">
            <v>S-Frame</v>
          </cell>
          <cell r="M2372" t="str">
            <v>S-フレーム</v>
          </cell>
          <cell r="P2372" t="str">
            <v>31B0</v>
          </cell>
          <cell r="Q2372" t="str">
            <v>SS400</v>
          </cell>
          <cell r="R2372" t="str">
            <v>E389460_01</v>
          </cell>
          <cell r="S2372">
            <v>800</v>
          </cell>
          <cell r="T2372" t="str">
            <v>標準</v>
          </cell>
        </row>
        <row r="2373">
          <cell r="F2373" t="str">
            <v>H0000108569</v>
          </cell>
          <cell r="I2373" t="str">
            <v>フレーム</v>
          </cell>
          <cell r="J2373" t="str">
            <v>S-Frame_SX-40_U_KTKT</v>
          </cell>
          <cell r="K2373" t="str">
            <v>S-フレーム_SX-40_U_KTKT</v>
          </cell>
          <cell r="L2373" t="str">
            <v>S-Frame</v>
          </cell>
          <cell r="M2373" t="str">
            <v>S-フレーム</v>
          </cell>
          <cell r="P2373" t="str">
            <v>31B0</v>
          </cell>
          <cell r="Q2373" t="str">
            <v>SS400</v>
          </cell>
          <cell r="R2373" t="str">
            <v>E389460_01</v>
          </cell>
          <cell r="S2373">
            <v>800</v>
          </cell>
          <cell r="T2373" t="str">
            <v>標準</v>
          </cell>
        </row>
        <row r="2374">
          <cell r="F2374" t="str">
            <v>H0000108570</v>
          </cell>
          <cell r="I2374" t="str">
            <v>フレーム</v>
          </cell>
          <cell r="J2374" t="str">
            <v>S-Frame_SX-40_U_KTKT</v>
          </cell>
          <cell r="K2374" t="str">
            <v>S-フレーム_SX-40_U_KTKT</v>
          </cell>
          <cell r="L2374" t="str">
            <v>S-Frame</v>
          </cell>
          <cell r="M2374" t="str">
            <v>S-フレーム</v>
          </cell>
          <cell r="P2374" t="str">
            <v>31B0</v>
          </cell>
          <cell r="Q2374" t="str">
            <v>SS400</v>
          </cell>
          <cell r="R2374" t="str">
            <v>E389460_01</v>
          </cell>
          <cell r="S2374">
            <v>800</v>
          </cell>
          <cell r="T2374" t="str">
            <v>標準</v>
          </cell>
        </row>
        <row r="2375">
          <cell r="F2375" t="str">
            <v>H0000108571</v>
          </cell>
          <cell r="I2375" t="str">
            <v>フレーム</v>
          </cell>
          <cell r="J2375" t="str">
            <v>S-Frame_SX-40_U_KTKT</v>
          </cell>
          <cell r="K2375" t="str">
            <v>S-フレーム_SX-40_U_KTKT</v>
          </cell>
          <cell r="L2375" t="str">
            <v>S-Frame</v>
          </cell>
          <cell r="M2375" t="str">
            <v>S-フレーム</v>
          </cell>
          <cell r="P2375" t="str">
            <v>31B0</v>
          </cell>
          <cell r="Q2375" t="str">
            <v>SS400</v>
          </cell>
          <cell r="R2375" t="str">
            <v>E389460_01</v>
          </cell>
          <cell r="S2375">
            <v>800</v>
          </cell>
          <cell r="T2375" t="str">
            <v>標準</v>
          </cell>
        </row>
        <row r="2376">
          <cell r="F2376" t="str">
            <v>H0000108572</v>
          </cell>
          <cell r="I2376" t="str">
            <v>フレーム</v>
          </cell>
          <cell r="J2376" t="str">
            <v>S-Frame_SX-40_U_KTKT</v>
          </cell>
          <cell r="K2376" t="str">
            <v>S-フレーム_SX-40_U_KTKT</v>
          </cell>
          <cell r="L2376" t="str">
            <v>S-Frame</v>
          </cell>
          <cell r="M2376" t="str">
            <v>S-フレーム</v>
          </cell>
          <cell r="P2376" t="str">
            <v>31B0</v>
          </cell>
          <cell r="Q2376" t="str">
            <v>SS400</v>
          </cell>
          <cell r="R2376" t="str">
            <v>E389460_01</v>
          </cell>
          <cell r="S2376">
            <v>800</v>
          </cell>
          <cell r="T2376" t="str">
            <v>標準</v>
          </cell>
        </row>
        <row r="2377">
          <cell r="F2377" t="str">
            <v>H0000108573</v>
          </cell>
          <cell r="I2377" t="str">
            <v>フレーム</v>
          </cell>
          <cell r="J2377" t="str">
            <v>S-Frame_SX-40_U_KTKT</v>
          </cell>
          <cell r="K2377" t="str">
            <v>S-フレーム_SX-40_U_KTKT</v>
          </cell>
          <cell r="L2377" t="str">
            <v>S-Frame</v>
          </cell>
          <cell r="M2377" t="str">
            <v>S-フレーム</v>
          </cell>
          <cell r="P2377" t="str">
            <v>31B0</v>
          </cell>
          <cell r="Q2377" t="str">
            <v>SS400</v>
          </cell>
          <cell r="R2377" t="str">
            <v>E389460_01</v>
          </cell>
          <cell r="S2377">
            <v>800</v>
          </cell>
          <cell r="T2377" t="str">
            <v>標準</v>
          </cell>
        </row>
        <row r="2378">
          <cell r="F2378" t="str">
            <v>H0000108574</v>
          </cell>
          <cell r="I2378" t="str">
            <v>フレーム</v>
          </cell>
          <cell r="J2378" t="str">
            <v>S-Frame_SX-40_U_KTKT</v>
          </cell>
          <cell r="K2378" t="str">
            <v>S-フレーム_SX-40_U_KTKT</v>
          </cell>
          <cell r="L2378" t="str">
            <v>S-Frame</v>
          </cell>
          <cell r="M2378" t="str">
            <v>S-フレーム</v>
          </cell>
          <cell r="P2378" t="str">
            <v>31B0</v>
          </cell>
          <cell r="Q2378" t="str">
            <v>SS400</v>
          </cell>
          <cell r="R2378" t="str">
            <v>E389460_01</v>
          </cell>
          <cell r="S2378">
            <v>800</v>
          </cell>
          <cell r="T2378" t="str">
            <v>標準</v>
          </cell>
        </row>
        <row r="2379">
          <cell r="F2379" t="str">
            <v>H0000108575</v>
          </cell>
          <cell r="I2379" t="str">
            <v>フレーム</v>
          </cell>
          <cell r="J2379" t="str">
            <v>S-Frame_SX-40_U_KTKT</v>
          </cell>
          <cell r="K2379" t="str">
            <v>S-フレーム_SX-40_U_KTKT</v>
          </cell>
          <cell r="L2379" t="str">
            <v>S-Frame</v>
          </cell>
          <cell r="M2379" t="str">
            <v>S-フレーム</v>
          </cell>
          <cell r="P2379" t="str">
            <v>31B0</v>
          </cell>
          <cell r="Q2379" t="str">
            <v>SS400</v>
          </cell>
          <cell r="R2379" t="str">
            <v>E389460_01</v>
          </cell>
          <cell r="S2379">
            <v>800</v>
          </cell>
          <cell r="T2379" t="str">
            <v>標準</v>
          </cell>
        </row>
        <row r="2380">
          <cell r="F2380" t="str">
            <v>H0000108576</v>
          </cell>
          <cell r="I2380" t="str">
            <v>フレーム</v>
          </cell>
          <cell r="J2380" t="str">
            <v>S-Frame_SX-40_U_KTKT</v>
          </cell>
          <cell r="K2380" t="str">
            <v>S-フレーム_SX-40_U_KTKT</v>
          </cell>
          <cell r="L2380" t="str">
            <v>S-Frame</v>
          </cell>
          <cell r="M2380" t="str">
            <v>S-フレーム</v>
          </cell>
          <cell r="P2380" t="str">
            <v>31B0</v>
          </cell>
          <cell r="Q2380" t="str">
            <v>SS400</v>
          </cell>
          <cell r="R2380" t="str">
            <v>E389460_01</v>
          </cell>
          <cell r="S2380">
            <v>800</v>
          </cell>
          <cell r="T2380" t="str">
            <v>標準</v>
          </cell>
        </row>
        <row r="2381">
          <cell r="F2381" t="str">
            <v>H0000108577</v>
          </cell>
          <cell r="I2381" t="str">
            <v>フレーム</v>
          </cell>
          <cell r="J2381" t="str">
            <v>S-Frame_SX-40_U_KKKK</v>
          </cell>
          <cell r="K2381" t="str">
            <v>S-フレーム_SX-40_U_KKKK</v>
          </cell>
          <cell r="L2381" t="str">
            <v>S-Frame</v>
          </cell>
          <cell r="M2381" t="str">
            <v>S-フレーム</v>
          </cell>
          <cell r="P2381" t="str">
            <v>31B0</v>
          </cell>
          <cell r="Q2381" t="str">
            <v>SS400</v>
          </cell>
          <cell r="R2381" t="str">
            <v>E389460_01</v>
          </cell>
          <cell r="S2381">
            <v>800</v>
          </cell>
          <cell r="T2381" t="str">
            <v>標準</v>
          </cell>
        </row>
        <row r="2382">
          <cell r="F2382" t="str">
            <v>H0000108578</v>
          </cell>
          <cell r="I2382" t="str">
            <v>フレーム</v>
          </cell>
          <cell r="J2382" t="str">
            <v>S-Frame_SX-40_U_KKKK</v>
          </cell>
          <cell r="K2382" t="str">
            <v>S-フレーム_SX-40_U_KKKK</v>
          </cell>
          <cell r="L2382" t="str">
            <v>S-Frame</v>
          </cell>
          <cell r="M2382" t="str">
            <v>S-フレーム</v>
          </cell>
          <cell r="P2382" t="str">
            <v>31B0</v>
          </cell>
          <cell r="Q2382" t="str">
            <v>SS400</v>
          </cell>
          <cell r="R2382" t="str">
            <v>E389460_01</v>
          </cell>
          <cell r="S2382">
            <v>800</v>
          </cell>
          <cell r="T2382" t="str">
            <v>標準</v>
          </cell>
        </row>
        <row r="2383">
          <cell r="F2383" t="str">
            <v>H0000108579</v>
          </cell>
          <cell r="I2383" t="str">
            <v>フレーム</v>
          </cell>
          <cell r="J2383" t="str">
            <v>S-Frame_SX-40_U_KKKK</v>
          </cell>
          <cell r="K2383" t="str">
            <v>S-フレーム_SX-40_U_KKKK</v>
          </cell>
          <cell r="L2383" t="str">
            <v>S-Frame</v>
          </cell>
          <cell r="M2383" t="str">
            <v>S-フレーム</v>
          </cell>
          <cell r="P2383" t="str">
            <v>31B0</v>
          </cell>
          <cell r="Q2383" t="str">
            <v>SS400</v>
          </cell>
          <cell r="R2383" t="str">
            <v>E389460_01</v>
          </cell>
          <cell r="S2383">
            <v>800</v>
          </cell>
          <cell r="T2383" t="str">
            <v>標準</v>
          </cell>
        </row>
        <row r="2384">
          <cell r="F2384" t="str">
            <v>H0000108580</v>
          </cell>
          <cell r="I2384" t="str">
            <v>フレーム</v>
          </cell>
          <cell r="J2384" t="str">
            <v>S-Frame_SX-40_U_KKKK</v>
          </cell>
          <cell r="K2384" t="str">
            <v>S-フレーム_SX-40_U_KKKK</v>
          </cell>
          <cell r="L2384" t="str">
            <v>S-Frame</v>
          </cell>
          <cell r="M2384" t="str">
            <v>S-フレーム</v>
          </cell>
          <cell r="P2384" t="str">
            <v>31B0</v>
          </cell>
          <cell r="Q2384" t="str">
            <v>SS400</v>
          </cell>
          <cell r="R2384" t="str">
            <v>E389460_01</v>
          </cell>
          <cell r="S2384">
            <v>800</v>
          </cell>
          <cell r="T2384" t="str">
            <v>標準</v>
          </cell>
        </row>
        <row r="2385">
          <cell r="F2385" t="str">
            <v>H0000108581</v>
          </cell>
          <cell r="I2385" t="str">
            <v>フレーム</v>
          </cell>
          <cell r="J2385" t="str">
            <v>S-Frame_SX-40_U_KKKK</v>
          </cell>
          <cell r="K2385" t="str">
            <v>S-フレーム_SX-40_U_KKKK</v>
          </cell>
          <cell r="L2385" t="str">
            <v>S-Frame</v>
          </cell>
          <cell r="M2385" t="str">
            <v>S-フレーム</v>
          </cell>
          <cell r="P2385" t="str">
            <v>31B0</v>
          </cell>
          <cell r="Q2385" t="str">
            <v>SS400</v>
          </cell>
          <cell r="R2385" t="str">
            <v>E389460_01</v>
          </cell>
          <cell r="S2385">
            <v>800</v>
          </cell>
          <cell r="T2385" t="str">
            <v>標準</v>
          </cell>
        </row>
        <row r="2386">
          <cell r="F2386" t="str">
            <v>H0000108582</v>
          </cell>
          <cell r="I2386" t="str">
            <v>フレーム</v>
          </cell>
          <cell r="J2386" t="str">
            <v>S-Frame_SX-40_U_KKKK</v>
          </cell>
          <cell r="K2386" t="str">
            <v>S-フレーム_SX-40_U_KKKK</v>
          </cell>
          <cell r="L2386" t="str">
            <v>S-Frame</v>
          </cell>
          <cell r="M2386" t="str">
            <v>S-フレーム</v>
          </cell>
          <cell r="P2386" t="str">
            <v>31B0</v>
          </cell>
          <cell r="Q2386" t="str">
            <v>SS400</v>
          </cell>
          <cell r="R2386" t="str">
            <v>E389460_01</v>
          </cell>
          <cell r="S2386">
            <v>800</v>
          </cell>
          <cell r="T2386" t="str">
            <v>標準</v>
          </cell>
        </row>
        <row r="2387">
          <cell r="F2387" t="str">
            <v>H0000108583</v>
          </cell>
          <cell r="I2387" t="str">
            <v>フレーム</v>
          </cell>
          <cell r="J2387" t="str">
            <v>S-Frame_SX-40_U_KKKK</v>
          </cell>
          <cell r="K2387" t="str">
            <v>S-フレーム_SX-40_U_KKKK</v>
          </cell>
          <cell r="L2387" t="str">
            <v>S-Frame</v>
          </cell>
          <cell r="M2387" t="str">
            <v>S-フレーム</v>
          </cell>
          <cell r="P2387" t="str">
            <v>31B0</v>
          </cell>
          <cell r="Q2387" t="str">
            <v>SS400</v>
          </cell>
          <cell r="R2387" t="str">
            <v>E389460_01</v>
          </cell>
          <cell r="S2387">
            <v>800</v>
          </cell>
          <cell r="T2387" t="str">
            <v>標準</v>
          </cell>
        </row>
        <row r="2388">
          <cell r="F2388" t="str">
            <v>H0000108584</v>
          </cell>
          <cell r="I2388" t="str">
            <v>フレーム</v>
          </cell>
          <cell r="J2388" t="str">
            <v>S-Frame_SX-40_U_KKKK</v>
          </cell>
          <cell r="K2388" t="str">
            <v>S-フレーム_SX-40_U_KKKK</v>
          </cell>
          <cell r="L2388" t="str">
            <v>S-Frame</v>
          </cell>
          <cell r="M2388" t="str">
            <v>S-フレーム</v>
          </cell>
          <cell r="P2388" t="str">
            <v>31B0</v>
          </cell>
          <cell r="Q2388" t="str">
            <v>SS400</v>
          </cell>
          <cell r="R2388" t="str">
            <v>E389460_01</v>
          </cell>
          <cell r="S2388">
            <v>800</v>
          </cell>
          <cell r="T2388" t="str">
            <v>標準</v>
          </cell>
        </row>
        <row r="2389">
          <cell r="F2389" t="str">
            <v>H0000108585</v>
          </cell>
          <cell r="I2389" t="str">
            <v>フレーム</v>
          </cell>
          <cell r="J2389" t="str">
            <v>S-Frame_SX-40_U_KKKK</v>
          </cell>
          <cell r="K2389" t="str">
            <v>S-フレーム_SX-40_U_KKKK</v>
          </cell>
          <cell r="L2389" t="str">
            <v>S-Frame</v>
          </cell>
          <cell r="M2389" t="str">
            <v>S-フレーム</v>
          </cell>
          <cell r="P2389" t="str">
            <v>31B0</v>
          </cell>
          <cell r="Q2389" t="str">
            <v>SS400</v>
          </cell>
          <cell r="R2389" t="str">
            <v>E389460_01</v>
          </cell>
          <cell r="S2389">
            <v>800</v>
          </cell>
          <cell r="T2389" t="str">
            <v>標準</v>
          </cell>
        </row>
        <row r="2390">
          <cell r="F2390" t="str">
            <v>H0000108586</v>
          </cell>
          <cell r="I2390" t="str">
            <v>フレーム</v>
          </cell>
          <cell r="J2390" t="str">
            <v>S-Frame_SX-40_U_KKKK</v>
          </cell>
          <cell r="K2390" t="str">
            <v>S-フレーム_SX-40_U_KKKK</v>
          </cell>
          <cell r="L2390" t="str">
            <v>S-Frame</v>
          </cell>
          <cell r="M2390" t="str">
            <v>S-フレーム</v>
          </cell>
          <cell r="P2390" t="str">
            <v>31B0</v>
          </cell>
          <cell r="Q2390" t="str">
            <v>SS400</v>
          </cell>
          <cell r="R2390" t="str">
            <v>E389460_01</v>
          </cell>
          <cell r="S2390">
            <v>800</v>
          </cell>
          <cell r="T2390" t="str">
            <v>標準</v>
          </cell>
        </row>
        <row r="2391">
          <cell r="F2391" t="str">
            <v>H0000108587</v>
          </cell>
          <cell r="I2391" t="str">
            <v>フレーム</v>
          </cell>
          <cell r="J2391" t="str">
            <v>S-Frame_SX-40_U_KKKK</v>
          </cell>
          <cell r="K2391" t="str">
            <v>S-フレーム_SX-40_U_KKKK</v>
          </cell>
          <cell r="L2391" t="str">
            <v>S-Frame</v>
          </cell>
          <cell r="M2391" t="str">
            <v>S-フレーム</v>
          </cell>
          <cell r="P2391" t="str">
            <v>31B0</v>
          </cell>
          <cell r="Q2391" t="str">
            <v>SS400</v>
          </cell>
          <cell r="R2391" t="str">
            <v>E389460_01</v>
          </cell>
          <cell r="S2391">
            <v>800</v>
          </cell>
          <cell r="T2391" t="str">
            <v>標準</v>
          </cell>
        </row>
        <row r="2392">
          <cell r="F2392" t="str">
            <v>H0000108588</v>
          </cell>
          <cell r="I2392" t="str">
            <v>フレーム</v>
          </cell>
          <cell r="J2392" t="str">
            <v>S-Frame_SX-40_U_KKKK</v>
          </cell>
          <cell r="K2392" t="str">
            <v>S-フレーム_SX-40_U_KKKK</v>
          </cell>
          <cell r="L2392" t="str">
            <v>S-Frame</v>
          </cell>
          <cell r="M2392" t="str">
            <v>S-フレーム</v>
          </cell>
          <cell r="P2392" t="str">
            <v>31B0</v>
          </cell>
          <cell r="Q2392" t="str">
            <v>SS400</v>
          </cell>
          <cell r="R2392" t="str">
            <v>E389460_01</v>
          </cell>
          <cell r="S2392">
            <v>800</v>
          </cell>
          <cell r="T2392" t="str">
            <v>標準</v>
          </cell>
        </row>
        <row r="2393">
          <cell r="F2393" t="str">
            <v>H0000108589</v>
          </cell>
          <cell r="I2393" t="str">
            <v>フレーム</v>
          </cell>
          <cell r="J2393" t="str">
            <v>S-Frame_SX-40_U_KKKK</v>
          </cell>
          <cell r="K2393" t="str">
            <v>S-フレーム_SX-40_U_KKKK</v>
          </cell>
          <cell r="L2393" t="str">
            <v>S-Frame</v>
          </cell>
          <cell r="M2393" t="str">
            <v>S-フレーム</v>
          </cell>
          <cell r="P2393" t="str">
            <v>31B0</v>
          </cell>
          <cell r="Q2393" t="str">
            <v>SS400</v>
          </cell>
          <cell r="R2393" t="str">
            <v>E389460_01</v>
          </cell>
          <cell r="S2393">
            <v>800</v>
          </cell>
          <cell r="T2393" t="str">
            <v>標準</v>
          </cell>
        </row>
        <row r="2394">
          <cell r="F2394" t="str">
            <v>H0000108590</v>
          </cell>
          <cell r="I2394" t="str">
            <v>フレーム</v>
          </cell>
          <cell r="J2394" t="str">
            <v>S-Frame_SX-40_U_KKKK</v>
          </cell>
          <cell r="K2394" t="str">
            <v>S-フレーム_SX-40_U_KKKK</v>
          </cell>
          <cell r="L2394" t="str">
            <v>S-Frame</v>
          </cell>
          <cell r="M2394" t="str">
            <v>S-フレーム</v>
          </cell>
          <cell r="P2394" t="str">
            <v>31B0</v>
          </cell>
          <cell r="Q2394" t="str">
            <v>SS400</v>
          </cell>
          <cell r="R2394" t="str">
            <v>E389460_01</v>
          </cell>
          <cell r="S2394">
            <v>800</v>
          </cell>
          <cell r="T2394" t="str">
            <v>標準</v>
          </cell>
        </row>
        <row r="2395">
          <cell r="F2395" t="str">
            <v>H0000108591</v>
          </cell>
          <cell r="I2395" t="str">
            <v>フレーム</v>
          </cell>
          <cell r="J2395" t="str">
            <v>S-Frame_SX-40_U_KKKK</v>
          </cell>
          <cell r="K2395" t="str">
            <v>S-フレーム_SX-40_U_KKKK</v>
          </cell>
          <cell r="L2395" t="str">
            <v>S-Frame</v>
          </cell>
          <cell r="M2395" t="str">
            <v>S-フレーム</v>
          </cell>
          <cell r="P2395" t="str">
            <v>31B0</v>
          </cell>
          <cell r="Q2395" t="str">
            <v>SS400</v>
          </cell>
          <cell r="R2395" t="str">
            <v>E389460_01</v>
          </cell>
          <cell r="S2395">
            <v>800</v>
          </cell>
          <cell r="T2395" t="str">
            <v>標準</v>
          </cell>
        </row>
        <row r="2396">
          <cell r="F2396" t="str">
            <v>H0000108592</v>
          </cell>
          <cell r="I2396" t="str">
            <v>フレーム</v>
          </cell>
          <cell r="J2396" t="str">
            <v>S-Frame_SX-40_U_KKKK</v>
          </cell>
          <cell r="K2396" t="str">
            <v>S-フレーム_SX-40_U_KKKK</v>
          </cell>
          <cell r="L2396" t="str">
            <v>S-Frame</v>
          </cell>
          <cell r="M2396" t="str">
            <v>S-フレーム</v>
          </cell>
          <cell r="P2396" t="str">
            <v>31B0</v>
          </cell>
          <cell r="Q2396" t="str">
            <v>SS400</v>
          </cell>
          <cell r="R2396" t="str">
            <v>E389460_01</v>
          </cell>
          <cell r="S2396">
            <v>800</v>
          </cell>
          <cell r="T2396" t="str">
            <v>標準</v>
          </cell>
        </row>
        <row r="2397">
          <cell r="F2397" t="str">
            <v>H0000108593</v>
          </cell>
          <cell r="I2397" t="str">
            <v>フレーム</v>
          </cell>
          <cell r="J2397" t="str">
            <v>S-Frame_SX-40_U_KKKK</v>
          </cell>
          <cell r="K2397" t="str">
            <v>S-フレーム_SX-40_U_KKKK</v>
          </cell>
          <cell r="L2397" t="str">
            <v>S-Frame</v>
          </cell>
          <cell r="M2397" t="str">
            <v>S-フレーム</v>
          </cell>
          <cell r="P2397" t="str">
            <v>31B0</v>
          </cell>
          <cell r="Q2397" t="str">
            <v>SS400</v>
          </cell>
          <cell r="R2397" t="str">
            <v>E389460_01</v>
          </cell>
          <cell r="S2397">
            <v>800</v>
          </cell>
          <cell r="T2397" t="str">
            <v>標準</v>
          </cell>
        </row>
        <row r="2398">
          <cell r="F2398" t="str">
            <v>H0000108594</v>
          </cell>
          <cell r="I2398" t="str">
            <v>フレーム</v>
          </cell>
          <cell r="J2398" t="str">
            <v>S-Frame_SX-40_U_KKKK</v>
          </cell>
          <cell r="K2398" t="str">
            <v>S-フレーム_SX-40_U_KKKK</v>
          </cell>
          <cell r="L2398" t="str">
            <v>S-Frame</v>
          </cell>
          <cell r="M2398" t="str">
            <v>S-フレーム</v>
          </cell>
          <cell r="P2398" t="str">
            <v>31B0</v>
          </cell>
          <cell r="Q2398" t="str">
            <v>SS400</v>
          </cell>
          <cell r="R2398" t="str">
            <v>E389460_01</v>
          </cell>
          <cell r="S2398">
            <v>800</v>
          </cell>
          <cell r="T2398" t="str">
            <v>標準</v>
          </cell>
        </row>
        <row r="2399">
          <cell r="F2399" t="str">
            <v>H0000108595</v>
          </cell>
          <cell r="I2399" t="str">
            <v>フレーム</v>
          </cell>
          <cell r="J2399" t="str">
            <v>S-Frame_SX-40_U_KKKK</v>
          </cell>
          <cell r="K2399" t="str">
            <v>S-フレーム_SX-40_U_KKKK</v>
          </cell>
          <cell r="L2399" t="str">
            <v>S-Frame</v>
          </cell>
          <cell r="M2399" t="str">
            <v>S-フレーム</v>
          </cell>
          <cell r="P2399" t="str">
            <v>31B0</v>
          </cell>
          <cell r="Q2399" t="str">
            <v>SS400</v>
          </cell>
          <cell r="R2399" t="str">
            <v>E389460_01</v>
          </cell>
          <cell r="S2399">
            <v>800</v>
          </cell>
          <cell r="T2399" t="str">
            <v>標準</v>
          </cell>
        </row>
        <row r="2400">
          <cell r="F2400" t="str">
            <v>H0000108596</v>
          </cell>
          <cell r="I2400" t="str">
            <v>フレーム</v>
          </cell>
          <cell r="J2400" t="str">
            <v>S-Frame_SX-40_U_KKKK</v>
          </cell>
          <cell r="K2400" t="str">
            <v>S-フレーム_SX-40_U_KKKK</v>
          </cell>
          <cell r="L2400" t="str">
            <v>S-Frame</v>
          </cell>
          <cell r="M2400" t="str">
            <v>S-フレーム</v>
          </cell>
          <cell r="P2400" t="str">
            <v>31B0</v>
          </cell>
          <cell r="Q2400" t="str">
            <v>SS400</v>
          </cell>
          <cell r="R2400" t="str">
            <v>E389460_01</v>
          </cell>
          <cell r="S2400">
            <v>800</v>
          </cell>
          <cell r="T2400" t="str">
            <v>標準</v>
          </cell>
        </row>
        <row r="2401">
          <cell r="F2401" t="str">
            <v>H0000108597</v>
          </cell>
          <cell r="I2401" t="str">
            <v>フレーム</v>
          </cell>
          <cell r="J2401" t="str">
            <v>S-Frame_SX-40_U_KKKK</v>
          </cell>
          <cell r="K2401" t="str">
            <v>S-フレーム_SX-40_U_KKKK</v>
          </cell>
          <cell r="L2401" t="str">
            <v>S-Frame</v>
          </cell>
          <cell r="M2401" t="str">
            <v>S-フレーム</v>
          </cell>
          <cell r="P2401" t="str">
            <v>31B0</v>
          </cell>
          <cell r="Q2401" t="str">
            <v>SS400</v>
          </cell>
          <cell r="R2401" t="str">
            <v>E389460_01</v>
          </cell>
          <cell r="S2401">
            <v>800</v>
          </cell>
          <cell r="T2401" t="str">
            <v>標準</v>
          </cell>
        </row>
        <row r="2402">
          <cell r="F2402" t="str">
            <v>H0000108598</v>
          </cell>
          <cell r="I2402" t="str">
            <v>フレーム</v>
          </cell>
          <cell r="J2402" t="str">
            <v>S-Frame_SX-40_U_KKKK</v>
          </cell>
          <cell r="K2402" t="str">
            <v>S-フレーム_SX-40_U_KKKK</v>
          </cell>
          <cell r="L2402" t="str">
            <v>S-Frame</v>
          </cell>
          <cell r="M2402" t="str">
            <v>S-フレーム</v>
          </cell>
          <cell r="P2402" t="str">
            <v>31B0</v>
          </cell>
          <cell r="Q2402" t="str">
            <v>SS400</v>
          </cell>
          <cell r="R2402" t="str">
            <v>E389460_01</v>
          </cell>
          <cell r="S2402">
            <v>800</v>
          </cell>
          <cell r="T2402" t="str">
            <v>標準</v>
          </cell>
        </row>
        <row r="2403">
          <cell r="F2403" t="str">
            <v>H0000108599</v>
          </cell>
          <cell r="I2403" t="str">
            <v>フレーム</v>
          </cell>
          <cell r="J2403" t="str">
            <v>S-Frame_SX-40_U_KKKK</v>
          </cell>
          <cell r="K2403" t="str">
            <v>S-フレーム_SX-40_U_KKKK</v>
          </cell>
          <cell r="L2403" t="str">
            <v>S-Frame</v>
          </cell>
          <cell r="M2403" t="str">
            <v>S-フレーム</v>
          </cell>
          <cell r="P2403" t="str">
            <v>31B0</v>
          </cell>
          <cell r="Q2403" t="str">
            <v>SS400</v>
          </cell>
          <cell r="R2403" t="str">
            <v>E389460_01</v>
          </cell>
          <cell r="S2403">
            <v>800</v>
          </cell>
          <cell r="T2403" t="str">
            <v>標準</v>
          </cell>
        </row>
        <row r="2404">
          <cell r="F2404" t="str">
            <v>H0000108600</v>
          </cell>
          <cell r="I2404" t="str">
            <v>フレーム</v>
          </cell>
          <cell r="J2404" t="str">
            <v>S-Frame_SX-40_U_KKKK</v>
          </cell>
          <cell r="K2404" t="str">
            <v>S-フレーム_SX-40_U_KKKK</v>
          </cell>
          <cell r="L2404" t="str">
            <v>S-Frame</v>
          </cell>
          <cell r="M2404" t="str">
            <v>S-フレーム</v>
          </cell>
          <cell r="P2404" t="str">
            <v>31B0</v>
          </cell>
          <cell r="Q2404" t="str">
            <v>SS400</v>
          </cell>
          <cell r="R2404" t="str">
            <v>E389460_01</v>
          </cell>
          <cell r="S2404">
            <v>800</v>
          </cell>
          <cell r="T2404" t="str">
            <v>標準</v>
          </cell>
        </row>
        <row r="2405">
          <cell r="F2405" t="str">
            <v>H0000108601</v>
          </cell>
          <cell r="I2405" t="str">
            <v>フレーム</v>
          </cell>
          <cell r="J2405" t="str">
            <v>S-Frame_SX-40_U_KKKK</v>
          </cell>
          <cell r="K2405" t="str">
            <v>S-フレーム_SX-40_U_KKKK</v>
          </cell>
          <cell r="L2405" t="str">
            <v>S-Frame</v>
          </cell>
          <cell r="M2405" t="str">
            <v>S-フレーム</v>
          </cell>
          <cell r="P2405" t="str">
            <v>31B0</v>
          </cell>
          <cell r="Q2405" t="str">
            <v>SS400</v>
          </cell>
          <cell r="R2405" t="str">
            <v>E389460_01</v>
          </cell>
          <cell r="S2405">
            <v>800</v>
          </cell>
          <cell r="T2405" t="str">
            <v>標準</v>
          </cell>
        </row>
        <row r="2406">
          <cell r="F2406" t="str">
            <v>H0000108602</v>
          </cell>
          <cell r="I2406" t="str">
            <v>フレーム</v>
          </cell>
          <cell r="J2406" t="str">
            <v>S-Frame_SX-40_U_KKKK</v>
          </cell>
          <cell r="K2406" t="str">
            <v>S-フレーム_SX-40_U_KKKK</v>
          </cell>
          <cell r="L2406" t="str">
            <v>S-Frame</v>
          </cell>
          <cell r="M2406" t="str">
            <v>S-フレーム</v>
          </cell>
          <cell r="P2406" t="str">
            <v>31B0</v>
          </cell>
          <cell r="Q2406" t="str">
            <v>SS400</v>
          </cell>
          <cell r="R2406" t="str">
            <v>E389460_01</v>
          </cell>
          <cell r="S2406">
            <v>800</v>
          </cell>
          <cell r="T2406" t="str">
            <v>標準</v>
          </cell>
        </row>
        <row r="2407">
          <cell r="F2407" t="str">
            <v>H0000108603</v>
          </cell>
          <cell r="I2407" t="str">
            <v>フレーム</v>
          </cell>
          <cell r="J2407" t="str">
            <v>S-Frame_SX-40_U_KKKK</v>
          </cell>
          <cell r="K2407" t="str">
            <v>S-フレーム_SX-40_U_KKKK</v>
          </cell>
          <cell r="L2407" t="str">
            <v>S-Frame</v>
          </cell>
          <cell r="M2407" t="str">
            <v>S-フレーム</v>
          </cell>
          <cell r="P2407" t="str">
            <v>31B0</v>
          </cell>
          <cell r="Q2407" t="str">
            <v>SS400</v>
          </cell>
          <cell r="R2407" t="str">
            <v>E389460_01</v>
          </cell>
          <cell r="S2407">
            <v>800</v>
          </cell>
          <cell r="T2407" t="str">
            <v>標準</v>
          </cell>
        </row>
        <row r="2408">
          <cell r="F2408" t="str">
            <v>H0000108604</v>
          </cell>
          <cell r="I2408" t="str">
            <v>フレーム</v>
          </cell>
          <cell r="J2408" t="str">
            <v>S-Frame_SX-40_U_KKKK</v>
          </cell>
          <cell r="K2408" t="str">
            <v>S-フレーム_SX-40_U_KKKK</v>
          </cell>
          <cell r="L2408" t="str">
            <v>S-Frame</v>
          </cell>
          <cell r="M2408" t="str">
            <v>S-フレーム</v>
          </cell>
          <cell r="P2408" t="str">
            <v>31B0</v>
          </cell>
          <cell r="Q2408" t="str">
            <v>SS400</v>
          </cell>
          <cell r="R2408" t="str">
            <v>E389460_01</v>
          </cell>
          <cell r="S2408">
            <v>800</v>
          </cell>
          <cell r="T2408" t="str">
            <v>標準</v>
          </cell>
        </row>
        <row r="2409">
          <cell r="F2409" t="str">
            <v>H0000108605</v>
          </cell>
          <cell r="I2409" t="str">
            <v>フレーム</v>
          </cell>
          <cell r="J2409" t="str">
            <v>S-Frame_SX-40_U_KKKK</v>
          </cell>
          <cell r="K2409" t="str">
            <v>S-フレーム_SX-40_U_KKKK</v>
          </cell>
          <cell r="L2409" t="str">
            <v>S-Frame</v>
          </cell>
          <cell r="M2409" t="str">
            <v>S-フレーム</v>
          </cell>
          <cell r="P2409" t="str">
            <v>31B0</v>
          </cell>
          <cell r="Q2409" t="str">
            <v>SS400</v>
          </cell>
          <cell r="R2409" t="str">
            <v>E389460_01</v>
          </cell>
          <cell r="S2409">
            <v>800</v>
          </cell>
          <cell r="T2409" t="str">
            <v>標準</v>
          </cell>
        </row>
        <row r="2410">
          <cell r="F2410" t="str">
            <v>H0000108606</v>
          </cell>
          <cell r="I2410" t="str">
            <v>フレーム</v>
          </cell>
          <cell r="J2410" t="str">
            <v>S-Frame_SX-40_U_KKKK</v>
          </cell>
          <cell r="K2410" t="str">
            <v>S-フレーム_SX-40_U_KKKK</v>
          </cell>
          <cell r="L2410" t="str">
            <v>S-Frame</v>
          </cell>
          <cell r="M2410" t="str">
            <v>S-フレーム</v>
          </cell>
          <cell r="P2410" t="str">
            <v>31B0</v>
          </cell>
          <cell r="Q2410" t="str">
            <v>SS400</v>
          </cell>
          <cell r="R2410" t="str">
            <v>E389460_01</v>
          </cell>
          <cell r="S2410">
            <v>800</v>
          </cell>
          <cell r="T2410" t="str">
            <v>標準</v>
          </cell>
        </row>
        <row r="2411">
          <cell r="F2411" t="str">
            <v>H0000108607</v>
          </cell>
          <cell r="I2411" t="str">
            <v>フレーム</v>
          </cell>
          <cell r="J2411" t="str">
            <v>S-Frame_SX-40_U_KKKK</v>
          </cell>
          <cell r="K2411" t="str">
            <v>S-フレーム_SX-40_U_KKKK</v>
          </cell>
          <cell r="L2411" t="str">
            <v>S-Frame</v>
          </cell>
          <cell r="M2411" t="str">
            <v>S-フレーム</v>
          </cell>
          <cell r="P2411" t="str">
            <v>31B0</v>
          </cell>
          <cell r="Q2411" t="str">
            <v>SS400</v>
          </cell>
          <cell r="R2411" t="str">
            <v>E389460_01</v>
          </cell>
          <cell r="S2411">
            <v>800</v>
          </cell>
          <cell r="T2411" t="str">
            <v>標準</v>
          </cell>
        </row>
        <row r="2412">
          <cell r="F2412" t="str">
            <v>H0000108608</v>
          </cell>
          <cell r="I2412" t="str">
            <v>フレーム</v>
          </cell>
          <cell r="J2412" t="str">
            <v>S-Frame_SX-40_U_KKKK</v>
          </cell>
          <cell r="K2412" t="str">
            <v>S-フレーム_SX-40_U_KKKK</v>
          </cell>
          <cell r="L2412" t="str">
            <v>S-Frame</v>
          </cell>
          <cell r="M2412" t="str">
            <v>S-フレーム</v>
          </cell>
          <cell r="P2412" t="str">
            <v>31B0</v>
          </cell>
          <cell r="Q2412" t="str">
            <v>SS400</v>
          </cell>
          <cell r="R2412" t="str">
            <v>E389460_01</v>
          </cell>
          <cell r="S2412">
            <v>800</v>
          </cell>
          <cell r="T2412" t="str">
            <v>標準</v>
          </cell>
        </row>
        <row r="2413">
          <cell r="F2413" t="str">
            <v>H0000108609</v>
          </cell>
          <cell r="I2413" t="str">
            <v>フレーム</v>
          </cell>
          <cell r="J2413" t="str">
            <v>S-Frame_SX-40_U_KKKK</v>
          </cell>
          <cell r="K2413" t="str">
            <v>S-フレーム_SX-40_U_KKKK</v>
          </cell>
          <cell r="L2413" t="str">
            <v>S-Frame</v>
          </cell>
          <cell r="M2413" t="str">
            <v>S-フレーム</v>
          </cell>
          <cell r="P2413" t="str">
            <v>31B0</v>
          </cell>
          <cell r="Q2413" t="str">
            <v>SS400</v>
          </cell>
          <cell r="R2413" t="str">
            <v>E389460_01</v>
          </cell>
          <cell r="S2413">
            <v>800</v>
          </cell>
          <cell r="T2413" t="str">
            <v>標準</v>
          </cell>
        </row>
        <row r="2414">
          <cell r="F2414" t="str">
            <v>H0000108610</v>
          </cell>
          <cell r="I2414" t="str">
            <v>フレーム</v>
          </cell>
          <cell r="J2414" t="str">
            <v>S-Frame_SX-40_U_KKKK</v>
          </cell>
          <cell r="K2414" t="str">
            <v>S-フレーム_SX-40_U_KKKK</v>
          </cell>
          <cell r="L2414" t="str">
            <v>S-Frame</v>
          </cell>
          <cell r="M2414" t="str">
            <v>S-フレーム</v>
          </cell>
          <cell r="P2414" t="str">
            <v>31B0</v>
          </cell>
          <cell r="Q2414" t="str">
            <v>SS400</v>
          </cell>
          <cell r="R2414" t="str">
            <v>E389460_01</v>
          </cell>
          <cell r="S2414">
            <v>800</v>
          </cell>
          <cell r="T2414" t="str">
            <v>標準</v>
          </cell>
        </row>
        <row r="2415">
          <cell r="F2415" t="str">
            <v>H0000108611</v>
          </cell>
          <cell r="I2415" t="str">
            <v>フレーム</v>
          </cell>
          <cell r="J2415" t="str">
            <v>S-Frame_SX-40_U_KKKK</v>
          </cell>
          <cell r="K2415" t="str">
            <v>S-フレーム_SX-40_U_KKKK</v>
          </cell>
          <cell r="L2415" t="str">
            <v>S-Frame</v>
          </cell>
          <cell r="M2415" t="str">
            <v>S-フレーム</v>
          </cell>
          <cell r="P2415" t="str">
            <v>31B0</v>
          </cell>
          <cell r="Q2415" t="str">
            <v>SS400</v>
          </cell>
          <cell r="R2415" t="str">
            <v>E389460_01</v>
          </cell>
          <cell r="S2415">
            <v>800</v>
          </cell>
          <cell r="T2415" t="str">
            <v>標準</v>
          </cell>
        </row>
        <row r="2416">
          <cell r="F2416" t="str">
            <v>H0000108612</v>
          </cell>
          <cell r="I2416" t="str">
            <v>フレーム</v>
          </cell>
          <cell r="J2416" t="str">
            <v>S-Frame_SX-40_U_KKKK</v>
          </cell>
          <cell r="K2416" t="str">
            <v>S-フレーム_SX-40_U_KKKK</v>
          </cell>
          <cell r="L2416" t="str">
            <v>S-Frame</v>
          </cell>
          <cell r="M2416" t="str">
            <v>S-フレーム</v>
          </cell>
          <cell r="P2416" t="str">
            <v>31B0</v>
          </cell>
          <cell r="Q2416" t="str">
            <v>SS400</v>
          </cell>
          <cell r="R2416" t="str">
            <v>E389460_01</v>
          </cell>
          <cell r="S2416">
            <v>800</v>
          </cell>
          <cell r="T2416" t="str">
            <v>標準</v>
          </cell>
        </row>
        <row r="2417">
          <cell r="F2417" t="str">
            <v>H0000108613</v>
          </cell>
          <cell r="I2417" t="str">
            <v>フレーム</v>
          </cell>
          <cell r="J2417" t="str">
            <v>S-Frame_GasCutting_SX-40_U_1234</v>
          </cell>
          <cell r="K2417" t="str">
            <v>S-フレーム_ガス溶断_SX-40_U_1234</v>
          </cell>
          <cell r="L2417" t="str">
            <v>S-Frame</v>
          </cell>
          <cell r="M2417" t="str">
            <v>S-フレーム</v>
          </cell>
          <cell r="N2417" t="str">
            <v>GasCutting</v>
          </cell>
          <cell r="O2417" t="str">
            <v>ガス溶断</v>
          </cell>
          <cell r="P2417" t="str">
            <v>31B0</v>
          </cell>
          <cell r="Q2417" t="str">
            <v>SS400</v>
          </cell>
          <cell r="R2417" t="str">
            <v>E389460_01</v>
          </cell>
          <cell r="S2417">
            <v>800</v>
          </cell>
          <cell r="T2417" t="str">
            <v>標準</v>
          </cell>
        </row>
        <row r="2418">
          <cell r="F2418" t="str">
            <v>H0000108614</v>
          </cell>
          <cell r="I2418" t="str">
            <v>フレーム</v>
          </cell>
          <cell r="J2418" t="str">
            <v>S-Frame_SX-40_S_TTTT</v>
          </cell>
          <cell r="K2418" t="str">
            <v>S-フレーム_SX-40_S_TTTT</v>
          </cell>
          <cell r="L2418" t="str">
            <v>S-Frame</v>
          </cell>
          <cell r="M2418" t="str">
            <v>S-フレーム</v>
          </cell>
          <cell r="P2418" t="str">
            <v>31B0</v>
          </cell>
          <cell r="Q2418" t="str">
            <v>SS400</v>
          </cell>
          <cell r="R2418" t="str">
            <v>E389460_01</v>
          </cell>
          <cell r="S2418">
            <v>971</v>
          </cell>
          <cell r="T2418" t="str">
            <v>標準</v>
          </cell>
        </row>
        <row r="2419">
          <cell r="F2419" t="str">
            <v>H0000108615</v>
          </cell>
          <cell r="I2419" t="str">
            <v>フレーム</v>
          </cell>
          <cell r="J2419" t="str">
            <v>S-Frame_SX-40_S_TTTT</v>
          </cell>
          <cell r="K2419" t="str">
            <v>S-フレーム_SX-40_S_TTTT</v>
          </cell>
          <cell r="L2419" t="str">
            <v>S-Frame</v>
          </cell>
          <cell r="M2419" t="str">
            <v>S-フレーム</v>
          </cell>
          <cell r="P2419" t="str">
            <v>31B0</v>
          </cell>
          <cell r="Q2419" t="str">
            <v>SS400</v>
          </cell>
          <cell r="R2419" t="str">
            <v>E389460_01</v>
          </cell>
          <cell r="S2419">
            <v>971</v>
          </cell>
          <cell r="T2419" t="str">
            <v>標準</v>
          </cell>
        </row>
        <row r="2420">
          <cell r="F2420" t="str">
            <v>H0000108616</v>
          </cell>
          <cell r="I2420" t="str">
            <v>フレーム</v>
          </cell>
          <cell r="J2420" t="str">
            <v>S-Frame_SX-40_S_TTTT</v>
          </cell>
          <cell r="K2420" t="str">
            <v>S-フレーム_SX-40_S_TTTT</v>
          </cell>
          <cell r="L2420" t="str">
            <v>S-Frame</v>
          </cell>
          <cell r="M2420" t="str">
            <v>S-フレーム</v>
          </cell>
          <cell r="P2420" t="str">
            <v>31B0</v>
          </cell>
          <cell r="Q2420" t="str">
            <v>SS400</v>
          </cell>
          <cell r="R2420" t="str">
            <v>E389460_01</v>
          </cell>
          <cell r="S2420">
            <v>971</v>
          </cell>
          <cell r="T2420" t="str">
            <v>標準</v>
          </cell>
        </row>
        <row r="2421">
          <cell r="F2421" t="str">
            <v>H0000108617</v>
          </cell>
          <cell r="I2421" t="str">
            <v>フレーム</v>
          </cell>
          <cell r="J2421" t="str">
            <v>S-Frame_SX-40_S_TTTT</v>
          </cell>
          <cell r="K2421" t="str">
            <v>S-フレーム_SX-40_S_TTTT</v>
          </cell>
          <cell r="L2421" t="str">
            <v>S-Frame</v>
          </cell>
          <cell r="M2421" t="str">
            <v>S-フレーム</v>
          </cell>
          <cell r="P2421" t="str">
            <v>31B0</v>
          </cell>
          <cell r="Q2421" t="str">
            <v>SS400</v>
          </cell>
          <cell r="R2421" t="str">
            <v>E389460_01</v>
          </cell>
          <cell r="S2421">
            <v>971</v>
          </cell>
          <cell r="T2421" t="str">
            <v>標準</v>
          </cell>
        </row>
        <row r="2422">
          <cell r="F2422" t="str">
            <v>H0000108618</v>
          </cell>
          <cell r="I2422" t="str">
            <v>フレーム</v>
          </cell>
          <cell r="J2422" t="str">
            <v>S-Frame_SX-40_S_TTTT</v>
          </cell>
          <cell r="K2422" t="str">
            <v>S-フレーム_SX-40_S_TTTT</v>
          </cell>
          <cell r="L2422" t="str">
            <v>S-Frame</v>
          </cell>
          <cell r="M2422" t="str">
            <v>S-フレーム</v>
          </cell>
          <cell r="P2422" t="str">
            <v>31B0</v>
          </cell>
          <cell r="Q2422" t="str">
            <v>SS400</v>
          </cell>
          <cell r="R2422" t="str">
            <v>E389460_01</v>
          </cell>
          <cell r="S2422">
            <v>971</v>
          </cell>
          <cell r="T2422" t="str">
            <v>標準</v>
          </cell>
        </row>
        <row r="2423">
          <cell r="F2423" t="str">
            <v>H0000108619</v>
          </cell>
          <cell r="I2423" t="str">
            <v>フレーム</v>
          </cell>
          <cell r="J2423" t="str">
            <v>S-Frame_SX-40_S_TTTT</v>
          </cell>
          <cell r="K2423" t="str">
            <v>S-フレーム_SX-40_S_TTTT</v>
          </cell>
          <cell r="L2423" t="str">
            <v>S-Frame</v>
          </cell>
          <cell r="M2423" t="str">
            <v>S-フレーム</v>
          </cell>
          <cell r="P2423" t="str">
            <v>31B0</v>
          </cell>
          <cell r="Q2423" t="str">
            <v>SS400</v>
          </cell>
          <cell r="R2423" t="str">
            <v>E389460_01</v>
          </cell>
          <cell r="S2423">
            <v>971</v>
          </cell>
          <cell r="T2423" t="str">
            <v>標準</v>
          </cell>
        </row>
        <row r="2424">
          <cell r="F2424" t="str">
            <v>H0000108620</v>
          </cell>
          <cell r="I2424" t="str">
            <v>フレーム</v>
          </cell>
          <cell r="J2424" t="str">
            <v>S-Frame_SX-40_S_TTTT</v>
          </cell>
          <cell r="K2424" t="str">
            <v>S-フレーム_SX-40_S_TTTT</v>
          </cell>
          <cell r="L2424" t="str">
            <v>S-Frame</v>
          </cell>
          <cell r="M2424" t="str">
            <v>S-フレーム</v>
          </cell>
          <cell r="P2424" t="str">
            <v>31B0</v>
          </cell>
          <cell r="Q2424" t="str">
            <v>SS400</v>
          </cell>
          <cell r="R2424" t="str">
            <v>E389460_01</v>
          </cell>
          <cell r="S2424">
            <v>971</v>
          </cell>
          <cell r="T2424" t="str">
            <v>標準</v>
          </cell>
        </row>
        <row r="2425">
          <cell r="F2425" t="str">
            <v>H0000108621</v>
          </cell>
          <cell r="I2425" t="str">
            <v>フレーム</v>
          </cell>
          <cell r="J2425" t="str">
            <v>S-Frame_SX-40_S_TTTT</v>
          </cell>
          <cell r="K2425" t="str">
            <v>S-フレーム_SX-40_S_TTTT</v>
          </cell>
          <cell r="L2425" t="str">
            <v>S-Frame</v>
          </cell>
          <cell r="M2425" t="str">
            <v>S-フレーム</v>
          </cell>
          <cell r="P2425" t="str">
            <v>31B0</v>
          </cell>
          <cell r="Q2425" t="str">
            <v>SS400</v>
          </cell>
          <cell r="R2425" t="str">
            <v>E389460_01</v>
          </cell>
          <cell r="S2425">
            <v>971</v>
          </cell>
          <cell r="T2425" t="str">
            <v>標準</v>
          </cell>
        </row>
        <row r="2426">
          <cell r="F2426" t="str">
            <v>H0000108622</v>
          </cell>
          <cell r="I2426" t="str">
            <v>フレーム</v>
          </cell>
          <cell r="J2426" t="str">
            <v>S-Frame_SX-40_S_TTTT</v>
          </cell>
          <cell r="K2426" t="str">
            <v>S-フレーム_SX-40_S_TTTT</v>
          </cell>
          <cell r="L2426" t="str">
            <v>S-Frame</v>
          </cell>
          <cell r="M2426" t="str">
            <v>S-フレーム</v>
          </cell>
          <cell r="P2426" t="str">
            <v>31B0</v>
          </cell>
          <cell r="Q2426" t="str">
            <v>SS400</v>
          </cell>
          <cell r="R2426" t="str">
            <v>E389460_01</v>
          </cell>
          <cell r="S2426">
            <v>971</v>
          </cell>
          <cell r="T2426" t="str">
            <v>標準</v>
          </cell>
        </row>
        <row r="2427">
          <cell r="F2427" t="str">
            <v>H0000108623</v>
          </cell>
          <cell r="I2427" t="str">
            <v>フレーム</v>
          </cell>
          <cell r="J2427" t="str">
            <v>S-Frame_SX-40_S_TTTT</v>
          </cell>
          <cell r="K2427" t="str">
            <v>S-フレーム_SX-40_S_TTTT</v>
          </cell>
          <cell r="L2427" t="str">
            <v>S-Frame</v>
          </cell>
          <cell r="M2427" t="str">
            <v>S-フレーム</v>
          </cell>
          <cell r="P2427" t="str">
            <v>31B0</v>
          </cell>
          <cell r="Q2427" t="str">
            <v>SS400</v>
          </cell>
          <cell r="R2427" t="str">
            <v>E389460_01</v>
          </cell>
          <cell r="S2427">
            <v>971</v>
          </cell>
          <cell r="T2427" t="str">
            <v>標準</v>
          </cell>
        </row>
        <row r="2428">
          <cell r="F2428" t="str">
            <v>H0000108624</v>
          </cell>
          <cell r="I2428" t="str">
            <v>フレーム</v>
          </cell>
          <cell r="J2428" t="str">
            <v>S-Frame_SX-40_S_TTTT</v>
          </cell>
          <cell r="K2428" t="str">
            <v>S-フレーム_SX-40_S_TTTT</v>
          </cell>
          <cell r="L2428" t="str">
            <v>S-Frame</v>
          </cell>
          <cell r="M2428" t="str">
            <v>S-フレーム</v>
          </cell>
          <cell r="P2428" t="str">
            <v>31B0</v>
          </cell>
          <cell r="Q2428" t="str">
            <v>SS400</v>
          </cell>
          <cell r="R2428" t="str">
            <v>E389460_01</v>
          </cell>
          <cell r="S2428">
            <v>971</v>
          </cell>
          <cell r="T2428" t="str">
            <v>標準</v>
          </cell>
        </row>
        <row r="2429">
          <cell r="F2429" t="str">
            <v>H0000108625</v>
          </cell>
          <cell r="I2429" t="str">
            <v>フレーム</v>
          </cell>
          <cell r="J2429" t="str">
            <v>S-Frame_SX-40_S_TTTT</v>
          </cell>
          <cell r="K2429" t="str">
            <v>S-フレーム_SX-40_S_TTTT</v>
          </cell>
          <cell r="L2429" t="str">
            <v>S-Frame</v>
          </cell>
          <cell r="M2429" t="str">
            <v>S-フレーム</v>
          </cell>
          <cell r="P2429" t="str">
            <v>31B0</v>
          </cell>
          <cell r="Q2429" t="str">
            <v>SS400</v>
          </cell>
          <cell r="R2429" t="str">
            <v>E389460_01</v>
          </cell>
          <cell r="S2429">
            <v>971</v>
          </cell>
          <cell r="T2429" t="str">
            <v>標準</v>
          </cell>
        </row>
        <row r="2430">
          <cell r="F2430" t="str">
            <v>H0000108626</v>
          </cell>
          <cell r="I2430" t="str">
            <v>フレーム</v>
          </cell>
          <cell r="J2430" t="str">
            <v>S-Frame_SX-40_S_TTTT</v>
          </cell>
          <cell r="K2430" t="str">
            <v>S-フレーム_SX-40_S_TTTT</v>
          </cell>
          <cell r="L2430" t="str">
            <v>S-Frame</v>
          </cell>
          <cell r="M2430" t="str">
            <v>S-フレーム</v>
          </cell>
          <cell r="P2430" t="str">
            <v>31B0</v>
          </cell>
          <cell r="Q2430" t="str">
            <v>SS400</v>
          </cell>
          <cell r="R2430" t="str">
            <v>E389460_01</v>
          </cell>
          <cell r="S2430">
            <v>971</v>
          </cell>
          <cell r="T2430" t="str">
            <v>標準</v>
          </cell>
        </row>
        <row r="2431">
          <cell r="F2431" t="str">
            <v>H0000108627</v>
          </cell>
          <cell r="I2431" t="str">
            <v>フレーム</v>
          </cell>
          <cell r="J2431" t="str">
            <v>S-Frame_SX-40_S_TTTT</v>
          </cell>
          <cell r="K2431" t="str">
            <v>S-フレーム_SX-40_S_TTTT</v>
          </cell>
          <cell r="L2431" t="str">
            <v>S-Frame</v>
          </cell>
          <cell r="M2431" t="str">
            <v>S-フレーム</v>
          </cell>
          <cell r="P2431" t="str">
            <v>31B0</v>
          </cell>
          <cell r="Q2431" t="str">
            <v>SS400</v>
          </cell>
          <cell r="R2431" t="str">
            <v>E389460_01</v>
          </cell>
          <cell r="S2431">
            <v>971</v>
          </cell>
          <cell r="T2431" t="str">
            <v>標準</v>
          </cell>
        </row>
        <row r="2432">
          <cell r="F2432" t="str">
            <v>H0000108628</v>
          </cell>
          <cell r="I2432" t="str">
            <v>フレーム</v>
          </cell>
          <cell r="J2432" t="str">
            <v>S-Frame_SX-40_S_TTTT</v>
          </cell>
          <cell r="K2432" t="str">
            <v>S-フレーム_SX-40_S_TTTT</v>
          </cell>
          <cell r="L2432" t="str">
            <v>S-Frame</v>
          </cell>
          <cell r="M2432" t="str">
            <v>S-フレーム</v>
          </cell>
          <cell r="P2432" t="str">
            <v>31B0</v>
          </cell>
          <cell r="Q2432" t="str">
            <v>SS400</v>
          </cell>
          <cell r="R2432" t="str">
            <v>E389460_01</v>
          </cell>
          <cell r="S2432">
            <v>971</v>
          </cell>
          <cell r="T2432" t="str">
            <v>標準</v>
          </cell>
        </row>
        <row r="2433">
          <cell r="F2433" t="str">
            <v>H0000108629</v>
          </cell>
          <cell r="I2433" t="str">
            <v>フレーム</v>
          </cell>
          <cell r="J2433" t="str">
            <v>S-Frame_SX-40_S_TTTT</v>
          </cell>
          <cell r="K2433" t="str">
            <v>S-フレーム_SX-40_S_TTTT</v>
          </cell>
          <cell r="L2433" t="str">
            <v>S-Frame</v>
          </cell>
          <cell r="M2433" t="str">
            <v>S-フレーム</v>
          </cell>
          <cell r="P2433" t="str">
            <v>31B0</v>
          </cell>
          <cell r="Q2433" t="str">
            <v>SS400</v>
          </cell>
          <cell r="R2433" t="str">
            <v>E389460_01</v>
          </cell>
          <cell r="S2433">
            <v>971</v>
          </cell>
          <cell r="T2433" t="str">
            <v>標準</v>
          </cell>
        </row>
        <row r="2434">
          <cell r="F2434" t="str">
            <v>H0000108630</v>
          </cell>
          <cell r="I2434" t="str">
            <v>フレーム</v>
          </cell>
          <cell r="J2434" t="str">
            <v>S-Frame_SX-40_S_TTTT</v>
          </cell>
          <cell r="K2434" t="str">
            <v>S-フレーム_SX-40_S_TTTT</v>
          </cell>
          <cell r="L2434" t="str">
            <v>S-Frame</v>
          </cell>
          <cell r="M2434" t="str">
            <v>S-フレーム</v>
          </cell>
          <cell r="P2434" t="str">
            <v>31B0</v>
          </cell>
          <cell r="Q2434" t="str">
            <v>SS400</v>
          </cell>
          <cell r="R2434" t="str">
            <v>E389460_01</v>
          </cell>
          <cell r="S2434">
            <v>971</v>
          </cell>
          <cell r="T2434" t="str">
            <v>標準</v>
          </cell>
        </row>
        <row r="2435">
          <cell r="F2435" t="str">
            <v>H0000108631</v>
          </cell>
          <cell r="I2435" t="str">
            <v>フレーム</v>
          </cell>
          <cell r="J2435" t="str">
            <v>S-Frame_SX-40_S_TTTT</v>
          </cell>
          <cell r="K2435" t="str">
            <v>S-フレーム_SX-40_S_TTTT</v>
          </cell>
          <cell r="L2435" t="str">
            <v>S-Frame</v>
          </cell>
          <cell r="M2435" t="str">
            <v>S-フレーム</v>
          </cell>
          <cell r="P2435" t="str">
            <v>31B0</v>
          </cell>
          <cell r="Q2435" t="str">
            <v>SS400</v>
          </cell>
          <cell r="R2435" t="str">
            <v>E389460_01</v>
          </cell>
          <cell r="S2435">
            <v>971</v>
          </cell>
          <cell r="T2435" t="str">
            <v>標準</v>
          </cell>
        </row>
        <row r="2436">
          <cell r="F2436" t="str">
            <v>H0000108632</v>
          </cell>
          <cell r="I2436" t="str">
            <v>フレーム</v>
          </cell>
          <cell r="J2436" t="str">
            <v>S-Frame_SX-40_S_TTTT</v>
          </cell>
          <cell r="K2436" t="str">
            <v>S-フレーム_SX-40_S_TTTT</v>
          </cell>
          <cell r="L2436" t="str">
            <v>S-Frame</v>
          </cell>
          <cell r="M2436" t="str">
            <v>S-フレーム</v>
          </cell>
          <cell r="P2436" t="str">
            <v>31B0</v>
          </cell>
          <cell r="Q2436" t="str">
            <v>SS400</v>
          </cell>
          <cell r="R2436" t="str">
            <v>E389460_01</v>
          </cell>
          <cell r="S2436">
            <v>971</v>
          </cell>
          <cell r="T2436" t="str">
            <v>標準</v>
          </cell>
        </row>
        <row r="2437">
          <cell r="F2437" t="str">
            <v>H0000108633</v>
          </cell>
          <cell r="I2437" t="str">
            <v>フレーム</v>
          </cell>
          <cell r="J2437" t="str">
            <v>S-Frame_SX-40_S_TTTT</v>
          </cell>
          <cell r="K2437" t="str">
            <v>S-フレーム_SX-40_S_TTTT</v>
          </cell>
          <cell r="L2437" t="str">
            <v>S-Frame</v>
          </cell>
          <cell r="M2437" t="str">
            <v>S-フレーム</v>
          </cell>
          <cell r="P2437" t="str">
            <v>31B0</v>
          </cell>
          <cell r="Q2437" t="str">
            <v>SS400</v>
          </cell>
          <cell r="R2437" t="str">
            <v>E389460_01</v>
          </cell>
          <cell r="S2437">
            <v>971</v>
          </cell>
          <cell r="T2437" t="str">
            <v>標準</v>
          </cell>
        </row>
        <row r="2438">
          <cell r="F2438" t="str">
            <v>H0000108634</v>
          </cell>
          <cell r="I2438" t="str">
            <v>フレーム</v>
          </cell>
          <cell r="J2438" t="str">
            <v>S-Frame_SX-40_S_TTTT</v>
          </cell>
          <cell r="K2438" t="str">
            <v>S-フレーム_SX-40_S_TTTT</v>
          </cell>
          <cell r="L2438" t="str">
            <v>S-Frame</v>
          </cell>
          <cell r="M2438" t="str">
            <v>S-フレーム</v>
          </cell>
          <cell r="P2438" t="str">
            <v>31B0</v>
          </cell>
          <cell r="Q2438" t="str">
            <v>SS400</v>
          </cell>
          <cell r="R2438" t="str">
            <v>E389460_01</v>
          </cell>
          <cell r="S2438">
            <v>971</v>
          </cell>
          <cell r="T2438" t="str">
            <v>標準</v>
          </cell>
        </row>
        <row r="2439">
          <cell r="F2439" t="str">
            <v>H0000108635</v>
          </cell>
          <cell r="I2439" t="str">
            <v>フレーム</v>
          </cell>
          <cell r="J2439" t="str">
            <v>S-Frame_SX-40_S_TTTT</v>
          </cell>
          <cell r="K2439" t="str">
            <v>S-フレーム_SX-40_S_TTTT</v>
          </cell>
          <cell r="L2439" t="str">
            <v>S-Frame</v>
          </cell>
          <cell r="M2439" t="str">
            <v>S-フレーム</v>
          </cell>
          <cell r="P2439" t="str">
            <v>31B0</v>
          </cell>
          <cell r="Q2439" t="str">
            <v>SS400</v>
          </cell>
          <cell r="R2439" t="str">
            <v>E389460_01</v>
          </cell>
          <cell r="S2439">
            <v>971</v>
          </cell>
          <cell r="T2439" t="str">
            <v>標準</v>
          </cell>
        </row>
        <row r="2440">
          <cell r="F2440" t="str">
            <v>H0000108636</v>
          </cell>
          <cell r="I2440" t="str">
            <v>フレーム</v>
          </cell>
          <cell r="J2440" t="str">
            <v>S-Frame_SX-40_S_TTTT</v>
          </cell>
          <cell r="K2440" t="str">
            <v>S-フレーム_SX-40_S_TTTT</v>
          </cell>
          <cell r="L2440" t="str">
            <v>S-Frame</v>
          </cell>
          <cell r="M2440" t="str">
            <v>S-フレーム</v>
          </cell>
          <cell r="P2440" t="str">
            <v>31B0</v>
          </cell>
          <cell r="Q2440" t="str">
            <v>SS400</v>
          </cell>
          <cell r="R2440" t="str">
            <v>E389460_01</v>
          </cell>
          <cell r="S2440">
            <v>971</v>
          </cell>
          <cell r="T2440" t="str">
            <v>標準</v>
          </cell>
        </row>
        <row r="2441">
          <cell r="F2441" t="str">
            <v>H0000108637</v>
          </cell>
          <cell r="I2441" t="str">
            <v>フレーム</v>
          </cell>
          <cell r="J2441" t="str">
            <v>S-Frame_SX-40_S_TTTT</v>
          </cell>
          <cell r="K2441" t="str">
            <v>S-フレーム_SX-40_S_TTTT</v>
          </cell>
          <cell r="L2441" t="str">
            <v>S-Frame</v>
          </cell>
          <cell r="M2441" t="str">
            <v>S-フレーム</v>
          </cell>
          <cell r="P2441" t="str">
            <v>31B0</v>
          </cell>
          <cell r="Q2441" t="str">
            <v>SS400</v>
          </cell>
          <cell r="R2441" t="str">
            <v>E389460_01</v>
          </cell>
          <cell r="S2441">
            <v>971</v>
          </cell>
          <cell r="T2441" t="str">
            <v>標準</v>
          </cell>
        </row>
        <row r="2442">
          <cell r="F2442" t="str">
            <v>H0000108638</v>
          </cell>
          <cell r="I2442" t="str">
            <v>フレーム</v>
          </cell>
          <cell r="J2442" t="str">
            <v>S-Frame_SX-40_S_TTTT</v>
          </cell>
          <cell r="K2442" t="str">
            <v>S-フレーム_SX-40_S_TTTT</v>
          </cell>
          <cell r="L2442" t="str">
            <v>S-Frame</v>
          </cell>
          <cell r="M2442" t="str">
            <v>S-フレーム</v>
          </cell>
          <cell r="P2442" t="str">
            <v>31B0</v>
          </cell>
          <cell r="Q2442" t="str">
            <v>SS400</v>
          </cell>
          <cell r="R2442" t="str">
            <v>E389460_01</v>
          </cell>
          <cell r="S2442">
            <v>971</v>
          </cell>
          <cell r="T2442" t="str">
            <v>標準</v>
          </cell>
        </row>
        <row r="2443">
          <cell r="F2443" t="str">
            <v>H0000108639</v>
          </cell>
          <cell r="I2443" t="str">
            <v>フレーム</v>
          </cell>
          <cell r="J2443" t="str">
            <v>S-Frame_SX-40_S_TTTT</v>
          </cell>
          <cell r="K2443" t="str">
            <v>S-フレーム_SX-40_S_TTTT</v>
          </cell>
          <cell r="L2443" t="str">
            <v>S-Frame</v>
          </cell>
          <cell r="M2443" t="str">
            <v>S-フレーム</v>
          </cell>
          <cell r="P2443" t="str">
            <v>31B0</v>
          </cell>
          <cell r="Q2443" t="str">
            <v>SS400</v>
          </cell>
          <cell r="R2443" t="str">
            <v>E389460_01</v>
          </cell>
          <cell r="S2443">
            <v>971</v>
          </cell>
          <cell r="T2443" t="str">
            <v>標準</v>
          </cell>
        </row>
        <row r="2444">
          <cell r="F2444" t="str">
            <v>H0000108640</v>
          </cell>
          <cell r="I2444" t="str">
            <v>フレーム</v>
          </cell>
          <cell r="J2444" t="str">
            <v>S-Frame_SX-40_S_TTTT</v>
          </cell>
          <cell r="K2444" t="str">
            <v>S-フレーム_SX-40_S_TTTT</v>
          </cell>
          <cell r="L2444" t="str">
            <v>S-Frame</v>
          </cell>
          <cell r="M2444" t="str">
            <v>S-フレーム</v>
          </cell>
          <cell r="P2444" t="str">
            <v>31B0</v>
          </cell>
          <cell r="Q2444" t="str">
            <v>SS400</v>
          </cell>
          <cell r="R2444" t="str">
            <v>E389460_01</v>
          </cell>
          <cell r="S2444">
            <v>971</v>
          </cell>
          <cell r="T2444" t="str">
            <v>標準</v>
          </cell>
        </row>
        <row r="2445">
          <cell r="F2445" t="str">
            <v>H0000108641</v>
          </cell>
          <cell r="I2445" t="str">
            <v>フレーム</v>
          </cell>
          <cell r="J2445" t="str">
            <v>S-Frame_SX-40_S_TTTT</v>
          </cell>
          <cell r="K2445" t="str">
            <v>S-フレーム_SX-40_S_TTTT</v>
          </cell>
          <cell r="L2445" t="str">
            <v>S-Frame</v>
          </cell>
          <cell r="M2445" t="str">
            <v>S-フレーム</v>
          </cell>
          <cell r="P2445" t="str">
            <v>31B0</v>
          </cell>
          <cell r="Q2445" t="str">
            <v>SS400</v>
          </cell>
          <cell r="R2445" t="str">
            <v>E389460_01</v>
          </cell>
          <cell r="S2445">
            <v>971</v>
          </cell>
          <cell r="T2445" t="str">
            <v>標準</v>
          </cell>
        </row>
        <row r="2446">
          <cell r="F2446" t="str">
            <v>H0000108642</v>
          </cell>
          <cell r="I2446" t="str">
            <v>フレーム</v>
          </cell>
          <cell r="J2446" t="str">
            <v>S-Frame_SX-40_S_TTTT</v>
          </cell>
          <cell r="K2446" t="str">
            <v>S-フレーム_SX-40_S_TTTT</v>
          </cell>
          <cell r="L2446" t="str">
            <v>S-Frame</v>
          </cell>
          <cell r="M2446" t="str">
            <v>S-フレーム</v>
          </cell>
          <cell r="P2446" t="str">
            <v>31B0</v>
          </cell>
          <cell r="Q2446" t="str">
            <v>SS400</v>
          </cell>
          <cell r="R2446" t="str">
            <v>E389460_01</v>
          </cell>
          <cell r="S2446">
            <v>971</v>
          </cell>
          <cell r="T2446" t="str">
            <v>標準</v>
          </cell>
        </row>
        <row r="2447">
          <cell r="F2447" t="str">
            <v>H0000108643</v>
          </cell>
          <cell r="I2447" t="str">
            <v>フレーム</v>
          </cell>
          <cell r="J2447" t="str">
            <v>S-Frame_SX-40_S_TTTT</v>
          </cell>
          <cell r="K2447" t="str">
            <v>S-フレーム_SX-40_S_TTTT</v>
          </cell>
          <cell r="L2447" t="str">
            <v>S-Frame</v>
          </cell>
          <cell r="M2447" t="str">
            <v>S-フレーム</v>
          </cell>
          <cell r="P2447" t="str">
            <v>31B0</v>
          </cell>
          <cell r="Q2447" t="str">
            <v>SS400</v>
          </cell>
          <cell r="R2447" t="str">
            <v>E389460_01</v>
          </cell>
          <cell r="S2447">
            <v>971</v>
          </cell>
          <cell r="T2447" t="str">
            <v>標準</v>
          </cell>
        </row>
        <row r="2448">
          <cell r="F2448" t="str">
            <v>H0000108644</v>
          </cell>
          <cell r="I2448" t="str">
            <v>フレーム</v>
          </cell>
          <cell r="J2448" t="str">
            <v>S-Frame_SX-40_S_TTTT</v>
          </cell>
          <cell r="K2448" t="str">
            <v>S-フレーム_SX-40_S_TTTT</v>
          </cell>
          <cell r="L2448" t="str">
            <v>S-Frame</v>
          </cell>
          <cell r="M2448" t="str">
            <v>S-フレーム</v>
          </cell>
          <cell r="P2448" t="str">
            <v>31B0</v>
          </cell>
          <cell r="Q2448" t="str">
            <v>SS400</v>
          </cell>
          <cell r="R2448" t="str">
            <v>E389460_01</v>
          </cell>
          <cell r="S2448">
            <v>971</v>
          </cell>
          <cell r="T2448" t="str">
            <v>標準</v>
          </cell>
        </row>
        <row r="2449">
          <cell r="F2449" t="str">
            <v>H0000108645</v>
          </cell>
          <cell r="I2449" t="str">
            <v>フレーム</v>
          </cell>
          <cell r="J2449" t="str">
            <v>S-Frame_SX-40_S_TTTT</v>
          </cell>
          <cell r="K2449" t="str">
            <v>S-フレーム_SX-40_S_TTTT</v>
          </cell>
          <cell r="L2449" t="str">
            <v>S-Frame</v>
          </cell>
          <cell r="M2449" t="str">
            <v>S-フレーム</v>
          </cell>
          <cell r="P2449" t="str">
            <v>31B0</v>
          </cell>
          <cell r="Q2449" t="str">
            <v>SS400</v>
          </cell>
          <cell r="R2449" t="str">
            <v>E389460_01</v>
          </cell>
          <cell r="S2449">
            <v>971</v>
          </cell>
          <cell r="T2449" t="str">
            <v>標準</v>
          </cell>
        </row>
        <row r="2450">
          <cell r="F2450" t="str">
            <v>H0000108646</v>
          </cell>
          <cell r="I2450" t="str">
            <v>フレーム</v>
          </cell>
          <cell r="J2450" t="str">
            <v>S-Frame_SX-40_S_TTTT</v>
          </cell>
          <cell r="K2450" t="str">
            <v>S-フレーム_SX-40_S_TTTT</v>
          </cell>
          <cell r="L2450" t="str">
            <v>S-Frame</v>
          </cell>
          <cell r="M2450" t="str">
            <v>S-フレーム</v>
          </cell>
          <cell r="P2450" t="str">
            <v>31B0</v>
          </cell>
          <cell r="Q2450" t="str">
            <v>SS400</v>
          </cell>
          <cell r="R2450" t="str">
            <v>E389460_01</v>
          </cell>
          <cell r="S2450">
            <v>971</v>
          </cell>
          <cell r="T2450" t="str">
            <v>標準</v>
          </cell>
        </row>
        <row r="2451">
          <cell r="F2451" t="str">
            <v>H0000108647</v>
          </cell>
          <cell r="I2451" t="str">
            <v>フレーム</v>
          </cell>
          <cell r="J2451" t="str">
            <v>S-Frame_SX-40_S_TTTT</v>
          </cell>
          <cell r="K2451" t="str">
            <v>S-フレーム_SX-40_S_TTTT</v>
          </cell>
          <cell r="L2451" t="str">
            <v>S-Frame</v>
          </cell>
          <cell r="M2451" t="str">
            <v>S-フレーム</v>
          </cell>
          <cell r="P2451" t="str">
            <v>31B0</v>
          </cell>
          <cell r="Q2451" t="str">
            <v>SS400</v>
          </cell>
          <cell r="R2451" t="str">
            <v>E389460_01</v>
          </cell>
          <cell r="S2451">
            <v>971</v>
          </cell>
          <cell r="T2451" t="str">
            <v>標準</v>
          </cell>
        </row>
        <row r="2452">
          <cell r="F2452" t="str">
            <v>H0000108648</v>
          </cell>
          <cell r="I2452" t="str">
            <v>フレーム</v>
          </cell>
          <cell r="J2452" t="str">
            <v>S-Frame_SX-40_S_TTTT</v>
          </cell>
          <cell r="K2452" t="str">
            <v>S-フレーム_SX-40_S_TTTT</v>
          </cell>
          <cell r="L2452" t="str">
            <v>S-Frame</v>
          </cell>
          <cell r="M2452" t="str">
            <v>S-フレーム</v>
          </cell>
          <cell r="P2452" t="str">
            <v>31B0</v>
          </cell>
          <cell r="Q2452" t="str">
            <v>SS400</v>
          </cell>
          <cell r="R2452" t="str">
            <v>E389460_01</v>
          </cell>
          <cell r="S2452">
            <v>971</v>
          </cell>
          <cell r="T2452" t="str">
            <v>標準</v>
          </cell>
        </row>
        <row r="2453">
          <cell r="F2453" t="str">
            <v>H0000108649</v>
          </cell>
          <cell r="I2453" t="str">
            <v>フレーム</v>
          </cell>
          <cell r="J2453" t="str">
            <v>S-Frame_SX-40_S_TTTT</v>
          </cell>
          <cell r="K2453" t="str">
            <v>S-フレーム_SX-40_S_TTTT</v>
          </cell>
          <cell r="L2453" t="str">
            <v>S-Frame</v>
          </cell>
          <cell r="M2453" t="str">
            <v>S-フレーム</v>
          </cell>
          <cell r="P2453" t="str">
            <v>31B0</v>
          </cell>
          <cell r="Q2453" t="str">
            <v>SS400</v>
          </cell>
          <cell r="R2453" t="str">
            <v>E389460_01</v>
          </cell>
          <cell r="S2453">
            <v>971</v>
          </cell>
          <cell r="T2453" t="str">
            <v>標準</v>
          </cell>
        </row>
        <row r="2454">
          <cell r="F2454" t="str">
            <v>H0000108650</v>
          </cell>
          <cell r="I2454" t="str">
            <v>フレーム</v>
          </cell>
          <cell r="J2454" t="str">
            <v>S-Frame_SX-40_S_TKTK</v>
          </cell>
          <cell r="K2454" t="str">
            <v>S-フレーム_SX-40_S_TKTK</v>
          </cell>
          <cell r="L2454" t="str">
            <v>S-Frame</v>
          </cell>
          <cell r="M2454" t="str">
            <v>S-フレーム</v>
          </cell>
          <cell r="P2454" t="str">
            <v>31B0</v>
          </cell>
          <cell r="Q2454" t="str">
            <v>SS400</v>
          </cell>
          <cell r="R2454" t="str">
            <v>E389460_01</v>
          </cell>
          <cell r="S2454">
            <v>971</v>
          </cell>
          <cell r="T2454" t="str">
            <v>標準</v>
          </cell>
        </row>
        <row r="2455">
          <cell r="F2455" t="str">
            <v>H0000108651</v>
          </cell>
          <cell r="I2455" t="str">
            <v>フレーム</v>
          </cell>
          <cell r="J2455" t="str">
            <v>S-Frame_SX-40_S_TKTK</v>
          </cell>
          <cell r="K2455" t="str">
            <v>S-フレーム_SX-40_S_TKTK</v>
          </cell>
          <cell r="L2455" t="str">
            <v>S-Frame</v>
          </cell>
          <cell r="M2455" t="str">
            <v>S-フレーム</v>
          </cell>
          <cell r="P2455" t="str">
            <v>31B0</v>
          </cell>
          <cell r="Q2455" t="str">
            <v>SS400</v>
          </cell>
          <cell r="R2455" t="str">
            <v>E389460_01</v>
          </cell>
          <cell r="S2455">
            <v>971</v>
          </cell>
          <cell r="T2455" t="str">
            <v>標準</v>
          </cell>
        </row>
        <row r="2456">
          <cell r="F2456" t="str">
            <v>H0000108652</v>
          </cell>
          <cell r="I2456" t="str">
            <v>フレーム</v>
          </cell>
          <cell r="J2456" t="str">
            <v>S-Frame_SX-40_S_TKTK</v>
          </cell>
          <cell r="K2456" t="str">
            <v>S-フレーム_SX-40_S_TKTK</v>
          </cell>
          <cell r="L2456" t="str">
            <v>S-Frame</v>
          </cell>
          <cell r="M2456" t="str">
            <v>S-フレーム</v>
          </cell>
          <cell r="P2456" t="str">
            <v>31B0</v>
          </cell>
          <cell r="Q2456" t="str">
            <v>SS400</v>
          </cell>
          <cell r="R2456" t="str">
            <v>E389460_01</v>
          </cell>
          <cell r="S2456">
            <v>971</v>
          </cell>
          <cell r="T2456" t="str">
            <v>標準</v>
          </cell>
        </row>
        <row r="2457">
          <cell r="F2457" t="str">
            <v>H0000108653</v>
          </cell>
          <cell r="I2457" t="str">
            <v>フレーム</v>
          </cell>
          <cell r="J2457" t="str">
            <v>S-Frame_SX-40_S_TKTK</v>
          </cell>
          <cell r="K2457" t="str">
            <v>S-フレーム_SX-40_S_TKTK</v>
          </cell>
          <cell r="L2457" t="str">
            <v>S-Frame</v>
          </cell>
          <cell r="M2457" t="str">
            <v>S-フレーム</v>
          </cell>
          <cell r="P2457" t="str">
            <v>31B0</v>
          </cell>
          <cell r="Q2457" t="str">
            <v>SS400</v>
          </cell>
          <cell r="R2457" t="str">
            <v>E389460_01</v>
          </cell>
          <cell r="S2457">
            <v>971</v>
          </cell>
          <cell r="T2457" t="str">
            <v>標準</v>
          </cell>
        </row>
        <row r="2458">
          <cell r="F2458" t="str">
            <v>H0000108654</v>
          </cell>
          <cell r="I2458" t="str">
            <v>フレーム</v>
          </cell>
          <cell r="J2458" t="str">
            <v>S-Frame_SX-40_S_TKTK</v>
          </cell>
          <cell r="K2458" t="str">
            <v>S-フレーム_SX-40_S_TKTK</v>
          </cell>
          <cell r="L2458" t="str">
            <v>S-Frame</v>
          </cell>
          <cell r="M2458" t="str">
            <v>S-フレーム</v>
          </cell>
          <cell r="P2458" t="str">
            <v>31B0</v>
          </cell>
          <cell r="Q2458" t="str">
            <v>SS400</v>
          </cell>
          <cell r="R2458" t="str">
            <v>E389460_01</v>
          </cell>
          <cell r="S2458">
            <v>971</v>
          </cell>
          <cell r="T2458" t="str">
            <v>標準</v>
          </cell>
        </row>
        <row r="2459">
          <cell r="F2459" t="str">
            <v>H0000108655</v>
          </cell>
          <cell r="I2459" t="str">
            <v>フレーム</v>
          </cell>
          <cell r="J2459" t="str">
            <v>S-Frame_SX-40_S_TKTK</v>
          </cell>
          <cell r="K2459" t="str">
            <v>S-フレーム_SX-40_S_TKTK</v>
          </cell>
          <cell r="L2459" t="str">
            <v>S-Frame</v>
          </cell>
          <cell r="M2459" t="str">
            <v>S-フレーム</v>
          </cell>
          <cell r="P2459" t="str">
            <v>31B0</v>
          </cell>
          <cell r="Q2459" t="str">
            <v>SS400</v>
          </cell>
          <cell r="R2459" t="str">
            <v>E389460_01</v>
          </cell>
          <cell r="S2459">
            <v>971</v>
          </cell>
          <cell r="T2459" t="str">
            <v>標準</v>
          </cell>
        </row>
        <row r="2460">
          <cell r="F2460" t="str">
            <v>H0000108656</v>
          </cell>
          <cell r="I2460" t="str">
            <v>フレーム</v>
          </cell>
          <cell r="J2460" t="str">
            <v>S-Frame_SX-40_S_TKTK</v>
          </cell>
          <cell r="K2460" t="str">
            <v>S-フレーム_SX-40_S_TKTK</v>
          </cell>
          <cell r="L2460" t="str">
            <v>S-Frame</v>
          </cell>
          <cell r="M2460" t="str">
            <v>S-フレーム</v>
          </cell>
          <cell r="P2460" t="str">
            <v>31B0</v>
          </cell>
          <cell r="Q2460" t="str">
            <v>SS400</v>
          </cell>
          <cell r="R2460" t="str">
            <v>E389460_01</v>
          </cell>
          <cell r="S2460">
            <v>971</v>
          </cell>
          <cell r="T2460" t="str">
            <v>標準</v>
          </cell>
        </row>
        <row r="2461">
          <cell r="F2461" t="str">
            <v>H0000108657</v>
          </cell>
          <cell r="I2461" t="str">
            <v>フレーム</v>
          </cell>
          <cell r="J2461" t="str">
            <v>S-Frame_SX-40_S_TKTK</v>
          </cell>
          <cell r="K2461" t="str">
            <v>S-フレーム_SX-40_S_TKTK</v>
          </cell>
          <cell r="L2461" t="str">
            <v>S-Frame</v>
          </cell>
          <cell r="M2461" t="str">
            <v>S-フレーム</v>
          </cell>
          <cell r="P2461" t="str">
            <v>31B0</v>
          </cell>
          <cell r="Q2461" t="str">
            <v>SS400</v>
          </cell>
          <cell r="R2461" t="str">
            <v>E389460_01</v>
          </cell>
          <cell r="S2461">
            <v>971</v>
          </cell>
          <cell r="T2461" t="str">
            <v>標準</v>
          </cell>
        </row>
        <row r="2462">
          <cell r="F2462" t="str">
            <v>H0000108658</v>
          </cell>
          <cell r="I2462" t="str">
            <v>フレーム</v>
          </cell>
          <cell r="J2462" t="str">
            <v>S-Frame_SX-40_S_TKTK</v>
          </cell>
          <cell r="K2462" t="str">
            <v>S-フレーム_SX-40_S_TKTK</v>
          </cell>
          <cell r="L2462" t="str">
            <v>S-Frame</v>
          </cell>
          <cell r="M2462" t="str">
            <v>S-フレーム</v>
          </cell>
          <cell r="P2462" t="str">
            <v>31B0</v>
          </cell>
          <cell r="Q2462" t="str">
            <v>SS400</v>
          </cell>
          <cell r="R2462" t="str">
            <v>E389460_01</v>
          </cell>
          <cell r="S2462">
            <v>971</v>
          </cell>
          <cell r="T2462" t="str">
            <v>標準</v>
          </cell>
        </row>
        <row r="2463">
          <cell r="F2463" t="str">
            <v>H0000108659</v>
          </cell>
          <cell r="I2463" t="str">
            <v>フレーム</v>
          </cell>
          <cell r="J2463" t="str">
            <v>S-Frame_SX-40_S_TKTK</v>
          </cell>
          <cell r="K2463" t="str">
            <v>S-フレーム_SX-40_S_TKTK</v>
          </cell>
          <cell r="L2463" t="str">
            <v>S-Frame</v>
          </cell>
          <cell r="M2463" t="str">
            <v>S-フレーム</v>
          </cell>
          <cell r="P2463" t="str">
            <v>31B0</v>
          </cell>
          <cell r="Q2463" t="str">
            <v>SS400</v>
          </cell>
          <cell r="R2463" t="str">
            <v>E389460_01</v>
          </cell>
          <cell r="S2463">
            <v>971</v>
          </cell>
          <cell r="T2463" t="str">
            <v>標準</v>
          </cell>
        </row>
        <row r="2464">
          <cell r="F2464" t="str">
            <v>H0000108660</v>
          </cell>
          <cell r="I2464" t="str">
            <v>フレーム</v>
          </cell>
          <cell r="J2464" t="str">
            <v>S-Frame_SX-40_S_TKTK</v>
          </cell>
          <cell r="K2464" t="str">
            <v>S-フレーム_SX-40_S_TKTK</v>
          </cell>
          <cell r="L2464" t="str">
            <v>S-Frame</v>
          </cell>
          <cell r="M2464" t="str">
            <v>S-フレーム</v>
          </cell>
          <cell r="P2464" t="str">
            <v>31B0</v>
          </cell>
          <cell r="Q2464" t="str">
            <v>SS400</v>
          </cell>
          <cell r="R2464" t="str">
            <v>E389460_01</v>
          </cell>
          <cell r="S2464">
            <v>971</v>
          </cell>
          <cell r="T2464" t="str">
            <v>標準</v>
          </cell>
        </row>
        <row r="2465">
          <cell r="F2465" t="str">
            <v>H0000108661</v>
          </cell>
          <cell r="I2465" t="str">
            <v>フレーム</v>
          </cell>
          <cell r="J2465" t="str">
            <v>S-Frame_SX-40_S_TKTK</v>
          </cell>
          <cell r="K2465" t="str">
            <v>S-フレーム_SX-40_S_TKTK</v>
          </cell>
          <cell r="L2465" t="str">
            <v>S-Frame</v>
          </cell>
          <cell r="M2465" t="str">
            <v>S-フレーム</v>
          </cell>
          <cell r="P2465" t="str">
            <v>31B0</v>
          </cell>
          <cell r="Q2465" t="str">
            <v>SS400</v>
          </cell>
          <cell r="R2465" t="str">
            <v>E389460_01</v>
          </cell>
          <cell r="S2465">
            <v>971</v>
          </cell>
          <cell r="T2465" t="str">
            <v>標準</v>
          </cell>
        </row>
        <row r="2466">
          <cell r="F2466" t="str">
            <v>H0000108662</v>
          </cell>
          <cell r="I2466" t="str">
            <v>フレーム</v>
          </cell>
          <cell r="J2466" t="str">
            <v>S-Frame_SX-40_S_TKTK</v>
          </cell>
          <cell r="K2466" t="str">
            <v>S-フレーム_SX-40_S_TKTK</v>
          </cell>
          <cell r="L2466" t="str">
            <v>S-Frame</v>
          </cell>
          <cell r="M2466" t="str">
            <v>S-フレーム</v>
          </cell>
          <cell r="P2466" t="str">
            <v>31B0</v>
          </cell>
          <cell r="Q2466" t="str">
            <v>SS400</v>
          </cell>
          <cell r="R2466" t="str">
            <v>E389460_01</v>
          </cell>
          <cell r="S2466">
            <v>971</v>
          </cell>
          <cell r="T2466" t="str">
            <v>標準</v>
          </cell>
        </row>
        <row r="2467">
          <cell r="F2467" t="str">
            <v>H0000108663</v>
          </cell>
          <cell r="I2467" t="str">
            <v>フレーム</v>
          </cell>
          <cell r="J2467" t="str">
            <v>S-Frame_SX-40_S_TKTK</v>
          </cell>
          <cell r="K2467" t="str">
            <v>S-フレーム_SX-40_S_TKTK</v>
          </cell>
          <cell r="L2467" t="str">
            <v>S-Frame</v>
          </cell>
          <cell r="M2467" t="str">
            <v>S-フレーム</v>
          </cell>
          <cell r="P2467" t="str">
            <v>31B0</v>
          </cell>
          <cell r="Q2467" t="str">
            <v>SS400</v>
          </cell>
          <cell r="R2467" t="str">
            <v>E389460_01</v>
          </cell>
          <cell r="S2467">
            <v>971</v>
          </cell>
          <cell r="T2467" t="str">
            <v>標準</v>
          </cell>
        </row>
        <row r="2468">
          <cell r="F2468" t="str">
            <v>H0000108664</v>
          </cell>
          <cell r="I2468" t="str">
            <v>フレーム</v>
          </cell>
          <cell r="J2468" t="str">
            <v>S-Frame_SX-40_S_TKTK</v>
          </cell>
          <cell r="K2468" t="str">
            <v>S-フレーム_SX-40_S_TKTK</v>
          </cell>
          <cell r="L2468" t="str">
            <v>S-Frame</v>
          </cell>
          <cell r="M2468" t="str">
            <v>S-フレーム</v>
          </cell>
          <cell r="P2468" t="str">
            <v>31B0</v>
          </cell>
          <cell r="Q2468" t="str">
            <v>SS400</v>
          </cell>
          <cell r="R2468" t="str">
            <v>E389460_01</v>
          </cell>
          <cell r="S2468">
            <v>971</v>
          </cell>
          <cell r="T2468" t="str">
            <v>標準</v>
          </cell>
        </row>
        <row r="2469">
          <cell r="F2469" t="str">
            <v>H0000108665</v>
          </cell>
          <cell r="I2469" t="str">
            <v>フレーム</v>
          </cell>
          <cell r="J2469" t="str">
            <v>S-Frame_SX-40_S_TKTK</v>
          </cell>
          <cell r="K2469" t="str">
            <v>S-フレーム_SX-40_S_TKTK</v>
          </cell>
          <cell r="L2469" t="str">
            <v>S-Frame</v>
          </cell>
          <cell r="M2469" t="str">
            <v>S-フレーム</v>
          </cell>
          <cell r="P2469" t="str">
            <v>31B0</v>
          </cell>
          <cell r="Q2469" t="str">
            <v>SS400</v>
          </cell>
          <cell r="R2469" t="str">
            <v>E389460_01</v>
          </cell>
          <cell r="S2469">
            <v>971</v>
          </cell>
          <cell r="T2469" t="str">
            <v>標準</v>
          </cell>
        </row>
        <row r="2470">
          <cell r="F2470" t="str">
            <v>H0000108666</v>
          </cell>
          <cell r="I2470" t="str">
            <v>フレーム</v>
          </cell>
          <cell r="J2470" t="str">
            <v>S-Frame_SX-40_S_TKTK</v>
          </cell>
          <cell r="K2470" t="str">
            <v>S-フレーム_SX-40_S_TKTK</v>
          </cell>
          <cell r="L2470" t="str">
            <v>S-Frame</v>
          </cell>
          <cell r="M2470" t="str">
            <v>S-フレーム</v>
          </cell>
          <cell r="P2470" t="str">
            <v>31B0</v>
          </cell>
          <cell r="Q2470" t="str">
            <v>SS400</v>
          </cell>
          <cell r="R2470" t="str">
            <v>E389460_01</v>
          </cell>
          <cell r="S2470">
            <v>971</v>
          </cell>
          <cell r="T2470" t="str">
            <v>標準</v>
          </cell>
        </row>
        <row r="2471">
          <cell r="F2471" t="str">
            <v>H0000108667</v>
          </cell>
          <cell r="I2471" t="str">
            <v>フレーム</v>
          </cell>
          <cell r="J2471" t="str">
            <v>S-Frame_SX-40_S_TKTK</v>
          </cell>
          <cell r="K2471" t="str">
            <v>S-フレーム_SX-40_S_TKTK</v>
          </cell>
          <cell r="L2471" t="str">
            <v>S-Frame</v>
          </cell>
          <cell r="M2471" t="str">
            <v>S-フレーム</v>
          </cell>
          <cell r="P2471" t="str">
            <v>31B0</v>
          </cell>
          <cell r="Q2471" t="str">
            <v>SS400</v>
          </cell>
          <cell r="R2471" t="str">
            <v>E389460_01</v>
          </cell>
          <cell r="S2471">
            <v>971</v>
          </cell>
          <cell r="T2471" t="str">
            <v>標準</v>
          </cell>
        </row>
        <row r="2472">
          <cell r="F2472" t="str">
            <v>H0000108668</v>
          </cell>
          <cell r="I2472" t="str">
            <v>フレーム</v>
          </cell>
          <cell r="J2472" t="str">
            <v>S-Frame_SX-40_S_TKTK</v>
          </cell>
          <cell r="K2472" t="str">
            <v>S-フレーム_SX-40_S_TKTK</v>
          </cell>
          <cell r="L2472" t="str">
            <v>S-Frame</v>
          </cell>
          <cell r="M2472" t="str">
            <v>S-フレーム</v>
          </cell>
          <cell r="P2472" t="str">
            <v>31B0</v>
          </cell>
          <cell r="Q2472" t="str">
            <v>SS400</v>
          </cell>
          <cell r="R2472" t="str">
            <v>E389460_01</v>
          </cell>
          <cell r="S2472">
            <v>971</v>
          </cell>
          <cell r="T2472" t="str">
            <v>標準</v>
          </cell>
        </row>
        <row r="2473">
          <cell r="F2473" t="str">
            <v>H0000108669</v>
          </cell>
          <cell r="I2473" t="str">
            <v>フレーム</v>
          </cell>
          <cell r="J2473" t="str">
            <v>S-Frame_SX-40_S_TKTK</v>
          </cell>
          <cell r="K2473" t="str">
            <v>S-フレーム_SX-40_S_TKTK</v>
          </cell>
          <cell r="L2473" t="str">
            <v>S-Frame</v>
          </cell>
          <cell r="M2473" t="str">
            <v>S-フレーム</v>
          </cell>
          <cell r="P2473" t="str">
            <v>31B0</v>
          </cell>
          <cell r="Q2473" t="str">
            <v>SS400</v>
          </cell>
          <cell r="R2473" t="str">
            <v>E389460_01</v>
          </cell>
          <cell r="S2473">
            <v>971</v>
          </cell>
          <cell r="T2473" t="str">
            <v>標準</v>
          </cell>
        </row>
        <row r="2474">
          <cell r="F2474" t="str">
            <v>H0000108670</v>
          </cell>
          <cell r="I2474" t="str">
            <v>フレーム</v>
          </cell>
          <cell r="J2474" t="str">
            <v>S-Frame_SX-40_S_TKTK</v>
          </cell>
          <cell r="K2474" t="str">
            <v>S-フレーム_SX-40_S_TKTK</v>
          </cell>
          <cell r="L2474" t="str">
            <v>S-Frame</v>
          </cell>
          <cell r="M2474" t="str">
            <v>S-フレーム</v>
          </cell>
          <cell r="P2474" t="str">
            <v>31B0</v>
          </cell>
          <cell r="Q2474" t="str">
            <v>SS400</v>
          </cell>
          <cell r="R2474" t="str">
            <v>E389460_01</v>
          </cell>
          <cell r="S2474">
            <v>971</v>
          </cell>
          <cell r="T2474" t="str">
            <v>標準</v>
          </cell>
        </row>
        <row r="2475">
          <cell r="F2475" t="str">
            <v>H0000108671</v>
          </cell>
          <cell r="I2475" t="str">
            <v>フレーム</v>
          </cell>
          <cell r="J2475" t="str">
            <v>S-Frame_SX-40_S_TKTK</v>
          </cell>
          <cell r="K2475" t="str">
            <v>S-フレーム_SX-40_S_TKTK</v>
          </cell>
          <cell r="L2475" t="str">
            <v>S-Frame</v>
          </cell>
          <cell r="M2475" t="str">
            <v>S-フレーム</v>
          </cell>
          <cell r="P2475" t="str">
            <v>31B0</v>
          </cell>
          <cell r="Q2475" t="str">
            <v>SS400</v>
          </cell>
          <cell r="R2475" t="str">
            <v>E389460_01</v>
          </cell>
          <cell r="S2475">
            <v>971</v>
          </cell>
          <cell r="T2475" t="str">
            <v>標準</v>
          </cell>
        </row>
        <row r="2476">
          <cell r="F2476" t="str">
            <v>H0000108672</v>
          </cell>
          <cell r="I2476" t="str">
            <v>フレーム</v>
          </cell>
          <cell r="J2476" t="str">
            <v>S-Frame_SX-40_S_TKTK</v>
          </cell>
          <cell r="K2476" t="str">
            <v>S-フレーム_SX-40_S_TKTK</v>
          </cell>
          <cell r="L2476" t="str">
            <v>S-Frame</v>
          </cell>
          <cell r="M2476" t="str">
            <v>S-フレーム</v>
          </cell>
          <cell r="P2476" t="str">
            <v>31B0</v>
          </cell>
          <cell r="Q2476" t="str">
            <v>SS400</v>
          </cell>
          <cell r="R2476" t="str">
            <v>E389460_01</v>
          </cell>
          <cell r="S2476">
            <v>971</v>
          </cell>
          <cell r="T2476" t="str">
            <v>標準</v>
          </cell>
        </row>
        <row r="2477">
          <cell r="F2477" t="str">
            <v>H0000108673</v>
          </cell>
          <cell r="I2477" t="str">
            <v>フレーム</v>
          </cell>
          <cell r="J2477" t="str">
            <v>S-Frame_SX-40_S_TKTK</v>
          </cell>
          <cell r="K2477" t="str">
            <v>S-フレーム_SX-40_S_TKTK</v>
          </cell>
          <cell r="L2477" t="str">
            <v>S-Frame</v>
          </cell>
          <cell r="M2477" t="str">
            <v>S-フレーム</v>
          </cell>
          <cell r="P2477" t="str">
            <v>31B0</v>
          </cell>
          <cell r="Q2477" t="str">
            <v>SS400</v>
          </cell>
          <cell r="R2477" t="str">
            <v>E389460_01</v>
          </cell>
          <cell r="S2477">
            <v>971</v>
          </cell>
          <cell r="T2477" t="str">
            <v>標準</v>
          </cell>
        </row>
        <row r="2478">
          <cell r="F2478" t="str">
            <v>H0000108674</v>
          </cell>
          <cell r="I2478" t="str">
            <v>フレーム</v>
          </cell>
          <cell r="J2478" t="str">
            <v>S-Frame_SX-40_S_TKTK</v>
          </cell>
          <cell r="K2478" t="str">
            <v>S-フレーム_SX-40_S_TKTK</v>
          </cell>
          <cell r="L2478" t="str">
            <v>S-Frame</v>
          </cell>
          <cell r="M2478" t="str">
            <v>S-フレーム</v>
          </cell>
          <cell r="P2478" t="str">
            <v>31B0</v>
          </cell>
          <cell r="Q2478" t="str">
            <v>SS400</v>
          </cell>
          <cell r="R2478" t="str">
            <v>E389460_01</v>
          </cell>
          <cell r="S2478">
            <v>971</v>
          </cell>
          <cell r="T2478" t="str">
            <v>標準</v>
          </cell>
        </row>
        <row r="2479">
          <cell r="F2479" t="str">
            <v>H0000108675</v>
          </cell>
          <cell r="I2479" t="str">
            <v>フレーム</v>
          </cell>
          <cell r="J2479" t="str">
            <v>S-Frame_SX-40_S_TKTK</v>
          </cell>
          <cell r="K2479" t="str">
            <v>S-フレーム_SX-40_S_TKTK</v>
          </cell>
          <cell r="L2479" t="str">
            <v>S-Frame</v>
          </cell>
          <cell r="M2479" t="str">
            <v>S-フレーム</v>
          </cell>
          <cell r="P2479" t="str">
            <v>31B0</v>
          </cell>
          <cell r="Q2479" t="str">
            <v>SS400</v>
          </cell>
          <cell r="R2479" t="str">
            <v>E389460_01</v>
          </cell>
          <cell r="S2479">
            <v>971</v>
          </cell>
          <cell r="T2479" t="str">
            <v>標準</v>
          </cell>
        </row>
        <row r="2480">
          <cell r="F2480" t="str">
            <v>H0000108676</v>
          </cell>
          <cell r="I2480" t="str">
            <v>フレーム</v>
          </cell>
          <cell r="J2480" t="str">
            <v>S-Frame_SX-40_S_TKTK</v>
          </cell>
          <cell r="K2480" t="str">
            <v>S-フレーム_SX-40_S_TKTK</v>
          </cell>
          <cell r="L2480" t="str">
            <v>S-Frame</v>
          </cell>
          <cell r="M2480" t="str">
            <v>S-フレーム</v>
          </cell>
          <cell r="P2480" t="str">
            <v>31B0</v>
          </cell>
          <cell r="Q2480" t="str">
            <v>SS400</v>
          </cell>
          <cell r="R2480" t="str">
            <v>E389460_01</v>
          </cell>
          <cell r="S2480">
            <v>971</v>
          </cell>
          <cell r="T2480" t="str">
            <v>標準</v>
          </cell>
        </row>
        <row r="2481">
          <cell r="F2481" t="str">
            <v>H0000108677</v>
          </cell>
          <cell r="I2481" t="str">
            <v>フレーム</v>
          </cell>
          <cell r="J2481" t="str">
            <v>S-Frame_SX-40_S_TKTK</v>
          </cell>
          <cell r="K2481" t="str">
            <v>S-フレーム_SX-40_S_TKTK</v>
          </cell>
          <cell r="L2481" t="str">
            <v>S-Frame</v>
          </cell>
          <cell r="M2481" t="str">
            <v>S-フレーム</v>
          </cell>
          <cell r="P2481" t="str">
            <v>31B0</v>
          </cell>
          <cell r="Q2481" t="str">
            <v>SS400</v>
          </cell>
          <cell r="R2481" t="str">
            <v>E389460_01</v>
          </cell>
          <cell r="S2481">
            <v>971</v>
          </cell>
          <cell r="T2481" t="str">
            <v>標準</v>
          </cell>
        </row>
        <row r="2482">
          <cell r="F2482" t="str">
            <v>H0000108678</v>
          </cell>
          <cell r="I2482" t="str">
            <v>フレーム</v>
          </cell>
          <cell r="J2482" t="str">
            <v>S-Frame_SX-40_S_TKTK</v>
          </cell>
          <cell r="K2482" t="str">
            <v>S-フレーム_SX-40_S_TKTK</v>
          </cell>
          <cell r="L2482" t="str">
            <v>S-Frame</v>
          </cell>
          <cell r="M2482" t="str">
            <v>S-フレーム</v>
          </cell>
          <cell r="P2482" t="str">
            <v>31B0</v>
          </cell>
          <cell r="Q2482" t="str">
            <v>SS400</v>
          </cell>
          <cell r="R2482" t="str">
            <v>E389460_01</v>
          </cell>
          <cell r="S2482">
            <v>971</v>
          </cell>
          <cell r="T2482" t="str">
            <v>標準</v>
          </cell>
        </row>
        <row r="2483">
          <cell r="F2483" t="str">
            <v>H0000108679</v>
          </cell>
          <cell r="I2483" t="str">
            <v>フレーム</v>
          </cell>
          <cell r="J2483" t="str">
            <v>S-Frame_SX-40_S_TKTK</v>
          </cell>
          <cell r="K2483" t="str">
            <v>S-フレーム_SX-40_S_TKTK</v>
          </cell>
          <cell r="L2483" t="str">
            <v>S-Frame</v>
          </cell>
          <cell r="M2483" t="str">
            <v>S-フレーム</v>
          </cell>
          <cell r="P2483" t="str">
            <v>31B0</v>
          </cell>
          <cell r="Q2483" t="str">
            <v>SS400</v>
          </cell>
          <cell r="R2483" t="str">
            <v>E389460_01</v>
          </cell>
          <cell r="S2483">
            <v>971</v>
          </cell>
          <cell r="T2483" t="str">
            <v>標準</v>
          </cell>
        </row>
        <row r="2484">
          <cell r="F2484" t="str">
            <v>H0000108680</v>
          </cell>
          <cell r="I2484" t="str">
            <v>フレーム</v>
          </cell>
          <cell r="J2484" t="str">
            <v>S-Frame_SX-40_S_TKTK</v>
          </cell>
          <cell r="K2484" t="str">
            <v>S-フレーム_SX-40_S_TKTK</v>
          </cell>
          <cell r="L2484" t="str">
            <v>S-Frame</v>
          </cell>
          <cell r="M2484" t="str">
            <v>S-フレーム</v>
          </cell>
          <cell r="P2484" t="str">
            <v>31B0</v>
          </cell>
          <cell r="Q2484" t="str">
            <v>SS400</v>
          </cell>
          <cell r="R2484" t="str">
            <v>E389460_01</v>
          </cell>
          <cell r="S2484">
            <v>971</v>
          </cell>
          <cell r="T2484" t="str">
            <v>標準</v>
          </cell>
        </row>
        <row r="2485">
          <cell r="F2485" t="str">
            <v>H0000108681</v>
          </cell>
          <cell r="I2485" t="str">
            <v>フレーム</v>
          </cell>
          <cell r="J2485" t="str">
            <v>S-Frame_SX-40_S_TKTK</v>
          </cell>
          <cell r="K2485" t="str">
            <v>S-フレーム_SX-40_S_TKTK</v>
          </cell>
          <cell r="L2485" t="str">
            <v>S-Frame</v>
          </cell>
          <cell r="M2485" t="str">
            <v>S-フレーム</v>
          </cell>
          <cell r="P2485" t="str">
            <v>31B0</v>
          </cell>
          <cell r="Q2485" t="str">
            <v>SS400</v>
          </cell>
          <cell r="R2485" t="str">
            <v>E389460_01</v>
          </cell>
          <cell r="S2485">
            <v>971</v>
          </cell>
          <cell r="T2485" t="str">
            <v>標準</v>
          </cell>
        </row>
        <row r="2486">
          <cell r="F2486" t="str">
            <v>H0000108682</v>
          </cell>
          <cell r="I2486" t="str">
            <v>フレーム</v>
          </cell>
          <cell r="J2486" t="str">
            <v>S-Frame_SX-40_S_TKTK</v>
          </cell>
          <cell r="K2486" t="str">
            <v>S-フレーム_SX-40_S_TKTK</v>
          </cell>
          <cell r="L2486" t="str">
            <v>S-Frame</v>
          </cell>
          <cell r="M2486" t="str">
            <v>S-フレーム</v>
          </cell>
          <cell r="P2486" t="str">
            <v>31B0</v>
          </cell>
          <cell r="Q2486" t="str">
            <v>SS400</v>
          </cell>
          <cell r="R2486" t="str">
            <v>E389460_01</v>
          </cell>
          <cell r="S2486">
            <v>971</v>
          </cell>
          <cell r="T2486" t="str">
            <v>標準</v>
          </cell>
        </row>
        <row r="2487">
          <cell r="F2487" t="str">
            <v>H0000108683</v>
          </cell>
          <cell r="I2487" t="str">
            <v>フレーム</v>
          </cell>
          <cell r="J2487" t="str">
            <v>S-Frame_SX-40_S_TKTK</v>
          </cell>
          <cell r="K2487" t="str">
            <v>S-フレーム_SX-40_S_TKTK</v>
          </cell>
          <cell r="L2487" t="str">
            <v>S-Frame</v>
          </cell>
          <cell r="M2487" t="str">
            <v>S-フレーム</v>
          </cell>
          <cell r="P2487" t="str">
            <v>31B0</v>
          </cell>
          <cell r="Q2487" t="str">
            <v>SS400</v>
          </cell>
          <cell r="R2487" t="str">
            <v>E389460_01</v>
          </cell>
          <cell r="S2487">
            <v>971</v>
          </cell>
          <cell r="T2487" t="str">
            <v>標準</v>
          </cell>
        </row>
        <row r="2488">
          <cell r="F2488" t="str">
            <v>H0000108684</v>
          </cell>
          <cell r="I2488" t="str">
            <v>フレーム</v>
          </cell>
          <cell r="J2488" t="str">
            <v>S-Frame_SX-40_S_TKTK</v>
          </cell>
          <cell r="K2488" t="str">
            <v>S-フレーム_SX-40_S_TKTK</v>
          </cell>
          <cell r="L2488" t="str">
            <v>S-Frame</v>
          </cell>
          <cell r="M2488" t="str">
            <v>S-フレーム</v>
          </cell>
          <cell r="P2488" t="str">
            <v>31B0</v>
          </cell>
          <cell r="Q2488" t="str">
            <v>SS400</v>
          </cell>
          <cell r="R2488" t="str">
            <v>E389460_01</v>
          </cell>
          <cell r="S2488">
            <v>971</v>
          </cell>
          <cell r="T2488" t="str">
            <v>標準</v>
          </cell>
        </row>
        <row r="2489">
          <cell r="F2489" t="str">
            <v>H0000108685</v>
          </cell>
          <cell r="I2489" t="str">
            <v>フレーム</v>
          </cell>
          <cell r="J2489" t="str">
            <v>S-Frame_SX-40_S_TKTK</v>
          </cell>
          <cell r="K2489" t="str">
            <v>S-フレーム_SX-40_S_TKTK</v>
          </cell>
          <cell r="L2489" t="str">
            <v>S-Frame</v>
          </cell>
          <cell r="M2489" t="str">
            <v>S-フレーム</v>
          </cell>
          <cell r="P2489" t="str">
            <v>31B0</v>
          </cell>
          <cell r="Q2489" t="str">
            <v>SS400</v>
          </cell>
          <cell r="R2489" t="str">
            <v>E389460_01</v>
          </cell>
          <cell r="S2489">
            <v>971</v>
          </cell>
          <cell r="T2489" t="str">
            <v>標準</v>
          </cell>
        </row>
        <row r="2490">
          <cell r="F2490" t="str">
            <v>H0000108686</v>
          </cell>
          <cell r="I2490" t="str">
            <v>フレーム</v>
          </cell>
          <cell r="J2490" t="str">
            <v>S-Frame_SX-40_S_KTKT</v>
          </cell>
          <cell r="K2490" t="str">
            <v>S-フレーム_SX-40_S_KTKT</v>
          </cell>
          <cell r="L2490" t="str">
            <v>S-Frame</v>
          </cell>
          <cell r="M2490" t="str">
            <v>S-フレーム</v>
          </cell>
          <cell r="P2490" t="str">
            <v>31B0</v>
          </cell>
          <cell r="Q2490" t="str">
            <v>SS400</v>
          </cell>
          <cell r="R2490" t="str">
            <v>E389460_01</v>
          </cell>
          <cell r="S2490">
            <v>971</v>
          </cell>
          <cell r="T2490" t="str">
            <v>標準</v>
          </cell>
        </row>
        <row r="2491">
          <cell r="F2491" t="str">
            <v>H0000108687</v>
          </cell>
          <cell r="I2491" t="str">
            <v>フレーム</v>
          </cell>
          <cell r="J2491" t="str">
            <v>S-Frame_SX-40_S_KTKT</v>
          </cell>
          <cell r="K2491" t="str">
            <v>S-フレーム_SX-40_S_KTKT</v>
          </cell>
          <cell r="L2491" t="str">
            <v>S-Frame</v>
          </cell>
          <cell r="M2491" t="str">
            <v>S-フレーム</v>
          </cell>
          <cell r="P2491" t="str">
            <v>31B0</v>
          </cell>
          <cell r="Q2491" t="str">
            <v>SS400</v>
          </cell>
          <cell r="R2491" t="str">
            <v>E389460_01</v>
          </cell>
          <cell r="S2491">
            <v>971</v>
          </cell>
          <cell r="T2491" t="str">
            <v>標準</v>
          </cell>
        </row>
        <row r="2492">
          <cell r="F2492" t="str">
            <v>H0000108688</v>
          </cell>
          <cell r="I2492" t="str">
            <v>フレーム</v>
          </cell>
          <cell r="J2492" t="str">
            <v>S-Frame_SX-40_S_KTKT</v>
          </cell>
          <cell r="K2492" t="str">
            <v>S-フレーム_SX-40_S_KTKT</v>
          </cell>
          <cell r="L2492" t="str">
            <v>S-Frame</v>
          </cell>
          <cell r="M2492" t="str">
            <v>S-フレーム</v>
          </cell>
          <cell r="P2492" t="str">
            <v>31B0</v>
          </cell>
          <cell r="Q2492" t="str">
            <v>SS400</v>
          </cell>
          <cell r="R2492" t="str">
            <v>E389460_01</v>
          </cell>
          <cell r="S2492">
            <v>971</v>
          </cell>
          <cell r="T2492" t="str">
            <v>標準</v>
          </cell>
        </row>
        <row r="2493">
          <cell r="F2493" t="str">
            <v>H0000108689</v>
          </cell>
          <cell r="I2493" t="str">
            <v>フレーム</v>
          </cell>
          <cell r="J2493" t="str">
            <v>S-Frame_SX-40_S_KTKT</v>
          </cell>
          <cell r="K2493" t="str">
            <v>S-フレーム_SX-40_S_KTKT</v>
          </cell>
          <cell r="L2493" t="str">
            <v>S-Frame</v>
          </cell>
          <cell r="M2493" t="str">
            <v>S-フレーム</v>
          </cell>
          <cell r="P2493" t="str">
            <v>31B0</v>
          </cell>
          <cell r="Q2493" t="str">
            <v>SS400</v>
          </cell>
          <cell r="R2493" t="str">
            <v>E389460_01</v>
          </cell>
          <cell r="S2493">
            <v>971</v>
          </cell>
          <cell r="T2493" t="str">
            <v>標準</v>
          </cell>
        </row>
        <row r="2494">
          <cell r="F2494" t="str">
            <v>H0000108690</v>
          </cell>
          <cell r="I2494" t="str">
            <v>フレーム</v>
          </cell>
          <cell r="J2494" t="str">
            <v>S-Frame_SX-40_S_KTKT</v>
          </cell>
          <cell r="K2494" t="str">
            <v>S-フレーム_SX-40_S_KTKT</v>
          </cell>
          <cell r="L2494" t="str">
            <v>S-Frame</v>
          </cell>
          <cell r="M2494" t="str">
            <v>S-フレーム</v>
          </cell>
          <cell r="P2494" t="str">
            <v>31B0</v>
          </cell>
          <cell r="Q2494" t="str">
            <v>SS400</v>
          </cell>
          <cell r="R2494" t="str">
            <v>E389460_01</v>
          </cell>
          <cell r="S2494">
            <v>971</v>
          </cell>
          <cell r="T2494" t="str">
            <v>標準</v>
          </cell>
        </row>
        <row r="2495">
          <cell r="F2495" t="str">
            <v>H0000108691</v>
          </cell>
          <cell r="I2495" t="str">
            <v>フレーム</v>
          </cell>
          <cell r="J2495" t="str">
            <v>S-Frame_SX-40_S_KTKT</v>
          </cell>
          <cell r="K2495" t="str">
            <v>S-フレーム_SX-40_S_KTKT</v>
          </cell>
          <cell r="L2495" t="str">
            <v>S-Frame</v>
          </cell>
          <cell r="M2495" t="str">
            <v>S-フレーム</v>
          </cell>
          <cell r="P2495" t="str">
            <v>31B0</v>
          </cell>
          <cell r="Q2495" t="str">
            <v>SS400</v>
          </cell>
          <cell r="R2495" t="str">
            <v>E389460_01</v>
          </cell>
          <cell r="S2495">
            <v>971</v>
          </cell>
          <cell r="T2495" t="str">
            <v>標準</v>
          </cell>
        </row>
        <row r="2496">
          <cell r="F2496" t="str">
            <v>H0000108692</v>
          </cell>
          <cell r="I2496" t="str">
            <v>フレーム</v>
          </cell>
          <cell r="J2496" t="str">
            <v>S-Frame_SX-40_S_KTKT</v>
          </cell>
          <cell r="K2496" t="str">
            <v>S-フレーム_SX-40_S_KTKT</v>
          </cell>
          <cell r="L2496" t="str">
            <v>S-Frame</v>
          </cell>
          <cell r="M2496" t="str">
            <v>S-フレーム</v>
          </cell>
          <cell r="P2496" t="str">
            <v>31B0</v>
          </cell>
          <cell r="Q2496" t="str">
            <v>SS400</v>
          </cell>
          <cell r="R2496" t="str">
            <v>E389460_01</v>
          </cell>
          <cell r="S2496">
            <v>971</v>
          </cell>
          <cell r="T2496" t="str">
            <v>標準</v>
          </cell>
        </row>
        <row r="2497">
          <cell r="F2497" t="str">
            <v>H0000108693</v>
          </cell>
          <cell r="I2497" t="str">
            <v>フレーム</v>
          </cell>
          <cell r="J2497" t="str">
            <v>S-Frame_SX-40_S_KTKT</v>
          </cell>
          <cell r="K2497" t="str">
            <v>S-フレーム_SX-40_S_KTKT</v>
          </cell>
          <cell r="L2497" t="str">
            <v>S-Frame</v>
          </cell>
          <cell r="M2497" t="str">
            <v>S-フレーム</v>
          </cell>
          <cell r="P2497" t="str">
            <v>31B0</v>
          </cell>
          <cell r="Q2497" t="str">
            <v>SS400</v>
          </cell>
          <cell r="R2497" t="str">
            <v>E389460_01</v>
          </cell>
          <cell r="S2497">
            <v>971</v>
          </cell>
          <cell r="T2497" t="str">
            <v>標準</v>
          </cell>
        </row>
        <row r="2498">
          <cell r="F2498" t="str">
            <v>H0000108694</v>
          </cell>
          <cell r="I2498" t="str">
            <v>フレーム</v>
          </cell>
          <cell r="J2498" t="str">
            <v>S-Frame_SX-40_S_KTKT</v>
          </cell>
          <cell r="K2498" t="str">
            <v>S-フレーム_SX-40_S_KTKT</v>
          </cell>
          <cell r="L2498" t="str">
            <v>S-Frame</v>
          </cell>
          <cell r="M2498" t="str">
            <v>S-フレーム</v>
          </cell>
          <cell r="P2498" t="str">
            <v>31B0</v>
          </cell>
          <cell r="Q2498" t="str">
            <v>SS400</v>
          </cell>
          <cell r="R2498" t="str">
            <v>E389460_01</v>
          </cell>
          <cell r="S2498">
            <v>971</v>
          </cell>
          <cell r="T2498" t="str">
            <v>標準</v>
          </cell>
        </row>
        <row r="2499">
          <cell r="F2499" t="str">
            <v>H0000108695</v>
          </cell>
          <cell r="I2499" t="str">
            <v>フレーム</v>
          </cell>
          <cell r="J2499" t="str">
            <v>S-Frame_SX-40_S_KTKT</v>
          </cell>
          <cell r="K2499" t="str">
            <v>S-フレーム_SX-40_S_KTKT</v>
          </cell>
          <cell r="L2499" t="str">
            <v>S-Frame</v>
          </cell>
          <cell r="M2499" t="str">
            <v>S-フレーム</v>
          </cell>
          <cell r="P2499" t="str">
            <v>31B0</v>
          </cell>
          <cell r="Q2499" t="str">
            <v>SS400</v>
          </cell>
          <cell r="R2499" t="str">
            <v>E389460_01</v>
          </cell>
          <cell r="S2499">
            <v>971</v>
          </cell>
          <cell r="T2499" t="str">
            <v>標準</v>
          </cell>
        </row>
        <row r="2500">
          <cell r="F2500" t="str">
            <v>H0000108696</v>
          </cell>
          <cell r="I2500" t="str">
            <v>フレーム</v>
          </cell>
          <cell r="J2500" t="str">
            <v>S-Frame_SX-40_S_KTKT</v>
          </cell>
          <cell r="K2500" t="str">
            <v>S-フレーム_SX-40_S_KTKT</v>
          </cell>
          <cell r="L2500" t="str">
            <v>S-Frame</v>
          </cell>
          <cell r="M2500" t="str">
            <v>S-フレーム</v>
          </cell>
          <cell r="P2500" t="str">
            <v>31B0</v>
          </cell>
          <cell r="Q2500" t="str">
            <v>SS400</v>
          </cell>
          <cell r="R2500" t="str">
            <v>E389460_01</v>
          </cell>
          <cell r="S2500">
            <v>971</v>
          </cell>
          <cell r="T2500" t="str">
            <v>標準</v>
          </cell>
        </row>
        <row r="2501">
          <cell r="F2501" t="str">
            <v>H0000108697</v>
          </cell>
          <cell r="I2501" t="str">
            <v>フレーム</v>
          </cell>
          <cell r="J2501" t="str">
            <v>S-Frame_SX-40_S_KTKT</v>
          </cell>
          <cell r="K2501" t="str">
            <v>S-フレーム_SX-40_S_KTKT</v>
          </cell>
          <cell r="L2501" t="str">
            <v>S-Frame</v>
          </cell>
          <cell r="M2501" t="str">
            <v>S-フレーム</v>
          </cell>
          <cell r="P2501" t="str">
            <v>31B0</v>
          </cell>
          <cell r="Q2501" t="str">
            <v>SS400</v>
          </cell>
          <cell r="R2501" t="str">
            <v>E389460_01</v>
          </cell>
          <cell r="S2501">
            <v>971</v>
          </cell>
          <cell r="T2501" t="str">
            <v>標準</v>
          </cell>
        </row>
        <row r="2502">
          <cell r="F2502" t="str">
            <v>H0000108698</v>
          </cell>
          <cell r="I2502" t="str">
            <v>フレーム</v>
          </cell>
          <cell r="J2502" t="str">
            <v>S-Frame_SX-40_S_KTKT</v>
          </cell>
          <cell r="K2502" t="str">
            <v>S-フレーム_SX-40_S_KTKT</v>
          </cell>
          <cell r="L2502" t="str">
            <v>S-Frame</v>
          </cell>
          <cell r="M2502" t="str">
            <v>S-フレーム</v>
          </cell>
          <cell r="P2502" t="str">
            <v>31B0</v>
          </cell>
          <cell r="Q2502" t="str">
            <v>SS400</v>
          </cell>
          <cell r="R2502" t="str">
            <v>E389460_01</v>
          </cell>
          <cell r="S2502">
            <v>971</v>
          </cell>
          <cell r="T2502" t="str">
            <v>標準</v>
          </cell>
        </row>
        <row r="2503">
          <cell r="F2503" t="str">
            <v>H0000108699</v>
          </cell>
          <cell r="I2503" t="str">
            <v>フレーム</v>
          </cell>
          <cell r="J2503" t="str">
            <v>S-Frame_SX-40_S_KTKT</v>
          </cell>
          <cell r="K2503" t="str">
            <v>S-フレーム_SX-40_S_KTKT</v>
          </cell>
          <cell r="L2503" t="str">
            <v>S-Frame</v>
          </cell>
          <cell r="M2503" t="str">
            <v>S-フレーム</v>
          </cell>
          <cell r="P2503" t="str">
            <v>31B0</v>
          </cell>
          <cell r="Q2503" t="str">
            <v>SS400</v>
          </cell>
          <cell r="R2503" t="str">
            <v>E389460_01</v>
          </cell>
          <cell r="S2503">
            <v>971</v>
          </cell>
          <cell r="T2503" t="str">
            <v>標準</v>
          </cell>
        </row>
        <row r="2504">
          <cell r="F2504" t="str">
            <v>H0000108700</v>
          </cell>
          <cell r="I2504" t="str">
            <v>フレーム</v>
          </cell>
          <cell r="J2504" t="str">
            <v>S-Frame_SX-40_S_KTKT</v>
          </cell>
          <cell r="K2504" t="str">
            <v>S-フレーム_SX-40_S_KTKT</v>
          </cell>
          <cell r="L2504" t="str">
            <v>S-Frame</v>
          </cell>
          <cell r="M2504" t="str">
            <v>S-フレーム</v>
          </cell>
          <cell r="P2504" t="str">
            <v>31B0</v>
          </cell>
          <cell r="Q2504" t="str">
            <v>SS400</v>
          </cell>
          <cell r="R2504" t="str">
            <v>E389460_01</v>
          </cell>
          <cell r="S2504">
            <v>971</v>
          </cell>
          <cell r="T2504" t="str">
            <v>標準</v>
          </cell>
        </row>
        <row r="2505">
          <cell r="F2505" t="str">
            <v>H0000108701</v>
          </cell>
          <cell r="I2505" t="str">
            <v>フレーム</v>
          </cell>
          <cell r="J2505" t="str">
            <v>S-Frame_SX-40_S_KTKT</v>
          </cell>
          <cell r="K2505" t="str">
            <v>S-フレーム_SX-40_S_KTKT</v>
          </cell>
          <cell r="L2505" t="str">
            <v>S-Frame</v>
          </cell>
          <cell r="M2505" t="str">
            <v>S-フレーム</v>
          </cell>
          <cell r="P2505" t="str">
            <v>31B0</v>
          </cell>
          <cell r="Q2505" t="str">
            <v>SS400</v>
          </cell>
          <cell r="R2505" t="str">
            <v>E389460_01</v>
          </cell>
          <cell r="S2505">
            <v>971</v>
          </cell>
          <cell r="T2505" t="str">
            <v>標準</v>
          </cell>
        </row>
        <row r="2506">
          <cell r="F2506" t="str">
            <v>H0000108702</v>
          </cell>
          <cell r="I2506" t="str">
            <v>フレーム</v>
          </cell>
          <cell r="J2506" t="str">
            <v>S-Frame_SX-40_S_KTKT</v>
          </cell>
          <cell r="K2506" t="str">
            <v>S-フレーム_SX-40_S_KTKT</v>
          </cell>
          <cell r="L2506" t="str">
            <v>S-Frame</v>
          </cell>
          <cell r="M2506" t="str">
            <v>S-フレーム</v>
          </cell>
          <cell r="P2506" t="str">
            <v>31B0</v>
          </cell>
          <cell r="Q2506" t="str">
            <v>SS400</v>
          </cell>
          <cell r="R2506" t="str">
            <v>E389460_01</v>
          </cell>
          <cell r="S2506">
            <v>971</v>
          </cell>
          <cell r="T2506" t="str">
            <v>標準</v>
          </cell>
        </row>
        <row r="2507">
          <cell r="F2507" t="str">
            <v>H0000108703</v>
          </cell>
          <cell r="I2507" t="str">
            <v>フレーム</v>
          </cell>
          <cell r="J2507" t="str">
            <v>S-Frame_SX-40_S_KTKT</v>
          </cell>
          <cell r="K2507" t="str">
            <v>S-フレーム_SX-40_S_KTKT</v>
          </cell>
          <cell r="L2507" t="str">
            <v>S-Frame</v>
          </cell>
          <cell r="M2507" t="str">
            <v>S-フレーム</v>
          </cell>
          <cell r="P2507" t="str">
            <v>31B0</v>
          </cell>
          <cell r="Q2507" t="str">
            <v>SS400</v>
          </cell>
          <cell r="R2507" t="str">
            <v>E389460_01</v>
          </cell>
          <cell r="S2507">
            <v>971</v>
          </cell>
          <cell r="T2507" t="str">
            <v>標準</v>
          </cell>
        </row>
        <row r="2508">
          <cell r="F2508" t="str">
            <v>H0000108704</v>
          </cell>
          <cell r="I2508" t="str">
            <v>フレーム</v>
          </cell>
          <cell r="J2508" t="str">
            <v>S-Frame_SX-40_S_KTKT</v>
          </cell>
          <cell r="K2508" t="str">
            <v>S-フレーム_SX-40_S_KTKT</v>
          </cell>
          <cell r="L2508" t="str">
            <v>S-Frame</v>
          </cell>
          <cell r="M2508" t="str">
            <v>S-フレーム</v>
          </cell>
          <cell r="P2508" t="str">
            <v>31B0</v>
          </cell>
          <cell r="Q2508" t="str">
            <v>SS400</v>
          </cell>
          <cell r="R2508" t="str">
            <v>E389460_01</v>
          </cell>
          <cell r="S2508">
            <v>971</v>
          </cell>
          <cell r="T2508" t="str">
            <v>標準</v>
          </cell>
        </row>
        <row r="2509">
          <cell r="F2509" t="str">
            <v>H0000108705</v>
          </cell>
          <cell r="I2509" t="str">
            <v>フレーム</v>
          </cell>
          <cell r="J2509" t="str">
            <v>S-Frame_SX-40_S_KTKT</v>
          </cell>
          <cell r="K2509" t="str">
            <v>S-フレーム_SX-40_S_KTKT</v>
          </cell>
          <cell r="L2509" t="str">
            <v>S-Frame</v>
          </cell>
          <cell r="M2509" t="str">
            <v>S-フレーム</v>
          </cell>
          <cell r="P2509" t="str">
            <v>31B0</v>
          </cell>
          <cell r="Q2509" t="str">
            <v>SS400</v>
          </cell>
          <cell r="R2509" t="str">
            <v>E389460_01</v>
          </cell>
          <cell r="S2509">
            <v>971</v>
          </cell>
          <cell r="T2509" t="str">
            <v>標準</v>
          </cell>
        </row>
        <row r="2510">
          <cell r="F2510" t="str">
            <v>H0000108706</v>
          </cell>
          <cell r="I2510" t="str">
            <v>フレーム</v>
          </cell>
          <cell r="J2510" t="str">
            <v>S-Frame_SX-40_S_KTKT</v>
          </cell>
          <cell r="K2510" t="str">
            <v>S-フレーム_SX-40_S_KTKT</v>
          </cell>
          <cell r="L2510" t="str">
            <v>S-Frame</v>
          </cell>
          <cell r="M2510" t="str">
            <v>S-フレーム</v>
          </cell>
          <cell r="P2510" t="str">
            <v>31B0</v>
          </cell>
          <cell r="Q2510" t="str">
            <v>SS400</v>
          </cell>
          <cell r="R2510" t="str">
            <v>E389460_01</v>
          </cell>
          <cell r="S2510">
            <v>971</v>
          </cell>
          <cell r="T2510" t="str">
            <v>標準</v>
          </cell>
        </row>
        <row r="2511">
          <cell r="F2511" t="str">
            <v>H0000108707</v>
          </cell>
          <cell r="I2511" t="str">
            <v>フレーム</v>
          </cell>
          <cell r="J2511" t="str">
            <v>S-Frame_SX-40_S_KTKT</v>
          </cell>
          <cell r="K2511" t="str">
            <v>S-フレーム_SX-40_S_KTKT</v>
          </cell>
          <cell r="L2511" t="str">
            <v>S-Frame</v>
          </cell>
          <cell r="M2511" t="str">
            <v>S-フレーム</v>
          </cell>
          <cell r="P2511" t="str">
            <v>31B0</v>
          </cell>
          <cell r="Q2511" t="str">
            <v>SS400</v>
          </cell>
          <cell r="R2511" t="str">
            <v>E389460_01</v>
          </cell>
          <cell r="S2511">
            <v>971</v>
          </cell>
          <cell r="T2511" t="str">
            <v>標準</v>
          </cell>
        </row>
        <row r="2512">
          <cell r="F2512" t="str">
            <v>H0000108708</v>
          </cell>
          <cell r="I2512" t="str">
            <v>フレーム</v>
          </cell>
          <cell r="J2512" t="str">
            <v>S-Frame_SX-40_S_KTKT</v>
          </cell>
          <cell r="K2512" t="str">
            <v>S-フレーム_SX-40_S_KTKT</v>
          </cell>
          <cell r="L2512" t="str">
            <v>S-Frame</v>
          </cell>
          <cell r="M2512" t="str">
            <v>S-フレーム</v>
          </cell>
          <cell r="P2512" t="str">
            <v>31B0</v>
          </cell>
          <cell r="Q2512" t="str">
            <v>SS400</v>
          </cell>
          <cell r="R2512" t="str">
            <v>E389460_01</v>
          </cell>
          <cell r="S2512">
            <v>971</v>
          </cell>
          <cell r="T2512" t="str">
            <v>標準</v>
          </cell>
        </row>
        <row r="2513">
          <cell r="F2513" t="str">
            <v>H0000108709</v>
          </cell>
          <cell r="I2513" t="str">
            <v>フレーム</v>
          </cell>
          <cell r="J2513" t="str">
            <v>S-Frame_SX-40_S_KTKT</v>
          </cell>
          <cell r="K2513" t="str">
            <v>S-フレーム_SX-40_S_KTKT</v>
          </cell>
          <cell r="L2513" t="str">
            <v>S-Frame</v>
          </cell>
          <cell r="M2513" t="str">
            <v>S-フレーム</v>
          </cell>
          <cell r="P2513" t="str">
            <v>31B0</v>
          </cell>
          <cell r="Q2513" t="str">
            <v>SS400</v>
          </cell>
          <cell r="R2513" t="str">
            <v>E389460_01</v>
          </cell>
          <cell r="S2513">
            <v>971</v>
          </cell>
          <cell r="T2513" t="str">
            <v>標準</v>
          </cell>
        </row>
        <row r="2514">
          <cell r="F2514" t="str">
            <v>H0000108710</v>
          </cell>
          <cell r="I2514" t="str">
            <v>フレーム</v>
          </cell>
          <cell r="J2514" t="str">
            <v>S-Frame_SX-40_S_KTKT</v>
          </cell>
          <cell r="K2514" t="str">
            <v>S-フレーム_SX-40_S_KTKT</v>
          </cell>
          <cell r="L2514" t="str">
            <v>S-Frame</v>
          </cell>
          <cell r="M2514" t="str">
            <v>S-フレーム</v>
          </cell>
          <cell r="P2514" t="str">
            <v>31B0</v>
          </cell>
          <cell r="Q2514" t="str">
            <v>SS400</v>
          </cell>
          <cell r="R2514" t="str">
            <v>E389460_01</v>
          </cell>
          <cell r="S2514">
            <v>971</v>
          </cell>
          <cell r="T2514" t="str">
            <v>標準</v>
          </cell>
        </row>
        <row r="2515">
          <cell r="F2515" t="str">
            <v>H0000108711</v>
          </cell>
          <cell r="I2515" t="str">
            <v>フレーム</v>
          </cell>
          <cell r="J2515" t="str">
            <v>S-Frame_SX-40_S_KTKT</v>
          </cell>
          <cell r="K2515" t="str">
            <v>S-フレーム_SX-40_S_KTKT</v>
          </cell>
          <cell r="L2515" t="str">
            <v>S-Frame</v>
          </cell>
          <cell r="M2515" t="str">
            <v>S-フレーム</v>
          </cell>
          <cell r="P2515" t="str">
            <v>31B0</v>
          </cell>
          <cell r="Q2515" t="str">
            <v>SS400</v>
          </cell>
          <cell r="R2515" t="str">
            <v>E389460_01</v>
          </cell>
          <cell r="S2515">
            <v>971</v>
          </cell>
          <cell r="T2515" t="str">
            <v>標準</v>
          </cell>
        </row>
        <row r="2516">
          <cell r="F2516" t="str">
            <v>H0000108712</v>
          </cell>
          <cell r="I2516" t="str">
            <v>フレーム</v>
          </cell>
          <cell r="J2516" t="str">
            <v>S-Frame_SX-40_S_KTKT</v>
          </cell>
          <cell r="K2516" t="str">
            <v>S-フレーム_SX-40_S_KTKT</v>
          </cell>
          <cell r="L2516" t="str">
            <v>S-Frame</v>
          </cell>
          <cell r="M2516" t="str">
            <v>S-フレーム</v>
          </cell>
          <cell r="P2516" t="str">
            <v>31B0</v>
          </cell>
          <cell r="Q2516" t="str">
            <v>SS400</v>
          </cell>
          <cell r="R2516" t="str">
            <v>E389460_01</v>
          </cell>
          <cell r="S2516">
            <v>971</v>
          </cell>
          <cell r="T2516" t="str">
            <v>標準</v>
          </cell>
        </row>
        <row r="2517">
          <cell r="F2517" t="str">
            <v>H0000108713</v>
          </cell>
          <cell r="I2517" t="str">
            <v>フレーム</v>
          </cell>
          <cell r="J2517" t="str">
            <v>S-Frame_SX-40_S_KTKT</v>
          </cell>
          <cell r="K2517" t="str">
            <v>S-フレーム_SX-40_S_KTKT</v>
          </cell>
          <cell r="L2517" t="str">
            <v>S-Frame</v>
          </cell>
          <cell r="M2517" t="str">
            <v>S-フレーム</v>
          </cell>
          <cell r="P2517" t="str">
            <v>31B0</v>
          </cell>
          <cell r="Q2517" t="str">
            <v>SS400</v>
          </cell>
          <cell r="R2517" t="str">
            <v>E389460_01</v>
          </cell>
          <cell r="S2517">
            <v>971</v>
          </cell>
          <cell r="T2517" t="str">
            <v>標準</v>
          </cell>
        </row>
        <row r="2518">
          <cell r="F2518" t="str">
            <v>H0000108714</v>
          </cell>
          <cell r="I2518" t="str">
            <v>フレーム</v>
          </cell>
          <cell r="J2518" t="str">
            <v>S-Frame_SX-40_S_KTKT</v>
          </cell>
          <cell r="K2518" t="str">
            <v>S-フレーム_SX-40_S_KTKT</v>
          </cell>
          <cell r="L2518" t="str">
            <v>S-Frame</v>
          </cell>
          <cell r="M2518" t="str">
            <v>S-フレーム</v>
          </cell>
          <cell r="P2518" t="str">
            <v>31B0</v>
          </cell>
          <cell r="Q2518" t="str">
            <v>SS400</v>
          </cell>
          <cell r="R2518" t="str">
            <v>E389460_01</v>
          </cell>
          <cell r="S2518">
            <v>971</v>
          </cell>
          <cell r="T2518" t="str">
            <v>標準</v>
          </cell>
        </row>
        <row r="2519">
          <cell r="F2519" t="str">
            <v>H0000108715</v>
          </cell>
          <cell r="I2519" t="str">
            <v>フレーム</v>
          </cell>
          <cell r="J2519" t="str">
            <v>S-Frame_SX-40_S_KTKT</v>
          </cell>
          <cell r="K2519" t="str">
            <v>S-フレーム_SX-40_S_KTKT</v>
          </cell>
          <cell r="L2519" t="str">
            <v>S-Frame</v>
          </cell>
          <cell r="M2519" t="str">
            <v>S-フレーム</v>
          </cell>
          <cell r="P2519" t="str">
            <v>31B0</v>
          </cell>
          <cell r="Q2519" t="str">
            <v>SS400</v>
          </cell>
          <cell r="R2519" t="str">
            <v>E389460_01</v>
          </cell>
          <cell r="S2519">
            <v>971</v>
          </cell>
          <cell r="T2519" t="str">
            <v>標準</v>
          </cell>
        </row>
        <row r="2520">
          <cell r="F2520" t="str">
            <v>H0000108716</v>
          </cell>
          <cell r="I2520" t="str">
            <v>フレーム</v>
          </cell>
          <cell r="J2520" t="str">
            <v>S-Frame_SX-40_S_KTKT</v>
          </cell>
          <cell r="K2520" t="str">
            <v>S-フレーム_SX-40_S_KTKT</v>
          </cell>
          <cell r="L2520" t="str">
            <v>S-Frame</v>
          </cell>
          <cell r="M2520" t="str">
            <v>S-フレーム</v>
          </cell>
          <cell r="P2520" t="str">
            <v>31B0</v>
          </cell>
          <cell r="Q2520" t="str">
            <v>SS400</v>
          </cell>
          <cell r="R2520" t="str">
            <v>E389460_01</v>
          </cell>
          <cell r="S2520">
            <v>971</v>
          </cell>
          <cell r="T2520" t="str">
            <v>標準</v>
          </cell>
        </row>
        <row r="2521">
          <cell r="F2521" t="str">
            <v>H0000108717</v>
          </cell>
          <cell r="I2521" t="str">
            <v>フレーム</v>
          </cell>
          <cell r="J2521" t="str">
            <v>S-Frame_SX-40_S_KTKT</v>
          </cell>
          <cell r="K2521" t="str">
            <v>S-フレーム_SX-40_S_KTKT</v>
          </cell>
          <cell r="L2521" t="str">
            <v>S-Frame</v>
          </cell>
          <cell r="M2521" t="str">
            <v>S-フレーム</v>
          </cell>
          <cell r="P2521" t="str">
            <v>31B0</v>
          </cell>
          <cell r="Q2521" t="str">
            <v>SS400</v>
          </cell>
          <cell r="R2521" t="str">
            <v>E389460_01</v>
          </cell>
          <cell r="S2521">
            <v>971</v>
          </cell>
          <cell r="T2521" t="str">
            <v>標準</v>
          </cell>
        </row>
        <row r="2522">
          <cell r="F2522" t="str">
            <v>H0000108718</v>
          </cell>
          <cell r="I2522" t="str">
            <v>フレーム</v>
          </cell>
          <cell r="J2522" t="str">
            <v>S-Frame_SX-40_S_KTKT</v>
          </cell>
          <cell r="K2522" t="str">
            <v>S-フレーム_SX-40_S_KTKT</v>
          </cell>
          <cell r="L2522" t="str">
            <v>S-Frame</v>
          </cell>
          <cell r="M2522" t="str">
            <v>S-フレーム</v>
          </cell>
          <cell r="P2522" t="str">
            <v>31B0</v>
          </cell>
          <cell r="Q2522" t="str">
            <v>SS400</v>
          </cell>
          <cell r="R2522" t="str">
            <v>E389460_01</v>
          </cell>
          <cell r="S2522">
            <v>971</v>
          </cell>
          <cell r="T2522" t="str">
            <v>標準</v>
          </cell>
        </row>
        <row r="2523">
          <cell r="F2523" t="str">
            <v>H0000108719</v>
          </cell>
          <cell r="I2523" t="str">
            <v>フレーム</v>
          </cell>
          <cell r="J2523" t="str">
            <v>S-Frame_SX-40_S_KTKT</v>
          </cell>
          <cell r="K2523" t="str">
            <v>S-フレーム_SX-40_S_KTKT</v>
          </cell>
          <cell r="L2523" t="str">
            <v>S-Frame</v>
          </cell>
          <cell r="M2523" t="str">
            <v>S-フレーム</v>
          </cell>
          <cell r="P2523" t="str">
            <v>31B0</v>
          </cell>
          <cell r="Q2523" t="str">
            <v>SS400</v>
          </cell>
          <cell r="R2523" t="str">
            <v>E389460_01</v>
          </cell>
          <cell r="S2523">
            <v>971</v>
          </cell>
          <cell r="T2523" t="str">
            <v>標準</v>
          </cell>
        </row>
        <row r="2524">
          <cell r="F2524" t="str">
            <v>H0000108720</v>
          </cell>
          <cell r="I2524" t="str">
            <v>フレーム</v>
          </cell>
          <cell r="J2524" t="str">
            <v>S-Frame_SX-40_S_KTKT</v>
          </cell>
          <cell r="K2524" t="str">
            <v>S-フレーム_SX-40_S_KTKT</v>
          </cell>
          <cell r="L2524" t="str">
            <v>S-Frame</v>
          </cell>
          <cell r="M2524" t="str">
            <v>S-フレーム</v>
          </cell>
          <cell r="P2524" t="str">
            <v>31B0</v>
          </cell>
          <cell r="Q2524" t="str">
            <v>SS400</v>
          </cell>
          <cell r="R2524" t="str">
            <v>E389460_01</v>
          </cell>
          <cell r="S2524">
            <v>971</v>
          </cell>
          <cell r="T2524" t="str">
            <v>標準</v>
          </cell>
        </row>
        <row r="2525">
          <cell r="F2525" t="str">
            <v>H0000108721</v>
          </cell>
          <cell r="I2525" t="str">
            <v>フレーム</v>
          </cell>
          <cell r="J2525" t="str">
            <v>S-Frame_SX-40_S_KTKT</v>
          </cell>
          <cell r="K2525" t="str">
            <v>S-フレーム_SX-40_S_KTKT</v>
          </cell>
          <cell r="L2525" t="str">
            <v>S-Frame</v>
          </cell>
          <cell r="M2525" t="str">
            <v>S-フレーム</v>
          </cell>
          <cell r="P2525" t="str">
            <v>31B0</v>
          </cell>
          <cell r="Q2525" t="str">
            <v>SS400</v>
          </cell>
          <cell r="R2525" t="str">
            <v>E389460_01</v>
          </cell>
          <cell r="S2525">
            <v>971</v>
          </cell>
          <cell r="T2525" t="str">
            <v>標準</v>
          </cell>
        </row>
        <row r="2526">
          <cell r="F2526" t="str">
            <v>H0000108722</v>
          </cell>
          <cell r="I2526" t="str">
            <v>フレーム</v>
          </cell>
          <cell r="J2526" t="str">
            <v>S-Frame_SX-40_S_KKKK</v>
          </cell>
          <cell r="K2526" t="str">
            <v>S-フレーム_SX-40_S_KKKK</v>
          </cell>
          <cell r="L2526" t="str">
            <v>S-Frame</v>
          </cell>
          <cell r="M2526" t="str">
            <v>S-フレーム</v>
          </cell>
          <cell r="P2526" t="str">
            <v>31B0</v>
          </cell>
          <cell r="Q2526" t="str">
            <v>SS400</v>
          </cell>
          <cell r="R2526" t="str">
            <v>E389460_01</v>
          </cell>
          <cell r="S2526">
            <v>971</v>
          </cell>
          <cell r="T2526" t="str">
            <v>標準</v>
          </cell>
        </row>
        <row r="2527">
          <cell r="F2527" t="str">
            <v>H0000108723</v>
          </cell>
          <cell r="I2527" t="str">
            <v>フレーム</v>
          </cell>
          <cell r="J2527" t="str">
            <v>S-Frame_SX-40_S_KKKK</v>
          </cell>
          <cell r="K2527" t="str">
            <v>S-フレーム_SX-40_S_KKKK</v>
          </cell>
          <cell r="L2527" t="str">
            <v>S-Frame</v>
          </cell>
          <cell r="M2527" t="str">
            <v>S-フレーム</v>
          </cell>
          <cell r="P2527" t="str">
            <v>31B0</v>
          </cell>
          <cell r="Q2527" t="str">
            <v>SS400</v>
          </cell>
          <cell r="R2527" t="str">
            <v>E389460_01</v>
          </cell>
          <cell r="S2527">
            <v>971</v>
          </cell>
          <cell r="T2527" t="str">
            <v>標準</v>
          </cell>
        </row>
        <row r="2528">
          <cell r="F2528" t="str">
            <v>H0000108724</v>
          </cell>
          <cell r="I2528" t="str">
            <v>フレーム</v>
          </cell>
          <cell r="J2528" t="str">
            <v>S-Frame_SX-40_S_KKKK</v>
          </cell>
          <cell r="K2528" t="str">
            <v>S-フレーム_SX-40_S_KKKK</v>
          </cell>
          <cell r="L2528" t="str">
            <v>S-Frame</v>
          </cell>
          <cell r="M2528" t="str">
            <v>S-フレーム</v>
          </cell>
          <cell r="P2528" t="str">
            <v>31B0</v>
          </cell>
          <cell r="Q2528" t="str">
            <v>SS400</v>
          </cell>
          <cell r="R2528" t="str">
            <v>E389460_01</v>
          </cell>
          <cell r="S2528">
            <v>971</v>
          </cell>
          <cell r="T2528" t="str">
            <v>標準</v>
          </cell>
        </row>
        <row r="2529">
          <cell r="F2529" t="str">
            <v>H0000108725</v>
          </cell>
          <cell r="I2529" t="str">
            <v>フレーム</v>
          </cell>
          <cell r="J2529" t="str">
            <v>S-Frame_SX-40_S_KKKK</v>
          </cell>
          <cell r="K2529" t="str">
            <v>S-フレーム_SX-40_S_KKKK</v>
          </cell>
          <cell r="L2529" t="str">
            <v>S-Frame</v>
          </cell>
          <cell r="M2529" t="str">
            <v>S-フレーム</v>
          </cell>
          <cell r="P2529" t="str">
            <v>31B0</v>
          </cell>
          <cell r="Q2529" t="str">
            <v>SS400</v>
          </cell>
          <cell r="R2529" t="str">
            <v>E389460_01</v>
          </cell>
          <cell r="S2529">
            <v>971</v>
          </cell>
          <cell r="T2529" t="str">
            <v>標準</v>
          </cell>
        </row>
        <row r="2530">
          <cell r="F2530" t="str">
            <v>H0000108726</v>
          </cell>
          <cell r="I2530" t="str">
            <v>フレーム</v>
          </cell>
          <cell r="J2530" t="str">
            <v>S-Frame_SX-40_S_KKKK</v>
          </cell>
          <cell r="K2530" t="str">
            <v>S-フレーム_SX-40_S_KKKK</v>
          </cell>
          <cell r="L2530" t="str">
            <v>S-Frame</v>
          </cell>
          <cell r="M2530" t="str">
            <v>S-フレーム</v>
          </cell>
          <cell r="P2530" t="str">
            <v>31B0</v>
          </cell>
          <cell r="Q2530" t="str">
            <v>SS400</v>
          </cell>
          <cell r="R2530" t="str">
            <v>E389460_01</v>
          </cell>
          <cell r="S2530">
            <v>971</v>
          </cell>
          <cell r="T2530" t="str">
            <v>標準</v>
          </cell>
        </row>
        <row r="2531">
          <cell r="F2531" t="str">
            <v>H0000108727</v>
          </cell>
          <cell r="I2531" t="str">
            <v>フレーム</v>
          </cell>
          <cell r="J2531" t="str">
            <v>S-Frame_SX-40_S_KKKK</v>
          </cell>
          <cell r="K2531" t="str">
            <v>S-フレーム_SX-40_S_KKKK</v>
          </cell>
          <cell r="L2531" t="str">
            <v>S-Frame</v>
          </cell>
          <cell r="M2531" t="str">
            <v>S-フレーム</v>
          </cell>
          <cell r="P2531" t="str">
            <v>31B0</v>
          </cell>
          <cell r="Q2531" t="str">
            <v>SS400</v>
          </cell>
          <cell r="R2531" t="str">
            <v>E389460_01</v>
          </cell>
          <cell r="S2531">
            <v>971</v>
          </cell>
          <cell r="T2531" t="str">
            <v>標準</v>
          </cell>
        </row>
        <row r="2532">
          <cell r="F2532" t="str">
            <v>H0000108728</v>
          </cell>
          <cell r="I2532" t="str">
            <v>フレーム</v>
          </cell>
          <cell r="J2532" t="str">
            <v>S-Frame_SX-40_S_KKKK</v>
          </cell>
          <cell r="K2532" t="str">
            <v>S-フレーム_SX-40_S_KKKK</v>
          </cell>
          <cell r="L2532" t="str">
            <v>S-Frame</v>
          </cell>
          <cell r="M2532" t="str">
            <v>S-フレーム</v>
          </cell>
          <cell r="P2532" t="str">
            <v>31B0</v>
          </cell>
          <cell r="Q2532" t="str">
            <v>SS400</v>
          </cell>
          <cell r="R2532" t="str">
            <v>E389460_01</v>
          </cell>
          <cell r="S2532">
            <v>971</v>
          </cell>
          <cell r="T2532" t="str">
            <v>標準</v>
          </cell>
        </row>
        <row r="2533">
          <cell r="F2533" t="str">
            <v>H0000108729</v>
          </cell>
          <cell r="I2533" t="str">
            <v>フレーム</v>
          </cell>
          <cell r="J2533" t="str">
            <v>S-Frame_SX-40_S_KKKK</v>
          </cell>
          <cell r="K2533" t="str">
            <v>S-フレーム_SX-40_S_KKKK</v>
          </cell>
          <cell r="L2533" t="str">
            <v>S-Frame</v>
          </cell>
          <cell r="M2533" t="str">
            <v>S-フレーム</v>
          </cell>
          <cell r="P2533" t="str">
            <v>31B0</v>
          </cell>
          <cell r="Q2533" t="str">
            <v>SS400</v>
          </cell>
          <cell r="R2533" t="str">
            <v>E389460_01</v>
          </cell>
          <cell r="S2533">
            <v>971</v>
          </cell>
          <cell r="T2533" t="str">
            <v>標準</v>
          </cell>
        </row>
        <row r="2534">
          <cell r="F2534" t="str">
            <v>H0000108730</v>
          </cell>
          <cell r="I2534" t="str">
            <v>フレーム</v>
          </cell>
          <cell r="J2534" t="str">
            <v>S-Frame_SX-40_S_KKKK</v>
          </cell>
          <cell r="K2534" t="str">
            <v>S-フレーム_SX-40_S_KKKK</v>
          </cell>
          <cell r="L2534" t="str">
            <v>S-Frame</v>
          </cell>
          <cell r="M2534" t="str">
            <v>S-フレーム</v>
          </cell>
          <cell r="P2534" t="str">
            <v>31B0</v>
          </cell>
          <cell r="Q2534" t="str">
            <v>SS400</v>
          </cell>
          <cell r="R2534" t="str">
            <v>E389460_01</v>
          </cell>
          <cell r="S2534">
            <v>971</v>
          </cell>
          <cell r="T2534" t="str">
            <v>標準</v>
          </cell>
        </row>
        <row r="2535">
          <cell r="F2535" t="str">
            <v>H0000108731</v>
          </cell>
          <cell r="I2535" t="str">
            <v>フレーム</v>
          </cell>
          <cell r="J2535" t="str">
            <v>S-Frame_SX-40_S_KKKK</v>
          </cell>
          <cell r="K2535" t="str">
            <v>S-フレーム_SX-40_S_KKKK</v>
          </cell>
          <cell r="L2535" t="str">
            <v>S-Frame</v>
          </cell>
          <cell r="M2535" t="str">
            <v>S-フレーム</v>
          </cell>
          <cell r="P2535" t="str">
            <v>31B0</v>
          </cell>
          <cell r="Q2535" t="str">
            <v>SS400</v>
          </cell>
          <cell r="R2535" t="str">
            <v>E389460_01</v>
          </cell>
          <cell r="S2535">
            <v>971</v>
          </cell>
          <cell r="T2535" t="str">
            <v>標準</v>
          </cell>
        </row>
        <row r="2536">
          <cell r="F2536" t="str">
            <v>H0000108732</v>
          </cell>
          <cell r="I2536" t="str">
            <v>フレーム</v>
          </cell>
          <cell r="J2536" t="str">
            <v>S-Frame_SX-40_S_KKKK</v>
          </cell>
          <cell r="K2536" t="str">
            <v>S-フレーム_SX-40_S_KKKK</v>
          </cell>
          <cell r="L2536" t="str">
            <v>S-Frame</v>
          </cell>
          <cell r="M2536" t="str">
            <v>S-フレーム</v>
          </cell>
          <cell r="P2536" t="str">
            <v>31B0</v>
          </cell>
          <cell r="Q2536" t="str">
            <v>SS400</v>
          </cell>
          <cell r="R2536" t="str">
            <v>E389460_01</v>
          </cell>
          <cell r="S2536">
            <v>971</v>
          </cell>
          <cell r="T2536" t="str">
            <v>標準</v>
          </cell>
        </row>
        <row r="2537">
          <cell r="F2537" t="str">
            <v>H0000108733</v>
          </cell>
          <cell r="I2537" t="str">
            <v>フレーム</v>
          </cell>
          <cell r="J2537" t="str">
            <v>S-Frame_SX-40_S_KKKK</v>
          </cell>
          <cell r="K2537" t="str">
            <v>S-フレーム_SX-40_S_KKKK</v>
          </cell>
          <cell r="L2537" t="str">
            <v>S-Frame</v>
          </cell>
          <cell r="M2537" t="str">
            <v>S-フレーム</v>
          </cell>
          <cell r="P2537" t="str">
            <v>31B0</v>
          </cell>
          <cell r="Q2537" t="str">
            <v>SS400</v>
          </cell>
          <cell r="R2537" t="str">
            <v>E389460_01</v>
          </cell>
          <cell r="S2537">
            <v>971</v>
          </cell>
          <cell r="T2537" t="str">
            <v>標準</v>
          </cell>
        </row>
        <row r="2538">
          <cell r="F2538" t="str">
            <v>H0000108734</v>
          </cell>
          <cell r="I2538" t="str">
            <v>フレーム</v>
          </cell>
          <cell r="J2538" t="str">
            <v>S-Frame_SX-40_S_KKKK</v>
          </cell>
          <cell r="K2538" t="str">
            <v>S-フレーム_SX-40_S_KKKK</v>
          </cell>
          <cell r="L2538" t="str">
            <v>S-Frame</v>
          </cell>
          <cell r="M2538" t="str">
            <v>S-フレーム</v>
          </cell>
          <cell r="P2538" t="str">
            <v>31B0</v>
          </cell>
          <cell r="Q2538" t="str">
            <v>SS400</v>
          </cell>
          <cell r="R2538" t="str">
            <v>E389460_01</v>
          </cell>
          <cell r="S2538">
            <v>971</v>
          </cell>
          <cell r="T2538" t="str">
            <v>標準</v>
          </cell>
        </row>
        <row r="2539">
          <cell r="F2539" t="str">
            <v>H0000108735</v>
          </cell>
          <cell r="I2539" t="str">
            <v>フレーム</v>
          </cell>
          <cell r="J2539" t="str">
            <v>S-Frame_SX-40_S_KKKK</v>
          </cell>
          <cell r="K2539" t="str">
            <v>S-フレーム_SX-40_S_KKKK</v>
          </cell>
          <cell r="L2539" t="str">
            <v>S-Frame</v>
          </cell>
          <cell r="M2539" t="str">
            <v>S-フレーム</v>
          </cell>
          <cell r="P2539" t="str">
            <v>31B0</v>
          </cell>
          <cell r="Q2539" t="str">
            <v>SS400</v>
          </cell>
          <cell r="R2539" t="str">
            <v>E389460_01</v>
          </cell>
          <cell r="S2539">
            <v>971</v>
          </cell>
          <cell r="T2539" t="str">
            <v>標準</v>
          </cell>
        </row>
        <row r="2540">
          <cell r="F2540" t="str">
            <v>H0000108736</v>
          </cell>
          <cell r="I2540" t="str">
            <v>フレーム</v>
          </cell>
          <cell r="J2540" t="str">
            <v>S-Frame_SX-40_S_KKKK</v>
          </cell>
          <cell r="K2540" t="str">
            <v>S-フレーム_SX-40_S_KKKK</v>
          </cell>
          <cell r="L2540" t="str">
            <v>S-Frame</v>
          </cell>
          <cell r="M2540" t="str">
            <v>S-フレーム</v>
          </cell>
          <cell r="P2540" t="str">
            <v>31B0</v>
          </cell>
          <cell r="Q2540" t="str">
            <v>SS400</v>
          </cell>
          <cell r="R2540" t="str">
            <v>E389460_01</v>
          </cell>
          <cell r="S2540">
            <v>971</v>
          </cell>
          <cell r="T2540" t="str">
            <v>標準</v>
          </cell>
        </row>
        <row r="2541">
          <cell r="F2541" t="str">
            <v>H0000108737</v>
          </cell>
          <cell r="I2541" t="str">
            <v>フレーム</v>
          </cell>
          <cell r="J2541" t="str">
            <v>S-Frame_SX-40_S_KKKK</v>
          </cell>
          <cell r="K2541" t="str">
            <v>S-フレーム_SX-40_S_KKKK</v>
          </cell>
          <cell r="L2541" t="str">
            <v>S-Frame</v>
          </cell>
          <cell r="M2541" t="str">
            <v>S-フレーム</v>
          </cell>
          <cell r="P2541" t="str">
            <v>31B0</v>
          </cell>
          <cell r="Q2541" t="str">
            <v>SS400</v>
          </cell>
          <cell r="R2541" t="str">
            <v>E389460_01</v>
          </cell>
          <cell r="S2541">
            <v>971</v>
          </cell>
          <cell r="T2541" t="str">
            <v>標準</v>
          </cell>
        </row>
        <row r="2542">
          <cell r="F2542" t="str">
            <v>H0000108738</v>
          </cell>
          <cell r="I2542" t="str">
            <v>フレーム</v>
          </cell>
          <cell r="J2542" t="str">
            <v>S-Frame_SX-40_S_KKKK</v>
          </cell>
          <cell r="K2542" t="str">
            <v>S-フレーム_SX-40_S_KKKK</v>
          </cell>
          <cell r="L2542" t="str">
            <v>S-Frame</v>
          </cell>
          <cell r="M2542" t="str">
            <v>S-フレーム</v>
          </cell>
          <cell r="P2542" t="str">
            <v>31B0</v>
          </cell>
          <cell r="Q2542" t="str">
            <v>SS400</v>
          </cell>
          <cell r="R2542" t="str">
            <v>E389460_01</v>
          </cell>
          <cell r="S2542">
            <v>971</v>
          </cell>
          <cell r="T2542" t="str">
            <v>標準</v>
          </cell>
        </row>
        <row r="2543">
          <cell r="F2543" t="str">
            <v>H0000108739</v>
          </cell>
          <cell r="I2543" t="str">
            <v>フレーム</v>
          </cell>
          <cell r="J2543" t="str">
            <v>S-Frame_SX-40_S_KKKK</v>
          </cell>
          <cell r="K2543" t="str">
            <v>S-フレーム_SX-40_S_KKKK</v>
          </cell>
          <cell r="L2543" t="str">
            <v>S-Frame</v>
          </cell>
          <cell r="M2543" t="str">
            <v>S-フレーム</v>
          </cell>
          <cell r="P2543" t="str">
            <v>31B0</v>
          </cell>
          <cell r="Q2543" t="str">
            <v>SS400</v>
          </cell>
          <cell r="R2543" t="str">
            <v>E389460_01</v>
          </cell>
          <cell r="S2543">
            <v>971</v>
          </cell>
          <cell r="T2543" t="str">
            <v>標準</v>
          </cell>
        </row>
        <row r="2544">
          <cell r="F2544" t="str">
            <v>H0000108740</v>
          </cell>
          <cell r="I2544" t="str">
            <v>フレーム</v>
          </cell>
          <cell r="J2544" t="str">
            <v>S-Frame_SX-40_S_KKKK</v>
          </cell>
          <cell r="K2544" t="str">
            <v>S-フレーム_SX-40_S_KKKK</v>
          </cell>
          <cell r="L2544" t="str">
            <v>S-Frame</v>
          </cell>
          <cell r="M2544" t="str">
            <v>S-フレーム</v>
          </cell>
          <cell r="P2544" t="str">
            <v>31B0</v>
          </cell>
          <cell r="Q2544" t="str">
            <v>SS400</v>
          </cell>
          <cell r="R2544" t="str">
            <v>E389460_01</v>
          </cell>
          <cell r="S2544">
            <v>971</v>
          </cell>
          <cell r="T2544" t="str">
            <v>標準</v>
          </cell>
        </row>
        <row r="2545">
          <cell r="F2545" t="str">
            <v>H0000108741</v>
          </cell>
          <cell r="I2545" t="str">
            <v>フレーム</v>
          </cell>
          <cell r="J2545" t="str">
            <v>S-Frame_SX-40_S_KKKK</v>
          </cell>
          <cell r="K2545" t="str">
            <v>S-フレーム_SX-40_S_KKKK</v>
          </cell>
          <cell r="L2545" t="str">
            <v>S-Frame</v>
          </cell>
          <cell r="M2545" t="str">
            <v>S-フレーム</v>
          </cell>
          <cell r="P2545" t="str">
            <v>31B0</v>
          </cell>
          <cell r="Q2545" t="str">
            <v>SS400</v>
          </cell>
          <cell r="R2545" t="str">
            <v>E389460_01</v>
          </cell>
          <cell r="S2545">
            <v>971</v>
          </cell>
          <cell r="T2545" t="str">
            <v>標準</v>
          </cell>
        </row>
        <row r="2546">
          <cell r="F2546" t="str">
            <v>H0000108742</v>
          </cell>
          <cell r="I2546" t="str">
            <v>フレーム</v>
          </cell>
          <cell r="J2546" t="str">
            <v>S-Frame_SX-40_S_KKKK</v>
          </cell>
          <cell r="K2546" t="str">
            <v>S-フレーム_SX-40_S_KKKK</v>
          </cell>
          <cell r="L2546" t="str">
            <v>S-Frame</v>
          </cell>
          <cell r="M2546" t="str">
            <v>S-フレーム</v>
          </cell>
          <cell r="P2546" t="str">
            <v>31B0</v>
          </cell>
          <cell r="Q2546" t="str">
            <v>SS400</v>
          </cell>
          <cell r="R2546" t="str">
            <v>E389460_01</v>
          </cell>
          <cell r="S2546">
            <v>971</v>
          </cell>
          <cell r="T2546" t="str">
            <v>標準</v>
          </cell>
        </row>
        <row r="2547">
          <cell r="F2547" t="str">
            <v>H0000108743</v>
          </cell>
          <cell r="I2547" t="str">
            <v>フレーム</v>
          </cell>
          <cell r="J2547" t="str">
            <v>S-Frame_SX-40_S_KKKK</v>
          </cell>
          <cell r="K2547" t="str">
            <v>S-フレーム_SX-40_S_KKKK</v>
          </cell>
          <cell r="L2547" t="str">
            <v>S-Frame</v>
          </cell>
          <cell r="M2547" t="str">
            <v>S-フレーム</v>
          </cell>
          <cell r="P2547" t="str">
            <v>31B0</v>
          </cell>
          <cell r="Q2547" t="str">
            <v>SS400</v>
          </cell>
          <cell r="R2547" t="str">
            <v>E389460_01</v>
          </cell>
          <cell r="S2547">
            <v>971</v>
          </cell>
          <cell r="T2547" t="str">
            <v>標準</v>
          </cell>
        </row>
        <row r="2548">
          <cell r="F2548" t="str">
            <v>H0000108744</v>
          </cell>
          <cell r="I2548" t="str">
            <v>フレーム</v>
          </cell>
          <cell r="J2548" t="str">
            <v>S-Frame_SX-40_S_KKKK</v>
          </cell>
          <cell r="K2548" t="str">
            <v>S-フレーム_SX-40_S_KKKK</v>
          </cell>
          <cell r="L2548" t="str">
            <v>S-Frame</v>
          </cell>
          <cell r="M2548" t="str">
            <v>S-フレーム</v>
          </cell>
          <cell r="P2548" t="str">
            <v>31B0</v>
          </cell>
          <cell r="Q2548" t="str">
            <v>SS400</v>
          </cell>
          <cell r="R2548" t="str">
            <v>E389460_01</v>
          </cell>
          <cell r="S2548">
            <v>971</v>
          </cell>
          <cell r="T2548" t="str">
            <v>標準</v>
          </cell>
        </row>
        <row r="2549">
          <cell r="F2549" t="str">
            <v>H0000108745</v>
          </cell>
          <cell r="I2549" t="str">
            <v>フレーム</v>
          </cell>
          <cell r="J2549" t="str">
            <v>S-Frame_SX-40_S_KKKK</v>
          </cell>
          <cell r="K2549" t="str">
            <v>S-フレーム_SX-40_S_KKKK</v>
          </cell>
          <cell r="L2549" t="str">
            <v>S-Frame</v>
          </cell>
          <cell r="M2549" t="str">
            <v>S-フレーム</v>
          </cell>
          <cell r="P2549" t="str">
            <v>31B0</v>
          </cell>
          <cell r="Q2549" t="str">
            <v>SS400</v>
          </cell>
          <cell r="R2549" t="str">
            <v>E389460_01</v>
          </cell>
          <cell r="S2549">
            <v>971</v>
          </cell>
          <cell r="T2549" t="str">
            <v>標準</v>
          </cell>
        </row>
        <row r="2550">
          <cell r="F2550" t="str">
            <v>H0000108746</v>
          </cell>
          <cell r="I2550" t="str">
            <v>フレーム</v>
          </cell>
          <cell r="J2550" t="str">
            <v>S-Frame_SX-40_S_KKKK</v>
          </cell>
          <cell r="K2550" t="str">
            <v>S-フレーム_SX-40_S_KKKK</v>
          </cell>
          <cell r="L2550" t="str">
            <v>S-Frame</v>
          </cell>
          <cell r="M2550" t="str">
            <v>S-フレーム</v>
          </cell>
          <cell r="P2550" t="str">
            <v>31B0</v>
          </cell>
          <cell r="Q2550" t="str">
            <v>SS400</v>
          </cell>
          <cell r="R2550" t="str">
            <v>E389460_01</v>
          </cell>
          <cell r="S2550">
            <v>971</v>
          </cell>
          <cell r="T2550" t="str">
            <v>標準</v>
          </cell>
        </row>
        <row r="2551">
          <cell r="F2551" t="str">
            <v>H0000108747</v>
          </cell>
          <cell r="I2551" t="str">
            <v>フレーム</v>
          </cell>
          <cell r="J2551" t="str">
            <v>S-Frame_SX-40_S_KKKK</v>
          </cell>
          <cell r="K2551" t="str">
            <v>S-フレーム_SX-40_S_KKKK</v>
          </cell>
          <cell r="L2551" t="str">
            <v>S-Frame</v>
          </cell>
          <cell r="M2551" t="str">
            <v>S-フレーム</v>
          </cell>
          <cell r="P2551" t="str">
            <v>31B0</v>
          </cell>
          <cell r="Q2551" t="str">
            <v>SS400</v>
          </cell>
          <cell r="R2551" t="str">
            <v>E389460_01</v>
          </cell>
          <cell r="S2551">
            <v>971</v>
          </cell>
          <cell r="T2551" t="str">
            <v>標準</v>
          </cell>
        </row>
        <row r="2552">
          <cell r="F2552" t="str">
            <v>H0000108748</v>
          </cell>
          <cell r="I2552" t="str">
            <v>フレーム</v>
          </cell>
          <cell r="J2552" t="str">
            <v>S-Frame_SX-40_S_KKKK</v>
          </cell>
          <cell r="K2552" t="str">
            <v>S-フレーム_SX-40_S_KKKK</v>
          </cell>
          <cell r="L2552" t="str">
            <v>S-Frame</v>
          </cell>
          <cell r="M2552" t="str">
            <v>S-フレーム</v>
          </cell>
          <cell r="P2552" t="str">
            <v>31B0</v>
          </cell>
          <cell r="Q2552" t="str">
            <v>SS400</v>
          </cell>
          <cell r="R2552" t="str">
            <v>E389460_01</v>
          </cell>
          <cell r="S2552">
            <v>971</v>
          </cell>
          <cell r="T2552" t="str">
            <v>標準</v>
          </cell>
        </row>
        <row r="2553">
          <cell r="F2553" t="str">
            <v>H0000108749</v>
          </cell>
          <cell r="I2553" t="str">
            <v>フレーム</v>
          </cell>
          <cell r="J2553" t="str">
            <v>S-Frame_SX-40_S_KKKK</v>
          </cell>
          <cell r="K2553" t="str">
            <v>S-フレーム_SX-40_S_KKKK</v>
          </cell>
          <cell r="L2553" t="str">
            <v>S-Frame</v>
          </cell>
          <cell r="M2553" t="str">
            <v>S-フレーム</v>
          </cell>
          <cell r="P2553" t="str">
            <v>31B0</v>
          </cell>
          <cell r="Q2553" t="str">
            <v>SS400</v>
          </cell>
          <cell r="R2553" t="str">
            <v>E389460_01</v>
          </cell>
          <cell r="S2553">
            <v>971</v>
          </cell>
          <cell r="T2553" t="str">
            <v>標準</v>
          </cell>
        </row>
        <row r="2554">
          <cell r="F2554" t="str">
            <v>H0000108750</v>
          </cell>
          <cell r="I2554" t="str">
            <v>フレーム</v>
          </cell>
          <cell r="J2554" t="str">
            <v>S-Frame_SX-40_S_KKKK</v>
          </cell>
          <cell r="K2554" t="str">
            <v>S-フレーム_SX-40_S_KKKK</v>
          </cell>
          <cell r="L2554" t="str">
            <v>S-Frame</v>
          </cell>
          <cell r="M2554" t="str">
            <v>S-フレーム</v>
          </cell>
          <cell r="P2554" t="str">
            <v>31B0</v>
          </cell>
          <cell r="Q2554" t="str">
            <v>SS400</v>
          </cell>
          <cell r="R2554" t="str">
            <v>E389460_01</v>
          </cell>
          <cell r="S2554">
            <v>971</v>
          </cell>
          <cell r="T2554" t="str">
            <v>標準</v>
          </cell>
        </row>
        <row r="2555">
          <cell r="F2555" t="str">
            <v>H0000108751</v>
          </cell>
          <cell r="I2555" t="str">
            <v>フレーム</v>
          </cell>
          <cell r="J2555" t="str">
            <v>S-Frame_SX-40_S_KKKK</v>
          </cell>
          <cell r="K2555" t="str">
            <v>S-フレーム_SX-40_S_KKKK</v>
          </cell>
          <cell r="L2555" t="str">
            <v>S-Frame</v>
          </cell>
          <cell r="M2555" t="str">
            <v>S-フレーム</v>
          </cell>
          <cell r="P2555" t="str">
            <v>31B0</v>
          </cell>
          <cell r="Q2555" t="str">
            <v>SS400</v>
          </cell>
          <cell r="R2555" t="str">
            <v>E389460_01</v>
          </cell>
          <cell r="S2555">
            <v>971</v>
          </cell>
          <cell r="T2555" t="str">
            <v>標準</v>
          </cell>
        </row>
        <row r="2556">
          <cell r="F2556" t="str">
            <v>H0000108752</v>
          </cell>
          <cell r="I2556" t="str">
            <v>フレーム</v>
          </cell>
          <cell r="J2556" t="str">
            <v>S-Frame_SX-40_S_KKKK</v>
          </cell>
          <cell r="K2556" t="str">
            <v>S-フレーム_SX-40_S_KKKK</v>
          </cell>
          <cell r="L2556" t="str">
            <v>S-Frame</v>
          </cell>
          <cell r="M2556" t="str">
            <v>S-フレーム</v>
          </cell>
          <cell r="P2556" t="str">
            <v>31B0</v>
          </cell>
          <cell r="Q2556" t="str">
            <v>SS400</v>
          </cell>
          <cell r="R2556" t="str">
            <v>E389460_01</v>
          </cell>
          <cell r="S2556">
            <v>971</v>
          </cell>
          <cell r="T2556" t="str">
            <v>標準</v>
          </cell>
        </row>
        <row r="2557">
          <cell r="F2557" t="str">
            <v>H0000108753</v>
          </cell>
          <cell r="I2557" t="str">
            <v>フレーム</v>
          </cell>
          <cell r="J2557" t="str">
            <v>S-Frame_SX-40_S_KKKK</v>
          </cell>
          <cell r="K2557" t="str">
            <v>S-フレーム_SX-40_S_KKKK</v>
          </cell>
          <cell r="L2557" t="str">
            <v>S-Frame</v>
          </cell>
          <cell r="M2557" t="str">
            <v>S-フレーム</v>
          </cell>
          <cell r="P2557" t="str">
            <v>31B0</v>
          </cell>
          <cell r="Q2557" t="str">
            <v>SS400</v>
          </cell>
          <cell r="R2557" t="str">
            <v>E389460_01</v>
          </cell>
          <cell r="S2557">
            <v>971</v>
          </cell>
          <cell r="T2557" t="str">
            <v>標準</v>
          </cell>
        </row>
        <row r="2558">
          <cell r="F2558" t="str">
            <v>H0000108754</v>
          </cell>
          <cell r="I2558" t="str">
            <v>フレーム</v>
          </cell>
          <cell r="J2558" t="str">
            <v>S-Frame_SX-40_S_KKKK</v>
          </cell>
          <cell r="K2558" t="str">
            <v>S-フレーム_SX-40_S_KKKK</v>
          </cell>
          <cell r="L2558" t="str">
            <v>S-Frame</v>
          </cell>
          <cell r="M2558" t="str">
            <v>S-フレーム</v>
          </cell>
          <cell r="P2558" t="str">
            <v>31B0</v>
          </cell>
          <cell r="Q2558" t="str">
            <v>SS400</v>
          </cell>
          <cell r="R2558" t="str">
            <v>E389460_01</v>
          </cell>
          <cell r="S2558">
            <v>971</v>
          </cell>
          <cell r="T2558" t="str">
            <v>標準</v>
          </cell>
        </row>
        <row r="2559">
          <cell r="F2559" t="str">
            <v>H0000108755</v>
          </cell>
          <cell r="I2559" t="str">
            <v>フレーム</v>
          </cell>
          <cell r="J2559" t="str">
            <v>S-Frame_SX-40_S_KKKK</v>
          </cell>
          <cell r="K2559" t="str">
            <v>S-フレーム_SX-40_S_KKKK</v>
          </cell>
          <cell r="L2559" t="str">
            <v>S-Frame</v>
          </cell>
          <cell r="M2559" t="str">
            <v>S-フレーム</v>
          </cell>
          <cell r="P2559" t="str">
            <v>31B0</v>
          </cell>
          <cell r="Q2559" t="str">
            <v>SS400</v>
          </cell>
          <cell r="R2559" t="str">
            <v>E389460_01</v>
          </cell>
          <cell r="S2559">
            <v>971</v>
          </cell>
          <cell r="T2559" t="str">
            <v>標準</v>
          </cell>
        </row>
        <row r="2560">
          <cell r="F2560" t="str">
            <v>H0000108756</v>
          </cell>
          <cell r="I2560" t="str">
            <v>フレーム</v>
          </cell>
          <cell r="J2560" t="str">
            <v>S-Frame_SX-40_S_KKKK</v>
          </cell>
          <cell r="K2560" t="str">
            <v>S-フレーム_SX-40_S_KKKK</v>
          </cell>
          <cell r="L2560" t="str">
            <v>S-Frame</v>
          </cell>
          <cell r="M2560" t="str">
            <v>S-フレーム</v>
          </cell>
          <cell r="P2560" t="str">
            <v>31B0</v>
          </cell>
          <cell r="Q2560" t="str">
            <v>SS400</v>
          </cell>
          <cell r="R2560" t="str">
            <v>E389460_01</v>
          </cell>
          <cell r="S2560">
            <v>971</v>
          </cell>
          <cell r="T2560" t="str">
            <v>標準</v>
          </cell>
        </row>
        <row r="2561">
          <cell r="F2561" t="str">
            <v>H0000108757</v>
          </cell>
          <cell r="I2561" t="str">
            <v>フレーム</v>
          </cell>
          <cell r="J2561" t="str">
            <v>S-Frame_SX-40_S_KKKK</v>
          </cell>
          <cell r="K2561" t="str">
            <v>S-フレーム_SX-40_S_KKKK</v>
          </cell>
          <cell r="L2561" t="str">
            <v>S-Frame</v>
          </cell>
          <cell r="M2561" t="str">
            <v>S-フレーム</v>
          </cell>
          <cell r="P2561" t="str">
            <v>31B0</v>
          </cell>
          <cell r="Q2561" t="str">
            <v>SS400</v>
          </cell>
          <cell r="R2561" t="str">
            <v>E389460_01</v>
          </cell>
          <cell r="S2561">
            <v>971</v>
          </cell>
          <cell r="T2561" t="str">
            <v>標準</v>
          </cell>
        </row>
        <row r="2562">
          <cell r="F2562" t="str">
            <v>H0000108758</v>
          </cell>
          <cell r="I2562" t="str">
            <v>フレーム</v>
          </cell>
          <cell r="J2562" t="str">
            <v>S-Frame_GasCutting_SX-40_S_1234</v>
          </cell>
          <cell r="K2562" t="str">
            <v>S-フレーム_ガス溶断_SX-40_S_1234</v>
          </cell>
          <cell r="L2562" t="str">
            <v>S-Frame</v>
          </cell>
          <cell r="M2562" t="str">
            <v>S-フレーム</v>
          </cell>
          <cell r="N2562" t="str">
            <v>GasCutting</v>
          </cell>
          <cell r="O2562" t="str">
            <v>ガス溶断</v>
          </cell>
          <cell r="P2562" t="str">
            <v>31B0</v>
          </cell>
          <cell r="Q2562" t="str">
            <v>SS400</v>
          </cell>
          <cell r="R2562" t="str">
            <v>E389460_01</v>
          </cell>
          <cell r="S2562">
            <v>971</v>
          </cell>
          <cell r="T2562" t="str">
            <v>標準</v>
          </cell>
        </row>
        <row r="2563">
          <cell r="F2563" t="str">
            <v>H0000108759</v>
          </cell>
          <cell r="I2563" t="str">
            <v>フレーム</v>
          </cell>
          <cell r="J2563" t="str">
            <v>S-Frame_WX-50_N_TTTT</v>
          </cell>
          <cell r="K2563" t="str">
            <v>S-フレーム_WX-50_N_TTTT</v>
          </cell>
          <cell r="L2563" t="str">
            <v>S-Frame</v>
          </cell>
          <cell r="M2563" t="str">
            <v>S-フレーム</v>
          </cell>
          <cell r="P2563" t="str">
            <v>31B0</v>
          </cell>
          <cell r="Q2563" t="str">
            <v>SS400</v>
          </cell>
          <cell r="R2563" t="str">
            <v>E388248A_01</v>
          </cell>
          <cell r="S2563">
            <v>627</v>
          </cell>
          <cell r="T2563" t="str">
            <v>標準</v>
          </cell>
        </row>
        <row r="2564">
          <cell r="F2564" t="str">
            <v>H0000108760</v>
          </cell>
          <cell r="I2564" t="str">
            <v>フレーム</v>
          </cell>
          <cell r="J2564" t="str">
            <v>S-Frame_WX-50_N_TTTT</v>
          </cell>
          <cell r="K2564" t="str">
            <v>S-フレーム_WX-50_N_TTTT</v>
          </cell>
          <cell r="L2564" t="str">
            <v>S-Frame</v>
          </cell>
          <cell r="M2564" t="str">
            <v>S-フレーム</v>
          </cell>
          <cell r="P2564" t="str">
            <v>31B0</v>
          </cell>
          <cell r="Q2564" t="str">
            <v>SS400</v>
          </cell>
          <cell r="R2564" t="str">
            <v>E388248A_01</v>
          </cell>
          <cell r="S2564">
            <v>627</v>
          </cell>
          <cell r="T2564" t="str">
            <v>標準</v>
          </cell>
        </row>
        <row r="2565">
          <cell r="F2565" t="str">
            <v>H0000108761</v>
          </cell>
          <cell r="I2565" t="str">
            <v>フレーム</v>
          </cell>
          <cell r="J2565" t="str">
            <v>S-Frame_WX-50_N_TTTT</v>
          </cell>
          <cell r="K2565" t="str">
            <v>S-フレーム_WX-50_N_TTTT</v>
          </cell>
          <cell r="L2565" t="str">
            <v>S-Frame</v>
          </cell>
          <cell r="M2565" t="str">
            <v>S-フレーム</v>
          </cell>
          <cell r="P2565" t="str">
            <v>31B0</v>
          </cell>
          <cell r="Q2565" t="str">
            <v>SS400</v>
          </cell>
          <cell r="R2565" t="str">
            <v>E388248A_01</v>
          </cell>
          <cell r="S2565">
            <v>627</v>
          </cell>
          <cell r="T2565" t="str">
            <v>標準</v>
          </cell>
        </row>
        <row r="2566">
          <cell r="F2566" t="str">
            <v>H0000108762</v>
          </cell>
          <cell r="I2566" t="str">
            <v>フレーム</v>
          </cell>
          <cell r="J2566" t="str">
            <v>S-Frame_WX-50_N_TTTT</v>
          </cell>
          <cell r="K2566" t="str">
            <v>S-フレーム_WX-50_N_TTTT</v>
          </cell>
          <cell r="L2566" t="str">
            <v>S-Frame</v>
          </cell>
          <cell r="M2566" t="str">
            <v>S-フレーム</v>
          </cell>
          <cell r="P2566" t="str">
            <v>31B0</v>
          </cell>
          <cell r="Q2566" t="str">
            <v>SS400</v>
          </cell>
          <cell r="R2566" t="str">
            <v>E388248A_01</v>
          </cell>
          <cell r="S2566">
            <v>627</v>
          </cell>
          <cell r="T2566" t="str">
            <v>標準</v>
          </cell>
        </row>
        <row r="2567">
          <cell r="F2567" t="str">
            <v>H0000108763</v>
          </cell>
          <cell r="I2567" t="str">
            <v>フレーム</v>
          </cell>
          <cell r="J2567" t="str">
            <v>S-Frame_WX-50_N_TKTK</v>
          </cell>
          <cell r="K2567" t="str">
            <v>S-フレーム_WX-50_N_TKTK</v>
          </cell>
          <cell r="L2567" t="str">
            <v>S-Frame</v>
          </cell>
          <cell r="M2567" t="str">
            <v>S-フレーム</v>
          </cell>
          <cell r="P2567" t="str">
            <v>31B0</v>
          </cell>
          <cell r="Q2567" t="str">
            <v>SS400</v>
          </cell>
          <cell r="R2567" t="str">
            <v>E388248A_01</v>
          </cell>
          <cell r="S2567">
            <v>627</v>
          </cell>
          <cell r="T2567" t="str">
            <v>標準</v>
          </cell>
        </row>
        <row r="2568">
          <cell r="F2568" t="str">
            <v>H0000108764</v>
          </cell>
          <cell r="I2568" t="str">
            <v>フレーム</v>
          </cell>
          <cell r="J2568" t="str">
            <v>S-Frame_WX-50_N_TKTK</v>
          </cell>
          <cell r="K2568" t="str">
            <v>S-フレーム_WX-50_N_TKTK</v>
          </cell>
          <cell r="L2568" t="str">
            <v>S-Frame</v>
          </cell>
          <cell r="M2568" t="str">
            <v>S-フレーム</v>
          </cell>
          <cell r="P2568" t="str">
            <v>31B0</v>
          </cell>
          <cell r="Q2568" t="str">
            <v>SS400</v>
          </cell>
          <cell r="R2568" t="str">
            <v>E388248A_01</v>
          </cell>
          <cell r="S2568">
            <v>627</v>
          </cell>
          <cell r="T2568" t="str">
            <v>標準</v>
          </cell>
        </row>
        <row r="2569">
          <cell r="F2569" t="str">
            <v>H0000108765</v>
          </cell>
          <cell r="I2569" t="str">
            <v>フレーム</v>
          </cell>
          <cell r="J2569" t="str">
            <v>S-Frame_WX-50_N_TKTK</v>
          </cell>
          <cell r="K2569" t="str">
            <v>S-フレーム_WX-50_N_TKTK</v>
          </cell>
          <cell r="L2569" t="str">
            <v>S-Frame</v>
          </cell>
          <cell r="M2569" t="str">
            <v>S-フレーム</v>
          </cell>
          <cell r="P2569" t="str">
            <v>31B0</v>
          </cell>
          <cell r="Q2569" t="str">
            <v>SS400</v>
          </cell>
          <cell r="R2569" t="str">
            <v>E388248A_01</v>
          </cell>
          <cell r="S2569">
            <v>627</v>
          </cell>
          <cell r="T2569" t="str">
            <v>標準</v>
          </cell>
        </row>
        <row r="2570">
          <cell r="F2570" t="str">
            <v>H0000108766</v>
          </cell>
          <cell r="I2570" t="str">
            <v>フレーム</v>
          </cell>
          <cell r="J2570" t="str">
            <v>S-Frame_WX-50_N_TKTK</v>
          </cell>
          <cell r="K2570" t="str">
            <v>S-フレーム_WX-50_N_TKTK</v>
          </cell>
          <cell r="L2570" t="str">
            <v>S-Frame</v>
          </cell>
          <cell r="M2570" t="str">
            <v>S-フレーム</v>
          </cell>
          <cell r="P2570" t="str">
            <v>31B0</v>
          </cell>
          <cell r="Q2570" t="str">
            <v>SS400</v>
          </cell>
          <cell r="R2570" t="str">
            <v>E388248A_01</v>
          </cell>
          <cell r="S2570">
            <v>627</v>
          </cell>
          <cell r="T2570" t="str">
            <v>標準</v>
          </cell>
        </row>
        <row r="2571">
          <cell r="F2571" t="str">
            <v>H0000108767</v>
          </cell>
          <cell r="I2571" t="str">
            <v>フレーム</v>
          </cell>
          <cell r="J2571" t="str">
            <v>S-Frame_WX-50_N_KTKT</v>
          </cell>
          <cell r="K2571" t="str">
            <v>S-フレーム_WX-50_N_KTKT</v>
          </cell>
          <cell r="L2571" t="str">
            <v>S-Frame</v>
          </cell>
          <cell r="M2571" t="str">
            <v>S-フレーム</v>
          </cell>
          <cell r="P2571" t="str">
            <v>31B0</v>
          </cell>
          <cell r="Q2571" t="str">
            <v>SS400</v>
          </cell>
          <cell r="R2571" t="str">
            <v>E388248A_01</v>
          </cell>
          <cell r="S2571">
            <v>627</v>
          </cell>
          <cell r="T2571" t="str">
            <v>標準</v>
          </cell>
        </row>
        <row r="2572">
          <cell r="F2572" t="str">
            <v>H0000108768</v>
          </cell>
          <cell r="I2572" t="str">
            <v>フレーム</v>
          </cell>
          <cell r="J2572" t="str">
            <v>S-Frame_WX-50_N_KTKT</v>
          </cell>
          <cell r="K2572" t="str">
            <v>S-フレーム_WX-50_N_KTKT</v>
          </cell>
          <cell r="L2572" t="str">
            <v>S-Frame</v>
          </cell>
          <cell r="M2572" t="str">
            <v>S-フレーム</v>
          </cell>
          <cell r="P2572" t="str">
            <v>31B0</v>
          </cell>
          <cell r="Q2572" t="str">
            <v>SS400</v>
          </cell>
          <cell r="R2572" t="str">
            <v>E388248A_01</v>
          </cell>
          <cell r="S2572">
            <v>627</v>
          </cell>
          <cell r="T2572" t="str">
            <v>標準</v>
          </cell>
        </row>
        <row r="2573">
          <cell r="F2573" t="str">
            <v>H0000108769</v>
          </cell>
          <cell r="I2573" t="str">
            <v>フレーム</v>
          </cell>
          <cell r="J2573" t="str">
            <v>S-Frame_WX-50_N_KTKT</v>
          </cell>
          <cell r="K2573" t="str">
            <v>S-フレーム_WX-50_N_KTKT</v>
          </cell>
          <cell r="L2573" t="str">
            <v>S-Frame</v>
          </cell>
          <cell r="M2573" t="str">
            <v>S-フレーム</v>
          </cell>
          <cell r="P2573" t="str">
            <v>31B0</v>
          </cell>
          <cell r="Q2573" t="str">
            <v>SS400</v>
          </cell>
          <cell r="R2573" t="str">
            <v>E388248A_01</v>
          </cell>
          <cell r="S2573">
            <v>627</v>
          </cell>
          <cell r="T2573" t="str">
            <v>標準</v>
          </cell>
        </row>
        <row r="2574">
          <cell r="F2574" t="str">
            <v>H0000108770</v>
          </cell>
          <cell r="I2574" t="str">
            <v>フレーム</v>
          </cell>
          <cell r="J2574" t="str">
            <v>S-Frame_WX-50_N_KTKT</v>
          </cell>
          <cell r="K2574" t="str">
            <v>S-フレーム_WX-50_N_KTKT</v>
          </cell>
          <cell r="L2574" t="str">
            <v>S-Frame</v>
          </cell>
          <cell r="M2574" t="str">
            <v>S-フレーム</v>
          </cell>
          <cell r="P2574" t="str">
            <v>31B0</v>
          </cell>
          <cell r="Q2574" t="str">
            <v>SS400</v>
          </cell>
          <cell r="R2574" t="str">
            <v>E388248A_01</v>
          </cell>
          <cell r="S2574">
            <v>627</v>
          </cell>
          <cell r="T2574" t="str">
            <v>標準</v>
          </cell>
        </row>
        <row r="2575">
          <cell r="F2575" t="str">
            <v>H0000108771</v>
          </cell>
          <cell r="I2575" t="str">
            <v>フレーム</v>
          </cell>
          <cell r="J2575" t="str">
            <v>S-Frame_WX-50_N_KKKK</v>
          </cell>
          <cell r="K2575" t="str">
            <v>S-フレーム_WX-50_N_KKKK</v>
          </cell>
          <cell r="L2575" t="str">
            <v>S-Frame</v>
          </cell>
          <cell r="M2575" t="str">
            <v>S-フレーム</v>
          </cell>
          <cell r="P2575" t="str">
            <v>31B0</v>
          </cell>
          <cell r="Q2575" t="str">
            <v>SS400</v>
          </cell>
          <cell r="R2575" t="str">
            <v>E388248A_01</v>
          </cell>
          <cell r="S2575">
            <v>627</v>
          </cell>
          <cell r="T2575" t="str">
            <v>標準</v>
          </cell>
        </row>
        <row r="2576">
          <cell r="F2576" t="str">
            <v>H0000108772</v>
          </cell>
          <cell r="I2576" t="str">
            <v>フレーム</v>
          </cell>
          <cell r="J2576" t="str">
            <v>S-Frame_WX-50_N_KKKK</v>
          </cell>
          <cell r="K2576" t="str">
            <v>S-フレーム_WX-50_N_KKKK</v>
          </cell>
          <cell r="L2576" t="str">
            <v>S-Frame</v>
          </cell>
          <cell r="M2576" t="str">
            <v>S-フレーム</v>
          </cell>
          <cell r="P2576" t="str">
            <v>31B0</v>
          </cell>
          <cell r="Q2576" t="str">
            <v>SS400</v>
          </cell>
          <cell r="R2576" t="str">
            <v>E388248A_01</v>
          </cell>
          <cell r="S2576">
            <v>627</v>
          </cell>
          <cell r="T2576" t="str">
            <v>標準</v>
          </cell>
        </row>
        <row r="2577">
          <cell r="F2577" t="str">
            <v>H0000108773</v>
          </cell>
          <cell r="I2577" t="str">
            <v>フレーム</v>
          </cell>
          <cell r="J2577" t="str">
            <v>S-Frame_WX-50_N_KKKK</v>
          </cell>
          <cell r="K2577" t="str">
            <v>S-フレーム_WX-50_N_KKKK</v>
          </cell>
          <cell r="L2577" t="str">
            <v>S-Frame</v>
          </cell>
          <cell r="M2577" t="str">
            <v>S-フレーム</v>
          </cell>
          <cell r="P2577" t="str">
            <v>31B0</v>
          </cell>
          <cell r="Q2577" t="str">
            <v>SS400</v>
          </cell>
          <cell r="R2577" t="str">
            <v>E388248A_01</v>
          </cell>
          <cell r="S2577">
            <v>627</v>
          </cell>
          <cell r="T2577" t="str">
            <v>標準</v>
          </cell>
        </row>
        <row r="2578">
          <cell r="F2578" t="str">
            <v>H0000108774</v>
          </cell>
          <cell r="I2578" t="str">
            <v>フレーム</v>
          </cell>
          <cell r="J2578" t="str">
            <v>S-Frame_WX-50_N_KKKK</v>
          </cell>
          <cell r="K2578" t="str">
            <v>S-フレーム_WX-50_N_KKKK</v>
          </cell>
          <cell r="L2578" t="str">
            <v>S-Frame</v>
          </cell>
          <cell r="M2578" t="str">
            <v>S-フレーム</v>
          </cell>
          <cell r="P2578" t="str">
            <v>31B0</v>
          </cell>
          <cell r="Q2578" t="str">
            <v>SS400</v>
          </cell>
          <cell r="R2578" t="str">
            <v>E388248A_01</v>
          </cell>
          <cell r="S2578">
            <v>627</v>
          </cell>
          <cell r="T2578" t="str">
            <v>標準</v>
          </cell>
        </row>
        <row r="2579">
          <cell r="F2579" t="str">
            <v>H0000108775</v>
          </cell>
          <cell r="I2579" t="str">
            <v>フレーム</v>
          </cell>
          <cell r="J2579" t="str">
            <v>S-Frame_GasCutting_WX-50_N_1234</v>
          </cell>
          <cell r="K2579" t="str">
            <v>S-フレーム_ガス溶断_WX-50_N_1234</v>
          </cell>
          <cell r="L2579" t="str">
            <v>S-Frame</v>
          </cell>
          <cell r="M2579" t="str">
            <v>S-フレーム</v>
          </cell>
          <cell r="N2579" t="str">
            <v>GasCutting</v>
          </cell>
          <cell r="O2579" t="str">
            <v>ガス溶断</v>
          </cell>
          <cell r="P2579" t="str">
            <v>31B0</v>
          </cell>
          <cell r="Q2579" t="str">
            <v>SS400</v>
          </cell>
          <cell r="R2579" t="str">
            <v>E388248A_01</v>
          </cell>
          <cell r="S2579">
            <v>627</v>
          </cell>
          <cell r="T2579" t="str">
            <v>標準</v>
          </cell>
        </row>
        <row r="2580">
          <cell r="F2580" t="str">
            <v>H0000108776</v>
          </cell>
          <cell r="I2580" t="str">
            <v>フレーム</v>
          </cell>
          <cell r="J2580" t="str">
            <v>S-Frame_WX-50_N_TTTT</v>
          </cell>
          <cell r="K2580" t="str">
            <v>S-フレーム_WX-50_N_TTTT</v>
          </cell>
          <cell r="L2580" t="str">
            <v>S-Frame</v>
          </cell>
          <cell r="M2580" t="str">
            <v>S-フレーム</v>
          </cell>
          <cell r="P2580" t="str">
            <v>31B0</v>
          </cell>
          <cell r="Q2580" t="str">
            <v>SS400</v>
          </cell>
          <cell r="R2580" t="str">
            <v>E388248B_01</v>
          </cell>
          <cell r="S2580">
            <v>627</v>
          </cell>
          <cell r="T2580" t="str">
            <v>標準</v>
          </cell>
        </row>
        <row r="2581">
          <cell r="F2581" t="str">
            <v>H0000108777</v>
          </cell>
          <cell r="I2581" t="str">
            <v>フレーム</v>
          </cell>
          <cell r="J2581" t="str">
            <v>S-Frame_WX-50_N_TTTT</v>
          </cell>
          <cell r="K2581" t="str">
            <v>S-フレーム_WX-50_N_TTTT</v>
          </cell>
          <cell r="L2581" t="str">
            <v>S-Frame</v>
          </cell>
          <cell r="M2581" t="str">
            <v>S-フレーム</v>
          </cell>
          <cell r="P2581" t="str">
            <v>31B0</v>
          </cell>
          <cell r="Q2581" t="str">
            <v>SS400</v>
          </cell>
          <cell r="R2581" t="str">
            <v>E388248B_01</v>
          </cell>
          <cell r="S2581">
            <v>627</v>
          </cell>
          <cell r="T2581" t="str">
            <v>標準</v>
          </cell>
        </row>
        <row r="2582">
          <cell r="F2582" t="str">
            <v>H0000108778</v>
          </cell>
          <cell r="I2582" t="str">
            <v>フレーム</v>
          </cell>
          <cell r="J2582" t="str">
            <v>S-Frame_WX-50_N_TTTT</v>
          </cell>
          <cell r="K2582" t="str">
            <v>S-フレーム_WX-50_N_TTTT</v>
          </cell>
          <cell r="L2582" t="str">
            <v>S-Frame</v>
          </cell>
          <cell r="M2582" t="str">
            <v>S-フレーム</v>
          </cell>
          <cell r="P2582" t="str">
            <v>31B0</v>
          </cell>
          <cell r="Q2582" t="str">
            <v>SS400</v>
          </cell>
          <cell r="R2582" t="str">
            <v>E388248B_01</v>
          </cell>
          <cell r="S2582">
            <v>627</v>
          </cell>
          <cell r="T2582" t="str">
            <v>標準</v>
          </cell>
        </row>
        <row r="2583">
          <cell r="F2583" t="str">
            <v>H0000108779</v>
          </cell>
          <cell r="I2583" t="str">
            <v>フレーム</v>
          </cell>
          <cell r="J2583" t="str">
            <v>S-Frame_WX-50_N_TTTT</v>
          </cell>
          <cell r="K2583" t="str">
            <v>S-フレーム_WX-50_N_TTTT</v>
          </cell>
          <cell r="L2583" t="str">
            <v>S-Frame</v>
          </cell>
          <cell r="M2583" t="str">
            <v>S-フレーム</v>
          </cell>
          <cell r="P2583" t="str">
            <v>31B0</v>
          </cell>
          <cell r="Q2583" t="str">
            <v>SS400</v>
          </cell>
          <cell r="R2583" t="str">
            <v>E388248B_01</v>
          </cell>
          <cell r="S2583">
            <v>627</v>
          </cell>
          <cell r="T2583" t="str">
            <v>標準</v>
          </cell>
        </row>
        <row r="2584">
          <cell r="F2584" t="str">
            <v>H0000108780</v>
          </cell>
          <cell r="I2584" t="str">
            <v>フレーム</v>
          </cell>
          <cell r="J2584" t="str">
            <v>S-Frame_WX-50_N_TKTK</v>
          </cell>
          <cell r="K2584" t="str">
            <v>S-フレーム_WX-50_N_TKTK</v>
          </cell>
          <cell r="L2584" t="str">
            <v>S-Frame</v>
          </cell>
          <cell r="M2584" t="str">
            <v>S-フレーム</v>
          </cell>
          <cell r="P2584" t="str">
            <v>31B0</v>
          </cell>
          <cell r="Q2584" t="str">
            <v>SS400</v>
          </cell>
          <cell r="R2584" t="str">
            <v>E388248B_01</v>
          </cell>
          <cell r="S2584">
            <v>627</v>
          </cell>
          <cell r="T2584" t="str">
            <v>標準</v>
          </cell>
        </row>
        <row r="2585">
          <cell r="F2585" t="str">
            <v>H0000108781</v>
          </cell>
          <cell r="I2585" t="str">
            <v>フレーム</v>
          </cell>
          <cell r="J2585" t="str">
            <v>S-Frame_WX-50_N_TKTK</v>
          </cell>
          <cell r="K2585" t="str">
            <v>S-フレーム_WX-50_N_TKTK</v>
          </cell>
          <cell r="L2585" t="str">
            <v>S-Frame</v>
          </cell>
          <cell r="M2585" t="str">
            <v>S-フレーム</v>
          </cell>
          <cell r="P2585" t="str">
            <v>31B0</v>
          </cell>
          <cell r="Q2585" t="str">
            <v>SS400</v>
          </cell>
          <cell r="R2585" t="str">
            <v>E388248B_01</v>
          </cell>
          <cell r="S2585">
            <v>627</v>
          </cell>
          <cell r="T2585" t="str">
            <v>標準</v>
          </cell>
        </row>
        <row r="2586">
          <cell r="F2586" t="str">
            <v>H0000108782</v>
          </cell>
          <cell r="I2586" t="str">
            <v>フレーム</v>
          </cell>
          <cell r="J2586" t="str">
            <v>S-Frame_WX-50_N_TKTK</v>
          </cell>
          <cell r="K2586" t="str">
            <v>S-フレーム_WX-50_N_TKTK</v>
          </cell>
          <cell r="L2586" t="str">
            <v>S-Frame</v>
          </cell>
          <cell r="M2586" t="str">
            <v>S-フレーム</v>
          </cell>
          <cell r="P2586" t="str">
            <v>31B0</v>
          </cell>
          <cell r="Q2586" t="str">
            <v>SS400</v>
          </cell>
          <cell r="R2586" t="str">
            <v>E388248B_01</v>
          </cell>
          <cell r="S2586">
            <v>627</v>
          </cell>
          <cell r="T2586" t="str">
            <v>標準</v>
          </cell>
        </row>
        <row r="2587">
          <cell r="F2587" t="str">
            <v>H0000108783</v>
          </cell>
          <cell r="I2587" t="str">
            <v>フレーム</v>
          </cell>
          <cell r="J2587" t="str">
            <v>S-Frame_WX-50_N_TKTK</v>
          </cell>
          <cell r="K2587" t="str">
            <v>S-フレーム_WX-50_N_TKTK</v>
          </cell>
          <cell r="L2587" t="str">
            <v>S-Frame</v>
          </cell>
          <cell r="M2587" t="str">
            <v>S-フレーム</v>
          </cell>
          <cell r="P2587" t="str">
            <v>31B0</v>
          </cell>
          <cell r="Q2587" t="str">
            <v>SS400</v>
          </cell>
          <cell r="R2587" t="str">
            <v>E388248B_01</v>
          </cell>
          <cell r="S2587">
            <v>627</v>
          </cell>
          <cell r="T2587" t="str">
            <v>標準</v>
          </cell>
        </row>
        <row r="2588">
          <cell r="F2588" t="str">
            <v>H0000108784</v>
          </cell>
          <cell r="I2588" t="str">
            <v>フレーム</v>
          </cell>
          <cell r="J2588" t="str">
            <v>S-Frame_WX-50_N_KTKT</v>
          </cell>
          <cell r="K2588" t="str">
            <v>S-フレーム_WX-50_N_KTKT</v>
          </cell>
          <cell r="L2588" t="str">
            <v>S-Frame</v>
          </cell>
          <cell r="M2588" t="str">
            <v>S-フレーム</v>
          </cell>
          <cell r="P2588" t="str">
            <v>31B0</v>
          </cell>
          <cell r="Q2588" t="str">
            <v>SS400</v>
          </cell>
          <cell r="R2588" t="str">
            <v>E388248B_01</v>
          </cell>
          <cell r="S2588">
            <v>627</v>
          </cell>
          <cell r="T2588" t="str">
            <v>標準</v>
          </cell>
        </row>
        <row r="2589">
          <cell r="F2589" t="str">
            <v>H0000108785</v>
          </cell>
          <cell r="I2589" t="str">
            <v>フレーム</v>
          </cell>
          <cell r="J2589" t="str">
            <v>S-Frame_WX-50_N_KTKT</v>
          </cell>
          <cell r="K2589" t="str">
            <v>S-フレーム_WX-50_N_KTKT</v>
          </cell>
          <cell r="L2589" t="str">
            <v>S-Frame</v>
          </cell>
          <cell r="M2589" t="str">
            <v>S-フレーム</v>
          </cell>
          <cell r="P2589" t="str">
            <v>31B0</v>
          </cell>
          <cell r="Q2589" t="str">
            <v>SS400</v>
          </cell>
          <cell r="R2589" t="str">
            <v>E388248B_01</v>
          </cell>
          <cell r="S2589">
            <v>627</v>
          </cell>
          <cell r="T2589" t="str">
            <v>標準</v>
          </cell>
        </row>
        <row r="2590">
          <cell r="F2590" t="str">
            <v>H0000108786</v>
          </cell>
          <cell r="I2590" t="str">
            <v>フレーム</v>
          </cell>
          <cell r="J2590" t="str">
            <v>S-Frame_WX-50_N_KTKT</v>
          </cell>
          <cell r="K2590" t="str">
            <v>S-フレーム_WX-50_N_KTKT</v>
          </cell>
          <cell r="L2590" t="str">
            <v>S-Frame</v>
          </cell>
          <cell r="M2590" t="str">
            <v>S-フレーム</v>
          </cell>
          <cell r="P2590" t="str">
            <v>31B0</v>
          </cell>
          <cell r="Q2590" t="str">
            <v>SS400</v>
          </cell>
          <cell r="R2590" t="str">
            <v>E388248B_01</v>
          </cell>
          <cell r="S2590">
            <v>627</v>
          </cell>
          <cell r="T2590" t="str">
            <v>標準</v>
          </cell>
        </row>
        <row r="2591">
          <cell r="F2591" t="str">
            <v>H0000108787</v>
          </cell>
          <cell r="I2591" t="str">
            <v>フレーム</v>
          </cell>
          <cell r="J2591" t="str">
            <v>S-Frame_WX-50_N_KTKT</v>
          </cell>
          <cell r="K2591" t="str">
            <v>S-フレーム_WX-50_N_KTKT</v>
          </cell>
          <cell r="L2591" t="str">
            <v>S-Frame</v>
          </cell>
          <cell r="M2591" t="str">
            <v>S-フレーム</v>
          </cell>
          <cell r="P2591" t="str">
            <v>31B0</v>
          </cell>
          <cell r="Q2591" t="str">
            <v>SS400</v>
          </cell>
          <cell r="R2591" t="str">
            <v>E388248B_01</v>
          </cell>
          <cell r="S2591">
            <v>627</v>
          </cell>
          <cell r="T2591" t="str">
            <v>標準</v>
          </cell>
        </row>
        <row r="2592">
          <cell r="F2592" t="str">
            <v>H0000108788</v>
          </cell>
          <cell r="I2592" t="str">
            <v>フレーム</v>
          </cell>
          <cell r="J2592" t="str">
            <v>S-Frame_WX-50_N_KKKK</v>
          </cell>
          <cell r="K2592" t="str">
            <v>S-フレーム_WX-50_N_KKKK</v>
          </cell>
          <cell r="L2592" t="str">
            <v>S-Frame</v>
          </cell>
          <cell r="M2592" t="str">
            <v>S-フレーム</v>
          </cell>
          <cell r="P2592" t="str">
            <v>31B0</v>
          </cell>
          <cell r="Q2592" t="str">
            <v>SS400</v>
          </cell>
          <cell r="R2592" t="str">
            <v>E388248B_01</v>
          </cell>
          <cell r="S2592">
            <v>627</v>
          </cell>
          <cell r="T2592" t="str">
            <v>標準</v>
          </cell>
        </row>
        <row r="2593">
          <cell r="F2593" t="str">
            <v>H0000108789</v>
          </cell>
          <cell r="I2593" t="str">
            <v>フレーム</v>
          </cell>
          <cell r="J2593" t="str">
            <v>S-Frame_WX-50_N_KKKK</v>
          </cell>
          <cell r="K2593" t="str">
            <v>S-フレーム_WX-50_N_KKKK</v>
          </cell>
          <cell r="L2593" t="str">
            <v>S-Frame</v>
          </cell>
          <cell r="M2593" t="str">
            <v>S-フレーム</v>
          </cell>
          <cell r="P2593" t="str">
            <v>31B0</v>
          </cell>
          <cell r="Q2593" t="str">
            <v>SS400</v>
          </cell>
          <cell r="R2593" t="str">
            <v>E388248B_01</v>
          </cell>
          <cell r="S2593">
            <v>627</v>
          </cell>
          <cell r="T2593" t="str">
            <v>標準</v>
          </cell>
        </row>
        <row r="2594">
          <cell r="F2594" t="str">
            <v>H0000108790</v>
          </cell>
          <cell r="I2594" t="str">
            <v>フレーム</v>
          </cell>
          <cell r="J2594" t="str">
            <v>S-Frame_WX-50_N_KKKK</v>
          </cell>
          <cell r="K2594" t="str">
            <v>S-フレーム_WX-50_N_KKKK</v>
          </cell>
          <cell r="L2594" t="str">
            <v>S-Frame</v>
          </cell>
          <cell r="M2594" t="str">
            <v>S-フレーム</v>
          </cell>
          <cell r="P2594" t="str">
            <v>31B0</v>
          </cell>
          <cell r="Q2594" t="str">
            <v>SS400</v>
          </cell>
          <cell r="R2594" t="str">
            <v>E388248B_01</v>
          </cell>
          <cell r="S2594">
            <v>627</v>
          </cell>
          <cell r="T2594" t="str">
            <v>標準</v>
          </cell>
        </row>
        <row r="2595">
          <cell r="F2595" t="str">
            <v>H0000108791</v>
          </cell>
          <cell r="I2595" t="str">
            <v>フレーム</v>
          </cell>
          <cell r="J2595" t="str">
            <v>S-Frame_WX-50_N_KKKK</v>
          </cell>
          <cell r="K2595" t="str">
            <v>S-フレーム_WX-50_N_KKKK</v>
          </cell>
          <cell r="L2595" t="str">
            <v>S-Frame</v>
          </cell>
          <cell r="M2595" t="str">
            <v>S-フレーム</v>
          </cell>
          <cell r="P2595" t="str">
            <v>31B0</v>
          </cell>
          <cell r="Q2595" t="str">
            <v>SS400</v>
          </cell>
          <cell r="R2595" t="str">
            <v>E388248B_01</v>
          </cell>
          <cell r="S2595">
            <v>627</v>
          </cell>
          <cell r="T2595" t="str">
            <v>標準</v>
          </cell>
        </row>
        <row r="2596">
          <cell r="F2596" t="str">
            <v>H0000108792</v>
          </cell>
          <cell r="I2596" t="str">
            <v>フレーム</v>
          </cell>
          <cell r="J2596" t="str">
            <v>S-Frame_WX-50_H_TTTT</v>
          </cell>
          <cell r="K2596" t="str">
            <v>S-フレーム_WX-50_H_TTTT</v>
          </cell>
          <cell r="L2596" t="str">
            <v>S-Frame</v>
          </cell>
          <cell r="M2596" t="str">
            <v>S-フレーム</v>
          </cell>
          <cell r="P2596" t="str">
            <v>31B0</v>
          </cell>
          <cell r="Q2596" t="str">
            <v>SS400</v>
          </cell>
          <cell r="R2596" t="str">
            <v>E388250A_01</v>
          </cell>
          <cell r="S2596">
            <v>872</v>
          </cell>
          <cell r="T2596" t="str">
            <v>標準</v>
          </cell>
        </row>
        <row r="2597">
          <cell r="F2597" t="str">
            <v>H0000108793</v>
          </cell>
          <cell r="I2597" t="str">
            <v>フレーム</v>
          </cell>
          <cell r="J2597" t="str">
            <v>S-Frame_WX-50_H_TTTT</v>
          </cell>
          <cell r="K2597" t="str">
            <v>S-フレーム_WX-50_H_TTTT</v>
          </cell>
          <cell r="L2597" t="str">
            <v>S-Frame</v>
          </cell>
          <cell r="M2597" t="str">
            <v>S-フレーム</v>
          </cell>
          <cell r="P2597" t="str">
            <v>31B0</v>
          </cell>
          <cell r="Q2597" t="str">
            <v>SS400</v>
          </cell>
          <cell r="R2597" t="str">
            <v>E388250A_01</v>
          </cell>
          <cell r="S2597">
            <v>872</v>
          </cell>
          <cell r="T2597" t="str">
            <v>標準</v>
          </cell>
        </row>
        <row r="2598">
          <cell r="F2598" t="str">
            <v>H0000108794</v>
          </cell>
          <cell r="I2598" t="str">
            <v>フレーム</v>
          </cell>
          <cell r="J2598" t="str">
            <v>S-Frame_WX-50_H_TTTT</v>
          </cell>
          <cell r="K2598" t="str">
            <v>S-フレーム_WX-50_H_TTTT</v>
          </cell>
          <cell r="L2598" t="str">
            <v>S-Frame</v>
          </cell>
          <cell r="M2598" t="str">
            <v>S-フレーム</v>
          </cell>
          <cell r="P2598" t="str">
            <v>31B0</v>
          </cell>
          <cell r="Q2598" t="str">
            <v>SS400</v>
          </cell>
          <cell r="R2598" t="str">
            <v>E388250A_01</v>
          </cell>
          <cell r="S2598">
            <v>872</v>
          </cell>
          <cell r="T2598" t="str">
            <v>標準</v>
          </cell>
        </row>
        <row r="2599">
          <cell r="F2599" t="str">
            <v>H0000108795</v>
          </cell>
          <cell r="I2599" t="str">
            <v>フレーム</v>
          </cell>
          <cell r="J2599" t="str">
            <v>S-Frame_WX-50_H_TTTT</v>
          </cell>
          <cell r="K2599" t="str">
            <v>S-フレーム_WX-50_H_TTTT</v>
          </cell>
          <cell r="L2599" t="str">
            <v>S-Frame</v>
          </cell>
          <cell r="M2599" t="str">
            <v>S-フレーム</v>
          </cell>
          <cell r="P2599" t="str">
            <v>31B0</v>
          </cell>
          <cell r="Q2599" t="str">
            <v>SS400</v>
          </cell>
          <cell r="R2599" t="str">
            <v>E388250A_01</v>
          </cell>
          <cell r="S2599">
            <v>872</v>
          </cell>
          <cell r="T2599" t="str">
            <v>標準</v>
          </cell>
        </row>
        <row r="2600">
          <cell r="F2600" t="str">
            <v>H0000108796</v>
          </cell>
          <cell r="I2600" t="str">
            <v>フレーム</v>
          </cell>
          <cell r="J2600" t="str">
            <v>S-Frame_WX-50_H_TKTK</v>
          </cell>
          <cell r="K2600" t="str">
            <v>S-フレーム_WX-50_H_TKTK</v>
          </cell>
          <cell r="L2600" t="str">
            <v>S-Frame</v>
          </cell>
          <cell r="M2600" t="str">
            <v>S-フレーム</v>
          </cell>
          <cell r="P2600" t="str">
            <v>31B0</v>
          </cell>
          <cell r="Q2600" t="str">
            <v>SS400</v>
          </cell>
          <cell r="R2600" t="str">
            <v>E388250A_01</v>
          </cell>
          <cell r="S2600">
            <v>872</v>
          </cell>
          <cell r="T2600" t="str">
            <v>標準</v>
          </cell>
        </row>
        <row r="2601">
          <cell r="F2601" t="str">
            <v>H0000108797</v>
          </cell>
          <cell r="I2601" t="str">
            <v>フレーム</v>
          </cell>
          <cell r="J2601" t="str">
            <v>S-Frame_WX-50_H_TKTK</v>
          </cell>
          <cell r="K2601" t="str">
            <v>S-フレーム_WX-50_H_TKTK</v>
          </cell>
          <cell r="L2601" t="str">
            <v>S-Frame</v>
          </cell>
          <cell r="M2601" t="str">
            <v>S-フレーム</v>
          </cell>
          <cell r="P2601" t="str">
            <v>31B0</v>
          </cell>
          <cell r="Q2601" t="str">
            <v>SS400</v>
          </cell>
          <cell r="R2601" t="str">
            <v>E388250A_01</v>
          </cell>
          <cell r="S2601">
            <v>872</v>
          </cell>
          <cell r="T2601" t="str">
            <v>標準</v>
          </cell>
        </row>
        <row r="2602">
          <cell r="F2602" t="str">
            <v>H0000108798</v>
          </cell>
          <cell r="I2602" t="str">
            <v>フレーム</v>
          </cell>
          <cell r="J2602" t="str">
            <v>S-Frame_WX-50_H_TKTK</v>
          </cell>
          <cell r="K2602" t="str">
            <v>S-フレーム_WX-50_H_TKTK</v>
          </cell>
          <cell r="L2602" t="str">
            <v>S-Frame</v>
          </cell>
          <cell r="M2602" t="str">
            <v>S-フレーム</v>
          </cell>
          <cell r="P2602" t="str">
            <v>31B0</v>
          </cell>
          <cell r="Q2602" t="str">
            <v>SS400</v>
          </cell>
          <cell r="R2602" t="str">
            <v>E388250A_01</v>
          </cell>
          <cell r="S2602">
            <v>872</v>
          </cell>
          <cell r="T2602" t="str">
            <v>標準</v>
          </cell>
        </row>
        <row r="2603">
          <cell r="F2603" t="str">
            <v>H0000108799</v>
          </cell>
          <cell r="I2603" t="str">
            <v>フレーム</v>
          </cell>
          <cell r="J2603" t="str">
            <v>S-Frame_WX-50_H_TKTK</v>
          </cell>
          <cell r="K2603" t="str">
            <v>S-フレーム_WX-50_H_TKTK</v>
          </cell>
          <cell r="L2603" t="str">
            <v>S-Frame</v>
          </cell>
          <cell r="M2603" t="str">
            <v>S-フレーム</v>
          </cell>
          <cell r="P2603" t="str">
            <v>31B0</v>
          </cell>
          <cell r="Q2603" t="str">
            <v>SS400</v>
          </cell>
          <cell r="R2603" t="str">
            <v>E388250A_01</v>
          </cell>
          <cell r="S2603">
            <v>872</v>
          </cell>
          <cell r="T2603" t="str">
            <v>標準</v>
          </cell>
        </row>
        <row r="2604">
          <cell r="F2604" t="str">
            <v>H0000108800</v>
          </cell>
          <cell r="I2604" t="str">
            <v>フレーム</v>
          </cell>
          <cell r="J2604" t="str">
            <v>S-Frame_WX-50_H_KTKT</v>
          </cell>
          <cell r="K2604" t="str">
            <v>S-フレーム_WX-50_H_KTKT</v>
          </cell>
          <cell r="L2604" t="str">
            <v>S-Frame</v>
          </cell>
          <cell r="M2604" t="str">
            <v>S-フレーム</v>
          </cell>
          <cell r="P2604" t="str">
            <v>31B0</v>
          </cell>
          <cell r="Q2604" t="str">
            <v>SS400</v>
          </cell>
          <cell r="R2604" t="str">
            <v>E388250A_01</v>
          </cell>
          <cell r="S2604">
            <v>872</v>
          </cell>
          <cell r="T2604" t="str">
            <v>標準</v>
          </cell>
        </row>
        <row r="2605">
          <cell r="F2605" t="str">
            <v>H0000108801</v>
          </cell>
          <cell r="I2605" t="str">
            <v>フレーム</v>
          </cell>
          <cell r="J2605" t="str">
            <v>S-Frame_WX-50_H_KTKT</v>
          </cell>
          <cell r="K2605" t="str">
            <v>S-フレーム_WX-50_H_KTKT</v>
          </cell>
          <cell r="L2605" t="str">
            <v>S-Frame</v>
          </cell>
          <cell r="M2605" t="str">
            <v>S-フレーム</v>
          </cell>
          <cell r="P2605" t="str">
            <v>31B0</v>
          </cell>
          <cell r="Q2605" t="str">
            <v>SS400</v>
          </cell>
          <cell r="R2605" t="str">
            <v>E388250A_01</v>
          </cell>
          <cell r="S2605">
            <v>872</v>
          </cell>
          <cell r="T2605" t="str">
            <v>標準</v>
          </cell>
        </row>
        <row r="2606">
          <cell r="F2606" t="str">
            <v>H0000108802</v>
          </cell>
          <cell r="I2606" t="str">
            <v>フレーム</v>
          </cell>
          <cell r="J2606" t="str">
            <v>S-Frame_WX-50_H_KTKT</v>
          </cell>
          <cell r="K2606" t="str">
            <v>S-フレーム_WX-50_H_KTKT</v>
          </cell>
          <cell r="L2606" t="str">
            <v>S-Frame</v>
          </cell>
          <cell r="M2606" t="str">
            <v>S-フレーム</v>
          </cell>
          <cell r="P2606" t="str">
            <v>31B0</v>
          </cell>
          <cell r="Q2606" t="str">
            <v>SS400</v>
          </cell>
          <cell r="R2606" t="str">
            <v>E388250A_01</v>
          </cell>
          <cell r="S2606">
            <v>872</v>
          </cell>
          <cell r="T2606" t="str">
            <v>標準</v>
          </cell>
        </row>
        <row r="2607">
          <cell r="F2607" t="str">
            <v>H0000108803</v>
          </cell>
          <cell r="I2607" t="str">
            <v>フレーム</v>
          </cell>
          <cell r="J2607" t="str">
            <v>S-Frame_WX-50_H_KTKT</v>
          </cell>
          <cell r="K2607" t="str">
            <v>S-フレーム_WX-50_H_KTKT</v>
          </cell>
          <cell r="L2607" t="str">
            <v>S-Frame</v>
          </cell>
          <cell r="M2607" t="str">
            <v>S-フレーム</v>
          </cell>
          <cell r="P2607" t="str">
            <v>31B0</v>
          </cell>
          <cell r="Q2607" t="str">
            <v>SS400</v>
          </cell>
          <cell r="R2607" t="str">
            <v>E388250A_01</v>
          </cell>
          <cell r="S2607">
            <v>872</v>
          </cell>
          <cell r="T2607" t="str">
            <v>標準</v>
          </cell>
        </row>
        <row r="2608">
          <cell r="F2608" t="str">
            <v>H0000108804</v>
          </cell>
          <cell r="I2608" t="str">
            <v>フレーム</v>
          </cell>
          <cell r="J2608" t="str">
            <v>S-Frame_WX-50_H_KKKK</v>
          </cell>
          <cell r="K2608" t="str">
            <v>S-フレーム_WX-50_H_KKKK</v>
          </cell>
          <cell r="L2608" t="str">
            <v>S-Frame</v>
          </cell>
          <cell r="M2608" t="str">
            <v>S-フレーム</v>
          </cell>
          <cell r="P2608" t="str">
            <v>31B0</v>
          </cell>
          <cell r="Q2608" t="str">
            <v>SS400</v>
          </cell>
          <cell r="R2608" t="str">
            <v>E388250A_01</v>
          </cell>
          <cell r="S2608">
            <v>872</v>
          </cell>
          <cell r="T2608" t="str">
            <v>標準</v>
          </cell>
        </row>
        <row r="2609">
          <cell r="F2609" t="str">
            <v>H0000108805</v>
          </cell>
          <cell r="I2609" t="str">
            <v>フレーム</v>
          </cell>
          <cell r="J2609" t="str">
            <v>S-Frame_WX-50_H_KKKK</v>
          </cell>
          <cell r="K2609" t="str">
            <v>S-フレーム_WX-50_H_KKKK</v>
          </cell>
          <cell r="L2609" t="str">
            <v>S-Frame</v>
          </cell>
          <cell r="M2609" t="str">
            <v>S-フレーム</v>
          </cell>
          <cell r="P2609" t="str">
            <v>31B0</v>
          </cell>
          <cell r="Q2609" t="str">
            <v>SS400</v>
          </cell>
          <cell r="R2609" t="str">
            <v>E388250A_01</v>
          </cell>
          <cell r="S2609">
            <v>872</v>
          </cell>
          <cell r="T2609" t="str">
            <v>標準</v>
          </cell>
        </row>
        <row r="2610">
          <cell r="F2610" t="str">
            <v>H0000108806</v>
          </cell>
          <cell r="I2610" t="str">
            <v>フレーム</v>
          </cell>
          <cell r="J2610" t="str">
            <v>S-Frame_WX-50_H_KKKK</v>
          </cell>
          <cell r="K2610" t="str">
            <v>S-フレーム_WX-50_H_KKKK</v>
          </cell>
          <cell r="L2610" t="str">
            <v>S-Frame</v>
          </cell>
          <cell r="M2610" t="str">
            <v>S-フレーム</v>
          </cell>
          <cell r="P2610" t="str">
            <v>31B0</v>
          </cell>
          <cell r="Q2610" t="str">
            <v>SS400</v>
          </cell>
          <cell r="R2610" t="str">
            <v>E388250A_01</v>
          </cell>
          <cell r="S2610">
            <v>872</v>
          </cell>
          <cell r="T2610" t="str">
            <v>標準</v>
          </cell>
        </row>
        <row r="2611">
          <cell r="F2611" t="str">
            <v>H0000108807</v>
          </cell>
          <cell r="I2611" t="str">
            <v>フレーム</v>
          </cell>
          <cell r="J2611" t="str">
            <v>S-Frame_WX-50_H_KKKK</v>
          </cell>
          <cell r="K2611" t="str">
            <v>S-フレーム_WX-50_H_KKKK</v>
          </cell>
          <cell r="L2611" t="str">
            <v>S-Frame</v>
          </cell>
          <cell r="M2611" t="str">
            <v>S-フレーム</v>
          </cell>
          <cell r="P2611" t="str">
            <v>31B0</v>
          </cell>
          <cell r="Q2611" t="str">
            <v>SS400</v>
          </cell>
          <cell r="R2611" t="str">
            <v>E388250A_01</v>
          </cell>
          <cell r="S2611">
            <v>872</v>
          </cell>
          <cell r="T2611" t="str">
            <v>標準</v>
          </cell>
        </row>
        <row r="2612">
          <cell r="F2612" t="str">
            <v>H0000108808</v>
          </cell>
          <cell r="I2612" t="str">
            <v>フレーム</v>
          </cell>
          <cell r="J2612" t="str">
            <v>S-Frame_GasCutting_WX-50_H_1234</v>
          </cell>
          <cell r="K2612" t="str">
            <v>S-フレーム_ガス溶断_WX-50_H_1234</v>
          </cell>
          <cell r="L2612" t="str">
            <v>S-Frame</v>
          </cell>
          <cell r="M2612" t="str">
            <v>S-フレーム</v>
          </cell>
          <cell r="N2612" t="str">
            <v>GasCutting</v>
          </cell>
          <cell r="O2612" t="str">
            <v>ガス溶断</v>
          </cell>
          <cell r="P2612" t="str">
            <v>31B0</v>
          </cell>
          <cell r="Q2612" t="str">
            <v>SS400</v>
          </cell>
          <cell r="R2612" t="str">
            <v>E388250A_01</v>
          </cell>
          <cell r="S2612">
            <v>872</v>
          </cell>
          <cell r="T2612" t="str">
            <v>標準</v>
          </cell>
        </row>
        <row r="2613">
          <cell r="F2613" t="str">
            <v>H0000108809</v>
          </cell>
          <cell r="I2613" t="str">
            <v>フレーム</v>
          </cell>
          <cell r="J2613" t="str">
            <v>S-Frame_WX-50_H_TTTT</v>
          </cell>
          <cell r="K2613" t="str">
            <v>S-フレーム_WX-50_H_TTTT</v>
          </cell>
          <cell r="L2613" t="str">
            <v>S-Frame</v>
          </cell>
          <cell r="M2613" t="str">
            <v>S-フレーム</v>
          </cell>
          <cell r="P2613" t="str">
            <v>31B0</v>
          </cell>
          <cell r="Q2613" t="str">
            <v>SS400</v>
          </cell>
          <cell r="R2613" t="str">
            <v>E388250B_01</v>
          </cell>
          <cell r="S2613">
            <v>872</v>
          </cell>
          <cell r="T2613" t="str">
            <v>標準</v>
          </cell>
        </row>
        <row r="2614">
          <cell r="F2614" t="str">
            <v>H0000108810</v>
          </cell>
          <cell r="I2614" t="str">
            <v>フレーム</v>
          </cell>
          <cell r="J2614" t="str">
            <v>S-Frame_WX-50_H_TTTT</v>
          </cell>
          <cell r="K2614" t="str">
            <v>S-フレーム_WX-50_H_TTTT</v>
          </cell>
          <cell r="L2614" t="str">
            <v>S-Frame</v>
          </cell>
          <cell r="M2614" t="str">
            <v>S-フレーム</v>
          </cell>
          <cell r="P2614" t="str">
            <v>31B0</v>
          </cell>
          <cell r="Q2614" t="str">
            <v>SS400</v>
          </cell>
          <cell r="R2614" t="str">
            <v>E388250B_01</v>
          </cell>
          <cell r="S2614">
            <v>872</v>
          </cell>
          <cell r="T2614" t="str">
            <v>標準</v>
          </cell>
        </row>
        <row r="2615">
          <cell r="F2615" t="str">
            <v>H0000108811</v>
          </cell>
          <cell r="I2615" t="str">
            <v>フレーム</v>
          </cell>
          <cell r="J2615" t="str">
            <v>S-Frame_WX-50_H_TTTT</v>
          </cell>
          <cell r="K2615" t="str">
            <v>S-フレーム_WX-50_H_TTTT</v>
          </cell>
          <cell r="L2615" t="str">
            <v>S-Frame</v>
          </cell>
          <cell r="M2615" t="str">
            <v>S-フレーム</v>
          </cell>
          <cell r="P2615" t="str">
            <v>31B0</v>
          </cell>
          <cell r="Q2615" t="str">
            <v>SS400</v>
          </cell>
          <cell r="R2615" t="str">
            <v>E388250B_01</v>
          </cell>
          <cell r="S2615">
            <v>872</v>
          </cell>
          <cell r="T2615" t="str">
            <v>標準</v>
          </cell>
        </row>
        <row r="2616">
          <cell r="F2616" t="str">
            <v>H0000108812</v>
          </cell>
          <cell r="I2616" t="str">
            <v>フレーム</v>
          </cell>
          <cell r="J2616" t="str">
            <v>S-Frame_WX-50_H_TTTT</v>
          </cell>
          <cell r="K2616" t="str">
            <v>S-フレーム_WX-50_H_TTTT</v>
          </cell>
          <cell r="L2616" t="str">
            <v>S-Frame</v>
          </cell>
          <cell r="M2616" t="str">
            <v>S-フレーム</v>
          </cell>
          <cell r="P2616" t="str">
            <v>31B0</v>
          </cell>
          <cell r="Q2616" t="str">
            <v>SS400</v>
          </cell>
          <cell r="R2616" t="str">
            <v>E388250B_01</v>
          </cell>
          <cell r="S2616">
            <v>872</v>
          </cell>
          <cell r="T2616" t="str">
            <v>標準</v>
          </cell>
        </row>
        <row r="2617">
          <cell r="F2617" t="str">
            <v>H0000108813</v>
          </cell>
          <cell r="I2617" t="str">
            <v>フレーム</v>
          </cell>
          <cell r="J2617" t="str">
            <v>S-Frame_WX-50_H_TKTK</v>
          </cell>
          <cell r="K2617" t="str">
            <v>S-フレーム_WX-50_H_TKTK</v>
          </cell>
          <cell r="L2617" t="str">
            <v>S-Frame</v>
          </cell>
          <cell r="M2617" t="str">
            <v>S-フレーム</v>
          </cell>
          <cell r="P2617" t="str">
            <v>31B0</v>
          </cell>
          <cell r="Q2617" t="str">
            <v>SS400</v>
          </cell>
          <cell r="R2617" t="str">
            <v>E388250B_01</v>
          </cell>
          <cell r="S2617">
            <v>872</v>
          </cell>
          <cell r="T2617" t="str">
            <v>標準</v>
          </cell>
        </row>
        <row r="2618">
          <cell r="F2618" t="str">
            <v>H0000108814</v>
          </cell>
          <cell r="I2618" t="str">
            <v>フレーム</v>
          </cell>
          <cell r="J2618" t="str">
            <v>S-Frame_WX-50_H_TKTK</v>
          </cell>
          <cell r="K2618" t="str">
            <v>S-フレーム_WX-50_H_TKTK</v>
          </cell>
          <cell r="L2618" t="str">
            <v>S-Frame</v>
          </cell>
          <cell r="M2618" t="str">
            <v>S-フレーム</v>
          </cell>
          <cell r="P2618" t="str">
            <v>31B0</v>
          </cell>
          <cell r="Q2618" t="str">
            <v>SS400</v>
          </cell>
          <cell r="R2618" t="str">
            <v>E388250B_01</v>
          </cell>
          <cell r="S2618">
            <v>872</v>
          </cell>
          <cell r="T2618" t="str">
            <v>標準</v>
          </cell>
        </row>
        <row r="2619">
          <cell r="F2619" t="str">
            <v>H0000108815</v>
          </cell>
          <cell r="I2619" t="str">
            <v>フレーム</v>
          </cell>
          <cell r="J2619" t="str">
            <v>S-Frame_WX-50_H_TKTK</v>
          </cell>
          <cell r="K2619" t="str">
            <v>S-フレーム_WX-50_H_TKTK</v>
          </cell>
          <cell r="L2619" t="str">
            <v>S-Frame</v>
          </cell>
          <cell r="M2619" t="str">
            <v>S-フレーム</v>
          </cell>
          <cell r="P2619" t="str">
            <v>31B0</v>
          </cell>
          <cell r="Q2619" t="str">
            <v>SS400</v>
          </cell>
          <cell r="R2619" t="str">
            <v>E388250B_01</v>
          </cell>
          <cell r="S2619">
            <v>872</v>
          </cell>
          <cell r="T2619" t="str">
            <v>標準</v>
          </cell>
        </row>
        <row r="2620">
          <cell r="F2620" t="str">
            <v>H0000108816</v>
          </cell>
          <cell r="I2620" t="str">
            <v>フレーム</v>
          </cell>
          <cell r="J2620" t="str">
            <v>S-Frame_WX-50_H_TKTK</v>
          </cell>
          <cell r="K2620" t="str">
            <v>S-フレーム_WX-50_H_TKTK</v>
          </cell>
          <cell r="L2620" t="str">
            <v>S-Frame</v>
          </cell>
          <cell r="M2620" t="str">
            <v>S-フレーム</v>
          </cell>
          <cell r="P2620" t="str">
            <v>31B0</v>
          </cell>
          <cell r="Q2620" t="str">
            <v>SS400</v>
          </cell>
          <cell r="R2620" t="str">
            <v>E388250B_01</v>
          </cell>
          <cell r="S2620">
            <v>872</v>
          </cell>
          <cell r="T2620" t="str">
            <v>標準</v>
          </cell>
        </row>
        <row r="2621">
          <cell r="F2621" t="str">
            <v>H0000108817</v>
          </cell>
          <cell r="I2621" t="str">
            <v>フレーム</v>
          </cell>
          <cell r="J2621" t="str">
            <v>S-Frame_WX-50_H_KTKT</v>
          </cell>
          <cell r="K2621" t="str">
            <v>S-フレーム_WX-50_H_KTKT</v>
          </cell>
          <cell r="L2621" t="str">
            <v>S-Frame</v>
          </cell>
          <cell r="M2621" t="str">
            <v>S-フレーム</v>
          </cell>
          <cell r="P2621" t="str">
            <v>31B0</v>
          </cell>
          <cell r="Q2621" t="str">
            <v>SS400</v>
          </cell>
          <cell r="R2621" t="str">
            <v>E388250B_01</v>
          </cell>
          <cell r="S2621">
            <v>872</v>
          </cell>
          <cell r="T2621" t="str">
            <v>標準</v>
          </cell>
        </row>
        <row r="2622">
          <cell r="F2622" t="str">
            <v>H0000108818</v>
          </cell>
          <cell r="I2622" t="str">
            <v>フレーム</v>
          </cell>
          <cell r="J2622" t="str">
            <v>S-Frame_WX-50_H_KTKT</v>
          </cell>
          <cell r="K2622" t="str">
            <v>S-フレーム_WX-50_H_KTKT</v>
          </cell>
          <cell r="L2622" t="str">
            <v>S-Frame</v>
          </cell>
          <cell r="M2622" t="str">
            <v>S-フレーム</v>
          </cell>
          <cell r="P2622" t="str">
            <v>31B0</v>
          </cell>
          <cell r="Q2622" t="str">
            <v>SS400</v>
          </cell>
          <cell r="R2622" t="str">
            <v>E388250B_01</v>
          </cell>
          <cell r="S2622">
            <v>872</v>
          </cell>
          <cell r="T2622" t="str">
            <v>標準</v>
          </cell>
        </row>
        <row r="2623">
          <cell r="F2623" t="str">
            <v>H0000108819</v>
          </cell>
          <cell r="I2623" t="str">
            <v>フレーム</v>
          </cell>
          <cell r="J2623" t="str">
            <v>S-Frame_WX-50_H_KTKT</v>
          </cell>
          <cell r="K2623" t="str">
            <v>S-フレーム_WX-50_H_KTKT</v>
          </cell>
          <cell r="L2623" t="str">
            <v>S-Frame</v>
          </cell>
          <cell r="M2623" t="str">
            <v>S-フレーム</v>
          </cell>
          <cell r="P2623" t="str">
            <v>31B0</v>
          </cell>
          <cell r="Q2623" t="str">
            <v>SS400</v>
          </cell>
          <cell r="R2623" t="str">
            <v>E388250B_01</v>
          </cell>
          <cell r="S2623">
            <v>872</v>
          </cell>
          <cell r="T2623" t="str">
            <v>標準</v>
          </cell>
        </row>
        <row r="2624">
          <cell r="F2624" t="str">
            <v>H0000108820</v>
          </cell>
          <cell r="I2624" t="str">
            <v>フレーム</v>
          </cell>
          <cell r="J2624" t="str">
            <v>S-Frame_WX-50_H_KTKT</v>
          </cell>
          <cell r="K2624" t="str">
            <v>S-フレーム_WX-50_H_KTKT</v>
          </cell>
          <cell r="L2624" t="str">
            <v>S-Frame</v>
          </cell>
          <cell r="M2624" t="str">
            <v>S-フレーム</v>
          </cell>
          <cell r="P2624" t="str">
            <v>31B0</v>
          </cell>
          <cell r="Q2624" t="str">
            <v>SS400</v>
          </cell>
          <cell r="R2624" t="str">
            <v>E388250B_01</v>
          </cell>
          <cell r="S2624">
            <v>872</v>
          </cell>
          <cell r="T2624" t="str">
            <v>標準</v>
          </cell>
        </row>
        <row r="2625">
          <cell r="F2625" t="str">
            <v>H0000108821</v>
          </cell>
          <cell r="I2625" t="str">
            <v>フレーム</v>
          </cell>
          <cell r="J2625" t="str">
            <v>S-Frame_WX-50_H_KKKK</v>
          </cell>
          <cell r="K2625" t="str">
            <v>S-フレーム_WX-50_H_KKKK</v>
          </cell>
          <cell r="L2625" t="str">
            <v>S-Frame</v>
          </cell>
          <cell r="M2625" t="str">
            <v>S-フレーム</v>
          </cell>
          <cell r="P2625" t="str">
            <v>31B0</v>
          </cell>
          <cell r="Q2625" t="str">
            <v>SS400</v>
          </cell>
          <cell r="R2625" t="str">
            <v>E388250B_01</v>
          </cell>
          <cell r="S2625">
            <v>872</v>
          </cell>
          <cell r="T2625" t="str">
            <v>標準</v>
          </cell>
        </row>
        <row r="2626">
          <cell r="F2626" t="str">
            <v>H0000108822</v>
          </cell>
          <cell r="I2626" t="str">
            <v>フレーム</v>
          </cell>
          <cell r="J2626" t="str">
            <v>S-Frame_WX-50_H_KKKK</v>
          </cell>
          <cell r="K2626" t="str">
            <v>S-フレーム_WX-50_H_KKKK</v>
          </cell>
          <cell r="L2626" t="str">
            <v>S-Frame</v>
          </cell>
          <cell r="M2626" t="str">
            <v>S-フレーム</v>
          </cell>
          <cell r="P2626" t="str">
            <v>31B0</v>
          </cell>
          <cell r="Q2626" t="str">
            <v>SS400</v>
          </cell>
          <cell r="R2626" t="str">
            <v>E388250B_01</v>
          </cell>
          <cell r="S2626">
            <v>872</v>
          </cell>
          <cell r="T2626" t="str">
            <v>標準</v>
          </cell>
        </row>
        <row r="2627">
          <cell r="F2627" t="str">
            <v>H0000108823</v>
          </cell>
          <cell r="I2627" t="str">
            <v>フレーム</v>
          </cell>
          <cell r="J2627" t="str">
            <v>S-Frame_WX-50_H_KKKK</v>
          </cell>
          <cell r="K2627" t="str">
            <v>S-フレーム_WX-50_H_KKKK</v>
          </cell>
          <cell r="L2627" t="str">
            <v>S-Frame</v>
          </cell>
          <cell r="M2627" t="str">
            <v>S-フレーム</v>
          </cell>
          <cell r="P2627" t="str">
            <v>31B0</v>
          </cell>
          <cell r="Q2627" t="str">
            <v>SS400</v>
          </cell>
          <cell r="R2627" t="str">
            <v>E388250B_01</v>
          </cell>
          <cell r="S2627">
            <v>872</v>
          </cell>
          <cell r="T2627" t="str">
            <v>標準</v>
          </cell>
        </row>
        <row r="2628">
          <cell r="F2628" t="str">
            <v>H0000108824</v>
          </cell>
          <cell r="I2628" t="str">
            <v>フレーム</v>
          </cell>
          <cell r="J2628" t="str">
            <v>S-Frame_WX-50_H_KKKK</v>
          </cell>
          <cell r="K2628" t="str">
            <v>S-フレーム_WX-50_H_KKKK</v>
          </cell>
          <cell r="L2628" t="str">
            <v>S-Frame</v>
          </cell>
          <cell r="M2628" t="str">
            <v>S-フレーム</v>
          </cell>
          <cell r="P2628" t="str">
            <v>31B0</v>
          </cell>
          <cell r="Q2628" t="str">
            <v>SS400</v>
          </cell>
          <cell r="R2628" t="str">
            <v>E388250B_01</v>
          </cell>
          <cell r="S2628">
            <v>872</v>
          </cell>
          <cell r="T2628" t="str">
            <v>標準</v>
          </cell>
        </row>
        <row r="2629">
          <cell r="F2629" t="str">
            <v>H0000108825</v>
          </cell>
          <cell r="I2629" t="str">
            <v>フレーム</v>
          </cell>
          <cell r="J2629" t="str">
            <v>S-Frame_WX-50_U_KKKK</v>
          </cell>
          <cell r="K2629" t="str">
            <v>S-フレーム_WX-50_U_KKKK</v>
          </cell>
          <cell r="L2629" t="str">
            <v>S-Frame</v>
          </cell>
          <cell r="M2629" t="str">
            <v>S-フレーム</v>
          </cell>
          <cell r="P2629" t="str">
            <v>31B0</v>
          </cell>
          <cell r="Q2629" t="str">
            <v>SS400</v>
          </cell>
          <cell r="R2629" t="str">
            <v>E388252A_01</v>
          </cell>
          <cell r="S2629">
            <v>1372</v>
          </cell>
          <cell r="T2629" t="str">
            <v>標準</v>
          </cell>
        </row>
        <row r="2630">
          <cell r="F2630" t="str">
            <v>H0000108826</v>
          </cell>
          <cell r="I2630" t="str">
            <v>フレーム</v>
          </cell>
          <cell r="J2630" t="str">
            <v>S-Frame_WX-50_U_KKKK</v>
          </cell>
          <cell r="K2630" t="str">
            <v>S-フレーム_WX-50_U_KKKK</v>
          </cell>
          <cell r="L2630" t="str">
            <v>S-Frame</v>
          </cell>
          <cell r="M2630" t="str">
            <v>S-フレーム</v>
          </cell>
          <cell r="P2630" t="str">
            <v>31B0</v>
          </cell>
          <cell r="Q2630" t="str">
            <v>SS400</v>
          </cell>
          <cell r="R2630" t="str">
            <v>E388252A_01</v>
          </cell>
          <cell r="S2630">
            <v>1372</v>
          </cell>
          <cell r="T2630" t="str">
            <v>標準</v>
          </cell>
        </row>
        <row r="2631">
          <cell r="F2631" t="str">
            <v>H0000108827</v>
          </cell>
          <cell r="I2631" t="str">
            <v>フレーム</v>
          </cell>
          <cell r="J2631" t="str">
            <v>S-Frame_WX-50_U_KKKK</v>
          </cell>
          <cell r="K2631" t="str">
            <v>S-フレーム_WX-50_U_KKKK</v>
          </cell>
          <cell r="L2631" t="str">
            <v>S-Frame</v>
          </cell>
          <cell r="M2631" t="str">
            <v>S-フレーム</v>
          </cell>
          <cell r="P2631" t="str">
            <v>31B0</v>
          </cell>
          <cell r="Q2631" t="str">
            <v>SS400</v>
          </cell>
          <cell r="R2631" t="str">
            <v>E388252A_01</v>
          </cell>
          <cell r="S2631">
            <v>1372</v>
          </cell>
          <cell r="T2631" t="str">
            <v>標準</v>
          </cell>
        </row>
        <row r="2632">
          <cell r="F2632" t="str">
            <v>H0000108828</v>
          </cell>
          <cell r="I2632" t="str">
            <v>フレーム</v>
          </cell>
          <cell r="J2632" t="str">
            <v>S-Frame_WX-50_U_KKKK</v>
          </cell>
          <cell r="K2632" t="str">
            <v>S-フレーム_WX-50_U_KKKK</v>
          </cell>
          <cell r="L2632" t="str">
            <v>S-Frame</v>
          </cell>
          <cell r="M2632" t="str">
            <v>S-フレーム</v>
          </cell>
          <cell r="P2632" t="str">
            <v>31B0</v>
          </cell>
          <cell r="Q2632" t="str">
            <v>SS400</v>
          </cell>
          <cell r="R2632" t="str">
            <v>E388252A_01</v>
          </cell>
          <cell r="S2632">
            <v>1372</v>
          </cell>
          <cell r="T2632" t="str">
            <v>標準</v>
          </cell>
        </row>
        <row r="2633">
          <cell r="F2633" t="str">
            <v>H0000108829</v>
          </cell>
          <cell r="I2633" t="str">
            <v>フレーム</v>
          </cell>
          <cell r="J2633" t="str">
            <v>S-Frame_WX-50_U_KKKK</v>
          </cell>
          <cell r="K2633" t="str">
            <v>S-フレーム_WX-50_U_KKKK</v>
          </cell>
          <cell r="L2633" t="str">
            <v>S-Frame</v>
          </cell>
          <cell r="M2633" t="str">
            <v>S-フレーム</v>
          </cell>
          <cell r="P2633" t="str">
            <v>31B0</v>
          </cell>
          <cell r="Q2633" t="str">
            <v>SS400</v>
          </cell>
          <cell r="R2633" t="str">
            <v>E388252A_01</v>
          </cell>
          <cell r="S2633">
            <v>1372</v>
          </cell>
          <cell r="T2633" t="str">
            <v>標準</v>
          </cell>
        </row>
        <row r="2634">
          <cell r="F2634" t="str">
            <v>H0000108830</v>
          </cell>
          <cell r="I2634" t="str">
            <v>フレーム</v>
          </cell>
          <cell r="J2634" t="str">
            <v>S-Frame_WX-50_U_KKKK</v>
          </cell>
          <cell r="K2634" t="str">
            <v>S-フレーム_WX-50_U_KKKK</v>
          </cell>
          <cell r="L2634" t="str">
            <v>S-Frame</v>
          </cell>
          <cell r="M2634" t="str">
            <v>S-フレーム</v>
          </cell>
          <cell r="P2634" t="str">
            <v>31B0</v>
          </cell>
          <cell r="Q2634" t="str">
            <v>SS400</v>
          </cell>
          <cell r="R2634" t="str">
            <v>E388252A_01</v>
          </cell>
          <cell r="S2634">
            <v>1372</v>
          </cell>
          <cell r="T2634" t="str">
            <v>標準</v>
          </cell>
        </row>
        <row r="2635">
          <cell r="F2635" t="str">
            <v>H0000108831</v>
          </cell>
          <cell r="I2635" t="str">
            <v>フレーム</v>
          </cell>
          <cell r="J2635" t="str">
            <v>S-Frame_WX-50_U_KKKK</v>
          </cell>
          <cell r="K2635" t="str">
            <v>S-フレーム_WX-50_U_KKKK</v>
          </cell>
          <cell r="L2635" t="str">
            <v>S-Frame</v>
          </cell>
          <cell r="M2635" t="str">
            <v>S-フレーム</v>
          </cell>
          <cell r="P2635" t="str">
            <v>31B0</v>
          </cell>
          <cell r="Q2635" t="str">
            <v>SS400</v>
          </cell>
          <cell r="R2635" t="str">
            <v>E388252A_01</v>
          </cell>
          <cell r="S2635">
            <v>1372</v>
          </cell>
          <cell r="T2635" t="str">
            <v>標準</v>
          </cell>
        </row>
        <row r="2636">
          <cell r="F2636" t="str">
            <v>H0000108832</v>
          </cell>
          <cell r="I2636" t="str">
            <v>フレーム</v>
          </cell>
          <cell r="J2636" t="str">
            <v>S-Frame_WX-50_U_KKKK</v>
          </cell>
          <cell r="K2636" t="str">
            <v>S-フレーム_WX-50_U_KKKK</v>
          </cell>
          <cell r="L2636" t="str">
            <v>S-Frame</v>
          </cell>
          <cell r="M2636" t="str">
            <v>S-フレーム</v>
          </cell>
          <cell r="P2636" t="str">
            <v>31B0</v>
          </cell>
          <cell r="Q2636" t="str">
            <v>SS400</v>
          </cell>
          <cell r="R2636" t="str">
            <v>E388252A_01</v>
          </cell>
          <cell r="S2636">
            <v>1372</v>
          </cell>
          <cell r="T2636" t="str">
            <v>標準</v>
          </cell>
        </row>
        <row r="2637">
          <cell r="F2637" t="str">
            <v>H0000108833</v>
          </cell>
          <cell r="I2637" t="str">
            <v>フレーム</v>
          </cell>
          <cell r="J2637" t="str">
            <v>S-Frame_WX-50_U_KKKK</v>
          </cell>
          <cell r="K2637" t="str">
            <v>S-フレーム_WX-50_U_KKKK</v>
          </cell>
          <cell r="L2637" t="str">
            <v>S-Frame</v>
          </cell>
          <cell r="M2637" t="str">
            <v>S-フレーム</v>
          </cell>
          <cell r="P2637" t="str">
            <v>31B0</v>
          </cell>
          <cell r="Q2637" t="str">
            <v>SS400</v>
          </cell>
          <cell r="R2637" t="str">
            <v>E388252A_01</v>
          </cell>
          <cell r="S2637">
            <v>1372</v>
          </cell>
          <cell r="T2637" t="str">
            <v>標準</v>
          </cell>
        </row>
        <row r="2638">
          <cell r="F2638" t="str">
            <v>H0000108834</v>
          </cell>
          <cell r="I2638" t="str">
            <v>フレーム</v>
          </cell>
          <cell r="J2638" t="str">
            <v>S-Frame_GasCutting_WX-50_U_1234</v>
          </cell>
          <cell r="K2638" t="str">
            <v>S-フレーム_ガス溶断_WX-50_U_1234</v>
          </cell>
          <cell r="L2638" t="str">
            <v>S-Frame</v>
          </cell>
          <cell r="M2638" t="str">
            <v>S-フレーム</v>
          </cell>
          <cell r="N2638" t="str">
            <v>GasCutting</v>
          </cell>
          <cell r="O2638" t="str">
            <v>ガス溶断</v>
          </cell>
          <cell r="P2638" t="str">
            <v>31B0</v>
          </cell>
          <cell r="Q2638" t="str">
            <v>SS400</v>
          </cell>
          <cell r="R2638" t="str">
            <v>E388252A_01</v>
          </cell>
          <cell r="S2638">
            <v>1372</v>
          </cell>
          <cell r="T2638" t="str">
            <v>標準</v>
          </cell>
        </row>
        <row r="2639">
          <cell r="F2639" t="str">
            <v>H0000108835</v>
          </cell>
          <cell r="I2639" t="str">
            <v>フレーム</v>
          </cell>
          <cell r="J2639" t="str">
            <v>S-Frame_WX-50_U_KKKK</v>
          </cell>
          <cell r="K2639" t="str">
            <v>S-フレーム_WX-50_U_KKKK</v>
          </cell>
          <cell r="L2639" t="str">
            <v>S-Frame</v>
          </cell>
          <cell r="M2639" t="str">
            <v>S-フレーム</v>
          </cell>
          <cell r="P2639" t="str">
            <v>31B0</v>
          </cell>
          <cell r="Q2639" t="str">
            <v>SS400</v>
          </cell>
          <cell r="R2639" t="str">
            <v>E388252B_01</v>
          </cell>
          <cell r="S2639">
            <v>1372</v>
          </cell>
          <cell r="T2639" t="str">
            <v>標準</v>
          </cell>
        </row>
        <row r="2640">
          <cell r="F2640" t="str">
            <v>H0000108836</v>
          </cell>
          <cell r="I2640" t="str">
            <v>フレーム</v>
          </cell>
          <cell r="J2640" t="str">
            <v>S-Frame_WX-50_U_KKKK</v>
          </cell>
          <cell r="K2640" t="str">
            <v>S-フレーム_WX-50_U_KKKK</v>
          </cell>
          <cell r="L2640" t="str">
            <v>S-Frame</v>
          </cell>
          <cell r="M2640" t="str">
            <v>S-フレーム</v>
          </cell>
          <cell r="P2640" t="str">
            <v>31B0</v>
          </cell>
          <cell r="Q2640" t="str">
            <v>SS400</v>
          </cell>
          <cell r="R2640" t="str">
            <v>E388252B_01</v>
          </cell>
          <cell r="S2640">
            <v>1372</v>
          </cell>
          <cell r="T2640" t="str">
            <v>標準</v>
          </cell>
        </row>
        <row r="2641">
          <cell r="F2641" t="str">
            <v>H0000108837</v>
          </cell>
          <cell r="I2641" t="str">
            <v>フレーム</v>
          </cell>
          <cell r="J2641" t="str">
            <v>S-Frame_WX-50_U_KKKK</v>
          </cell>
          <cell r="K2641" t="str">
            <v>S-フレーム_WX-50_U_KKKK</v>
          </cell>
          <cell r="L2641" t="str">
            <v>S-Frame</v>
          </cell>
          <cell r="M2641" t="str">
            <v>S-フレーム</v>
          </cell>
          <cell r="P2641" t="str">
            <v>31B0</v>
          </cell>
          <cell r="Q2641" t="str">
            <v>SS400</v>
          </cell>
          <cell r="R2641" t="str">
            <v>E388252B_01</v>
          </cell>
          <cell r="S2641">
            <v>1372</v>
          </cell>
          <cell r="T2641" t="str">
            <v>標準</v>
          </cell>
        </row>
        <row r="2642">
          <cell r="F2642" t="str">
            <v>H0000108838</v>
          </cell>
          <cell r="I2642" t="str">
            <v>フレーム</v>
          </cell>
          <cell r="J2642" t="str">
            <v>S-Frame_WX-50_U_KKKK</v>
          </cell>
          <cell r="K2642" t="str">
            <v>S-フレーム_WX-50_U_KKKK</v>
          </cell>
          <cell r="L2642" t="str">
            <v>S-Frame</v>
          </cell>
          <cell r="M2642" t="str">
            <v>S-フレーム</v>
          </cell>
          <cell r="P2642" t="str">
            <v>31B0</v>
          </cell>
          <cell r="Q2642" t="str">
            <v>SS400</v>
          </cell>
          <cell r="R2642" t="str">
            <v>E388252B_01</v>
          </cell>
          <cell r="S2642">
            <v>1372</v>
          </cell>
          <cell r="T2642" t="str">
            <v>標準</v>
          </cell>
        </row>
        <row r="2643">
          <cell r="F2643" t="str">
            <v>H0000108839</v>
          </cell>
          <cell r="I2643" t="str">
            <v>フレーム</v>
          </cell>
          <cell r="J2643" t="str">
            <v>S-Frame_WX-50_U_KKKK</v>
          </cell>
          <cell r="K2643" t="str">
            <v>S-フレーム_WX-50_U_KKKK</v>
          </cell>
          <cell r="L2643" t="str">
            <v>S-Frame</v>
          </cell>
          <cell r="M2643" t="str">
            <v>S-フレーム</v>
          </cell>
          <cell r="P2643" t="str">
            <v>31B0</v>
          </cell>
          <cell r="Q2643" t="str">
            <v>SS400</v>
          </cell>
          <cell r="R2643" t="str">
            <v>E388252B_01</v>
          </cell>
          <cell r="S2643">
            <v>1372</v>
          </cell>
          <cell r="T2643" t="str">
            <v>標準</v>
          </cell>
        </row>
        <row r="2644">
          <cell r="F2644" t="str">
            <v>H0000108840</v>
          </cell>
          <cell r="I2644" t="str">
            <v>フレーム</v>
          </cell>
          <cell r="J2644" t="str">
            <v>S-Frame_WX-50_U_KKKK</v>
          </cell>
          <cell r="K2644" t="str">
            <v>S-フレーム_WX-50_U_KKKK</v>
          </cell>
          <cell r="L2644" t="str">
            <v>S-Frame</v>
          </cell>
          <cell r="M2644" t="str">
            <v>S-フレーム</v>
          </cell>
          <cell r="P2644" t="str">
            <v>31B0</v>
          </cell>
          <cell r="Q2644" t="str">
            <v>SS400</v>
          </cell>
          <cell r="R2644" t="str">
            <v>E388252B_01</v>
          </cell>
          <cell r="S2644">
            <v>1372</v>
          </cell>
          <cell r="T2644" t="str">
            <v>標準</v>
          </cell>
        </row>
        <row r="2645">
          <cell r="F2645" t="str">
            <v>H0000108841</v>
          </cell>
          <cell r="I2645" t="str">
            <v>フレーム</v>
          </cell>
          <cell r="J2645" t="str">
            <v>S-Frame_WX-50_U_KKKK</v>
          </cell>
          <cell r="K2645" t="str">
            <v>S-フレーム_WX-50_U_KKKK</v>
          </cell>
          <cell r="L2645" t="str">
            <v>S-Frame</v>
          </cell>
          <cell r="M2645" t="str">
            <v>S-フレーム</v>
          </cell>
          <cell r="P2645" t="str">
            <v>31B0</v>
          </cell>
          <cell r="Q2645" t="str">
            <v>SS400</v>
          </cell>
          <cell r="R2645" t="str">
            <v>E388252B_01</v>
          </cell>
          <cell r="S2645">
            <v>1372</v>
          </cell>
          <cell r="T2645" t="str">
            <v>標準</v>
          </cell>
        </row>
        <row r="2646">
          <cell r="F2646" t="str">
            <v>H0000108842</v>
          </cell>
          <cell r="I2646" t="str">
            <v>フレーム</v>
          </cell>
          <cell r="J2646" t="str">
            <v>S-Frame_WX-50_U_KKKK</v>
          </cell>
          <cell r="K2646" t="str">
            <v>S-フレーム_WX-50_U_KKKK</v>
          </cell>
          <cell r="L2646" t="str">
            <v>S-Frame</v>
          </cell>
          <cell r="M2646" t="str">
            <v>S-フレーム</v>
          </cell>
          <cell r="P2646" t="str">
            <v>31B0</v>
          </cell>
          <cell r="Q2646" t="str">
            <v>SS400</v>
          </cell>
          <cell r="R2646" t="str">
            <v>E388252B_01</v>
          </cell>
          <cell r="S2646">
            <v>1372</v>
          </cell>
          <cell r="T2646" t="str">
            <v>標準</v>
          </cell>
        </row>
        <row r="2647">
          <cell r="F2647" t="str">
            <v>H0000108843</v>
          </cell>
          <cell r="I2647" t="str">
            <v>フレーム</v>
          </cell>
          <cell r="J2647" t="str">
            <v>S-Frame_WX-50_U_KKKK</v>
          </cell>
          <cell r="K2647" t="str">
            <v>S-フレーム_WX-50_U_KKKK</v>
          </cell>
          <cell r="L2647" t="str">
            <v>S-Frame</v>
          </cell>
          <cell r="M2647" t="str">
            <v>S-フレーム</v>
          </cell>
          <cell r="P2647" t="str">
            <v>31B0</v>
          </cell>
          <cell r="Q2647" t="str">
            <v>SS400</v>
          </cell>
          <cell r="R2647" t="str">
            <v>E388252B_01</v>
          </cell>
          <cell r="S2647">
            <v>1372</v>
          </cell>
          <cell r="T2647" t="str">
            <v>標準</v>
          </cell>
        </row>
        <row r="2648">
          <cell r="F2648" t="str">
            <v>H0000108844</v>
          </cell>
          <cell r="I2648" t="str">
            <v>フレーム</v>
          </cell>
          <cell r="J2648" t="str">
            <v>S-Frame_WX-50_S_KKKK</v>
          </cell>
          <cell r="K2648" t="str">
            <v>S-フレーム_WX-50_S_KKKK</v>
          </cell>
          <cell r="L2648" t="str">
            <v>S-Frame</v>
          </cell>
          <cell r="M2648" t="str">
            <v>S-フレーム</v>
          </cell>
          <cell r="P2648" t="str">
            <v>31B0</v>
          </cell>
          <cell r="Q2648" t="str">
            <v>SS400</v>
          </cell>
          <cell r="R2648" t="str">
            <v>E388254A_01</v>
          </cell>
          <cell r="S2648">
            <v>1426</v>
          </cell>
          <cell r="T2648" t="str">
            <v>標準</v>
          </cell>
        </row>
        <row r="2649">
          <cell r="F2649" t="str">
            <v>H0000108845</v>
          </cell>
          <cell r="I2649" t="str">
            <v>フレーム</v>
          </cell>
          <cell r="J2649" t="str">
            <v>S-Frame_WX-50_S_KKKK</v>
          </cell>
          <cell r="K2649" t="str">
            <v>S-フレーム_WX-50_S_KKKK</v>
          </cell>
          <cell r="L2649" t="str">
            <v>S-Frame</v>
          </cell>
          <cell r="M2649" t="str">
            <v>S-フレーム</v>
          </cell>
          <cell r="P2649" t="str">
            <v>31B0</v>
          </cell>
          <cell r="Q2649" t="str">
            <v>SS400</v>
          </cell>
          <cell r="R2649" t="str">
            <v>E388254A_01</v>
          </cell>
          <cell r="S2649">
            <v>1426</v>
          </cell>
          <cell r="T2649" t="str">
            <v>標準</v>
          </cell>
        </row>
        <row r="2650">
          <cell r="F2650" t="str">
            <v>H0000108846</v>
          </cell>
          <cell r="I2650" t="str">
            <v>フレーム</v>
          </cell>
          <cell r="J2650" t="str">
            <v>S-Frame_WX-50_S_KKKK</v>
          </cell>
          <cell r="K2650" t="str">
            <v>S-フレーム_WX-50_S_KKKK</v>
          </cell>
          <cell r="L2650" t="str">
            <v>S-Frame</v>
          </cell>
          <cell r="M2650" t="str">
            <v>S-フレーム</v>
          </cell>
          <cell r="P2650" t="str">
            <v>31B0</v>
          </cell>
          <cell r="Q2650" t="str">
            <v>SS400</v>
          </cell>
          <cell r="R2650" t="str">
            <v>E388254A_01</v>
          </cell>
          <cell r="S2650">
            <v>1426</v>
          </cell>
          <cell r="T2650" t="str">
            <v>標準</v>
          </cell>
        </row>
        <row r="2651">
          <cell r="F2651" t="str">
            <v>H0000108847</v>
          </cell>
          <cell r="I2651" t="str">
            <v>フレーム</v>
          </cell>
          <cell r="J2651" t="str">
            <v>S-Frame_WX-50_S_KKKK</v>
          </cell>
          <cell r="K2651" t="str">
            <v>S-フレーム_WX-50_S_KKKK</v>
          </cell>
          <cell r="L2651" t="str">
            <v>S-Frame</v>
          </cell>
          <cell r="M2651" t="str">
            <v>S-フレーム</v>
          </cell>
          <cell r="P2651" t="str">
            <v>31B0</v>
          </cell>
          <cell r="Q2651" t="str">
            <v>SS400</v>
          </cell>
          <cell r="R2651" t="str">
            <v>E388254A_01</v>
          </cell>
          <cell r="S2651">
            <v>1426</v>
          </cell>
          <cell r="T2651" t="str">
            <v>標準</v>
          </cell>
        </row>
        <row r="2652">
          <cell r="F2652" t="str">
            <v>H0000108848</v>
          </cell>
          <cell r="I2652" t="str">
            <v>フレーム</v>
          </cell>
          <cell r="J2652" t="str">
            <v>S-Frame_WX-50_S_KKKK</v>
          </cell>
          <cell r="K2652" t="str">
            <v>S-フレーム_WX-50_S_KKKK</v>
          </cell>
          <cell r="L2652" t="str">
            <v>S-Frame</v>
          </cell>
          <cell r="M2652" t="str">
            <v>S-フレーム</v>
          </cell>
          <cell r="P2652" t="str">
            <v>31B0</v>
          </cell>
          <cell r="Q2652" t="str">
            <v>SS400</v>
          </cell>
          <cell r="R2652" t="str">
            <v>E388254A_01</v>
          </cell>
          <cell r="S2652">
            <v>1426</v>
          </cell>
          <cell r="T2652" t="str">
            <v>標準</v>
          </cell>
        </row>
        <row r="2653">
          <cell r="F2653" t="str">
            <v>H0000108849</v>
          </cell>
          <cell r="I2653" t="str">
            <v>フレーム</v>
          </cell>
          <cell r="J2653" t="str">
            <v>S-Frame_WX-50_S_KKKK</v>
          </cell>
          <cell r="K2653" t="str">
            <v>S-フレーム_WX-50_S_KKKK</v>
          </cell>
          <cell r="L2653" t="str">
            <v>S-Frame</v>
          </cell>
          <cell r="M2653" t="str">
            <v>S-フレーム</v>
          </cell>
          <cell r="P2653" t="str">
            <v>31B0</v>
          </cell>
          <cell r="Q2653" t="str">
            <v>SS400</v>
          </cell>
          <cell r="R2653" t="str">
            <v>E388254A_01</v>
          </cell>
          <cell r="S2653">
            <v>1426</v>
          </cell>
          <cell r="T2653" t="str">
            <v>標準</v>
          </cell>
        </row>
        <row r="2654">
          <cell r="F2654" t="str">
            <v>H0000108850</v>
          </cell>
          <cell r="I2654" t="str">
            <v>フレーム</v>
          </cell>
          <cell r="J2654" t="str">
            <v>S-Frame_WX-50_S_KKKK</v>
          </cell>
          <cell r="K2654" t="str">
            <v>S-フレーム_WX-50_S_KKKK</v>
          </cell>
          <cell r="L2654" t="str">
            <v>S-Frame</v>
          </cell>
          <cell r="M2654" t="str">
            <v>S-フレーム</v>
          </cell>
          <cell r="P2654" t="str">
            <v>31B0</v>
          </cell>
          <cell r="Q2654" t="str">
            <v>SS400</v>
          </cell>
          <cell r="R2654" t="str">
            <v>E388254A_01</v>
          </cell>
          <cell r="S2654">
            <v>1426</v>
          </cell>
          <cell r="T2654" t="str">
            <v>標準</v>
          </cell>
        </row>
        <row r="2655">
          <cell r="F2655" t="str">
            <v>H0000108851</v>
          </cell>
          <cell r="I2655" t="str">
            <v>フレーム</v>
          </cell>
          <cell r="J2655" t="str">
            <v>S-Frame_WX-50_S_KKKK</v>
          </cell>
          <cell r="K2655" t="str">
            <v>S-フレーム_WX-50_S_KKKK</v>
          </cell>
          <cell r="L2655" t="str">
            <v>S-Frame</v>
          </cell>
          <cell r="M2655" t="str">
            <v>S-フレーム</v>
          </cell>
          <cell r="P2655" t="str">
            <v>31B0</v>
          </cell>
          <cell r="Q2655" t="str">
            <v>SS400</v>
          </cell>
          <cell r="R2655" t="str">
            <v>E388254A_01</v>
          </cell>
          <cell r="S2655">
            <v>1426</v>
          </cell>
          <cell r="T2655" t="str">
            <v>標準</v>
          </cell>
        </row>
        <row r="2656">
          <cell r="F2656" t="str">
            <v>H0000108852</v>
          </cell>
          <cell r="I2656" t="str">
            <v>フレーム</v>
          </cell>
          <cell r="J2656" t="str">
            <v>S-Frame_WX-50_S_KKKK</v>
          </cell>
          <cell r="K2656" t="str">
            <v>S-フレーム_WX-50_S_KKKK</v>
          </cell>
          <cell r="L2656" t="str">
            <v>S-Frame</v>
          </cell>
          <cell r="M2656" t="str">
            <v>S-フレーム</v>
          </cell>
          <cell r="P2656" t="str">
            <v>31B0</v>
          </cell>
          <cell r="Q2656" t="str">
            <v>SS400</v>
          </cell>
          <cell r="R2656" t="str">
            <v>E388254A_01</v>
          </cell>
          <cell r="S2656">
            <v>1426</v>
          </cell>
          <cell r="T2656" t="str">
            <v>標準</v>
          </cell>
        </row>
        <row r="2657">
          <cell r="F2657" t="str">
            <v>H0000108853</v>
          </cell>
          <cell r="I2657" t="str">
            <v>フレーム</v>
          </cell>
          <cell r="J2657" t="str">
            <v>S-Frame_GasCutting_WX-50_S_1234</v>
          </cell>
          <cell r="K2657" t="str">
            <v>S-フレーム_ガス溶断_WX-50_S_1234</v>
          </cell>
          <cell r="L2657" t="str">
            <v>S-Frame</v>
          </cell>
          <cell r="M2657" t="str">
            <v>S-フレーム</v>
          </cell>
          <cell r="N2657" t="str">
            <v>GasCutting</v>
          </cell>
          <cell r="O2657" t="str">
            <v>ガス溶断</v>
          </cell>
          <cell r="P2657" t="str">
            <v>31B0</v>
          </cell>
          <cell r="Q2657" t="str">
            <v>SS400</v>
          </cell>
          <cell r="R2657" t="str">
            <v>E388254A_01</v>
          </cell>
          <cell r="S2657">
            <v>1426</v>
          </cell>
          <cell r="T2657" t="str">
            <v>標準</v>
          </cell>
        </row>
        <row r="2658">
          <cell r="F2658" t="str">
            <v>H0000108854</v>
          </cell>
          <cell r="I2658" t="str">
            <v>フレーム</v>
          </cell>
          <cell r="J2658" t="str">
            <v>S-Frame_WX-50_S_KKKK</v>
          </cell>
          <cell r="K2658" t="str">
            <v>S-フレーム_WX-50_S_KKKK</v>
          </cell>
          <cell r="L2658" t="str">
            <v>S-Frame</v>
          </cell>
          <cell r="M2658" t="str">
            <v>S-フレーム</v>
          </cell>
          <cell r="P2658" t="str">
            <v>31B0</v>
          </cell>
          <cell r="Q2658" t="str">
            <v>SS400</v>
          </cell>
          <cell r="R2658" t="str">
            <v>E388254B_01</v>
          </cell>
          <cell r="S2658">
            <v>1426</v>
          </cell>
          <cell r="T2658" t="str">
            <v>標準</v>
          </cell>
        </row>
        <row r="2659">
          <cell r="F2659" t="str">
            <v>H0000108855</v>
          </cell>
          <cell r="I2659" t="str">
            <v>フレーム</v>
          </cell>
          <cell r="J2659" t="str">
            <v>S-Frame_WX-50_S_KKKK</v>
          </cell>
          <cell r="K2659" t="str">
            <v>S-フレーム_WX-50_S_KKKK</v>
          </cell>
          <cell r="L2659" t="str">
            <v>S-Frame</v>
          </cell>
          <cell r="M2659" t="str">
            <v>S-フレーム</v>
          </cell>
          <cell r="P2659" t="str">
            <v>31B0</v>
          </cell>
          <cell r="Q2659" t="str">
            <v>SS400</v>
          </cell>
          <cell r="R2659" t="str">
            <v>E388254B_01</v>
          </cell>
          <cell r="S2659">
            <v>1426</v>
          </cell>
          <cell r="T2659" t="str">
            <v>標準</v>
          </cell>
        </row>
        <row r="2660">
          <cell r="F2660" t="str">
            <v>H0000108856</v>
          </cell>
          <cell r="I2660" t="str">
            <v>フレーム</v>
          </cell>
          <cell r="J2660" t="str">
            <v>S-Frame_WX-50_S_KKKK</v>
          </cell>
          <cell r="K2660" t="str">
            <v>S-フレーム_WX-50_S_KKKK</v>
          </cell>
          <cell r="L2660" t="str">
            <v>S-Frame</v>
          </cell>
          <cell r="M2660" t="str">
            <v>S-フレーム</v>
          </cell>
          <cell r="P2660" t="str">
            <v>31B0</v>
          </cell>
          <cell r="Q2660" t="str">
            <v>SS400</v>
          </cell>
          <cell r="R2660" t="str">
            <v>E388254B_01</v>
          </cell>
          <cell r="S2660">
            <v>1426</v>
          </cell>
          <cell r="T2660" t="str">
            <v>標準</v>
          </cell>
        </row>
        <row r="2661">
          <cell r="F2661" t="str">
            <v>H0000108857</v>
          </cell>
          <cell r="I2661" t="str">
            <v>フレーム</v>
          </cell>
          <cell r="J2661" t="str">
            <v>S-Frame_WX-50_S_KKKK</v>
          </cell>
          <cell r="K2661" t="str">
            <v>S-フレーム_WX-50_S_KKKK</v>
          </cell>
          <cell r="L2661" t="str">
            <v>S-Frame</v>
          </cell>
          <cell r="M2661" t="str">
            <v>S-フレーム</v>
          </cell>
          <cell r="P2661" t="str">
            <v>31B0</v>
          </cell>
          <cell r="Q2661" t="str">
            <v>SS400</v>
          </cell>
          <cell r="R2661" t="str">
            <v>E388254B_01</v>
          </cell>
          <cell r="S2661">
            <v>1426</v>
          </cell>
          <cell r="T2661" t="str">
            <v>標準</v>
          </cell>
        </row>
        <row r="2662">
          <cell r="F2662" t="str">
            <v>H0000108858</v>
          </cell>
          <cell r="I2662" t="str">
            <v>フレーム</v>
          </cell>
          <cell r="J2662" t="str">
            <v>S-Frame_WX-50_S_KKKK</v>
          </cell>
          <cell r="K2662" t="str">
            <v>S-フレーム_WX-50_S_KKKK</v>
          </cell>
          <cell r="L2662" t="str">
            <v>S-Frame</v>
          </cell>
          <cell r="M2662" t="str">
            <v>S-フレーム</v>
          </cell>
          <cell r="P2662" t="str">
            <v>31B0</v>
          </cell>
          <cell r="Q2662" t="str">
            <v>SS400</v>
          </cell>
          <cell r="R2662" t="str">
            <v>E388254B_01</v>
          </cell>
          <cell r="S2662">
            <v>1426</v>
          </cell>
          <cell r="T2662" t="str">
            <v>標準</v>
          </cell>
        </row>
        <row r="2663">
          <cell r="F2663" t="str">
            <v>H0000108859</v>
          </cell>
          <cell r="I2663" t="str">
            <v>フレーム</v>
          </cell>
          <cell r="J2663" t="str">
            <v>S-Frame_WX-50_S_KKKK</v>
          </cell>
          <cell r="K2663" t="str">
            <v>S-フレーム_WX-50_S_KKKK</v>
          </cell>
          <cell r="L2663" t="str">
            <v>S-Frame</v>
          </cell>
          <cell r="M2663" t="str">
            <v>S-フレーム</v>
          </cell>
          <cell r="P2663" t="str">
            <v>31B0</v>
          </cell>
          <cell r="Q2663" t="str">
            <v>SS400</v>
          </cell>
          <cell r="R2663" t="str">
            <v>E388254B_01</v>
          </cell>
          <cell r="S2663">
            <v>1426</v>
          </cell>
          <cell r="T2663" t="str">
            <v>標準</v>
          </cell>
        </row>
        <row r="2664">
          <cell r="F2664" t="str">
            <v>H0000108860</v>
          </cell>
          <cell r="I2664" t="str">
            <v>フレーム</v>
          </cell>
          <cell r="J2664" t="str">
            <v>S-Frame_WX-50_S_KKKK</v>
          </cell>
          <cell r="K2664" t="str">
            <v>S-フレーム_WX-50_S_KKKK</v>
          </cell>
          <cell r="L2664" t="str">
            <v>S-Frame</v>
          </cell>
          <cell r="M2664" t="str">
            <v>S-フレーム</v>
          </cell>
          <cell r="P2664" t="str">
            <v>31B0</v>
          </cell>
          <cell r="Q2664" t="str">
            <v>SS400</v>
          </cell>
          <cell r="R2664" t="str">
            <v>E388254B_01</v>
          </cell>
          <cell r="S2664">
            <v>1426</v>
          </cell>
          <cell r="T2664" t="str">
            <v>標準</v>
          </cell>
        </row>
        <row r="2665">
          <cell r="F2665" t="str">
            <v>H0000108861</v>
          </cell>
          <cell r="I2665" t="str">
            <v>フレーム</v>
          </cell>
          <cell r="J2665" t="str">
            <v>S-Frame_WX-50_S_KKKK</v>
          </cell>
          <cell r="K2665" t="str">
            <v>S-フレーム_WX-50_S_KKKK</v>
          </cell>
          <cell r="L2665" t="str">
            <v>S-Frame</v>
          </cell>
          <cell r="M2665" t="str">
            <v>S-フレーム</v>
          </cell>
          <cell r="P2665" t="str">
            <v>31B0</v>
          </cell>
          <cell r="Q2665" t="str">
            <v>SS400</v>
          </cell>
          <cell r="R2665" t="str">
            <v>E388254B_01</v>
          </cell>
          <cell r="S2665">
            <v>1426</v>
          </cell>
          <cell r="T2665" t="str">
            <v>標準</v>
          </cell>
        </row>
        <row r="2666">
          <cell r="F2666" t="str">
            <v>H0000108862</v>
          </cell>
          <cell r="I2666" t="str">
            <v>フレーム</v>
          </cell>
          <cell r="J2666" t="str">
            <v>S-Frame_WX-50_S_KKKK</v>
          </cell>
          <cell r="K2666" t="str">
            <v>S-フレーム_WX-50_S_KKKK</v>
          </cell>
          <cell r="L2666" t="str">
            <v>S-Frame</v>
          </cell>
          <cell r="M2666" t="str">
            <v>S-フレーム</v>
          </cell>
          <cell r="P2666" t="str">
            <v>31B0</v>
          </cell>
          <cell r="Q2666" t="str">
            <v>SS400</v>
          </cell>
          <cell r="R2666" t="str">
            <v>E388254B_01</v>
          </cell>
          <cell r="S2666">
            <v>1426</v>
          </cell>
          <cell r="T2666" t="str">
            <v>標準</v>
          </cell>
        </row>
        <row r="2667">
          <cell r="F2667" t="str">
            <v>H0000108863</v>
          </cell>
          <cell r="I2667" t="str">
            <v>フレーム</v>
          </cell>
          <cell r="J2667" t="str">
            <v>S-Frame_WX-50_S_KKKK</v>
          </cell>
          <cell r="K2667" t="str">
            <v>S-フレーム_WX-50_S_KKKK</v>
          </cell>
          <cell r="L2667" t="str">
            <v>S-Frame</v>
          </cell>
          <cell r="M2667" t="str">
            <v>S-フレーム</v>
          </cell>
          <cell r="P2667" t="str">
            <v>31B0</v>
          </cell>
          <cell r="Q2667" t="str">
            <v>SS400</v>
          </cell>
          <cell r="R2667" t="str">
            <v>E388256A_01</v>
          </cell>
          <cell r="S2667">
            <v>1426</v>
          </cell>
          <cell r="T2667" t="str">
            <v>標準</v>
          </cell>
        </row>
        <row r="2668">
          <cell r="F2668" t="str">
            <v>H0000108864</v>
          </cell>
          <cell r="I2668" t="str">
            <v>フレーム</v>
          </cell>
          <cell r="J2668" t="str">
            <v>S-Frame_WX-50_S_KKKK</v>
          </cell>
          <cell r="K2668" t="str">
            <v>S-フレーム_WX-50_S_KKKK</v>
          </cell>
          <cell r="L2668" t="str">
            <v>S-Frame</v>
          </cell>
          <cell r="M2668" t="str">
            <v>S-フレーム</v>
          </cell>
          <cell r="P2668" t="str">
            <v>31B0</v>
          </cell>
          <cell r="Q2668" t="str">
            <v>SS400</v>
          </cell>
          <cell r="R2668" t="str">
            <v>E388256A_01</v>
          </cell>
          <cell r="S2668">
            <v>1426</v>
          </cell>
          <cell r="T2668" t="str">
            <v>標準</v>
          </cell>
        </row>
        <row r="2669">
          <cell r="F2669" t="str">
            <v>H0000108865</v>
          </cell>
          <cell r="I2669" t="str">
            <v>フレーム</v>
          </cell>
          <cell r="J2669" t="str">
            <v>S-Frame_WX-50_S_KKKK</v>
          </cell>
          <cell r="K2669" t="str">
            <v>S-フレーム_WX-50_S_KKKK</v>
          </cell>
          <cell r="L2669" t="str">
            <v>S-Frame</v>
          </cell>
          <cell r="M2669" t="str">
            <v>S-フレーム</v>
          </cell>
          <cell r="P2669" t="str">
            <v>31B0</v>
          </cell>
          <cell r="Q2669" t="str">
            <v>SS400</v>
          </cell>
          <cell r="R2669" t="str">
            <v>E388256A_01</v>
          </cell>
          <cell r="S2669">
            <v>1426</v>
          </cell>
          <cell r="T2669" t="str">
            <v>標準</v>
          </cell>
        </row>
        <row r="2670">
          <cell r="F2670" t="str">
            <v>H0000108866</v>
          </cell>
          <cell r="I2670" t="str">
            <v>フレーム</v>
          </cell>
          <cell r="J2670" t="str">
            <v>S-Frame_WX-50_S_KKKK</v>
          </cell>
          <cell r="K2670" t="str">
            <v>S-フレーム_WX-50_S_KKKK</v>
          </cell>
          <cell r="L2670" t="str">
            <v>S-Frame</v>
          </cell>
          <cell r="M2670" t="str">
            <v>S-フレーム</v>
          </cell>
          <cell r="P2670" t="str">
            <v>31B0</v>
          </cell>
          <cell r="Q2670" t="str">
            <v>SS400</v>
          </cell>
          <cell r="R2670" t="str">
            <v>E388256A_01</v>
          </cell>
          <cell r="S2670">
            <v>1426</v>
          </cell>
          <cell r="T2670" t="str">
            <v>標準</v>
          </cell>
        </row>
        <row r="2671">
          <cell r="F2671" t="str">
            <v>H0000108867</v>
          </cell>
          <cell r="I2671" t="str">
            <v>フレーム</v>
          </cell>
          <cell r="J2671" t="str">
            <v>S-Frame_WX-50_S_KKKK</v>
          </cell>
          <cell r="K2671" t="str">
            <v>S-フレーム_WX-50_S_KKKK</v>
          </cell>
          <cell r="L2671" t="str">
            <v>S-Frame</v>
          </cell>
          <cell r="M2671" t="str">
            <v>S-フレーム</v>
          </cell>
          <cell r="P2671" t="str">
            <v>31B0</v>
          </cell>
          <cell r="Q2671" t="str">
            <v>SS400</v>
          </cell>
          <cell r="R2671" t="str">
            <v>E388256B_01</v>
          </cell>
          <cell r="S2671">
            <v>1426</v>
          </cell>
          <cell r="T2671" t="str">
            <v>標準</v>
          </cell>
        </row>
        <row r="2672">
          <cell r="F2672" t="str">
            <v>H0000108868</v>
          </cell>
          <cell r="I2672" t="str">
            <v>フレーム</v>
          </cell>
          <cell r="J2672" t="str">
            <v>S-Frame_WX-50_S_KKKK</v>
          </cell>
          <cell r="K2672" t="str">
            <v>S-フレーム_WX-50_S_KKKK</v>
          </cell>
          <cell r="L2672" t="str">
            <v>S-Frame</v>
          </cell>
          <cell r="M2672" t="str">
            <v>S-フレーム</v>
          </cell>
          <cell r="P2672" t="str">
            <v>31B0</v>
          </cell>
          <cell r="Q2672" t="str">
            <v>SS400</v>
          </cell>
          <cell r="R2672" t="str">
            <v>E388256B_01</v>
          </cell>
          <cell r="S2672">
            <v>1426</v>
          </cell>
          <cell r="T2672" t="str">
            <v>標準</v>
          </cell>
        </row>
        <row r="2673">
          <cell r="F2673" t="str">
            <v>H0000108869</v>
          </cell>
          <cell r="I2673" t="str">
            <v>フレーム</v>
          </cell>
          <cell r="J2673" t="str">
            <v>S-Frame_WX-50_S_KKKK</v>
          </cell>
          <cell r="K2673" t="str">
            <v>S-フレーム_WX-50_S_KKKK</v>
          </cell>
          <cell r="L2673" t="str">
            <v>S-Frame</v>
          </cell>
          <cell r="M2673" t="str">
            <v>S-フレーム</v>
          </cell>
          <cell r="P2673" t="str">
            <v>31B0</v>
          </cell>
          <cell r="Q2673" t="str">
            <v>SS400</v>
          </cell>
          <cell r="R2673" t="str">
            <v>E388256B_01</v>
          </cell>
          <cell r="S2673">
            <v>1426</v>
          </cell>
          <cell r="T2673" t="str">
            <v>標準</v>
          </cell>
        </row>
        <row r="2674">
          <cell r="F2674" t="str">
            <v>H0000108870</v>
          </cell>
          <cell r="I2674" t="str">
            <v>フレーム</v>
          </cell>
          <cell r="J2674" t="str">
            <v>S-Frame_WX-50_S_KKKK</v>
          </cell>
          <cell r="K2674" t="str">
            <v>S-フレーム_WX-50_S_KKKK</v>
          </cell>
          <cell r="L2674" t="str">
            <v>S-Frame</v>
          </cell>
          <cell r="M2674" t="str">
            <v>S-フレーム</v>
          </cell>
          <cell r="P2674" t="str">
            <v>31B0</v>
          </cell>
          <cell r="Q2674" t="str">
            <v>SS400</v>
          </cell>
          <cell r="R2674" t="str">
            <v>E388256B_01</v>
          </cell>
          <cell r="S2674">
            <v>1426</v>
          </cell>
          <cell r="T2674" t="str">
            <v>標準</v>
          </cell>
        </row>
        <row r="2675">
          <cell r="F2675" t="str">
            <v>H0000171757</v>
          </cell>
          <cell r="I2675" t="str">
            <v>フレーム</v>
          </cell>
          <cell r="J2675" t="str">
            <v>S-Frame_RX-70_N_NNNN</v>
          </cell>
          <cell r="K2675" t="str">
            <v>S-フレーム_RX-70_N_NNNN</v>
          </cell>
          <cell r="L2675" t="str">
            <v>S-Frame</v>
          </cell>
          <cell r="M2675" t="str">
            <v>S-フレーム</v>
          </cell>
          <cell r="P2675" t="str">
            <v>31B0</v>
          </cell>
          <cell r="Q2675" t="str">
            <v>SS400</v>
          </cell>
          <cell r="R2675" t="str">
            <v>E388305_01</v>
          </cell>
          <cell r="S2675">
            <v>727</v>
          </cell>
          <cell r="T2675" t="str">
            <v>標準</v>
          </cell>
        </row>
        <row r="2676">
          <cell r="F2676" t="str">
            <v>H0000171758</v>
          </cell>
          <cell r="I2676" t="str">
            <v>フレーム</v>
          </cell>
          <cell r="J2676" t="str">
            <v>S-Frame_RX-70_N_NNNN</v>
          </cell>
          <cell r="K2676" t="str">
            <v>S-フレーム_RX-70_N_NNNN</v>
          </cell>
          <cell r="L2676" t="str">
            <v>S-Frame</v>
          </cell>
          <cell r="M2676" t="str">
            <v>S-フレーム</v>
          </cell>
          <cell r="P2676" t="str">
            <v>31B0</v>
          </cell>
          <cell r="Q2676" t="str">
            <v>SS400</v>
          </cell>
          <cell r="R2676" t="str">
            <v>E388305_01</v>
          </cell>
          <cell r="S2676">
            <v>727</v>
          </cell>
          <cell r="T2676" t="str">
            <v>標準</v>
          </cell>
        </row>
        <row r="2677">
          <cell r="F2677" t="str">
            <v>H0000171759</v>
          </cell>
          <cell r="I2677" t="str">
            <v>フレーム</v>
          </cell>
          <cell r="J2677" t="str">
            <v>S-Frame_RX-70_N_NNNN</v>
          </cell>
          <cell r="K2677" t="str">
            <v>S-フレーム_RX-70_N_NNNN</v>
          </cell>
          <cell r="L2677" t="str">
            <v>S-Frame</v>
          </cell>
          <cell r="M2677" t="str">
            <v>S-フレーム</v>
          </cell>
          <cell r="P2677" t="str">
            <v>31B0</v>
          </cell>
          <cell r="Q2677" t="str">
            <v>SS400</v>
          </cell>
          <cell r="R2677" t="str">
            <v>E388305_01</v>
          </cell>
          <cell r="S2677">
            <v>727</v>
          </cell>
          <cell r="T2677" t="str">
            <v>標準</v>
          </cell>
        </row>
        <row r="2678">
          <cell r="F2678" t="str">
            <v>H0000171760</v>
          </cell>
          <cell r="I2678" t="str">
            <v>フレーム</v>
          </cell>
          <cell r="J2678" t="str">
            <v>S-Frame_RX-70_N_NNNN</v>
          </cell>
          <cell r="K2678" t="str">
            <v>S-フレーム_RX-70_N_NNNN</v>
          </cell>
          <cell r="L2678" t="str">
            <v>S-Frame</v>
          </cell>
          <cell r="M2678" t="str">
            <v>S-フレーム</v>
          </cell>
          <cell r="P2678" t="str">
            <v>31B0</v>
          </cell>
          <cell r="Q2678" t="str">
            <v>SS400</v>
          </cell>
          <cell r="R2678" t="str">
            <v>E388305_01</v>
          </cell>
          <cell r="S2678">
            <v>727</v>
          </cell>
          <cell r="T2678" t="str">
            <v>標準</v>
          </cell>
        </row>
        <row r="2679">
          <cell r="F2679" t="str">
            <v>H0000171761</v>
          </cell>
          <cell r="I2679" t="str">
            <v>フレーム</v>
          </cell>
          <cell r="J2679" t="str">
            <v>S-Frame_RX-70_N_TTTT</v>
          </cell>
          <cell r="K2679" t="str">
            <v>S-フレーム_RX-70_N_TTTT</v>
          </cell>
          <cell r="L2679" t="str">
            <v>S-Frame</v>
          </cell>
          <cell r="M2679" t="str">
            <v>S-フレーム</v>
          </cell>
          <cell r="P2679" t="str">
            <v>31B0</v>
          </cell>
          <cell r="Q2679" t="str">
            <v>SS400</v>
          </cell>
          <cell r="R2679" t="str">
            <v>E388305_01</v>
          </cell>
          <cell r="S2679">
            <v>727</v>
          </cell>
          <cell r="T2679" t="str">
            <v>標準</v>
          </cell>
        </row>
        <row r="2680">
          <cell r="F2680" t="str">
            <v>H0000171762</v>
          </cell>
          <cell r="I2680" t="str">
            <v>フレーム</v>
          </cell>
          <cell r="J2680" t="str">
            <v>S-Frame_RX-70_N_TTTT</v>
          </cell>
          <cell r="K2680" t="str">
            <v>S-フレーム_RX-70_N_TTTT</v>
          </cell>
          <cell r="L2680" t="str">
            <v>S-Frame</v>
          </cell>
          <cell r="M2680" t="str">
            <v>S-フレーム</v>
          </cell>
          <cell r="P2680" t="str">
            <v>31B0</v>
          </cell>
          <cell r="Q2680" t="str">
            <v>SS400</v>
          </cell>
          <cell r="R2680" t="str">
            <v>E388305_01</v>
          </cell>
          <cell r="S2680">
            <v>727</v>
          </cell>
          <cell r="T2680" t="str">
            <v>標準</v>
          </cell>
        </row>
        <row r="2681">
          <cell r="F2681" t="str">
            <v>H0000171763</v>
          </cell>
          <cell r="I2681" t="str">
            <v>フレーム</v>
          </cell>
          <cell r="J2681" t="str">
            <v>S-Frame_RX-70_N_TTTT</v>
          </cell>
          <cell r="K2681" t="str">
            <v>S-フレーム_RX-70_N_TTTT</v>
          </cell>
          <cell r="L2681" t="str">
            <v>S-Frame</v>
          </cell>
          <cell r="M2681" t="str">
            <v>S-フレーム</v>
          </cell>
          <cell r="P2681" t="str">
            <v>31B0</v>
          </cell>
          <cell r="Q2681" t="str">
            <v>SS400</v>
          </cell>
          <cell r="R2681" t="str">
            <v>E388305_01</v>
          </cell>
          <cell r="S2681">
            <v>727</v>
          </cell>
          <cell r="T2681" t="str">
            <v>標準</v>
          </cell>
        </row>
        <row r="2682">
          <cell r="F2682" t="str">
            <v>H0000171764</v>
          </cell>
          <cell r="I2682" t="str">
            <v>フレーム</v>
          </cell>
          <cell r="J2682" t="str">
            <v>S-Frame_RX-70_N_TTTT</v>
          </cell>
          <cell r="K2682" t="str">
            <v>S-フレーム_RX-70_N_TTTT</v>
          </cell>
          <cell r="L2682" t="str">
            <v>S-Frame</v>
          </cell>
          <cell r="M2682" t="str">
            <v>S-フレーム</v>
          </cell>
          <cell r="P2682" t="str">
            <v>31B0</v>
          </cell>
          <cell r="Q2682" t="str">
            <v>SS400</v>
          </cell>
          <cell r="R2682" t="str">
            <v>E388305_01</v>
          </cell>
          <cell r="S2682">
            <v>727</v>
          </cell>
          <cell r="T2682" t="str">
            <v>標準</v>
          </cell>
        </row>
        <row r="2683">
          <cell r="F2683" t="str">
            <v>H0000171765</v>
          </cell>
          <cell r="I2683" t="str">
            <v>フレーム</v>
          </cell>
          <cell r="J2683" t="str">
            <v>S-Frame_RX-70_N_TKTK</v>
          </cell>
          <cell r="K2683" t="str">
            <v>S-フレーム_RX-70_N_TKTK</v>
          </cell>
          <cell r="L2683" t="str">
            <v>S-Frame</v>
          </cell>
          <cell r="M2683" t="str">
            <v>S-フレーム</v>
          </cell>
          <cell r="P2683" t="str">
            <v>31B0</v>
          </cell>
          <cell r="Q2683" t="str">
            <v>SS400</v>
          </cell>
          <cell r="R2683" t="str">
            <v>E388305_01</v>
          </cell>
          <cell r="S2683">
            <v>727</v>
          </cell>
          <cell r="T2683" t="str">
            <v>標準</v>
          </cell>
        </row>
        <row r="2684">
          <cell r="F2684" t="str">
            <v>H0000171766</v>
          </cell>
          <cell r="I2684" t="str">
            <v>フレーム</v>
          </cell>
          <cell r="J2684" t="str">
            <v>S-Frame_RX-70_N_TKTK</v>
          </cell>
          <cell r="K2684" t="str">
            <v>S-フレーム_RX-70_N_TKTK</v>
          </cell>
          <cell r="L2684" t="str">
            <v>S-Frame</v>
          </cell>
          <cell r="M2684" t="str">
            <v>S-フレーム</v>
          </cell>
          <cell r="P2684" t="str">
            <v>31B0</v>
          </cell>
          <cell r="Q2684" t="str">
            <v>SS400</v>
          </cell>
          <cell r="R2684" t="str">
            <v>E388305_01</v>
          </cell>
          <cell r="S2684">
            <v>727</v>
          </cell>
          <cell r="T2684" t="str">
            <v>標準</v>
          </cell>
        </row>
        <row r="2685">
          <cell r="F2685" t="str">
            <v>H0000171767</v>
          </cell>
          <cell r="I2685" t="str">
            <v>フレーム</v>
          </cell>
          <cell r="J2685" t="str">
            <v>S-Frame_RX-70_N_TKTK</v>
          </cell>
          <cell r="K2685" t="str">
            <v>S-フレーム_RX-70_N_TKTK</v>
          </cell>
          <cell r="L2685" t="str">
            <v>S-Frame</v>
          </cell>
          <cell r="M2685" t="str">
            <v>S-フレーム</v>
          </cell>
          <cell r="P2685" t="str">
            <v>31B0</v>
          </cell>
          <cell r="Q2685" t="str">
            <v>SS400</v>
          </cell>
          <cell r="R2685" t="str">
            <v>E388305_01</v>
          </cell>
          <cell r="S2685">
            <v>727</v>
          </cell>
          <cell r="T2685" t="str">
            <v>標準</v>
          </cell>
        </row>
        <row r="2686">
          <cell r="F2686" t="str">
            <v>H0000171768</v>
          </cell>
          <cell r="I2686" t="str">
            <v>フレーム</v>
          </cell>
          <cell r="J2686" t="str">
            <v>S-Frame_RX-70_N_TKTK</v>
          </cell>
          <cell r="K2686" t="str">
            <v>S-フレーム_RX-70_N_TKTK</v>
          </cell>
          <cell r="L2686" t="str">
            <v>S-Frame</v>
          </cell>
          <cell r="M2686" t="str">
            <v>S-フレーム</v>
          </cell>
          <cell r="P2686" t="str">
            <v>31B0</v>
          </cell>
          <cell r="Q2686" t="str">
            <v>SS400</v>
          </cell>
          <cell r="R2686" t="str">
            <v>E388305_01</v>
          </cell>
          <cell r="S2686">
            <v>727</v>
          </cell>
          <cell r="T2686" t="str">
            <v>標準</v>
          </cell>
        </row>
        <row r="2687">
          <cell r="F2687" t="str">
            <v>H0000171769</v>
          </cell>
          <cell r="I2687" t="str">
            <v>フレーム</v>
          </cell>
          <cell r="J2687" t="str">
            <v>S-Frame_RX-70_N_KTKT</v>
          </cell>
          <cell r="K2687" t="str">
            <v>S-フレーム_RX-70_N_KTKT</v>
          </cell>
          <cell r="L2687" t="str">
            <v>S-Frame</v>
          </cell>
          <cell r="M2687" t="str">
            <v>S-フレーム</v>
          </cell>
          <cell r="P2687" t="str">
            <v>31B0</v>
          </cell>
          <cell r="Q2687" t="str">
            <v>SS400</v>
          </cell>
          <cell r="R2687" t="str">
            <v>E388305_01</v>
          </cell>
          <cell r="S2687">
            <v>727</v>
          </cell>
          <cell r="T2687" t="str">
            <v>標準</v>
          </cell>
        </row>
        <row r="2688">
          <cell r="F2688" t="str">
            <v>H0000171770</v>
          </cell>
          <cell r="I2688" t="str">
            <v>フレーム</v>
          </cell>
          <cell r="J2688" t="str">
            <v>S-Frame_RX-70_N_KTKT</v>
          </cell>
          <cell r="K2688" t="str">
            <v>S-フレーム_RX-70_N_KTKT</v>
          </cell>
          <cell r="L2688" t="str">
            <v>S-Frame</v>
          </cell>
          <cell r="M2688" t="str">
            <v>S-フレーム</v>
          </cell>
          <cell r="P2688" t="str">
            <v>31B0</v>
          </cell>
          <cell r="Q2688" t="str">
            <v>SS400</v>
          </cell>
          <cell r="R2688" t="str">
            <v>E388305_01</v>
          </cell>
          <cell r="S2688">
            <v>727</v>
          </cell>
          <cell r="T2688" t="str">
            <v>標準</v>
          </cell>
        </row>
        <row r="2689">
          <cell r="F2689" t="str">
            <v>H0000171771</v>
          </cell>
          <cell r="I2689" t="str">
            <v>フレーム</v>
          </cell>
          <cell r="J2689" t="str">
            <v>S-Frame_RX-70_N_KTKT</v>
          </cell>
          <cell r="K2689" t="str">
            <v>S-フレーム_RX-70_N_KTKT</v>
          </cell>
          <cell r="L2689" t="str">
            <v>S-Frame</v>
          </cell>
          <cell r="M2689" t="str">
            <v>S-フレーム</v>
          </cell>
          <cell r="P2689" t="str">
            <v>31B0</v>
          </cell>
          <cell r="Q2689" t="str">
            <v>SS400</v>
          </cell>
          <cell r="R2689" t="str">
            <v>E388305_01</v>
          </cell>
          <cell r="S2689">
            <v>727</v>
          </cell>
          <cell r="T2689" t="str">
            <v>標準</v>
          </cell>
        </row>
        <row r="2690">
          <cell r="F2690" t="str">
            <v>H0000171772</v>
          </cell>
          <cell r="I2690" t="str">
            <v>フレーム</v>
          </cell>
          <cell r="J2690" t="str">
            <v>S-Frame_RX-70_N_KTKT</v>
          </cell>
          <cell r="K2690" t="str">
            <v>S-フレーム_RX-70_N_KTKT</v>
          </cell>
          <cell r="L2690" t="str">
            <v>S-Frame</v>
          </cell>
          <cell r="M2690" t="str">
            <v>S-フレーム</v>
          </cell>
          <cell r="P2690" t="str">
            <v>31B0</v>
          </cell>
          <cell r="Q2690" t="str">
            <v>SS400</v>
          </cell>
          <cell r="R2690" t="str">
            <v>E388305_01</v>
          </cell>
          <cell r="S2690">
            <v>727</v>
          </cell>
          <cell r="T2690" t="str">
            <v>標準</v>
          </cell>
        </row>
        <row r="2691">
          <cell r="F2691" t="str">
            <v>H0000171773</v>
          </cell>
          <cell r="I2691" t="str">
            <v>フレーム</v>
          </cell>
          <cell r="J2691" t="str">
            <v>S-Frame_RX-70_N_KKKK</v>
          </cell>
          <cell r="K2691" t="str">
            <v>S-フレーム_RX-70_N_KKKK</v>
          </cell>
          <cell r="L2691" t="str">
            <v>S-Frame</v>
          </cell>
          <cell r="M2691" t="str">
            <v>S-フレーム</v>
          </cell>
          <cell r="P2691" t="str">
            <v>31B0</v>
          </cell>
          <cell r="Q2691" t="str">
            <v>SS400</v>
          </cell>
          <cell r="R2691" t="str">
            <v>E388305_01</v>
          </cell>
          <cell r="S2691">
            <v>727</v>
          </cell>
          <cell r="T2691" t="str">
            <v>標準</v>
          </cell>
        </row>
        <row r="2692">
          <cell r="F2692" t="str">
            <v>H0000171774</v>
          </cell>
          <cell r="I2692" t="str">
            <v>フレーム</v>
          </cell>
          <cell r="J2692" t="str">
            <v>S-Frame_RX-70_N_KKKK</v>
          </cell>
          <cell r="K2692" t="str">
            <v>S-フレーム_RX-70_N_KKKK</v>
          </cell>
          <cell r="L2692" t="str">
            <v>S-Frame</v>
          </cell>
          <cell r="M2692" t="str">
            <v>S-フレーム</v>
          </cell>
          <cell r="P2692" t="str">
            <v>31B0</v>
          </cell>
          <cell r="Q2692" t="str">
            <v>SS400</v>
          </cell>
          <cell r="R2692" t="str">
            <v>E388305_01</v>
          </cell>
          <cell r="S2692">
            <v>727</v>
          </cell>
          <cell r="T2692" t="str">
            <v>標準</v>
          </cell>
        </row>
        <row r="2693">
          <cell r="F2693" t="str">
            <v>H0000171775</v>
          </cell>
          <cell r="I2693" t="str">
            <v>フレーム</v>
          </cell>
          <cell r="J2693" t="str">
            <v>S-Frame_RX-70_N_KKKK</v>
          </cell>
          <cell r="K2693" t="str">
            <v>S-フレーム_RX-70_N_KKKK</v>
          </cell>
          <cell r="L2693" t="str">
            <v>S-Frame</v>
          </cell>
          <cell r="M2693" t="str">
            <v>S-フレーム</v>
          </cell>
          <cell r="P2693" t="str">
            <v>31B0</v>
          </cell>
          <cell r="Q2693" t="str">
            <v>SS400</v>
          </cell>
          <cell r="R2693" t="str">
            <v>E388305_01</v>
          </cell>
          <cell r="S2693">
            <v>727</v>
          </cell>
          <cell r="T2693" t="str">
            <v>標準</v>
          </cell>
        </row>
        <row r="2694">
          <cell r="F2694" t="str">
            <v>H0000171776</v>
          </cell>
          <cell r="I2694" t="str">
            <v>フレーム</v>
          </cell>
          <cell r="J2694" t="str">
            <v>S-Frame_RX-70_N_KKKK</v>
          </cell>
          <cell r="K2694" t="str">
            <v>S-フレーム_RX-70_N_KKKK</v>
          </cell>
          <cell r="L2694" t="str">
            <v>S-Frame</v>
          </cell>
          <cell r="M2694" t="str">
            <v>S-フレーム</v>
          </cell>
          <cell r="P2694" t="str">
            <v>31B0</v>
          </cell>
          <cell r="Q2694" t="str">
            <v>SS400</v>
          </cell>
          <cell r="R2694" t="str">
            <v>E388305_01</v>
          </cell>
          <cell r="S2694">
            <v>727</v>
          </cell>
          <cell r="T2694" t="str">
            <v>標準</v>
          </cell>
        </row>
        <row r="2695">
          <cell r="F2695" t="str">
            <v>H0000171777</v>
          </cell>
          <cell r="I2695" t="str">
            <v>フレーム</v>
          </cell>
          <cell r="J2695" t="str">
            <v>S-Frame_GasCutting_RX-70_N_KKKK</v>
          </cell>
          <cell r="K2695" t="str">
            <v>S-フレーム_ガス溶断_RX-70_N_KKKK</v>
          </cell>
          <cell r="L2695" t="str">
            <v>S-Frame</v>
          </cell>
          <cell r="M2695" t="str">
            <v>S-フレーム</v>
          </cell>
          <cell r="N2695" t="str">
            <v>GasCutting</v>
          </cell>
          <cell r="O2695" t="str">
            <v>ガス溶断</v>
          </cell>
          <cell r="P2695" t="str">
            <v>31B0</v>
          </cell>
          <cell r="Q2695" t="str">
            <v>SS400</v>
          </cell>
          <cell r="R2695" t="str">
            <v>E388305_01</v>
          </cell>
          <cell r="S2695">
            <v>727</v>
          </cell>
          <cell r="T2695" t="str">
            <v>標準</v>
          </cell>
        </row>
        <row r="2696">
          <cell r="F2696" t="str">
            <v>H0000171778</v>
          </cell>
          <cell r="I2696" t="str">
            <v>フレーム</v>
          </cell>
          <cell r="J2696" t="str">
            <v>S-Frame_GasCutting_RX-70_N_TTTT</v>
          </cell>
          <cell r="K2696" t="str">
            <v>S-フレーム_ガス溶断_RX-70_N_TTTT</v>
          </cell>
          <cell r="L2696" t="str">
            <v>S-Frame</v>
          </cell>
          <cell r="M2696" t="str">
            <v>S-フレーム</v>
          </cell>
          <cell r="N2696" t="str">
            <v>GasCutting</v>
          </cell>
          <cell r="O2696" t="str">
            <v>ガス溶断</v>
          </cell>
          <cell r="P2696" t="str">
            <v>31B0</v>
          </cell>
          <cell r="Q2696" t="str">
            <v>SS400</v>
          </cell>
          <cell r="R2696" t="str">
            <v>E388305_01</v>
          </cell>
          <cell r="S2696">
            <v>727</v>
          </cell>
          <cell r="T2696" t="str">
            <v>標準</v>
          </cell>
        </row>
        <row r="2697">
          <cell r="F2697" t="str">
            <v>H0000171779</v>
          </cell>
          <cell r="I2697" t="str">
            <v>フレーム</v>
          </cell>
          <cell r="J2697" t="str">
            <v>S-Frame_GasCutting_RX-70_N_TKTK</v>
          </cell>
          <cell r="K2697" t="str">
            <v>S-フレーム_ガス溶断_RX-70_N_TKTK</v>
          </cell>
          <cell r="L2697" t="str">
            <v>S-Frame</v>
          </cell>
          <cell r="M2697" t="str">
            <v>S-フレーム</v>
          </cell>
          <cell r="N2697" t="str">
            <v>GasCutting</v>
          </cell>
          <cell r="O2697" t="str">
            <v>ガス溶断</v>
          </cell>
          <cell r="P2697" t="str">
            <v>31B0</v>
          </cell>
          <cell r="Q2697" t="str">
            <v>SS400</v>
          </cell>
          <cell r="R2697" t="str">
            <v>E388305_01</v>
          </cell>
          <cell r="S2697">
            <v>727</v>
          </cell>
          <cell r="T2697" t="str">
            <v>標準</v>
          </cell>
        </row>
        <row r="2698">
          <cell r="F2698" t="str">
            <v>H0000171780</v>
          </cell>
          <cell r="I2698" t="str">
            <v>フレーム</v>
          </cell>
          <cell r="J2698" t="str">
            <v>S-Frame_GasCutting_RX-70_N_KTKT</v>
          </cell>
          <cell r="K2698" t="str">
            <v>S-フレーム_ガス溶断_RX-70_N_KTKT</v>
          </cell>
          <cell r="L2698" t="str">
            <v>S-Frame</v>
          </cell>
          <cell r="M2698" t="str">
            <v>S-フレーム</v>
          </cell>
          <cell r="N2698" t="str">
            <v>GasCutting</v>
          </cell>
          <cell r="O2698" t="str">
            <v>ガス溶断</v>
          </cell>
          <cell r="P2698" t="str">
            <v>31B0</v>
          </cell>
          <cell r="Q2698" t="str">
            <v>SS400</v>
          </cell>
          <cell r="R2698" t="str">
            <v>E388305_01</v>
          </cell>
          <cell r="S2698">
            <v>727</v>
          </cell>
          <cell r="T2698" t="str">
            <v>標準</v>
          </cell>
        </row>
        <row r="2699">
          <cell r="F2699" t="str">
            <v>H0000171781</v>
          </cell>
          <cell r="I2699" t="str">
            <v>フレーム</v>
          </cell>
          <cell r="J2699" t="str">
            <v>S-Frame_RX-70_H_NNNN</v>
          </cell>
          <cell r="K2699" t="str">
            <v>S-フレーム_RX-70_H_NNNN</v>
          </cell>
          <cell r="L2699" t="str">
            <v>S-Frame</v>
          </cell>
          <cell r="M2699" t="str">
            <v>S-フレーム</v>
          </cell>
          <cell r="P2699" t="str">
            <v>31B0</v>
          </cell>
          <cell r="Q2699" t="str">
            <v>SS400</v>
          </cell>
          <cell r="R2699" t="str">
            <v>E388306_01</v>
          </cell>
          <cell r="S2699">
            <v>727</v>
          </cell>
          <cell r="T2699" t="str">
            <v>標準</v>
          </cell>
        </row>
        <row r="2700">
          <cell r="F2700" t="str">
            <v>H0000171782</v>
          </cell>
          <cell r="I2700" t="str">
            <v>フレーム</v>
          </cell>
          <cell r="J2700" t="str">
            <v>S-Frame_RX-70_H_NNNN</v>
          </cell>
          <cell r="K2700" t="str">
            <v>S-フレーム_RX-70_H_NNNN</v>
          </cell>
          <cell r="L2700" t="str">
            <v>S-Frame</v>
          </cell>
          <cell r="M2700" t="str">
            <v>S-フレーム</v>
          </cell>
          <cell r="P2700" t="str">
            <v>31B0</v>
          </cell>
          <cell r="Q2700" t="str">
            <v>SS400</v>
          </cell>
          <cell r="R2700" t="str">
            <v>E388306_01</v>
          </cell>
          <cell r="S2700">
            <v>727</v>
          </cell>
          <cell r="T2700" t="str">
            <v>標準</v>
          </cell>
        </row>
        <row r="2701">
          <cell r="F2701" t="str">
            <v>H0000171783</v>
          </cell>
          <cell r="I2701" t="str">
            <v>フレーム</v>
          </cell>
          <cell r="J2701" t="str">
            <v>S-Frame_RX-70_H_NNNN</v>
          </cell>
          <cell r="K2701" t="str">
            <v>S-フレーム_RX-70_H_NNNN</v>
          </cell>
          <cell r="L2701" t="str">
            <v>S-Frame</v>
          </cell>
          <cell r="M2701" t="str">
            <v>S-フレーム</v>
          </cell>
          <cell r="P2701" t="str">
            <v>31B0</v>
          </cell>
          <cell r="Q2701" t="str">
            <v>SS400</v>
          </cell>
          <cell r="R2701" t="str">
            <v>E388306_01</v>
          </cell>
          <cell r="S2701">
            <v>727</v>
          </cell>
          <cell r="T2701" t="str">
            <v>標準</v>
          </cell>
        </row>
        <row r="2702">
          <cell r="F2702" t="str">
            <v>H0000171784</v>
          </cell>
          <cell r="I2702" t="str">
            <v>フレーム</v>
          </cell>
          <cell r="J2702" t="str">
            <v>S-Frame_RX-70_H_NNNN</v>
          </cell>
          <cell r="K2702" t="str">
            <v>S-フレーム_RX-70_H_NNNN</v>
          </cell>
          <cell r="L2702" t="str">
            <v>S-Frame</v>
          </cell>
          <cell r="M2702" t="str">
            <v>S-フレーム</v>
          </cell>
          <cell r="P2702" t="str">
            <v>31B0</v>
          </cell>
          <cell r="Q2702" t="str">
            <v>SS400</v>
          </cell>
          <cell r="R2702" t="str">
            <v>E388306_01</v>
          </cell>
          <cell r="S2702">
            <v>727</v>
          </cell>
          <cell r="T2702" t="str">
            <v>標準</v>
          </cell>
        </row>
        <row r="2703">
          <cell r="F2703" t="str">
            <v>H0000171785</v>
          </cell>
          <cell r="I2703" t="str">
            <v>フレーム</v>
          </cell>
          <cell r="J2703" t="str">
            <v>S-Frame_RX-70_H_TTTT</v>
          </cell>
          <cell r="K2703" t="str">
            <v>S-フレーム_RX-70_H_TTTT</v>
          </cell>
          <cell r="L2703" t="str">
            <v>S-Frame</v>
          </cell>
          <cell r="M2703" t="str">
            <v>S-フレーム</v>
          </cell>
          <cell r="P2703" t="str">
            <v>31B0</v>
          </cell>
          <cell r="Q2703" t="str">
            <v>SS400</v>
          </cell>
          <cell r="R2703" t="str">
            <v>E388306_01</v>
          </cell>
          <cell r="S2703">
            <v>727</v>
          </cell>
          <cell r="T2703" t="str">
            <v>標準</v>
          </cell>
        </row>
        <row r="2704">
          <cell r="F2704" t="str">
            <v>H0000171786</v>
          </cell>
          <cell r="I2704" t="str">
            <v>フレーム</v>
          </cell>
          <cell r="J2704" t="str">
            <v>S-Frame_RX-70_H_TTTT</v>
          </cell>
          <cell r="K2704" t="str">
            <v>S-フレーム_RX-70_H_TTTT</v>
          </cell>
          <cell r="L2704" t="str">
            <v>S-Frame</v>
          </cell>
          <cell r="M2704" t="str">
            <v>S-フレーム</v>
          </cell>
          <cell r="P2704" t="str">
            <v>31B0</v>
          </cell>
          <cell r="Q2704" t="str">
            <v>SS400</v>
          </cell>
          <cell r="R2704" t="str">
            <v>E388306_01</v>
          </cell>
          <cell r="S2704">
            <v>727</v>
          </cell>
          <cell r="T2704" t="str">
            <v>標準</v>
          </cell>
        </row>
        <row r="2705">
          <cell r="F2705" t="str">
            <v>H0000171787</v>
          </cell>
          <cell r="I2705" t="str">
            <v>フレーム</v>
          </cell>
          <cell r="J2705" t="str">
            <v>S-Frame_RX-70_H_TTTT</v>
          </cell>
          <cell r="K2705" t="str">
            <v>S-フレーム_RX-70_H_TTTT</v>
          </cell>
          <cell r="L2705" t="str">
            <v>S-Frame</v>
          </cell>
          <cell r="M2705" t="str">
            <v>S-フレーム</v>
          </cell>
          <cell r="P2705" t="str">
            <v>31B0</v>
          </cell>
          <cell r="Q2705" t="str">
            <v>SS400</v>
          </cell>
          <cell r="R2705" t="str">
            <v>E388306_01</v>
          </cell>
          <cell r="S2705">
            <v>727</v>
          </cell>
          <cell r="T2705" t="str">
            <v>標準</v>
          </cell>
        </row>
        <row r="2706">
          <cell r="F2706" t="str">
            <v>H0000171788</v>
          </cell>
          <cell r="I2706" t="str">
            <v>フレーム</v>
          </cell>
          <cell r="J2706" t="str">
            <v>S-Frame_RX-70_H_TTTT</v>
          </cell>
          <cell r="K2706" t="str">
            <v>S-フレーム_RX-70_H_TTTT</v>
          </cell>
          <cell r="L2706" t="str">
            <v>S-Frame</v>
          </cell>
          <cell r="M2706" t="str">
            <v>S-フレーム</v>
          </cell>
          <cell r="P2706" t="str">
            <v>31B0</v>
          </cell>
          <cell r="Q2706" t="str">
            <v>SS400</v>
          </cell>
          <cell r="R2706" t="str">
            <v>E388306_01</v>
          </cell>
          <cell r="S2706">
            <v>727</v>
          </cell>
          <cell r="T2706" t="str">
            <v>標準</v>
          </cell>
        </row>
        <row r="2707">
          <cell r="F2707" t="str">
            <v>H0000171789</v>
          </cell>
          <cell r="I2707" t="str">
            <v>フレーム</v>
          </cell>
          <cell r="J2707" t="str">
            <v>S-Frame_RX-70_H_TKTK</v>
          </cell>
          <cell r="K2707" t="str">
            <v>S-フレーム_RX-70_H_TKTK</v>
          </cell>
          <cell r="L2707" t="str">
            <v>S-Frame</v>
          </cell>
          <cell r="M2707" t="str">
            <v>S-フレーム</v>
          </cell>
          <cell r="P2707" t="str">
            <v>31B0</v>
          </cell>
          <cell r="Q2707" t="str">
            <v>SS400</v>
          </cell>
          <cell r="R2707" t="str">
            <v>E388306_01</v>
          </cell>
          <cell r="S2707">
            <v>727</v>
          </cell>
          <cell r="T2707" t="str">
            <v>標準</v>
          </cell>
        </row>
        <row r="2708">
          <cell r="F2708" t="str">
            <v>H0000171790</v>
          </cell>
          <cell r="I2708" t="str">
            <v>フレーム</v>
          </cell>
          <cell r="J2708" t="str">
            <v>S-Frame_RX-70_H_TKTK</v>
          </cell>
          <cell r="K2708" t="str">
            <v>S-フレーム_RX-70_H_TKTK</v>
          </cell>
          <cell r="L2708" t="str">
            <v>S-Frame</v>
          </cell>
          <cell r="M2708" t="str">
            <v>S-フレーム</v>
          </cell>
          <cell r="P2708" t="str">
            <v>31B0</v>
          </cell>
          <cell r="Q2708" t="str">
            <v>SS400</v>
          </cell>
          <cell r="R2708" t="str">
            <v>E388306_01</v>
          </cell>
          <cell r="S2708">
            <v>727</v>
          </cell>
          <cell r="T2708" t="str">
            <v>標準</v>
          </cell>
        </row>
        <row r="2709">
          <cell r="F2709" t="str">
            <v>H0000171791</v>
          </cell>
          <cell r="I2709" t="str">
            <v>フレーム</v>
          </cell>
          <cell r="J2709" t="str">
            <v>S-Frame_RX-70_H_TKTK</v>
          </cell>
          <cell r="K2709" t="str">
            <v>S-フレーム_RX-70_H_TKTK</v>
          </cell>
          <cell r="L2709" t="str">
            <v>S-Frame</v>
          </cell>
          <cell r="M2709" t="str">
            <v>S-フレーム</v>
          </cell>
          <cell r="P2709" t="str">
            <v>31B0</v>
          </cell>
          <cell r="Q2709" t="str">
            <v>SS400</v>
          </cell>
          <cell r="R2709" t="str">
            <v>E388306_01</v>
          </cell>
          <cell r="S2709">
            <v>727</v>
          </cell>
          <cell r="T2709" t="str">
            <v>標準</v>
          </cell>
        </row>
        <row r="2710">
          <cell r="F2710" t="str">
            <v>H0000171792</v>
          </cell>
          <cell r="I2710" t="str">
            <v>フレーム</v>
          </cell>
          <cell r="J2710" t="str">
            <v>S-Frame_RX-70_H_TKTK</v>
          </cell>
          <cell r="K2710" t="str">
            <v>S-フレーム_RX-70_H_TKTK</v>
          </cell>
          <cell r="L2710" t="str">
            <v>S-Frame</v>
          </cell>
          <cell r="M2710" t="str">
            <v>S-フレーム</v>
          </cell>
          <cell r="P2710" t="str">
            <v>31B0</v>
          </cell>
          <cell r="Q2710" t="str">
            <v>SS400</v>
          </cell>
          <cell r="R2710" t="str">
            <v>E388306_01</v>
          </cell>
          <cell r="S2710">
            <v>727</v>
          </cell>
          <cell r="T2710" t="str">
            <v>標準</v>
          </cell>
        </row>
        <row r="2711">
          <cell r="F2711" t="str">
            <v>H0000171793</v>
          </cell>
          <cell r="I2711" t="str">
            <v>フレーム</v>
          </cell>
          <cell r="J2711" t="str">
            <v>S-Frame_RX-70_H_KTKT</v>
          </cell>
          <cell r="K2711" t="str">
            <v>S-フレーム_RX-70_H_KTKT</v>
          </cell>
          <cell r="L2711" t="str">
            <v>S-Frame</v>
          </cell>
          <cell r="M2711" t="str">
            <v>S-フレーム</v>
          </cell>
          <cell r="P2711" t="str">
            <v>31B0</v>
          </cell>
          <cell r="Q2711" t="str">
            <v>SS400</v>
          </cell>
          <cell r="R2711" t="str">
            <v>E388306_01</v>
          </cell>
          <cell r="S2711">
            <v>727</v>
          </cell>
          <cell r="T2711" t="str">
            <v>標準</v>
          </cell>
        </row>
        <row r="2712">
          <cell r="F2712" t="str">
            <v>H0000171794</v>
          </cell>
          <cell r="I2712" t="str">
            <v>フレーム</v>
          </cell>
          <cell r="J2712" t="str">
            <v>S-Frame_RX-70_H_KTKT</v>
          </cell>
          <cell r="K2712" t="str">
            <v>S-フレーム_RX-70_H_KTKT</v>
          </cell>
          <cell r="L2712" t="str">
            <v>S-Frame</v>
          </cell>
          <cell r="M2712" t="str">
            <v>S-フレーム</v>
          </cell>
          <cell r="P2712" t="str">
            <v>31B0</v>
          </cell>
          <cell r="Q2712" t="str">
            <v>SS400</v>
          </cell>
          <cell r="R2712" t="str">
            <v>E388306_01</v>
          </cell>
          <cell r="S2712">
            <v>727</v>
          </cell>
          <cell r="T2712" t="str">
            <v>標準</v>
          </cell>
        </row>
        <row r="2713">
          <cell r="F2713" t="str">
            <v>H0000171795</v>
          </cell>
          <cell r="I2713" t="str">
            <v>フレーム</v>
          </cell>
          <cell r="J2713" t="str">
            <v>S-Frame_RX-70_H_KTKT</v>
          </cell>
          <cell r="K2713" t="str">
            <v>S-フレーム_RX-70_H_KTKT</v>
          </cell>
          <cell r="L2713" t="str">
            <v>S-Frame</v>
          </cell>
          <cell r="M2713" t="str">
            <v>S-フレーム</v>
          </cell>
          <cell r="P2713" t="str">
            <v>31B0</v>
          </cell>
          <cell r="Q2713" t="str">
            <v>SS400</v>
          </cell>
          <cell r="R2713" t="str">
            <v>E388306_01</v>
          </cell>
          <cell r="S2713">
            <v>727</v>
          </cell>
          <cell r="T2713" t="str">
            <v>標準</v>
          </cell>
        </row>
        <row r="2714">
          <cell r="F2714" t="str">
            <v>H0000171796</v>
          </cell>
          <cell r="I2714" t="str">
            <v>フレーム</v>
          </cell>
          <cell r="J2714" t="str">
            <v>S-Frame_RX-70_H_KTKT</v>
          </cell>
          <cell r="K2714" t="str">
            <v>S-フレーム_RX-70_H_KTKT</v>
          </cell>
          <cell r="L2714" t="str">
            <v>S-Frame</v>
          </cell>
          <cell r="M2714" t="str">
            <v>S-フレーム</v>
          </cell>
          <cell r="P2714" t="str">
            <v>31B0</v>
          </cell>
          <cell r="Q2714" t="str">
            <v>SS400</v>
          </cell>
          <cell r="R2714" t="str">
            <v>E388306_01</v>
          </cell>
          <cell r="S2714">
            <v>727</v>
          </cell>
          <cell r="T2714" t="str">
            <v>標準</v>
          </cell>
        </row>
        <row r="2715">
          <cell r="F2715" t="str">
            <v>H0000171797</v>
          </cell>
          <cell r="I2715" t="str">
            <v>フレーム</v>
          </cell>
          <cell r="J2715" t="str">
            <v>S-Frame_RX-70_H_KKKK</v>
          </cell>
          <cell r="K2715" t="str">
            <v>S-フレーム_RX-70_H_KKKK</v>
          </cell>
          <cell r="L2715" t="str">
            <v>S-Frame</v>
          </cell>
          <cell r="M2715" t="str">
            <v>S-フレーム</v>
          </cell>
          <cell r="P2715" t="str">
            <v>31B0</v>
          </cell>
          <cell r="Q2715" t="str">
            <v>SS400</v>
          </cell>
          <cell r="R2715" t="str">
            <v>E388306_01</v>
          </cell>
          <cell r="S2715">
            <v>727</v>
          </cell>
          <cell r="T2715" t="str">
            <v>標準</v>
          </cell>
        </row>
        <row r="2716">
          <cell r="F2716" t="str">
            <v>H0000171798</v>
          </cell>
          <cell r="I2716" t="str">
            <v>フレーム</v>
          </cell>
          <cell r="J2716" t="str">
            <v>S-Frame_RX-70_H_KKKK</v>
          </cell>
          <cell r="K2716" t="str">
            <v>S-フレーム_RX-70_H_KKKK</v>
          </cell>
          <cell r="L2716" t="str">
            <v>S-Frame</v>
          </cell>
          <cell r="M2716" t="str">
            <v>S-フレーム</v>
          </cell>
          <cell r="P2716" t="str">
            <v>31B0</v>
          </cell>
          <cell r="Q2716" t="str">
            <v>SS400</v>
          </cell>
          <cell r="R2716" t="str">
            <v>E388306_01</v>
          </cell>
          <cell r="S2716">
            <v>727</v>
          </cell>
          <cell r="T2716" t="str">
            <v>標準</v>
          </cell>
        </row>
        <row r="2717">
          <cell r="F2717" t="str">
            <v>H0000171799</v>
          </cell>
          <cell r="I2717" t="str">
            <v>フレーム</v>
          </cell>
          <cell r="J2717" t="str">
            <v>S-Frame_RX-70_H_KKKK</v>
          </cell>
          <cell r="K2717" t="str">
            <v>S-フレーム_RX-70_H_KKKK</v>
          </cell>
          <cell r="L2717" t="str">
            <v>S-Frame</v>
          </cell>
          <cell r="M2717" t="str">
            <v>S-フレーム</v>
          </cell>
          <cell r="P2717" t="str">
            <v>31B0</v>
          </cell>
          <cell r="Q2717" t="str">
            <v>SS400</v>
          </cell>
          <cell r="R2717" t="str">
            <v>E388306_01</v>
          </cell>
          <cell r="S2717">
            <v>727</v>
          </cell>
          <cell r="T2717" t="str">
            <v>標準</v>
          </cell>
        </row>
        <row r="2718">
          <cell r="F2718" t="str">
            <v>H0000171800</v>
          </cell>
          <cell r="I2718" t="str">
            <v>フレーム</v>
          </cell>
          <cell r="J2718" t="str">
            <v>S-Frame_RX-70_H_KKKK</v>
          </cell>
          <cell r="K2718" t="str">
            <v>S-フレーム_RX-70_H_KKKK</v>
          </cell>
          <cell r="L2718" t="str">
            <v>S-Frame</v>
          </cell>
          <cell r="M2718" t="str">
            <v>S-フレーム</v>
          </cell>
          <cell r="P2718" t="str">
            <v>31B0</v>
          </cell>
          <cell r="Q2718" t="str">
            <v>SS400</v>
          </cell>
          <cell r="R2718" t="str">
            <v>E388306_01</v>
          </cell>
          <cell r="S2718">
            <v>727</v>
          </cell>
          <cell r="T2718" t="str">
            <v>標準</v>
          </cell>
        </row>
        <row r="2719">
          <cell r="F2719" t="str">
            <v>H0000171801</v>
          </cell>
          <cell r="I2719" t="str">
            <v>フレーム</v>
          </cell>
          <cell r="J2719" t="str">
            <v>S-Frame_GasCutting_RX-70_H_KKKK</v>
          </cell>
          <cell r="K2719" t="str">
            <v>S-フレーム_ガス溶断_RX-70_H_KKKK</v>
          </cell>
          <cell r="L2719" t="str">
            <v>S-Frame</v>
          </cell>
          <cell r="M2719" t="str">
            <v>S-フレーム</v>
          </cell>
          <cell r="N2719" t="str">
            <v>GasCutting</v>
          </cell>
          <cell r="O2719" t="str">
            <v>ガス溶断</v>
          </cell>
          <cell r="P2719" t="str">
            <v>31B0</v>
          </cell>
          <cell r="Q2719" t="str">
            <v>SS400</v>
          </cell>
          <cell r="R2719" t="str">
            <v>E388306_01</v>
          </cell>
          <cell r="S2719">
            <v>727</v>
          </cell>
          <cell r="T2719" t="str">
            <v>標準</v>
          </cell>
        </row>
        <row r="2720">
          <cell r="F2720" t="str">
            <v>H0000171802</v>
          </cell>
          <cell r="I2720" t="str">
            <v>フレーム</v>
          </cell>
          <cell r="J2720" t="str">
            <v>S-Frame_GasCutting_RX-70_H_TTTT</v>
          </cell>
          <cell r="K2720" t="str">
            <v>S-フレーム_ガス溶断_RX-70_H_TTTT</v>
          </cell>
          <cell r="L2720" t="str">
            <v>S-Frame</v>
          </cell>
          <cell r="M2720" t="str">
            <v>S-フレーム</v>
          </cell>
          <cell r="N2720" t="str">
            <v>GasCutting</v>
          </cell>
          <cell r="O2720" t="str">
            <v>ガス溶断</v>
          </cell>
          <cell r="P2720" t="str">
            <v>31B0</v>
          </cell>
          <cell r="Q2720" t="str">
            <v>SS400</v>
          </cell>
          <cell r="R2720" t="str">
            <v>E388306_01</v>
          </cell>
          <cell r="S2720">
            <v>727</v>
          </cell>
          <cell r="T2720" t="str">
            <v>標準</v>
          </cell>
        </row>
        <row r="2721">
          <cell r="F2721" t="str">
            <v>H0000171803</v>
          </cell>
          <cell r="I2721" t="str">
            <v>フレーム</v>
          </cell>
          <cell r="J2721" t="str">
            <v>S-Frame_GasCutting_RX-70_H_TKTK</v>
          </cell>
          <cell r="K2721" t="str">
            <v>S-フレーム_ガス溶断_RX-70_H_TKTK</v>
          </cell>
          <cell r="L2721" t="str">
            <v>S-Frame</v>
          </cell>
          <cell r="M2721" t="str">
            <v>S-フレーム</v>
          </cell>
          <cell r="N2721" t="str">
            <v>GasCutting</v>
          </cell>
          <cell r="O2721" t="str">
            <v>ガス溶断</v>
          </cell>
          <cell r="P2721" t="str">
            <v>31B0</v>
          </cell>
          <cell r="Q2721" t="str">
            <v>SS400</v>
          </cell>
          <cell r="R2721" t="str">
            <v>E388306_01</v>
          </cell>
          <cell r="S2721">
            <v>727</v>
          </cell>
          <cell r="T2721" t="str">
            <v>標準</v>
          </cell>
        </row>
        <row r="2722">
          <cell r="F2722" t="str">
            <v>H0000171804</v>
          </cell>
          <cell r="I2722" t="str">
            <v>フレーム</v>
          </cell>
          <cell r="J2722" t="str">
            <v>S-Frame_GasCutting_RX-70_H_KTKT</v>
          </cell>
          <cell r="K2722" t="str">
            <v>S-フレーム_ガス溶断_RX-70_H_KTKT</v>
          </cell>
          <cell r="L2722" t="str">
            <v>S-Frame</v>
          </cell>
          <cell r="M2722" t="str">
            <v>S-フレーム</v>
          </cell>
          <cell r="N2722" t="str">
            <v>GasCutting</v>
          </cell>
          <cell r="O2722" t="str">
            <v>ガス溶断</v>
          </cell>
          <cell r="P2722" t="str">
            <v>31B0</v>
          </cell>
          <cell r="Q2722" t="str">
            <v>SS400</v>
          </cell>
          <cell r="R2722" t="str">
            <v>E388306_01</v>
          </cell>
          <cell r="S2722">
            <v>727</v>
          </cell>
          <cell r="T2722" t="str">
            <v>標準</v>
          </cell>
        </row>
        <row r="2723">
          <cell r="F2723" t="str">
            <v>H0000171805</v>
          </cell>
          <cell r="I2723" t="str">
            <v>フレーム</v>
          </cell>
          <cell r="J2723" t="str">
            <v>Rib_RX-70_N_W695,H120,T40</v>
          </cell>
          <cell r="K2723" t="str">
            <v>リブ_RX-70_N_W695,H120,T40</v>
          </cell>
          <cell r="L2723" t="str">
            <v>Rib</v>
          </cell>
          <cell r="M2723" t="str">
            <v>リブ</v>
          </cell>
          <cell r="P2723" t="str">
            <v>31B0</v>
          </cell>
          <cell r="Q2723" t="str">
            <v>SS400</v>
          </cell>
          <cell r="R2723" t="str">
            <v>E388306_02</v>
          </cell>
          <cell r="S2723">
            <v>25</v>
          </cell>
          <cell r="T2723" t="str">
            <v>標準</v>
          </cell>
        </row>
        <row r="2724">
          <cell r="F2724" t="str">
            <v>H0000173776</v>
          </cell>
          <cell r="I2724" t="str">
            <v>フレーム</v>
          </cell>
          <cell r="J2724" t="str">
            <v>S-Frame_SX-80S_N_NNNN</v>
          </cell>
          <cell r="K2724" t="str">
            <v>S-フレーム_SX-80S_N_NNNN</v>
          </cell>
          <cell r="L2724" t="str">
            <v>S-Frame</v>
          </cell>
          <cell r="M2724" t="str">
            <v>S-フレーム</v>
          </cell>
          <cell r="P2724" t="str">
            <v>31B0</v>
          </cell>
          <cell r="Q2724" t="str">
            <v>SS400</v>
          </cell>
          <cell r="R2724" t="str">
            <v>E387186_01</v>
          </cell>
          <cell r="S2724">
            <v>1070</v>
          </cell>
          <cell r="T2724" t="str">
            <v>標準</v>
          </cell>
        </row>
        <row r="2725">
          <cell r="F2725" t="str">
            <v>H0000173777</v>
          </cell>
          <cell r="I2725" t="str">
            <v>フレーム</v>
          </cell>
          <cell r="J2725" t="str">
            <v>S-Frame_SX-80S_N_NNNN</v>
          </cell>
          <cell r="K2725" t="str">
            <v>S-フレーム_SX-80S_N_NNNN</v>
          </cell>
          <cell r="L2725" t="str">
            <v>S-Frame</v>
          </cell>
          <cell r="M2725" t="str">
            <v>S-フレーム</v>
          </cell>
          <cell r="P2725" t="str">
            <v>31B0</v>
          </cell>
          <cell r="Q2725" t="str">
            <v>SS400</v>
          </cell>
          <cell r="R2725" t="str">
            <v>E387186_01</v>
          </cell>
          <cell r="S2725">
            <v>1070</v>
          </cell>
          <cell r="T2725" t="str">
            <v>標準</v>
          </cell>
        </row>
        <row r="2726">
          <cell r="F2726" t="str">
            <v>H0000173778</v>
          </cell>
          <cell r="I2726" t="str">
            <v>フレーム</v>
          </cell>
          <cell r="J2726" t="str">
            <v>S-Frame_SX-80S_N_NNNN</v>
          </cell>
          <cell r="K2726" t="str">
            <v>S-フレーム_SX-80S_N_NNNN</v>
          </cell>
          <cell r="L2726" t="str">
            <v>S-Frame</v>
          </cell>
          <cell r="M2726" t="str">
            <v>S-フレーム</v>
          </cell>
          <cell r="P2726" t="str">
            <v>31B0</v>
          </cell>
          <cell r="Q2726" t="str">
            <v>SS400</v>
          </cell>
          <cell r="R2726" t="str">
            <v>E387186_01</v>
          </cell>
          <cell r="S2726">
            <v>1070</v>
          </cell>
          <cell r="T2726" t="str">
            <v>標準</v>
          </cell>
        </row>
        <row r="2727">
          <cell r="F2727" t="str">
            <v>H0000173779</v>
          </cell>
          <cell r="I2727" t="str">
            <v>フレーム</v>
          </cell>
          <cell r="J2727" t="str">
            <v>S-Frame_SX-80S_N_NNNN</v>
          </cell>
          <cell r="K2727" t="str">
            <v>S-フレーム_SX-80S_N_NNNN</v>
          </cell>
          <cell r="L2727" t="str">
            <v>S-Frame</v>
          </cell>
          <cell r="M2727" t="str">
            <v>S-フレーム</v>
          </cell>
          <cell r="P2727" t="str">
            <v>31B0</v>
          </cell>
          <cell r="Q2727" t="str">
            <v>SS400</v>
          </cell>
          <cell r="R2727" t="str">
            <v>E387186_01</v>
          </cell>
          <cell r="S2727">
            <v>1070</v>
          </cell>
          <cell r="T2727" t="str">
            <v>標準</v>
          </cell>
        </row>
        <row r="2728">
          <cell r="F2728" t="str">
            <v>H0000173780</v>
          </cell>
          <cell r="I2728" t="str">
            <v>フレーム</v>
          </cell>
          <cell r="J2728" t="str">
            <v>S-Frame_SX-80S_N_NNNN</v>
          </cell>
          <cell r="K2728" t="str">
            <v>S-フレーム_SX-80S_N_NNNN</v>
          </cell>
          <cell r="L2728" t="str">
            <v>S-Frame</v>
          </cell>
          <cell r="M2728" t="str">
            <v>S-フレーム</v>
          </cell>
          <cell r="P2728" t="str">
            <v>31B0</v>
          </cell>
          <cell r="Q2728" t="str">
            <v>SS400</v>
          </cell>
          <cell r="R2728" t="str">
            <v>E387186_01</v>
          </cell>
          <cell r="S2728">
            <v>1070</v>
          </cell>
          <cell r="T2728" t="str">
            <v>標準</v>
          </cell>
        </row>
        <row r="2729">
          <cell r="F2729" t="str">
            <v>H0000173781</v>
          </cell>
          <cell r="I2729" t="str">
            <v>フレーム</v>
          </cell>
          <cell r="J2729" t="str">
            <v>S-Frame_SX-80S_N_NNNN</v>
          </cell>
          <cell r="K2729" t="str">
            <v>S-フレーム_SX-80S_N_NNNN</v>
          </cell>
          <cell r="L2729" t="str">
            <v>S-Frame</v>
          </cell>
          <cell r="M2729" t="str">
            <v>S-フレーム</v>
          </cell>
          <cell r="P2729" t="str">
            <v>31B0</v>
          </cell>
          <cell r="Q2729" t="str">
            <v>SS400</v>
          </cell>
          <cell r="R2729" t="str">
            <v>E387186_01</v>
          </cell>
          <cell r="S2729">
            <v>1070</v>
          </cell>
          <cell r="T2729" t="str">
            <v>標準</v>
          </cell>
        </row>
        <row r="2730">
          <cell r="F2730" t="str">
            <v>H0000173782</v>
          </cell>
          <cell r="I2730" t="str">
            <v>フレーム</v>
          </cell>
          <cell r="J2730" t="str">
            <v>S-Frame_SX-80S_N_NNNN</v>
          </cell>
          <cell r="K2730" t="str">
            <v>S-フレーム_SX-80S_N_NNNN</v>
          </cell>
          <cell r="L2730" t="str">
            <v>S-Frame</v>
          </cell>
          <cell r="M2730" t="str">
            <v>S-フレーム</v>
          </cell>
          <cell r="P2730" t="str">
            <v>31B0</v>
          </cell>
          <cell r="Q2730" t="str">
            <v>SS400</v>
          </cell>
          <cell r="R2730" t="str">
            <v>E387186_01</v>
          </cell>
          <cell r="S2730">
            <v>1070</v>
          </cell>
          <cell r="T2730" t="str">
            <v>標準</v>
          </cell>
        </row>
        <row r="2731">
          <cell r="F2731" t="str">
            <v>H0000173783</v>
          </cell>
          <cell r="I2731" t="str">
            <v>フレーム</v>
          </cell>
          <cell r="J2731" t="str">
            <v>S-Frame_SX-80S_N_NNNN</v>
          </cell>
          <cell r="K2731" t="str">
            <v>S-フレーム_SX-80S_N_NNNN</v>
          </cell>
          <cell r="L2731" t="str">
            <v>S-Frame</v>
          </cell>
          <cell r="M2731" t="str">
            <v>S-フレーム</v>
          </cell>
          <cell r="P2731" t="str">
            <v>31B0</v>
          </cell>
          <cell r="Q2731" t="str">
            <v>SS400</v>
          </cell>
          <cell r="R2731" t="str">
            <v>E387186_01</v>
          </cell>
          <cell r="S2731">
            <v>1070</v>
          </cell>
          <cell r="T2731" t="str">
            <v>標準</v>
          </cell>
        </row>
        <row r="2732">
          <cell r="F2732" t="str">
            <v>H0000173784</v>
          </cell>
          <cell r="I2732" t="str">
            <v>フレーム</v>
          </cell>
          <cell r="J2732" t="str">
            <v>S-Frame_SX-80S_N_NNNN</v>
          </cell>
          <cell r="K2732" t="str">
            <v>S-フレーム_SX-80S_N_NNNN</v>
          </cell>
          <cell r="L2732" t="str">
            <v>S-Frame</v>
          </cell>
          <cell r="M2732" t="str">
            <v>S-フレーム</v>
          </cell>
          <cell r="P2732" t="str">
            <v>31B0</v>
          </cell>
          <cell r="Q2732" t="str">
            <v>SS400</v>
          </cell>
          <cell r="R2732" t="str">
            <v>E387186_01</v>
          </cell>
          <cell r="S2732">
            <v>1070</v>
          </cell>
          <cell r="T2732" t="str">
            <v>標準</v>
          </cell>
        </row>
        <row r="2733">
          <cell r="F2733" t="str">
            <v>H0000173785</v>
          </cell>
          <cell r="I2733" t="str">
            <v>フレーム</v>
          </cell>
          <cell r="J2733" t="str">
            <v>S-Frame_SX-80S_N_KKKK</v>
          </cell>
          <cell r="K2733" t="str">
            <v>S-フレーム_SX-80S_N_KKKK</v>
          </cell>
          <cell r="L2733" t="str">
            <v>S-Frame</v>
          </cell>
          <cell r="M2733" t="str">
            <v>S-フレーム</v>
          </cell>
          <cell r="P2733" t="str">
            <v>31B0</v>
          </cell>
          <cell r="Q2733" t="str">
            <v>SS400</v>
          </cell>
          <cell r="R2733" t="str">
            <v>E387186_01</v>
          </cell>
          <cell r="S2733">
            <v>1070</v>
          </cell>
          <cell r="T2733" t="str">
            <v>標準</v>
          </cell>
        </row>
        <row r="2734">
          <cell r="F2734" t="str">
            <v>H0000173786</v>
          </cell>
          <cell r="I2734" t="str">
            <v>フレーム</v>
          </cell>
          <cell r="J2734" t="str">
            <v>S-Frame_SX-80S_N_KKKK</v>
          </cell>
          <cell r="K2734" t="str">
            <v>S-フレーム_SX-80S_N_KKKK</v>
          </cell>
          <cell r="L2734" t="str">
            <v>S-Frame</v>
          </cell>
          <cell r="M2734" t="str">
            <v>S-フレーム</v>
          </cell>
          <cell r="P2734" t="str">
            <v>31B0</v>
          </cell>
          <cell r="Q2734" t="str">
            <v>SS400</v>
          </cell>
          <cell r="R2734" t="str">
            <v>E387186_01</v>
          </cell>
          <cell r="S2734">
            <v>1070</v>
          </cell>
          <cell r="T2734" t="str">
            <v>標準</v>
          </cell>
        </row>
        <row r="2735">
          <cell r="F2735" t="str">
            <v>H0000173787</v>
          </cell>
          <cell r="I2735" t="str">
            <v>フレーム</v>
          </cell>
          <cell r="J2735" t="str">
            <v>S-Frame_SX-80S_N_KKKK</v>
          </cell>
          <cell r="K2735" t="str">
            <v>S-フレーム_SX-80S_N_KKKK</v>
          </cell>
          <cell r="L2735" t="str">
            <v>S-Frame</v>
          </cell>
          <cell r="M2735" t="str">
            <v>S-フレーム</v>
          </cell>
          <cell r="P2735" t="str">
            <v>31B0</v>
          </cell>
          <cell r="Q2735" t="str">
            <v>SS400</v>
          </cell>
          <cell r="R2735" t="str">
            <v>E387186_01</v>
          </cell>
          <cell r="S2735">
            <v>1070</v>
          </cell>
          <cell r="T2735" t="str">
            <v>標準</v>
          </cell>
        </row>
        <row r="2736">
          <cell r="F2736" t="str">
            <v>H0000173788</v>
          </cell>
          <cell r="I2736" t="str">
            <v>フレーム</v>
          </cell>
          <cell r="J2736" t="str">
            <v>S-Frame_SX-80S_N_KKKK</v>
          </cell>
          <cell r="K2736" t="str">
            <v>S-フレーム_SX-80S_N_KKKK</v>
          </cell>
          <cell r="L2736" t="str">
            <v>S-Frame</v>
          </cell>
          <cell r="M2736" t="str">
            <v>S-フレーム</v>
          </cell>
          <cell r="P2736" t="str">
            <v>31B0</v>
          </cell>
          <cell r="Q2736" t="str">
            <v>SS400</v>
          </cell>
          <cell r="R2736" t="str">
            <v>E387186_01</v>
          </cell>
          <cell r="S2736">
            <v>1070</v>
          </cell>
          <cell r="T2736" t="str">
            <v>標準</v>
          </cell>
        </row>
        <row r="2737">
          <cell r="F2737" t="str">
            <v>H0000173789</v>
          </cell>
          <cell r="I2737" t="str">
            <v>フレーム</v>
          </cell>
          <cell r="J2737" t="str">
            <v>S-Frame_SX-80S_N_KKKK</v>
          </cell>
          <cell r="K2737" t="str">
            <v>S-フレーム_SX-80S_N_KKKK</v>
          </cell>
          <cell r="L2737" t="str">
            <v>S-Frame</v>
          </cell>
          <cell r="M2737" t="str">
            <v>S-フレーム</v>
          </cell>
          <cell r="P2737" t="str">
            <v>31B0</v>
          </cell>
          <cell r="Q2737" t="str">
            <v>SS400</v>
          </cell>
          <cell r="R2737" t="str">
            <v>E387186_01</v>
          </cell>
          <cell r="S2737">
            <v>1070</v>
          </cell>
          <cell r="T2737" t="str">
            <v>標準</v>
          </cell>
        </row>
        <row r="2738">
          <cell r="F2738" t="str">
            <v>H0000173790</v>
          </cell>
          <cell r="I2738" t="str">
            <v>フレーム</v>
          </cell>
          <cell r="J2738" t="str">
            <v>S-Frame_SX-80S_N_KKKK</v>
          </cell>
          <cell r="K2738" t="str">
            <v>S-フレーム_SX-80S_N_KKKK</v>
          </cell>
          <cell r="L2738" t="str">
            <v>S-Frame</v>
          </cell>
          <cell r="M2738" t="str">
            <v>S-フレーム</v>
          </cell>
          <cell r="P2738" t="str">
            <v>31B0</v>
          </cell>
          <cell r="Q2738" t="str">
            <v>SS400</v>
          </cell>
          <cell r="R2738" t="str">
            <v>E387186_01</v>
          </cell>
          <cell r="S2738">
            <v>1070</v>
          </cell>
          <cell r="T2738" t="str">
            <v>標準</v>
          </cell>
        </row>
        <row r="2739">
          <cell r="F2739" t="str">
            <v>H0000173791</v>
          </cell>
          <cell r="I2739" t="str">
            <v>フレーム</v>
          </cell>
          <cell r="J2739" t="str">
            <v>S-Frame_SX-80S_N_KKKK</v>
          </cell>
          <cell r="K2739" t="str">
            <v>S-フレーム_SX-80S_N_KKKK</v>
          </cell>
          <cell r="L2739" t="str">
            <v>S-Frame</v>
          </cell>
          <cell r="M2739" t="str">
            <v>S-フレーム</v>
          </cell>
          <cell r="P2739" t="str">
            <v>31B0</v>
          </cell>
          <cell r="Q2739" t="str">
            <v>SS400</v>
          </cell>
          <cell r="R2739" t="str">
            <v>E387186_01</v>
          </cell>
          <cell r="S2739">
            <v>1070</v>
          </cell>
          <cell r="T2739" t="str">
            <v>標準</v>
          </cell>
        </row>
        <row r="2740">
          <cell r="F2740" t="str">
            <v>H0000173792</v>
          </cell>
          <cell r="I2740" t="str">
            <v>フレーム</v>
          </cell>
          <cell r="J2740" t="str">
            <v>S-Frame_SX-80S_N_KKKK</v>
          </cell>
          <cell r="K2740" t="str">
            <v>S-フレーム_SX-80S_N_KKKK</v>
          </cell>
          <cell r="L2740" t="str">
            <v>S-Frame</v>
          </cell>
          <cell r="M2740" t="str">
            <v>S-フレーム</v>
          </cell>
          <cell r="P2740" t="str">
            <v>31B0</v>
          </cell>
          <cell r="Q2740" t="str">
            <v>SS400</v>
          </cell>
          <cell r="R2740" t="str">
            <v>E387186_01</v>
          </cell>
          <cell r="S2740">
            <v>1070</v>
          </cell>
          <cell r="T2740" t="str">
            <v>標準</v>
          </cell>
        </row>
        <row r="2741">
          <cell r="F2741" t="str">
            <v>H0000173793</v>
          </cell>
          <cell r="I2741" t="str">
            <v>フレーム</v>
          </cell>
          <cell r="J2741" t="str">
            <v>S-Frame_SX-80S_N_KKKK</v>
          </cell>
          <cell r="K2741" t="str">
            <v>S-フレーム_SX-80S_N_KKKK</v>
          </cell>
          <cell r="L2741" t="str">
            <v>S-Frame</v>
          </cell>
          <cell r="M2741" t="str">
            <v>S-フレーム</v>
          </cell>
          <cell r="P2741" t="str">
            <v>31B0</v>
          </cell>
          <cell r="Q2741" t="str">
            <v>SS400</v>
          </cell>
          <cell r="R2741" t="str">
            <v>E387186_01</v>
          </cell>
          <cell r="S2741">
            <v>1070</v>
          </cell>
          <cell r="T2741" t="str">
            <v>標準</v>
          </cell>
        </row>
        <row r="2742">
          <cell r="F2742" t="str">
            <v>H0000173794</v>
          </cell>
          <cell r="I2742" t="str">
            <v>フレーム</v>
          </cell>
          <cell r="J2742" t="str">
            <v>S-Frame_GasCutting_SX-80S_N_1234</v>
          </cell>
          <cell r="K2742" t="str">
            <v>S-フレーム_ガス溶断_SX-80S_N_1234</v>
          </cell>
          <cell r="L2742" t="str">
            <v>S-Frame</v>
          </cell>
          <cell r="M2742" t="str">
            <v>S-フレーム</v>
          </cell>
          <cell r="N2742" t="str">
            <v>GasCutting</v>
          </cell>
          <cell r="O2742" t="str">
            <v>ガス溶断</v>
          </cell>
          <cell r="P2742" t="str">
            <v>31B0</v>
          </cell>
          <cell r="Q2742" t="str">
            <v>SS400</v>
          </cell>
          <cell r="R2742" t="str">
            <v>E387186_01</v>
          </cell>
          <cell r="S2742">
            <v>1070</v>
          </cell>
          <cell r="T2742" t="str">
            <v>標準</v>
          </cell>
        </row>
        <row r="2743">
          <cell r="F2743" t="str">
            <v>H0000173795</v>
          </cell>
          <cell r="I2743" t="str">
            <v>フレーム</v>
          </cell>
          <cell r="J2743" t="str">
            <v>Rib_SX-80S_N_W950,H140,T50</v>
          </cell>
          <cell r="K2743" t="str">
            <v>リブ_SX-80S_N_W950,H140,T50</v>
          </cell>
          <cell r="L2743" t="str">
            <v>Rib</v>
          </cell>
          <cell r="M2743" t="str">
            <v>リブ</v>
          </cell>
          <cell r="P2743" t="str">
            <v>31B0</v>
          </cell>
          <cell r="Q2743" t="str">
            <v>SS400</v>
          </cell>
          <cell r="R2743" t="str">
            <v>E387186_02</v>
          </cell>
          <cell r="S2743">
            <v>49</v>
          </cell>
          <cell r="T2743" t="str">
            <v>標準</v>
          </cell>
        </row>
        <row r="2744">
          <cell r="F2744" t="str">
            <v>H0000173796</v>
          </cell>
          <cell r="I2744" t="str">
            <v>フレーム</v>
          </cell>
          <cell r="J2744" t="str">
            <v>S-Frame_SX-80S_H_NNNN</v>
          </cell>
          <cell r="K2744" t="str">
            <v>S-フレーム_SX-80S_H_NNNN</v>
          </cell>
          <cell r="L2744" t="str">
            <v>S-Frame</v>
          </cell>
          <cell r="M2744" t="str">
            <v>S-フレーム</v>
          </cell>
          <cell r="P2744" t="str">
            <v>31B0</v>
          </cell>
          <cell r="Q2744" t="str">
            <v>SS400</v>
          </cell>
          <cell r="R2744" t="str">
            <v>E387188_01</v>
          </cell>
          <cell r="S2744">
            <v>1066</v>
          </cell>
          <cell r="T2744" t="str">
            <v>標準</v>
          </cell>
        </row>
        <row r="2745">
          <cell r="F2745" t="str">
            <v>H0000173797</v>
          </cell>
          <cell r="I2745" t="str">
            <v>フレーム</v>
          </cell>
          <cell r="J2745" t="str">
            <v>S-Frame_SX-80S_H_NNNN</v>
          </cell>
          <cell r="K2745" t="str">
            <v>S-フレーム_SX-80S_H_NNNN</v>
          </cell>
          <cell r="L2745" t="str">
            <v>S-Frame</v>
          </cell>
          <cell r="M2745" t="str">
            <v>S-フレーム</v>
          </cell>
          <cell r="P2745" t="str">
            <v>31B0</v>
          </cell>
          <cell r="Q2745" t="str">
            <v>SS400</v>
          </cell>
          <cell r="R2745" t="str">
            <v>E387188_01</v>
          </cell>
          <cell r="S2745">
            <v>1066</v>
          </cell>
          <cell r="T2745" t="str">
            <v>標準</v>
          </cell>
        </row>
        <row r="2746">
          <cell r="F2746" t="str">
            <v>H0000173798</v>
          </cell>
          <cell r="I2746" t="str">
            <v>フレーム</v>
          </cell>
          <cell r="J2746" t="str">
            <v>S-Frame_SX-80S_H_NNNN</v>
          </cell>
          <cell r="K2746" t="str">
            <v>S-フレーム_SX-80S_H_NNNN</v>
          </cell>
          <cell r="L2746" t="str">
            <v>S-Frame</v>
          </cell>
          <cell r="M2746" t="str">
            <v>S-フレーム</v>
          </cell>
          <cell r="P2746" t="str">
            <v>31B0</v>
          </cell>
          <cell r="Q2746" t="str">
            <v>SS400</v>
          </cell>
          <cell r="R2746" t="str">
            <v>E387188_01</v>
          </cell>
          <cell r="S2746">
            <v>1066</v>
          </cell>
          <cell r="T2746" t="str">
            <v>標準</v>
          </cell>
        </row>
        <row r="2747">
          <cell r="F2747" t="str">
            <v>H0000173799</v>
          </cell>
          <cell r="I2747" t="str">
            <v>フレーム</v>
          </cell>
          <cell r="J2747" t="str">
            <v>S-Frame_SX-80S_H_NNNN</v>
          </cell>
          <cell r="K2747" t="str">
            <v>S-フレーム_SX-80S_H_NNNN</v>
          </cell>
          <cell r="L2747" t="str">
            <v>S-Frame</v>
          </cell>
          <cell r="M2747" t="str">
            <v>S-フレーム</v>
          </cell>
          <cell r="P2747" t="str">
            <v>31B0</v>
          </cell>
          <cell r="Q2747" t="str">
            <v>SS400</v>
          </cell>
          <cell r="R2747" t="str">
            <v>E387188_01</v>
          </cell>
          <cell r="S2747">
            <v>1066</v>
          </cell>
          <cell r="T2747" t="str">
            <v>標準</v>
          </cell>
        </row>
        <row r="2748">
          <cell r="F2748" t="str">
            <v>H0000173800</v>
          </cell>
          <cell r="I2748" t="str">
            <v>フレーム</v>
          </cell>
          <cell r="J2748" t="str">
            <v>S-Frame_SX-80S_H_NNNN</v>
          </cell>
          <cell r="K2748" t="str">
            <v>S-フレーム_SX-80S_H_NNNN</v>
          </cell>
          <cell r="L2748" t="str">
            <v>S-Frame</v>
          </cell>
          <cell r="M2748" t="str">
            <v>S-フレーム</v>
          </cell>
          <cell r="P2748" t="str">
            <v>31B0</v>
          </cell>
          <cell r="Q2748" t="str">
            <v>SS400</v>
          </cell>
          <cell r="R2748" t="str">
            <v>E387188_01</v>
          </cell>
          <cell r="S2748">
            <v>1066</v>
          </cell>
          <cell r="T2748" t="str">
            <v>標準</v>
          </cell>
        </row>
        <row r="2749">
          <cell r="F2749" t="str">
            <v>H0000173801</v>
          </cell>
          <cell r="I2749" t="str">
            <v>フレーム</v>
          </cell>
          <cell r="J2749" t="str">
            <v>S-Frame_SX-80S_H_NNNN</v>
          </cell>
          <cell r="K2749" t="str">
            <v>S-フレーム_SX-80S_H_NNNN</v>
          </cell>
          <cell r="L2749" t="str">
            <v>S-Frame</v>
          </cell>
          <cell r="M2749" t="str">
            <v>S-フレーム</v>
          </cell>
          <cell r="P2749" t="str">
            <v>31B0</v>
          </cell>
          <cell r="Q2749" t="str">
            <v>SS400</v>
          </cell>
          <cell r="R2749" t="str">
            <v>E387188_01</v>
          </cell>
          <cell r="S2749">
            <v>1066</v>
          </cell>
          <cell r="T2749" t="str">
            <v>標準</v>
          </cell>
        </row>
        <row r="2750">
          <cell r="F2750" t="str">
            <v>H0000173802</v>
          </cell>
          <cell r="I2750" t="str">
            <v>フレーム</v>
          </cell>
          <cell r="J2750" t="str">
            <v>S-Frame_SX-80S_H_NNNN</v>
          </cell>
          <cell r="K2750" t="str">
            <v>S-フレーム_SX-80S_H_NNNN</v>
          </cell>
          <cell r="L2750" t="str">
            <v>S-Frame</v>
          </cell>
          <cell r="M2750" t="str">
            <v>S-フレーム</v>
          </cell>
          <cell r="P2750" t="str">
            <v>31B0</v>
          </cell>
          <cell r="Q2750" t="str">
            <v>SS400</v>
          </cell>
          <cell r="R2750" t="str">
            <v>E387188_01</v>
          </cell>
          <cell r="S2750">
            <v>1066</v>
          </cell>
          <cell r="T2750" t="str">
            <v>標準</v>
          </cell>
        </row>
        <row r="2751">
          <cell r="F2751" t="str">
            <v>H0000173803</v>
          </cell>
          <cell r="I2751" t="str">
            <v>フレーム</v>
          </cell>
          <cell r="J2751" t="str">
            <v>S-Frame_SX-80S_H_NNNN</v>
          </cell>
          <cell r="K2751" t="str">
            <v>S-フレーム_SX-80S_H_NNNN</v>
          </cell>
          <cell r="L2751" t="str">
            <v>S-Frame</v>
          </cell>
          <cell r="M2751" t="str">
            <v>S-フレーム</v>
          </cell>
          <cell r="P2751" t="str">
            <v>31B0</v>
          </cell>
          <cell r="Q2751" t="str">
            <v>SS400</v>
          </cell>
          <cell r="R2751" t="str">
            <v>E387188_01</v>
          </cell>
          <cell r="S2751">
            <v>1066</v>
          </cell>
          <cell r="T2751" t="str">
            <v>標準</v>
          </cell>
        </row>
        <row r="2752">
          <cell r="F2752" t="str">
            <v>H0000173804</v>
          </cell>
          <cell r="I2752" t="str">
            <v>フレーム</v>
          </cell>
          <cell r="J2752" t="str">
            <v>S-Frame_SX-80S_H_NNNN</v>
          </cell>
          <cell r="K2752" t="str">
            <v>S-フレーム_SX-80S_H_NNNN</v>
          </cell>
          <cell r="L2752" t="str">
            <v>S-Frame</v>
          </cell>
          <cell r="M2752" t="str">
            <v>S-フレーム</v>
          </cell>
          <cell r="P2752" t="str">
            <v>31B0</v>
          </cell>
          <cell r="Q2752" t="str">
            <v>SS400</v>
          </cell>
          <cell r="R2752" t="str">
            <v>E387188_01</v>
          </cell>
          <cell r="S2752">
            <v>1066</v>
          </cell>
          <cell r="T2752" t="str">
            <v>標準</v>
          </cell>
        </row>
        <row r="2753">
          <cell r="F2753" t="str">
            <v>H0000173805</v>
          </cell>
          <cell r="I2753" t="str">
            <v>フレーム</v>
          </cell>
          <cell r="J2753" t="str">
            <v>S-Frame_SX-80S_H_KKKK</v>
          </cell>
          <cell r="K2753" t="str">
            <v>S-フレーム_SX-80S_H_KKKK</v>
          </cell>
          <cell r="L2753" t="str">
            <v>S-Frame</v>
          </cell>
          <cell r="M2753" t="str">
            <v>S-フレーム</v>
          </cell>
          <cell r="P2753" t="str">
            <v>31B0</v>
          </cell>
          <cell r="Q2753" t="str">
            <v>SS400</v>
          </cell>
          <cell r="R2753" t="str">
            <v>E387188_01</v>
          </cell>
          <cell r="S2753">
            <v>1066</v>
          </cell>
          <cell r="T2753" t="str">
            <v>標準</v>
          </cell>
        </row>
        <row r="2754">
          <cell r="F2754" t="str">
            <v>H0000173806</v>
          </cell>
          <cell r="I2754" t="str">
            <v>フレーム</v>
          </cell>
          <cell r="J2754" t="str">
            <v>S-Frame_SX-80S_H_KKKK</v>
          </cell>
          <cell r="K2754" t="str">
            <v>S-フレーム_SX-80S_H_KKKK</v>
          </cell>
          <cell r="L2754" t="str">
            <v>S-Frame</v>
          </cell>
          <cell r="M2754" t="str">
            <v>S-フレーム</v>
          </cell>
          <cell r="P2754" t="str">
            <v>31B0</v>
          </cell>
          <cell r="Q2754" t="str">
            <v>SS400</v>
          </cell>
          <cell r="R2754" t="str">
            <v>E387188_01</v>
          </cell>
          <cell r="S2754">
            <v>1066</v>
          </cell>
          <cell r="T2754" t="str">
            <v>標準</v>
          </cell>
        </row>
        <row r="2755">
          <cell r="F2755" t="str">
            <v>H0000173807</v>
          </cell>
          <cell r="I2755" t="str">
            <v>フレーム</v>
          </cell>
          <cell r="J2755" t="str">
            <v>S-Frame_SX-80S_H_KKKK</v>
          </cell>
          <cell r="K2755" t="str">
            <v>S-フレーム_SX-80S_H_KKKK</v>
          </cell>
          <cell r="L2755" t="str">
            <v>S-Frame</v>
          </cell>
          <cell r="M2755" t="str">
            <v>S-フレーム</v>
          </cell>
          <cell r="P2755" t="str">
            <v>31B0</v>
          </cell>
          <cell r="Q2755" t="str">
            <v>SS400</v>
          </cell>
          <cell r="R2755" t="str">
            <v>E387188_01</v>
          </cell>
          <cell r="S2755">
            <v>1066</v>
          </cell>
          <cell r="T2755" t="str">
            <v>標準</v>
          </cell>
        </row>
        <row r="2756">
          <cell r="F2756" t="str">
            <v>H0000173808</v>
          </cell>
          <cell r="I2756" t="str">
            <v>フレーム</v>
          </cell>
          <cell r="J2756" t="str">
            <v>S-Frame_SX-80S_H_KKKK</v>
          </cell>
          <cell r="K2756" t="str">
            <v>S-フレーム_SX-80S_H_KKKK</v>
          </cell>
          <cell r="L2756" t="str">
            <v>S-Frame</v>
          </cell>
          <cell r="M2756" t="str">
            <v>S-フレーム</v>
          </cell>
          <cell r="P2756" t="str">
            <v>31B0</v>
          </cell>
          <cell r="Q2756" t="str">
            <v>SS400</v>
          </cell>
          <cell r="R2756" t="str">
            <v>E387188_01</v>
          </cell>
          <cell r="S2756">
            <v>1066</v>
          </cell>
          <cell r="T2756" t="str">
            <v>標準</v>
          </cell>
        </row>
        <row r="2757">
          <cell r="F2757" t="str">
            <v>H0000173809</v>
          </cell>
          <cell r="I2757" t="str">
            <v>フレーム</v>
          </cell>
          <cell r="J2757" t="str">
            <v>S-Frame_SX-80S_H_KKKK</v>
          </cell>
          <cell r="K2757" t="str">
            <v>S-フレーム_SX-80S_H_KKKK</v>
          </cell>
          <cell r="L2757" t="str">
            <v>S-Frame</v>
          </cell>
          <cell r="M2757" t="str">
            <v>S-フレーム</v>
          </cell>
          <cell r="P2757" t="str">
            <v>31B0</v>
          </cell>
          <cell r="Q2757" t="str">
            <v>SS400</v>
          </cell>
          <cell r="R2757" t="str">
            <v>E387188_01</v>
          </cell>
          <cell r="S2757">
            <v>1066</v>
          </cell>
          <cell r="T2757" t="str">
            <v>標準</v>
          </cell>
        </row>
        <row r="2758">
          <cell r="F2758" t="str">
            <v>H0000173810</v>
          </cell>
          <cell r="I2758" t="str">
            <v>フレーム</v>
          </cell>
          <cell r="J2758" t="str">
            <v>S-Frame_SX-80S_H_KKKK</v>
          </cell>
          <cell r="K2758" t="str">
            <v>S-フレーム_SX-80S_H_KKKK</v>
          </cell>
          <cell r="L2758" t="str">
            <v>S-Frame</v>
          </cell>
          <cell r="M2758" t="str">
            <v>S-フレーム</v>
          </cell>
          <cell r="P2758" t="str">
            <v>31B0</v>
          </cell>
          <cell r="Q2758" t="str">
            <v>SS400</v>
          </cell>
          <cell r="R2758" t="str">
            <v>E387188_01</v>
          </cell>
          <cell r="S2758">
            <v>1066</v>
          </cell>
          <cell r="T2758" t="str">
            <v>標準</v>
          </cell>
        </row>
        <row r="2759">
          <cell r="F2759" t="str">
            <v>H0000173811</v>
          </cell>
          <cell r="I2759" t="str">
            <v>フレーム</v>
          </cell>
          <cell r="J2759" t="str">
            <v>S-Frame_SX-80S_H_KKKK</v>
          </cell>
          <cell r="K2759" t="str">
            <v>S-フレーム_SX-80S_H_KKKK</v>
          </cell>
          <cell r="L2759" t="str">
            <v>S-Frame</v>
          </cell>
          <cell r="M2759" t="str">
            <v>S-フレーム</v>
          </cell>
          <cell r="P2759" t="str">
            <v>31B0</v>
          </cell>
          <cell r="Q2759" t="str">
            <v>SS400</v>
          </cell>
          <cell r="R2759" t="str">
            <v>E387188_01</v>
          </cell>
          <cell r="S2759">
            <v>1066</v>
          </cell>
          <cell r="T2759" t="str">
            <v>標準</v>
          </cell>
        </row>
        <row r="2760">
          <cell r="F2760" t="str">
            <v>H0000173812</v>
          </cell>
          <cell r="I2760" t="str">
            <v>フレーム</v>
          </cell>
          <cell r="J2760" t="str">
            <v>S-Frame_SX-80S_H_KKKK</v>
          </cell>
          <cell r="K2760" t="str">
            <v>S-フレーム_SX-80S_H_KKKK</v>
          </cell>
          <cell r="L2760" t="str">
            <v>S-Frame</v>
          </cell>
          <cell r="M2760" t="str">
            <v>S-フレーム</v>
          </cell>
          <cell r="P2760" t="str">
            <v>31B0</v>
          </cell>
          <cell r="Q2760" t="str">
            <v>SS400</v>
          </cell>
          <cell r="R2760" t="str">
            <v>E387188_01</v>
          </cell>
          <cell r="S2760">
            <v>1066</v>
          </cell>
          <cell r="T2760" t="str">
            <v>標準</v>
          </cell>
        </row>
        <row r="2761">
          <cell r="F2761" t="str">
            <v>H0000173813</v>
          </cell>
          <cell r="I2761" t="str">
            <v>フレーム</v>
          </cell>
          <cell r="J2761" t="str">
            <v>S-Frame_SX-80S_H_KKKK</v>
          </cell>
          <cell r="K2761" t="str">
            <v>S-フレーム_SX-80S_H_KKKK</v>
          </cell>
          <cell r="L2761" t="str">
            <v>S-Frame</v>
          </cell>
          <cell r="M2761" t="str">
            <v>S-フレーム</v>
          </cell>
          <cell r="P2761" t="str">
            <v>31B0</v>
          </cell>
          <cell r="Q2761" t="str">
            <v>SS400</v>
          </cell>
          <cell r="R2761" t="str">
            <v>E387188_01</v>
          </cell>
          <cell r="S2761">
            <v>1066</v>
          </cell>
          <cell r="T2761" t="str">
            <v>標準</v>
          </cell>
        </row>
        <row r="2762">
          <cell r="F2762" t="str">
            <v>H0000173814</v>
          </cell>
          <cell r="I2762" t="str">
            <v>フレーム</v>
          </cell>
          <cell r="J2762" t="str">
            <v>S-Frame_GasCutting_SX-80S_H_1234</v>
          </cell>
          <cell r="K2762" t="str">
            <v>S-フレーム_ガス溶断_SX-80S_H_1234</v>
          </cell>
          <cell r="L2762" t="str">
            <v>S-Frame</v>
          </cell>
          <cell r="M2762" t="str">
            <v>S-フレーム</v>
          </cell>
          <cell r="N2762" t="str">
            <v>GasCutting</v>
          </cell>
          <cell r="O2762" t="str">
            <v>ガス溶断</v>
          </cell>
          <cell r="P2762" t="str">
            <v>31B0</v>
          </cell>
          <cell r="Q2762" t="str">
            <v>SS400</v>
          </cell>
          <cell r="R2762" t="str">
            <v>E387188_01</v>
          </cell>
          <cell r="S2762">
            <v>1066</v>
          </cell>
          <cell r="T2762" t="str">
            <v>標準</v>
          </cell>
        </row>
        <row r="2763">
          <cell r="F2763" t="str">
            <v>H0000173815</v>
          </cell>
          <cell r="I2763" t="str">
            <v>フレーム</v>
          </cell>
          <cell r="J2763" t="str">
            <v>Rib_SX-80S_H_W950,H220,T50</v>
          </cell>
          <cell r="K2763" t="str">
            <v>リブ_SX-80S_H_W950,H220,T50</v>
          </cell>
          <cell r="L2763" t="str">
            <v>Rib</v>
          </cell>
          <cell r="M2763" t="str">
            <v>リブ</v>
          </cell>
          <cell r="P2763" t="str">
            <v>31B0</v>
          </cell>
          <cell r="Q2763" t="str">
            <v>SS400</v>
          </cell>
          <cell r="R2763" t="str">
            <v>E387188_02</v>
          </cell>
          <cell r="S2763">
            <v>79</v>
          </cell>
          <cell r="T2763" t="str">
            <v>標準</v>
          </cell>
        </row>
        <row r="2764">
          <cell r="F2764" t="str">
            <v>H0000173816</v>
          </cell>
          <cell r="I2764" t="str">
            <v>フレーム</v>
          </cell>
          <cell r="J2764" t="str">
            <v>S-Frame_SX-80S_U_KKKK</v>
          </cell>
          <cell r="K2764" t="str">
            <v>S-フレーム_SX-80S_U_KKKK</v>
          </cell>
          <cell r="L2764" t="str">
            <v>S-Frame</v>
          </cell>
          <cell r="M2764" t="str">
            <v>S-フレーム</v>
          </cell>
          <cell r="P2764" t="str">
            <v>31B0</v>
          </cell>
          <cell r="Q2764" t="str">
            <v>SS400</v>
          </cell>
          <cell r="R2764" t="str">
            <v>E387190_01</v>
          </cell>
          <cell r="S2764">
            <v>1285</v>
          </cell>
          <cell r="T2764" t="str">
            <v>標準</v>
          </cell>
        </row>
        <row r="2765">
          <cell r="F2765" t="str">
            <v>H0000173817</v>
          </cell>
          <cell r="I2765" t="str">
            <v>フレーム</v>
          </cell>
          <cell r="J2765" t="str">
            <v>S-Frame_SX-80S_U_KKKK</v>
          </cell>
          <cell r="K2765" t="str">
            <v>S-フレーム_SX-80S_U_KKKK</v>
          </cell>
          <cell r="L2765" t="str">
            <v>S-Frame</v>
          </cell>
          <cell r="M2765" t="str">
            <v>S-フレーム</v>
          </cell>
          <cell r="P2765" t="str">
            <v>31B0</v>
          </cell>
          <cell r="Q2765" t="str">
            <v>SS400</v>
          </cell>
          <cell r="R2765" t="str">
            <v>E387190_01</v>
          </cell>
          <cell r="S2765">
            <v>1285</v>
          </cell>
          <cell r="T2765" t="str">
            <v>標準</v>
          </cell>
        </row>
        <row r="2766">
          <cell r="F2766" t="str">
            <v>H0000173818</v>
          </cell>
          <cell r="I2766" t="str">
            <v>フレーム</v>
          </cell>
          <cell r="J2766" t="str">
            <v>S-Frame_SX-80S_U_KKKK</v>
          </cell>
          <cell r="K2766" t="str">
            <v>S-フレーム_SX-80S_U_KKKK</v>
          </cell>
          <cell r="L2766" t="str">
            <v>S-Frame</v>
          </cell>
          <cell r="M2766" t="str">
            <v>S-フレーム</v>
          </cell>
          <cell r="P2766" t="str">
            <v>31B0</v>
          </cell>
          <cell r="Q2766" t="str">
            <v>SS400</v>
          </cell>
          <cell r="R2766" t="str">
            <v>E387190_01</v>
          </cell>
          <cell r="S2766">
            <v>1285</v>
          </cell>
          <cell r="T2766" t="str">
            <v>標準</v>
          </cell>
        </row>
        <row r="2767">
          <cell r="F2767" t="str">
            <v>H0000173819</v>
          </cell>
          <cell r="I2767" t="str">
            <v>フレーム</v>
          </cell>
          <cell r="J2767" t="str">
            <v>S-Frame_SX-80S_U_KKKK</v>
          </cell>
          <cell r="K2767" t="str">
            <v>S-フレーム_SX-80S_U_KKKK</v>
          </cell>
          <cell r="L2767" t="str">
            <v>S-Frame</v>
          </cell>
          <cell r="M2767" t="str">
            <v>S-フレーム</v>
          </cell>
          <cell r="P2767" t="str">
            <v>31B0</v>
          </cell>
          <cell r="Q2767" t="str">
            <v>SS400</v>
          </cell>
          <cell r="R2767" t="str">
            <v>E387190_01</v>
          </cell>
          <cell r="S2767">
            <v>1285</v>
          </cell>
          <cell r="T2767" t="str">
            <v>標準</v>
          </cell>
        </row>
        <row r="2768">
          <cell r="F2768" t="str">
            <v>H0000173820</v>
          </cell>
          <cell r="I2768" t="str">
            <v>フレーム</v>
          </cell>
          <cell r="J2768" t="str">
            <v>S-Frame_SX-80S_U_KKKK</v>
          </cell>
          <cell r="K2768" t="str">
            <v>S-フレーム_SX-80S_U_KKKK</v>
          </cell>
          <cell r="L2768" t="str">
            <v>S-Frame</v>
          </cell>
          <cell r="M2768" t="str">
            <v>S-フレーム</v>
          </cell>
          <cell r="P2768" t="str">
            <v>31B0</v>
          </cell>
          <cell r="Q2768" t="str">
            <v>SS400</v>
          </cell>
          <cell r="R2768" t="str">
            <v>E387190_01</v>
          </cell>
          <cell r="S2768">
            <v>1285</v>
          </cell>
          <cell r="T2768" t="str">
            <v>標準</v>
          </cell>
        </row>
        <row r="2769">
          <cell r="F2769" t="str">
            <v>H0000173821</v>
          </cell>
          <cell r="I2769" t="str">
            <v>フレーム</v>
          </cell>
          <cell r="J2769" t="str">
            <v>S-Frame_SX-80S_U_KKKK</v>
          </cell>
          <cell r="K2769" t="str">
            <v>S-フレーム_SX-80S_U_KKKK</v>
          </cell>
          <cell r="L2769" t="str">
            <v>S-Frame</v>
          </cell>
          <cell r="M2769" t="str">
            <v>S-フレーム</v>
          </cell>
          <cell r="P2769" t="str">
            <v>31B0</v>
          </cell>
          <cell r="Q2769" t="str">
            <v>SS400</v>
          </cell>
          <cell r="R2769" t="str">
            <v>E387190_01</v>
          </cell>
          <cell r="S2769">
            <v>1285</v>
          </cell>
          <cell r="T2769" t="str">
            <v>標準</v>
          </cell>
        </row>
        <row r="2770">
          <cell r="F2770" t="str">
            <v>H0000173822</v>
          </cell>
          <cell r="I2770" t="str">
            <v>フレーム</v>
          </cell>
          <cell r="J2770" t="str">
            <v>S-Frame_SX-80S_U_KKKK</v>
          </cell>
          <cell r="K2770" t="str">
            <v>S-フレーム_SX-80S_U_KKKK</v>
          </cell>
          <cell r="L2770" t="str">
            <v>S-Frame</v>
          </cell>
          <cell r="M2770" t="str">
            <v>S-フレーム</v>
          </cell>
          <cell r="P2770" t="str">
            <v>31B0</v>
          </cell>
          <cell r="Q2770" t="str">
            <v>SS400</v>
          </cell>
          <cell r="R2770" t="str">
            <v>E387190_01</v>
          </cell>
          <cell r="S2770">
            <v>1285</v>
          </cell>
          <cell r="T2770" t="str">
            <v>標準</v>
          </cell>
        </row>
        <row r="2771">
          <cell r="F2771" t="str">
            <v>H0000173823</v>
          </cell>
          <cell r="I2771" t="str">
            <v>フレーム</v>
          </cell>
          <cell r="J2771" t="str">
            <v>S-Frame_SX-80S_U_KKKK</v>
          </cell>
          <cell r="K2771" t="str">
            <v>S-フレーム_SX-80S_U_KKKK</v>
          </cell>
          <cell r="L2771" t="str">
            <v>S-Frame</v>
          </cell>
          <cell r="M2771" t="str">
            <v>S-フレーム</v>
          </cell>
          <cell r="P2771" t="str">
            <v>31B0</v>
          </cell>
          <cell r="Q2771" t="str">
            <v>SS400</v>
          </cell>
          <cell r="R2771" t="str">
            <v>E387190_01</v>
          </cell>
          <cell r="S2771">
            <v>1285</v>
          </cell>
          <cell r="T2771" t="str">
            <v>標準</v>
          </cell>
        </row>
        <row r="2772">
          <cell r="F2772" t="str">
            <v>H0000173824</v>
          </cell>
          <cell r="I2772" t="str">
            <v>フレーム</v>
          </cell>
          <cell r="J2772" t="str">
            <v>S-Frame_SX-80S_U_KKKK</v>
          </cell>
          <cell r="K2772" t="str">
            <v>S-フレーム_SX-80S_U_KKKK</v>
          </cell>
          <cell r="L2772" t="str">
            <v>S-Frame</v>
          </cell>
          <cell r="M2772" t="str">
            <v>S-フレーム</v>
          </cell>
          <cell r="P2772" t="str">
            <v>31B0</v>
          </cell>
          <cell r="Q2772" t="str">
            <v>SS400</v>
          </cell>
          <cell r="R2772" t="str">
            <v>E387190_01</v>
          </cell>
          <cell r="S2772">
            <v>1285</v>
          </cell>
          <cell r="T2772" t="str">
            <v>標準</v>
          </cell>
        </row>
        <row r="2773">
          <cell r="F2773" t="str">
            <v>H0000173825</v>
          </cell>
          <cell r="I2773" t="str">
            <v>フレーム</v>
          </cell>
          <cell r="J2773" t="str">
            <v>S-Frame_SX-80S_U_KKKK</v>
          </cell>
          <cell r="K2773" t="str">
            <v>S-フレーム_SX-80S_U_KKKK</v>
          </cell>
          <cell r="L2773" t="str">
            <v>S-Frame</v>
          </cell>
          <cell r="M2773" t="str">
            <v>S-フレーム</v>
          </cell>
          <cell r="P2773" t="str">
            <v>31B0</v>
          </cell>
          <cell r="Q2773" t="str">
            <v>SS400</v>
          </cell>
          <cell r="R2773" t="str">
            <v>E387190_01</v>
          </cell>
          <cell r="S2773">
            <v>1285</v>
          </cell>
          <cell r="T2773" t="str">
            <v>標準</v>
          </cell>
        </row>
        <row r="2774">
          <cell r="F2774" t="str">
            <v>H0000173826</v>
          </cell>
          <cell r="I2774" t="str">
            <v>フレーム</v>
          </cell>
          <cell r="J2774" t="str">
            <v>S-Frame_SX-80S_U_KKKK</v>
          </cell>
          <cell r="K2774" t="str">
            <v>S-フレーム_SX-80S_U_KKKK</v>
          </cell>
          <cell r="L2774" t="str">
            <v>S-Frame</v>
          </cell>
          <cell r="M2774" t="str">
            <v>S-フレーム</v>
          </cell>
          <cell r="P2774" t="str">
            <v>31B0</v>
          </cell>
          <cell r="Q2774" t="str">
            <v>SS400</v>
          </cell>
          <cell r="R2774" t="str">
            <v>E387190_01</v>
          </cell>
          <cell r="S2774">
            <v>1285</v>
          </cell>
          <cell r="T2774" t="str">
            <v>標準</v>
          </cell>
        </row>
        <row r="2775">
          <cell r="F2775" t="str">
            <v>H0000173827</v>
          </cell>
          <cell r="I2775" t="str">
            <v>フレーム</v>
          </cell>
          <cell r="J2775" t="str">
            <v>S-Frame_SX-80S_U_KKKK</v>
          </cell>
          <cell r="K2775" t="str">
            <v>S-フレーム_SX-80S_U_KKKK</v>
          </cell>
          <cell r="L2775" t="str">
            <v>S-Frame</v>
          </cell>
          <cell r="M2775" t="str">
            <v>S-フレーム</v>
          </cell>
          <cell r="P2775" t="str">
            <v>31B0</v>
          </cell>
          <cell r="Q2775" t="str">
            <v>SS400</v>
          </cell>
          <cell r="R2775" t="str">
            <v>E387190_01</v>
          </cell>
          <cell r="S2775">
            <v>1285</v>
          </cell>
          <cell r="T2775" t="str">
            <v>標準</v>
          </cell>
        </row>
        <row r="2776">
          <cell r="F2776" t="str">
            <v>H0000173828</v>
          </cell>
          <cell r="I2776" t="str">
            <v>フレーム</v>
          </cell>
          <cell r="J2776" t="str">
            <v>S-Frame_SX-80S_U_KKKK</v>
          </cell>
          <cell r="K2776" t="str">
            <v>S-フレーム_SX-80S_U_KKKK</v>
          </cell>
          <cell r="L2776" t="str">
            <v>S-Frame</v>
          </cell>
          <cell r="M2776" t="str">
            <v>S-フレーム</v>
          </cell>
          <cell r="P2776" t="str">
            <v>31B0</v>
          </cell>
          <cell r="Q2776" t="str">
            <v>SS400</v>
          </cell>
          <cell r="R2776" t="str">
            <v>E387190_01</v>
          </cell>
          <cell r="S2776">
            <v>1285</v>
          </cell>
          <cell r="T2776" t="str">
            <v>標準</v>
          </cell>
        </row>
        <row r="2777">
          <cell r="F2777" t="str">
            <v>H0000173829</v>
          </cell>
          <cell r="I2777" t="str">
            <v>フレーム</v>
          </cell>
          <cell r="J2777" t="str">
            <v>S-Frame_SX-80S_U_KKKK</v>
          </cell>
          <cell r="K2777" t="str">
            <v>S-フレーム_SX-80S_U_KKKK</v>
          </cell>
          <cell r="L2777" t="str">
            <v>S-Frame</v>
          </cell>
          <cell r="M2777" t="str">
            <v>S-フレーム</v>
          </cell>
          <cell r="P2777" t="str">
            <v>31B0</v>
          </cell>
          <cell r="Q2777" t="str">
            <v>SS400</v>
          </cell>
          <cell r="R2777" t="str">
            <v>E387190_01</v>
          </cell>
          <cell r="S2777">
            <v>1285</v>
          </cell>
          <cell r="T2777" t="str">
            <v>標準</v>
          </cell>
        </row>
        <row r="2778">
          <cell r="F2778" t="str">
            <v>H0000173830</v>
          </cell>
          <cell r="I2778" t="str">
            <v>フレーム</v>
          </cell>
          <cell r="J2778" t="str">
            <v>S-Frame_SX-80S_U_KKKK</v>
          </cell>
          <cell r="K2778" t="str">
            <v>S-フレーム_SX-80S_U_KKKK</v>
          </cell>
          <cell r="L2778" t="str">
            <v>S-Frame</v>
          </cell>
          <cell r="M2778" t="str">
            <v>S-フレーム</v>
          </cell>
          <cell r="P2778" t="str">
            <v>31B0</v>
          </cell>
          <cell r="Q2778" t="str">
            <v>SS400</v>
          </cell>
          <cell r="R2778" t="str">
            <v>E387190_01</v>
          </cell>
          <cell r="S2778">
            <v>1285</v>
          </cell>
          <cell r="T2778" t="str">
            <v>標準</v>
          </cell>
        </row>
        <row r="2779">
          <cell r="F2779" t="str">
            <v>H0000173831</v>
          </cell>
          <cell r="I2779" t="str">
            <v>フレーム</v>
          </cell>
          <cell r="J2779" t="str">
            <v>S-Frame_SX-80S_U_KKKK</v>
          </cell>
          <cell r="K2779" t="str">
            <v>S-フレーム_SX-80S_U_KKKK</v>
          </cell>
          <cell r="L2779" t="str">
            <v>S-Frame</v>
          </cell>
          <cell r="M2779" t="str">
            <v>S-フレーム</v>
          </cell>
          <cell r="P2779" t="str">
            <v>31B0</v>
          </cell>
          <cell r="Q2779" t="str">
            <v>SS400</v>
          </cell>
          <cell r="R2779" t="str">
            <v>E387190_01</v>
          </cell>
          <cell r="S2779">
            <v>1285</v>
          </cell>
          <cell r="T2779" t="str">
            <v>標準</v>
          </cell>
        </row>
        <row r="2780">
          <cell r="F2780" t="str">
            <v>H0000173832</v>
          </cell>
          <cell r="I2780" t="str">
            <v>フレーム</v>
          </cell>
          <cell r="J2780" t="str">
            <v>S-Frame_GasCutting_SX-80S_U_1234</v>
          </cell>
          <cell r="K2780" t="str">
            <v>S-フレーム_ガス溶断_SX-80S_U_1234</v>
          </cell>
          <cell r="L2780" t="str">
            <v>S-Frame</v>
          </cell>
          <cell r="M2780" t="str">
            <v>S-フレーム</v>
          </cell>
          <cell r="N2780" t="str">
            <v>GasCutting</v>
          </cell>
          <cell r="O2780" t="str">
            <v>ガス溶断</v>
          </cell>
          <cell r="P2780" t="str">
            <v>31B0</v>
          </cell>
          <cell r="Q2780" t="str">
            <v>SS400</v>
          </cell>
          <cell r="R2780" t="str">
            <v>E387190_01</v>
          </cell>
          <cell r="S2780">
            <v>1285</v>
          </cell>
          <cell r="T2780" t="str">
            <v>標準</v>
          </cell>
        </row>
        <row r="2781">
          <cell r="F2781" t="str">
            <v>H0000173833</v>
          </cell>
          <cell r="I2781" t="str">
            <v>フレーム</v>
          </cell>
          <cell r="J2781" t="str">
            <v>S-Frame_GasCutting_SX-80S_U_1234</v>
          </cell>
          <cell r="K2781" t="str">
            <v>S-フレーム_ガス溶断_SX-80S_U_1234</v>
          </cell>
          <cell r="L2781" t="str">
            <v>S-Frame</v>
          </cell>
          <cell r="M2781" t="str">
            <v>S-フレーム</v>
          </cell>
          <cell r="N2781" t="str">
            <v>GasCutting</v>
          </cell>
          <cell r="O2781" t="str">
            <v>ガス溶断</v>
          </cell>
          <cell r="P2781" t="str">
            <v>31B0</v>
          </cell>
          <cell r="Q2781" t="str">
            <v>SS400</v>
          </cell>
          <cell r="R2781" t="str">
            <v>E387190_01</v>
          </cell>
          <cell r="S2781">
            <v>1285</v>
          </cell>
          <cell r="T2781" t="str">
            <v>標準</v>
          </cell>
        </row>
        <row r="2782">
          <cell r="F2782" t="str">
            <v>H0000173834</v>
          </cell>
          <cell r="I2782" t="str">
            <v>フレーム</v>
          </cell>
          <cell r="J2782" t="str">
            <v>S-Frame_GasCutting_SX-80S_U_1234</v>
          </cell>
          <cell r="K2782" t="str">
            <v>S-フレーム_ガス溶断_SX-80S_U_1234</v>
          </cell>
          <cell r="L2782" t="str">
            <v>S-Frame</v>
          </cell>
          <cell r="M2782" t="str">
            <v>S-フレーム</v>
          </cell>
          <cell r="N2782" t="str">
            <v>GasCutting</v>
          </cell>
          <cell r="O2782" t="str">
            <v>ガス溶断</v>
          </cell>
          <cell r="P2782" t="str">
            <v>31B0</v>
          </cell>
          <cell r="Q2782" t="str">
            <v>SS400</v>
          </cell>
          <cell r="R2782" t="str">
            <v>E387190_01</v>
          </cell>
          <cell r="S2782">
            <v>1285</v>
          </cell>
          <cell r="T2782" t="str">
            <v>標準</v>
          </cell>
        </row>
        <row r="2783">
          <cell r="F2783" t="str">
            <v>H0000173835</v>
          </cell>
          <cell r="I2783" t="str">
            <v>フレーム</v>
          </cell>
          <cell r="J2783" t="str">
            <v>S-Frame_GasCutting_SX-80S_U_1234</v>
          </cell>
          <cell r="K2783" t="str">
            <v>S-フレーム_ガス溶断_SX-80S_U_1234</v>
          </cell>
          <cell r="L2783" t="str">
            <v>S-Frame</v>
          </cell>
          <cell r="M2783" t="str">
            <v>S-フレーム</v>
          </cell>
          <cell r="N2783" t="str">
            <v>GasCutting</v>
          </cell>
          <cell r="O2783" t="str">
            <v>ガス溶断</v>
          </cell>
          <cell r="P2783" t="str">
            <v>31B0</v>
          </cell>
          <cell r="Q2783" t="str">
            <v>SS400</v>
          </cell>
          <cell r="R2783" t="str">
            <v>E387190_01</v>
          </cell>
          <cell r="S2783">
            <v>1285</v>
          </cell>
          <cell r="T2783" t="str">
            <v>標準</v>
          </cell>
        </row>
        <row r="2784">
          <cell r="F2784" t="str">
            <v>H0000173836</v>
          </cell>
          <cell r="I2784" t="str">
            <v>フレーム</v>
          </cell>
          <cell r="J2784" t="str">
            <v>Rib_SX-80S_U_W950,H210,T60</v>
          </cell>
          <cell r="K2784" t="str">
            <v>リブ_SX-80S_U_W950,H210,T60</v>
          </cell>
          <cell r="L2784" t="str">
            <v>Rib</v>
          </cell>
          <cell r="M2784" t="str">
            <v>リブ</v>
          </cell>
          <cell r="P2784" t="str">
            <v>31B0</v>
          </cell>
          <cell r="Q2784" t="str">
            <v>SS400</v>
          </cell>
          <cell r="R2784" t="str">
            <v>E387190_02</v>
          </cell>
          <cell r="S2784">
            <v>89</v>
          </cell>
          <cell r="T2784" t="str">
            <v>標準</v>
          </cell>
        </row>
        <row r="2785">
          <cell r="F2785" t="str">
            <v>H0000173837</v>
          </cell>
          <cell r="I2785" t="str">
            <v>フレーム</v>
          </cell>
          <cell r="J2785" t="str">
            <v>S-Frame_SX-80S_S_KKKK</v>
          </cell>
          <cell r="K2785" t="str">
            <v>S-フレーム_SX-80S_S_KKKK</v>
          </cell>
          <cell r="L2785" t="str">
            <v>S-Frame</v>
          </cell>
          <cell r="M2785" t="str">
            <v>S-フレーム</v>
          </cell>
          <cell r="P2785" t="str">
            <v>31B0</v>
          </cell>
          <cell r="Q2785" t="str">
            <v>SS400</v>
          </cell>
          <cell r="R2785" t="str">
            <v>E380400_01</v>
          </cell>
          <cell r="S2785">
            <v>1473</v>
          </cell>
          <cell r="T2785" t="str">
            <v>標準</v>
          </cell>
        </row>
        <row r="2786">
          <cell r="F2786" t="str">
            <v>H0000173838</v>
          </cell>
          <cell r="I2786" t="str">
            <v>フレーム</v>
          </cell>
          <cell r="J2786" t="str">
            <v>S-Frame_SX-80S_S_KKKK</v>
          </cell>
          <cell r="K2786" t="str">
            <v>S-フレーム_SX-80S_S_KKKK</v>
          </cell>
          <cell r="L2786" t="str">
            <v>S-Frame</v>
          </cell>
          <cell r="M2786" t="str">
            <v>S-フレーム</v>
          </cell>
          <cell r="P2786" t="str">
            <v>31B0</v>
          </cell>
          <cell r="Q2786" t="str">
            <v>SS400</v>
          </cell>
          <cell r="R2786" t="str">
            <v>E380400_01</v>
          </cell>
          <cell r="S2786">
            <v>1473</v>
          </cell>
          <cell r="T2786" t="str">
            <v>標準</v>
          </cell>
        </row>
        <row r="2787">
          <cell r="F2787" t="str">
            <v>H0000173839</v>
          </cell>
          <cell r="I2787" t="str">
            <v>フレーム</v>
          </cell>
          <cell r="J2787" t="str">
            <v>S-Frame_SX-80S_S_KKKK</v>
          </cell>
          <cell r="K2787" t="str">
            <v>S-フレーム_SX-80S_S_KKKK</v>
          </cell>
          <cell r="L2787" t="str">
            <v>S-Frame</v>
          </cell>
          <cell r="M2787" t="str">
            <v>S-フレーム</v>
          </cell>
          <cell r="P2787" t="str">
            <v>31B0</v>
          </cell>
          <cell r="Q2787" t="str">
            <v>SS400</v>
          </cell>
          <cell r="R2787" t="str">
            <v>E380400_01</v>
          </cell>
          <cell r="S2787">
            <v>1473</v>
          </cell>
          <cell r="T2787" t="str">
            <v>標準</v>
          </cell>
        </row>
        <row r="2788">
          <cell r="F2788" t="str">
            <v>H0000173840</v>
          </cell>
          <cell r="I2788" t="str">
            <v>フレーム</v>
          </cell>
          <cell r="J2788" t="str">
            <v>S-Frame_SX-80S_S_KKKK</v>
          </cell>
          <cell r="K2788" t="str">
            <v>S-フレーム_SX-80S_S_KKKK</v>
          </cell>
          <cell r="L2788" t="str">
            <v>S-Frame</v>
          </cell>
          <cell r="M2788" t="str">
            <v>S-フレーム</v>
          </cell>
          <cell r="P2788" t="str">
            <v>31B0</v>
          </cell>
          <cell r="Q2788" t="str">
            <v>SS400</v>
          </cell>
          <cell r="R2788" t="str">
            <v>E380400_01</v>
          </cell>
          <cell r="S2788">
            <v>1473</v>
          </cell>
          <cell r="T2788" t="str">
            <v>標準</v>
          </cell>
        </row>
        <row r="2789">
          <cell r="F2789" t="str">
            <v>H0000173841</v>
          </cell>
          <cell r="I2789" t="str">
            <v>フレーム</v>
          </cell>
          <cell r="J2789" t="str">
            <v>S-Frame_SX-80S_S_KKKK</v>
          </cell>
          <cell r="K2789" t="str">
            <v>S-フレーム_SX-80S_S_KKKK</v>
          </cell>
          <cell r="L2789" t="str">
            <v>S-Frame</v>
          </cell>
          <cell r="M2789" t="str">
            <v>S-フレーム</v>
          </cell>
          <cell r="P2789" t="str">
            <v>31B0</v>
          </cell>
          <cell r="Q2789" t="str">
            <v>SS400</v>
          </cell>
          <cell r="R2789" t="str">
            <v>E380400_01</v>
          </cell>
          <cell r="S2789">
            <v>1473</v>
          </cell>
          <cell r="T2789" t="str">
            <v>標準</v>
          </cell>
        </row>
        <row r="2790">
          <cell r="F2790" t="str">
            <v>H0000173842</v>
          </cell>
          <cell r="I2790" t="str">
            <v>フレーム</v>
          </cell>
          <cell r="J2790" t="str">
            <v>S-Frame_SX-80S_S_KKKK</v>
          </cell>
          <cell r="K2790" t="str">
            <v>S-フレーム_SX-80S_S_KKKK</v>
          </cell>
          <cell r="L2790" t="str">
            <v>S-Frame</v>
          </cell>
          <cell r="M2790" t="str">
            <v>S-フレーム</v>
          </cell>
          <cell r="P2790" t="str">
            <v>31B0</v>
          </cell>
          <cell r="Q2790" t="str">
            <v>SS400</v>
          </cell>
          <cell r="R2790" t="str">
            <v>E380400_01</v>
          </cell>
          <cell r="S2790">
            <v>1473</v>
          </cell>
          <cell r="T2790" t="str">
            <v>標準</v>
          </cell>
        </row>
        <row r="2791">
          <cell r="F2791" t="str">
            <v>H0000173843</v>
          </cell>
          <cell r="I2791" t="str">
            <v>フレーム</v>
          </cell>
          <cell r="J2791" t="str">
            <v>S-Frame_SX-80S_S_KKKK</v>
          </cell>
          <cell r="K2791" t="str">
            <v>S-フレーム_SX-80S_S_KKKK</v>
          </cell>
          <cell r="L2791" t="str">
            <v>S-Frame</v>
          </cell>
          <cell r="M2791" t="str">
            <v>S-フレーム</v>
          </cell>
          <cell r="P2791" t="str">
            <v>31B0</v>
          </cell>
          <cell r="Q2791" t="str">
            <v>SS400</v>
          </cell>
          <cell r="R2791" t="str">
            <v>E380400_01</v>
          </cell>
          <cell r="S2791">
            <v>1473</v>
          </cell>
          <cell r="T2791" t="str">
            <v>標準</v>
          </cell>
        </row>
        <row r="2792">
          <cell r="F2792" t="str">
            <v>H0000173844</v>
          </cell>
          <cell r="I2792" t="str">
            <v>フレーム</v>
          </cell>
          <cell r="J2792" t="str">
            <v>S-Frame_SX-80S_S_KKKK</v>
          </cell>
          <cell r="K2792" t="str">
            <v>S-フレーム_SX-80S_S_KKKK</v>
          </cell>
          <cell r="L2792" t="str">
            <v>S-Frame</v>
          </cell>
          <cell r="M2792" t="str">
            <v>S-フレーム</v>
          </cell>
          <cell r="P2792" t="str">
            <v>31B0</v>
          </cell>
          <cell r="Q2792" t="str">
            <v>SS400</v>
          </cell>
          <cell r="R2792" t="str">
            <v>E380400_01</v>
          </cell>
          <cell r="S2792">
            <v>1473</v>
          </cell>
          <cell r="T2792" t="str">
            <v>標準</v>
          </cell>
        </row>
        <row r="2793">
          <cell r="F2793" t="str">
            <v>H0000173845</v>
          </cell>
          <cell r="I2793" t="str">
            <v>フレーム</v>
          </cell>
          <cell r="J2793" t="str">
            <v>S-Frame_SX-80S_S_KKKK</v>
          </cell>
          <cell r="K2793" t="str">
            <v>S-フレーム_SX-80S_S_KKKK</v>
          </cell>
          <cell r="L2793" t="str">
            <v>S-Frame</v>
          </cell>
          <cell r="M2793" t="str">
            <v>S-フレーム</v>
          </cell>
          <cell r="P2793" t="str">
            <v>31B0</v>
          </cell>
          <cell r="Q2793" t="str">
            <v>SS400</v>
          </cell>
          <cell r="R2793" t="str">
            <v>E380400_01</v>
          </cell>
          <cell r="S2793">
            <v>1473</v>
          </cell>
          <cell r="T2793" t="str">
            <v>標準</v>
          </cell>
        </row>
        <row r="2794">
          <cell r="F2794" t="str">
            <v>H0000173846</v>
          </cell>
          <cell r="I2794" t="str">
            <v>フレーム</v>
          </cell>
          <cell r="J2794" t="str">
            <v>S-Frame_SX-80S_S_KKKK</v>
          </cell>
          <cell r="K2794" t="str">
            <v>S-フレーム_SX-80S_S_KKKK</v>
          </cell>
          <cell r="L2794" t="str">
            <v>S-Frame</v>
          </cell>
          <cell r="M2794" t="str">
            <v>S-フレーム</v>
          </cell>
          <cell r="P2794" t="str">
            <v>31B0</v>
          </cell>
          <cell r="Q2794" t="str">
            <v>SS400</v>
          </cell>
          <cell r="R2794" t="str">
            <v>E380400_01</v>
          </cell>
          <cell r="S2794">
            <v>1473</v>
          </cell>
          <cell r="T2794" t="str">
            <v>標準</v>
          </cell>
        </row>
        <row r="2795">
          <cell r="F2795" t="str">
            <v>H0000173847</v>
          </cell>
          <cell r="I2795" t="str">
            <v>フレーム</v>
          </cell>
          <cell r="J2795" t="str">
            <v>S-Frame_SX-80S_S_KKKK</v>
          </cell>
          <cell r="K2795" t="str">
            <v>S-フレーム_SX-80S_S_KKKK</v>
          </cell>
          <cell r="L2795" t="str">
            <v>S-Frame</v>
          </cell>
          <cell r="M2795" t="str">
            <v>S-フレーム</v>
          </cell>
          <cell r="P2795" t="str">
            <v>31B0</v>
          </cell>
          <cell r="Q2795" t="str">
            <v>SS400</v>
          </cell>
          <cell r="R2795" t="str">
            <v>E380400_01</v>
          </cell>
          <cell r="S2795">
            <v>1473</v>
          </cell>
          <cell r="T2795" t="str">
            <v>標準</v>
          </cell>
        </row>
        <row r="2796">
          <cell r="F2796" t="str">
            <v>H0000173848</v>
          </cell>
          <cell r="I2796" t="str">
            <v>フレーム</v>
          </cell>
          <cell r="J2796" t="str">
            <v>S-Frame_SX-80S_S_KKKK</v>
          </cell>
          <cell r="K2796" t="str">
            <v>S-フレーム_SX-80S_S_KKKK</v>
          </cell>
          <cell r="L2796" t="str">
            <v>S-Frame</v>
          </cell>
          <cell r="M2796" t="str">
            <v>S-フレーム</v>
          </cell>
          <cell r="P2796" t="str">
            <v>31B0</v>
          </cell>
          <cell r="Q2796" t="str">
            <v>SS400</v>
          </cell>
          <cell r="R2796" t="str">
            <v>E380400_01</v>
          </cell>
          <cell r="S2796">
            <v>1473</v>
          </cell>
          <cell r="T2796" t="str">
            <v>標準</v>
          </cell>
        </row>
        <row r="2797">
          <cell r="F2797" t="str">
            <v>H0000173849</v>
          </cell>
          <cell r="I2797" t="str">
            <v>フレーム</v>
          </cell>
          <cell r="J2797" t="str">
            <v>S-Frame_SX-80S_S_KKKK</v>
          </cell>
          <cell r="K2797" t="str">
            <v>S-フレーム_SX-80S_S_KKKK</v>
          </cell>
          <cell r="L2797" t="str">
            <v>S-Frame</v>
          </cell>
          <cell r="M2797" t="str">
            <v>S-フレーム</v>
          </cell>
          <cell r="P2797" t="str">
            <v>31B0</v>
          </cell>
          <cell r="Q2797" t="str">
            <v>SS400</v>
          </cell>
          <cell r="R2797" t="str">
            <v>E380400_01</v>
          </cell>
          <cell r="S2797">
            <v>1473</v>
          </cell>
          <cell r="T2797" t="str">
            <v>標準</v>
          </cell>
        </row>
        <row r="2798">
          <cell r="F2798" t="str">
            <v>H0000173850</v>
          </cell>
          <cell r="I2798" t="str">
            <v>フレーム</v>
          </cell>
          <cell r="J2798" t="str">
            <v>S-Frame_SX-80S_S_KKKK</v>
          </cell>
          <cell r="K2798" t="str">
            <v>S-フレーム_SX-80S_S_KKKK</v>
          </cell>
          <cell r="L2798" t="str">
            <v>S-Frame</v>
          </cell>
          <cell r="M2798" t="str">
            <v>S-フレーム</v>
          </cell>
          <cell r="P2798" t="str">
            <v>31B0</v>
          </cell>
          <cell r="Q2798" t="str">
            <v>SS400</v>
          </cell>
          <cell r="R2798" t="str">
            <v>E380400_01</v>
          </cell>
          <cell r="S2798">
            <v>1473</v>
          </cell>
          <cell r="T2798" t="str">
            <v>標準</v>
          </cell>
        </row>
        <row r="2799">
          <cell r="F2799" t="str">
            <v>H0000173851</v>
          </cell>
          <cell r="I2799" t="str">
            <v>フレーム</v>
          </cell>
          <cell r="J2799" t="str">
            <v>S-Frame_SX-80S_S_KKKK</v>
          </cell>
          <cell r="K2799" t="str">
            <v>S-フレーム_SX-80S_S_KKKK</v>
          </cell>
          <cell r="L2799" t="str">
            <v>S-Frame</v>
          </cell>
          <cell r="M2799" t="str">
            <v>S-フレーム</v>
          </cell>
          <cell r="P2799" t="str">
            <v>31B0</v>
          </cell>
          <cell r="Q2799" t="str">
            <v>SS400</v>
          </cell>
          <cell r="R2799" t="str">
            <v>E380400_01</v>
          </cell>
          <cell r="S2799">
            <v>1473</v>
          </cell>
          <cell r="T2799" t="str">
            <v>標準</v>
          </cell>
        </row>
        <row r="2800">
          <cell r="F2800" t="str">
            <v>H0000173852</v>
          </cell>
          <cell r="I2800" t="str">
            <v>フレーム</v>
          </cell>
          <cell r="J2800" t="str">
            <v>S-Frame_SX-80S_S_KKKK</v>
          </cell>
          <cell r="K2800" t="str">
            <v>S-フレーム_SX-80S_S_KKKK</v>
          </cell>
          <cell r="L2800" t="str">
            <v>S-Frame</v>
          </cell>
          <cell r="M2800" t="str">
            <v>S-フレーム</v>
          </cell>
          <cell r="P2800" t="str">
            <v>31B0</v>
          </cell>
          <cell r="Q2800" t="str">
            <v>SS400</v>
          </cell>
          <cell r="R2800" t="str">
            <v>E380400_01</v>
          </cell>
          <cell r="S2800">
            <v>1473</v>
          </cell>
          <cell r="T2800" t="str">
            <v>標準</v>
          </cell>
        </row>
        <row r="2801">
          <cell r="F2801" t="str">
            <v>H0000173853</v>
          </cell>
          <cell r="I2801" t="str">
            <v>フレーム</v>
          </cell>
          <cell r="J2801" t="str">
            <v>S-Frame_SX-80S_S_KKKK</v>
          </cell>
          <cell r="K2801" t="str">
            <v>S-フレーム_SX-80S_S_KKKK</v>
          </cell>
          <cell r="L2801" t="str">
            <v>S-Frame</v>
          </cell>
          <cell r="M2801" t="str">
            <v>S-フレーム</v>
          </cell>
          <cell r="P2801" t="str">
            <v>31B0</v>
          </cell>
          <cell r="Q2801" t="str">
            <v>SS400</v>
          </cell>
          <cell r="R2801" t="str">
            <v>E380400_01</v>
          </cell>
          <cell r="S2801">
            <v>1473</v>
          </cell>
          <cell r="T2801" t="str">
            <v>標準</v>
          </cell>
        </row>
        <row r="2802">
          <cell r="F2802" t="str">
            <v>H0000173854</v>
          </cell>
          <cell r="I2802" t="str">
            <v>フレーム</v>
          </cell>
          <cell r="J2802" t="str">
            <v>S-Frame_SX-80S_S_KKKK</v>
          </cell>
          <cell r="K2802" t="str">
            <v>S-フレーム_SX-80S_S_KKKK</v>
          </cell>
          <cell r="L2802" t="str">
            <v>S-Frame</v>
          </cell>
          <cell r="M2802" t="str">
            <v>S-フレーム</v>
          </cell>
          <cell r="P2802" t="str">
            <v>31B0</v>
          </cell>
          <cell r="Q2802" t="str">
            <v>SS400</v>
          </cell>
          <cell r="R2802" t="str">
            <v>E380400_01</v>
          </cell>
          <cell r="S2802">
            <v>1473</v>
          </cell>
          <cell r="T2802" t="str">
            <v>標準</v>
          </cell>
        </row>
        <row r="2803">
          <cell r="F2803" t="str">
            <v>H0000173855</v>
          </cell>
          <cell r="I2803" t="str">
            <v>フレーム</v>
          </cell>
          <cell r="J2803" t="str">
            <v>S-Frame_SX-80S_S_KKKK</v>
          </cell>
          <cell r="K2803" t="str">
            <v>S-フレーム_SX-80S_S_KKKK</v>
          </cell>
          <cell r="L2803" t="str">
            <v>S-Frame</v>
          </cell>
          <cell r="M2803" t="str">
            <v>S-フレーム</v>
          </cell>
          <cell r="P2803" t="str">
            <v>31B0</v>
          </cell>
          <cell r="Q2803" t="str">
            <v>SS400</v>
          </cell>
          <cell r="R2803" t="str">
            <v>E380400_01</v>
          </cell>
          <cell r="S2803">
            <v>1473</v>
          </cell>
          <cell r="T2803" t="str">
            <v>標準</v>
          </cell>
        </row>
        <row r="2804">
          <cell r="F2804" t="str">
            <v>H0000173856</v>
          </cell>
          <cell r="I2804" t="str">
            <v>フレーム</v>
          </cell>
          <cell r="J2804" t="str">
            <v>S-Frame_SX-80S_S_KKKK</v>
          </cell>
          <cell r="K2804" t="str">
            <v>S-フレーム_SX-80S_S_KKKK</v>
          </cell>
          <cell r="L2804" t="str">
            <v>S-Frame</v>
          </cell>
          <cell r="M2804" t="str">
            <v>S-フレーム</v>
          </cell>
          <cell r="P2804" t="str">
            <v>31B0</v>
          </cell>
          <cell r="Q2804" t="str">
            <v>SS400</v>
          </cell>
          <cell r="R2804" t="str">
            <v>E380400_01</v>
          </cell>
          <cell r="S2804">
            <v>1473</v>
          </cell>
          <cell r="T2804" t="str">
            <v>標準</v>
          </cell>
        </row>
        <row r="2805">
          <cell r="F2805" t="str">
            <v>H0000173857</v>
          </cell>
          <cell r="I2805" t="str">
            <v>フレーム</v>
          </cell>
          <cell r="J2805" t="str">
            <v>S-Frame_SX-80S_S_KKKK</v>
          </cell>
          <cell r="K2805" t="str">
            <v>S-フレーム_SX-80S_S_KKKK</v>
          </cell>
          <cell r="L2805" t="str">
            <v>S-Frame</v>
          </cell>
          <cell r="M2805" t="str">
            <v>S-フレーム</v>
          </cell>
          <cell r="P2805" t="str">
            <v>31B0</v>
          </cell>
          <cell r="Q2805" t="str">
            <v>SS400</v>
          </cell>
          <cell r="R2805" t="str">
            <v>E380400_01</v>
          </cell>
          <cell r="S2805">
            <v>1473</v>
          </cell>
          <cell r="T2805" t="str">
            <v>標準</v>
          </cell>
        </row>
        <row r="2806">
          <cell r="F2806" t="str">
            <v>H0000173858</v>
          </cell>
          <cell r="I2806" t="str">
            <v>フレーム</v>
          </cell>
          <cell r="J2806" t="str">
            <v>S-Frame_SX-80S_S_KKKK</v>
          </cell>
          <cell r="K2806" t="str">
            <v>S-フレーム_SX-80S_S_KKKK</v>
          </cell>
          <cell r="L2806" t="str">
            <v>S-Frame</v>
          </cell>
          <cell r="M2806" t="str">
            <v>S-フレーム</v>
          </cell>
          <cell r="P2806" t="str">
            <v>31B0</v>
          </cell>
          <cell r="Q2806" t="str">
            <v>SS400</v>
          </cell>
          <cell r="R2806" t="str">
            <v>E380400_01</v>
          </cell>
          <cell r="S2806">
            <v>1473</v>
          </cell>
          <cell r="T2806" t="str">
            <v>標準</v>
          </cell>
        </row>
        <row r="2807">
          <cell r="F2807" t="str">
            <v>H0000173859</v>
          </cell>
          <cell r="I2807" t="str">
            <v>フレーム</v>
          </cell>
          <cell r="J2807" t="str">
            <v>S-Frame_SX-80S_S_KKKK</v>
          </cell>
          <cell r="K2807" t="str">
            <v>S-フレーム_SX-80S_S_KKKK</v>
          </cell>
          <cell r="L2807" t="str">
            <v>S-Frame</v>
          </cell>
          <cell r="M2807" t="str">
            <v>S-フレーム</v>
          </cell>
          <cell r="P2807" t="str">
            <v>31B0</v>
          </cell>
          <cell r="Q2807" t="str">
            <v>SS400</v>
          </cell>
          <cell r="R2807" t="str">
            <v>E380400_01</v>
          </cell>
          <cell r="S2807">
            <v>1473</v>
          </cell>
          <cell r="T2807" t="str">
            <v>標準</v>
          </cell>
        </row>
        <row r="2808">
          <cell r="F2808" t="str">
            <v>H0000173860</v>
          </cell>
          <cell r="I2808" t="str">
            <v>フレーム</v>
          </cell>
          <cell r="J2808" t="str">
            <v>S-Frame_SX-80S_S_KKKK</v>
          </cell>
          <cell r="K2808" t="str">
            <v>S-フレーム_SX-80S_S_KKKK</v>
          </cell>
          <cell r="L2808" t="str">
            <v>S-Frame</v>
          </cell>
          <cell r="M2808" t="str">
            <v>S-フレーム</v>
          </cell>
          <cell r="P2808" t="str">
            <v>31B0</v>
          </cell>
          <cell r="Q2808" t="str">
            <v>SS400</v>
          </cell>
          <cell r="R2808" t="str">
            <v>E380400_01</v>
          </cell>
          <cell r="S2808">
            <v>1473</v>
          </cell>
          <cell r="T2808" t="str">
            <v>標準</v>
          </cell>
        </row>
        <row r="2809">
          <cell r="F2809" t="str">
            <v>H0000173861</v>
          </cell>
          <cell r="I2809" t="str">
            <v>フレーム</v>
          </cell>
          <cell r="J2809" t="str">
            <v>S-Frame_SX-80S_S_KKKK</v>
          </cell>
          <cell r="K2809" t="str">
            <v>S-フレーム_SX-80S_S_KKKK</v>
          </cell>
          <cell r="L2809" t="str">
            <v>S-Frame</v>
          </cell>
          <cell r="M2809" t="str">
            <v>S-フレーム</v>
          </cell>
          <cell r="P2809" t="str">
            <v>31B0</v>
          </cell>
          <cell r="Q2809" t="str">
            <v>SS400</v>
          </cell>
          <cell r="R2809" t="str">
            <v>E380400_01</v>
          </cell>
          <cell r="S2809">
            <v>1473</v>
          </cell>
          <cell r="T2809" t="str">
            <v>標準</v>
          </cell>
        </row>
        <row r="2810">
          <cell r="F2810" t="str">
            <v>H0000173862</v>
          </cell>
          <cell r="I2810" t="str">
            <v>フレーム</v>
          </cell>
          <cell r="J2810" t="str">
            <v>S-Frame_SX-80S_S_KKKK</v>
          </cell>
          <cell r="K2810" t="str">
            <v>S-フレーム_SX-80S_S_KKKK</v>
          </cell>
          <cell r="L2810" t="str">
            <v>S-Frame</v>
          </cell>
          <cell r="M2810" t="str">
            <v>S-フレーム</v>
          </cell>
          <cell r="P2810" t="str">
            <v>31B0</v>
          </cell>
          <cell r="Q2810" t="str">
            <v>SS400</v>
          </cell>
          <cell r="R2810" t="str">
            <v>E380400_01</v>
          </cell>
          <cell r="S2810">
            <v>1473</v>
          </cell>
          <cell r="T2810" t="str">
            <v>標準</v>
          </cell>
        </row>
        <row r="2811">
          <cell r="F2811" t="str">
            <v>H0000173863</v>
          </cell>
          <cell r="I2811" t="str">
            <v>フレーム</v>
          </cell>
          <cell r="J2811" t="str">
            <v>S-Frame_SX-80S_S_KKKK</v>
          </cell>
          <cell r="K2811" t="str">
            <v>S-フレーム_SX-80S_S_KKKK</v>
          </cell>
          <cell r="L2811" t="str">
            <v>S-Frame</v>
          </cell>
          <cell r="M2811" t="str">
            <v>S-フレーム</v>
          </cell>
          <cell r="P2811" t="str">
            <v>31B0</v>
          </cell>
          <cell r="Q2811" t="str">
            <v>SS400</v>
          </cell>
          <cell r="R2811" t="str">
            <v>E380400_01</v>
          </cell>
          <cell r="S2811">
            <v>1473</v>
          </cell>
          <cell r="T2811" t="str">
            <v>標準</v>
          </cell>
        </row>
        <row r="2812">
          <cell r="F2812" t="str">
            <v>H0000173864</v>
          </cell>
          <cell r="I2812" t="str">
            <v>フレーム</v>
          </cell>
          <cell r="J2812" t="str">
            <v>S-Frame_SX-80S_S_KKKK</v>
          </cell>
          <cell r="K2812" t="str">
            <v>S-フレーム_SX-80S_S_KKKK</v>
          </cell>
          <cell r="L2812" t="str">
            <v>S-Frame</v>
          </cell>
          <cell r="M2812" t="str">
            <v>S-フレーム</v>
          </cell>
          <cell r="P2812" t="str">
            <v>31B0</v>
          </cell>
          <cell r="Q2812" t="str">
            <v>SS400</v>
          </cell>
          <cell r="R2812" t="str">
            <v>E380400_01</v>
          </cell>
          <cell r="S2812">
            <v>1473</v>
          </cell>
          <cell r="T2812" t="str">
            <v>標準</v>
          </cell>
        </row>
        <row r="2813">
          <cell r="F2813" t="str">
            <v>H0000173865</v>
          </cell>
          <cell r="I2813" t="str">
            <v>フレーム</v>
          </cell>
          <cell r="J2813" t="str">
            <v>S-Frame_SX-80S_S_KKKK</v>
          </cell>
          <cell r="K2813" t="str">
            <v>S-フレーム_SX-80S_S_KKKK</v>
          </cell>
          <cell r="L2813" t="str">
            <v>S-Frame</v>
          </cell>
          <cell r="M2813" t="str">
            <v>S-フレーム</v>
          </cell>
          <cell r="P2813" t="str">
            <v>31B0</v>
          </cell>
          <cell r="Q2813" t="str">
            <v>SS400</v>
          </cell>
          <cell r="R2813" t="str">
            <v>E380400_01</v>
          </cell>
          <cell r="S2813">
            <v>1473</v>
          </cell>
          <cell r="T2813" t="str">
            <v>標準</v>
          </cell>
        </row>
        <row r="2814">
          <cell r="F2814" t="str">
            <v>H0000173866</v>
          </cell>
          <cell r="I2814" t="str">
            <v>フレーム</v>
          </cell>
          <cell r="J2814" t="str">
            <v>S-Frame_SX-80S_S_KKKK</v>
          </cell>
          <cell r="K2814" t="str">
            <v>S-フレーム_SX-80S_S_KKKK</v>
          </cell>
          <cell r="L2814" t="str">
            <v>S-Frame</v>
          </cell>
          <cell r="M2814" t="str">
            <v>S-フレーム</v>
          </cell>
          <cell r="P2814" t="str">
            <v>31B0</v>
          </cell>
          <cell r="Q2814" t="str">
            <v>SS400</v>
          </cell>
          <cell r="R2814" t="str">
            <v>E380400_01</v>
          </cell>
          <cell r="S2814">
            <v>1473</v>
          </cell>
          <cell r="T2814" t="str">
            <v>標準</v>
          </cell>
        </row>
        <row r="2815">
          <cell r="F2815" t="str">
            <v>H0000173867</v>
          </cell>
          <cell r="I2815" t="str">
            <v>フレーム</v>
          </cell>
          <cell r="J2815" t="str">
            <v>S-Frame_SX-80S_S_KKKK</v>
          </cell>
          <cell r="K2815" t="str">
            <v>S-フレーム_SX-80S_S_KKKK</v>
          </cell>
          <cell r="L2815" t="str">
            <v>S-Frame</v>
          </cell>
          <cell r="M2815" t="str">
            <v>S-フレーム</v>
          </cell>
          <cell r="P2815" t="str">
            <v>31B0</v>
          </cell>
          <cell r="Q2815" t="str">
            <v>SS400</v>
          </cell>
          <cell r="R2815" t="str">
            <v>E380400_01</v>
          </cell>
          <cell r="S2815">
            <v>1473</v>
          </cell>
          <cell r="T2815" t="str">
            <v>標準</v>
          </cell>
        </row>
        <row r="2816">
          <cell r="F2816" t="str">
            <v>H0000173868</v>
          </cell>
          <cell r="I2816" t="str">
            <v>フレーム</v>
          </cell>
          <cell r="J2816" t="str">
            <v>S-Frame_SX-80S_S_KKKK</v>
          </cell>
          <cell r="K2816" t="str">
            <v>S-フレーム_SX-80S_S_KKKK</v>
          </cell>
          <cell r="L2816" t="str">
            <v>S-Frame</v>
          </cell>
          <cell r="M2816" t="str">
            <v>S-フレーム</v>
          </cell>
          <cell r="P2816" t="str">
            <v>31B0</v>
          </cell>
          <cell r="Q2816" t="str">
            <v>SS400</v>
          </cell>
          <cell r="R2816" t="str">
            <v>E380400_01</v>
          </cell>
          <cell r="S2816">
            <v>1473</v>
          </cell>
          <cell r="T2816" t="str">
            <v>標準</v>
          </cell>
        </row>
        <row r="2817">
          <cell r="F2817" t="str">
            <v>H0000173869</v>
          </cell>
          <cell r="I2817" t="str">
            <v>フレーム</v>
          </cell>
          <cell r="J2817" t="str">
            <v>S-Frame_SX-80S_S_KKKK</v>
          </cell>
          <cell r="K2817" t="str">
            <v>S-フレーム_SX-80S_S_KKKK</v>
          </cell>
          <cell r="L2817" t="str">
            <v>S-Frame</v>
          </cell>
          <cell r="M2817" t="str">
            <v>S-フレーム</v>
          </cell>
          <cell r="P2817" t="str">
            <v>31B0</v>
          </cell>
          <cell r="Q2817" t="str">
            <v>SS400</v>
          </cell>
          <cell r="R2817" t="str">
            <v>E380400_01</v>
          </cell>
          <cell r="S2817">
            <v>1473</v>
          </cell>
          <cell r="T2817" t="str">
            <v>標準</v>
          </cell>
        </row>
        <row r="2818">
          <cell r="F2818" t="str">
            <v>H0000173870</v>
          </cell>
          <cell r="I2818" t="str">
            <v>フレーム</v>
          </cell>
          <cell r="J2818" t="str">
            <v>S-Frame_SX-80S_S_KKKK</v>
          </cell>
          <cell r="K2818" t="str">
            <v>S-フレーム_SX-80S_S_KKKK</v>
          </cell>
          <cell r="L2818" t="str">
            <v>S-Frame</v>
          </cell>
          <cell r="M2818" t="str">
            <v>S-フレーム</v>
          </cell>
          <cell r="P2818" t="str">
            <v>31B0</v>
          </cell>
          <cell r="Q2818" t="str">
            <v>SS400</v>
          </cell>
          <cell r="R2818" t="str">
            <v>E380400_01</v>
          </cell>
          <cell r="S2818">
            <v>1473</v>
          </cell>
          <cell r="T2818" t="str">
            <v>標準</v>
          </cell>
        </row>
        <row r="2819">
          <cell r="F2819" t="str">
            <v>H0000173871</v>
          </cell>
          <cell r="I2819" t="str">
            <v>フレーム</v>
          </cell>
          <cell r="J2819" t="str">
            <v>S-Frame_SX-80S_S_KKKK</v>
          </cell>
          <cell r="K2819" t="str">
            <v>S-フレーム_SX-80S_S_KKKK</v>
          </cell>
          <cell r="L2819" t="str">
            <v>S-Frame</v>
          </cell>
          <cell r="M2819" t="str">
            <v>S-フレーム</v>
          </cell>
          <cell r="P2819" t="str">
            <v>31B0</v>
          </cell>
          <cell r="Q2819" t="str">
            <v>SS400</v>
          </cell>
          <cell r="R2819" t="str">
            <v>E380400_01</v>
          </cell>
          <cell r="S2819">
            <v>1473</v>
          </cell>
          <cell r="T2819" t="str">
            <v>標準</v>
          </cell>
        </row>
        <row r="2820">
          <cell r="F2820" t="str">
            <v>H0000173872</v>
          </cell>
          <cell r="I2820" t="str">
            <v>フレーム</v>
          </cell>
          <cell r="J2820" t="str">
            <v>S-Frame_SX-80S_S_KKKK</v>
          </cell>
          <cell r="K2820" t="str">
            <v>S-フレーム_SX-80S_S_KKKK</v>
          </cell>
          <cell r="L2820" t="str">
            <v>S-Frame</v>
          </cell>
          <cell r="M2820" t="str">
            <v>S-フレーム</v>
          </cell>
          <cell r="P2820" t="str">
            <v>31B0</v>
          </cell>
          <cell r="Q2820" t="str">
            <v>SS400</v>
          </cell>
          <cell r="R2820" t="str">
            <v>E380400_01</v>
          </cell>
          <cell r="S2820">
            <v>1473</v>
          </cell>
          <cell r="T2820" t="str">
            <v>標準</v>
          </cell>
        </row>
        <row r="2821">
          <cell r="F2821" t="str">
            <v>H0000173873</v>
          </cell>
          <cell r="I2821" t="str">
            <v>フレーム</v>
          </cell>
          <cell r="J2821" t="str">
            <v>S-Frame_SX-80S_S_KKKK</v>
          </cell>
          <cell r="K2821" t="str">
            <v>S-フレーム_SX-80S_S_KKKK</v>
          </cell>
          <cell r="L2821" t="str">
            <v>S-Frame</v>
          </cell>
          <cell r="M2821" t="str">
            <v>S-フレーム</v>
          </cell>
          <cell r="P2821" t="str">
            <v>31B0</v>
          </cell>
          <cell r="Q2821" t="str">
            <v>SS400</v>
          </cell>
          <cell r="R2821" t="str">
            <v>E380400_01</v>
          </cell>
          <cell r="S2821">
            <v>1473</v>
          </cell>
          <cell r="T2821" t="str">
            <v>標準</v>
          </cell>
        </row>
        <row r="2822">
          <cell r="F2822" t="str">
            <v>H0000173874</v>
          </cell>
          <cell r="I2822" t="str">
            <v>フレーム</v>
          </cell>
          <cell r="J2822" t="str">
            <v>S-Frame_SX-80S_S_KKKK</v>
          </cell>
          <cell r="K2822" t="str">
            <v>S-フレーム_SX-80S_S_KKKK</v>
          </cell>
          <cell r="L2822" t="str">
            <v>S-Frame</v>
          </cell>
          <cell r="M2822" t="str">
            <v>S-フレーム</v>
          </cell>
          <cell r="P2822" t="str">
            <v>31B0</v>
          </cell>
          <cell r="Q2822" t="str">
            <v>SS400</v>
          </cell>
          <cell r="R2822" t="str">
            <v>E380400_01</v>
          </cell>
          <cell r="S2822">
            <v>1473</v>
          </cell>
          <cell r="T2822" t="str">
            <v>標準</v>
          </cell>
        </row>
        <row r="2823">
          <cell r="F2823" t="str">
            <v>H0000173875</v>
          </cell>
          <cell r="I2823" t="str">
            <v>フレーム</v>
          </cell>
          <cell r="J2823" t="str">
            <v>S-Frame_SX-80S_S_KKKK</v>
          </cell>
          <cell r="K2823" t="str">
            <v>S-フレーム_SX-80S_S_KKKK</v>
          </cell>
          <cell r="L2823" t="str">
            <v>S-Frame</v>
          </cell>
          <cell r="M2823" t="str">
            <v>S-フレーム</v>
          </cell>
          <cell r="P2823" t="str">
            <v>31B0</v>
          </cell>
          <cell r="Q2823" t="str">
            <v>SS400</v>
          </cell>
          <cell r="R2823" t="str">
            <v>E380400_01</v>
          </cell>
          <cell r="S2823">
            <v>1473</v>
          </cell>
          <cell r="T2823" t="str">
            <v>標準</v>
          </cell>
        </row>
        <row r="2824">
          <cell r="F2824" t="str">
            <v>H0000173876</v>
          </cell>
          <cell r="I2824" t="str">
            <v>フレーム</v>
          </cell>
          <cell r="J2824" t="str">
            <v>S-Frame_SX-80S_S_KKKK</v>
          </cell>
          <cell r="K2824" t="str">
            <v>S-フレーム_SX-80S_S_KKKK</v>
          </cell>
          <cell r="L2824" t="str">
            <v>S-Frame</v>
          </cell>
          <cell r="M2824" t="str">
            <v>S-フレーム</v>
          </cell>
          <cell r="P2824" t="str">
            <v>31B0</v>
          </cell>
          <cell r="Q2824" t="str">
            <v>SS400</v>
          </cell>
          <cell r="R2824" t="str">
            <v>E380400_01</v>
          </cell>
          <cell r="S2824">
            <v>1473</v>
          </cell>
          <cell r="T2824" t="str">
            <v>標準</v>
          </cell>
        </row>
        <row r="2825">
          <cell r="F2825" t="str">
            <v>H0000173877</v>
          </cell>
          <cell r="I2825" t="str">
            <v>フレーム</v>
          </cell>
          <cell r="J2825" t="str">
            <v>S-Frame_SX-80S_S_KKKK</v>
          </cell>
          <cell r="K2825" t="str">
            <v>S-フレーム_SX-80S_S_KKKK</v>
          </cell>
          <cell r="L2825" t="str">
            <v>S-Frame</v>
          </cell>
          <cell r="M2825" t="str">
            <v>S-フレーム</v>
          </cell>
          <cell r="P2825" t="str">
            <v>31B0</v>
          </cell>
          <cell r="Q2825" t="str">
            <v>SS400</v>
          </cell>
          <cell r="R2825" t="str">
            <v>E380400_01</v>
          </cell>
          <cell r="S2825">
            <v>1473</v>
          </cell>
          <cell r="T2825" t="str">
            <v>標準</v>
          </cell>
        </row>
        <row r="2826">
          <cell r="F2826" t="str">
            <v>H0000173878</v>
          </cell>
          <cell r="I2826" t="str">
            <v>フレーム</v>
          </cell>
          <cell r="J2826" t="str">
            <v>S-Frame_SX-80S_S_KKKK</v>
          </cell>
          <cell r="K2826" t="str">
            <v>S-フレーム_SX-80S_S_KKKK</v>
          </cell>
          <cell r="L2826" t="str">
            <v>S-Frame</v>
          </cell>
          <cell r="M2826" t="str">
            <v>S-フレーム</v>
          </cell>
          <cell r="P2826" t="str">
            <v>31B0</v>
          </cell>
          <cell r="Q2826" t="str">
            <v>SS400</v>
          </cell>
          <cell r="R2826" t="str">
            <v>E380400_01</v>
          </cell>
          <cell r="S2826">
            <v>1473</v>
          </cell>
          <cell r="T2826" t="str">
            <v>標準</v>
          </cell>
        </row>
        <row r="2827">
          <cell r="F2827" t="str">
            <v>H0000173879</v>
          </cell>
          <cell r="I2827" t="str">
            <v>フレーム</v>
          </cell>
          <cell r="J2827" t="str">
            <v>S-Frame_SX-80S_S_KKKK</v>
          </cell>
          <cell r="K2827" t="str">
            <v>S-フレーム_SX-80S_S_KKKK</v>
          </cell>
          <cell r="L2827" t="str">
            <v>S-Frame</v>
          </cell>
          <cell r="M2827" t="str">
            <v>S-フレーム</v>
          </cell>
          <cell r="P2827" t="str">
            <v>31B0</v>
          </cell>
          <cell r="Q2827" t="str">
            <v>SS400</v>
          </cell>
          <cell r="R2827" t="str">
            <v>E380400_01</v>
          </cell>
          <cell r="S2827">
            <v>1473</v>
          </cell>
          <cell r="T2827" t="str">
            <v>標準</v>
          </cell>
        </row>
        <row r="2828">
          <cell r="F2828" t="str">
            <v>H0000173880</v>
          </cell>
          <cell r="I2828" t="str">
            <v>フレーム</v>
          </cell>
          <cell r="J2828" t="str">
            <v>S-Frame_SX-80S_S_KKKK</v>
          </cell>
          <cell r="K2828" t="str">
            <v>S-フレーム_SX-80S_S_KKKK</v>
          </cell>
          <cell r="L2828" t="str">
            <v>S-Frame</v>
          </cell>
          <cell r="M2828" t="str">
            <v>S-フレーム</v>
          </cell>
          <cell r="P2828" t="str">
            <v>31B0</v>
          </cell>
          <cell r="Q2828" t="str">
            <v>SS400</v>
          </cell>
          <cell r="R2828" t="str">
            <v>E380400_01</v>
          </cell>
          <cell r="S2828">
            <v>1473</v>
          </cell>
          <cell r="T2828" t="str">
            <v>標準</v>
          </cell>
        </row>
        <row r="2829">
          <cell r="F2829" t="str">
            <v>H0000173881</v>
          </cell>
          <cell r="I2829" t="str">
            <v>フレーム</v>
          </cell>
          <cell r="J2829" t="str">
            <v>S-Frame_SX-80S_S_KKKK</v>
          </cell>
          <cell r="K2829" t="str">
            <v>S-フレーム_SX-80S_S_KKKK</v>
          </cell>
          <cell r="L2829" t="str">
            <v>S-Frame</v>
          </cell>
          <cell r="M2829" t="str">
            <v>S-フレーム</v>
          </cell>
          <cell r="P2829" t="str">
            <v>31B0</v>
          </cell>
          <cell r="Q2829" t="str">
            <v>SS400</v>
          </cell>
          <cell r="R2829" t="str">
            <v>E380400_01</v>
          </cell>
          <cell r="S2829">
            <v>1473</v>
          </cell>
          <cell r="T2829" t="str">
            <v>標準</v>
          </cell>
        </row>
        <row r="2830">
          <cell r="F2830" t="str">
            <v>H0000173882</v>
          </cell>
          <cell r="I2830" t="str">
            <v>フレーム</v>
          </cell>
          <cell r="J2830" t="str">
            <v>S-Frame_SX-80S_S_KKKK</v>
          </cell>
          <cell r="K2830" t="str">
            <v>S-フレーム_SX-80S_S_KKKK</v>
          </cell>
          <cell r="L2830" t="str">
            <v>S-Frame</v>
          </cell>
          <cell r="M2830" t="str">
            <v>S-フレーム</v>
          </cell>
          <cell r="P2830" t="str">
            <v>31B0</v>
          </cell>
          <cell r="Q2830" t="str">
            <v>SS400</v>
          </cell>
          <cell r="R2830" t="str">
            <v>E380400_01</v>
          </cell>
          <cell r="S2830">
            <v>1473</v>
          </cell>
          <cell r="T2830" t="str">
            <v>標準</v>
          </cell>
        </row>
        <row r="2831">
          <cell r="F2831" t="str">
            <v>H0000173883</v>
          </cell>
          <cell r="I2831" t="str">
            <v>フレーム</v>
          </cell>
          <cell r="J2831" t="str">
            <v>S-Frame_SX-80S_S_KKKK</v>
          </cell>
          <cell r="K2831" t="str">
            <v>S-フレーム_SX-80S_S_KKKK</v>
          </cell>
          <cell r="L2831" t="str">
            <v>S-Frame</v>
          </cell>
          <cell r="M2831" t="str">
            <v>S-フレーム</v>
          </cell>
          <cell r="P2831" t="str">
            <v>31B0</v>
          </cell>
          <cell r="Q2831" t="str">
            <v>SS400</v>
          </cell>
          <cell r="R2831" t="str">
            <v>E380400_01</v>
          </cell>
          <cell r="S2831">
            <v>1473</v>
          </cell>
          <cell r="T2831" t="str">
            <v>標準</v>
          </cell>
        </row>
        <row r="2832">
          <cell r="F2832" t="str">
            <v>H0000173884</v>
          </cell>
          <cell r="I2832" t="str">
            <v>フレーム</v>
          </cell>
          <cell r="J2832" t="str">
            <v>S-Frame_SX-80S_S_KKKK</v>
          </cell>
          <cell r="K2832" t="str">
            <v>S-フレーム_SX-80S_S_KKKK</v>
          </cell>
          <cell r="L2832" t="str">
            <v>S-Frame</v>
          </cell>
          <cell r="M2832" t="str">
            <v>S-フレーム</v>
          </cell>
          <cell r="P2832" t="str">
            <v>31B0</v>
          </cell>
          <cell r="Q2832" t="str">
            <v>SS400</v>
          </cell>
          <cell r="R2832" t="str">
            <v>E380400_01</v>
          </cell>
          <cell r="S2832">
            <v>1473</v>
          </cell>
          <cell r="T2832" t="str">
            <v>標準</v>
          </cell>
        </row>
        <row r="2833">
          <cell r="F2833" t="str">
            <v>H0000173885</v>
          </cell>
          <cell r="I2833" t="str">
            <v>フレーム</v>
          </cell>
          <cell r="J2833" t="str">
            <v>S-Frame_SX-80S_S_KKKK</v>
          </cell>
          <cell r="K2833" t="str">
            <v>S-フレーム_SX-80S_S_KKKK</v>
          </cell>
          <cell r="L2833" t="str">
            <v>S-Frame</v>
          </cell>
          <cell r="M2833" t="str">
            <v>S-フレーム</v>
          </cell>
          <cell r="P2833" t="str">
            <v>31B0</v>
          </cell>
          <cell r="Q2833" t="str">
            <v>SS400</v>
          </cell>
          <cell r="R2833" t="str">
            <v>E380400_01</v>
          </cell>
          <cell r="S2833">
            <v>1473</v>
          </cell>
          <cell r="T2833" t="str">
            <v>標準</v>
          </cell>
        </row>
        <row r="2834">
          <cell r="F2834" t="str">
            <v>H0000173886</v>
          </cell>
          <cell r="I2834" t="str">
            <v>フレーム</v>
          </cell>
          <cell r="J2834" t="str">
            <v>S-Frame_GasCutting_SX-80S_S_1234</v>
          </cell>
          <cell r="K2834" t="str">
            <v>S-フレーム_ガス溶断_SX-80S_S_1234</v>
          </cell>
          <cell r="L2834" t="str">
            <v>S-Frame</v>
          </cell>
          <cell r="M2834" t="str">
            <v>S-フレーム</v>
          </cell>
          <cell r="N2834" t="str">
            <v>GasCutting</v>
          </cell>
          <cell r="O2834" t="str">
            <v>ガス溶断</v>
          </cell>
          <cell r="P2834" t="str">
            <v>31B0</v>
          </cell>
          <cell r="Q2834" t="str">
            <v>SS400</v>
          </cell>
          <cell r="R2834" t="str">
            <v>E380400_01</v>
          </cell>
          <cell r="S2834">
            <v>1473</v>
          </cell>
          <cell r="T2834" t="str">
            <v>標準</v>
          </cell>
        </row>
        <row r="2835">
          <cell r="F2835" t="str">
            <v>H0000173887</v>
          </cell>
          <cell r="I2835" t="str">
            <v>フレーム</v>
          </cell>
          <cell r="J2835" t="str">
            <v>S-Frame_GasCutting_SX-80S_S_1234</v>
          </cell>
          <cell r="K2835" t="str">
            <v>S-フレーム_ガス溶断_SX-80S_S_1234</v>
          </cell>
          <cell r="L2835" t="str">
            <v>S-Frame</v>
          </cell>
          <cell r="M2835" t="str">
            <v>S-フレーム</v>
          </cell>
          <cell r="N2835" t="str">
            <v>GasCutting</v>
          </cell>
          <cell r="O2835" t="str">
            <v>ガス溶断</v>
          </cell>
          <cell r="P2835" t="str">
            <v>31B0</v>
          </cell>
          <cell r="Q2835" t="str">
            <v>SS400</v>
          </cell>
          <cell r="R2835" t="str">
            <v>E380400_01</v>
          </cell>
          <cell r="S2835">
            <v>1473</v>
          </cell>
          <cell r="T2835" t="str">
            <v>標準</v>
          </cell>
        </row>
        <row r="2836">
          <cell r="F2836" t="str">
            <v>H0000173888</v>
          </cell>
          <cell r="I2836" t="str">
            <v>フレーム</v>
          </cell>
          <cell r="J2836" t="str">
            <v>S-Frame_GasCutting_SX-80S_S_1234</v>
          </cell>
          <cell r="K2836" t="str">
            <v>S-フレーム_ガス溶断_SX-80S_S_1234</v>
          </cell>
          <cell r="L2836" t="str">
            <v>S-Frame</v>
          </cell>
          <cell r="M2836" t="str">
            <v>S-フレーム</v>
          </cell>
          <cell r="N2836" t="str">
            <v>GasCutting</v>
          </cell>
          <cell r="O2836" t="str">
            <v>ガス溶断</v>
          </cell>
          <cell r="P2836" t="str">
            <v>31B0</v>
          </cell>
          <cell r="Q2836" t="str">
            <v>SS400</v>
          </cell>
          <cell r="R2836" t="str">
            <v>E380400_01</v>
          </cell>
          <cell r="S2836">
            <v>1473</v>
          </cell>
          <cell r="T2836" t="str">
            <v>標準</v>
          </cell>
        </row>
        <row r="2837">
          <cell r="F2837" t="str">
            <v>H0000173889</v>
          </cell>
          <cell r="I2837" t="str">
            <v>フレーム</v>
          </cell>
          <cell r="J2837" t="str">
            <v>S-Frame_GasCutting_SX-80S_S_1234</v>
          </cell>
          <cell r="K2837" t="str">
            <v>S-フレーム_ガス溶断_SX-80S_S_1234</v>
          </cell>
          <cell r="L2837" t="str">
            <v>S-Frame</v>
          </cell>
          <cell r="M2837" t="str">
            <v>S-フレーム</v>
          </cell>
          <cell r="N2837" t="str">
            <v>GasCutting</v>
          </cell>
          <cell r="O2837" t="str">
            <v>ガス溶断</v>
          </cell>
          <cell r="P2837" t="str">
            <v>31B0</v>
          </cell>
          <cell r="Q2837" t="str">
            <v>SS400</v>
          </cell>
          <cell r="R2837" t="str">
            <v>E380400_01</v>
          </cell>
          <cell r="S2837">
            <v>1473</v>
          </cell>
          <cell r="T2837" t="str">
            <v>標準</v>
          </cell>
        </row>
        <row r="2838">
          <cell r="F2838" t="str">
            <v>H0000173890</v>
          </cell>
          <cell r="I2838" t="str">
            <v>フレーム</v>
          </cell>
          <cell r="J2838" t="str">
            <v>Rib_SX-80S_S_W1090,H250,T60</v>
          </cell>
          <cell r="K2838" t="str">
            <v>リブ_SX-80S_S_W1090,H250,T60</v>
          </cell>
          <cell r="L2838" t="str">
            <v>Rib</v>
          </cell>
          <cell r="M2838" t="str">
            <v>リブ</v>
          </cell>
          <cell r="P2838" t="str">
            <v>31B0</v>
          </cell>
          <cell r="Q2838" t="str">
            <v>SS400</v>
          </cell>
          <cell r="R2838" t="str">
            <v>E380400_02</v>
          </cell>
          <cell r="S2838">
            <v>125</v>
          </cell>
          <cell r="T2838" t="str">
            <v>標準</v>
          </cell>
        </row>
        <row r="2839">
          <cell r="F2839" t="str">
            <v>H0000173891</v>
          </cell>
          <cell r="I2839" t="str">
            <v>フレーム</v>
          </cell>
          <cell r="J2839" t="str">
            <v>S-Frame_SX-80M_N_NNNN</v>
          </cell>
          <cell r="K2839" t="str">
            <v>S-フレーム_SX-80M_N_NNNN</v>
          </cell>
          <cell r="L2839" t="str">
            <v>S-Frame</v>
          </cell>
          <cell r="M2839" t="str">
            <v>S-フレーム</v>
          </cell>
          <cell r="P2839" t="str">
            <v>31B0</v>
          </cell>
          <cell r="Q2839" t="str">
            <v>SS400</v>
          </cell>
          <cell r="R2839" t="str">
            <v>E367804_01</v>
          </cell>
          <cell r="S2839">
            <v>1347</v>
          </cell>
          <cell r="T2839" t="str">
            <v>標準</v>
          </cell>
        </row>
        <row r="2840">
          <cell r="F2840" t="str">
            <v>H0000173892</v>
          </cell>
          <cell r="I2840" t="str">
            <v>フレーム</v>
          </cell>
          <cell r="J2840" t="str">
            <v>S-Frame_SX-80M_N_NNNN</v>
          </cell>
          <cell r="K2840" t="str">
            <v>S-フレーム_SX-80M_N_NNNN</v>
          </cell>
          <cell r="L2840" t="str">
            <v>S-Frame</v>
          </cell>
          <cell r="M2840" t="str">
            <v>S-フレーム</v>
          </cell>
          <cell r="P2840" t="str">
            <v>31B0</v>
          </cell>
          <cell r="Q2840" t="str">
            <v>SS400</v>
          </cell>
          <cell r="R2840" t="str">
            <v>E367804_01</v>
          </cell>
          <cell r="S2840">
            <v>1347</v>
          </cell>
          <cell r="T2840" t="str">
            <v>標準</v>
          </cell>
        </row>
        <row r="2841">
          <cell r="F2841" t="str">
            <v>H0000173893</v>
          </cell>
          <cell r="I2841" t="str">
            <v>フレーム</v>
          </cell>
          <cell r="J2841" t="str">
            <v>S-Frame_SX-80M_N_NNNN</v>
          </cell>
          <cell r="K2841" t="str">
            <v>S-フレーム_SX-80M_N_NNNN</v>
          </cell>
          <cell r="L2841" t="str">
            <v>S-Frame</v>
          </cell>
          <cell r="M2841" t="str">
            <v>S-フレーム</v>
          </cell>
          <cell r="P2841" t="str">
            <v>31B0</v>
          </cell>
          <cell r="Q2841" t="str">
            <v>SS400</v>
          </cell>
          <cell r="R2841" t="str">
            <v>E367804_01</v>
          </cell>
          <cell r="S2841">
            <v>1347</v>
          </cell>
          <cell r="T2841" t="str">
            <v>標準</v>
          </cell>
        </row>
        <row r="2842">
          <cell r="F2842" t="str">
            <v>H0000173894</v>
          </cell>
          <cell r="I2842" t="str">
            <v>フレーム</v>
          </cell>
          <cell r="J2842" t="str">
            <v>S-Frame_SX-80M_N_NNNN</v>
          </cell>
          <cell r="K2842" t="str">
            <v>S-フレーム_SX-80M_N_NNNN</v>
          </cell>
          <cell r="L2842" t="str">
            <v>S-Frame</v>
          </cell>
          <cell r="M2842" t="str">
            <v>S-フレーム</v>
          </cell>
          <cell r="P2842" t="str">
            <v>31B0</v>
          </cell>
          <cell r="Q2842" t="str">
            <v>SS400</v>
          </cell>
          <cell r="R2842" t="str">
            <v>E367804_01</v>
          </cell>
          <cell r="S2842">
            <v>1347</v>
          </cell>
          <cell r="T2842" t="str">
            <v>標準</v>
          </cell>
        </row>
        <row r="2843">
          <cell r="F2843" t="str">
            <v>H0000173895</v>
          </cell>
          <cell r="I2843" t="str">
            <v>フレーム</v>
          </cell>
          <cell r="J2843" t="str">
            <v>S-Frame_SX-80M_N_NNNN</v>
          </cell>
          <cell r="K2843" t="str">
            <v>S-フレーム_SX-80M_N_NNNN</v>
          </cell>
          <cell r="L2843" t="str">
            <v>S-Frame</v>
          </cell>
          <cell r="M2843" t="str">
            <v>S-フレーム</v>
          </cell>
          <cell r="P2843" t="str">
            <v>31B0</v>
          </cell>
          <cell r="Q2843" t="str">
            <v>SS400</v>
          </cell>
          <cell r="R2843" t="str">
            <v>E367804_01</v>
          </cell>
          <cell r="S2843">
            <v>1347</v>
          </cell>
          <cell r="T2843" t="str">
            <v>標準</v>
          </cell>
        </row>
        <row r="2844">
          <cell r="F2844" t="str">
            <v>H0000173896</v>
          </cell>
          <cell r="I2844" t="str">
            <v>フレーム</v>
          </cell>
          <cell r="J2844" t="str">
            <v>S-Frame_SX-80M_N_NNNN</v>
          </cell>
          <cell r="K2844" t="str">
            <v>S-フレーム_SX-80M_N_NNNN</v>
          </cell>
          <cell r="L2844" t="str">
            <v>S-Frame</v>
          </cell>
          <cell r="M2844" t="str">
            <v>S-フレーム</v>
          </cell>
          <cell r="P2844" t="str">
            <v>31B0</v>
          </cell>
          <cell r="Q2844" t="str">
            <v>SS400</v>
          </cell>
          <cell r="R2844" t="str">
            <v>E367804_01</v>
          </cell>
          <cell r="S2844">
            <v>1347</v>
          </cell>
          <cell r="T2844" t="str">
            <v>標準</v>
          </cell>
        </row>
        <row r="2845">
          <cell r="F2845" t="str">
            <v>H0000173897</v>
          </cell>
          <cell r="I2845" t="str">
            <v>フレーム</v>
          </cell>
          <cell r="J2845" t="str">
            <v>S-Frame_SX-80M_N_NNNN</v>
          </cell>
          <cell r="K2845" t="str">
            <v>S-フレーム_SX-80M_N_NNNN</v>
          </cell>
          <cell r="L2845" t="str">
            <v>S-Frame</v>
          </cell>
          <cell r="M2845" t="str">
            <v>S-フレーム</v>
          </cell>
          <cell r="P2845" t="str">
            <v>31B0</v>
          </cell>
          <cell r="Q2845" t="str">
            <v>SS400</v>
          </cell>
          <cell r="R2845" t="str">
            <v>E367804_01</v>
          </cell>
          <cell r="S2845">
            <v>1347</v>
          </cell>
          <cell r="T2845" t="str">
            <v>標準</v>
          </cell>
        </row>
        <row r="2846">
          <cell r="F2846" t="str">
            <v>H0000173898</v>
          </cell>
          <cell r="I2846" t="str">
            <v>フレーム</v>
          </cell>
          <cell r="J2846" t="str">
            <v>S-Frame_SX-80M_N_NNNN</v>
          </cell>
          <cell r="K2846" t="str">
            <v>S-フレーム_SX-80M_N_NNNN</v>
          </cell>
          <cell r="L2846" t="str">
            <v>S-Frame</v>
          </cell>
          <cell r="M2846" t="str">
            <v>S-フレーム</v>
          </cell>
          <cell r="P2846" t="str">
            <v>31B0</v>
          </cell>
          <cell r="Q2846" t="str">
            <v>SS400</v>
          </cell>
          <cell r="R2846" t="str">
            <v>E367804_01</v>
          </cell>
          <cell r="S2846">
            <v>1347</v>
          </cell>
          <cell r="T2846" t="str">
            <v>標準</v>
          </cell>
        </row>
        <row r="2847">
          <cell r="F2847" t="str">
            <v>H0000173899</v>
          </cell>
          <cell r="I2847" t="str">
            <v>フレーム</v>
          </cell>
          <cell r="J2847" t="str">
            <v>S-Frame_SX-80M_N_NNNN</v>
          </cell>
          <cell r="K2847" t="str">
            <v>S-フレーム_SX-80M_N_NNNN</v>
          </cell>
          <cell r="L2847" t="str">
            <v>S-Frame</v>
          </cell>
          <cell r="M2847" t="str">
            <v>S-フレーム</v>
          </cell>
          <cell r="P2847" t="str">
            <v>31B0</v>
          </cell>
          <cell r="Q2847" t="str">
            <v>SS400</v>
          </cell>
          <cell r="R2847" t="str">
            <v>E367804_01</v>
          </cell>
          <cell r="S2847">
            <v>1347</v>
          </cell>
          <cell r="T2847" t="str">
            <v>標準</v>
          </cell>
        </row>
        <row r="2848">
          <cell r="F2848" t="str">
            <v>H0000173900</v>
          </cell>
          <cell r="I2848" t="str">
            <v>フレーム</v>
          </cell>
          <cell r="J2848" t="str">
            <v>S-Frame_SX-80M_N_KKKK</v>
          </cell>
          <cell r="K2848" t="str">
            <v>S-フレーム_SX-80M_N_KKKK</v>
          </cell>
          <cell r="L2848" t="str">
            <v>S-Frame</v>
          </cell>
          <cell r="M2848" t="str">
            <v>S-フレーム</v>
          </cell>
          <cell r="P2848" t="str">
            <v>31B0</v>
          </cell>
          <cell r="Q2848" t="str">
            <v>SS400</v>
          </cell>
          <cell r="R2848" t="str">
            <v>E367804_01</v>
          </cell>
          <cell r="S2848">
            <v>1347</v>
          </cell>
          <cell r="T2848" t="str">
            <v>標準</v>
          </cell>
        </row>
        <row r="2849">
          <cell r="F2849" t="str">
            <v>H0000173901</v>
          </cell>
          <cell r="I2849" t="str">
            <v>フレーム</v>
          </cell>
          <cell r="J2849" t="str">
            <v>S-Frame_SX-80M_N_KKKK</v>
          </cell>
          <cell r="K2849" t="str">
            <v>S-フレーム_SX-80M_N_KKKK</v>
          </cell>
          <cell r="L2849" t="str">
            <v>S-Frame</v>
          </cell>
          <cell r="M2849" t="str">
            <v>S-フレーム</v>
          </cell>
          <cell r="P2849" t="str">
            <v>31B0</v>
          </cell>
          <cell r="Q2849" t="str">
            <v>SS400</v>
          </cell>
          <cell r="R2849" t="str">
            <v>E367804_01</v>
          </cell>
          <cell r="S2849">
            <v>1347</v>
          </cell>
          <cell r="T2849" t="str">
            <v>標準</v>
          </cell>
        </row>
        <row r="2850">
          <cell r="F2850" t="str">
            <v>H0000173902</v>
          </cell>
          <cell r="I2850" t="str">
            <v>フレーム</v>
          </cell>
          <cell r="J2850" t="str">
            <v>S-Frame_SX-80M_N_KKKK</v>
          </cell>
          <cell r="K2850" t="str">
            <v>S-フレーム_SX-80M_N_KKKK</v>
          </cell>
          <cell r="L2850" t="str">
            <v>S-Frame</v>
          </cell>
          <cell r="M2850" t="str">
            <v>S-フレーム</v>
          </cell>
          <cell r="P2850" t="str">
            <v>31B0</v>
          </cell>
          <cell r="Q2850" t="str">
            <v>SS400</v>
          </cell>
          <cell r="R2850" t="str">
            <v>E367804_01</v>
          </cell>
          <cell r="S2850">
            <v>1347</v>
          </cell>
          <cell r="T2850" t="str">
            <v>標準</v>
          </cell>
        </row>
        <row r="2851">
          <cell r="F2851" t="str">
            <v>H0000173903</v>
          </cell>
          <cell r="I2851" t="str">
            <v>フレーム</v>
          </cell>
          <cell r="J2851" t="str">
            <v>S-Frame_SX-80M_N_KKKK</v>
          </cell>
          <cell r="K2851" t="str">
            <v>S-フレーム_SX-80M_N_KKKK</v>
          </cell>
          <cell r="L2851" t="str">
            <v>S-Frame</v>
          </cell>
          <cell r="M2851" t="str">
            <v>S-フレーム</v>
          </cell>
          <cell r="P2851" t="str">
            <v>31B0</v>
          </cell>
          <cell r="Q2851" t="str">
            <v>SS400</v>
          </cell>
          <cell r="R2851" t="str">
            <v>E367804_01</v>
          </cell>
          <cell r="S2851">
            <v>1347</v>
          </cell>
          <cell r="T2851" t="str">
            <v>標準</v>
          </cell>
        </row>
        <row r="2852">
          <cell r="F2852" t="str">
            <v>H0000173904</v>
          </cell>
          <cell r="I2852" t="str">
            <v>フレーム</v>
          </cell>
          <cell r="J2852" t="str">
            <v>S-Frame_SX-80M_N_KKKK</v>
          </cell>
          <cell r="K2852" t="str">
            <v>S-フレーム_SX-80M_N_KKKK</v>
          </cell>
          <cell r="L2852" t="str">
            <v>S-Frame</v>
          </cell>
          <cell r="M2852" t="str">
            <v>S-フレーム</v>
          </cell>
          <cell r="P2852" t="str">
            <v>31B0</v>
          </cell>
          <cell r="Q2852" t="str">
            <v>SS400</v>
          </cell>
          <cell r="R2852" t="str">
            <v>E367804_01</v>
          </cell>
          <cell r="S2852">
            <v>1347</v>
          </cell>
          <cell r="T2852" t="str">
            <v>標準</v>
          </cell>
        </row>
        <row r="2853">
          <cell r="F2853" t="str">
            <v>H0000173905</v>
          </cell>
          <cell r="I2853" t="str">
            <v>フレーム</v>
          </cell>
          <cell r="J2853" t="str">
            <v>S-Frame_SX-80M_N_KKKK</v>
          </cell>
          <cell r="K2853" t="str">
            <v>S-フレーム_SX-80M_N_KKKK</v>
          </cell>
          <cell r="L2853" t="str">
            <v>S-Frame</v>
          </cell>
          <cell r="M2853" t="str">
            <v>S-フレーム</v>
          </cell>
          <cell r="P2853" t="str">
            <v>31B0</v>
          </cell>
          <cell r="Q2853" t="str">
            <v>SS400</v>
          </cell>
          <cell r="R2853" t="str">
            <v>E367804_01</v>
          </cell>
          <cell r="S2853">
            <v>1347</v>
          </cell>
          <cell r="T2853" t="str">
            <v>標準</v>
          </cell>
        </row>
        <row r="2854">
          <cell r="F2854" t="str">
            <v>H0000173906</v>
          </cell>
          <cell r="I2854" t="str">
            <v>フレーム</v>
          </cell>
          <cell r="J2854" t="str">
            <v>S-Frame_SX-80M_N_KKKK</v>
          </cell>
          <cell r="K2854" t="str">
            <v>S-フレーム_SX-80M_N_KKKK</v>
          </cell>
          <cell r="L2854" t="str">
            <v>S-Frame</v>
          </cell>
          <cell r="M2854" t="str">
            <v>S-フレーム</v>
          </cell>
          <cell r="P2854" t="str">
            <v>31B0</v>
          </cell>
          <cell r="Q2854" t="str">
            <v>SS400</v>
          </cell>
          <cell r="R2854" t="str">
            <v>E367804_01</v>
          </cell>
          <cell r="S2854">
            <v>1347</v>
          </cell>
          <cell r="T2854" t="str">
            <v>標準</v>
          </cell>
        </row>
        <row r="2855">
          <cell r="F2855" t="str">
            <v>H0000173907</v>
          </cell>
          <cell r="I2855" t="str">
            <v>フレーム</v>
          </cell>
          <cell r="J2855" t="str">
            <v>S-Frame_SX-80M_N_KKKK</v>
          </cell>
          <cell r="K2855" t="str">
            <v>S-フレーム_SX-80M_N_KKKK</v>
          </cell>
          <cell r="L2855" t="str">
            <v>S-Frame</v>
          </cell>
          <cell r="M2855" t="str">
            <v>S-フレーム</v>
          </cell>
          <cell r="P2855" t="str">
            <v>31B0</v>
          </cell>
          <cell r="Q2855" t="str">
            <v>SS400</v>
          </cell>
          <cell r="R2855" t="str">
            <v>E367804_01</v>
          </cell>
          <cell r="S2855">
            <v>1347</v>
          </cell>
          <cell r="T2855" t="str">
            <v>標準</v>
          </cell>
        </row>
        <row r="2856">
          <cell r="F2856" t="str">
            <v>H0000173908</v>
          </cell>
          <cell r="I2856" t="str">
            <v>フレーム</v>
          </cell>
          <cell r="J2856" t="str">
            <v>S-Frame_SX-80M_N_KKKK</v>
          </cell>
          <cell r="K2856" t="str">
            <v>S-フレーム_SX-80M_N_KKKK</v>
          </cell>
          <cell r="L2856" t="str">
            <v>S-Frame</v>
          </cell>
          <cell r="M2856" t="str">
            <v>S-フレーム</v>
          </cell>
          <cell r="P2856" t="str">
            <v>31B0</v>
          </cell>
          <cell r="Q2856" t="str">
            <v>SS400</v>
          </cell>
          <cell r="R2856" t="str">
            <v>E367804_01</v>
          </cell>
          <cell r="S2856">
            <v>1347</v>
          </cell>
          <cell r="T2856" t="str">
            <v>標準</v>
          </cell>
        </row>
        <row r="2857">
          <cell r="F2857" t="str">
            <v>H0000173909</v>
          </cell>
          <cell r="I2857" t="str">
            <v>フレーム</v>
          </cell>
          <cell r="J2857" t="str">
            <v>S-Frame_GasCutting_SX-80M_N_1234</v>
          </cell>
          <cell r="K2857" t="str">
            <v>S-フレーム_ガス溶断_SX-80M_N_1234</v>
          </cell>
          <cell r="L2857" t="str">
            <v>S-Frame</v>
          </cell>
          <cell r="M2857" t="str">
            <v>S-フレーム</v>
          </cell>
          <cell r="N2857" t="str">
            <v>GasCutting</v>
          </cell>
          <cell r="O2857" t="str">
            <v>ガス溶断</v>
          </cell>
          <cell r="P2857" t="str">
            <v>31B0</v>
          </cell>
          <cell r="Q2857" t="str">
            <v>SS400</v>
          </cell>
          <cell r="R2857" t="str">
            <v>E367803_01</v>
          </cell>
          <cell r="S2857">
            <v>1347</v>
          </cell>
          <cell r="T2857" t="str">
            <v>標準</v>
          </cell>
        </row>
        <row r="2858">
          <cell r="F2858" t="str">
            <v>H0000173910</v>
          </cell>
          <cell r="I2858" t="str">
            <v>フレーム</v>
          </cell>
          <cell r="J2858" t="str">
            <v>Rib_SX-80M_N_W950,H180,T50</v>
          </cell>
          <cell r="K2858" t="str">
            <v>リブ_SX-80M_N_W950,H180,T50</v>
          </cell>
          <cell r="L2858" t="str">
            <v>Rib</v>
          </cell>
          <cell r="M2858" t="str">
            <v>リブ</v>
          </cell>
          <cell r="P2858" t="str">
            <v>31B0</v>
          </cell>
          <cell r="Q2858" t="str">
            <v>SS400</v>
          </cell>
          <cell r="R2858" t="str">
            <v>E367804_02</v>
          </cell>
          <cell r="S2858">
            <v>64</v>
          </cell>
          <cell r="T2858" t="str">
            <v>標準</v>
          </cell>
          <cell r="V2858" t="str">
            <v>SX-80L</v>
          </cell>
        </row>
        <row r="2859">
          <cell r="F2859" t="str">
            <v>H0000173911</v>
          </cell>
          <cell r="I2859" t="str">
            <v>フレーム</v>
          </cell>
          <cell r="J2859" t="str">
            <v>S-Frame_SX-80M_H_NNNN</v>
          </cell>
          <cell r="K2859" t="str">
            <v>S-フレーム_SX-80M_H_NNNN</v>
          </cell>
          <cell r="L2859" t="str">
            <v>S-Frame</v>
          </cell>
          <cell r="M2859" t="str">
            <v>S-フレーム</v>
          </cell>
          <cell r="P2859" t="str">
            <v>31B0</v>
          </cell>
          <cell r="Q2859" t="str">
            <v>SS400</v>
          </cell>
          <cell r="R2859" t="str">
            <v>E367808_01</v>
          </cell>
          <cell r="S2859">
            <v>1344</v>
          </cell>
          <cell r="T2859" t="str">
            <v>標準</v>
          </cell>
        </row>
        <row r="2860">
          <cell r="F2860" t="str">
            <v>H0000173912</v>
          </cell>
          <cell r="I2860" t="str">
            <v>フレーム</v>
          </cell>
          <cell r="J2860" t="str">
            <v>S-Frame_SX-80M_H_NNNN</v>
          </cell>
          <cell r="K2860" t="str">
            <v>S-フレーム_SX-80M_H_NNNN</v>
          </cell>
          <cell r="L2860" t="str">
            <v>S-Frame</v>
          </cell>
          <cell r="M2860" t="str">
            <v>S-フレーム</v>
          </cell>
          <cell r="P2860" t="str">
            <v>31B0</v>
          </cell>
          <cell r="Q2860" t="str">
            <v>SS400</v>
          </cell>
          <cell r="R2860" t="str">
            <v>E367808_01</v>
          </cell>
          <cell r="S2860">
            <v>1344</v>
          </cell>
          <cell r="T2860" t="str">
            <v>標準</v>
          </cell>
        </row>
        <row r="2861">
          <cell r="F2861" t="str">
            <v>H0000173913</v>
          </cell>
          <cell r="I2861" t="str">
            <v>フレーム</v>
          </cell>
          <cell r="J2861" t="str">
            <v>S-Frame_SX-80M_H_NNNN</v>
          </cell>
          <cell r="K2861" t="str">
            <v>S-フレーム_SX-80M_H_NNNN</v>
          </cell>
          <cell r="L2861" t="str">
            <v>S-Frame</v>
          </cell>
          <cell r="M2861" t="str">
            <v>S-フレーム</v>
          </cell>
          <cell r="P2861" t="str">
            <v>31B0</v>
          </cell>
          <cell r="Q2861" t="str">
            <v>SS400</v>
          </cell>
          <cell r="R2861" t="str">
            <v>E367808_01</v>
          </cell>
          <cell r="S2861">
            <v>1344</v>
          </cell>
          <cell r="T2861" t="str">
            <v>標準</v>
          </cell>
        </row>
        <row r="2862">
          <cell r="F2862" t="str">
            <v>H0000173914</v>
          </cell>
          <cell r="I2862" t="str">
            <v>フレーム</v>
          </cell>
          <cell r="J2862" t="str">
            <v>S-Frame_SX-80M_H_NNNN</v>
          </cell>
          <cell r="K2862" t="str">
            <v>S-フレーム_SX-80M_H_NNNN</v>
          </cell>
          <cell r="L2862" t="str">
            <v>S-Frame</v>
          </cell>
          <cell r="M2862" t="str">
            <v>S-フレーム</v>
          </cell>
          <cell r="P2862" t="str">
            <v>31B0</v>
          </cell>
          <cell r="Q2862" t="str">
            <v>SS400</v>
          </cell>
          <cell r="R2862" t="str">
            <v>E367808_01</v>
          </cell>
          <cell r="S2862">
            <v>1344</v>
          </cell>
          <cell r="T2862" t="str">
            <v>標準</v>
          </cell>
        </row>
        <row r="2863">
          <cell r="F2863" t="str">
            <v>H0000173915</v>
          </cell>
          <cell r="I2863" t="str">
            <v>フレーム</v>
          </cell>
          <cell r="J2863" t="str">
            <v>S-Frame_SX-80M_H_NNNN</v>
          </cell>
          <cell r="K2863" t="str">
            <v>S-フレーム_SX-80M_H_NNNN</v>
          </cell>
          <cell r="L2863" t="str">
            <v>S-Frame</v>
          </cell>
          <cell r="M2863" t="str">
            <v>S-フレーム</v>
          </cell>
          <cell r="P2863" t="str">
            <v>31B0</v>
          </cell>
          <cell r="Q2863" t="str">
            <v>SS400</v>
          </cell>
          <cell r="R2863" t="str">
            <v>E367808_01</v>
          </cell>
          <cell r="S2863">
            <v>1344</v>
          </cell>
          <cell r="T2863" t="str">
            <v>標準</v>
          </cell>
        </row>
        <row r="2864">
          <cell r="F2864" t="str">
            <v>H0000173916</v>
          </cell>
          <cell r="I2864" t="str">
            <v>フレーム</v>
          </cell>
          <cell r="J2864" t="str">
            <v>S-Frame_SX-80M_H_NNNN</v>
          </cell>
          <cell r="K2864" t="str">
            <v>S-フレーム_SX-80M_H_NNNN</v>
          </cell>
          <cell r="L2864" t="str">
            <v>S-Frame</v>
          </cell>
          <cell r="M2864" t="str">
            <v>S-フレーム</v>
          </cell>
          <cell r="P2864" t="str">
            <v>31B0</v>
          </cell>
          <cell r="Q2864" t="str">
            <v>SS400</v>
          </cell>
          <cell r="R2864" t="str">
            <v>E367808_01</v>
          </cell>
          <cell r="S2864">
            <v>1344</v>
          </cell>
          <cell r="T2864" t="str">
            <v>標準</v>
          </cell>
        </row>
        <row r="2865">
          <cell r="F2865" t="str">
            <v>H0000173917</v>
          </cell>
          <cell r="I2865" t="str">
            <v>フレーム</v>
          </cell>
          <cell r="J2865" t="str">
            <v>S-Frame_SX-80M_H_NNNN</v>
          </cell>
          <cell r="K2865" t="str">
            <v>S-フレーム_SX-80M_H_NNNN</v>
          </cell>
          <cell r="L2865" t="str">
            <v>S-Frame</v>
          </cell>
          <cell r="M2865" t="str">
            <v>S-フレーム</v>
          </cell>
          <cell r="P2865" t="str">
            <v>31B0</v>
          </cell>
          <cell r="Q2865" t="str">
            <v>SS400</v>
          </cell>
          <cell r="R2865" t="str">
            <v>E367808_01</v>
          </cell>
          <cell r="S2865">
            <v>1344</v>
          </cell>
          <cell r="T2865" t="str">
            <v>標準</v>
          </cell>
        </row>
        <row r="2866">
          <cell r="F2866" t="str">
            <v>H0000173918</v>
          </cell>
          <cell r="I2866" t="str">
            <v>フレーム</v>
          </cell>
          <cell r="J2866" t="str">
            <v>S-Frame_SX-80M_H_NNNN</v>
          </cell>
          <cell r="K2866" t="str">
            <v>S-フレーム_SX-80M_H_NNNN</v>
          </cell>
          <cell r="L2866" t="str">
            <v>S-Frame</v>
          </cell>
          <cell r="M2866" t="str">
            <v>S-フレーム</v>
          </cell>
          <cell r="P2866" t="str">
            <v>31B0</v>
          </cell>
          <cell r="Q2866" t="str">
            <v>SS400</v>
          </cell>
          <cell r="R2866" t="str">
            <v>E367808_01</v>
          </cell>
          <cell r="S2866">
            <v>1344</v>
          </cell>
          <cell r="T2866" t="str">
            <v>標準</v>
          </cell>
        </row>
        <row r="2867">
          <cell r="F2867" t="str">
            <v>H0000173919</v>
          </cell>
          <cell r="I2867" t="str">
            <v>フレーム</v>
          </cell>
          <cell r="J2867" t="str">
            <v>S-Frame_SX-80M_H_NNNN</v>
          </cell>
          <cell r="K2867" t="str">
            <v>S-フレーム_SX-80M_H_NNNN</v>
          </cell>
          <cell r="L2867" t="str">
            <v>S-Frame</v>
          </cell>
          <cell r="M2867" t="str">
            <v>S-フレーム</v>
          </cell>
          <cell r="P2867" t="str">
            <v>31B0</v>
          </cell>
          <cell r="Q2867" t="str">
            <v>SS400</v>
          </cell>
          <cell r="R2867" t="str">
            <v>E367808_01</v>
          </cell>
          <cell r="S2867">
            <v>1344</v>
          </cell>
          <cell r="T2867" t="str">
            <v>標準</v>
          </cell>
        </row>
        <row r="2868">
          <cell r="F2868" t="str">
            <v>H0000173920</v>
          </cell>
          <cell r="I2868" t="str">
            <v>フレーム</v>
          </cell>
          <cell r="J2868" t="str">
            <v>S-Frame_SX-80M_H_KKKK</v>
          </cell>
          <cell r="K2868" t="str">
            <v>S-フレーム_SX-80M_H_KKKK</v>
          </cell>
          <cell r="L2868" t="str">
            <v>S-Frame</v>
          </cell>
          <cell r="M2868" t="str">
            <v>S-フレーム</v>
          </cell>
          <cell r="P2868" t="str">
            <v>31B0</v>
          </cell>
          <cell r="Q2868" t="str">
            <v>SS400</v>
          </cell>
          <cell r="R2868" t="str">
            <v>E367808_01</v>
          </cell>
          <cell r="S2868">
            <v>1344</v>
          </cell>
          <cell r="T2868" t="str">
            <v>標準</v>
          </cell>
        </row>
        <row r="2869">
          <cell r="F2869" t="str">
            <v>H0000173921</v>
          </cell>
          <cell r="I2869" t="str">
            <v>フレーム</v>
          </cell>
          <cell r="J2869" t="str">
            <v>S-Frame_SX-80M_H_KKKK</v>
          </cell>
          <cell r="K2869" t="str">
            <v>S-フレーム_SX-80M_H_KKKK</v>
          </cell>
          <cell r="L2869" t="str">
            <v>S-Frame</v>
          </cell>
          <cell r="M2869" t="str">
            <v>S-フレーム</v>
          </cell>
          <cell r="P2869" t="str">
            <v>31B0</v>
          </cell>
          <cell r="Q2869" t="str">
            <v>SS400</v>
          </cell>
          <cell r="R2869" t="str">
            <v>E367808_01</v>
          </cell>
          <cell r="S2869">
            <v>1344</v>
          </cell>
          <cell r="T2869" t="str">
            <v>標準</v>
          </cell>
        </row>
        <row r="2870">
          <cell r="F2870" t="str">
            <v>H0000173922</v>
          </cell>
          <cell r="I2870" t="str">
            <v>フレーム</v>
          </cell>
          <cell r="J2870" t="str">
            <v>S-Frame_SX-80M_H_KKKK</v>
          </cell>
          <cell r="K2870" t="str">
            <v>S-フレーム_SX-80M_H_KKKK</v>
          </cell>
          <cell r="L2870" t="str">
            <v>S-Frame</v>
          </cell>
          <cell r="M2870" t="str">
            <v>S-フレーム</v>
          </cell>
          <cell r="P2870" t="str">
            <v>31B0</v>
          </cell>
          <cell r="Q2870" t="str">
            <v>SS400</v>
          </cell>
          <cell r="R2870" t="str">
            <v>E367808_01</v>
          </cell>
          <cell r="S2870">
            <v>1344</v>
          </cell>
          <cell r="T2870" t="str">
            <v>標準</v>
          </cell>
        </row>
        <row r="2871">
          <cell r="F2871" t="str">
            <v>H0000173923</v>
          </cell>
          <cell r="I2871" t="str">
            <v>フレーム</v>
          </cell>
          <cell r="J2871" t="str">
            <v>S-Frame_SX-80M_H_KKKK</v>
          </cell>
          <cell r="K2871" t="str">
            <v>S-フレーム_SX-80M_H_KKKK</v>
          </cell>
          <cell r="L2871" t="str">
            <v>S-Frame</v>
          </cell>
          <cell r="M2871" t="str">
            <v>S-フレーム</v>
          </cell>
          <cell r="P2871" t="str">
            <v>31B0</v>
          </cell>
          <cell r="Q2871" t="str">
            <v>SS400</v>
          </cell>
          <cell r="R2871" t="str">
            <v>E367808_01</v>
          </cell>
          <cell r="S2871">
            <v>1344</v>
          </cell>
          <cell r="T2871" t="str">
            <v>標準</v>
          </cell>
        </row>
        <row r="2872">
          <cell r="F2872" t="str">
            <v>H0000173924</v>
          </cell>
          <cell r="I2872" t="str">
            <v>フレーム</v>
          </cell>
          <cell r="J2872" t="str">
            <v>S-Frame_SX-80M_H_KKKK</v>
          </cell>
          <cell r="K2872" t="str">
            <v>S-フレーム_SX-80M_H_KKKK</v>
          </cell>
          <cell r="L2872" t="str">
            <v>S-Frame</v>
          </cell>
          <cell r="M2872" t="str">
            <v>S-フレーム</v>
          </cell>
          <cell r="P2872" t="str">
            <v>31B0</v>
          </cell>
          <cell r="Q2872" t="str">
            <v>SS400</v>
          </cell>
          <cell r="R2872" t="str">
            <v>E367808_01</v>
          </cell>
          <cell r="S2872">
            <v>1344</v>
          </cell>
          <cell r="T2872" t="str">
            <v>標準</v>
          </cell>
        </row>
        <row r="2873">
          <cell r="F2873" t="str">
            <v>H0000173925</v>
          </cell>
          <cell r="I2873" t="str">
            <v>フレーム</v>
          </cell>
          <cell r="J2873" t="str">
            <v>S-Frame_SX-80M_H_KKKK</v>
          </cell>
          <cell r="K2873" t="str">
            <v>S-フレーム_SX-80M_H_KKKK</v>
          </cell>
          <cell r="L2873" t="str">
            <v>S-Frame</v>
          </cell>
          <cell r="M2873" t="str">
            <v>S-フレーム</v>
          </cell>
          <cell r="P2873" t="str">
            <v>31B0</v>
          </cell>
          <cell r="Q2873" t="str">
            <v>SS400</v>
          </cell>
          <cell r="R2873" t="str">
            <v>E367808_01</v>
          </cell>
          <cell r="S2873">
            <v>1344</v>
          </cell>
          <cell r="T2873" t="str">
            <v>標準</v>
          </cell>
        </row>
        <row r="2874">
          <cell r="F2874" t="str">
            <v>H0000173926</v>
          </cell>
          <cell r="I2874" t="str">
            <v>フレーム</v>
          </cell>
          <cell r="J2874" t="str">
            <v>S-Frame_SX-80M_H_KKKK</v>
          </cell>
          <cell r="K2874" t="str">
            <v>S-フレーム_SX-80M_H_KKKK</v>
          </cell>
          <cell r="L2874" t="str">
            <v>S-Frame</v>
          </cell>
          <cell r="M2874" t="str">
            <v>S-フレーム</v>
          </cell>
          <cell r="P2874" t="str">
            <v>31B0</v>
          </cell>
          <cell r="Q2874" t="str">
            <v>SS400</v>
          </cell>
          <cell r="R2874" t="str">
            <v>E367808_01</v>
          </cell>
          <cell r="S2874">
            <v>1344</v>
          </cell>
          <cell r="T2874" t="str">
            <v>標準</v>
          </cell>
        </row>
        <row r="2875">
          <cell r="F2875" t="str">
            <v>H0000173927</v>
          </cell>
          <cell r="I2875" t="str">
            <v>フレーム</v>
          </cell>
          <cell r="J2875" t="str">
            <v>S-Frame_SX-80M_H_KKKK</v>
          </cell>
          <cell r="K2875" t="str">
            <v>S-フレーム_SX-80M_H_KKKK</v>
          </cell>
          <cell r="L2875" t="str">
            <v>S-Frame</v>
          </cell>
          <cell r="M2875" t="str">
            <v>S-フレーム</v>
          </cell>
          <cell r="P2875" t="str">
            <v>31B0</v>
          </cell>
          <cell r="Q2875" t="str">
            <v>SS400</v>
          </cell>
          <cell r="R2875" t="str">
            <v>E367808_01</v>
          </cell>
          <cell r="S2875">
            <v>1344</v>
          </cell>
          <cell r="T2875" t="str">
            <v>標準</v>
          </cell>
        </row>
        <row r="2876">
          <cell r="F2876" t="str">
            <v>H0000173928</v>
          </cell>
          <cell r="I2876" t="str">
            <v>フレーム</v>
          </cell>
          <cell r="J2876" t="str">
            <v>S-Frame_SX-80M_H_KKKK</v>
          </cell>
          <cell r="K2876" t="str">
            <v>S-フレーム_SX-80M_H_KKKK</v>
          </cell>
          <cell r="L2876" t="str">
            <v>S-Frame</v>
          </cell>
          <cell r="M2876" t="str">
            <v>S-フレーム</v>
          </cell>
          <cell r="P2876" t="str">
            <v>31B0</v>
          </cell>
          <cell r="Q2876" t="str">
            <v>SS400</v>
          </cell>
          <cell r="R2876" t="str">
            <v>E367808_01</v>
          </cell>
          <cell r="S2876">
            <v>1344</v>
          </cell>
          <cell r="T2876" t="str">
            <v>標準</v>
          </cell>
        </row>
        <row r="2877">
          <cell r="F2877" t="str">
            <v>H0000173929</v>
          </cell>
          <cell r="I2877" t="str">
            <v>フレーム</v>
          </cell>
          <cell r="J2877" t="str">
            <v>S-Frame_GasCutting_SX-80M_H_1234</v>
          </cell>
          <cell r="K2877" t="str">
            <v>S-フレーム_ガス溶断_SX-80M_H_1234</v>
          </cell>
          <cell r="L2877" t="str">
            <v>S-Frame</v>
          </cell>
          <cell r="M2877" t="str">
            <v>S-フレーム</v>
          </cell>
          <cell r="N2877" t="str">
            <v>GasCutting</v>
          </cell>
          <cell r="O2877" t="str">
            <v>ガス溶断</v>
          </cell>
          <cell r="P2877" t="str">
            <v>31B0</v>
          </cell>
          <cell r="Q2877" t="str">
            <v>SS400</v>
          </cell>
          <cell r="R2877" t="str">
            <v>E367807_01</v>
          </cell>
          <cell r="S2877">
            <v>1344</v>
          </cell>
          <cell r="T2877" t="str">
            <v>標準</v>
          </cell>
        </row>
        <row r="2878">
          <cell r="F2878" t="str">
            <v>H0000173930</v>
          </cell>
          <cell r="I2878" t="str">
            <v>フレーム</v>
          </cell>
          <cell r="J2878" t="str">
            <v>Rib_SX-80M_H_W950,H210,T50</v>
          </cell>
          <cell r="K2878" t="str">
            <v>リブ_SX-80M_H_W950,H210,T50</v>
          </cell>
          <cell r="L2878" t="str">
            <v>Rib</v>
          </cell>
          <cell r="M2878" t="str">
            <v>リブ</v>
          </cell>
          <cell r="P2878" t="str">
            <v>31B0</v>
          </cell>
          <cell r="Q2878" t="str">
            <v>SS400</v>
          </cell>
          <cell r="R2878" t="str">
            <v>E367808_02</v>
          </cell>
          <cell r="S2878">
            <v>75</v>
          </cell>
          <cell r="T2878" t="str">
            <v>標準</v>
          </cell>
        </row>
        <row r="2879">
          <cell r="F2879" t="str">
            <v>H0000173931</v>
          </cell>
          <cell r="I2879" t="str">
            <v>フレーム</v>
          </cell>
          <cell r="J2879" t="str">
            <v>S-Frame_SX-80M_U_KKKK</v>
          </cell>
          <cell r="K2879" t="str">
            <v>S-フレーム_SX-80M_U_KKKK</v>
          </cell>
          <cell r="L2879" t="str">
            <v>S-Frame</v>
          </cell>
          <cell r="M2879" t="str">
            <v>S-フレーム</v>
          </cell>
          <cell r="P2879" t="str">
            <v>31B0</v>
          </cell>
          <cell r="Q2879" t="str">
            <v>SS400</v>
          </cell>
          <cell r="R2879" t="str">
            <v>E367812_01</v>
          </cell>
          <cell r="S2879">
            <v>1847</v>
          </cell>
          <cell r="T2879" t="str">
            <v>標準</v>
          </cell>
        </row>
        <row r="2880">
          <cell r="F2880" t="str">
            <v>H0000173932</v>
          </cell>
          <cell r="I2880" t="str">
            <v>フレーム</v>
          </cell>
          <cell r="J2880" t="str">
            <v>S-Frame_SX-80M_U_KKKK</v>
          </cell>
          <cell r="K2880" t="str">
            <v>S-フレーム_SX-80M_U_KKKK</v>
          </cell>
          <cell r="L2880" t="str">
            <v>S-Frame</v>
          </cell>
          <cell r="M2880" t="str">
            <v>S-フレーム</v>
          </cell>
          <cell r="P2880" t="str">
            <v>31B0</v>
          </cell>
          <cell r="Q2880" t="str">
            <v>SS400</v>
          </cell>
          <cell r="R2880" t="str">
            <v>E367812_01</v>
          </cell>
          <cell r="S2880">
            <v>1847</v>
          </cell>
          <cell r="T2880" t="str">
            <v>標準</v>
          </cell>
        </row>
        <row r="2881">
          <cell r="F2881" t="str">
            <v>H0000173933</v>
          </cell>
          <cell r="I2881" t="str">
            <v>フレーム</v>
          </cell>
          <cell r="J2881" t="str">
            <v>S-Frame_SX-80M_U_KKKK</v>
          </cell>
          <cell r="K2881" t="str">
            <v>S-フレーム_SX-80M_U_KKKK</v>
          </cell>
          <cell r="L2881" t="str">
            <v>S-Frame</v>
          </cell>
          <cell r="M2881" t="str">
            <v>S-フレーム</v>
          </cell>
          <cell r="P2881" t="str">
            <v>31B0</v>
          </cell>
          <cell r="Q2881" t="str">
            <v>SS400</v>
          </cell>
          <cell r="R2881" t="str">
            <v>E367812_01</v>
          </cell>
          <cell r="S2881">
            <v>1847</v>
          </cell>
          <cell r="T2881" t="str">
            <v>標準</v>
          </cell>
        </row>
        <row r="2882">
          <cell r="F2882" t="str">
            <v>H0000173934</v>
          </cell>
          <cell r="I2882" t="str">
            <v>フレーム</v>
          </cell>
          <cell r="J2882" t="str">
            <v>S-Frame_SX-80M_U_KKKK</v>
          </cell>
          <cell r="K2882" t="str">
            <v>S-フレーム_SX-80M_U_KKKK</v>
          </cell>
          <cell r="L2882" t="str">
            <v>S-Frame</v>
          </cell>
          <cell r="M2882" t="str">
            <v>S-フレーム</v>
          </cell>
          <cell r="P2882" t="str">
            <v>31B0</v>
          </cell>
          <cell r="Q2882" t="str">
            <v>SS400</v>
          </cell>
          <cell r="R2882" t="str">
            <v>E367812_01</v>
          </cell>
          <cell r="S2882">
            <v>1847</v>
          </cell>
          <cell r="T2882" t="str">
            <v>標準</v>
          </cell>
        </row>
        <row r="2883">
          <cell r="F2883" t="str">
            <v>H0000173935</v>
          </cell>
          <cell r="I2883" t="str">
            <v>フレーム</v>
          </cell>
          <cell r="J2883" t="str">
            <v>S-Frame_SX-80M_U_KKKK</v>
          </cell>
          <cell r="K2883" t="str">
            <v>S-フレーム_SX-80M_U_KKKK</v>
          </cell>
          <cell r="L2883" t="str">
            <v>S-Frame</v>
          </cell>
          <cell r="M2883" t="str">
            <v>S-フレーム</v>
          </cell>
          <cell r="P2883" t="str">
            <v>31B0</v>
          </cell>
          <cell r="Q2883" t="str">
            <v>SS400</v>
          </cell>
          <cell r="R2883" t="str">
            <v>E367812_01</v>
          </cell>
          <cell r="S2883">
            <v>1847</v>
          </cell>
          <cell r="T2883" t="str">
            <v>標準</v>
          </cell>
        </row>
        <row r="2884">
          <cell r="F2884" t="str">
            <v>H0000173936</v>
          </cell>
          <cell r="I2884" t="str">
            <v>フレーム</v>
          </cell>
          <cell r="J2884" t="str">
            <v>S-Frame_SX-80M_U_KKKK</v>
          </cell>
          <cell r="K2884" t="str">
            <v>S-フレーム_SX-80M_U_KKKK</v>
          </cell>
          <cell r="L2884" t="str">
            <v>S-Frame</v>
          </cell>
          <cell r="M2884" t="str">
            <v>S-フレーム</v>
          </cell>
          <cell r="P2884" t="str">
            <v>31B0</v>
          </cell>
          <cell r="Q2884" t="str">
            <v>SS400</v>
          </cell>
          <cell r="R2884" t="str">
            <v>E367812_01</v>
          </cell>
          <cell r="S2884">
            <v>1847</v>
          </cell>
          <cell r="T2884" t="str">
            <v>標準</v>
          </cell>
        </row>
        <row r="2885">
          <cell r="F2885" t="str">
            <v>H0000173937</v>
          </cell>
          <cell r="I2885" t="str">
            <v>フレーム</v>
          </cell>
          <cell r="J2885" t="str">
            <v>S-Frame_SX-80M_U_KKKK</v>
          </cell>
          <cell r="K2885" t="str">
            <v>S-フレーム_SX-80M_U_KKKK</v>
          </cell>
          <cell r="L2885" t="str">
            <v>S-Frame</v>
          </cell>
          <cell r="M2885" t="str">
            <v>S-フレーム</v>
          </cell>
          <cell r="P2885" t="str">
            <v>31B0</v>
          </cell>
          <cell r="Q2885" t="str">
            <v>SS400</v>
          </cell>
          <cell r="R2885" t="str">
            <v>E367812_01</v>
          </cell>
          <cell r="S2885">
            <v>1847</v>
          </cell>
          <cell r="T2885" t="str">
            <v>標準</v>
          </cell>
        </row>
        <row r="2886">
          <cell r="F2886" t="str">
            <v>H0000173938</v>
          </cell>
          <cell r="I2886" t="str">
            <v>フレーム</v>
          </cell>
          <cell r="J2886" t="str">
            <v>S-Frame_SX-80M_U_KKKK</v>
          </cell>
          <cell r="K2886" t="str">
            <v>S-フレーム_SX-80M_U_KKKK</v>
          </cell>
          <cell r="L2886" t="str">
            <v>S-Frame</v>
          </cell>
          <cell r="M2886" t="str">
            <v>S-フレーム</v>
          </cell>
          <cell r="P2886" t="str">
            <v>31B0</v>
          </cell>
          <cell r="Q2886" t="str">
            <v>SS400</v>
          </cell>
          <cell r="R2886" t="str">
            <v>E367812_01</v>
          </cell>
          <cell r="S2886">
            <v>1847</v>
          </cell>
          <cell r="T2886" t="str">
            <v>標準</v>
          </cell>
        </row>
        <row r="2887">
          <cell r="F2887" t="str">
            <v>H0000173939</v>
          </cell>
          <cell r="I2887" t="str">
            <v>フレーム</v>
          </cell>
          <cell r="J2887" t="str">
            <v>S-Frame_SX-80M_U_KKKK</v>
          </cell>
          <cell r="K2887" t="str">
            <v>S-フレーム_SX-80M_U_KKKK</v>
          </cell>
          <cell r="L2887" t="str">
            <v>S-Frame</v>
          </cell>
          <cell r="M2887" t="str">
            <v>S-フレーム</v>
          </cell>
          <cell r="P2887" t="str">
            <v>31B0</v>
          </cell>
          <cell r="Q2887" t="str">
            <v>SS400</v>
          </cell>
          <cell r="R2887" t="str">
            <v>E367812_01</v>
          </cell>
          <cell r="S2887">
            <v>1847</v>
          </cell>
          <cell r="T2887" t="str">
            <v>標準</v>
          </cell>
        </row>
        <row r="2888">
          <cell r="F2888" t="str">
            <v>H0000173940</v>
          </cell>
          <cell r="I2888" t="str">
            <v>フレーム</v>
          </cell>
          <cell r="J2888" t="str">
            <v>S-Frame_SX-80M_U_KKKK</v>
          </cell>
          <cell r="K2888" t="str">
            <v>S-フレーム_SX-80M_U_KKKK</v>
          </cell>
          <cell r="L2888" t="str">
            <v>S-Frame</v>
          </cell>
          <cell r="M2888" t="str">
            <v>S-フレーム</v>
          </cell>
          <cell r="P2888" t="str">
            <v>31B0</v>
          </cell>
          <cell r="Q2888" t="str">
            <v>SS400</v>
          </cell>
          <cell r="R2888" t="str">
            <v>E367812_01</v>
          </cell>
          <cell r="S2888">
            <v>1847</v>
          </cell>
          <cell r="T2888" t="str">
            <v>標準</v>
          </cell>
        </row>
        <row r="2889">
          <cell r="F2889" t="str">
            <v>H0000173941</v>
          </cell>
          <cell r="I2889" t="str">
            <v>フレーム</v>
          </cell>
          <cell r="J2889" t="str">
            <v>S-Frame_SX-80M_U_KKKK</v>
          </cell>
          <cell r="K2889" t="str">
            <v>S-フレーム_SX-80M_U_KKKK</v>
          </cell>
          <cell r="L2889" t="str">
            <v>S-Frame</v>
          </cell>
          <cell r="M2889" t="str">
            <v>S-フレーム</v>
          </cell>
          <cell r="P2889" t="str">
            <v>31B0</v>
          </cell>
          <cell r="Q2889" t="str">
            <v>SS400</v>
          </cell>
          <cell r="R2889" t="str">
            <v>E367812_01</v>
          </cell>
          <cell r="S2889">
            <v>1847</v>
          </cell>
          <cell r="T2889" t="str">
            <v>標準</v>
          </cell>
        </row>
        <row r="2890">
          <cell r="F2890" t="str">
            <v>H0000173942</v>
          </cell>
          <cell r="I2890" t="str">
            <v>フレーム</v>
          </cell>
          <cell r="J2890" t="str">
            <v>S-Frame_SX-80M_U_KKKK</v>
          </cell>
          <cell r="K2890" t="str">
            <v>S-フレーム_SX-80M_U_KKKK</v>
          </cell>
          <cell r="L2890" t="str">
            <v>S-Frame</v>
          </cell>
          <cell r="M2890" t="str">
            <v>S-フレーム</v>
          </cell>
          <cell r="P2890" t="str">
            <v>31B0</v>
          </cell>
          <cell r="Q2890" t="str">
            <v>SS400</v>
          </cell>
          <cell r="R2890" t="str">
            <v>E367812_01</v>
          </cell>
          <cell r="S2890">
            <v>1847</v>
          </cell>
          <cell r="T2890" t="str">
            <v>標準</v>
          </cell>
        </row>
        <row r="2891">
          <cell r="F2891" t="str">
            <v>H0000173943</v>
          </cell>
          <cell r="I2891" t="str">
            <v>フレーム</v>
          </cell>
          <cell r="J2891" t="str">
            <v>S-Frame_SX-80M_U_KKKK</v>
          </cell>
          <cell r="K2891" t="str">
            <v>S-フレーム_SX-80M_U_KKKK</v>
          </cell>
          <cell r="L2891" t="str">
            <v>S-Frame</v>
          </cell>
          <cell r="M2891" t="str">
            <v>S-フレーム</v>
          </cell>
          <cell r="P2891" t="str">
            <v>31B0</v>
          </cell>
          <cell r="Q2891" t="str">
            <v>SS400</v>
          </cell>
          <cell r="R2891" t="str">
            <v>E367812_01</v>
          </cell>
          <cell r="S2891">
            <v>1847</v>
          </cell>
          <cell r="T2891" t="str">
            <v>標準</v>
          </cell>
        </row>
        <row r="2892">
          <cell r="F2892" t="str">
            <v>H0000173944</v>
          </cell>
          <cell r="I2892" t="str">
            <v>フレーム</v>
          </cell>
          <cell r="J2892" t="str">
            <v>S-Frame_SX-80M_U_KKKK</v>
          </cell>
          <cell r="K2892" t="str">
            <v>S-フレーム_SX-80M_U_KKKK</v>
          </cell>
          <cell r="L2892" t="str">
            <v>S-Frame</v>
          </cell>
          <cell r="M2892" t="str">
            <v>S-フレーム</v>
          </cell>
          <cell r="P2892" t="str">
            <v>31B0</v>
          </cell>
          <cell r="Q2892" t="str">
            <v>SS400</v>
          </cell>
          <cell r="R2892" t="str">
            <v>E367812_01</v>
          </cell>
          <cell r="S2892">
            <v>1847</v>
          </cell>
          <cell r="T2892" t="str">
            <v>標準</v>
          </cell>
        </row>
        <row r="2893">
          <cell r="F2893" t="str">
            <v>H0000173945</v>
          </cell>
          <cell r="I2893" t="str">
            <v>フレーム</v>
          </cell>
          <cell r="J2893" t="str">
            <v>S-Frame_SX-80M_U_KKKK</v>
          </cell>
          <cell r="K2893" t="str">
            <v>S-フレーム_SX-80M_U_KKKK</v>
          </cell>
          <cell r="L2893" t="str">
            <v>S-Frame</v>
          </cell>
          <cell r="M2893" t="str">
            <v>S-フレーム</v>
          </cell>
          <cell r="P2893" t="str">
            <v>31B0</v>
          </cell>
          <cell r="Q2893" t="str">
            <v>SS400</v>
          </cell>
          <cell r="R2893" t="str">
            <v>E367812_01</v>
          </cell>
          <cell r="S2893">
            <v>1847</v>
          </cell>
          <cell r="T2893" t="str">
            <v>標準</v>
          </cell>
        </row>
        <row r="2894">
          <cell r="F2894" t="str">
            <v>H0000173946</v>
          </cell>
          <cell r="I2894" t="str">
            <v>フレーム</v>
          </cell>
          <cell r="J2894" t="str">
            <v>S-Frame_SX-80M_U_KKKK</v>
          </cell>
          <cell r="K2894" t="str">
            <v>S-フレーム_SX-80M_U_KKKK</v>
          </cell>
          <cell r="L2894" t="str">
            <v>S-Frame</v>
          </cell>
          <cell r="M2894" t="str">
            <v>S-フレーム</v>
          </cell>
          <cell r="P2894" t="str">
            <v>31B0</v>
          </cell>
          <cell r="Q2894" t="str">
            <v>SS400</v>
          </cell>
          <cell r="R2894" t="str">
            <v>E367812_01</v>
          </cell>
          <cell r="S2894">
            <v>1847</v>
          </cell>
          <cell r="T2894" t="str">
            <v>標準</v>
          </cell>
        </row>
        <row r="2895">
          <cell r="F2895" t="str">
            <v>H0000173947</v>
          </cell>
          <cell r="I2895" t="str">
            <v>フレーム</v>
          </cell>
          <cell r="J2895" t="str">
            <v>S-Frame_SX-80M_U_KKKK</v>
          </cell>
          <cell r="K2895" t="str">
            <v>S-フレーム_SX-80M_U_KKKK</v>
          </cell>
          <cell r="L2895" t="str">
            <v>S-Frame</v>
          </cell>
          <cell r="M2895" t="str">
            <v>S-フレーム</v>
          </cell>
          <cell r="P2895" t="str">
            <v>31B0</v>
          </cell>
          <cell r="Q2895" t="str">
            <v>SS400</v>
          </cell>
          <cell r="R2895" t="str">
            <v>E367812_01</v>
          </cell>
          <cell r="S2895">
            <v>1847</v>
          </cell>
          <cell r="T2895" t="str">
            <v>標準</v>
          </cell>
        </row>
        <row r="2896">
          <cell r="F2896" t="str">
            <v>H0000173948</v>
          </cell>
          <cell r="I2896" t="str">
            <v>フレーム</v>
          </cell>
          <cell r="J2896" t="str">
            <v>S-Frame_SX-80M_U_KKKK</v>
          </cell>
          <cell r="K2896" t="str">
            <v>S-フレーム_SX-80M_U_KKKK</v>
          </cell>
          <cell r="L2896" t="str">
            <v>S-Frame</v>
          </cell>
          <cell r="M2896" t="str">
            <v>S-フレーム</v>
          </cell>
          <cell r="P2896" t="str">
            <v>31B0</v>
          </cell>
          <cell r="Q2896" t="str">
            <v>SS400</v>
          </cell>
          <cell r="R2896" t="str">
            <v>E367812_01</v>
          </cell>
          <cell r="S2896">
            <v>1847</v>
          </cell>
          <cell r="T2896" t="str">
            <v>標準</v>
          </cell>
        </row>
        <row r="2897">
          <cell r="F2897" t="str">
            <v>H0000173949</v>
          </cell>
          <cell r="I2897" t="str">
            <v>フレーム</v>
          </cell>
          <cell r="J2897" t="str">
            <v>S-Frame_SX-80M_U_KKKK</v>
          </cell>
          <cell r="K2897" t="str">
            <v>S-フレーム_SX-80M_U_KKKK</v>
          </cell>
          <cell r="L2897" t="str">
            <v>S-Frame</v>
          </cell>
          <cell r="M2897" t="str">
            <v>S-フレーム</v>
          </cell>
          <cell r="P2897" t="str">
            <v>31B0</v>
          </cell>
          <cell r="Q2897" t="str">
            <v>SS400</v>
          </cell>
          <cell r="R2897" t="str">
            <v>E367812_01</v>
          </cell>
          <cell r="S2897">
            <v>1847</v>
          </cell>
          <cell r="T2897" t="str">
            <v>標準</v>
          </cell>
        </row>
        <row r="2898">
          <cell r="F2898" t="str">
            <v>H0000173950</v>
          </cell>
          <cell r="I2898" t="str">
            <v>フレーム</v>
          </cell>
          <cell r="J2898" t="str">
            <v>S-Frame_SX-80M_U_KKKK</v>
          </cell>
          <cell r="K2898" t="str">
            <v>S-フレーム_SX-80M_U_KKKK</v>
          </cell>
          <cell r="L2898" t="str">
            <v>S-Frame</v>
          </cell>
          <cell r="M2898" t="str">
            <v>S-フレーム</v>
          </cell>
          <cell r="P2898" t="str">
            <v>31B0</v>
          </cell>
          <cell r="Q2898" t="str">
            <v>SS400</v>
          </cell>
          <cell r="R2898" t="str">
            <v>E367812_01</v>
          </cell>
          <cell r="S2898">
            <v>1847</v>
          </cell>
          <cell r="T2898" t="str">
            <v>標準</v>
          </cell>
        </row>
        <row r="2899">
          <cell r="F2899" t="str">
            <v>H0000173951</v>
          </cell>
          <cell r="I2899" t="str">
            <v>フレーム</v>
          </cell>
          <cell r="J2899" t="str">
            <v>S-Frame_SX-80M_U_KKKK</v>
          </cell>
          <cell r="K2899" t="str">
            <v>S-フレーム_SX-80M_U_KKKK</v>
          </cell>
          <cell r="L2899" t="str">
            <v>S-Frame</v>
          </cell>
          <cell r="M2899" t="str">
            <v>S-フレーム</v>
          </cell>
          <cell r="P2899" t="str">
            <v>31B0</v>
          </cell>
          <cell r="Q2899" t="str">
            <v>SS400</v>
          </cell>
          <cell r="R2899" t="str">
            <v>E367812_01</v>
          </cell>
          <cell r="S2899">
            <v>1847</v>
          </cell>
          <cell r="T2899" t="str">
            <v>標準</v>
          </cell>
        </row>
        <row r="2900">
          <cell r="F2900" t="str">
            <v>H0000173952</v>
          </cell>
          <cell r="I2900" t="str">
            <v>フレーム</v>
          </cell>
          <cell r="J2900" t="str">
            <v>S-Frame_SX-80M_U_KKKK</v>
          </cell>
          <cell r="K2900" t="str">
            <v>S-フレーム_SX-80M_U_KKKK</v>
          </cell>
          <cell r="L2900" t="str">
            <v>S-Frame</v>
          </cell>
          <cell r="M2900" t="str">
            <v>S-フレーム</v>
          </cell>
          <cell r="P2900" t="str">
            <v>31B0</v>
          </cell>
          <cell r="Q2900" t="str">
            <v>SS400</v>
          </cell>
          <cell r="R2900" t="str">
            <v>E367812_01</v>
          </cell>
          <cell r="S2900">
            <v>1847</v>
          </cell>
          <cell r="T2900" t="str">
            <v>標準</v>
          </cell>
        </row>
        <row r="2901">
          <cell r="F2901" t="str">
            <v>H0000173953</v>
          </cell>
          <cell r="I2901" t="str">
            <v>フレーム</v>
          </cell>
          <cell r="J2901" t="str">
            <v>S-Frame_SX-80M_U_KKKK</v>
          </cell>
          <cell r="K2901" t="str">
            <v>S-フレーム_SX-80M_U_KKKK</v>
          </cell>
          <cell r="L2901" t="str">
            <v>S-Frame</v>
          </cell>
          <cell r="M2901" t="str">
            <v>S-フレーム</v>
          </cell>
          <cell r="P2901" t="str">
            <v>31B0</v>
          </cell>
          <cell r="Q2901" t="str">
            <v>SS400</v>
          </cell>
          <cell r="R2901" t="str">
            <v>E367812_01</v>
          </cell>
          <cell r="S2901">
            <v>1847</v>
          </cell>
          <cell r="T2901" t="str">
            <v>標準</v>
          </cell>
        </row>
        <row r="2902">
          <cell r="F2902" t="str">
            <v>H0000173954</v>
          </cell>
          <cell r="I2902" t="str">
            <v>フレーム</v>
          </cell>
          <cell r="J2902" t="str">
            <v>S-Frame_SX-80M_U_KKKK</v>
          </cell>
          <cell r="K2902" t="str">
            <v>S-フレーム_SX-80M_U_KKKK</v>
          </cell>
          <cell r="L2902" t="str">
            <v>S-Frame</v>
          </cell>
          <cell r="M2902" t="str">
            <v>S-フレーム</v>
          </cell>
          <cell r="P2902" t="str">
            <v>31B0</v>
          </cell>
          <cell r="Q2902" t="str">
            <v>SS400</v>
          </cell>
          <cell r="R2902" t="str">
            <v>E367812_01</v>
          </cell>
          <cell r="S2902">
            <v>1847</v>
          </cell>
          <cell r="T2902" t="str">
            <v>標準</v>
          </cell>
        </row>
        <row r="2903">
          <cell r="F2903" t="str">
            <v>H0000173955</v>
          </cell>
          <cell r="I2903" t="str">
            <v>フレーム</v>
          </cell>
          <cell r="J2903" t="str">
            <v>S-Frame_SX-80M_U_KKKK</v>
          </cell>
          <cell r="K2903" t="str">
            <v>S-フレーム_SX-80M_U_KKKK</v>
          </cell>
          <cell r="L2903" t="str">
            <v>S-Frame</v>
          </cell>
          <cell r="M2903" t="str">
            <v>S-フレーム</v>
          </cell>
          <cell r="P2903" t="str">
            <v>31B0</v>
          </cell>
          <cell r="Q2903" t="str">
            <v>SS400</v>
          </cell>
          <cell r="R2903" t="str">
            <v>E367812_01</v>
          </cell>
          <cell r="S2903">
            <v>1847</v>
          </cell>
          <cell r="T2903" t="str">
            <v>標準</v>
          </cell>
        </row>
        <row r="2904">
          <cell r="F2904" t="str">
            <v>H0000173956</v>
          </cell>
          <cell r="I2904" t="str">
            <v>フレーム</v>
          </cell>
          <cell r="J2904" t="str">
            <v>S-Frame_SX-80M_U_KKKK</v>
          </cell>
          <cell r="K2904" t="str">
            <v>S-フレーム_SX-80M_U_KKKK</v>
          </cell>
          <cell r="L2904" t="str">
            <v>S-Frame</v>
          </cell>
          <cell r="M2904" t="str">
            <v>S-フレーム</v>
          </cell>
          <cell r="P2904" t="str">
            <v>31B0</v>
          </cell>
          <cell r="Q2904" t="str">
            <v>SS400</v>
          </cell>
          <cell r="R2904" t="str">
            <v>E367812_01</v>
          </cell>
          <cell r="S2904">
            <v>1847</v>
          </cell>
          <cell r="T2904" t="str">
            <v>標準</v>
          </cell>
        </row>
        <row r="2905">
          <cell r="F2905" t="str">
            <v>H0000173957</v>
          </cell>
          <cell r="I2905" t="str">
            <v>フレーム</v>
          </cell>
          <cell r="J2905" t="str">
            <v>S-Frame_SX-80M_U_KKKK</v>
          </cell>
          <cell r="K2905" t="str">
            <v>S-フレーム_SX-80M_U_KKKK</v>
          </cell>
          <cell r="L2905" t="str">
            <v>S-Frame</v>
          </cell>
          <cell r="M2905" t="str">
            <v>S-フレーム</v>
          </cell>
          <cell r="P2905" t="str">
            <v>31B0</v>
          </cell>
          <cell r="Q2905" t="str">
            <v>SS400</v>
          </cell>
          <cell r="R2905" t="str">
            <v>E367812_01</v>
          </cell>
          <cell r="S2905">
            <v>1847</v>
          </cell>
          <cell r="T2905" t="str">
            <v>標準</v>
          </cell>
        </row>
        <row r="2906">
          <cell r="F2906" t="str">
            <v>H0000173958</v>
          </cell>
          <cell r="I2906" t="str">
            <v>フレーム</v>
          </cell>
          <cell r="J2906" t="str">
            <v>S-Frame_SX-80M_U_KKKK</v>
          </cell>
          <cell r="K2906" t="str">
            <v>S-フレーム_SX-80M_U_KKKK</v>
          </cell>
          <cell r="L2906" t="str">
            <v>S-Frame</v>
          </cell>
          <cell r="M2906" t="str">
            <v>S-フレーム</v>
          </cell>
          <cell r="P2906" t="str">
            <v>31B0</v>
          </cell>
          <cell r="Q2906" t="str">
            <v>SS400</v>
          </cell>
          <cell r="R2906" t="str">
            <v>E367812_01</v>
          </cell>
          <cell r="S2906">
            <v>1847</v>
          </cell>
          <cell r="T2906" t="str">
            <v>標準</v>
          </cell>
        </row>
        <row r="2907">
          <cell r="F2907" t="str">
            <v>H0000173959</v>
          </cell>
          <cell r="I2907" t="str">
            <v>フレーム</v>
          </cell>
          <cell r="J2907" t="str">
            <v>S-Frame_SX-80M_U_KKKK</v>
          </cell>
          <cell r="K2907" t="str">
            <v>S-フレーム_SX-80M_U_KKKK</v>
          </cell>
          <cell r="L2907" t="str">
            <v>S-Frame</v>
          </cell>
          <cell r="M2907" t="str">
            <v>S-フレーム</v>
          </cell>
          <cell r="P2907" t="str">
            <v>31B0</v>
          </cell>
          <cell r="Q2907" t="str">
            <v>SS400</v>
          </cell>
          <cell r="R2907" t="str">
            <v>E367812_01</v>
          </cell>
          <cell r="S2907">
            <v>1847</v>
          </cell>
          <cell r="T2907" t="str">
            <v>標準</v>
          </cell>
        </row>
        <row r="2908">
          <cell r="F2908" t="str">
            <v>H0000173960</v>
          </cell>
          <cell r="I2908" t="str">
            <v>フレーム</v>
          </cell>
          <cell r="J2908" t="str">
            <v>S-Frame_SX-80M_U_KKKK</v>
          </cell>
          <cell r="K2908" t="str">
            <v>S-フレーム_SX-80M_U_KKKK</v>
          </cell>
          <cell r="L2908" t="str">
            <v>S-Frame</v>
          </cell>
          <cell r="M2908" t="str">
            <v>S-フレーム</v>
          </cell>
          <cell r="P2908" t="str">
            <v>31B0</v>
          </cell>
          <cell r="Q2908" t="str">
            <v>SS400</v>
          </cell>
          <cell r="R2908" t="str">
            <v>E367812_01</v>
          </cell>
          <cell r="S2908">
            <v>1847</v>
          </cell>
          <cell r="T2908" t="str">
            <v>標準</v>
          </cell>
        </row>
        <row r="2909">
          <cell r="F2909" t="str">
            <v>H0000173961</v>
          </cell>
          <cell r="I2909" t="str">
            <v>フレーム</v>
          </cell>
          <cell r="J2909" t="str">
            <v>S-Frame_SX-80M_U_KKKK</v>
          </cell>
          <cell r="K2909" t="str">
            <v>S-フレーム_SX-80M_U_KKKK</v>
          </cell>
          <cell r="L2909" t="str">
            <v>S-Frame</v>
          </cell>
          <cell r="M2909" t="str">
            <v>S-フレーム</v>
          </cell>
          <cell r="P2909" t="str">
            <v>31B0</v>
          </cell>
          <cell r="Q2909" t="str">
            <v>SS400</v>
          </cell>
          <cell r="R2909" t="str">
            <v>E367812_01</v>
          </cell>
          <cell r="S2909">
            <v>1847</v>
          </cell>
          <cell r="T2909" t="str">
            <v>標準</v>
          </cell>
        </row>
        <row r="2910">
          <cell r="F2910" t="str">
            <v>H0000173962</v>
          </cell>
          <cell r="I2910" t="str">
            <v>フレーム</v>
          </cell>
          <cell r="J2910" t="str">
            <v>S-Frame_SX-80M_U_KKKK</v>
          </cell>
          <cell r="K2910" t="str">
            <v>S-フレーム_SX-80M_U_KKKK</v>
          </cell>
          <cell r="L2910" t="str">
            <v>S-Frame</v>
          </cell>
          <cell r="M2910" t="str">
            <v>S-フレーム</v>
          </cell>
          <cell r="P2910" t="str">
            <v>31B0</v>
          </cell>
          <cell r="Q2910" t="str">
            <v>SS400</v>
          </cell>
          <cell r="R2910" t="str">
            <v>E367812_01</v>
          </cell>
          <cell r="S2910">
            <v>1847</v>
          </cell>
          <cell r="T2910" t="str">
            <v>標準</v>
          </cell>
        </row>
        <row r="2911">
          <cell r="F2911" t="str">
            <v>H0000173963</v>
          </cell>
          <cell r="I2911" t="str">
            <v>フレーム</v>
          </cell>
          <cell r="J2911" t="str">
            <v>S-Frame_SX-80M_U_KKKK</v>
          </cell>
          <cell r="K2911" t="str">
            <v>S-フレーム_SX-80M_U_KKKK</v>
          </cell>
          <cell r="L2911" t="str">
            <v>S-Frame</v>
          </cell>
          <cell r="M2911" t="str">
            <v>S-フレーム</v>
          </cell>
          <cell r="P2911" t="str">
            <v>31B0</v>
          </cell>
          <cell r="Q2911" t="str">
            <v>SS400</v>
          </cell>
          <cell r="R2911" t="str">
            <v>E367812_01</v>
          </cell>
          <cell r="S2911">
            <v>1847</v>
          </cell>
          <cell r="T2911" t="str">
            <v>標準</v>
          </cell>
        </row>
        <row r="2912">
          <cell r="F2912" t="str">
            <v>H0000173964</v>
          </cell>
          <cell r="I2912" t="str">
            <v>フレーム</v>
          </cell>
          <cell r="J2912" t="str">
            <v>S-Frame_SX-80M_U_KKKK</v>
          </cell>
          <cell r="K2912" t="str">
            <v>S-フレーム_SX-80M_U_KKKK</v>
          </cell>
          <cell r="L2912" t="str">
            <v>S-Frame</v>
          </cell>
          <cell r="M2912" t="str">
            <v>S-フレーム</v>
          </cell>
          <cell r="P2912" t="str">
            <v>31B0</v>
          </cell>
          <cell r="Q2912" t="str">
            <v>SS400</v>
          </cell>
          <cell r="R2912" t="str">
            <v>E367812_01</v>
          </cell>
          <cell r="S2912">
            <v>1847</v>
          </cell>
          <cell r="T2912" t="str">
            <v>標準</v>
          </cell>
        </row>
        <row r="2913">
          <cell r="F2913" t="str">
            <v>H0000173965</v>
          </cell>
          <cell r="I2913" t="str">
            <v>フレーム</v>
          </cell>
          <cell r="J2913" t="str">
            <v>S-Frame_SX-80M_U_KKKK</v>
          </cell>
          <cell r="K2913" t="str">
            <v>S-フレーム_SX-80M_U_KKKK</v>
          </cell>
          <cell r="L2913" t="str">
            <v>S-Frame</v>
          </cell>
          <cell r="M2913" t="str">
            <v>S-フレーム</v>
          </cell>
          <cell r="P2913" t="str">
            <v>31B0</v>
          </cell>
          <cell r="Q2913" t="str">
            <v>SS400</v>
          </cell>
          <cell r="R2913" t="str">
            <v>E367812_01</v>
          </cell>
          <cell r="S2913">
            <v>1847</v>
          </cell>
          <cell r="T2913" t="str">
            <v>標準</v>
          </cell>
        </row>
        <row r="2914">
          <cell r="F2914" t="str">
            <v>H0000173966</v>
          </cell>
          <cell r="I2914" t="str">
            <v>フレーム</v>
          </cell>
          <cell r="J2914" t="str">
            <v>S-Frame_SX-80M_U_KKKK</v>
          </cell>
          <cell r="K2914" t="str">
            <v>S-フレーム_SX-80M_U_KKKK</v>
          </cell>
          <cell r="L2914" t="str">
            <v>S-Frame</v>
          </cell>
          <cell r="M2914" t="str">
            <v>S-フレーム</v>
          </cell>
          <cell r="P2914" t="str">
            <v>31B0</v>
          </cell>
          <cell r="Q2914" t="str">
            <v>SS400</v>
          </cell>
          <cell r="R2914" t="str">
            <v>E367812_01</v>
          </cell>
          <cell r="S2914">
            <v>1847</v>
          </cell>
          <cell r="T2914" t="str">
            <v>標準</v>
          </cell>
        </row>
        <row r="2915">
          <cell r="F2915" t="str">
            <v>H0000173967</v>
          </cell>
          <cell r="I2915" t="str">
            <v>フレーム</v>
          </cell>
          <cell r="J2915" t="str">
            <v>S-Frame_GasCutting_SX-80M_U_1234</v>
          </cell>
          <cell r="K2915" t="str">
            <v>S-フレーム_ガス溶断_SX-80M_U_1234</v>
          </cell>
          <cell r="L2915" t="str">
            <v>S-Frame</v>
          </cell>
          <cell r="M2915" t="str">
            <v>S-フレーム</v>
          </cell>
          <cell r="N2915" t="str">
            <v>GasCutting</v>
          </cell>
          <cell r="O2915" t="str">
            <v>ガス溶断</v>
          </cell>
          <cell r="P2915" t="str">
            <v>31B0</v>
          </cell>
          <cell r="Q2915" t="str">
            <v>SS400</v>
          </cell>
          <cell r="R2915" t="str">
            <v>E367811_01</v>
          </cell>
          <cell r="S2915">
            <v>1847</v>
          </cell>
          <cell r="T2915" t="str">
            <v>標準</v>
          </cell>
        </row>
        <row r="2916">
          <cell r="F2916" t="str">
            <v>H0000173968</v>
          </cell>
          <cell r="I2916" t="str">
            <v>フレーム</v>
          </cell>
          <cell r="J2916" t="str">
            <v>S-Frame_GasCutting_SX-80M_U_1234</v>
          </cell>
          <cell r="K2916" t="str">
            <v>S-フレーム_ガス溶断_SX-80M_U_1234</v>
          </cell>
          <cell r="L2916" t="str">
            <v>S-Frame</v>
          </cell>
          <cell r="M2916" t="str">
            <v>S-フレーム</v>
          </cell>
          <cell r="N2916" t="str">
            <v>GasCutting</v>
          </cell>
          <cell r="O2916" t="str">
            <v>ガス溶断</v>
          </cell>
          <cell r="P2916" t="str">
            <v>31B0</v>
          </cell>
          <cell r="Q2916" t="str">
            <v>SS400</v>
          </cell>
          <cell r="R2916" t="str">
            <v>E367811_01</v>
          </cell>
          <cell r="S2916">
            <v>1847</v>
          </cell>
          <cell r="T2916" t="str">
            <v>標準</v>
          </cell>
        </row>
        <row r="2917">
          <cell r="F2917" t="str">
            <v>H0000173969</v>
          </cell>
          <cell r="I2917" t="str">
            <v>フレーム</v>
          </cell>
          <cell r="J2917" t="str">
            <v>S-Frame_GasCutting_SX-80M_U_1234</v>
          </cell>
          <cell r="K2917" t="str">
            <v>S-フレーム_ガス溶断_SX-80M_U_1234</v>
          </cell>
          <cell r="L2917" t="str">
            <v>S-Frame</v>
          </cell>
          <cell r="M2917" t="str">
            <v>S-フレーム</v>
          </cell>
          <cell r="N2917" t="str">
            <v>GasCutting</v>
          </cell>
          <cell r="O2917" t="str">
            <v>ガス溶断</v>
          </cell>
          <cell r="P2917" t="str">
            <v>31B0</v>
          </cell>
          <cell r="Q2917" t="str">
            <v>SS400</v>
          </cell>
          <cell r="R2917" t="str">
            <v>E367811_01</v>
          </cell>
          <cell r="S2917">
            <v>1847</v>
          </cell>
          <cell r="T2917" t="str">
            <v>標準</v>
          </cell>
        </row>
        <row r="2918">
          <cell r="F2918" t="str">
            <v>H0000173970</v>
          </cell>
          <cell r="I2918" t="str">
            <v>フレーム</v>
          </cell>
          <cell r="J2918" t="str">
            <v>S-Frame_GasCutting_SX-80M_U_1234</v>
          </cell>
          <cell r="K2918" t="str">
            <v>S-フレーム_ガス溶断_SX-80M_U_1234</v>
          </cell>
          <cell r="L2918" t="str">
            <v>S-Frame</v>
          </cell>
          <cell r="M2918" t="str">
            <v>S-フレーム</v>
          </cell>
          <cell r="N2918" t="str">
            <v>GasCutting</v>
          </cell>
          <cell r="O2918" t="str">
            <v>ガス溶断</v>
          </cell>
          <cell r="P2918" t="str">
            <v>31B0</v>
          </cell>
          <cell r="Q2918" t="str">
            <v>SS400</v>
          </cell>
          <cell r="R2918" t="str">
            <v>E367811_01</v>
          </cell>
          <cell r="S2918">
            <v>1847</v>
          </cell>
          <cell r="T2918" t="str">
            <v>標準</v>
          </cell>
        </row>
        <row r="2919">
          <cell r="F2919" t="str">
            <v>H0000173971</v>
          </cell>
          <cell r="I2919" t="str">
            <v>フレーム</v>
          </cell>
          <cell r="J2919" t="str">
            <v>Rib_SX-80M_U_W1090,H230,T60</v>
          </cell>
          <cell r="K2919" t="str">
            <v>リブ_SX-80M_U_W1090,H230,T60</v>
          </cell>
          <cell r="L2919" t="str">
            <v>Rib</v>
          </cell>
          <cell r="M2919" t="str">
            <v>リブ</v>
          </cell>
          <cell r="P2919" t="str">
            <v>31B0</v>
          </cell>
          <cell r="Q2919" t="str">
            <v>SS400</v>
          </cell>
          <cell r="R2919" t="str">
            <v>E367812_02</v>
          </cell>
          <cell r="S2919">
            <v>114</v>
          </cell>
          <cell r="T2919" t="str">
            <v>標準</v>
          </cell>
        </row>
        <row r="2920">
          <cell r="F2920" t="str">
            <v>H0000173972</v>
          </cell>
          <cell r="I2920" t="str">
            <v>フレーム</v>
          </cell>
          <cell r="J2920" t="str">
            <v>S-Frame_SX-80M_S_KKKK</v>
          </cell>
          <cell r="K2920" t="str">
            <v>S-フレーム_SX-80M_S_KKKK</v>
          </cell>
          <cell r="L2920" t="str">
            <v>S-Frame</v>
          </cell>
          <cell r="M2920" t="str">
            <v>S-フレーム</v>
          </cell>
          <cell r="P2920" t="str">
            <v>31B0</v>
          </cell>
          <cell r="Q2920" t="str">
            <v>SS400</v>
          </cell>
          <cell r="R2920" t="str">
            <v>E367816_01</v>
          </cell>
          <cell r="S2920">
            <v>1847</v>
          </cell>
          <cell r="T2920" t="str">
            <v>標準</v>
          </cell>
        </row>
        <row r="2921">
          <cell r="F2921" t="str">
            <v>H0000173973</v>
          </cell>
          <cell r="I2921" t="str">
            <v>フレーム</v>
          </cell>
          <cell r="J2921" t="str">
            <v>S-Frame_SX-80M_S_KKKK</v>
          </cell>
          <cell r="K2921" t="str">
            <v>S-フレーム_SX-80M_S_KKKK</v>
          </cell>
          <cell r="L2921" t="str">
            <v>S-Frame</v>
          </cell>
          <cell r="M2921" t="str">
            <v>S-フレーム</v>
          </cell>
          <cell r="P2921" t="str">
            <v>31B0</v>
          </cell>
          <cell r="Q2921" t="str">
            <v>SS400</v>
          </cell>
          <cell r="R2921" t="str">
            <v>E367816_01</v>
          </cell>
          <cell r="S2921">
            <v>1847</v>
          </cell>
          <cell r="T2921" t="str">
            <v>標準</v>
          </cell>
        </row>
        <row r="2922">
          <cell r="F2922" t="str">
            <v>H0000173974</v>
          </cell>
          <cell r="I2922" t="str">
            <v>フレーム</v>
          </cell>
          <cell r="J2922" t="str">
            <v>S-Frame_SX-80M_S_KKKK</v>
          </cell>
          <cell r="K2922" t="str">
            <v>S-フレーム_SX-80M_S_KKKK</v>
          </cell>
          <cell r="L2922" t="str">
            <v>S-Frame</v>
          </cell>
          <cell r="M2922" t="str">
            <v>S-フレーム</v>
          </cell>
          <cell r="P2922" t="str">
            <v>31B0</v>
          </cell>
          <cell r="Q2922" t="str">
            <v>SS400</v>
          </cell>
          <cell r="R2922" t="str">
            <v>E367816_01</v>
          </cell>
          <cell r="S2922">
            <v>1847</v>
          </cell>
          <cell r="T2922" t="str">
            <v>標準</v>
          </cell>
        </row>
        <row r="2923">
          <cell r="F2923" t="str">
            <v>H0000173975</v>
          </cell>
          <cell r="I2923" t="str">
            <v>フレーム</v>
          </cell>
          <cell r="J2923" t="str">
            <v>S-Frame_SX-80M_S_KKKK</v>
          </cell>
          <cell r="K2923" t="str">
            <v>S-フレーム_SX-80M_S_KKKK</v>
          </cell>
          <cell r="L2923" t="str">
            <v>S-Frame</v>
          </cell>
          <cell r="M2923" t="str">
            <v>S-フレーム</v>
          </cell>
          <cell r="P2923" t="str">
            <v>31B0</v>
          </cell>
          <cell r="Q2923" t="str">
            <v>SS400</v>
          </cell>
          <cell r="R2923" t="str">
            <v>E367816_01</v>
          </cell>
          <cell r="S2923">
            <v>1847</v>
          </cell>
          <cell r="T2923" t="str">
            <v>標準</v>
          </cell>
        </row>
        <row r="2924">
          <cell r="F2924" t="str">
            <v>H0000173976</v>
          </cell>
          <cell r="I2924" t="str">
            <v>フレーム</v>
          </cell>
          <cell r="J2924" t="str">
            <v>S-Frame_SX-80M_S_KKKK</v>
          </cell>
          <cell r="K2924" t="str">
            <v>S-フレーム_SX-80M_S_KKKK</v>
          </cell>
          <cell r="L2924" t="str">
            <v>S-Frame</v>
          </cell>
          <cell r="M2924" t="str">
            <v>S-フレーム</v>
          </cell>
          <cell r="P2924" t="str">
            <v>31B0</v>
          </cell>
          <cell r="Q2924" t="str">
            <v>SS400</v>
          </cell>
          <cell r="R2924" t="str">
            <v>E367816_01</v>
          </cell>
          <cell r="S2924">
            <v>1847</v>
          </cell>
          <cell r="T2924" t="str">
            <v>標準</v>
          </cell>
        </row>
        <row r="2925">
          <cell r="F2925" t="str">
            <v>H0000173977</v>
          </cell>
          <cell r="I2925" t="str">
            <v>フレーム</v>
          </cell>
          <cell r="J2925" t="str">
            <v>S-Frame_SX-80M_S_KKKK</v>
          </cell>
          <cell r="K2925" t="str">
            <v>S-フレーム_SX-80M_S_KKKK</v>
          </cell>
          <cell r="L2925" t="str">
            <v>S-Frame</v>
          </cell>
          <cell r="M2925" t="str">
            <v>S-フレーム</v>
          </cell>
          <cell r="P2925" t="str">
            <v>31B0</v>
          </cell>
          <cell r="Q2925" t="str">
            <v>SS400</v>
          </cell>
          <cell r="R2925" t="str">
            <v>E367816_01</v>
          </cell>
          <cell r="S2925">
            <v>1847</v>
          </cell>
          <cell r="T2925" t="str">
            <v>標準</v>
          </cell>
        </row>
        <row r="2926">
          <cell r="F2926" t="str">
            <v>H0000173978</v>
          </cell>
          <cell r="I2926" t="str">
            <v>フレーム</v>
          </cell>
          <cell r="J2926" t="str">
            <v>S-Frame_SX-80M_S_KKKK</v>
          </cell>
          <cell r="K2926" t="str">
            <v>S-フレーム_SX-80M_S_KKKK</v>
          </cell>
          <cell r="L2926" t="str">
            <v>S-Frame</v>
          </cell>
          <cell r="M2926" t="str">
            <v>S-フレーム</v>
          </cell>
          <cell r="P2926" t="str">
            <v>31B0</v>
          </cell>
          <cell r="Q2926" t="str">
            <v>SS400</v>
          </cell>
          <cell r="R2926" t="str">
            <v>E367816_01</v>
          </cell>
          <cell r="S2926">
            <v>1847</v>
          </cell>
          <cell r="T2926" t="str">
            <v>標準</v>
          </cell>
        </row>
        <row r="2927">
          <cell r="F2927" t="str">
            <v>H0000173979</v>
          </cell>
          <cell r="I2927" t="str">
            <v>フレーム</v>
          </cell>
          <cell r="J2927" t="str">
            <v>S-Frame_SX-80M_S_KKKK</v>
          </cell>
          <cell r="K2927" t="str">
            <v>S-フレーム_SX-80M_S_KKKK</v>
          </cell>
          <cell r="L2927" t="str">
            <v>S-Frame</v>
          </cell>
          <cell r="M2927" t="str">
            <v>S-フレーム</v>
          </cell>
          <cell r="P2927" t="str">
            <v>31B0</v>
          </cell>
          <cell r="Q2927" t="str">
            <v>SS400</v>
          </cell>
          <cell r="R2927" t="str">
            <v>E367816_01</v>
          </cell>
          <cell r="S2927">
            <v>1847</v>
          </cell>
          <cell r="T2927" t="str">
            <v>標準</v>
          </cell>
        </row>
        <row r="2928">
          <cell r="F2928" t="str">
            <v>H0000173980</v>
          </cell>
          <cell r="I2928" t="str">
            <v>フレーム</v>
          </cell>
          <cell r="J2928" t="str">
            <v>S-Frame_SX-80M_S_KKKK</v>
          </cell>
          <cell r="K2928" t="str">
            <v>S-フレーム_SX-80M_S_KKKK</v>
          </cell>
          <cell r="L2928" t="str">
            <v>S-Frame</v>
          </cell>
          <cell r="M2928" t="str">
            <v>S-フレーム</v>
          </cell>
          <cell r="P2928" t="str">
            <v>31B0</v>
          </cell>
          <cell r="Q2928" t="str">
            <v>SS400</v>
          </cell>
          <cell r="R2928" t="str">
            <v>E367816_01</v>
          </cell>
          <cell r="S2928">
            <v>1847</v>
          </cell>
          <cell r="T2928" t="str">
            <v>標準</v>
          </cell>
        </row>
        <row r="2929">
          <cell r="F2929" t="str">
            <v>H0000173981</v>
          </cell>
          <cell r="I2929" t="str">
            <v>フレーム</v>
          </cell>
          <cell r="J2929" t="str">
            <v>S-Frame_SX-80M_S_KKKK</v>
          </cell>
          <cell r="K2929" t="str">
            <v>S-フレーム_SX-80M_S_KKKK</v>
          </cell>
          <cell r="L2929" t="str">
            <v>S-Frame</v>
          </cell>
          <cell r="M2929" t="str">
            <v>S-フレーム</v>
          </cell>
          <cell r="P2929" t="str">
            <v>31B0</v>
          </cell>
          <cell r="Q2929" t="str">
            <v>SS400</v>
          </cell>
          <cell r="R2929" t="str">
            <v>E367816_01</v>
          </cell>
          <cell r="S2929">
            <v>1847</v>
          </cell>
          <cell r="T2929" t="str">
            <v>標準</v>
          </cell>
        </row>
        <row r="2930">
          <cell r="F2930" t="str">
            <v>H0000173982</v>
          </cell>
          <cell r="I2930" t="str">
            <v>フレーム</v>
          </cell>
          <cell r="J2930" t="str">
            <v>S-Frame_SX-80M_S_KKKK</v>
          </cell>
          <cell r="K2930" t="str">
            <v>S-フレーム_SX-80M_S_KKKK</v>
          </cell>
          <cell r="L2930" t="str">
            <v>S-Frame</v>
          </cell>
          <cell r="M2930" t="str">
            <v>S-フレーム</v>
          </cell>
          <cell r="P2930" t="str">
            <v>31B0</v>
          </cell>
          <cell r="Q2930" t="str">
            <v>SS400</v>
          </cell>
          <cell r="R2930" t="str">
            <v>E367816_01</v>
          </cell>
          <cell r="S2930">
            <v>1847</v>
          </cell>
          <cell r="T2930" t="str">
            <v>標準</v>
          </cell>
        </row>
        <row r="2931">
          <cell r="F2931" t="str">
            <v>H0000173983</v>
          </cell>
          <cell r="I2931" t="str">
            <v>フレーム</v>
          </cell>
          <cell r="J2931" t="str">
            <v>S-Frame_SX-80M_S_KKKK</v>
          </cell>
          <cell r="K2931" t="str">
            <v>S-フレーム_SX-80M_S_KKKK</v>
          </cell>
          <cell r="L2931" t="str">
            <v>S-Frame</v>
          </cell>
          <cell r="M2931" t="str">
            <v>S-フレーム</v>
          </cell>
          <cell r="P2931" t="str">
            <v>31B0</v>
          </cell>
          <cell r="Q2931" t="str">
            <v>SS400</v>
          </cell>
          <cell r="R2931" t="str">
            <v>E367816_01</v>
          </cell>
          <cell r="S2931">
            <v>1847</v>
          </cell>
          <cell r="T2931" t="str">
            <v>標準</v>
          </cell>
        </row>
        <row r="2932">
          <cell r="F2932" t="str">
            <v>H0000173984</v>
          </cell>
          <cell r="I2932" t="str">
            <v>フレーム</v>
          </cell>
          <cell r="J2932" t="str">
            <v>S-Frame_SX-80M_S_KKKK</v>
          </cell>
          <cell r="K2932" t="str">
            <v>S-フレーム_SX-80M_S_KKKK</v>
          </cell>
          <cell r="L2932" t="str">
            <v>S-Frame</v>
          </cell>
          <cell r="M2932" t="str">
            <v>S-フレーム</v>
          </cell>
          <cell r="P2932" t="str">
            <v>31B0</v>
          </cell>
          <cell r="Q2932" t="str">
            <v>SS400</v>
          </cell>
          <cell r="R2932" t="str">
            <v>E367816_01</v>
          </cell>
          <cell r="S2932">
            <v>1847</v>
          </cell>
          <cell r="T2932" t="str">
            <v>標準</v>
          </cell>
        </row>
        <row r="2933">
          <cell r="F2933" t="str">
            <v>H0000173985</v>
          </cell>
          <cell r="I2933" t="str">
            <v>フレーム</v>
          </cell>
          <cell r="J2933" t="str">
            <v>S-Frame_SX-80M_S_KKKK</v>
          </cell>
          <cell r="K2933" t="str">
            <v>S-フレーム_SX-80M_S_KKKK</v>
          </cell>
          <cell r="L2933" t="str">
            <v>S-Frame</v>
          </cell>
          <cell r="M2933" t="str">
            <v>S-フレーム</v>
          </cell>
          <cell r="P2933" t="str">
            <v>31B0</v>
          </cell>
          <cell r="Q2933" t="str">
            <v>SS400</v>
          </cell>
          <cell r="R2933" t="str">
            <v>E367816_01</v>
          </cell>
          <cell r="S2933">
            <v>1847</v>
          </cell>
          <cell r="T2933" t="str">
            <v>標準</v>
          </cell>
        </row>
        <row r="2934">
          <cell r="F2934" t="str">
            <v>H0000173986</v>
          </cell>
          <cell r="I2934" t="str">
            <v>フレーム</v>
          </cell>
          <cell r="J2934" t="str">
            <v>S-Frame_SX-80M_S_KKKK</v>
          </cell>
          <cell r="K2934" t="str">
            <v>S-フレーム_SX-80M_S_KKKK</v>
          </cell>
          <cell r="L2934" t="str">
            <v>S-Frame</v>
          </cell>
          <cell r="M2934" t="str">
            <v>S-フレーム</v>
          </cell>
          <cell r="P2934" t="str">
            <v>31B0</v>
          </cell>
          <cell r="Q2934" t="str">
            <v>SS400</v>
          </cell>
          <cell r="R2934" t="str">
            <v>E367816_01</v>
          </cell>
          <cell r="S2934">
            <v>1847</v>
          </cell>
          <cell r="T2934" t="str">
            <v>標準</v>
          </cell>
        </row>
        <row r="2935">
          <cell r="F2935" t="str">
            <v>H0000173987</v>
          </cell>
          <cell r="I2935" t="str">
            <v>フレーム</v>
          </cell>
          <cell r="J2935" t="str">
            <v>S-Frame_SX-80M_S_KKKK</v>
          </cell>
          <cell r="K2935" t="str">
            <v>S-フレーム_SX-80M_S_KKKK</v>
          </cell>
          <cell r="L2935" t="str">
            <v>S-Frame</v>
          </cell>
          <cell r="M2935" t="str">
            <v>S-フレーム</v>
          </cell>
          <cell r="P2935" t="str">
            <v>31B0</v>
          </cell>
          <cell r="Q2935" t="str">
            <v>SS400</v>
          </cell>
          <cell r="R2935" t="str">
            <v>E367816_01</v>
          </cell>
          <cell r="S2935">
            <v>1847</v>
          </cell>
          <cell r="T2935" t="str">
            <v>標準</v>
          </cell>
        </row>
        <row r="2936">
          <cell r="F2936" t="str">
            <v>H0000173988</v>
          </cell>
          <cell r="I2936" t="str">
            <v>フレーム</v>
          </cell>
          <cell r="J2936" t="str">
            <v>S-Frame_SX-80M_S_KKKK</v>
          </cell>
          <cell r="K2936" t="str">
            <v>S-フレーム_SX-80M_S_KKKK</v>
          </cell>
          <cell r="L2936" t="str">
            <v>S-Frame</v>
          </cell>
          <cell r="M2936" t="str">
            <v>S-フレーム</v>
          </cell>
          <cell r="P2936" t="str">
            <v>31B0</v>
          </cell>
          <cell r="Q2936" t="str">
            <v>SS400</v>
          </cell>
          <cell r="R2936" t="str">
            <v>E367816_01</v>
          </cell>
          <cell r="S2936">
            <v>1847</v>
          </cell>
          <cell r="T2936" t="str">
            <v>標準</v>
          </cell>
        </row>
        <row r="2937">
          <cell r="F2937" t="str">
            <v>H0000173989</v>
          </cell>
          <cell r="I2937" t="str">
            <v>フレーム</v>
          </cell>
          <cell r="J2937" t="str">
            <v>S-Frame_SX-80M_S_KKKK</v>
          </cell>
          <cell r="K2937" t="str">
            <v>S-フレーム_SX-80M_S_KKKK</v>
          </cell>
          <cell r="L2937" t="str">
            <v>S-Frame</v>
          </cell>
          <cell r="M2937" t="str">
            <v>S-フレーム</v>
          </cell>
          <cell r="P2937" t="str">
            <v>31B0</v>
          </cell>
          <cell r="Q2937" t="str">
            <v>SS400</v>
          </cell>
          <cell r="R2937" t="str">
            <v>E367816_01</v>
          </cell>
          <cell r="S2937">
            <v>1847</v>
          </cell>
          <cell r="T2937" t="str">
            <v>標準</v>
          </cell>
        </row>
        <row r="2938">
          <cell r="F2938" t="str">
            <v>H0000173990</v>
          </cell>
          <cell r="I2938" t="str">
            <v>フレーム</v>
          </cell>
          <cell r="J2938" t="str">
            <v>S-Frame_SX-80M_S_KKKK</v>
          </cell>
          <cell r="K2938" t="str">
            <v>S-フレーム_SX-80M_S_KKKK</v>
          </cell>
          <cell r="L2938" t="str">
            <v>S-Frame</v>
          </cell>
          <cell r="M2938" t="str">
            <v>S-フレーム</v>
          </cell>
          <cell r="P2938" t="str">
            <v>31B0</v>
          </cell>
          <cell r="Q2938" t="str">
            <v>SS400</v>
          </cell>
          <cell r="R2938" t="str">
            <v>E367816_01</v>
          </cell>
          <cell r="S2938">
            <v>1847</v>
          </cell>
          <cell r="T2938" t="str">
            <v>標準</v>
          </cell>
        </row>
        <row r="2939">
          <cell r="F2939" t="str">
            <v>H0000173991</v>
          </cell>
          <cell r="I2939" t="str">
            <v>フレーム</v>
          </cell>
          <cell r="J2939" t="str">
            <v>S-Frame_SX-80M_S_KKKK</v>
          </cell>
          <cell r="K2939" t="str">
            <v>S-フレーム_SX-80M_S_KKKK</v>
          </cell>
          <cell r="L2939" t="str">
            <v>S-Frame</v>
          </cell>
          <cell r="M2939" t="str">
            <v>S-フレーム</v>
          </cell>
          <cell r="P2939" t="str">
            <v>31B0</v>
          </cell>
          <cell r="Q2939" t="str">
            <v>SS400</v>
          </cell>
          <cell r="R2939" t="str">
            <v>E367816_01</v>
          </cell>
          <cell r="S2939">
            <v>1847</v>
          </cell>
          <cell r="T2939" t="str">
            <v>標準</v>
          </cell>
        </row>
        <row r="2940">
          <cell r="F2940" t="str">
            <v>H0000173992</v>
          </cell>
          <cell r="I2940" t="str">
            <v>フレーム</v>
          </cell>
          <cell r="J2940" t="str">
            <v>S-Frame_SX-80M_S_KKKK</v>
          </cell>
          <cell r="K2940" t="str">
            <v>S-フレーム_SX-80M_S_KKKK</v>
          </cell>
          <cell r="L2940" t="str">
            <v>S-Frame</v>
          </cell>
          <cell r="M2940" t="str">
            <v>S-フレーム</v>
          </cell>
          <cell r="P2940" t="str">
            <v>31B0</v>
          </cell>
          <cell r="Q2940" t="str">
            <v>SS400</v>
          </cell>
          <cell r="R2940" t="str">
            <v>E367816_01</v>
          </cell>
          <cell r="S2940">
            <v>1847</v>
          </cell>
          <cell r="T2940" t="str">
            <v>標準</v>
          </cell>
        </row>
        <row r="2941">
          <cell r="F2941" t="str">
            <v>H0000173993</v>
          </cell>
          <cell r="I2941" t="str">
            <v>フレーム</v>
          </cell>
          <cell r="J2941" t="str">
            <v>S-Frame_SX-80M_S_KKKK</v>
          </cell>
          <cell r="K2941" t="str">
            <v>S-フレーム_SX-80M_S_KKKK</v>
          </cell>
          <cell r="L2941" t="str">
            <v>S-Frame</v>
          </cell>
          <cell r="M2941" t="str">
            <v>S-フレーム</v>
          </cell>
          <cell r="P2941" t="str">
            <v>31B0</v>
          </cell>
          <cell r="Q2941" t="str">
            <v>SS400</v>
          </cell>
          <cell r="R2941" t="str">
            <v>E367816_01</v>
          </cell>
          <cell r="S2941">
            <v>1847</v>
          </cell>
          <cell r="T2941" t="str">
            <v>標準</v>
          </cell>
        </row>
        <row r="2942">
          <cell r="F2942" t="str">
            <v>H0000173994</v>
          </cell>
          <cell r="I2942" t="str">
            <v>フレーム</v>
          </cell>
          <cell r="J2942" t="str">
            <v>S-Frame_SX-80M_S_KKKK</v>
          </cell>
          <cell r="K2942" t="str">
            <v>S-フレーム_SX-80M_S_KKKK</v>
          </cell>
          <cell r="L2942" t="str">
            <v>S-Frame</v>
          </cell>
          <cell r="M2942" t="str">
            <v>S-フレーム</v>
          </cell>
          <cell r="P2942" t="str">
            <v>31B0</v>
          </cell>
          <cell r="Q2942" t="str">
            <v>SS400</v>
          </cell>
          <cell r="R2942" t="str">
            <v>E367816_01</v>
          </cell>
          <cell r="S2942">
            <v>1847</v>
          </cell>
          <cell r="T2942" t="str">
            <v>標準</v>
          </cell>
        </row>
        <row r="2943">
          <cell r="F2943" t="str">
            <v>H0000173995</v>
          </cell>
          <cell r="I2943" t="str">
            <v>フレーム</v>
          </cell>
          <cell r="J2943" t="str">
            <v>S-Frame_SX-80M_S_KKKK</v>
          </cell>
          <cell r="K2943" t="str">
            <v>S-フレーム_SX-80M_S_KKKK</v>
          </cell>
          <cell r="L2943" t="str">
            <v>S-Frame</v>
          </cell>
          <cell r="M2943" t="str">
            <v>S-フレーム</v>
          </cell>
          <cell r="P2943" t="str">
            <v>31B0</v>
          </cell>
          <cell r="Q2943" t="str">
            <v>SS400</v>
          </cell>
          <cell r="R2943" t="str">
            <v>E367816_01</v>
          </cell>
          <cell r="S2943">
            <v>1847</v>
          </cell>
          <cell r="T2943" t="str">
            <v>標準</v>
          </cell>
        </row>
        <row r="2944">
          <cell r="F2944" t="str">
            <v>H0000173996</v>
          </cell>
          <cell r="I2944" t="str">
            <v>フレーム</v>
          </cell>
          <cell r="J2944" t="str">
            <v>S-Frame_SX-80M_S_KKKK</v>
          </cell>
          <cell r="K2944" t="str">
            <v>S-フレーム_SX-80M_S_KKKK</v>
          </cell>
          <cell r="L2944" t="str">
            <v>S-Frame</v>
          </cell>
          <cell r="M2944" t="str">
            <v>S-フレーム</v>
          </cell>
          <cell r="P2944" t="str">
            <v>31B0</v>
          </cell>
          <cell r="Q2944" t="str">
            <v>SS400</v>
          </cell>
          <cell r="R2944" t="str">
            <v>E367816_01</v>
          </cell>
          <cell r="S2944">
            <v>1847</v>
          </cell>
          <cell r="T2944" t="str">
            <v>標準</v>
          </cell>
        </row>
        <row r="2945">
          <cell r="F2945" t="str">
            <v>H0000173997</v>
          </cell>
          <cell r="I2945" t="str">
            <v>フレーム</v>
          </cell>
          <cell r="J2945" t="str">
            <v>S-Frame_GasCutting_SX-80M_S_1234</v>
          </cell>
          <cell r="K2945" t="str">
            <v>S-フレーム_ガス溶断_SX-80M_S_1234</v>
          </cell>
          <cell r="L2945" t="str">
            <v>S-Frame</v>
          </cell>
          <cell r="M2945" t="str">
            <v>S-フレーム</v>
          </cell>
          <cell r="N2945" t="str">
            <v>GasCutting</v>
          </cell>
          <cell r="O2945" t="str">
            <v>ガス溶断</v>
          </cell>
          <cell r="P2945" t="str">
            <v>31B0</v>
          </cell>
          <cell r="Q2945" t="str">
            <v>SS400</v>
          </cell>
          <cell r="R2945" t="str">
            <v>E367815_01</v>
          </cell>
          <cell r="S2945">
            <v>1847</v>
          </cell>
          <cell r="T2945" t="str">
            <v>標準</v>
          </cell>
        </row>
        <row r="2946">
          <cell r="F2946" t="str">
            <v>H0000173998</v>
          </cell>
          <cell r="I2946" t="str">
            <v>フレーム</v>
          </cell>
          <cell r="J2946" t="str">
            <v>S-Frame_GasCutting_SX-80M_S_1234</v>
          </cell>
          <cell r="K2946" t="str">
            <v>S-フレーム_ガス溶断_SX-80M_S_1234</v>
          </cell>
          <cell r="L2946" t="str">
            <v>S-Frame</v>
          </cell>
          <cell r="M2946" t="str">
            <v>S-フレーム</v>
          </cell>
          <cell r="N2946" t="str">
            <v>GasCutting</v>
          </cell>
          <cell r="O2946" t="str">
            <v>ガス溶断</v>
          </cell>
          <cell r="P2946" t="str">
            <v>31B0</v>
          </cell>
          <cell r="Q2946" t="str">
            <v>SS400</v>
          </cell>
          <cell r="R2946" t="str">
            <v>E367815_01</v>
          </cell>
          <cell r="S2946">
            <v>1847</v>
          </cell>
          <cell r="T2946" t="str">
            <v>標準</v>
          </cell>
        </row>
        <row r="2947">
          <cell r="F2947" t="str">
            <v>H0000173999</v>
          </cell>
          <cell r="I2947" t="str">
            <v>フレーム</v>
          </cell>
          <cell r="J2947" t="str">
            <v>S-Frame_GasCutting_SX-80M_S_1234</v>
          </cell>
          <cell r="K2947" t="str">
            <v>S-フレーム_ガス溶断_SX-80M_S_1234</v>
          </cell>
          <cell r="L2947" t="str">
            <v>S-Frame</v>
          </cell>
          <cell r="M2947" t="str">
            <v>S-フレーム</v>
          </cell>
          <cell r="N2947" t="str">
            <v>GasCutting</v>
          </cell>
          <cell r="O2947" t="str">
            <v>ガス溶断</v>
          </cell>
          <cell r="P2947" t="str">
            <v>31B0</v>
          </cell>
          <cell r="Q2947" t="str">
            <v>SS400</v>
          </cell>
          <cell r="R2947" t="str">
            <v>E367815_01</v>
          </cell>
          <cell r="S2947">
            <v>1847</v>
          </cell>
          <cell r="T2947" t="str">
            <v>標準</v>
          </cell>
        </row>
        <row r="2948">
          <cell r="F2948" t="str">
            <v>H0000174000</v>
          </cell>
          <cell r="I2948" t="str">
            <v>フレーム</v>
          </cell>
          <cell r="J2948" t="str">
            <v>S-Frame_GasCutting_SX-80M_S_1234</v>
          </cell>
          <cell r="K2948" t="str">
            <v>S-フレーム_ガス溶断_SX-80M_S_1234</v>
          </cell>
          <cell r="L2948" t="str">
            <v>S-Frame</v>
          </cell>
          <cell r="M2948" t="str">
            <v>S-フレーム</v>
          </cell>
          <cell r="N2948" t="str">
            <v>GasCutting</v>
          </cell>
          <cell r="O2948" t="str">
            <v>ガス溶断</v>
          </cell>
          <cell r="P2948" t="str">
            <v>31B0</v>
          </cell>
          <cell r="Q2948" t="str">
            <v>SS400</v>
          </cell>
          <cell r="R2948" t="str">
            <v>E367815_01</v>
          </cell>
          <cell r="S2948">
            <v>1847</v>
          </cell>
          <cell r="T2948" t="str">
            <v>標準</v>
          </cell>
        </row>
        <row r="2949">
          <cell r="F2949" t="str">
            <v>H0000174001</v>
          </cell>
          <cell r="I2949" t="str">
            <v>フレーム</v>
          </cell>
          <cell r="J2949" t="str">
            <v>Rib_SX-80M_S_W1090,H260,T60</v>
          </cell>
          <cell r="K2949" t="str">
            <v>リブ_SX-80M_S_W1090,H260,T60</v>
          </cell>
          <cell r="L2949" t="str">
            <v>Rib</v>
          </cell>
          <cell r="M2949" t="str">
            <v>リブ</v>
          </cell>
          <cell r="P2949" t="str">
            <v>31B0</v>
          </cell>
          <cell r="Q2949" t="str">
            <v>SS400</v>
          </cell>
          <cell r="R2949" t="str">
            <v>E367816_02</v>
          </cell>
          <cell r="S2949">
            <v>130</v>
          </cell>
          <cell r="T2949" t="str">
            <v>標準</v>
          </cell>
          <cell r="V2949" t="str">
            <v>SX-80L</v>
          </cell>
        </row>
        <row r="2950">
          <cell r="F2950" t="str">
            <v>H0000174002</v>
          </cell>
          <cell r="I2950" t="str">
            <v>フレーム</v>
          </cell>
          <cell r="J2950" t="str">
            <v>S-Frame_SX-80L_N_NNNN</v>
          </cell>
          <cell r="K2950" t="str">
            <v>S-フレーム_SX-80L_N_NNNN</v>
          </cell>
          <cell r="L2950" t="str">
            <v>S-Frame</v>
          </cell>
          <cell r="M2950" t="str">
            <v>S-フレーム</v>
          </cell>
          <cell r="P2950" t="str">
            <v>31B0</v>
          </cell>
          <cell r="Q2950" t="str">
            <v>SS400</v>
          </cell>
          <cell r="R2950" t="str">
            <v>E369074_01</v>
          </cell>
          <cell r="S2950">
            <v>1635</v>
          </cell>
          <cell r="T2950" t="str">
            <v>標準</v>
          </cell>
        </row>
        <row r="2951">
          <cell r="F2951" t="str">
            <v>H0000174003</v>
          </cell>
          <cell r="I2951" t="str">
            <v>フレーム</v>
          </cell>
          <cell r="J2951" t="str">
            <v>S-Frame_SX-80L_N_NNNN</v>
          </cell>
          <cell r="K2951" t="str">
            <v>S-フレーム_SX-80L_N_NNNN</v>
          </cell>
          <cell r="L2951" t="str">
            <v>S-Frame</v>
          </cell>
          <cell r="M2951" t="str">
            <v>S-フレーム</v>
          </cell>
          <cell r="P2951" t="str">
            <v>31B0</v>
          </cell>
          <cell r="Q2951" t="str">
            <v>SS400</v>
          </cell>
          <cell r="R2951" t="str">
            <v>E369074_01</v>
          </cell>
          <cell r="S2951">
            <v>1635</v>
          </cell>
          <cell r="T2951" t="str">
            <v>標準</v>
          </cell>
        </row>
        <row r="2952">
          <cell r="F2952" t="str">
            <v>H0000174004</v>
          </cell>
          <cell r="I2952" t="str">
            <v>フレーム</v>
          </cell>
          <cell r="J2952" t="str">
            <v>S-Frame_SX-80L_N_NNNN</v>
          </cell>
          <cell r="K2952" t="str">
            <v>S-フレーム_SX-80L_N_NNNN</v>
          </cell>
          <cell r="L2952" t="str">
            <v>S-Frame</v>
          </cell>
          <cell r="M2952" t="str">
            <v>S-フレーム</v>
          </cell>
          <cell r="P2952" t="str">
            <v>31B0</v>
          </cell>
          <cell r="Q2952" t="str">
            <v>SS400</v>
          </cell>
          <cell r="R2952" t="str">
            <v>E369074_01</v>
          </cell>
          <cell r="S2952">
            <v>1635</v>
          </cell>
          <cell r="T2952" t="str">
            <v>標準</v>
          </cell>
        </row>
        <row r="2953">
          <cell r="F2953" t="str">
            <v>H0000174005</v>
          </cell>
          <cell r="I2953" t="str">
            <v>フレーム</v>
          </cell>
          <cell r="J2953" t="str">
            <v>S-Frame_SX-80L_N_NNNN</v>
          </cell>
          <cell r="K2953" t="str">
            <v>S-フレーム_SX-80L_N_NNNN</v>
          </cell>
          <cell r="L2953" t="str">
            <v>S-Frame</v>
          </cell>
          <cell r="M2953" t="str">
            <v>S-フレーム</v>
          </cell>
          <cell r="P2953" t="str">
            <v>31B0</v>
          </cell>
          <cell r="Q2953" t="str">
            <v>SS400</v>
          </cell>
          <cell r="R2953" t="str">
            <v>E369074_01</v>
          </cell>
          <cell r="S2953">
            <v>1635</v>
          </cell>
          <cell r="T2953" t="str">
            <v>標準</v>
          </cell>
        </row>
        <row r="2954">
          <cell r="F2954" t="str">
            <v>H0000174006</v>
          </cell>
          <cell r="I2954" t="str">
            <v>フレーム</v>
          </cell>
          <cell r="J2954" t="str">
            <v>S-Frame_SX-80L_N_NNNN</v>
          </cell>
          <cell r="K2954" t="str">
            <v>S-フレーム_SX-80L_N_NNNN</v>
          </cell>
          <cell r="L2954" t="str">
            <v>S-Frame</v>
          </cell>
          <cell r="M2954" t="str">
            <v>S-フレーム</v>
          </cell>
          <cell r="P2954" t="str">
            <v>31B0</v>
          </cell>
          <cell r="Q2954" t="str">
            <v>SS400</v>
          </cell>
          <cell r="R2954" t="str">
            <v>E369074_01</v>
          </cell>
          <cell r="S2954">
            <v>1635</v>
          </cell>
          <cell r="T2954" t="str">
            <v>標準</v>
          </cell>
        </row>
        <row r="2955">
          <cell r="F2955" t="str">
            <v>H0000174007</v>
          </cell>
          <cell r="I2955" t="str">
            <v>フレーム</v>
          </cell>
          <cell r="J2955" t="str">
            <v>S-Frame_SX-80L_N_NNNN</v>
          </cell>
          <cell r="K2955" t="str">
            <v>S-フレーム_SX-80L_N_NNNN</v>
          </cell>
          <cell r="L2955" t="str">
            <v>S-Frame</v>
          </cell>
          <cell r="M2955" t="str">
            <v>S-フレーム</v>
          </cell>
          <cell r="P2955" t="str">
            <v>31B0</v>
          </cell>
          <cell r="Q2955" t="str">
            <v>SS400</v>
          </cell>
          <cell r="R2955" t="str">
            <v>E369074_01</v>
          </cell>
          <cell r="S2955">
            <v>1635</v>
          </cell>
          <cell r="T2955" t="str">
            <v>標準</v>
          </cell>
        </row>
        <row r="2956">
          <cell r="F2956" t="str">
            <v>H0000174008</v>
          </cell>
          <cell r="I2956" t="str">
            <v>フレーム</v>
          </cell>
          <cell r="J2956" t="str">
            <v>S-Frame_SX-80L_N_NNNN</v>
          </cell>
          <cell r="K2956" t="str">
            <v>S-フレーム_SX-80L_N_NNNN</v>
          </cell>
          <cell r="L2956" t="str">
            <v>S-Frame</v>
          </cell>
          <cell r="M2956" t="str">
            <v>S-フレーム</v>
          </cell>
          <cell r="P2956" t="str">
            <v>31B0</v>
          </cell>
          <cell r="Q2956" t="str">
            <v>SS400</v>
          </cell>
          <cell r="R2956" t="str">
            <v>E369074_01</v>
          </cell>
          <cell r="S2956">
            <v>1635</v>
          </cell>
          <cell r="T2956" t="str">
            <v>標準</v>
          </cell>
        </row>
        <row r="2957">
          <cell r="F2957" t="str">
            <v>H0000174009</v>
          </cell>
          <cell r="I2957" t="str">
            <v>フレーム</v>
          </cell>
          <cell r="J2957" t="str">
            <v>S-Frame_SX-80L_N_NNNN</v>
          </cell>
          <cell r="K2957" t="str">
            <v>S-フレーム_SX-80L_N_NNNN</v>
          </cell>
          <cell r="L2957" t="str">
            <v>S-Frame</v>
          </cell>
          <cell r="M2957" t="str">
            <v>S-フレーム</v>
          </cell>
          <cell r="P2957" t="str">
            <v>31B0</v>
          </cell>
          <cell r="Q2957" t="str">
            <v>SS400</v>
          </cell>
          <cell r="R2957" t="str">
            <v>E369074_01</v>
          </cell>
          <cell r="S2957">
            <v>1635</v>
          </cell>
          <cell r="T2957" t="str">
            <v>標準</v>
          </cell>
        </row>
        <row r="2958">
          <cell r="F2958" t="str">
            <v>H0000174010</v>
          </cell>
          <cell r="I2958" t="str">
            <v>フレーム</v>
          </cell>
          <cell r="J2958" t="str">
            <v>S-Frame_SX-80L_N_NNNN</v>
          </cell>
          <cell r="K2958" t="str">
            <v>S-フレーム_SX-80L_N_NNNN</v>
          </cell>
          <cell r="L2958" t="str">
            <v>S-Frame</v>
          </cell>
          <cell r="M2958" t="str">
            <v>S-フレーム</v>
          </cell>
          <cell r="P2958" t="str">
            <v>31B0</v>
          </cell>
          <cell r="Q2958" t="str">
            <v>SS400</v>
          </cell>
          <cell r="R2958" t="str">
            <v>E369074_01</v>
          </cell>
          <cell r="S2958">
            <v>1635</v>
          </cell>
          <cell r="T2958" t="str">
            <v>標準</v>
          </cell>
        </row>
        <row r="2959">
          <cell r="F2959" t="str">
            <v>H0000174011</v>
          </cell>
          <cell r="I2959" t="str">
            <v>フレーム</v>
          </cell>
          <cell r="J2959" t="str">
            <v>S-Frame_SX-80L_N_KKKK</v>
          </cell>
          <cell r="K2959" t="str">
            <v>S-フレーム_SX-80L_N_KKKK</v>
          </cell>
          <cell r="L2959" t="str">
            <v>S-Frame</v>
          </cell>
          <cell r="M2959" t="str">
            <v>S-フレーム</v>
          </cell>
          <cell r="P2959" t="str">
            <v>31B0</v>
          </cell>
          <cell r="Q2959" t="str">
            <v>SS400</v>
          </cell>
          <cell r="R2959" t="str">
            <v>E369074_01</v>
          </cell>
          <cell r="S2959">
            <v>1635</v>
          </cell>
          <cell r="T2959" t="str">
            <v>標準</v>
          </cell>
        </row>
        <row r="2960">
          <cell r="F2960" t="str">
            <v>H0000174012</v>
          </cell>
          <cell r="I2960" t="str">
            <v>フレーム</v>
          </cell>
          <cell r="J2960" t="str">
            <v>S-Frame_SX-80L_N_KKKK</v>
          </cell>
          <cell r="K2960" t="str">
            <v>S-フレーム_SX-80L_N_KKKK</v>
          </cell>
          <cell r="L2960" t="str">
            <v>S-Frame</v>
          </cell>
          <cell r="M2960" t="str">
            <v>S-フレーム</v>
          </cell>
          <cell r="P2960" t="str">
            <v>31B0</v>
          </cell>
          <cell r="Q2960" t="str">
            <v>SS400</v>
          </cell>
          <cell r="R2960" t="str">
            <v>E369074_01</v>
          </cell>
          <cell r="S2960">
            <v>1635</v>
          </cell>
          <cell r="T2960" t="str">
            <v>標準</v>
          </cell>
        </row>
        <row r="2961">
          <cell r="F2961" t="str">
            <v>H0000174013</v>
          </cell>
          <cell r="I2961" t="str">
            <v>フレーム</v>
          </cell>
          <cell r="J2961" t="str">
            <v>S-Frame_SX-80L_N_KKKK</v>
          </cell>
          <cell r="K2961" t="str">
            <v>S-フレーム_SX-80L_N_KKKK</v>
          </cell>
          <cell r="L2961" t="str">
            <v>S-Frame</v>
          </cell>
          <cell r="M2961" t="str">
            <v>S-フレーム</v>
          </cell>
          <cell r="P2961" t="str">
            <v>31B0</v>
          </cell>
          <cell r="Q2961" t="str">
            <v>SS400</v>
          </cell>
          <cell r="R2961" t="str">
            <v>E369074_01</v>
          </cell>
          <cell r="S2961">
            <v>1635</v>
          </cell>
          <cell r="T2961" t="str">
            <v>標準</v>
          </cell>
        </row>
        <row r="2962">
          <cell r="F2962" t="str">
            <v>H0000174014</v>
          </cell>
          <cell r="I2962" t="str">
            <v>フレーム</v>
          </cell>
          <cell r="J2962" t="str">
            <v>S-Frame_SX-80L_N_KKKK</v>
          </cell>
          <cell r="K2962" t="str">
            <v>S-フレーム_SX-80L_N_KKKK</v>
          </cell>
          <cell r="L2962" t="str">
            <v>S-Frame</v>
          </cell>
          <cell r="M2962" t="str">
            <v>S-フレーム</v>
          </cell>
          <cell r="P2962" t="str">
            <v>31B0</v>
          </cell>
          <cell r="Q2962" t="str">
            <v>SS400</v>
          </cell>
          <cell r="R2962" t="str">
            <v>E369074_01</v>
          </cell>
          <cell r="S2962">
            <v>1635</v>
          </cell>
          <cell r="T2962" t="str">
            <v>標準</v>
          </cell>
        </row>
        <row r="2963">
          <cell r="F2963" t="str">
            <v>H0000174015</v>
          </cell>
          <cell r="I2963" t="str">
            <v>フレーム</v>
          </cell>
          <cell r="J2963" t="str">
            <v>S-Frame_SX-80L_N_KKKK</v>
          </cell>
          <cell r="K2963" t="str">
            <v>S-フレーム_SX-80L_N_KKKK</v>
          </cell>
          <cell r="L2963" t="str">
            <v>S-Frame</v>
          </cell>
          <cell r="M2963" t="str">
            <v>S-フレーム</v>
          </cell>
          <cell r="P2963" t="str">
            <v>31B0</v>
          </cell>
          <cell r="Q2963" t="str">
            <v>SS400</v>
          </cell>
          <cell r="R2963" t="str">
            <v>E369074_01</v>
          </cell>
          <cell r="S2963">
            <v>1635</v>
          </cell>
          <cell r="T2963" t="str">
            <v>標準</v>
          </cell>
        </row>
        <row r="2964">
          <cell r="F2964" t="str">
            <v>H0000174016</v>
          </cell>
          <cell r="I2964" t="str">
            <v>フレーム</v>
          </cell>
          <cell r="J2964" t="str">
            <v>S-Frame_SX-80L_N_KKKK</v>
          </cell>
          <cell r="K2964" t="str">
            <v>S-フレーム_SX-80L_N_KKKK</v>
          </cell>
          <cell r="L2964" t="str">
            <v>S-Frame</v>
          </cell>
          <cell r="M2964" t="str">
            <v>S-フレーム</v>
          </cell>
          <cell r="P2964" t="str">
            <v>31B0</v>
          </cell>
          <cell r="Q2964" t="str">
            <v>SS400</v>
          </cell>
          <cell r="R2964" t="str">
            <v>E369074_01</v>
          </cell>
          <cell r="S2964">
            <v>1635</v>
          </cell>
          <cell r="T2964" t="str">
            <v>標準</v>
          </cell>
        </row>
        <row r="2965">
          <cell r="F2965" t="str">
            <v>H0000174017</v>
          </cell>
          <cell r="I2965" t="str">
            <v>フレーム</v>
          </cell>
          <cell r="J2965" t="str">
            <v>S-Frame_SX-80L_N_KKKK</v>
          </cell>
          <cell r="K2965" t="str">
            <v>S-フレーム_SX-80L_N_KKKK</v>
          </cell>
          <cell r="L2965" t="str">
            <v>S-Frame</v>
          </cell>
          <cell r="M2965" t="str">
            <v>S-フレーム</v>
          </cell>
          <cell r="P2965" t="str">
            <v>31B0</v>
          </cell>
          <cell r="Q2965" t="str">
            <v>SS400</v>
          </cell>
          <cell r="R2965" t="str">
            <v>E369074_01</v>
          </cell>
          <cell r="S2965">
            <v>1635</v>
          </cell>
          <cell r="T2965" t="str">
            <v>標準</v>
          </cell>
        </row>
        <row r="2966">
          <cell r="F2966" t="str">
            <v>H0000174018</v>
          </cell>
          <cell r="I2966" t="str">
            <v>フレーム</v>
          </cell>
          <cell r="J2966" t="str">
            <v>S-Frame_SX-80L_N_KKKK</v>
          </cell>
          <cell r="K2966" t="str">
            <v>S-フレーム_SX-80L_N_KKKK</v>
          </cell>
          <cell r="L2966" t="str">
            <v>S-Frame</v>
          </cell>
          <cell r="M2966" t="str">
            <v>S-フレーム</v>
          </cell>
          <cell r="P2966" t="str">
            <v>31B0</v>
          </cell>
          <cell r="Q2966" t="str">
            <v>SS400</v>
          </cell>
          <cell r="R2966" t="str">
            <v>E369074_01</v>
          </cell>
          <cell r="S2966">
            <v>1635</v>
          </cell>
          <cell r="T2966" t="str">
            <v>標準</v>
          </cell>
        </row>
        <row r="2967">
          <cell r="F2967" t="str">
            <v>H0000174019</v>
          </cell>
          <cell r="I2967" t="str">
            <v>フレーム</v>
          </cell>
          <cell r="J2967" t="str">
            <v>S-Frame_SX-80L_N_KKKK</v>
          </cell>
          <cell r="K2967" t="str">
            <v>S-フレーム_SX-80L_N_KKKK</v>
          </cell>
          <cell r="L2967" t="str">
            <v>S-Frame</v>
          </cell>
          <cell r="M2967" t="str">
            <v>S-フレーム</v>
          </cell>
          <cell r="P2967" t="str">
            <v>31B0</v>
          </cell>
          <cell r="Q2967" t="str">
            <v>SS400</v>
          </cell>
          <cell r="R2967" t="str">
            <v>E369074_01</v>
          </cell>
          <cell r="S2967">
            <v>1635</v>
          </cell>
          <cell r="T2967" t="str">
            <v>標準</v>
          </cell>
        </row>
        <row r="2968">
          <cell r="F2968" t="str">
            <v>H0000174020</v>
          </cell>
          <cell r="I2968" t="str">
            <v>フレーム</v>
          </cell>
          <cell r="J2968" t="str">
            <v>S-Frame_GasCutting_SX-80L_N_1234</v>
          </cell>
          <cell r="K2968" t="str">
            <v>S-フレーム_ガス溶断_SX-80L_N_1234</v>
          </cell>
          <cell r="L2968" t="str">
            <v>S-Frame</v>
          </cell>
          <cell r="M2968" t="str">
            <v>S-フレーム</v>
          </cell>
          <cell r="N2968" t="str">
            <v>GasCutting</v>
          </cell>
          <cell r="O2968" t="str">
            <v>ガス溶断</v>
          </cell>
          <cell r="P2968" t="str">
            <v>31B0</v>
          </cell>
          <cell r="Q2968" t="str">
            <v>SS400</v>
          </cell>
          <cell r="R2968" t="str">
            <v>E369073_01</v>
          </cell>
          <cell r="S2968">
            <v>1635</v>
          </cell>
          <cell r="T2968" t="str">
            <v>標準</v>
          </cell>
        </row>
        <row r="2969">
          <cell r="F2969" t="str">
            <v>H0000174021</v>
          </cell>
          <cell r="I2969" t="str">
            <v>フレーム</v>
          </cell>
          <cell r="J2969" t="str">
            <v>S-Frame_SX-80L_H_NNNN</v>
          </cell>
          <cell r="K2969" t="str">
            <v>S-フレーム_SX-80L_H_NNNN</v>
          </cell>
          <cell r="L2969" t="str">
            <v>S-Frame</v>
          </cell>
          <cell r="M2969" t="str">
            <v>S-フレーム</v>
          </cell>
          <cell r="P2969" t="str">
            <v>31B0</v>
          </cell>
          <cell r="Q2969" t="str">
            <v>SS400</v>
          </cell>
          <cell r="R2969" t="str">
            <v>E369078_01</v>
          </cell>
          <cell r="S2969">
            <v>1954</v>
          </cell>
          <cell r="T2969" t="str">
            <v>標準</v>
          </cell>
        </row>
        <row r="2970">
          <cell r="F2970" t="str">
            <v>H0000174022</v>
          </cell>
          <cell r="I2970" t="str">
            <v>フレーム</v>
          </cell>
          <cell r="J2970" t="str">
            <v>S-Frame_SX-80L_H_NNNN</v>
          </cell>
          <cell r="K2970" t="str">
            <v>S-フレーム_SX-80L_H_NNNN</v>
          </cell>
          <cell r="L2970" t="str">
            <v>S-Frame</v>
          </cell>
          <cell r="M2970" t="str">
            <v>S-フレーム</v>
          </cell>
          <cell r="P2970" t="str">
            <v>31B0</v>
          </cell>
          <cell r="Q2970" t="str">
            <v>SS400</v>
          </cell>
          <cell r="R2970" t="str">
            <v>E369078_01</v>
          </cell>
          <cell r="S2970">
            <v>1954</v>
          </cell>
          <cell r="T2970" t="str">
            <v>標準</v>
          </cell>
        </row>
        <row r="2971">
          <cell r="F2971" t="str">
            <v>H0000174023</v>
          </cell>
          <cell r="I2971" t="str">
            <v>フレーム</v>
          </cell>
          <cell r="J2971" t="str">
            <v>S-Frame_SX-80L_H_NNNN</v>
          </cell>
          <cell r="K2971" t="str">
            <v>S-フレーム_SX-80L_H_NNNN</v>
          </cell>
          <cell r="L2971" t="str">
            <v>S-Frame</v>
          </cell>
          <cell r="M2971" t="str">
            <v>S-フレーム</v>
          </cell>
          <cell r="P2971" t="str">
            <v>31B0</v>
          </cell>
          <cell r="Q2971" t="str">
            <v>SS400</v>
          </cell>
          <cell r="R2971" t="str">
            <v>E369078_01</v>
          </cell>
          <cell r="S2971">
            <v>1954</v>
          </cell>
          <cell r="T2971" t="str">
            <v>標準</v>
          </cell>
        </row>
        <row r="2972">
          <cell r="F2972" t="str">
            <v>H0000174024</v>
          </cell>
          <cell r="I2972" t="str">
            <v>フレーム</v>
          </cell>
          <cell r="J2972" t="str">
            <v>S-Frame_SX-80L_H_NNNN</v>
          </cell>
          <cell r="K2972" t="str">
            <v>S-フレーム_SX-80L_H_NNNN</v>
          </cell>
          <cell r="L2972" t="str">
            <v>S-Frame</v>
          </cell>
          <cell r="M2972" t="str">
            <v>S-フレーム</v>
          </cell>
          <cell r="P2972" t="str">
            <v>31B0</v>
          </cell>
          <cell r="Q2972" t="str">
            <v>SS400</v>
          </cell>
          <cell r="R2972" t="str">
            <v>E369078_01</v>
          </cell>
          <cell r="S2972">
            <v>1954</v>
          </cell>
          <cell r="T2972" t="str">
            <v>標準</v>
          </cell>
        </row>
        <row r="2973">
          <cell r="F2973" t="str">
            <v>H0000174025</v>
          </cell>
          <cell r="I2973" t="str">
            <v>フレーム</v>
          </cell>
          <cell r="J2973" t="str">
            <v>S-Frame_SX-80L_H_NNNN</v>
          </cell>
          <cell r="K2973" t="str">
            <v>S-フレーム_SX-80L_H_NNNN</v>
          </cell>
          <cell r="L2973" t="str">
            <v>S-Frame</v>
          </cell>
          <cell r="M2973" t="str">
            <v>S-フレーム</v>
          </cell>
          <cell r="P2973" t="str">
            <v>31B0</v>
          </cell>
          <cell r="Q2973" t="str">
            <v>SS400</v>
          </cell>
          <cell r="R2973" t="str">
            <v>E369078_01</v>
          </cell>
          <cell r="S2973">
            <v>1954</v>
          </cell>
          <cell r="T2973" t="str">
            <v>標準</v>
          </cell>
        </row>
        <row r="2974">
          <cell r="F2974" t="str">
            <v>H0000174026</v>
          </cell>
          <cell r="I2974" t="str">
            <v>フレーム</v>
          </cell>
          <cell r="J2974" t="str">
            <v>S-Frame_SX-80L_H_NNNN</v>
          </cell>
          <cell r="K2974" t="str">
            <v>S-フレーム_SX-80L_H_NNNN</v>
          </cell>
          <cell r="L2974" t="str">
            <v>S-Frame</v>
          </cell>
          <cell r="M2974" t="str">
            <v>S-フレーム</v>
          </cell>
          <cell r="P2974" t="str">
            <v>31B0</v>
          </cell>
          <cell r="Q2974" t="str">
            <v>SS400</v>
          </cell>
          <cell r="R2974" t="str">
            <v>E369078_01</v>
          </cell>
          <cell r="S2974">
            <v>1954</v>
          </cell>
          <cell r="T2974" t="str">
            <v>標準</v>
          </cell>
        </row>
        <row r="2975">
          <cell r="F2975" t="str">
            <v>H0000174027</v>
          </cell>
          <cell r="I2975" t="str">
            <v>フレーム</v>
          </cell>
          <cell r="J2975" t="str">
            <v>S-Frame_SX-80L_H_NNNN</v>
          </cell>
          <cell r="K2975" t="str">
            <v>S-フレーム_SX-80L_H_NNNN</v>
          </cell>
          <cell r="L2975" t="str">
            <v>S-Frame</v>
          </cell>
          <cell r="M2975" t="str">
            <v>S-フレーム</v>
          </cell>
          <cell r="P2975" t="str">
            <v>31B0</v>
          </cell>
          <cell r="Q2975" t="str">
            <v>SS400</v>
          </cell>
          <cell r="R2975" t="str">
            <v>E369078_01</v>
          </cell>
          <cell r="S2975">
            <v>1954</v>
          </cell>
          <cell r="T2975" t="str">
            <v>標準</v>
          </cell>
        </row>
        <row r="2976">
          <cell r="F2976" t="str">
            <v>H0000174028</v>
          </cell>
          <cell r="I2976" t="str">
            <v>フレーム</v>
          </cell>
          <cell r="J2976" t="str">
            <v>S-Frame_SX-80L_H_NNNN</v>
          </cell>
          <cell r="K2976" t="str">
            <v>S-フレーム_SX-80L_H_NNNN</v>
          </cell>
          <cell r="L2976" t="str">
            <v>S-Frame</v>
          </cell>
          <cell r="M2976" t="str">
            <v>S-フレーム</v>
          </cell>
          <cell r="P2976" t="str">
            <v>31B0</v>
          </cell>
          <cell r="Q2976" t="str">
            <v>SS400</v>
          </cell>
          <cell r="R2976" t="str">
            <v>E369078_01</v>
          </cell>
          <cell r="S2976">
            <v>1954</v>
          </cell>
          <cell r="T2976" t="str">
            <v>標準</v>
          </cell>
        </row>
        <row r="2977">
          <cell r="F2977" t="str">
            <v>H0000174029</v>
          </cell>
          <cell r="I2977" t="str">
            <v>フレーム</v>
          </cell>
          <cell r="J2977" t="str">
            <v>S-Frame_SX-80L_H_NNNN</v>
          </cell>
          <cell r="K2977" t="str">
            <v>S-フレーム_SX-80L_H_NNNN</v>
          </cell>
          <cell r="L2977" t="str">
            <v>S-Frame</v>
          </cell>
          <cell r="M2977" t="str">
            <v>S-フレーム</v>
          </cell>
          <cell r="P2977" t="str">
            <v>31B0</v>
          </cell>
          <cell r="Q2977" t="str">
            <v>SS400</v>
          </cell>
          <cell r="R2977" t="str">
            <v>E369078_01</v>
          </cell>
          <cell r="S2977">
            <v>1954</v>
          </cell>
          <cell r="T2977" t="str">
            <v>標準</v>
          </cell>
        </row>
        <row r="2978">
          <cell r="F2978" t="str">
            <v>H0000174030</v>
          </cell>
          <cell r="I2978" t="str">
            <v>フレーム</v>
          </cell>
          <cell r="J2978" t="str">
            <v>S-Frame_SX-80L_H_KKKK</v>
          </cell>
          <cell r="K2978" t="str">
            <v>S-フレーム_SX-80L_H_KKKK</v>
          </cell>
          <cell r="L2978" t="str">
            <v>S-Frame</v>
          </cell>
          <cell r="M2978" t="str">
            <v>S-フレーム</v>
          </cell>
          <cell r="P2978" t="str">
            <v>31B0</v>
          </cell>
          <cell r="Q2978" t="str">
            <v>SS400</v>
          </cell>
          <cell r="R2978" t="str">
            <v>E369078_01</v>
          </cell>
          <cell r="S2978">
            <v>1954</v>
          </cell>
          <cell r="T2978" t="str">
            <v>標準</v>
          </cell>
        </row>
        <row r="2979">
          <cell r="F2979" t="str">
            <v>H0000174031</v>
          </cell>
          <cell r="I2979" t="str">
            <v>フレーム</v>
          </cell>
          <cell r="J2979" t="str">
            <v>S-Frame_SX-80L_H_KKKK</v>
          </cell>
          <cell r="K2979" t="str">
            <v>S-フレーム_SX-80L_H_KKKK</v>
          </cell>
          <cell r="L2979" t="str">
            <v>S-Frame</v>
          </cell>
          <cell r="M2979" t="str">
            <v>S-フレーム</v>
          </cell>
          <cell r="P2979" t="str">
            <v>31B0</v>
          </cell>
          <cell r="Q2979" t="str">
            <v>SS400</v>
          </cell>
          <cell r="R2979" t="str">
            <v>E369078_01</v>
          </cell>
          <cell r="S2979">
            <v>1954</v>
          </cell>
          <cell r="T2979" t="str">
            <v>標準</v>
          </cell>
        </row>
        <row r="2980">
          <cell r="F2980" t="str">
            <v>H0000174032</v>
          </cell>
          <cell r="I2980" t="str">
            <v>フレーム</v>
          </cell>
          <cell r="J2980" t="str">
            <v>S-Frame_SX-80L_H_KKKK</v>
          </cell>
          <cell r="K2980" t="str">
            <v>S-フレーム_SX-80L_H_KKKK</v>
          </cell>
          <cell r="L2980" t="str">
            <v>S-Frame</v>
          </cell>
          <cell r="M2980" t="str">
            <v>S-フレーム</v>
          </cell>
          <cell r="P2980" t="str">
            <v>31B0</v>
          </cell>
          <cell r="Q2980" t="str">
            <v>SS400</v>
          </cell>
          <cell r="R2980" t="str">
            <v>E369078_01</v>
          </cell>
          <cell r="S2980">
            <v>1954</v>
          </cell>
          <cell r="T2980" t="str">
            <v>標準</v>
          </cell>
        </row>
        <row r="2981">
          <cell r="F2981" t="str">
            <v>H0000174033</v>
          </cell>
          <cell r="I2981" t="str">
            <v>フレーム</v>
          </cell>
          <cell r="J2981" t="str">
            <v>S-Frame_SX-80L_H_KKKK</v>
          </cell>
          <cell r="K2981" t="str">
            <v>S-フレーム_SX-80L_H_KKKK</v>
          </cell>
          <cell r="L2981" t="str">
            <v>S-Frame</v>
          </cell>
          <cell r="M2981" t="str">
            <v>S-フレーム</v>
          </cell>
          <cell r="P2981" t="str">
            <v>31B0</v>
          </cell>
          <cell r="Q2981" t="str">
            <v>SS400</v>
          </cell>
          <cell r="R2981" t="str">
            <v>E369078_01</v>
          </cell>
          <cell r="S2981">
            <v>1954</v>
          </cell>
          <cell r="T2981" t="str">
            <v>標準</v>
          </cell>
        </row>
        <row r="2982">
          <cell r="F2982" t="str">
            <v>H0000174034</v>
          </cell>
          <cell r="I2982" t="str">
            <v>フレーム</v>
          </cell>
          <cell r="J2982" t="str">
            <v>S-Frame_SX-80L_H_KKKK</v>
          </cell>
          <cell r="K2982" t="str">
            <v>S-フレーム_SX-80L_H_KKKK</v>
          </cell>
          <cell r="L2982" t="str">
            <v>S-Frame</v>
          </cell>
          <cell r="M2982" t="str">
            <v>S-フレーム</v>
          </cell>
          <cell r="P2982" t="str">
            <v>31B0</v>
          </cell>
          <cell r="Q2982" t="str">
            <v>SS400</v>
          </cell>
          <cell r="R2982" t="str">
            <v>E369078_01</v>
          </cell>
          <cell r="S2982">
            <v>1954</v>
          </cell>
          <cell r="T2982" t="str">
            <v>標準</v>
          </cell>
        </row>
        <row r="2983">
          <cell r="F2983" t="str">
            <v>H0000174035</v>
          </cell>
          <cell r="I2983" t="str">
            <v>フレーム</v>
          </cell>
          <cell r="J2983" t="str">
            <v>S-Frame_SX-80L_H_KKKK</v>
          </cell>
          <cell r="K2983" t="str">
            <v>S-フレーム_SX-80L_H_KKKK</v>
          </cell>
          <cell r="L2983" t="str">
            <v>S-Frame</v>
          </cell>
          <cell r="M2983" t="str">
            <v>S-フレーム</v>
          </cell>
          <cell r="P2983" t="str">
            <v>31B0</v>
          </cell>
          <cell r="Q2983" t="str">
            <v>SS400</v>
          </cell>
          <cell r="R2983" t="str">
            <v>E369078_01</v>
          </cell>
          <cell r="S2983">
            <v>1954</v>
          </cell>
          <cell r="T2983" t="str">
            <v>標準</v>
          </cell>
        </row>
        <row r="2984">
          <cell r="F2984" t="str">
            <v>H0000174036</v>
          </cell>
          <cell r="I2984" t="str">
            <v>フレーム</v>
          </cell>
          <cell r="J2984" t="str">
            <v>S-Frame_SX-80L_H_KKKK</v>
          </cell>
          <cell r="K2984" t="str">
            <v>S-フレーム_SX-80L_H_KKKK</v>
          </cell>
          <cell r="L2984" t="str">
            <v>S-Frame</v>
          </cell>
          <cell r="M2984" t="str">
            <v>S-フレーム</v>
          </cell>
          <cell r="P2984" t="str">
            <v>31B0</v>
          </cell>
          <cell r="Q2984" t="str">
            <v>SS400</v>
          </cell>
          <cell r="R2984" t="str">
            <v>E369078_01</v>
          </cell>
          <cell r="S2984">
            <v>1954</v>
          </cell>
          <cell r="T2984" t="str">
            <v>標準</v>
          </cell>
        </row>
        <row r="2985">
          <cell r="F2985" t="str">
            <v>H0000174037</v>
          </cell>
          <cell r="I2985" t="str">
            <v>フレーム</v>
          </cell>
          <cell r="J2985" t="str">
            <v>S-Frame_SX-80L_H_KKKK</v>
          </cell>
          <cell r="K2985" t="str">
            <v>S-フレーム_SX-80L_H_KKKK</v>
          </cell>
          <cell r="L2985" t="str">
            <v>S-Frame</v>
          </cell>
          <cell r="M2985" t="str">
            <v>S-フレーム</v>
          </cell>
          <cell r="P2985" t="str">
            <v>31B0</v>
          </cell>
          <cell r="Q2985" t="str">
            <v>SS400</v>
          </cell>
          <cell r="R2985" t="str">
            <v>E369078_01</v>
          </cell>
          <cell r="S2985">
            <v>1954</v>
          </cell>
          <cell r="T2985" t="str">
            <v>標準</v>
          </cell>
        </row>
        <row r="2986">
          <cell r="F2986" t="str">
            <v>H0000174038</v>
          </cell>
          <cell r="I2986" t="str">
            <v>フレーム</v>
          </cell>
          <cell r="J2986" t="str">
            <v>S-Frame_SX-80L_H_KKKK</v>
          </cell>
          <cell r="K2986" t="str">
            <v>S-フレーム_SX-80L_H_KKKK</v>
          </cell>
          <cell r="L2986" t="str">
            <v>S-Frame</v>
          </cell>
          <cell r="M2986" t="str">
            <v>S-フレーム</v>
          </cell>
          <cell r="P2986" t="str">
            <v>31B0</v>
          </cell>
          <cell r="Q2986" t="str">
            <v>SS400</v>
          </cell>
          <cell r="R2986" t="str">
            <v>E369078_01</v>
          </cell>
          <cell r="S2986">
            <v>1954</v>
          </cell>
          <cell r="T2986" t="str">
            <v>標準</v>
          </cell>
        </row>
        <row r="2987">
          <cell r="F2987" t="str">
            <v>H0000174039</v>
          </cell>
          <cell r="I2987" t="str">
            <v>フレーム</v>
          </cell>
          <cell r="J2987" t="str">
            <v>S-Frame_GasCutting_SX-80L_H_1234</v>
          </cell>
          <cell r="K2987" t="str">
            <v>S-フレーム_ガス溶断_SX-80L_H_1234</v>
          </cell>
          <cell r="L2987" t="str">
            <v>S-Frame</v>
          </cell>
          <cell r="M2987" t="str">
            <v>S-フレーム</v>
          </cell>
          <cell r="N2987" t="str">
            <v>GasCutting</v>
          </cell>
          <cell r="O2987" t="str">
            <v>ガス溶断</v>
          </cell>
          <cell r="P2987" t="str">
            <v>31B0</v>
          </cell>
          <cell r="Q2987" t="str">
            <v>SS400</v>
          </cell>
          <cell r="R2987" t="str">
            <v>E369077_01</v>
          </cell>
          <cell r="S2987">
            <v>1954</v>
          </cell>
          <cell r="T2987" t="str">
            <v>標準</v>
          </cell>
        </row>
        <row r="2988">
          <cell r="F2988" t="str">
            <v>H0000174040</v>
          </cell>
          <cell r="I2988" t="str">
            <v>フレーム</v>
          </cell>
          <cell r="J2988" t="str">
            <v>Rib_SX-80L_H_W950,H260,T60</v>
          </cell>
          <cell r="K2988" t="str">
            <v>リブ_SX-80L_H_W950,H260,T60</v>
          </cell>
          <cell r="L2988" t="str">
            <v>Rib</v>
          </cell>
          <cell r="M2988" t="str">
            <v>リブ</v>
          </cell>
          <cell r="P2988" t="str">
            <v>31B0</v>
          </cell>
          <cell r="Q2988" t="str">
            <v>SS400</v>
          </cell>
          <cell r="R2988" t="str">
            <v>E369078_02</v>
          </cell>
          <cell r="S2988">
            <v>113</v>
          </cell>
          <cell r="T2988" t="str">
            <v>標準</v>
          </cell>
        </row>
        <row r="2989">
          <cell r="F2989" t="str">
            <v>H0000174041</v>
          </cell>
          <cell r="I2989" t="str">
            <v>フレーム</v>
          </cell>
          <cell r="J2989" t="str">
            <v>S-Frame_SX-80L_U_KKKK</v>
          </cell>
          <cell r="K2989" t="str">
            <v>S-フレーム_SX-80L_U_KKKK</v>
          </cell>
          <cell r="L2989" t="str">
            <v>S-Frame</v>
          </cell>
          <cell r="M2989" t="str">
            <v>S-フレーム</v>
          </cell>
          <cell r="P2989" t="str">
            <v>31B0</v>
          </cell>
          <cell r="Q2989" t="str">
            <v>SS400</v>
          </cell>
          <cell r="R2989" t="str">
            <v>E369082_01</v>
          </cell>
          <cell r="S2989">
            <v>2236</v>
          </cell>
          <cell r="T2989" t="str">
            <v>標準</v>
          </cell>
        </row>
        <row r="2990">
          <cell r="F2990" t="str">
            <v>H0000174042</v>
          </cell>
          <cell r="I2990" t="str">
            <v>フレーム</v>
          </cell>
          <cell r="J2990" t="str">
            <v>S-Frame_SX-80L_U_KKKK</v>
          </cell>
          <cell r="K2990" t="str">
            <v>S-フレーム_SX-80L_U_KKKK</v>
          </cell>
          <cell r="L2990" t="str">
            <v>S-Frame</v>
          </cell>
          <cell r="M2990" t="str">
            <v>S-フレーム</v>
          </cell>
          <cell r="P2990" t="str">
            <v>31B0</v>
          </cell>
          <cell r="Q2990" t="str">
            <v>SS400</v>
          </cell>
          <cell r="R2990" t="str">
            <v>E369082_01</v>
          </cell>
          <cell r="S2990">
            <v>2236</v>
          </cell>
          <cell r="T2990" t="str">
            <v>標準</v>
          </cell>
        </row>
        <row r="2991">
          <cell r="F2991" t="str">
            <v>H0000174043</v>
          </cell>
          <cell r="I2991" t="str">
            <v>フレーム</v>
          </cell>
          <cell r="J2991" t="str">
            <v>S-Frame_SX-80L_U_KKKK</v>
          </cell>
          <cell r="K2991" t="str">
            <v>S-フレーム_SX-80L_U_KKKK</v>
          </cell>
          <cell r="L2991" t="str">
            <v>S-Frame</v>
          </cell>
          <cell r="M2991" t="str">
            <v>S-フレーム</v>
          </cell>
          <cell r="P2991" t="str">
            <v>31B0</v>
          </cell>
          <cell r="Q2991" t="str">
            <v>SS400</v>
          </cell>
          <cell r="R2991" t="str">
            <v>E369082_01</v>
          </cell>
          <cell r="S2991">
            <v>2236</v>
          </cell>
          <cell r="T2991" t="str">
            <v>標準</v>
          </cell>
        </row>
        <row r="2992">
          <cell r="F2992" t="str">
            <v>H0000174044</v>
          </cell>
          <cell r="I2992" t="str">
            <v>フレーム</v>
          </cell>
          <cell r="J2992" t="str">
            <v>S-Frame_SX-80L_U_KKKK</v>
          </cell>
          <cell r="K2992" t="str">
            <v>S-フレーム_SX-80L_U_KKKK</v>
          </cell>
          <cell r="L2992" t="str">
            <v>S-Frame</v>
          </cell>
          <cell r="M2992" t="str">
            <v>S-フレーム</v>
          </cell>
          <cell r="P2992" t="str">
            <v>31B0</v>
          </cell>
          <cell r="Q2992" t="str">
            <v>SS400</v>
          </cell>
          <cell r="R2992" t="str">
            <v>E369082_01</v>
          </cell>
          <cell r="S2992">
            <v>2236</v>
          </cell>
          <cell r="T2992" t="str">
            <v>標準</v>
          </cell>
        </row>
        <row r="2993">
          <cell r="F2993" t="str">
            <v>H0000174045</v>
          </cell>
          <cell r="I2993" t="str">
            <v>フレーム</v>
          </cell>
          <cell r="J2993" t="str">
            <v>S-Frame_SX-80L_U_KKKK</v>
          </cell>
          <cell r="K2993" t="str">
            <v>S-フレーム_SX-80L_U_KKKK</v>
          </cell>
          <cell r="L2993" t="str">
            <v>S-Frame</v>
          </cell>
          <cell r="M2993" t="str">
            <v>S-フレーム</v>
          </cell>
          <cell r="P2993" t="str">
            <v>31B0</v>
          </cell>
          <cell r="Q2993" t="str">
            <v>SS400</v>
          </cell>
          <cell r="R2993" t="str">
            <v>E369082_01</v>
          </cell>
          <cell r="S2993">
            <v>2236</v>
          </cell>
          <cell r="T2993" t="str">
            <v>標準</v>
          </cell>
        </row>
        <row r="2994">
          <cell r="F2994" t="str">
            <v>H0000174046</v>
          </cell>
          <cell r="I2994" t="str">
            <v>フレーム</v>
          </cell>
          <cell r="J2994" t="str">
            <v>S-Frame_SX-80L_U_KKKK</v>
          </cell>
          <cell r="K2994" t="str">
            <v>S-フレーム_SX-80L_U_KKKK</v>
          </cell>
          <cell r="L2994" t="str">
            <v>S-Frame</v>
          </cell>
          <cell r="M2994" t="str">
            <v>S-フレーム</v>
          </cell>
          <cell r="P2994" t="str">
            <v>31B0</v>
          </cell>
          <cell r="Q2994" t="str">
            <v>SS400</v>
          </cell>
          <cell r="R2994" t="str">
            <v>E369082_01</v>
          </cell>
          <cell r="S2994">
            <v>2236</v>
          </cell>
          <cell r="T2994" t="str">
            <v>標準</v>
          </cell>
        </row>
        <row r="2995">
          <cell r="F2995" t="str">
            <v>H0000174047</v>
          </cell>
          <cell r="I2995" t="str">
            <v>フレーム</v>
          </cell>
          <cell r="J2995" t="str">
            <v>S-Frame_SX-80L_U_KKKK</v>
          </cell>
          <cell r="K2995" t="str">
            <v>S-フレーム_SX-80L_U_KKKK</v>
          </cell>
          <cell r="L2995" t="str">
            <v>S-Frame</v>
          </cell>
          <cell r="M2995" t="str">
            <v>S-フレーム</v>
          </cell>
          <cell r="P2995" t="str">
            <v>31B0</v>
          </cell>
          <cell r="Q2995" t="str">
            <v>SS400</v>
          </cell>
          <cell r="R2995" t="str">
            <v>E369082_01</v>
          </cell>
          <cell r="S2995">
            <v>2236</v>
          </cell>
          <cell r="T2995" t="str">
            <v>標準</v>
          </cell>
        </row>
        <row r="2996">
          <cell r="F2996" t="str">
            <v>H0000174048</v>
          </cell>
          <cell r="I2996" t="str">
            <v>フレーム</v>
          </cell>
          <cell r="J2996" t="str">
            <v>S-Frame_SX-80L_U_KKKK</v>
          </cell>
          <cell r="K2996" t="str">
            <v>S-フレーム_SX-80L_U_KKKK</v>
          </cell>
          <cell r="L2996" t="str">
            <v>S-Frame</v>
          </cell>
          <cell r="M2996" t="str">
            <v>S-フレーム</v>
          </cell>
          <cell r="P2996" t="str">
            <v>31B0</v>
          </cell>
          <cell r="Q2996" t="str">
            <v>SS400</v>
          </cell>
          <cell r="R2996" t="str">
            <v>E369082_01</v>
          </cell>
          <cell r="S2996">
            <v>2236</v>
          </cell>
          <cell r="T2996" t="str">
            <v>標準</v>
          </cell>
        </row>
        <row r="2997">
          <cell r="F2997" t="str">
            <v>H0000174049</v>
          </cell>
          <cell r="I2997" t="str">
            <v>フレーム</v>
          </cell>
          <cell r="J2997" t="str">
            <v>S-Frame_SX-80L_U_KKKK</v>
          </cell>
          <cell r="K2997" t="str">
            <v>S-フレーム_SX-80L_U_KKKK</v>
          </cell>
          <cell r="L2997" t="str">
            <v>S-Frame</v>
          </cell>
          <cell r="M2997" t="str">
            <v>S-フレーム</v>
          </cell>
          <cell r="P2997" t="str">
            <v>31B0</v>
          </cell>
          <cell r="Q2997" t="str">
            <v>SS400</v>
          </cell>
          <cell r="R2997" t="str">
            <v>E369082_01</v>
          </cell>
          <cell r="S2997">
            <v>2236</v>
          </cell>
          <cell r="T2997" t="str">
            <v>標準</v>
          </cell>
        </row>
        <row r="2998">
          <cell r="F2998" t="str">
            <v>H0000174050</v>
          </cell>
          <cell r="I2998" t="str">
            <v>フレーム</v>
          </cell>
          <cell r="J2998" t="str">
            <v>S-Frame_SX-80L_U_KKKK</v>
          </cell>
          <cell r="K2998" t="str">
            <v>S-フレーム_SX-80L_U_KKKK</v>
          </cell>
          <cell r="L2998" t="str">
            <v>S-Frame</v>
          </cell>
          <cell r="M2998" t="str">
            <v>S-フレーム</v>
          </cell>
          <cell r="P2998" t="str">
            <v>31B0</v>
          </cell>
          <cell r="Q2998" t="str">
            <v>SS400</v>
          </cell>
          <cell r="R2998" t="str">
            <v>E369082_01</v>
          </cell>
          <cell r="S2998">
            <v>2236</v>
          </cell>
          <cell r="T2998" t="str">
            <v>標準</v>
          </cell>
        </row>
        <row r="2999">
          <cell r="F2999" t="str">
            <v>H0000174051</v>
          </cell>
          <cell r="I2999" t="str">
            <v>フレーム</v>
          </cell>
          <cell r="J2999" t="str">
            <v>S-Frame_SX-80L_U_KKKK</v>
          </cell>
          <cell r="K2999" t="str">
            <v>S-フレーム_SX-80L_U_KKKK</v>
          </cell>
          <cell r="L2999" t="str">
            <v>S-Frame</v>
          </cell>
          <cell r="M2999" t="str">
            <v>S-フレーム</v>
          </cell>
          <cell r="P2999" t="str">
            <v>31B0</v>
          </cell>
          <cell r="Q2999" t="str">
            <v>SS400</v>
          </cell>
          <cell r="R2999" t="str">
            <v>E369082_01</v>
          </cell>
          <cell r="S2999">
            <v>2236</v>
          </cell>
          <cell r="T2999" t="str">
            <v>標準</v>
          </cell>
        </row>
        <row r="3000">
          <cell r="F3000" t="str">
            <v>H0000174052</v>
          </cell>
          <cell r="I3000" t="str">
            <v>フレーム</v>
          </cell>
          <cell r="J3000" t="str">
            <v>S-Frame_SX-80L_U_KKKK</v>
          </cell>
          <cell r="K3000" t="str">
            <v>S-フレーム_SX-80L_U_KKKK</v>
          </cell>
          <cell r="L3000" t="str">
            <v>S-Frame</v>
          </cell>
          <cell r="M3000" t="str">
            <v>S-フレーム</v>
          </cell>
          <cell r="P3000" t="str">
            <v>31B0</v>
          </cell>
          <cell r="Q3000" t="str">
            <v>SS400</v>
          </cell>
          <cell r="R3000" t="str">
            <v>E369082_01</v>
          </cell>
          <cell r="S3000">
            <v>2236</v>
          </cell>
          <cell r="T3000" t="str">
            <v>標準</v>
          </cell>
        </row>
        <row r="3001">
          <cell r="F3001" t="str">
            <v>H0000174053</v>
          </cell>
          <cell r="I3001" t="str">
            <v>フレーム</v>
          </cell>
          <cell r="J3001" t="str">
            <v>S-Frame_SX-80L_U_KKKK</v>
          </cell>
          <cell r="K3001" t="str">
            <v>S-フレーム_SX-80L_U_KKKK</v>
          </cell>
          <cell r="L3001" t="str">
            <v>S-Frame</v>
          </cell>
          <cell r="M3001" t="str">
            <v>S-フレーム</v>
          </cell>
          <cell r="P3001" t="str">
            <v>31B0</v>
          </cell>
          <cell r="Q3001" t="str">
            <v>SS400</v>
          </cell>
          <cell r="R3001" t="str">
            <v>E369082_01</v>
          </cell>
          <cell r="S3001">
            <v>2236</v>
          </cell>
          <cell r="T3001" t="str">
            <v>標準</v>
          </cell>
        </row>
        <row r="3002">
          <cell r="F3002" t="str">
            <v>H0000174054</v>
          </cell>
          <cell r="I3002" t="str">
            <v>フレーム</v>
          </cell>
          <cell r="J3002" t="str">
            <v>S-Frame_SX-80L_U_KKKK</v>
          </cell>
          <cell r="K3002" t="str">
            <v>S-フレーム_SX-80L_U_KKKK</v>
          </cell>
          <cell r="L3002" t="str">
            <v>S-Frame</v>
          </cell>
          <cell r="M3002" t="str">
            <v>S-フレーム</v>
          </cell>
          <cell r="P3002" t="str">
            <v>31B0</v>
          </cell>
          <cell r="Q3002" t="str">
            <v>SS400</v>
          </cell>
          <cell r="R3002" t="str">
            <v>E369082_01</v>
          </cell>
          <cell r="S3002">
            <v>2236</v>
          </cell>
          <cell r="T3002" t="str">
            <v>標準</v>
          </cell>
        </row>
        <row r="3003">
          <cell r="F3003" t="str">
            <v>H0000174055</v>
          </cell>
          <cell r="I3003" t="str">
            <v>フレーム</v>
          </cell>
          <cell r="J3003" t="str">
            <v>S-Frame_SX-80L_U_KKKK</v>
          </cell>
          <cell r="K3003" t="str">
            <v>S-フレーム_SX-80L_U_KKKK</v>
          </cell>
          <cell r="L3003" t="str">
            <v>S-Frame</v>
          </cell>
          <cell r="M3003" t="str">
            <v>S-フレーム</v>
          </cell>
          <cell r="P3003" t="str">
            <v>31B0</v>
          </cell>
          <cell r="Q3003" t="str">
            <v>SS400</v>
          </cell>
          <cell r="R3003" t="str">
            <v>E369082_01</v>
          </cell>
          <cell r="S3003">
            <v>2236</v>
          </cell>
          <cell r="T3003" t="str">
            <v>標準</v>
          </cell>
        </row>
        <row r="3004">
          <cell r="F3004" t="str">
            <v>H0000174056</v>
          </cell>
          <cell r="I3004" t="str">
            <v>フレーム</v>
          </cell>
          <cell r="J3004" t="str">
            <v>S-Frame_SX-80L_U_KKKK</v>
          </cell>
          <cell r="K3004" t="str">
            <v>S-フレーム_SX-80L_U_KKKK</v>
          </cell>
          <cell r="L3004" t="str">
            <v>S-Frame</v>
          </cell>
          <cell r="M3004" t="str">
            <v>S-フレーム</v>
          </cell>
          <cell r="P3004" t="str">
            <v>31B0</v>
          </cell>
          <cell r="Q3004" t="str">
            <v>SS400</v>
          </cell>
          <cell r="R3004" t="str">
            <v>E369082_01</v>
          </cell>
          <cell r="S3004">
            <v>2236</v>
          </cell>
          <cell r="T3004" t="str">
            <v>標準</v>
          </cell>
        </row>
        <row r="3005">
          <cell r="F3005" t="str">
            <v>H0000174057</v>
          </cell>
          <cell r="I3005" t="str">
            <v>フレーム</v>
          </cell>
          <cell r="J3005" t="str">
            <v>S-Frame_SX-80L_U_KKKK</v>
          </cell>
          <cell r="K3005" t="str">
            <v>S-フレーム_SX-80L_U_KKKK</v>
          </cell>
          <cell r="L3005" t="str">
            <v>S-Frame</v>
          </cell>
          <cell r="M3005" t="str">
            <v>S-フレーム</v>
          </cell>
          <cell r="P3005" t="str">
            <v>31B0</v>
          </cell>
          <cell r="Q3005" t="str">
            <v>SS400</v>
          </cell>
          <cell r="R3005" t="str">
            <v>E369082_01</v>
          </cell>
          <cell r="S3005">
            <v>2236</v>
          </cell>
          <cell r="T3005" t="str">
            <v>標準</v>
          </cell>
        </row>
        <row r="3006">
          <cell r="F3006" t="str">
            <v>H0000174058</v>
          </cell>
          <cell r="I3006" t="str">
            <v>フレーム</v>
          </cell>
          <cell r="J3006" t="str">
            <v>S-Frame_SX-80L_U_KKKK</v>
          </cell>
          <cell r="K3006" t="str">
            <v>S-フレーム_SX-80L_U_KKKK</v>
          </cell>
          <cell r="L3006" t="str">
            <v>S-Frame</v>
          </cell>
          <cell r="M3006" t="str">
            <v>S-フレーム</v>
          </cell>
          <cell r="P3006" t="str">
            <v>31B0</v>
          </cell>
          <cell r="Q3006" t="str">
            <v>SS400</v>
          </cell>
          <cell r="R3006" t="str">
            <v>E369082_01</v>
          </cell>
          <cell r="S3006">
            <v>2236</v>
          </cell>
          <cell r="T3006" t="str">
            <v>標準</v>
          </cell>
        </row>
        <row r="3007">
          <cell r="F3007" t="str">
            <v>H0000174059</v>
          </cell>
          <cell r="I3007" t="str">
            <v>フレーム</v>
          </cell>
          <cell r="J3007" t="str">
            <v>S-Frame_SX-80L_U_KKKK</v>
          </cell>
          <cell r="K3007" t="str">
            <v>S-フレーム_SX-80L_U_KKKK</v>
          </cell>
          <cell r="L3007" t="str">
            <v>S-Frame</v>
          </cell>
          <cell r="M3007" t="str">
            <v>S-フレーム</v>
          </cell>
          <cell r="P3007" t="str">
            <v>31B0</v>
          </cell>
          <cell r="Q3007" t="str">
            <v>SS400</v>
          </cell>
          <cell r="R3007" t="str">
            <v>E369082_01</v>
          </cell>
          <cell r="S3007">
            <v>2236</v>
          </cell>
          <cell r="T3007" t="str">
            <v>標準</v>
          </cell>
        </row>
        <row r="3008">
          <cell r="F3008" t="str">
            <v>H0000174060</v>
          </cell>
          <cell r="I3008" t="str">
            <v>フレーム</v>
          </cell>
          <cell r="J3008" t="str">
            <v>S-Frame_SX-80L_U_KKKK</v>
          </cell>
          <cell r="K3008" t="str">
            <v>S-フレーム_SX-80L_U_KKKK</v>
          </cell>
          <cell r="L3008" t="str">
            <v>S-Frame</v>
          </cell>
          <cell r="M3008" t="str">
            <v>S-フレーム</v>
          </cell>
          <cell r="P3008" t="str">
            <v>31B0</v>
          </cell>
          <cell r="Q3008" t="str">
            <v>SS400</v>
          </cell>
          <cell r="R3008" t="str">
            <v>E369082_01</v>
          </cell>
          <cell r="S3008">
            <v>2236</v>
          </cell>
          <cell r="T3008" t="str">
            <v>標準</v>
          </cell>
        </row>
        <row r="3009">
          <cell r="F3009" t="str">
            <v>H0000174061</v>
          </cell>
          <cell r="I3009" t="str">
            <v>フレーム</v>
          </cell>
          <cell r="J3009" t="str">
            <v>S-Frame_SX-80L_U_KKKK</v>
          </cell>
          <cell r="K3009" t="str">
            <v>S-フレーム_SX-80L_U_KKKK</v>
          </cell>
          <cell r="L3009" t="str">
            <v>S-Frame</v>
          </cell>
          <cell r="M3009" t="str">
            <v>S-フレーム</v>
          </cell>
          <cell r="P3009" t="str">
            <v>31B0</v>
          </cell>
          <cell r="Q3009" t="str">
            <v>SS400</v>
          </cell>
          <cell r="R3009" t="str">
            <v>E369082_01</v>
          </cell>
          <cell r="S3009">
            <v>2236</v>
          </cell>
          <cell r="T3009" t="str">
            <v>標準</v>
          </cell>
        </row>
        <row r="3010">
          <cell r="F3010" t="str">
            <v>H0000174062</v>
          </cell>
          <cell r="I3010" t="str">
            <v>フレーム</v>
          </cell>
          <cell r="J3010" t="str">
            <v>S-Frame_SX-80L_U_KKKK</v>
          </cell>
          <cell r="K3010" t="str">
            <v>S-フレーム_SX-80L_U_KKKK</v>
          </cell>
          <cell r="L3010" t="str">
            <v>S-Frame</v>
          </cell>
          <cell r="M3010" t="str">
            <v>S-フレーム</v>
          </cell>
          <cell r="P3010" t="str">
            <v>31B0</v>
          </cell>
          <cell r="Q3010" t="str">
            <v>SS400</v>
          </cell>
          <cell r="R3010" t="str">
            <v>E369082_01</v>
          </cell>
          <cell r="S3010">
            <v>2236</v>
          </cell>
          <cell r="T3010" t="str">
            <v>標準</v>
          </cell>
        </row>
        <row r="3011">
          <cell r="F3011" t="str">
            <v>H0000174063</v>
          </cell>
          <cell r="I3011" t="str">
            <v>フレーム</v>
          </cell>
          <cell r="J3011" t="str">
            <v>S-Frame_SX-80L_U_KKKK</v>
          </cell>
          <cell r="K3011" t="str">
            <v>S-フレーム_SX-80L_U_KKKK</v>
          </cell>
          <cell r="L3011" t="str">
            <v>S-Frame</v>
          </cell>
          <cell r="M3011" t="str">
            <v>S-フレーム</v>
          </cell>
          <cell r="P3011" t="str">
            <v>31B0</v>
          </cell>
          <cell r="Q3011" t="str">
            <v>SS400</v>
          </cell>
          <cell r="R3011" t="str">
            <v>E369082_01</v>
          </cell>
          <cell r="S3011">
            <v>2236</v>
          </cell>
          <cell r="T3011" t="str">
            <v>標準</v>
          </cell>
        </row>
        <row r="3012">
          <cell r="F3012" t="str">
            <v>H0000174064</v>
          </cell>
          <cell r="I3012" t="str">
            <v>フレーム</v>
          </cell>
          <cell r="J3012" t="str">
            <v>S-Frame_SX-80L_U_KKKK</v>
          </cell>
          <cell r="K3012" t="str">
            <v>S-フレーム_SX-80L_U_KKKK</v>
          </cell>
          <cell r="L3012" t="str">
            <v>S-Frame</v>
          </cell>
          <cell r="M3012" t="str">
            <v>S-フレーム</v>
          </cell>
          <cell r="P3012" t="str">
            <v>31B0</v>
          </cell>
          <cell r="Q3012" t="str">
            <v>SS400</v>
          </cell>
          <cell r="R3012" t="str">
            <v>E369082_01</v>
          </cell>
          <cell r="S3012">
            <v>2236</v>
          </cell>
          <cell r="T3012" t="str">
            <v>標準</v>
          </cell>
        </row>
        <row r="3013">
          <cell r="F3013" t="str">
            <v>H0000174065</v>
          </cell>
          <cell r="I3013" t="str">
            <v>フレーム</v>
          </cell>
          <cell r="J3013" t="str">
            <v>S-Frame_SX-80L_U_KKKK</v>
          </cell>
          <cell r="K3013" t="str">
            <v>S-フレーム_SX-80L_U_KKKK</v>
          </cell>
          <cell r="L3013" t="str">
            <v>S-Frame</v>
          </cell>
          <cell r="M3013" t="str">
            <v>S-フレーム</v>
          </cell>
          <cell r="P3013" t="str">
            <v>31B0</v>
          </cell>
          <cell r="Q3013" t="str">
            <v>SS400</v>
          </cell>
          <cell r="R3013" t="str">
            <v>E369082_01</v>
          </cell>
          <cell r="S3013">
            <v>2236</v>
          </cell>
          <cell r="T3013" t="str">
            <v>標準</v>
          </cell>
        </row>
        <row r="3014">
          <cell r="F3014" t="str">
            <v>H0000174066</v>
          </cell>
          <cell r="I3014" t="str">
            <v>フレーム</v>
          </cell>
          <cell r="J3014" t="str">
            <v>S-Frame_SX-80L_U_KKKK</v>
          </cell>
          <cell r="K3014" t="str">
            <v>S-フレーム_SX-80L_U_KKKK</v>
          </cell>
          <cell r="L3014" t="str">
            <v>S-Frame</v>
          </cell>
          <cell r="M3014" t="str">
            <v>S-フレーム</v>
          </cell>
          <cell r="P3014" t="str">
            <v>31B0</v>
          </cell>
          <cell r="Q3014" t="str">
            <v>SS400</v>
          </cell>
          <cell r="R3014" t="str">
            <v>E369082_01</v>
          </cell>
          <cell r="S3014">
            <v>2236</v>
          </cell>
          <cell r="T3014" t="str">
            <v>標準</v>
          </cell>
        </row>
        <row r="3015">
          <cell r="F3015" t="str">
            <v>H0000174067</v>
          </cell>
          <cell r="I3015" t="str">
            <v>フレーム</v>
          </cell>
          <cell r="J3015" t="str">
            <v>S-Frame_SX-80L_U_KKKK</v>
          </cell>
          <cell r="K3015" t="str">
            <v>S-フレーム_SX-80L_U_KKKK</v>
          </cell>
          <cell r="L3015" t="str">
            <v>S-Frame</v>
          </cell>
          <cell r="M3015" t="str">
            <v>S-フレーム</v>
          </cell>
          <cell r="P3015" t="str">
            <v>31B0</v>
          </cell>
          <cell r="Q3015" t="str">
            <v>SS400</v>
          </cell>
          <cell r="R3015" t="str">
            <v>E369082_01</v>
          </cell>
          <cell r="S3015">
            <v>2236</v>
          </cell>
          <cell r="T3015" t="str">
            <v>標準</v>
          </cell>
        </row>
        <row r="3016">
          <cell r="F3016" t="str">
            <v>H0000174068</v>
          </cell>
          <cell r="I3016" t="str">
            <v>フレーム</v>
          </cell>
          <cell r="J3016" t="str">
            <v>S-Frame_SX-80L_U_KKKK</v>
          </cell>
          <cell r="K3016" t="str">
            <v>S-フレーム_SX-80L_U_KKKK</v>
          </cell>
          <cell r="L3016" t="str">
            <v>S-Frame</v>
          </cell>
          <cell r="M3016" t="str">
            <v>S-フレーム</v>
          </cell>
          <cell r="P3016" t="str">
            <v>31B0</v>
          </cell>
          <cell r="Q3016" t="str">
            <v>SS400</v>
          </cell>
          <cell r="R3016" t="str">
            <v>E369082_01</v>
          </cell>
          <cell r="S3016">
            <v>2236</v>
          </cell>
          <cell r="T3016" t="str">
            <v>標準</v>
          </cell>
        </row>
        <row r="3017">
          <cell r="F3017" t="str">
            <v>H0000174069</v>
          </cell>
          <cell r="I3017" t="str">
            <v>フレーム</v>
          </cell>
          <cell r="J3017" t="str">
            <v>S-Frame_SX-80L_U_KKKK</v>
          </cell>
          <cell r="K3017" t="str">
            <v>S-フレーム_SX-80L_U_KKKK</v>
          </cell>
          <cell r="L3017" t="str">
            <v>S-Frame</v>
          </cell>
          <cell r="M3017" t="str">
            <v>S-フレーム</v>
          </cell>
          <cell r="P3017" t="str">
            <v>31B0</v>
          </cell>
          <cell r="Q3017" t="str">
            <v>SS400</v>
          </cell>
          <cell r="R3017" t="str">
            <v>E369082_01</v>
          </cell>
          <cell r="S3017">
            <v>2236</v>
          </cell>
          <cell r="T3017" t="str">
            <v>標準</v>
          </cell>
        </row>
        <row r="3018">
          <cell r="F3018" t="str">
            <v>H0000174070</v>
          </cell>
          <cell r="I3018" t="str">
            <v>フレーム</v>
          </cell>
          <cell r="J3018" t="str">
            <v>S-Frame_SX-80L_U_KKKK</v>
          </cell>
          <cell r="K3018" t="str">
            <v>S-フレーム_SX-80L_U_KKKK</v>
          </cell>
          <cell r="L3018" t="str">
            <v>S-Frame</v>
          </cell>
          <cell r="M3018" t="str">
            <v>S-フレーム</v>
          </cell>
          <cell r="P3018" t="str">
            <v>31B0</v>
          </cell>
          <cell r="Q3018" t="str">
            <v>SS400</v>
          </cell>
          <cell r="R3018" t="str">
            <v>E369082_01</v>
          </cell>
          <cell r="S3018">
            <v>2236</v>
          </cell>
          <cell r="T3018" t="str">
            <v>標準</v>
          </cell>
        </row>
        <row r="3019">
          <cell r="F3019" t="str">
            <v>H0000174071</v>
          </cell>
          <cell r="I3019" t="str">
            <v>フレーム</v>
          </cell>
          <cell r="J3019" t="str">
            <v>S-Frame_SX-80L_U_KKKK</v>
          </cell>
          <cell r="K3019" t="str">
            <v>S-フレーム_SX-80L_U_KKKK</v>
          </cell>
          <cell r="L3019" t="str">
            <v>S-Frame</v>
          </cell>
          <cell r="M3019" t="str">
            <v>S-フレーム</v>
          </cell>
          <cell r="P3019" t="str">
            <v>31B0</v>
          </cell>
          <cell r="Q3019" t="str">
            <v>SS400</v>
          </cell>
          <cell r="R3019" t="str">
            <v>E369082_01</v>
          </cell>
          <cell r="S3019">
            <v>2236</v>
          </cell>
          <cell r="T3019" t="str">
            <v>標準</v>
          </cell>
        </row>
        <row r="3020">
          <cell r="F3020" t="str">
            <v>H0000174072</v>
          </cell>
          <cell r="I3020" t="str">
            <v>フレーム</v>
          </cell>
          <cell r="J3020" t="str">
            <v>S-Frame_SX-80L_U_KKKK</v>
          </cell>
          <cell r="K3020" t="str">
            <v>S-フレーム_SX-80L_U_KKKK</v>
          </cell>
          <cell r="L3020" t="str">
            <v>S-Frame</v>
          </cell>
          <cell r="M3020" t="str">
            <v>S-フレーム</v>
          </cell>
          <cell r="P3020" t="str">
            <v>31B0</v>
          </cell>
          <cell r="Q3020" t="str">
            <v>SS400</v>
          </cell>
          <cell r="R3020" t="str">
            <v>E369082_01</v>
          </cell>
          <cell r="S3020">
            <v>2236</v>
          </cell>
          <cell r="T3020" t="str">
            <v>標準</v>
          </cell>
        </row>
        <row r="3021">
          <cell r="F3021" t="str">
            <v>H0000174073</v>
          </cell>
          <cell r="I3021" t="str">
            <v>フレーム</v>
          </cell>
          <cell r="J3021" t="str">
            <v>S-Frame_SX-80L_U_KKKK</v>
          </cell>
          <cell r="K3021" t="str">
            <v>S-フレーム_SX-80L_U_KKKK</v>
          </cell>
          <cell r="L3021" t="str">
            <v>S-Frame</v>
          </cell>
          <cell r="M3021" t="str">
            <v>S-フレーム</v>
          </cell>
          <cell r="P3021" t="str">
            <v>31B0</v>
          </cell>
          <cell r="Q3021" t="str">
            <v>SS400</v>
          </cell>
          <cell r="R3021" t="str">
            <v>E369082_01</v>
          </cell>
          <cell r="S3021">
            <v>2236</v>
          </cell>
          <cell r="T3021" t="str">
            <v>標準</v>
          </cell>
        </row>
        <row r="3022">
          <cell r="F3022" t="str">
            <v>H0000174074</v>
          </cell>
          <cell r="I3022" t="str">
            <v>フレーム</v>
          </cell>
          <cell r="J3022" t="str">
            <v>S-Frame_SX-80L_U_KKKK</v>
          </cell>
          <cell r="K3022" t="str">
            <v>S-フレーム_SX-80L_U_KKKK</v>
          </cell>
          <cell r="L3022" t="str">
            <v>S-Frame</v>
          </cell>
          <cell r="M3022" t="str">
            <v>S-フレーム</v>
          </cell>
          <cell r="P3022" t="str">
            <v>31B0</v>
          </cell>
          <cell r="Q3022" t="str">
            <v>SS400</v>
          </cell>
          <cell r="R3022" t="str">
            <v>E369082_01</v>
          </cell>
          <cell r="S3022">
            <v>2236</v>
          </cell>
          <cell r="T3022" t="str">
            <v>標準</v>
          </cell>
        </row>
        <row r="3023">
          <cell r="F3023" t="str">
            <v>H0000174075</v>
          </cell>
          <cell r="I3023" t="str">
            <v>フレーム</v>
          </cell>
          <cell r="J3023" t="str">
            <v>S-Frame_SX-80L_U_KKKK</v>
          </cell>
          <cell r="K3023" t="str">
            <v>S-フレーム_SX-80L_U_KKKK</v>
          </cell>
          <cell r="L3023" t="str">
            <v>S-Frame</v>
          </cell>
          <cell r="M3023" t="str">
            <v>S-フレーム</v>
          </cell>
          <cell r="P3023" t="str">
            <v>31B0</v>
          </cell>
          <cell r="Q3023" t="str">
            <v>SS400</v>
          </cell>
          <cell r="R3023" t="str">
            <v>E369082_01</v>
          </cell>
          <cell r="S3023">
            <v>2236</v>
          </cell>
          <cell r="T3023" t="str">
            <v>標準</v>
          </cell>
        </row>
        <row r="3024">
          <cell r="F3024" t="str">
            <v>H0000174076</v>
          </cell>
          <cell r="I3024" t="str">
            <v>フレーム</v>
          </cell>
          <cell r="J3024" t="str">
            <v>S-Frame_SX-80L_U_KKKK</v>
          </cell>
          <cell r="K3024" t="str">
            <v>S-フレーム_SX-80L_U_KKKK</v>
          </cell>
          <cell r="L3024" t="str">
            <v>S-Frame</v>
          </cell>
          <cell r="M3024" t="str">
            <v>S-フレーム</v>
          </cell>
          <cell r="P3024" t="str">
            <v>31B0</v>
          </cell>
          <cell r="Q3024" t="str">
            <v>SS400</v>
          </cell>
          <cell r="R3024" t="str">
            <v>E369082_01</v>
          </cell>
          <cell r="S3024">
            <v>2236</v>
          </cell>
          <cell r="T3024" t="str">
            <v>標準</v>
          </cell>
        </row>
        <row r="3025">
          <cell r="F3025" t="str">
            <v>H0000174077</v>
          </cell>
          <cell r="I3025" t="str">
            <v>フレーム</v>
          </cell>
          <cell r="J3025" t="str">
            <v>S-Frame_GasCutting_SX-80L_U_1234</v>
          </cell>
          <cell r="K3025" t="str">
            <v>S-フレーム_ガス溶断_SX-80L_U_1234</v>
          </cell>
          <cell r="L3025" t="str">
            <v>S-Frame</v>
          </cell>
          <cell r="M3025" t="str">
            <v>S-フレーム</v>
          </cell>
          <cell r="N3025" t="str">
            <v>GasCutting</v>
          </cell>
          <cell r="O3025" t="str">
            <v>ガス溶断</v>
          </cell>
          <cell r="P3025" t="str">
            <v>31B0</v>
          </cell>
          <cell r="Q3025" t="str">
            <v>SS400</v>
          </cell>
          <cell r="R3025" t="str">
            <v>E369081_01</v>
          </cell>
          <cell r="S3025">
            <v>2236</v>
          </cell>
          <cell r="T3025" t="str">
            <v>標準</v>
          </cell>
        </row>
        <row r="3026">
          <cell r="F3026" t="str">
            <v>H0000174078</v>
          </cell>
          <cell r="I3026" t="str">
            <v>フレーム</v>
          </cell>
          <cell r="J3026" t="str">
            <v>S-Frame_GasCutting_SX-80L_U_1234</v>
          </cell>
          <cell r="K3026" t="str">
            <v>S-フレーム_ガス溶断_SX-80L_U_1234</v>
          </cell>
          <cell r="L3026" t="str">
            <v>S-Frame</v>
          </cell>
          <cell r="M3026" t="str">
            <v>S-フレーム</v>
          </cell>
          <cell r="N3026" t="str">
            <v>GasCutting</v>
          </cell>
          <cell r="O3026" t="str">
            <v>ガス溶断</v>
          </cell>
          <cell r="P3026" t="str">
            <v>31B0</v>
          </cell>
          <cell r="Q3026" t="str">
            <v>SS400</v>
          </cell>
          <cell r="R3026" t="str">
            <v>E369081_01</v>
          </cell>
          <cell r="S3026">
            <v>2236</v>
          </cell>
          <cell r="T3026" t="str">
            <v>標準</v>
          </cell>
        </row>
        <row r="3027">
          <cell r="F3027" t="str">
            <v>H0000174079</v>
          </cell>
          <cell r="I3027" t="str">
            <v>フレーム</v>
          </cell>
          <cell r="J3027" t="str">
            <v>S-Frame_GasCutting_SX-80L_U_1234</v>
          </cell>
          <cell r="K3027" t="str">
            <v>S-フレーム_ガス溶断_SX-80L_U_1234</v>
          </cell>
          <cell r="L3027" t="str">
            <v>S-Frame</v>
          </cell>
          <cell r="M3027" t="str">
            <v>S-フレーム</v>
          </cell>
          <cell r="N3027" t="str">
            <v>GasCutting</v>
          </cell>
          <cell r="O3027" t="str">
            <v>ガス溶断</v>
          </cell>
          <cell r="P3027" t="str">
            <v>31B0</v>
          </cell>
          <cell r="Q3027" t="str">
            <v>SS400</v>
          </cell>
          <cell r="R3027" t="str">
            <v>E369081_01</v>
          </cell>
          <cell r="S3027">
            <v>2236</v>
          </cell>
          <cell r="T3027" t="str">
            <v>標準</v>
          </cell>
        </row>
        <row r="3028">
          <cell r="F3028" t="str">
            <v>H0000174080</v>
          </cell>
          <cell r="I3028" t="str">
            <v>フレーム</v>
          </cell>
          <cell r="J3028" t="str">
            <v>S-Frame_GasCutting_SX-80L_U_1234</v>
          </cell>
          <cell r="K3028" t="str">
            <v>S-フレーム_ガス溶断_SX-80L_U_1234</v>
          </cell>
          <cell r="L3028" t="str">
            <v>S-Frame</v>
          </cell>
          <cell r="M3028" t="str">
            <v>S-フレーム</v>
          </cell>
          <cell r="N3028" t="str">
            <v>GasCutting</v>
          </cell>
          <cell r="O3028" t="str">
            <v>ガス溶断</v>
          </cell>
          <cell r="P3028" t="str">
            <v>31B0</v>
          </cell>
          <cell r="Q3028" t="str">
            <v>SS400</v>
          </cell>
          <cell r="R3028" t="str">
            <v>E369081_01</v>
          </cell>
          <cell r="S3028">
            <v>2236</v>
          </cell>
          <cell r="T3028" t="str">
            <v>標準</v>
          </cell>
        </row>
        <row r="3029">
          <cell r="F3029" t="str">
            <v>H0000174081</v>
          </cell>
          <cell r="I3029" t="str">
            <v>フレーム</v>
          </cell>
          <cell r="J3029" t="str">
            <v>S-Frame_SX-80L_S_KKKK</v>
          </cell>
          <cell r="K3029" t="str">
            <v>S-フレーム_SX-80L_S_KKKK</v>
          </cell>
          <cell r="L3029" t="str">
            <v>S-Frame</v>
          </cell>
          <cell r="M3029" t="str">
            <v>S-フレーム</v>
          </cell>
          <cell r="P3029" t="str">
            <v>31B0</v>
          </cell>
          <cell r="Q3029" t="str">
            <v>SS400</v>
          </cell>
          <cell r="R3029" t="str">
            <v>E369086_01</v>
          </cell>
          <cell r="S3029">
            <v>2603</v>
          </cell>
          <cell r="T3029" t="str">
            <v>標準</v>
          </cell>
        </row>
        <row r="3030">
          <cell r="F3030" t="str">
            <v>H0000174082</v>
          </cell>
          <cell r="I3030" t="str">
            <v>フレーム</v>
          </cell>
          <cell r="J3030" t="str">
            <v>S-Frame_SX-80L_S_KKKK</v>
          </cell>
          <cell r="K3030" t="str">
            <v>S-フレーム_SX-80L_S_KKKK</v>
          </cell>
          <cell r="L3030" t="str">
            <v>S-Frame</v>
          </cell>
          <cell r="M3030" t="str">
            <v>S-フレーム</v>
          </cell>
          <cell r="P3030" t="str">
            <v>31B0</v>
          </cell>
          <cell r="Q3030" t="str">
            <v>SS400</v>
          </cell>
          <cell r="R3030" t="str">
            <v>E369086_01</v>
          </cell>
          <cell r="S3030">
            <v>2603</v>
          </cell>
          <cell r="T3030" t="str">
            <v>標準</v>
          </cell>
        </row>
        <row r="3031">
          <cell r="F3031" t="str">
            <v>H0000174083</v>
          </cell>
          <cell r="I3031" t="str">
            <v>フレーム</v>
          </cell>
          <cell r="J3031" t="str">
            <v>S-Frame_SX-80L_S_KKKK</v>
          </cell>
          <cell r="K3031" t="str">
            <v>S-フレーム_SX-80L_S_KKKK</v>
          </cell>
          <cell r="L3031" t="str">
            <v>S-Frame</v>
          </cell>
          <cell r="M3031" t="str">
            <v>S-フレーム</v>
          </cell>
          <cell r="P3031" t="str">
            <v>31B0</v>
          </cell>
          <cell r="Q3031" t="str">
            <v>SS400</v>
          </cell>
          <cell r="R3031" t="str">
            <v>E369086_01</v>
          </cell>
          <cell r="S3031">
            <v>2603</v>
          </cell>
          <cell r="T3031" t="str">
            <v>標準</v>
          </cell>
        </row>
        <row r="3032">
          <cell r="F3032" t="str">
            <v>H0000174084</v>
          </cell>
          <cell r="I3032" t="str">
            <v>フレーム</v>
          </cell>
          <cell r="J3032" t="str">
            <v>S-Frame_SX-80L_S_KKKK</v>
          </cell>
          <cell r="K3032" t="str">
            <v>S-フレーム_SX-80L_S_KKKK</v>
          </cell>
          <cell r="L3032" t="str">
            <v>S-Frame</v>
          </cell>
          <cell r="M3032" t="str">
            <v>S-フレーム</v>
          </cell>
          <cell r="P3032" t="str">
            <v>31B0</v>
          </cell>
          <cell r="Q3032" t="str">
            <v>SS400</v>
          </cell>
          <cell r="R3032" t="str">
            <v>E369086_01</v>
          </cell>
          <cell r="S3032">
            <v>2603</v>
          </cell>
          <cell r="T3032" t="str">
            <v>標準</v>
          </cell>
        </row>
        <row r="3033">
          <cell r="F3033" t="str">
            <v>H0000174085</v>
          </cell>
          <cell r="I3033" t="str">
            <v>フレーム</v>
          </cell>
          <cell r="J3033" t="str">
            <v>S-Frame_SX-80L_S_KKKK</v>
          </cell>
          <cell r="K3033" t="str">
            <v>S-フレーム_SX-80L_S_KKKK</v>
          </cell>
          <cell r="L3033" t="str">
            <v>S-Frame</v>
          </cell>
          <cell r="M3033" t="str">
            <v>S-フレーム</v>
          </cell>
          <cell r="P3033" t="str">
            <v>31B0</v>
          </cell>
          <cell r="Q3033" t="str">
            <v>SS400</v>
          </cell>
          <cell r="R3033" t="str">
            <v>E369086_01</v>
          </cell>
          <cell r="S3033">
            <v>2603</v>
          </cell>
          <cell r="T3033" t="str">
            <v>標準</v>
          </cell>
        </row>
        <row r="3034">
          <cell r="F3034" t="str">
            <v>H0000174086</v>
          </cell>
          <cell r="I3034" t="str">
            <v>フレーム</v>
          </cell>
          <cell r="J3034" t="str">
            <v>S-Frame_SX-80L_S_KKKK</v>
          </cell>
          <cell r="K3034" t="str">
            <v>S-フレーム_SX-80L_S_KKKK</v>
          </cell>
          <cell r="L3034" t="str">
            <v>S-Frame</v>
          </cell>
          <cell r="M3034" t="str">
            <v>S-フレーム</v>
          </cell>
          <cell r="P3034" t="str">
            <v>31B0</v>
          </cell>
          <cell r="Q3034" t="str">
            <v>SS400</v>
          </cell>
          <cell r="R3034" t="str">
            <v>E369086_01</v>
          </cell>
          <cell r="S3034">
            <v>2603</v>
          </cell>
          <cell r="T3034" t="str">
            <v>標準</v>
          </cell>
        </row>
        <row r="3035">
          <cell r="F3035" t="str">
            <v>H0000174087</v>
          </cell>
          <cell r="I3035" t="str">
            <v>フレーム</v>
          </cell>
          <cell r="J3035" t="str">
            <v>S-Frame_SX-80L_S_KKKK</v>
          </cell>
          <cell r="K3035" t="str">
            <v>S-フレーム_SX-80L_S_KKKK</v>
          </cell>
          <cell r="L3035" t="str">
            <v>S-Frame</v>
          </cell>
          <cell r="M3035" t="str">
            <v>S-フレーム</v>
          </cell>
          <cell r="P3035" t="str">
            <v>31B0</v>
          </cell>
          <cell r="Q3035" t="str">
            <v>SS400</v>
          </cell>
          <cell r="R3035" t="str">
            <v>E369086_01</v>
          </cell>
          <cell r="S3035">
            <v>2603</v>
          </cell>
          <cell r="T3035" t="str">
            <v>標準</v>
          </cell>
        </row>
        <row r="3036">
          <cell r="F3036" t="str">
            <v>H0000174088</v>
          </cell>
          <cell r="I3036" t="str">
            <v>フレーム</v>
          </cell>
          <cell r="J3036" t="str">
            <v>S-Frame_SX-80L_S_KKKK</v>
          </cell>
          <cell r="K3036" t="str">
            <v>S-フレーム_SX-80L_S_KKKK</v>
          </cell>
          <cell r="L3036" t="str">
            <v>S-Frame</v>
          </cell>
          <cell r="M3036" t="str">
            <v>S-フレーム</v>
          </cell>
          <cell r="P3036" t="str">
            <v>31B0</v>
          </cell>
          <cell r="Q3036" t="str">
            <v>SS400</v>
          </cell>
          <cell r="R3036" t="str">
            <v>E369086_01</v>
          </cell>
          <cell r="S3036">
            <v>2603</v>
          </cell>
          <cell r="T3036" t="str">
            <v>標準</v>
          </cell>
        </row>
        <row r="3037">
          <cell r="F3037" t="str">
            <v>H0000174089</v>
          </cell>
          <cell r="I3037" t="str">
            <v>フレーム</v>
          </cell>
          <cell r="J3037" t="str">
            <v>S-Frame_SX-80L_S_KKKK</v>
          </cell>
          <cell r="K3037" t="str">
            <v>S-フレーム_SX-80L_S_KKKK</v>
          </cell>
          <cell r="L3037" t="str">
            <v>S-Frame</v>
          </cell>
          <cell r="M3037" t="str">
            <v>S-フレーム</v>
          </cell>
          <cell r="P3037" t="str">
            <v>31B0</v>
          </cell>
          <cell r="Q3037" t="str">
            <v>SS400</v>
          </cell>
          <cell r="R3037" t="str">
            <v>E369086_01</v>
          </cell>
          <cell r="S3037">
            <v>2603</v>
          </cell>
          <cell r="T3037" t="str">
            <v>標準</v>
          </cell>
        </row>
        <row r="3038">
          <cell r="F3038" t="str">
            <v>H0000174090</v>
          </cell>
          <cell r="I3038" t="str">
            <v>フレーム</v>
          </cell>
          <cell r="J3038" t="str">
            <v>S-Frame_SX-80L_S_KKKK</v>
          </cell>
          <cell r="K3038" t="str">
            <v>S-フレーム_SX-80L_S_KKKK</v>
          </cell>
          <cell r="L3038" t="str">
            <v>S-Frame</v>
          </cell>
          <cell r="M3038" t="str">
            <v>S-フレーム</v>
          </cell>
          <cell r="P3038" t="str">
            <v>31B0</v>
          </cell>
          <cell r="Q3038" t="str">
            <v>SS400</v>
          </cell>
          <cell r="R3038" t="str">
            <v>E369086_01</v>
          </cell>
          <cell r="S3038">
            <v>2603</v>
          </cell>
          <cell r="T3038" t="str">
            <v>標準</v>
          </cell>
        </row>
        <row r="3039">
          <cell r="F3039" t="str">
            <v>H0000174091</v>
          </cell>
          <cell r="I3039" t="str">
            <v>フレーム</v>
          </cell>
          <cell r="J3039" t="str">
            <v>S-Frame_SX-80L_S_KKKK</v>
          </cell>
          <cell r="K3039" t="str">
            <v>S-フレーム_SX-80L_S_KKKK</v>
          </cell>
          <cell r="L3039" t="str">
            <v>S-Frame</v>
          </cell>
          <cell r="M3039" t="str">
            <v>S-フレーム</v>
          </cell>
          <cell r="P3039" t="str">
            <v>31B0</v>
          </cell>
          <cell r="Q3039" t="str">
            <v>SS400</v>
          </cell>
          <cell r="R3039" t="str">
            <v>E369086_01</v>
          </cell>
          <cell r="S3039">
            <v>2603</v>
          </cell>
          <cell r="T3039" t="str">
            <v>標準</v>
          </cell>
        </row>
        <row r="3040">
          <cell r="F3040" t="str">
            <v>H0000174092</v>
          </cell>
          <cell r="I3040" t="str">
            <v>フレーム</v>
          </cell>
          <cell r="J3040" t="str">
            <v>S-Frame_SX-80L_S_KKKK</v>
          </cell>
          <cell r="K3040" t="str">
            <v>S-フレーム_SX-80L_S_KKKK</v>
          </cell>
          <cell r="L3040" t="str">
            <v>S-Frame</v>
          </cell>
          <cell r="M3040" t="str">
            <v>S-フレーム</v>
          </cell>
          <cell r="P3040" t="str">
            <v>31B0</v>
          </cell>
          <cell r="Q3040" t="str">
            <v>SS400</v>
          </cell>
          <cell r="R3040" t="str">
            <v>E369086_01</v>
          </cell>
          <cell r="S3040">
            <v>2603</v>
          </cell>
          <cell r="T3040" t="str">
            <v>標準</v>
          </cell>
        </row>
        <row r="3041">
          <cell r="F3041" t="str">
            <v>H0000174093</v>
          </cell>
          <cell r="I3041" t="str">
            <v>フレーム</v>
          </cell>
          <cell r="J3041" t="str">
            <v>S-Frame_SX-80L_S_KKKK</v>
          </cell>
          <cell r="K3041" t="str">
            <v>S-フレーム_SX-80L_S_KKKK</v>
          </cell>
          <cell r="L3041" t="str">
            <v>S-Frame</v>
          </cell>
          <cell r="M3041" t="str">
            <v>S-フレーム</v>
          </cell>
          <cell r="P3041" t="str">
            <v>31B0</v>
          </cell>
          <cell r="Q3041" t="str">
            <v>SS400</v>
          </cell>
          <cell r="R3041" t="str">
            <v>E369086_01</v>
          </cell>
          <cell r="S3041">
            <v>2603</v>
          </cell>
          <cell r="T3041" t="str">
            <v>標準</v>
          </cell>
        </row>
        <row r="3042">
          <cell r="F3042" t="str">
            <v>H0000174094</v>
          </cell>
          <cell r="I3042" t="str">
            <v>フレーム</v>
          </cell>
          <cell r="J3042" t="str">
            <v>S-Frame_SX-80L_S_KKKK</v>
          </cell>
          <cell r="K3042" t="str">
            <v>S-フレーム_SX-80L_S_KKKK</v>
          </cell>
          <cell r="L3042" t="str">
            <v>S-Frame</v>
          </cell>
          <cell r="M3042" t="str">
            <v>S-フレーム</v>
          </cell>
          <cell r="P3042" t="str">
            <v>31B0</v>
          </cell>
          <cell r="Q3042" t="str">
            <v>SS400</v>
          </cell>
          <cell r="R3042" t="str">
            <v>E369086_01</v>
          </cell>
          <cell r="S3042">
            <v>2603</v>
          </cell>
          <cell r="T3042" t="str">
            <v>標準</v>
          </cell>
        </row>
        <row r="3043">
          <cell r="F3043" t="str">
            <v>H0000174095</v>
          </cell>
          <cell r="I3043" t="str">
            <v>フレーム</v>
          </cell>
          <cell r="J3043" t="str">
            <v>S-Frame_SX-80L_S_KKKK</v>
          </cell>
          <cell r="K3043" t="str">
            <v>S-フレーム_SX-80L_S_KKKK</v>
          </cell>
          <cell r="L3043" t="str">
            <v>S-Frame</v>
          </cell>
          <cell r="M3043" t="str">
            <v>S-フレーム</v>
          </cell>
          <cell r="P3043" t="str">
            <v>31B0</v>
          </cell>
          <cell r="Q3043" t="str">
            <v>SS400</v>
          </cell>
          <cell r="R3043" t="str">
            <v>E369086_01</v>
          </cell>
          <cell r="S3043">
            <v>2603</v>
          </cell>
          <cell r="T3043" t="str">
            <v>標準</v>
          </cell>
        </row>
        <row r="3044">
          <cell r="F3044" t="str">
            <v>H0000174096</v>
          </cell>
          <cell r="I3044" t="str">
            <v>フレーム</v>
          </cell>
          <cell r="J3044" t="str">
            <v>S-Frame_SX-80L_S_KKKK</v>
          </cell>
          <cell r="K3044" t="str">
            <v>S-フレーム_SX-80L_S_KKKK</v>
          </cell>
          <cell r="L3044" t="str">
            <v>S-Frame</v>
          </cell>
          <cell r="M3044" t="str">
            <v>S-フレーム</v>
          </cell>
          <cell r="P3044" t="str">
            <v>31B0</v>
          </cell>
          <cell r="Q3044" t="str">
            <v>SS400</v>
          </cell>
          <cell r="R3044" t="str">
            <v>E369086_01</v>
          </cell>
          <cell r="S3044">
            <v>2603</v>
          </cell>
          <cell r="T3044" t="str">
            <v>標準</v>
          </cell>
        </row>
        <row r="3045">
          <cell r="F3045" t="str">
            <v>H0000174097</v>
          </cell>
          <cell r="I3045" t="str">
            <v>フレーム</v>
          </cell>
          <cell r="J3045" t="str">
            <v>S-Frame_SX-80L_S_KKKK</v>
          </cell>
          <cell r="K3045" t="str">
            <v>S-フレーム_SX-80L_S_KKKK</v>
          </cell>
          <cell r="L3045" t="str">
            <v>S-Frame</v>
          </cell>
          <cell r="M3045" t="str">
            <v>S-フレーム</v>
          </cell>
          <cell r="P3045" t="str">
            <v>31B0</v>
          </cell>
          <cell r="Q3045" t="str">
            <v>SS400</v>
          </cell>
          <cell r="R3045" t="str">
            <v>E369086_01</v>
          </cell>
          <cell r="S3045">
            <v>2603</v>
          </cell>
          <cell r="T3045" t="str">
            <v>標準</v>
          </cell>
        </row>
        <row r="3046">
          <cell r="F3046" t="str">
            <v>H0000174098</v>
          </cell>
          <cell r="I3046" t="str">
            <v>フレーム</v>
          </cell>
          <cell r="J3046" t="str">
            <v>S-Frame_SX-80L_S_KKKK</v>
          </cell>
          <cell r="K3046" t="str">
            <v>S-フレーム_SX-80L_S_KKKK</v>
          </cell>
          <cell r="L3046" t="str">
            <v>S-Frame</v>
          </cell>
          <cell r="M3046" t="str">
            <v>S-フレーム</v>
          </cell>
          <cell r="P3046" t="str">
            <v>31B0</v>
          </cell>
          <cell r="Q3046" t="str">
            <v>SS400</v>
          </cell>
          <cell r="R3046" t="str">
            <v>E369086_01</v>
          </cell>
          <cell r="S3046">
            <v>2603</v>
          </cell>
          <cell r="T3046" t="str">
            <v>標準</v>
          </cell>
        </row>
        <row r="3047">
          <cell r="F3047" t="str">
            <v>H0000174099</v>
          </cell>
          <cell r="I3047" t="str">
            <v>フレーム</v>
          </cell>
          <cell r="J3047" t="str">
            <v>S-Frame_SX-80L_S_KKKK</v>
          </cell>
          <cell r="K3047" t="str">
            <v>S-フレーム_SX-80L_S_KKKK</v>
          </cell>
          <cell r="L3047" t="str">
            <v>S-Frame</v>
          </cell>
          <cell r="M3047" t="str">
            <v>S-フレーム</v>
          </cell>
          <cell r="P3047" t="str">
            <v>31B0</v>
          </cell>
          <cell r="Q3047" t="str">
            <v>SS400</v>
          </cell>
          <cell r="R3047" t="str">
            <v>E369086_01</v>
          </cell>
          <cell r="S3047">
            <v>2603</v>
          </cell>
          <cell r="T3047" t="str">
            <v>標準</v>
          </cell>
        </row>
        <row r="3048">
          <cell r="F3048" t="str">
            <v>H0000174100</v>
          </cell>
          <cell r="I3048" t="str">
            <v>フレーム</v>
          </cell>
          <cell r="J3048" t="str">
            <v>S-Frame_SX-80L_S_KKKK</v>
          </cell>
          <cell r="K3048" t="str">
            <v>S-フレーム_SX-80L_S_KKKK</v>
          </cell>
          <cell r="L3048" t="str">
            <v>S-Frame</v>
          </cell>
          <cell r="M3048" t="str">
            <v>S-フレーム</v>
          </cell>
          <cell r="P3048" t="str">
            <v>31B0</v>
          </cell>
          <cell r="Q3048" t="str">
            <v>SS400</v>
          </cell>
          <cell r="R3048" t="str">
            <v>E369086_01</v>
          </cell>
          <cell r="S3048">
            <v>2603</v>
          </cell>
          <cell r="T3048" t="str">
            <v>標準</v>
          </cell>
        </row>
        <row r="3049">
          <cell r="F3049" t="str">
            <v>H0000174101</v>
          </cell>
          <cell r="I3049" t="str">
            <v>フレーム</v>
          </cell>
          <cell r="J3049" t="str">
            <v>S-Frame_SX-80L_S_KKKK</v>
          </cell>
          <cell r="K3049" t="str">
            <v>S-フレーム_SX-80L_S_KKKK</v>
          </cell>
          <cell r="L3049" t="str">
            <v>S-Frame</v>
          </cell>
          <cell r="M3049" t="str">
            <v>S-フレーム</v>
          </cell>
          <cell r="P3049" t="str">
            <v>31B0</v>
          </cell>
          <cell r="Q3049" t="str">
            <v>SS400</v>
          </cell>
          <cell r="R3049" t="str">
            <v>E369086_01</v>
          </cell>
          <cell r="S3049">
            <v>2603</v>
          </cell>
          <cell r="T3049" t="str">
            <v>標準</v>
          </cell>
        </row>
        <row r="3050">
          <cell r="F3050" t="str">
            <v>H0000174102</v>
          </cell>
          <cell r="I3050" t="str">
            <v>フレーム</v>
          </cell>
          <cell r="J3050" t="str">
            <v>S-Frame_SX-80L_S_KKKK</v>
          </cell>
          <cell r="K3050" t="str">
            <v>S-フレーム_SX-80L_S_KKKK</v>
          </cell>
          <cell r="L3050" t="str">
            <v>S-Frame</v>
          </cell>
          <cell r="M3050" t="str">
            <v>S-フレーム</v>
          </cell>
          <cell r="P3050" t="str">
            <v>31B0</v>
          </cell>
          <cell r="Q3050" t="str">
            <v>SS400</v>
          </cell>
          <cell r="R3050" t="str">
            <v>E369086_01</v>
          </cell>
          <cell r="S3050">
            <v>2603</v>
          </cell>
          <cell r="T3050" t="str">
            <v>標準</v>
          </cell>
        </row>
        <row r="3051">
          <cell r="F3051" t="str">
            <v>H0000174103</v>
          </cell>
          <cell r="I3051" t="str">
            <v>フレーム</v>
          </cell>
          <cell r="J3051" t="str">
            <v>S-Frame_SX-80L_S_KKKK</v>
          </cell>
          <cell r="K3051" t="str">
            <v>S-フレーム_SX-80L_S_KKKK</v>
          </cell>
          <cell r="L3051" t="str">
            <v>S-Frame</v>
          </cell>
          <cell r="M3051" t="str">
            <v>S-フレーム</v>
          </cell>
          <cell r="P3051" t="str">
            <v>31B0</v>
          </cell>
          <cell r="Q3051" t="str">
            <v>SS400</v>
          </cell>
          <cell r="R3051" t="str">
            <v>E369086_01</v>
          </cell>
          <cell r="S3051">
            <v>2603</v>
          </cell>
          <cell r="T3051" t="str">
            <v>標準</v>
          </cell>
        </row>
        <row r="3052">
          <cell r="F3052" t="str">
            <v>H0000174104</v>
          </cell>
          <cell r="I3052" t="str">
            <v>フレーム</v>
          </cell>
          <cell r="J3052" t="str">
            <v>S-Frame_SX-80L_S_KKKK</v>
          </cell>
          <cell r="K3052" t="str">
            <v>S-フレーム_SX-80L_S_KKKK</v>
          </cell>
          <cell r="L3052" t="str">
            <v>S-Frame</v>
          </cell>
          <cell r="M3052" t="str">
            <v>S-フレーム</v>
          </cell>
          <cell r="P3052" t="str">
            <v>31B0</v>
          </cell>
          <cell r="Q3052" t="str">
            <v>SS400</v>
          </cell>
          <cell r="R3052" t="str">
            <v>E369086_01</v>
          </cell>
          <cell r="S3052">
            <v>2603</v>
          </cell>
          <cell r="T3052" t="str">
            <v>標準</v>
          </cell>
        </row>
        <row r="3053">
          <cell r="F3053" t="str">
            <v>H0000174105</v>
          </cell>
          <cell r="I3053" t="str">
            <v>フレーム</v>
          </cell>
          <cell r="J3053" t="str">
            <v>S-Frame_SX-80L_S_KKKK</v>
          </cell>
          <cell r="K3053" t="str">
            <v>S-フレーム_SX-80L_S_KKKK</v>
          </cell>
          <cell r="L3053" t="str">
            <v>S-Frame</v>
          </cell>
          <cell r="M3053" t="str">
            <v>S-フレーム</v>
          </cell>
          <cell r="P3053" t="str">
            <v>31B0</v>
          </cell>
          <cell r="Q3053" t="str">
            <v>SS400</v>
          </cell>
          <cell r="R3053" t="str">
            <v>E369086_01</v>
          </cell>
          <cell r="S3053">
            <v>2603</v>
          </cell>
          <cell r="T3053" t="str">
            <v>標準</v>
          </cell>
        </row>
        <row r="3054">
          <cell r="F3054" t="str">
            <v>H0000174106</v>
          </cell>
          <cell r="I3054" t="str">
            <v>フレーム</v>
          </cell>
          <cell r="J3054" t="str">
            <v>S-Frame_GasCutting_SX-80L_S_1234</v>
          </cell>
          <cell r="K3054" t="str">
            <v>S-フレーム_ガス溶断_SX-80L_S_1234</v>
          </cell>
          <cell r="L3054" t="str">
            <v>S-Frame</v>
          </cell>
          <cell r="M3054" t="str">
            <v>S-フレーム</v>
          </cell>
          <cell r="N3054" t="str">
            <v>GasCutting</v>
          </cell>
          <cell r="O3054" t="str">
            <v>ガス溶断</v>
          </cell>
          <cell r="P3054" t="str">
            <v>31B0</v>
          </cell>
          <cell r="Q3054" t="str">
            <v>SS400</v>
          </cell>
          <cell r="R3054" t="str">
            <v>E369085_01</v>
          </cell>
          <cell r="S3054">
            <v>2603</v>
          </cell>
          <cell r="T3054" t="str">
            <v>標準</v>
          </cell>
        </row>
        <row r="3055">
          <cell r="F3055" t="str">
            <v>H0000174107</v>
          </cell>
          <cell r="I3055" t="str">
            <v>フレーム</v>
          </cell>
          <cell r="J3055" t="str">
            <v>S-Frame_GasCutting_SX-80L_S_1234</v>
          </cell>
          <cell r="K3055" t="str">
            <v>S-フレーム_ガス溶断_SX-80L_S_1234</v>
          </cell>
          <cell r="L3055" t="str">
            <v>S-Frame</v>
          </cell>
          <cell r="M3055" t="str">
            <v>S-フレーム</v>
          </cell>
          <cell r="N3055" t="str">
            <v>GasCutting</v>
          </cell>
          <cell r="O3055" t="str">
            <v>ガス溶断</v>
          </cell>
          <cell r="P3055" t="str">
            <v>31B0</v>
          </cell>
          <cell r="Q3055" t="str">
            <v>SS400</v>
          </cell>
          <cell r="R3055" t="str">
            <v>E369085_01</v>
          </cell>
          <cell r="S3055">
            <v>2603</v>
          </cell>
          <cell r="T3055" t="str">
            <v>標準</v>
          </cell>
        </row>
        <row r="3056">
          <cell r="F3056" t="str">
            <v>H0000174108</v>
          </cell>
          <cell r="I3056" t="str">
            <v>フレーム</v>
          </cell>
          <cell r="J3056" t="str">
            <v>S-Frame_GasCutting_SX-80L_S_1234</v>
          </cell>
          <cell r="K3056" t="str">
            <v>S-フレーム_ガス溶断_SX-80L_S_1234</v>
          </cell>
          <cell r="L3056" t="str">
            <v>S-Frame</v>
          </cell>
          <cell r="M3056" t="str">
            <v>S-フレーム</v>
          </cell>
          <cell r="N3056" t="str">
            <v>GasCutting</v>
          </cell>
          <cell r="O3056" t="str">
            <v>ガス溶断</v>
          </cell>
          <cell r="P3056" t="str">
            <v>31B0</v>
          </cell>
          <cell r="Q3056" t="str">
            <v>SS400</v>
          </cell>
          <cell r="R3056" t="str">
            <v>E369085_01</v>
          </cell>
          <cell r="S3056">
            <v>2603</v>
          </cell>
          <cell r="T3056" t="str">
            <v>標準</v>
          </cell>
        </row>
        <row r="3057">
          <cell r="F3057" t="str">
            <v>H0000174109</v>
          </cell>
          <cell r="I3057" t="str">
            <v>フレーム</v>
          </cell>
          <cell r="J3057" t="str">
            <v>S-Frame_GasCutting_SX-80L_S_1234</v>
          </cell>
          <cell r="K3057" t="str">
            <v>S-フレーム_ガス溶断_SX-80L_S_1234</v>
          </cell>
          <cell r="L3057" t="str">
            <v>S-Frame</v>
          </cell>
          <cell r="M3057" t="str">
            <v>S-フレーム</v>
          </cell>
          <cell r="N3057" t="str">
            <v>GasCutting</v>
          </cell>
          <cell r="O3057" t="str">
            <v>ガス溶断</v>
          </cell>
          <cell r="P3057" t="str">
            <v>31B0</v>
          </cell>
          <cell r="Q3057" t="str">
            <v>SS400</v>
          </cell>
          <cell r="R3057" t="str">
            <v>E369085_01</v>
          </cell>
          <cell r="S3057">
            <v>2603</v>
          </cell>
          <cell r="T3057" t="str">
            <v>標準</v>
          </cell>
        </row>
        <row r="3058">
          <cell r="F3058" t="str">
            <v>H0000174110</v>
          </cell>
          <cell r="I3058" t="str">
            <v>フレーム</v>
          </cell>
          <cell r="J3058" t="str">
            <v>Rib_SX-80L_S_W1090,H260,T70</v>
          </cell>
          <cell r="K3058" t="str">
            <v>リブ_SX-80L_S_W1090,H260,T70</v>
          </cell>
          <cell r="L3058" t="str">
            <v>Rib</v>
          </cell>
          <cell r="M3058" t="str">
            <v>リブ</v>
          </cell>
          <cell r="P3058" t="str">
            <v>31B0</v>
          </cell>
          <cell r="Q3058" t="str">
            <v>SS400</v>
          </cell>
          <cell r="R3058" t="str">
            <v>E369086_02</v>
          </cell>
          <cell r="S3058">
            <v>151</v>
          </cell>
          <cell r="T3058" t="str">
            <v>標準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M1857"/>
  <sheetViews>
    <sheetView tabSelected="1" topLeftCell="C1" zoomScale="85" zoomScaleNormal="85" workbookViewId="0">
      <pane ySplit="2" topLeftCell="A179" activePane="bottomLeft" state="frozen"/>
      <selection pane="bottomLeft" activeCell="AC185" sqref="AC185"/>
    </sheetView>
  </sheetViews>
  <sheetFormatPr defaultRowHeight="18.75"/>
  <cols>
    <col min="1" max="1" width="23.5" customWidth="1"/>
    <col min="2" max="2" width="17.375" style="2" bestFit="1" customWidth="1"/>
    <col min="3" max="3" width="45.125" style="2" bestFit="1" customWidth="1"/>
    <col min="4" max="4" width="12.75" customWidth="1"/>
    <col min="5" max="6" width="9.5" customWidth="1"/>
    <col min="7" max="7" width="18.25" bestFit="1" customWidth="1"/>
    <col min="8" max="8" width="11" bestFit="1" customWidth="1"/>
    <col min="9" max="9" width="11" customWidth="1"/>
    <col min="10" max="10" width="15.125" hidden="1" customWidth="1"/>
    <col min="11" max="11" width="21.375" hidden="1" customWidth="1"/>
    <col min="12" max="13" width="11.375" style="3" hidden="1" customWidth="1"/>
    <col min="14" max="14" width="21.375" hidden="1" customWidth="1"/>
    <col min="16" max="16" width="21.375" hidden="1" customWidth="1"/>
    <col min="18" max="19" width="11.125" style="5" bestFit="1" customWidth="1"/>
    <col min="20" max="20" width="21.375" hidden="1" customWidth="1"/>
    <col min="21" max="21" width="13.5" hidden="1" customWidth="1"/>
    <col min="22" max="22" width="9" hidden="1" customWidth="1"/>
    <col min="23" max="23" width="25.5" hidden="1" customWidth="1"/>
    <col min="24" max="24" width="17.25" hidden="1" customWidth="1"/>
    <col min="25" max="25" width="21.375" hidden="1" customWidth="1"/>
    <col min="26" max="26" width="23.5" hidden="1" customWidth="1"/>
    <col min="27" max="29" width="15.125" bestFit="1" customWidth="1"/>
    <col min="30" max="30" width="15.125" customWidth="1"/>
    <col min="31" max="31" width="7.125" customWidth="1"/>
    <col min="32" max="32" width="11" bestFit="1" customWidth="1"/>
    <col min="33" max="33" width="15.125" hidden="1" customWidth="1"/>
    <col min="34" max="35" width="13" hidden="1" customWidth="1"/>
    <col min="36" max="36" width="25.5" bestFit="1" customWidth="1"/>
    <col min="37" max="37" width="21.375" customWidth="1"/>
    <col min="38" max="38" width="15.125" hidden="1" customWidth="1"/>
    <col min="39" max="39" width="14.125" hidden="1" customWidth="1"/>
    <col min="40" max="40" width="21.375" hidden="1" customWidth="1"/>
    <col min="41" max="41" width="16.25" hidden="1" customWidth="1"/>
    <col min="42" max="42" width="15.375" hidden="1" customWidth="1"/>
    <col min="43" max="43" width="13.375" hidden="1" customWidth="1"/>
    <col min="44" max="44" width="15.875" hidden="1" customWidth="1"/>
    <col min="45" max="45" width="13" customWidth="1"/>
    <col min="46" max="46" width="33.875" customWidth="1"/>
    <col min="47" max="47" width="12.875" bestFit="1" customWidth="1"/>
    <col min="48" max="48" width="13.5" hidden="1" customWidth="1"/>
    <col min="49" max="49" width="15.125" hidden="1" customWidth="1"/>
    <col min="50" max="50" width="13.5" hidden="1" customWidth="1"/>
    <col min="51" max="51" width="15.125" hidden="1" customWidth="1"/>
    <col min="52" max="52" width="12.375" hidden="1" customWidth="1"/>
    <col min="53" max="55" width="11" hidden="1" customWidth="1"/>
    <col min="56" max="56" width="13" bestFit="1" customWidth="1"/>
    <col min="57" max="57" width="9.875" customWidth="1"/>
    <col min="58" max="60" width="7.75" customWidth="1"/>
    <col min="61" max="61" width="9" customWidth="1"/>
    <col min="62" max="62" width="15.125" customWidth="1"/>
    <col min="63" max="63" width="12.125" customWidth="1"/>
    <col min="64" max="64" width="35.625" customWidth="1"/>
  </cols>
  <sheetData>
    <row r="1" spans="1:65" ht="42.6" customHeight="1">
      <c r="A1" t="s">
        <v>117</v>
      </c>
      <c r="B1" t="s">
        <v>0</v>
      </c>
      <c r="C1" s="5">
        <v>335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116</v>
      </c>
      <c r="L1" s="3" t="s">
        <v>8</v>
      </c>
      <c r="M1" s="3" t="s">
        <v>9</v>
      </c>
      <c r="N1" t="s">
        <v>10</v>
      </c>
      <c r="O1" t="s">
        <v>11</v>
      </c>
      <c r="P1" t="s">
        <v>12</v>
      </c>
      <c r="Q1" t="s">
        <v>13</v>
      </c>
      <c r="T1" t="s">
        <v>14</v>
      </c>
      <c r="U1" t="s">
        <v>15</v>
      </c>
      <c r="V1" t="s">
        <v>16</v>
      </c>
      <c r="W1" t="s">
        <v>17</v>
      </c>
      <c r="X1" t="s">
        <v>18</v>
      </c>
      <c r="Y1" t="s">
        <v>19</v>
      </c>
      <c r="Z1" t="s">
        <v>20</v>
      </c>
      <c r="AA1" t="s">
        <v>21</v>
      </c>
      <c r="AB1" t="s">
        <v>22</v>
      </c>
      <c r="AC1" t="s">
        <v>23</v>
      </c>
      <c r="AD1" t="s">
        <v>24</v>
      </c>
      <c r="AE1" t="s">
        <v>25</v>
      </c>
      <c r="AF1" t="s">
        <v>26</v>
      </c>
      <c r="AG1" t="s">
        <v>27</v>
      </c>
      <c r="AH1" t="s">
        <v>28</v>
      </c>
      <c r="AI1" t="s">
        <v>29</v>
      </c>
      <c r="AJ1" t="s">
        <v>30</v>
      </c>
      <c r="AK1" t="s">
        <v>31</v>
      </c>
      <c r="AL1" t="s">
        <v>32</v>
      </c>
      <c r="AM1" t="s">
        <v>33</v>
      </c>
      <c r="AN1" t="s">
        <v>34</v>
      </c>
      <c r="AO1" t="s">
        <v>35</v>
      </c>
      <c r="AP1" t="s">
        <v>36</v>
      </c>
      <c r="AQ1" t="s">
        <v>37</v>
      </c>
      <c r="AR1" t="s">
        <v>38</v>
      </c>
      <c r="AS1" t="s">
        <v>118</v>
      </c>
      <c r="AT1" t="s">
        <v>39</v>
      </c>
      <c r="AU1" t="s">
        <v>40</v>
      </c>
      <c r="AV1" t="s">
        <v>41</v>
      </c>
      <c r="AW1" t="s">
        <v>42</v>
      </c>
      <c r="AX1" t="s">
        <v>43</v>
      </c>
      <c r="AY1" t="s">
        <v>44</v>
      </c>
      <c r="AZ1" t="s">
        <v>45</v>
      </c>
      <c r="BA1" t="s">
        <v>46</v>
      </c>
      <c r="BB1" t="s">
        <v>47</v>
      </c>
      <c r="BC1" t="s">
        <v>48</v>
      </c>
      <c r="BD1" t="s">
        <v>49</v>
      </c>
      <c r="BE1" t="s">
        <v>50</v>
      </c>
      <c r="BF1" t="s">
        <v>51</v>
      </c>
      <c r="BG1" t="s">
        <v>52</v>
      </c>
      <c r="BH1" t="s">
        <v>53</v>
      </c>
      <c r="BI1" t="s">
        <v>54</v>
      </c>
      <c r="BJ1" t="s">
        <v>55</v>
      </c>
    </row>
    <row r="2" spans="1:65">
      <c r="A2" s="1" t="s">
        <v>56</v>
      </c>
      <c r="B2" s="2" t="s">
        <v>57</v>
      </c>
      <c r="C2" s="2" t="s">
        <v>120</v>
      </c>
      <c r="D2" s="2" t="s">
        <v>125</v>
      </c>
      <c r="E2" s="2" t="s">
        <v>126</v>
      </c>
      <c r="F2" s="2" t="s">
        <v>60</v>
      </c>
      <c r="G2" s="1" t="s">
        <v>121</v>
      </c>
      <c r="H2" s="1" t="s">
        <v>122</v>
      </c>
      <c r="I2" t="s">
        <v>63</v>
      </c>
      <c r="J2" s="2" t="s">
        <v>64</v>
      </c>
      <c r="K2" s="4" t="s">
        <v>65</v>
      </c>
      <c r="L2" s="4" t="s">
        <v>66</v>
      </c>
      <c r="M2" s="4" t="s">
        <v>67</v>
      </c>
      <c r="N2" s="4" t="s">
        <v>68</v>
      </c>
      <c r="O2" s="4" t="s">
        <v>69</v>
      </c>
      <c r="P2" t="s">
        <v>70</v>
      </c>
      <c r="Q2" s="4" t="s">
        <v>71</v>
      </c>
      <c r="R2" s="20" t="s">
        <v>1942</v>
      </c>
      <c r="S2" s="20" t="s">
        <v>1943</v>
      </c>
      <c r="T2" t="s">
        <v>72</v>
      </c>
      <c r="U2" s="2" t="s">
        <v>73</v>
      </c>
      <c r="V2" t="s">
        <v>74</v>
      </c>
      <c r="W2" s="2" t="s">
        <v>75</v>
      </c>
      <c r="X2" t="s">
        <v>76</v>
      </c>
      <c r="Y2" t="s">
        <v>77</v>
      </c>
      <c r="Z2" t="s">
        <v>78</v>
      </c>
      <c r="AA2" s="1" t="s">
        <v>79</v>
      </c>
      <c r="AB2" s="1" t="s">
        <v>80</v>
      </c>
      <c r="AC2" s="1" t="s">
        <v>81</v>
      </c>
      <c r="AD2" s="2" t="s">
        <v>82</v>
      </c>
      <c r="AE2" s="2" t="s">
        <v>83</v>
      </c>
      <c r="AF2" s="1" t="s">
        <v>84</v>
      </c>
      <c r="AG2" t="s">
        <v>85</v>
      </c>
      <c r="AH2" t="s">
        <v>86</v>
      </c>
      <c r="AI2" s="2" t="s">
        <v>87</v>
      </c>
      <c r="AJ2" s="6" t="s">
        <v>88</v>
      </c>
      <c r="AK2" s="1" t="s">
        <v>89</v>
      </c>
      <c r="AL2" s="2" t="s">
        <v>90</v>
      </c>
      <c r="AM2" s="2" t="s">
        <v>91</v>
      </c>
      <c r="AN2" s="2" t="s">
        <v>92</v>
      </c>
      <c r="AO2" s="2" t="s">
        <v>93</v>
      </c>
      <c r="AP2" s="2" t="s">
        <v>94</v>
      </c>
      <c r="AQ2" s="2" t="s">
        <v>95</v>
      </c>
      <c r="AR2" s="2" t="s">
        <v>96</v>
      </c>
      <c r="AS2" s="1" t="s">
        <v>119</v>
      </c>
      <c r="AT2" s="2" t="s">
        <v>98</v>
      </c>
      <c r="AU2" s="1" t="s">
        <v>99</v>
      </c>
      <c r="AV2" t="s">
        <v>100</v>
      </c>
      <c r="AW2" t="s">
        <v>101</v>
      </c>
      <c r="AX2" t="s">
        <v>102</v>
      </c>
      <c r="AY2" t="s">
        <v>103</v>
      </c>
      <c r="AZ2" s="6" t="s">
        <v>104</v>
      </c>
      <c r="BA2" s="2" t="s">
        <v>105</v>
      </c>
      <c r="BB2" s="2" t="s">
        <v>106</v>
      </c>
      <c r="BC2" s="2" t="s">
        <v>107</v>
      </c>
      <c r="BD2" s="1" t="s">
        <v>108</v>
      </c>
      <c r="BE2" t="s">
        <v>109</v>
      </c>
      <c r="BF2" t="s">
        <v>110</v>
      </c>
      <c r="BG2" t="s">
        <v>111</v>
      </c>
      <c r="BH2" t="s">
        <v>112</v>
      </c>
      <c r="BI2" t="s">
        <v>113</v>
      </c>
      <c r="BJ2" t="s">
        <v>114</v>
      </c>
      <c r="BK2" t="s">
        <v>123</v>
      </c>
      <c r="BL2" t="s">
        <v>124</v>
      </c>
    </row>
    <row r="3" spans="1:65">
      <c r="A3" t="str">
        <f t="shared" ref="A3:A66" si="0">IF(B3="","","WG01")</f>
        <v>WG01</v>
      </c>
      <c r="B3" t="s">
        <v>127</v>
      </c>
      <c r="C3" t="s">
        <v>259</v>
      </c>
      <c r="D3" s="7"/>
      <c r="E3" s="7"/>
      <c r="G3" t="s">
        <v>1938</v>
      </c>
      <c r="H3" t="str" cm="1">
        <f t="array" ref="H3">IFERROR(_xlfn.IFS(B3="","",AND(B3="",G3=""),"",G3="","記載要"),"")</f>
        <v/>
      </c>
      <c r="I3" t="s">
        <v>115</v>
      </c>
      <c r="J3" t="s">
        <v>115</v>
      </c>
      <c r="K3" t="str">
        <f t="shared" ref="K3:K66" si="1">IF(G3="","","11"&amp;G3&amp;RIGHT(B3,5))</f>
        <v>11WP00997397</v>
      </c>
      <c r="L3" s="3" t="str">
        <f t="shared" ref="L3:L66" si="2">IF(B3="","","2001/01/01")</f>
        <v>2001/01/01</v>
      </c>
      <c r="M3" s="3" t="str">
        <f t="shared" ref="M3:M66" si="3">IF(C3="","","2199/12/31")</f>
        <v>2199/12/31</v>
      </c>
      <c r="N3" t="str">
        <f t="shared" ref="N3:N66" si="4">IF(LEFT(G3,1)="W",K3,"")</f>
        <v>11WP00997397</v>
      </c>
      <c r="O3">
        <v>5</v>
      </c>
      <c r="Q3" t="str" cm="1">
        <f t="array" ref="Q3">_xlfn.IFS(AND(C3="",G3=""),"",LEFT(G3,1)="L","記載要",LEFT(G3,1)="W","",AND(C3,G3=""),"記載要")</f>
        <v/>
      </c>
      <c r="R3" s="21" t="str">
        <f>IF(H3="","","記載要")</f>
        <v/>
      </c>
      <c r="S3" s="21"/>
      <c r="AA3">
        <v>1</v>
      </c>
      <c r="AB3">
        <f t="shared" ref="AB3:AB66" si="5">IF(B3="","",0)</f>
        <v>0</v>
      </c>
      <c r="AC3">
        <v>1</v>
      </c>
      <c r="AD3" t="s">
        <v>115</v>
      </c>
      <c r="AE3" t="s">
        <v>115</v>
      </c>
      <c r="AF3">
        <v>1</v>
      </c>
      <c r="AG3" t="s">
        <v>115</v>
      </c>
      <c r="AH3" t="s">
        <v>115</v>
      </c>
      <c r="AI3" t="s">
        <v>115</v>
      </c>
      <c r="AJ3" t="s">
        <v>115</v>
      </c>
      <c r="AK3" cm="1">
        <f t="array" ref="AK3">_xlfn.IFS(B3="","",LEFT(G3,1)="L",1,LEFT(G3,1)="W",1,AND(LEFT(B3,1)="H",G3=""),0)</f>
        <v>1</v>
      </c>
      <c r="AL3" t="s">
        <v>115</v>
      </c>
      <c r="AM3" t="s">
        <v>115</v>
      </c>
      <c r="AN3" t="s">
        <v>115</v>
      </c>
      <c r="AO3" t="s">
        <v>115</v>
      </c>
      <c r="AP3" t="s">
        <v>115</v>
      </c>
      <c r="AQ3" t="s">
        <v>115</v>
      </c>
      <c r="AR3" t="s">
        <v>115</v>
      </c>
      <c r="AS3" t="str">
        <f t="shared" ref="AS3:AS66" si="6">IF(Q3="","",1)</f>
        <v/>
      </c>
      <c r="AT3" t="s">
        <v>115</v>
      </c>
      <c r="AU3" t="str">
        <f t="shared" ref="AU3:AU66" si="7">IF(B3="","","0")</f>
        <v>0</v>
      </c>
      <c r="AV3" t="s">
        <v>115</v>
      </c>
      <c r="AW3" t="s">
        <v>115</v>
      </c>
      <c r="AX3" t="s">
        <v>115</v>
      </c>
      <c r="AY3" t="s">
        <v>115</v>
      </c>
      <c r="AZ3" t="s">
        <v>115</v>
      </c>
      <c r="BA3" t="s">
        <v>115</v>
      </c>
      <c r="BB3" t="s">
        <v>115</v>
      </c>
      <c r="BC3" t="s">
        <v>115</v>
      </c>
      <c r="BD3" t="str">
        <f t="shared" ref="BD3:BD66" si="8">IF(B3="","","0")</f>
        <v>0</v>
      </c>
      <c r="BE3" t="s">
        <v>115</v>
      </c>
      <c r="BF3" t="s">
        <v>115</v>
      </c>
      <c r="BG3" t="s">
        <v>115</v>
      </c>
      <c r="BH3" t="s">
        <v>115</v>
      </c>
      <c r="BI3" t="s">
        <v>115</v>
      </c>
      <c r="BJ3" t="s">
        <v>115</v>
      </c>
      <c r="BK3" t="str">
        <f>IFERROR(VLOOKUP(B3,'[1]model_S-フレーム'!$F$5:$R$7000,13,1),"")</f>
        <v>E356750_01</v>
      </c>
      <c r="BL3" s="7">
        <f>IFERROR(VLOOKUP(B3,'[1]model_S-フレーム'!$F$5:$V$7000,17,1),"")</f>
        <v>0</v>
      </c>
      <c r="BM3" t="str" cm="1">
        <f t="array" ref="BM3">_xlfn.IFS(LEFT(G3,1)="L","外注品",LEFT(G3,1)="W","内製品",G3="","購買品")</f>
        <v>内製品</v>
      </c>
    </row>
    <row r="4" spans="1:65">
      <c r="A4" t="str">
        <f t="shared" si="0"/>
        <v>WG01</v>
      </c>
      <c r="B4" t="s">
        <v>128</v>
      </c>
      <c r="C4" t="s">
        <v>259</v>
      </c>
      <c r="D4" s="7"/>
      <c r="E4" s="7"/>
      <c r="G4" t="s">
        <v>1938</v>
      </c>
      <c r="H4" t="str" cm="1">
        <f t="array" ref="H4">IFERROR(_xlfn.IFS(B4="","",AND(B4="",G4=""),"",G4="","記載要"),"")</f>
        <v/>
      </c>
      <c r="I4" t="s">
        <v>115</v>
      </c>
      <c r="J4" t="s">
        <v>115</v>
      </c>
      <c r="K4" t="str">
        <f t="shared" si="1"/>
        <v>11WP00997398</v>
      </c>
      <c r="L4" s="3" t="str">
        <f t="shared" si="2"/>
        <v>2001/01/01</v>
      </c>
      <c r="M4" s="3" t="str">
        <f t="shared" si="3"/>
        <v>2199/12/31</v>
      </c>
      <c r="N4" t="str">
        <f t="shared" si="4"/>
        <v>11WP00997398</v>
      </c>
      <c r="O4">
        <v>5</v>
      </c>
      <c r="Q4" t="str" cm="1">
        <f t="array" ref="Q4">_xlfn.IFS(AND(C4="",G4=""),"",LEFT(G4,1)="L","記載要",LEFT(G4,1)="W","",AND(C4,G4=""),"記載要")</f>
        <v/>
      </c>
      <c r="R4" s="21" t="str">
        <f t="shared" ref="R4:R67" si="9">IF(H4="","","記載要")</f>
        <v/>
      </c>
      <c r="S4" s="21"/>
      <c r="AA4">
        <v>1</v>
      </c>
      <c r="AB4">
        <f t="shared" si="5"/>
        <v>0</v>
      </c>
      <c r="AC4">
        <v>1</v>
      </c>
      <c r="AD4" t="s">
        <v>115</v>
      </c>
      <c r="AE4" t="s">
        <v>115</v>
      </c>
      <c r="AF4">
        <v>1</v>
      </c>
      <c r="AG4" t="s">
        <v>115</v>
      </c>
      <c r="AH4" t="s">
        <v>115</v>
      </c>
      <c r="AI4" t="s">
        <v>115</v>
      </c>
      <c r="AJ4" t="s">
        <v>115</v>
      </c>
      <c r="AK4" cm="1">
        <f t="array" ref="AK4">_xlfn.IFS(B4="","",LEFT(G4,1)="L",1,LEFT(G4,1)="W",1,AND(LEFT(B4,1)="H",G4=""),0)</f>
        <v>1</v>
      </c>
      <c r="AL4" t="s">
        <v>115</v>
      </c>
      <c r="AM4" t="s">
        <v>115</v>
      </c>
      <c r="AN4" t="s">
        <v>115</v>
      </c>
      <c r="AO4" t="s">
        <v>115</v>
      </c>
      <c r="AP4" t="s">
        <v>115</v>
      </c>
      <c r="AQ4" t="s">
        <v>115</v>
      </c>
      <c r="AR4" t="s">
        <v>115</v>
      </c>
      <c r="AS4" t="str">
        <f t="shared" si="6"/>
        <v/>
      </c>
      <c r="AT4" t="s">
        <v>115</v>
      </c>
      <c r="AU4" t="str">
        <f t="shared" si="7"/>
        <v>0</v>
      </c>
      <c r="AV4" t="s">
        <v>115</v>
      </c>
      <c r="AW4" t="s">
        <v>115</v>
      </c>
      <c r="AX4" t="s">
        <v>115</v>
      </c>
      <c r="AY4" t="s">
        <v>115</v>
      </c>
      <c r="AZ4" t="s">
        <v>115</v>
      </c>
      <c r="BA4" t="s">
        <v>115</v>
      </c>
      <c r="BB4" t="s">
        <v>115</v>
      </c>
      <c r="BC4" t="s">
        <v>115</v>
      </c>
      <c r="BD4" t="str">
        <f t="shared" si="8"/>
        <v>0</v>
      </c>
      <c r="BE4" t="s">
        <v>115</v>
      </c>
      <c r="BF4" t="s">
        <v>115</v>
      </c>
      <c r="BG4" t="s">
        <v>115</v>
      </c>
      <c r="BH4" t="s">
        <v>115</v>
      </c>
      <c r="BI4" t="s">
        <v>115</v>
      </c>
      <c r="BJ4" t="s">
        <v>115</v>
      </c>
      <c r="BK4" t="str">
        <f>IFERROR(VLOOKUP(B4,'[1]model_S-フレーム'!$F$5:$R$7000,13,1),"")</f>
        <v>E356750_01</v>
      </c>
      <c r="BL4" s="7">
        <f>IFERROR(VLOOKUP(B4,'[1]model_S-フレーム'!$F$5:$V$7000,17,1),"")</f>
        <v>0</v>
      </c>
      <c r="BM4" t="str" cm="1">
        <f t="array" ref="BM4">_xlfn.IFS(LEFT(G4,1)="L","外注品",LEFT(G4,1)="W","内製品",G4="","購買品")</f>
        <v>内製品</v>
      </c>
    </row>
    <row r="5" spans="1:65">
      <c r="A5" t="str">
        <f t="shared" si="0"/>
        <v>WG01</v>
      </c>
      <c r="B5" t="s">
        <v>129</v>
      </c>
      <c r="C5" t="s">
        <v>259</v>
      </c>
      <c r="D5" s="7"/>
      <c r="E5" s="7"/>
      <c r="G5" t="s">
        <v>1938</v>
      </c>
      <c r="H5" t="str" cm="1">
        <f t="array" ref="H5">IFERROR(_xlfn.IFS(B5="","",AND(B5="",G5=""),"",G5="","記載要"),"")</f>
        <v/>
      </c>
      <c r="I5" t="s">
        <v>115</v>
      </c>
      <c r="J5" t="s">
        <v>115</v>
      </c>
      <c r="K5" t="str">
        <f t="shared" si="1"/>
        <v>11WP00997399</v>
      </c>
      <c r="L5" s="3" t="str">
        <f t="shared" si="2"/>
        <v>2001/01/01</v>
      </c>
      <c r="M5" s="3" t="str">
        <f t="shared" si="3"/>
        <v>2199/12/31</v>
      </c>
      <c r="N5" t="str">
        <f t="shared" si="4"/>
        <v>11WP00997399</v>
      </c>
      <c r="O5">
        <v>5</v>
      </c>
      <c r="Q5" t="str" cm="1">
        <f t="array" ref="Q5">_xlfn.IFS(AND(C5="",G5=""),"",LEFT(G5,1)="L","記載要",LEFT(G5,1)="W","",AND(C5,G5=""),"記載要")</f>
        <v/>
      </c>
      <c r="R5" s="21" t="str">
        <f t="shared" si="9"/>
        <v/>
      </c>
      <c r="S5" s="21"/>
      <c r="AA5">
        <v>1</v>
      </c>
      <c r="AB5">
        <f t="shared" si="5"/>
        <v>0</v>
      </c>
      <c r="AC5">
        <v>1</v>
      </c>
      <c r="AD5" t="s">
        <v>115</v>
      </c>
      <c r="AE5" t="s">
        <v>115</v>
      </c>
      <c r="AF5">
        <v>1</v>
      </c>
      <c r="AG5" t="s">
        <v>115</v>
      </c>
      <c r="AH5" t="s">
        <v>115</v>
      </c>
      <c r="AI5" t="s">
        <v>115</v>
      </c>
      <c r="AJ5" t="s">
        <v>115</v>
      </c>
      <c r="AK5" cm="1">
        <f t="array" ref="AK5">_xlfn.IFS(B5="","",LEFT(G5,1)="L",1,LEFT(G5,1)="W",1,AND(LEFT(B5,1)="H",G5=""),0)</f>
        <v>1</v>
      </c>
      <c r="AL5" t="s">
        <v>115</v>
      </c>
      <c r="AM5" t="s">
        <v>115</v>
      </c>
      <c r="AN5" t="s">
        <v>115</v>
      </c>
      <c r="AO5" t="s">
        <v>115</v>
      </c>
      <c r="AP5" t="s">
        <v>115</v>
      </c>
      <c r="AQ5" t="s">
        <v>115</v>
      </c>
      <c r="AR5" t="s">
        <v>115</v>
      </c>
      <c r="AS5" t="str">
        <f t="shared" si="6"/>
        <v/>
      </c>
      <c r="AT5" t="s">
        <v>115</v>
      </c>
      <c r="AU5" t="str">
        <f t="shared" si="7"/>
        <v>0</v>
      </c>
      <c r="AV5" t="s">
        <v>115</v>
      </c>
      <c r="AW5" t="s">
        <v>115</v>
      </c>
      <c r="AX5" t="s">
        <v>115</v>
      </c>
      <c r="AY5" t="s">
        <v>115</v>
      </c>
      <c r="AZ5" t="s">
        <v>115</v>
      </c>
      <c r="BA5" t="s">
        <v>115</v>
      </c>
      <c r="BB5" t="s">
        <v>115</v>
      </c>
      <c r="BC5" t="s">
        <v>115</v>
      </c>
      <c r="BD5" t="str">
        <f t="shared" si="8"/>
        <v>0</v>
      </c>
      <c r="BE5" t="s">
        <v>115</v>
      </c>
      <c r="BF5" t="s">
        <v>115</v>
      </c>
      <c r="BG5" t="s">
        <v>115</v>
      </c>
      <c r="BH5" t="s">
        <v>115</v>
      </c>
      <c r="BI5" t="s">
        <v>115</v>
      </c>
      <c r="BJ5" t="s">
        <v>115</v>
      </c>
      <c r="BK5" t="str">
        <f>IFERROR(VLOOKUP(B5,'[1]model_S-フレーム'!$F$5:$R$7000,13,1),"")</f>
        <v>E356750_01</v>
      </c>
      <c r="BL5" s="7">
        <f>IFERROR(VLOOKUP(B5,'[1]model_S-フレーム'!$F$5:$V$7000,17,1),"")</f>
        <v>0</v>
      </c>
      <c r="BM5" t="str" cm="1">
        <f t="array" ref="BM5">_xlfn.IFS(LEFT(G5,1)="L","外注品",LEFT(G5,1)="W","内製品",G5="","購買品")</f>
        <v>内製品</v>
      </c>
    </row>
    <row r="6" spans="1:65">
      <c r="A6" t="str">
        <f t="shared" si="0"/>
        <v>WG01</v>
      </c>
      <c r="B6" t="s">
        <v>130</v>
      </c>
      <c r="C6" t="s">
        <v>259</v>
      </c>
      <c r="D6" s="7"/>
      <c r="E6" s="7"/>
      <c r="G6" t="s">
        <v>1938</v>
      </c>
      <c r="H6" t="str" cm="1">
        <f t="array" ref="H6">IFERROR(_xlfn.IFS(B6="","",AND(B6="",G6=""),"",G6="","記載要"),"")</f>
        <v/>
      </c>
      <c r="K6" t="str">
        <f t="shared" si="1"/>
        <v>11WP00997400</v>
      </c>
      <c r="L6" s="3" t="str">
        <f t="shared" si="2"/>
        <v>2001/01/01</v>
      </c>
      <c r="M6" s="3" t="str">
        <f t="shared" si="3"/>
        <v>2199/12/31</v>
      </c>
      <c r="N6" t="str">
        <f t="shared" si="4"/>
        <v>11WP00997400</v>
      </c>
      <c r="O6">
        <v>5</v>
      </c>
      <c r="Q6" t="str" cm="1">
        <f t="array" ref="Q6">_xlfn.IFS(AND(C6="",G6=""),"",LEFT(G6,1)="L","記載要",LEFT(G6,1)="W","",AND(C6,G6=""),"記載要")</f>
        <v/>
      </c>
      <c r="R6" s="21" t="str">
        <f t="shared" si="9"/>
        <v/>
      </c>
      <c r="S6" s="21"/>
      <c r="AA6">
        <v>1</v>
      </c>
      <c r="AB6">
        <f t="shared" si="5"/>
        <v>0</v>
      </c>
      <c r="AC6">
        <v>1</v>
      </c>
      <c r="AF6">
        <v>1</v>
      </c>
      <c r="AK6" cm="1">
        <f t="array" ref="AK6">_xlfn.IFS(B6="","",LEFT(G6,1)="L",1,LEFT(G6,1)="W",1,AND(LEFT(B6,1)="H",G6=""),0)</f>
        <v>1</v>
      </c>
      <c r="AS6" t="str">
        <f t="shared" si="6"/>
        <v/>
      </c>
      <c r="AT6" t="s">
        <v>115</v>
      </c>
      <c r="AU6" t="str">
        <f t="shared" si="7"/>
        <v>0</v>
      </c>
      <c r="BD6" t="str">
        <f t="shared" si="8"/>
        <v>0</v>
      </c>
      <c r="BK6" t="str">
        <f>IFERROR(VLOOKUP(B6,'[1]model_S-フレーム'!$F$5:$R$7000,13,1),"")</f>
        <v>E356750_01</v>
      </c>
      <c r="BL6" s="7">
        <f>IFERROR(VLOOKUP(B6,'[1]model_S-フレーム'!$F$5:$V$7000,17,1),"")</f>
        <v>0</v>
      </c>
      <c r="BM6" t="str" cm="1">
        <f t="array" ref="BM6">_xlfn.IFS(LEFT(G6,1)="L","外注品",LEFT(G6,1)="W","内製品",G6="","購買品")</f>
        <v>内製品</v>
      </c>
    </row>
    <row r="7" spans="1:65">
      <c r="A7" t="str">
        <f t="shared" si="0"/>
        <v>WG01</v>
      </c>
      <c r="B7" t="s">
        <v>131</v>
      </c>
      <c r="C7" t="s">
        <v>259</v>
      </c>
      <c r="D7" s="7"/>
      <c r="E7" s="7"/>
      <c r="G7" t="s">
        <v>1938</v>
      </c>
      <c r="H7" t="str" cm="1">
        <f t="array" ref="H7">IFERROR(_xlfn.IFS(B7="","",AND(B7="",G7=""),"",G7="","記載要"),"")</f>
        <v/>
      </c>
      <c r="K7" t="str">
        <f t="shared" si="1"/>
        <v>11WP00997401</v>
      </c>
      <c r="L7" s="3" t="str">
        <f t="shared" si="2"/>
        <v>2001/01/01</v>
      </c>
      <c r="M7" s="3" t="str">
        <f t="shared" si="3"/>
        <v>2199/12/31</v>
      </c>
      <c r="N7" t="str">
        <f t="shared" si="4"/>
        <v>11WP00997401</v>
      </c>
      <c r="O7">
        <v>5</v>
      </c>
      <c r="Q7" t="str" cm="1">
        <f t="array" ref="Q7">_xlfn.IFS(AND(C7="",G7=""),"",LEFT(G7,1)="L","記載要",LEFT(G7,1)="W","",AND(C7,G7=""),"記載要")</f>
        <v/>
      </c>
      <c r="R7" s="21" t="str">
        <f t="shared" si="9"/>
        <v/>
      </c>
      <c r="S7" s="21"/>
      <c r="AA7">
        <v>1</v>
      </c>
      <c r="AB7">
        <f t="shared" si="5"/>
        <v>0</v>
      </c>
      <c r="AC7">
        <v>1</v>
      </c>
      <c r="AF7">
        <v>1</v>
      </c>
      <c r="AK7" cm="1">
        <f t="array" ref="AK7">_xlfn.IFS(B7="","",LEFT(G7,1)="L",1,LEFT(G7,1)="W",1,AND(LEFT(B7,1)="H",G7=""),0)</f>
        <v>1</v>
      </c>
      <c r="AS7" t="str">
        <f t="shared" si="6"/>
        <v/>
      </c>
      <c r="AT7" t="s">
        <v>115</v>
      </c>
      <c r="AU7" t="str">
        <f t="shared" si="7"/>
        <v>0</v>
      </c>
      <c r="BD7" t="str">
        <f t="shared" si="8"/>
        <v>0</v>
      </c>
      <c r="BK7" t="str">
        <f>IFERROR(VLOOKUP(B7,'[1]model_S-フレーム'!$F$5:$R$7000,13,1),"")</f>
        <v>E356750_01</v>
      </c>
      <c r="BL7" s="7">
        <f>IFERROR(VLOOKUP(B7,'[1]model_S-フレーム'!$F$5:$V$7000,17,1),"")</f>
        <v>0</v>
      </c>
      <c r="BM7" t="str" cm="1">
        <f t="array" ref="BM7">_xlfn.IFS(LEFT(G7,1)="L","外注品",LEFT(G7,1)="W","内製品",G7="","購買品")</f>
        <v>内製品</v>
      </c>
    </row>
    <row r="8" spans="1:65">
      <c r="A8" t="str">
        <f t="shared" si="0"/>
        <v>WG01</v>
      </c>
      <c r="B8" t="s">
        <v>132</v>
      </c>
      <c r="C8" t="s">
        <v>259</v>
      </c>
      <c r="D8" s="7"/>
      <c r="E8" s="7"/>
      <c r="G8" t="s">
        <v>1938</v>
      </c>
      <c r="H8" t="str" cm="1">
        <f t="array" ref="H8">IFERROR(_xlfn.IFS(B8="","",AND(B8="",G8=""),"",G8="","記載要"),"")</f>
        <v/>
      </c>
      <c r="K8" t="str">
        <f t="shared" si="1"/>
        <v>11WP00997402</v>
      </c>
      <c r="L8" s="3" t="str">
        <f t="shared" si="2"/>
        <v>2001/01/01</v>
      </c>
      <c r="M8" s="3" t="str">
        <f t="shared" si="3"/>
        <v>2199/12/31</v>
      </c>
      <c r="N8" t="str">
        <f t="shared" si="4"/>
        <v>11WP00997402</v>
      </c>
      <c r="O8">
        <v>5</v>
      </c>
      <c r="Q8" t="str" cm="1">
        <f t="array" ref="Q8">_xlfn.IFS(AND(C8="",G8=""),"",LEFT(G8,1)="L","記載要",LEFT(G8,1)="W","",AND(C8,G8=""),"記載要")</f>
        <v/>
      </c>
      <c r="R8" s="21" t="str">
        <f t="shared" si="9"/>
        <v/>
      </c>
      <c r="S8" s="21"/>
      <c r="AA8">
        <v>1</v>
      </c>
      <c r="AB8">
        <f t="shared" si="5"/>
        <v>0</v>
      </c>
      <c r="AC8">
        <v>1</v>
      </c>
      <c r="AF8">
        <v>1</v>
      </c>
      <c r="AK8" cm="1">
        <f t="array" ref="AK8">_xlfn.IFS(B8="","",LEFT(G8,1)="L",1,LEFT(G8,1)="W",1,AND(LEFT(B8,1)="H",G8=""),0)</f>
        <v>1</v>
      </c>
      <c r="AS8" t="str">
        <f t="shared" si="6"/>
        <v/>
      </c>
      <c r="AT8" t="s">
        <v>115</v>
      </c>
      <c r="AU8" t="str">
        <f t="shared" si="7"/>
        <v>0</v>
      </c>
      <c r="BD8" t="str">
        <f t="shared" si="8"/>
        <v>0</v>
      </c>
      <c r="BK8" t="str">
        <f>IFERROR(VLOOKUP(B8,'[1]model_S-フレーム'!$F$5:$R$7000,13,1),"")</f>
        <v>E356750_01</v>
      </c>
      <c r="BL8" s="7">
        <f>IFERROR(VLOOKUP(B8,'[1]model_S-フレーム'!$F$5:$V$7000,17,1),"")</f>
        <v>0</v>
      </c>
      <c r="BM8" t="str" cm="1">
        <f t="array" ref="BM8">_xlfn.IFS(LEFT(G8,1)="L","外注品",LEFT(G8,1)="W","内製品",G8="","購買品")</f>
        <v>内製品</v>
      </c>
    </row>
    <row r="9" spans="1:65">
      <c r="A9" t="str">
        <f t="shared" si="0"/>
        <v>WG01</v>
      </c>
      <c r="B9" t="s">
        <v>133</v>
      </c>
      <c r="C9" t="s">
        <v>259</v>
      </c>
      <c r="D9" s="7"/>
      <c r="E9" s="7"/>
      <c r="G9" t="s">
        <v>1938</v>
      </c>
      <c r="H9" t="str" cm="1">
        <f t="array" ref="H9">IFERROR(_xlfn.IFS(B9="","",AND(B9="",G9=""),"",G9="","記載要"),"")</f>
        <v/>
      </c>
      <c r="K9" t="str">
        <f t="shared" si="1"/>
        <v>11WP00997403</v>
      </c>
      <c r="L9" s="3" t="str">
        <f t="shared" si="2"/>
        <v>2001/01/01</v>
      </c>
      <c r="M9" s="3" t="str">
        <f t="shared" si="3"/>
        <v>2199/12/31</v>
      </c>
      <c r="N9" t="str">
        <f t="shared" si="4"/>
        <v>11WP00997403</v>
      </c>
      <c r="O9">
        <v>5</v>
      </c>
      <c r="Q9" t="str" cm="1">
        <f t="array" ref="Q9">_xlfn.IFS(AND(C9="",G9=""),"",LEFT(G9,1)="L","記載要",LEFT(G9,1)="W","",AND(C9,G9=""),"記載要")</f>
        <v/>
      </c>
      <c r="R9" s="21" t="str">
        <f t="shared" si="9"/>
        <v/>
      </c>
      <c r="S9" s="21"/>
      <c r="AA9">
        <v>1</v>
      </c>
      <c r="AB9">
        <f t="shared" si="5"/>
        <v>0</v>
      </c>
      <c r="AC9">
        <v>1</v>
      </c>
      <c r="AF9">
        <v>1</v>
      </c>
      <c r="AK9" cm="1">
        <f t="array" ref="AK9">_xlfn.IFS(B9="","",LEFT(G9,1)="L",1,LEFT(G9,1)="W",1,AND(LEFT(B9,1)="H",G9=""),0)</f>
        <v>1</v>
      </c>
      <c r="AS9" t="str">
        <f t="shared" si="6"/>
        <v/>
      </c>
      <c r="AT9" t="s">
        <v>115</v>
      </c>
      <c r="AU9" t="str">
        <f t="shared" si="7"/>
        <v>0</v>
      </c>
      <c r="BD9" t="str">
        <f t="shared" si="8"/>
        <v>0</v>
      </c>
      <c r="BK9" t="str">
        <f>IFERROR(VLOOKUP(B9,'[1]model_S-フレーム'!$F$5:$R$7000,13,1),"")</f>
        <v>E356750_01</v>
      </c>
      <c r="BL9" s="7">
        <f>IFERROR(VLOOKUP(B9,'[1]model_S-フレーム'!$F$5:$V$7000,17,1),"")</f>
        <v>0</v>
      </c>
      <c r="BM9" t="str" cm="1">
        <f t="array" ref="BM9">_xlfn.IFS(LEFT(G9,1)="L","外注品",LEFT(G9,1)="W","内製品",G9="","購買品")</f>
        <v>内製品</v>
      </c>
    </row>
    <row r="10" spans="1:65">
      <c r="A10" t="str">
        <f t="shared" si="0"/>
        <v>WG01</v>
      </c>
      <c r="B10" t="s">
        <v>134</v>
      </c>
      <c r="C10" t="s">
        <v>259</v>
      </c>
      <c r="D10" s="7"/>
      <c r="E10" s="7"/>
      <c r="G10" t="s">
        <v>1938</v>
      </c>
      <c r="H10" t="str" cm="1">
        <f t="array" ref="H10">IFERROR(_xlfn.IFS(B10="","",AND(B10="",G10=""),"",G10="","記載要"),"")</f>
        <v/>
      </c>
      <c r="K10" t="str">
        <f t="shared" si="1"/>
        <v>11WP00997404</v>
      </c>
      <c r="L10" s="3" t="str">
        <f t="shared" si="2"/>
        <v>2001/01/01</v>
      </c>
      <c r="M10" s="3" t="str">
        <f t="shared" si="3"/>
        <v>2199/12/31</v>
      </c>
      <c r="N10" t="str">
        <f t="shared" si="4"/>
        <v>11WP00997404</v>
      </c>
      <c r="O10">
        <v>5</v>
      </c>
      <c r="Q10" t="str" cm="1">
        <f t="array" ref="Q10">_xlfn.IFS(AND(C10="",G10=""),"",LEFT(G10,1)="L","記載要",LEFT(G10,1)="W","",AND(C10,G10=""),"記載要")</f>
        <v/>
      </c>
      <c r="R10" s="21" t="str">
        <f t="shared" si="9"/>
        <v/>
      </c>
      <c r="S10" s="21"/>
      <c r="AA10">
        <v>1</v>
      </c>
      <c r="AB10">
        <f t="shared" si="5"/>
        <v>0</v>
      </c>
      <c r="AC10">
        <v>1</v>
      </c>
      <c r="AF10">
        <v>1</v>
      </c>
      <c r="AK10" cm="1">
        <f t="array" ref="AK10">_xlfn.IFS(B10="","",LEFT(G10,1)="L",1,LEFT(G10,1)="W",1,AND(LEFT(B10,1)="H",G10=""),0)</f>
        <v>1</v>
      </c>
      <c r="AS10" t="str">
        <f t="shared" si="6"/>
        <v/>
      </c>
      <c r="AT10" t="s">
        <v>115</v>
      </c>
      <c r="AU10" t="str">
        <f t="shared" si="7"/>
        <v>0</v>
      </c>
      <c r="BD10" t="str">
        <f t="shared" si="8"/>
        <v>0</v>
      </c>
      <c r="BK10" t="str">
        <f>IFERROR(VLOOKUP(B10,'[1]model_S-フレーム'!$F$5:$R$7000,13,1),"")</f>
        <v>E356750_01</v>
      </c>
      <c r="BL10" s="7">
        <f>IFERROR(VLOOKUP(B10,'[1]model_S-フレーム'!$F$5:$V$7000,17,1),"")</f>
        <v>0</v>
      </c>
      <c r="BM10" t="str" cm="1">
        <f t="array" ref="BM10">_xlfn.IFS(LEFT(G10,1)="L","外注品",LEFT(G10,1)="W","内製品",G10="","購買品")</f>
        <v>内製品</v>
      </c>
    </row>
    <row r="11" spans="1:65">
      <c r="A11" t="str">
        <f t="shared" si="0"/>
        <v>WG01</v>
      </c>
      <c r="B11" t="s">
        <v>135</v>
      </c>
      <c r="C11" t="s">
        <v>260</v>
      </c>
      <c r="D11" s="7"/>
      <c r="E11" s="7"/>
      <c r="G11" t="s">
        <v>1938</v>
      </c>
      <c r="H11" t="str" cm="1">
        <f t="array" ref="H11">IFERROR(_xlfn.IFS(B11="","",AND(B11="",G11=""),"",G11="","記載要"),"")</f>
        <v/>
      </c>
      <c r="I11" t="s">
        <v>115</v>
      </c>
      <c r="J11" t="s">
        <v>115</v>
      </c>
      <c r="K11" t="str">
        <f t="shared" si="1"/>
        <v>11WP00997405</v>
      </c>
      <c r="L11" s="3" t="str">
        <f t="shared" si="2"/>
        <v>2001/01/01</v>
      </c>
      <c r="M11" s="3" t="str">
        <f t="shared" si="3"/>
        <v>2199/12/31</v>
      </c>
      <c r="N11" t="str">
        <f t="shared" si="4"/>
        <v>11WP00997405</v>
      </c>
      <c r="O11">
        <v>5</v>
      </c>
      <c r="Q11" t="str" cm="1">
        <f t="array" ref="Q11">_xlfn.IFS(AND(C11="",G11=""),"",LEFT(G11,1)="L","記載要",LEFT(G11,1)="W","",AND(C11,G11=""),"記載要")</f>
        <v/>
      </c>
      <c r="R11" s="21" t="str">
        <f t="shared" si="9"/>
        <v/>
      </c>
      <c r="S11" s="21"/>
      <c r="AA11">
        <v>1</v>
      </c>
      <c r="AB11">
        <f t="shared" si="5"/>
        <v>0</v>
      </c>
      <c r="AC11">
        <v>1</v>
      </c>
      <c r="AD11" s="9" t="s">
        <v>115</v>
      </c>
      <c r="AE11" t="s">
        <v>115</v>
      </c>
      <c r="AF11">
        <v>1</v>
      </c>
      <c r="AG11" t="s">
        <v>115</v>
      </c>
      <c r="AH11" t="s">
        <v>115</v>
      </c>
      <c r="AI11" t="s">
        <v>115</v>
      </c>
      <c r="AJ11" t="s">
        <v>115</v>
      </c>
      <c r="AK11" cm="1">
        <f t="array" ref="AK11">_xlfn.IFS(B11="","",LEFT(G11,1)="L",1,LEFT(G11,1)="W",1,AND(LEFT(B11,1)="H",G11=""),0)</f>
        <v>1</v>
      </c>
      <c r="AL11" t="s">
        <v>115</v>
      </c>
      <c r="AM11" t="s">
        <v>115</v>
      </c>
      <c r="AN11" t="s">
        <v>115</v>
      </c>
      <c r="AO11" t="s">
        <v>115</v>
      </c>
      <c r="AP11" t="s">
        <v>115</v>
      </c>
      <c r="AQ11" t="s">
        <v>115</v>
      </c>
      <c r="AR11" t="s">
        <v>115</v>
      </c>
      <c r="AS11" t="str">
        <f t="shared" si="6"/>
        <v/>
      </c>
      <c r="AT11" t="s">
        <v>115</v>
      </c>
      <c r="AU11" t="str">
        <f t="shared" si="7"/>
        <v>0</v>
      </c>
      <c r="AV11" t="s">
        <v>115</v>
      </c>
      <c r="AW11" t="s">
        <v>115</v>
      </c>
      <c r="AX11" t="s">
        <v>115</v>
      </c>
      <c r="AY11" t="s">
        <v>115</v>
      </c>
      <c r="AZ11" t="s">
        <v>115</v>
      </c>
      <c r="BA11" t="s">
        <v>115</v>
      </c>
      <c r="BB11" t="s">
        <v>115</v>
      </c>
      <c r="BC11" t="s">
        <v>115</v>
      </c>
      <c r="BD11" t="str">
        <f t="shared" si="8"/>
        <v>0</v>
      </c>
      <c r="BE11" t="s">
        <v>115</v>
      </c>
      <c r="BF11" t="s">
        <v>115</v>
      </c>
      <c r="BG11" t="s">
        <v>115</v>
      </c>
      <c r="BH11" t="s">
        <v>115</v>
      </c>
      <c r="BI11" t="s">
        <v>115</v>
      </c>
      <c r="BJ11" t="s">
        <v>115</v>
      </c>
      <c r="BK11" t="str">
        <f>IFERROR(VLOOKUP(B11,'[1]model_S-フレーム'!$F$5:$R$7000,13,1),"")</f>
        <v>E356750_01</v>
      </c>
      <c r="BL11" s="7">
        <f>IFERROR(VLOOKUP(B11,'[1]model_S-フレーム'!$F$5:$V$7000,17,1),"")</f>
        <v>0</v>
      </c>
      <c r="BM11" t="str" cm="1">
        <f t="array" ref="BM11">_xlfn.IFS(LEFT(G11,1)="L","外注品",LEFT(G11,1)="W","内製品",G11="","購買品")</f>
        <v>内製品</v>
      </c>
    </row>
    <row r="12" spans="1:65">
      <c r="A12" t="str">
        <f t="shared" si="0"/>
        <v>WG01</v>
      </c>
      <c r="B12" t="s">
        <v>136</v>
      </c>
      <c r="C12" t="s">
        <v>260</v>
      </c>
      <c r="D12" s="7"/>
      <c r="E12" s="7"/>
      <c r="G12" t="s">
        <v>1938</v>
      </c>
      <c r="H12" t="str" cm="1">
        <f t="array" ref="H12">IFERROR(_xlfn.IFS(B12="","",AND(B12="",G12=""),"",G12="","記載要"),"")</f>
        <v/>
      </c>
      <c r="I12" t="s">
        <v>115</v>
      </c>
      <c r="J12" t="s">
        <v>115</v>
      </c>
      <c r="K12" t="str">
        <f t="shared" si="1"/>
        <v>11WP00997406</v>
      </c>
      <c r="L12" s="3" t="str">
        <f t="shared" si="2"/>
        <v>2001/01/01</v>
      </c>
      <c r="M12" s="3" t="str">
        <f t="shared" si="3"/>
        <v>2199/12/31</v>
      </c>
      <c r="N12" t="str">
        <f t="shared" si="4"/>
        <v>11WP00997406</v>
      </c>
      <c r="O12">
        <v>5</v>
      </c>
      <c r="Q12" t="str" cm="1">
        <f t="array" ref="Q12">_xlfn.IFS(AND(C12="",G12=""),"",LEFT(G12,1)="L","記載要",LEFT(G12,1)="W","",AND(C12,G12=""),"記載要")</f>
        <v/>
      </c>
      <c r="R12" s="21" t="str">
        <f t="shared" si="9"/>
        <v/>
      </c>
      <c r="S12" s="21"/>
      <c r="AA12">
        <v>1</v>
      </c>
      <c r="AB12">
        <f t="shared" si="5"/>
        <v>0</v>
      </c>
      <c r="AC12">
        <v>1</v>
      </c>
      <c r="AD12" t="s">
        <v>115</v>
      </c>
      <c r="AE12" t="s">
        <v>115</v>
      </c>
      <c r="AF12">
        <v>1</v>
      </c>
      <c r="AG12" t="s">
        <v>115</v>
      </c>
      <c r="AH12" t="s">
        <v>115</v>
      </c>
      <c r="AI12" t="s">
        <v>115</v>
      </c>
      <c r="AJ12" t="s">
        <v>115</v>
      </c>
      <c r="AK12" cm="1">
        <f t="array" ref="AK12">_xlfn.IFS(B12="","",LEFT(G12,1)="L",1,LEFT(G12,1)="W",1,AND(LEFT(B12,1)="H",G12=""),0)</f>
        <v>1</v>
      </c>
      <c r="AL12" t="s">
        <v>115</v>
      </c>
      <c r="AM12" t="s">
        <v>115</v>
      </c>
      <c r="AN12" t="s">
        <v>115</v>
      </c>
      <c r="AO12" t="s">
        <v>115</v>
      </c>
      <c r="AP12" t="s">
        <v>115</v>
      </c>
      <c r="AQ12" t="s">
        <v>115</v>
      </c>
      <c r="AR12" t="s">
        <v>115</v>
      </c>
      <c r="AS12" t="str">
        <f t="shared" si="6"/>
        <v/>
      </c>
      <c r="AT12" t="s">
        <v>115</v>
      </c>
      <c r="AU12" t="str">
        <f t="shared" si="7"/>
        <v>0</v>
      </c>
      <c r="AV12" t="s">
        <v>115</v>
      </c>
      <c r="AW12" t="s">
        <v>115</v>
      </c>
      <c r="AX12" t="s">
        <v>115</v>
      </c>
      <c r="AY12" t="s">
        <v>115</v>
      </c>
      <c r="AZ12" t="s">
        <v>115</v>
      </c>
      <c r="BA12" t="s">
        <v>115</v>
      </c>
      <c r="BB12" t="s">
        <v>115</v>
      </c>
      <c r="BC12" t="s">
        <v>115</v>
      </c>
      <c r="BD12" t="str">
        <f t="shared" si="8"/>
        <v>0</v>
      </c>
      <c r="BE12" t="s">
        <v>115</v>
      </c>
      <c r="BF12" t="s">
        <v>115</v>
      </c>
      <c r="BG12" t="s">
        <v>115</v>
      </c>
      <c r="BH12" t="s">
        <v>115</v>
      </c>
      <c r="BI12" t="s">
        <v>115</v>
      </c>
      <c r="BJ12" t="s">
        <v>115</v>
      </c>
      <c r="BK12" t="str">
        <f>IFERROR(VLOOKUP(B12,'[1]model_S-フレーム'!$F$5:$R$7000,13,1),"")</f>
        <v>E356750_01</v>
      </c>
      <c r="BL12" s="7">
        <f>IFERROR(VLOOKUP(B12,'[1]model_S-フレーム'!$F$5:$V$7000,17,1),"")</f>
        <v>0</v>
      </c>
      <c r="BM12" t="str" cm="1">
        <f t="array" ref="BM12">_xlfn.IFS(LEFT(G12,1)="L","外注品",LEFT(G12,1)="W","内製品",G12="","購買品")</f>
        <v>内製品</v>
      </c>
    </row>
    <row r="13" spans="1:65">
      <c r="A13" t="str">
        <f t="shared" si="0"/>
        <v>WG01</v>
      </c>
      <c r="B13" t="s">
        <v>137</v>
      </c>
      <c r="C13" t="s">
        <v>260</v>
      </c>
      <c r="D13" s="7"/>
      <c r="E13" s="7"/>
      <c r="G13" t="s">
        <v>1938</v>
      </c>
      <c r="H13" t="str" cm="1">
        <f t="array" ref="H13">IFERROR(_xlfn.IFS(B13="","",AND(B13="",G13=""),"",G13="","記載要"),"")</f>
        <v/>
      </c>
      <c r="I13" t="s">
        <v>115</v>
      </c>
      <c r="J13" t="s">
        <v>115</v>
      </c>
      <c r="K13" t="str">
        <f t="shared" si="1"/>
        <v>11WP00997407</v>
      </c>
      <c r="L13" s="3" t="str">
        <f t="shared" si="2"/>
        <v>2001/01/01</v>
      </c>
      <c r="M13" s="3" t="str">
        <f t="shared" si="3"/>
        <v>2199/12/31</v>
      </c>
      <c r="N13" t="str">
        <f t="shared" si="4"/>
        <v>11WP00997407</v>
      </c>
      <c r="O13">
        <v>5</v>
      </c>
      <c r="Q13" t="str" cm="1">
        <f t="array" ref="Q13">_xlfn.IFS(AND(C13="",G13=""),"",LEFT(G13,1)="L","記載要",LEFT(G13,1)="W","",AND(C13,G13=""),"記載要")</f>
        <v/>
      </c>
      <c r="R13" s="21" t="str">
        <f t="shared" si="9"/>
        <v/>
      </c>
      <c r="S13" s="21"/>
      <c r="AA13">
        <v>1</v>
      </c>
      <c r="AB13">
        <f t="shared" si="5"/>
        <v>0</v>
      </c>
      <c r="AC13">
        <v>1</v>
      </c>
      <c r="AD13" t="s">
        <v>115</v>
      </c>
      <c r="AE13" t="s">
        <v>115</v>
      </c>
      <c r="AF13">
        <v>1</v>
      </c>
      <c r="AG13" t="s">
        <v>115</v>
      </c>
      <c r="AH13" t="s">
        <v>115</v>
      </c>
      <c r="AI13" t="s">
        <v>115</v>
      </c>
      <c r="AJ13" t="s">
        <v>115</v>
      </c>
      <c r="AK13" cm="1">
        <f t="array" ref="AK13">_xlfn.IFS(B13="","",LEFT(G13,1)="L",1,LEFT(G13,1)="W",1,AND(LEFT(B13,1)="H",G13=""),0)</f>
        <v>1</v>
      </c>
      <c r="AL13" t="s">
        <v>115</v>
      </c>
      <c r="AM13" t="s">
        <v>115</v>
      </c>
      <c r="AN13" t="s">
        <v>115</v>
      </c>
      <c r="AO13" t="s">
        <v>115</v>
      </c>
      <c r="AP13" t="s">
        <v>115</v>
      </c>
      <c r="AQ13" t="s">
        <v>115</v>
      </c>
      <c r="AR13" t="s">
        <v>115</v>
      </c>
      <c r="AS13" t="str">
        <f t="shared" si="6"/>
        <v/>
      </c>
      <c r="AT13" t="s">
        <v>115</v>
      </c>
      <c r="AU13" t="str">
        <f t="shared" si="7"/>
        <v>0</v>
      </c>
      <c r="AV13" t="s">
        <v>115</v>
      </c>
      <c r="AW13" t="s">
        <v>115</v>
      </c>
      <c r="AX13" t="s">
        <v>115</v>
      </c>
      <c r="AY13" t="s">
        <v>115</v>
      </c>
      <c r="AZ13" t="s">
        <v>115</v>
      </c>
      <c r="BA13" t="s">
        <v>115</v>
      </c>
      <c r="BB13" t="s">
        <v>115</v>
      </c>
      <c r="BC13" t="s">
        <v>115</v>
      </c>
      <c r="BD13" t="str">
        <f t="shared" si="8"/>
        <v>0</v>
      </c>
      <c r="BE13" t="s">
        <v>115</v>
      </c>
      <c r="BF13" t="s">
        <v>115</v>
      </c>
      <c r="BG13" t="s">
        <v>115</v>
      </c>
      <c r="BH13" t="s">
        <v>115</v>
      </c>
      <c r="BI13" t="s">
        <v>115</v>
      </c>
      <c r="BJ13" t="s">
        <v>115</v>
      </c>
      <c r="BK13" t="str">
        <f>IFERROR(VLOOKUP(B13,'[1]model_S-フレーム'!$F$5:$R$7000,13,1),"")</f>
        <v>E356750_01</v>
      </c>
      <c r="BL13" s="7">
        <f>IFERROR(VLOOKUP(B13,'[1]model_S-フレーム'!$F$5:$V$7000,17,1),"")</f>
        <v>0</v>
      </c>
      <c r="BM13" t="str" cm="1">
        <f t="array" ref="BM13">_xlfn.IFS(LEFT(G13,1)="L","外注品",LEFT(G13,1)="W","内製品",G13="","購買品")</f>
        <v>内製品</v>
      </c>
    </row>
    <row r="14" spans="1:65">
      <c r="A14" t="str">
        <f t="shared" si="0"/>
        <v>WG01</v>
      </c>
      <c r="B14" t="s">
        <v>138</v>
      </c>
      <c r="C14" t="s">
        <v>260</v>
      </c>
      <c r="D14" s="7"/>
      <c r="E14" s="7"/>
      <c r="G14" t="s">
        <v>1938</v>
      </c>
      <c r="H14" t="str" cm="1">
        <f t="array" ref="H14">IFERROR(_xlfn.IFS(B14="","",AND(B14="",G14=""),"",G14="","記載要"),"")</f>
        <v/>
      </c>
      <c r="I14" t="s">
        <v>115</v>
      </c>
      <c r="J14" t="s">
        <v>115</v>
      </c>
      <c r="K14" t="str">
        <f t="shared" si="1"/>
        <v>11WP00997408</v>
      </c>
      <c r="L14" s="3" t="str">
        <f t="shared" si="2"/>
        <v>2001/01/01</v>
      </c>
      <c r="M14" s="3" t="str">
        <f t="shared" si="3"/>
        <v>2199/12/31</v>
      </c>
      <c r="N14" t="str">
        <f t="shared" si="4"/>
        <v>11WP00997408</v>
      </c>
      <c r="O14">
        <v>5</v>
      </c>
      <c r="Q14" t="str" cm="1">
        <f t="array" ref="Q14">_xlfn.IFS(AND(C14="",G14=""),"",LEFT(G14,1)="L","記載要",LEFT(G14,1)="W","",AND(C14,G14=""),"記載要")</f>
        <v/>
      </c>
      <c r="R14" s="21" t="str">
        <f t="shared" si="9"/>
        <v/>
      </c>
      <c r="S14" s="21"/>
      <c r="AA14">
        <v>1</v>
      </c>
      <c r="AB14">
        <f t="shared" si="5"/>
        <v>0</v>
      </c>
      <c r="AC14">
        <v>1</v>
      </c>
      <c r="AD14" t="s">
        <v>115</v>
      </c>
      <c r="AE14" t="s">
        <v>115</v>
      </c>
      <c r="AF14">
        <v>1</v>
      </c>
      <c r="AG14" t="s">
        <v>115</v>
      </c>
      <c r="AH14" t="s">
        <v>115</v>
      </c>
      <c r="AI14" t="s">
        <v>115</v>
      </c>
      <c r="AJ14" t="s">
        <v>115</v>
      </c>
      <c r="AK14" cm="1">
        <f t="array" ref="AK14">_xlfn.IFS(B14="","",LEFT(G14,1)="L",1,LEFT(G14,1)="W",1,AND(LEFT(B14,1)="H",G14=""),0)</f>
        <v>1</v>
      </c>
      <c r="AL14" t="s">
        <v>115</v>
      </c>
      <c r="AM14" t="s">
        <v>115</v>
      </c>
      <c r="AN14" t="s">
        <v>115</v>
      </c>
      <c r="AO14" t="s">
        <v>115</v>
      </c>
      <c r="AP14" t="s">
        <v>115</v>
      </c>
      <c r="AQ14" t="s">
        <v>115</v>
      </c>
      <c r="AR14" t="s">
        <v>115</v>
      </c>
      <c r="AS14" t="str">
        <f t="shared" si="6"/>
        <v/>
      </c>
      <c r="AT14" t="s">
        <v>115</v>
      </c>
      <c r="AU14" t="str">
        <f t="shared" si="7"/>
        <v>0</v>
      </c>
      <c r="AV14" t="s">
        <v>115</v>
      </c>
      <c r="AW14" t="s">
        <v>115</v>
      </c>
      <c r="AX14" t="s">
        <v>115</v>
      </c>
      <c r="AY14" t="s">
        <v>115</v>
      </c>
      <c r="AZ14" t="s">
        <v>115</v>
      </c>
      <c r="BA14" t="s">
        <v>115</v>
      </c>
      <c r="BB14" t="s">
        <v>115</v>
      </c>
      <c r="BC14" t="s">
        <v>115</v>
      </c>
      <c r="BD14" t="str">
        <f t="shared" si="8"/>
        <v>0</v>
      </c>
      <c r="BE14" t="s">
        <v>115</v>
      </c>
      <c r="BF14" t="s">
        <v>115</v>
      </c>
      <c r="BG14" t="s">
        <v>115</v>
      </c>
      <c r="BH14" t="s">
        <v>115</v>
      </c>
      <c r="BI14" t="s">
        <v>115</v>
      </c>
      <c r="BJ14" t="s">
        <v>115</v>
      </c>
      <c r="BK14" t="str">
        <f>IFERROR(VLOOKUP(B14,'[1]model_S-フレーム'!$F$5:$R$7000,13,1),"")</f>
        <v>E356750_01</v>
      </c>
      <c r="BL14" s="7">
        <f>IFERROR(VLOOKUP(B14,'[1]model_S-フレーム'!$F$5:$V$7000,17,1),"")</f>
        <v>0</v>
      </c>
      <c r="BM14" t="str" cm="1">
        <f t="array" ref="BM14">_xlfn.IFS(LEFT(G14,1)="L","外注品",LEFT(G14,1)="W","内製品",G14="","購買品")</f>
        <v>内製品</v>
      </c>
    </row>
    <row r="15" spans="1:65">
      <c r="A15" t="str">
        <f t="shared" si="0"/>
        <v>WG01</v>
      </c>
      <c r="B15" t="s">
        <v>139</v>
      </c>
      <c r="C15" t="s">
        <v>261</v>
      </c>
      <c r="D15" s="7"/>
      <c r="E15" s="7"/>
      <c r="G15" t="s">
        <v>1938</v>
      </c>
      <c r="H15" t="str" cm="1">
        <f t="array" ref="H15">IFERROR(_xlfn.IFS(B15="","",AND(B15="",G15=""),"",G15="","記載要"),"")</f>
        <v/>
      </c>
      <c r="I15" t="s">
        <v>115</v>
      </c>
      <c r="J15" t="s">
        <v>115</v>
      </c>
      <c r="K15" t="str">
        <f t="shared" si="1"/>
        <v>11WP00997409</v>
      </c>
      <c r="L15" s="3" t="str">
        <f t="shared" si="2"/>
        <v>2001/01/01</v>
      </c>
      <c r="M15" s="3" t="str">
        <f t="shared" si="3"/>
        <v>2199/12/31</v>
      </c>
      <c r="N15" t="str">
        <f t="shared" si="4"/>
        <v>11WP00997409</v>
      </c>
      <c r="O15">
        <v>5</v>
      </c>
      <c r="Q15" t="str" cm="1">
        <f t="array" ref="Q15">_xlfn.IFS(AND(C15="",G15=""),"",LEFT(G15,1)="L","記載要",LEFT(G15,1)="W","",AND(C15,G15=""),"記載要")</f>
        <v/>
      </c>
      <c r="R15" s="21" t="str">
        <f t="shared" si="9"/>
        <v/>
      </c>
      <c r="S15" s="21"/>
      <c r="AA15">
        <v>1</v>
      </c>
      <c r="AB15">
        <f t="shared" si="5"/>
        <v>0</v>
      </c>
      <c r="AC15">
        <v>1</v>
      </c>
      <c r="AD15" t="s">
        <v>115</v>
      </c>
      <c r="AE15" t="s">
        <v>115</v>
      </c>
      <c r="AF15">
        <v>1</v>
      </c>
      <c r="AG15" t="s">
        <v>115</v>
      </c>
      <c r="AH15" t="s">
        <v>115</v>
      </c>
      <c r="AI15" t="s">
        <v>115</v>
      </c>
      <c r="AJ15" t="s">
        <v>115</v>
      </c>
      <c r="AK15" cm="1">
        <f t="array" ref="AK15">_xlfn.IFS(B15="","",LEFT(G15,1)="L",1,LEFT(G15,1)="W",1,AND(LEFT(B15,1)="H",G15=""),0)</f>
        <v>1</v>
      </c>
      <c r="AL15" t="s">
        <v>115</v>
      </c>
      <c r="AM15" t="s">
        <v>115</v>
      </c>
      <c r="AN15" t="s">
        <v>115</v>
      </c>
      <c r="AO15" t="s">
        <v>115</v>
      </c>
      <c r="AP15" t="s">
        <v>115</v>
      </c>
      <c r="AQ15" t="s">
        <v>115</v>
      </c>
      <c r="AR15" t="s">
        <v>115</v>
      </c>
      <c r="AS15" t="str">
        <f t="shared" si="6"/>
        <v/>
      </c>
      <c r="AT15" t="s">
        <v>115</v>
      </c>
      <c r="AU15" t="str">
        <f t="shared" si="7"/>
        <v>0</v>
      </c>
      <c r="AV15" t="s">
        <v>115</v>
      </c>
      <c r="AW15" t="s">
        <v>115</v>
      </c>
      <c r="AX15" t="s">
        <v>115</v>
      </c>
      <c r="AY15" t="s">
        <v>115</v>
      </c>
      <c r="AZ15" t="s">
        <v>115</v>
      </c>
      <c r="BA15" t="s">
        <v>115</v>
      </c>
      <c r="BB15" t="s">
        <v>115</v>
      </c>
      <c r="BC15" t="s">
        <v>115</v>
      </c>
      <c r="BD15" t="str">
        <f t="shared" si="8"/>
        <v>0</v>
      </c>
      <c r="BE15" t="s">
        <v>115</v>
      </c>
      <c r="BF15" t="s">
        <v>115</v>
      </c>
      <c r="BG15" t="s">
        <v>115</v>
      </c>
      <c r="BH15" t="s">
        <v>115</v>
      </c>
      <c r="BI15" t="s">
        <v>115</v>
      </c>
      <c r="BJ15" t="s">
        <v>115</v>
      </c>
      <c r="BK15" t="str">
        <f>IFERROR(VLOOKUP(B15,'[1]model_S-フレーム'!$F$5:$R$7000,13,1),"")</f>
        <v>E356750_01</v>
      </c>
      <c r="BL15" s="7">
        <f>IFERROR(VLOOKUP(B15,'[1]model_S-フレーム'!$F$5:$V$7000,17,1),"")</f>
        <v>0</v>
      </c>
      <c r="BM15" t="str" cm="1">
        <f t="array" ref="BM15">_xlfn.IFS(LEFT(G15,1)="L","外注品",LEFT(G15,1)="W","内製品",G15="","購買品")</f>
        <v>内製品</v>
      </c>
    </row>
    <row r="16" spans="1:65">
      <c r="A16" t="str">
        <f t="shared" si="0"/>
        <v>WG01</v>
      </c>
      <c r="B16" t="s">
        <v>140</v>
      </c>
      <c r="C16" t="s">
        <v>261</v>
      </c>
      <c r="D16" s="7"/>
      <c r="E16" s="7"/>
      <c r="G16" t="s">
        <v>1938</v>
      </c>
      <c r="H16" t="str" cm="1">
        <f t="array" ref="H16">IFERROR(_xlfn.IFS(B16="","",AND(B16="",G16=""),"",G16="","記載要"),"")</f>
        <v/>
      </c>
      <c r="I16" t="s">
        <v>115</v>
      </c>
      <c r="J16" t="s">
        <v>115</v>
      </c>
      <c r="K16" t="str">
        <f t="shared" si="1"/>
        <v>11WP00997410</v>
      </c>
      <c r="L16" s="3" t="str">
        <f t="shared" si="2"/>
        <v>2001/01/01</v>
      </c>
      <c r="M16" s="3" t="str">
        <f t="shared" si="3"/>
        <v>2199/12/31</v>
      </c>
      <c r="N16" t="str">
        <f t="shared" si="4"/>
        <v>11WP00997410</v>
      </c>
      <c r="O16">
        <v>5</v>
      </c>
      <c r="Q16" t="str" cm="1">
        <f t="array" ref="Q16">_xlfn.IFS(AND(C16="",G16=""),"",LEFT(G16,1)="L","記載要",LEFT(G16,1)="W","",AND(C16,G16=""),"記載要")</f>
        <v/>
      </c>
      <c r="R16" s="21" t="str">
        <f t="shared" si="9"/>
        <v/>
      </c>
      <c r="S16" s="21"/>
      <c r="AA16">
        <v>1</v>
      </c>
      <c r="AB16">
        <f t="shared" si="5"/>
        <v>0</v>
      </c>
      <c r="AC16">
        <v>1</v>
      </c>
      <c r="AD16" t="s">
        <v>115</v>
      </c>
      <c r="AE16" t="s">
        <v>115</v>
      </c>
      <c r="AF16">
        <v>1</v>
      </c>
      <c r="AG16" t="s">
        <v>115</v>
      </c>
      <c r="AH16" t="s">
        <v>115</v>
      </c>
      <c r="AI16" t="s">
        <v>115</v>
      </c>
      <c r="AJ16" t="s">
        <v>115</v>
      </c>
      <c r="AK16" cm="1">
        <f t="array" ref="AK16">_xlfn.IFS(B16="","",LEFT(G16,1)="L",1,LEFT(G16,1)="W",1,AND(LEFT(B16,1)="H",G16=""),0)</f>
        <v>1</v>
      </c>
      <c r="AL16" t="s">
        <v>115</v>
      </c>
      <c r="AM16" t="s">
        <v>115</v>
      </c>
      <c r="AN16" t="s">
        <v>115</v>
      </c>
      <c r="AO16" t="s">
        <v>115</v>
      </c>
      <c r="AP16" t="s">
        <v>115</v>
      </c>
      <c r="AQ16" t="s">
        <v>115</v>
      </c>
      <c r="AR16" t="s">
        <v>115</v>
      </c>
      <c r="AS16" t="str">
        <f t="shared" si="6"/>
        <v/>
      </c>
      <c r="AT16" t="s">
        <v>115</v>
      </c>
      <c r="AU16" t="str">
        <f t="shared" si="7"/>
        <v>0</v>
      </c>
      <c r="AV16" t="s">
        <v>115</v>
      </c>
      <c r="AW16" t="s">
        <v>115</v>
      </c>
      <c r="AX16" t="s">
        <v>115</v>
      </c>
      <c r="AY16" t="s">
        <v>115</v>
      </c>
      <c r="AZ16" t="s">
        <v>115</v>
      </c>
      <c r="BA16" t="s">
        <v>115</v>
      </c>
      <c r="BB16" t="s">
        <v>115</v>
      </c>
      <c r="BC16" t="s">
        <v>115</v>
      </c>
      <c r="BD16" t="str">
        <f t="shared" si="8"/>
        <v>0</v>
      </c>
      <c r="BE16" t="s">
        <v>115</v>
      </c>
      <c r="BF16" t="s">
        <v>115</v>
      </c>
      <c r="BG16" t="s">
        <v>115</v>
      </c>
      <c r="BH16" t="s">
        <v>115</v>
      </c>
      <c r="BI16" t="s">
        <v>115</v>
      </c>
      <c r="BJ16" t="s">
        <v>115</v>
      </c>
      <c r="BK16" t="str">
        <f>IFERROR(VLOOKUP(B16,'[1]model_S-フレーム'!$F$5:$R$7000,13,1),"")</f>
        <v>E356750_01</v>
      </c>
      <c r="BL16" s="7">
        <f>IFERROR(VLOOKUP(B16,'[1]model_S-フレーム'!$F$5:$V$7000,17,1),"")</f>
        <v>0</v>
      </c>
      <c r="BM16" t="str" cm="1">
        <f t="array" ref="BM16">_xlfn.IFS(LEFT(G16,1)="L","外注品",LEFT(G16,1)="W","内製品",G16="","購買品")</f>
        <v>内製品</v>
      </c>
    </row>
    <row r="17" spans="1:65">
      <c r="A17" t="str">
        <f t="shared" si="0"/>
        <v>WG01</v>
      </c>
      <c r="B17" t="s">
        <v>141</v>
      </c>
      <c r="C17" t="s">
        <v>261</v>
      </c>
      <c r="D17" s="7"/>
      <c r="E17" s="7"/>
      <c r="G17" t="s">
        <v>1938</v>
      </c>
      <c r="H17" t="str" cm="1">
        <f t="array" ref="H17">IFERROR(_xlfn.IFS(B17="","",AND(B17="",G17=""),"",G17="","記載要"),"")</f>
        <v/>
      </c>
      <c r="I17" t="s">
        <v>115</v>
      </c>
      <c r="J17" t="s">
        <v>115</v>
      </c>
      <c r="K17" t="str">
        <f t="shared" si="1"/>
        <v>11WP00997411</v>
      </c>
      <c r="L17" s="3" t="str">
        <f t="shared" si="2"/>
        <v>2001/01/01</v>
      </c>
      <c r="M17" s="3" t="str">
        <f t="shared" si="3"/>
        <v>2199/12/31</v>
      </c>
      <c r="N17" t="str">
        <f t="shared" si="4"/>
        <v>11WP00997411</v>
      </c>
      <c r="O17">
        <v>5</v>
      </c>
      <c r="Q17" t="str" cm="1">
        <f t="array" ref="Q17">_xlfn.IFS(AND(C17="",G17=""),"",LEFT(G17,1)="L","記載要",LEFT(G17,1)="W","",AND(C17,G17=""),"記載要")</f>
        <v/>
      </c>
      <c r="R17" s="21" t="str">
        <f t="shared" si="9"/>
        <v/>
      </c>
      <c r="S17" s="21"/>
      <c r="AA17">
        <v>1</v>
      </c>
      <c r="AB17">
        <f t="shared" si="5"/>
        <v>0</v>
      </c>
      <c r="AC17">
        <v>1</v>
      </c>
      <c r="AD17" t="s">
        <v>115</v>
      </c>
      <c r="AE17" t="s">
        <v>115</v>
      </c>
      <c r="AF17">
        <v>1</v>
      </c>
      <c r="AG17" t="s">
        <v>115</v>
      </c>
      <c r="AH17" t="s">
        <v>115</v>
      </c>
      <c r="AI17" t="s">
        <v>115</v>
      </c>
      <c r="AJ17" t="s">
        <v>115</v>
      </c>
      <c r="AK17" cm="1">
        <f t="array" ref="AK17">_xlfn.IFS(B17="","",LEFT(G17,1)="L",1,LEFT(G17,1)="W",1,AND(LEFT(B17,1)="H",G17=""),0)</f>
        <v>1</v>
      </c>
      <c r="AL17" t="s">
        <v>115</v>
      </c>
      <c r="AM17" t="s">
        <v>115</v>
      </c>
      <c r="AN17" t="s">
        <v>115</v>
      </c>
      <c r="AO17" t="s">
        <v>115</v>
      </c>
      <c r="AP17" t="s">
        <v>115</v>
      </c>
      <c r="AQ17" t="s">
        <v>115</v>
      </c>
      <c r="AR17" t="s">
        <v>115</v>
      </c>
      <c r="AS17" t="str">
        <f t="shared" si="6"/>
        <v/>
      </c>
      <c r="AT17" t="s">
        <v>115</v>
      </c>
      <c r="AU17" t="str">
        <f t="shared" si="7"/>
        <v>0</v>
      </c>
      <c r="AV17" t="s">
        <v>115</v>
      </c>
      <c r="AW17" t="s">
        <v>115</v>
      </c>
      <c r="AX17" t="s">
        <v>115</v>
      </c>
      <c r="AY17" t="s">
        <v>115</v>
      </c>
      <c r="AZ17" t="s">
        <v>115</v>
      </c>
      <c r="BA17" t="s">
        <v>115</v>
      </c>
      <c r="BB17" t="s">
        <v>115</v>
      </c>
      <c r="BC17" t="s">
        <v>115</v>
      </c>
      <c r="BD17" t="str">
        <f t="shared" si="8"/>
        <v>0</v>
      </c>
      <c r="BE17" t="s">
        <v>115</v>
      </c>
      <c r="BF17" t="s">
        <v>115</v>
      </c>
      <c r="BG17" t="s">
        <v>115</v>
      </c>
      <c r="BH17" t="s">
        <v>115</v>
      </c>
      <c r="BI17" t="s">
        <v>115</v>
      </c>
      <c r="BJ17" t="s">
        <v>115</v>
      </c>
      <c r="BK17" t="str">
        <f>IFERROR(VLOOKUP(B17,'[1]model_S-フレーム'!$F$5:$R$7000,13,1),"")</f>
        <v>E356750_01</v>
      </c>
      <c r="BL17" s="7">
        <f>IFERROR(VLOOKUP(B17,'[1]model_S-フレーム'!$F$5:$V$7000,17,1),"")</f>
        <v>0</v>
      </c>
      <c r="BM17" t="str" cm="1">
        <f t="array" ref="BM17">_xlfn.IFS(LEFT(G17,1)="L","外注品",LEFT(G17,1)="W","内製品",G17="","購買品")</f>
        <v>内製品</v>
      </c>
    </row>
    <row r="18" spans="1:65">
      <c r="A18" t="str">
        <f t="shared" si="0"/>
        <v>WG01</v>
      </c>
      <c r="B18" t="s">
        <v>142</v>
      </c>
      <c r="C18" t="s">
        <v>261</v>
      </c>
      <c r="D18" s="7"/>
      <c r="E18" s="7"/>
      <c r="G18" t="s">
        <v>1938</v>
      </c>
      <c r="H18" t="str" cm="1">
        <f t="array" ref="H18">IFERROR(_xlfn.IFS(B18="","",AND(B18="",G18=""),"",G18="","記載要"),"")</f>
        <v/>
      </c>
      <c r="I18" t="s">
        <v>115</v>
      </c>
      <c r="J18" t="s">
        <v>115</v>
      </c>
      <c r="K18" t="str">
        <f t="shared" si="1"/>
        <v>11WP00997412</v>
      </c>
      <c r="L18" s="3" t="str">
        <f t="shared" si="2"/>
        <v>2001/01/01</v>
      </c>
      <c r="M18" s="3" t="str">
        <f t="shared" si="3"/>
        <v>2199/12/31</v>
      </c>
      <c r="N18" t="str">
        <f t="shared" si="4"/>
        <v>11WP00997412</v>
      </c>
      <c r="O18">
        <v>5</v>
      </c>
      <c r="Q18" t="str" cm="1">
        <f t="array" ref="Q18">_xlfn.IFS(AND(C18="",G18=""),"",LEFT(G18,1)="L","記載要",LEFT(G18,1)="W","",AND(C18,G18=""),"記載要")</f>
        <v/>
      </c>
      <c r="R18" s="21" t="str">
        <f t="shared" si="9"/>
        <v/>
      </c>
      <c r="S18" s="21"/>
      <c r="AA18">
        <v>1</v>
      </c>
      <c r="AB18">
        <f t="shared" si="5"/>
        <v>0</v>
      </c>
      <c r="AC18">
        <v>1</v>
      </c>
      <c r="AD18" t="s">
        <v>115</v>
      </c>
      <c r="AE18" t="s">
        <v>115</v>
      </c>
      <c r="AF18">
        <v>1</v>
      </c>
      <c r="AG18" t="s">
        <v>115</v>
      </c>
      <c r="AH18" t="s">
        <v>115</v>
      </c>
      <c r="AI18" t="s">
        <v>115</v>
      </c>
      <c r="AJ18" t="s">
        <v>115</v>
      </c>
      <c r="AK18" cm="1">
        <f t="array" ref="AK18">_xlfn.IFS(B18="","",LEFT(G18,1)="L",1,LEFT(G18,1)="W",1,AND(LEFT(B18,1)="H",G18=""),0)</f>
        <v>1</v>
      </c>
      <c r="AL18" t="s">
        <v>115</v>
      </c>
      <c r="AM18" t="s">
        <v>115</v>
      </c>
      <c r="AN18" t="s">
        <v>115</v>
      </c>
      <c r="AO18" t="s">
        <v>115</v>
      </c>
      <c r="AP18" t="s">
        <v>115</v>
      </c>
      <c r="AQ18" t="s">
        <v>115</v>
      </c>
      <c r="AR18" t="s">
        <v>115</v>
      </c>
      <c r="AS18" t="str">
        <f t="shared" si="6"/>
        <v/>
      </c>
      <c r="AT18" t="s">
        <v>115</v>
      </c>
      <c r="AU18" t="str">
        <f t="shared" si="7"/>
        <v>0</v>
      </c>
      <c r="AV18" t="s">
        <v>115</v>
      </c>
      <c r="AW18" t="s">
        <v>115</v>
      </c>
      <c r="AX18" t="s">
        <v>115</v>
      </c>
      <c r="AY18" t="s">
        <v>115</v>
      </c>
      <c r="AZ18" t="s">
        <v>115</v>
      </c>
      <c r="BA18" t="s">
        <v>115</v>
      </c>
      <c r="BB18" t="s">
        <v>115</v>
      </c>
      <c r="BC18" t="s">
        <v>115</v>
      </c>
      <c r="BD18" t="str">
        <f t="shared" si="8"/>
        <v>0</v>
      </c>
      <c r="BE18" t="s">
        <v>115</v>
      </c>
      <c r="BF18" t="s">
        <v>115</v>
      </c>
      <c r="BG18" t="s">
        <v>115</v>
      </c>
      <c r="BH18" t="s">
        <v>115</v>
      </c>
      <c r="BI18" t="s">
        <v>115</v>
      </c>
      <c r="BJ18" t="s">
        <v>115</v>
      </c>
      <c r="BK18" t="str">
        <f>IFERROR(VLOOKUP(B18,'[1]model_S-フレーム'!$F$5:$R$7000,13,1),"")</f>
        <v>E356750_01</v>
      </c>
      <c r="BL18" s="7">
        <f>IFERROR(VLOOKUP(B18,'[1]model_S-フレーム'!$F$5:$V$7000,17,1),"")</f>
        <v>0</v>
      </c>
      <c r="BM18" t="str" cm="1">
        <f t="array" ref="BM18">_xlfn.IFS(LEFT(G18,1)="L","外注品",LEFT(G18,1)="W","内製品",G18="","購買品")</f>
        <v>内製品</v>
      </c>
    </row>
    <row r="19" spans="1:65">
      <c r="A19" t="str">
        <f t="shared" si="0"/>
        <v>WG01</v>
      </c>
      <c r="B19" t="s">
        <v>143</v>
      </c>
      <c r="C19" t="s">
        <v>262</v>
      </c>
      <c r="D19" s="7"/>
      <c r="E19" s="7"/>
      <c r="G19" t="s">
        <v>1938</v>
      </c>
      <c r="H19" t="str" cm="1">
        <f t="array" ref="H19">IFERROR(_xlfn.IFS(B19="","",AND(B19="",G19=""),"",G19="","記載要"),"")</f>
        <v/>
      </c>
      <c r="K19" t="str">
        <f t="shared" si="1"/>
        <v>11WP00997413</v>
      </c>
      <c r="L19" s="3" t="str">
        <f t="shared" si="2"/>
        <v>2001/01/01</v>
      </c>
      <c r="M19" s="3" t="str">
        <f t="shared" si="3"/>
        <v>2199/12/31</v>
      </c>
      <c r="N19" t="str">
        <f t="shared" si="4"/>
        <v>11WP00997413</v>
      </c>
      <c r="O19">
        <v>5</v>
      </c>
      <c r="Q19" t="str" cm="1">
        <f t="array" ref="Q19">_xlfn.IFS(AND(C19="",G19=""),"",LEFT(G19,1)="L","記載要",LEFT(G19,1)="W","",AND(C19,G19=""),"記載要")</f>
        <v/>
      </c>
      <c r="R19" s="21" t="str">
        <f t="shared" si="9"/>
        <v/>
      </c>
      <c r="S19" s="21"/>
      <c r="Z19" s="8"/>
      <c r="AA19">
        <v>1</v>
      </c>
      <c r="AB19">
        <f t="shared" si="5"/>
        <v>0</v>
      </c>
      <c r="AC19">
        <v>1</v>
      </c>
      <c r="AF19">
        <v>1</v>
      </c>
      <c r="AG19" s="8"/>
      <c r="AH19" s="8"/>
      <c r="AK19" cm="1">
        <f t="array" ref="AK19">_xlfn.IFS(B19="","",LEFT(G19,1)="L",1,LEFT(G19,1)="W",1,AND(LEFT(B19,1)="H",G19=""),0)</f>
        <v>1</v>
      </c>
      <c r="AS19" t="str">
        <f t="shared" si="6"/>
        <v/>
      </c>
      <c r="AT19" t="s">
        <v>115</v>
      </c>
      <c r="AU19" t="str">
        <f t="shared" si="7"/>
        <v>0</v>
      </c>
      <c r="BD19" t="str">
        <f t="shared" si="8"/>
        <v>0</v>
      </c>
      <c r="BK19" t="str">
        <f>IFERROR(VLOOKUP(B19,'[1]model_S-フレーム'!$F$5:$R$7000,13,1),"")</f>
        <v>E356750_01</v>
      </c>
      <c r="BL19" s="7">
        <f>IFERROR(VLOOKUP(B19,'[1]model_S-フレーム'!$F$5:$V$7000,17,1),"")</f>
        <v>0</v>
      </c>
      <c r="BM19" t="str" cm="1">
        <f t="array" ref="BM19">_xlfn.IFS(LEFT(G19,1)="L","外注品",LEFT(G19,1)="W","内製品",G19="","購買品")</f>
        <v>内製品</v>
      </c>
    </row>
    <row r="20" spans="1:65">
      <c r="A20" t="str">
        <f t="shared" si="0"/>
        <v>WG01</v>
      </c>
      <c r="B20" t="s">
        <v>144</v>
      </c>
      <c r="C20" t="s">
        <v>262</v>
      </c>
      <c r="D20" s="7"/>
      <c r="E20" s="7"/>
      <c r="G20" t="s">
        <v>1938</v>
      </c>
      <c r="H20" t="str" cm="1">
        <f t="array" ref="H20">IFERROR(_xlfn.IFS(B20="","",AND(B20="",G20=""),"",G20="","記載要"),"")</f>
        <v/>
      </c>
      <c r="K20" t="str">
        <f t="shared" si="1"/>
        <v>11WP00997414</v>
      </c>
      <c r="L20" s="3" t="str">
        <f t="shared" si="2"/>
        <v>2001/01/01</v>
      </c>
      <c r="M20" s="3" t="str">
        <f t="shared" si="3"/>
        <v>2199/12/31</v>
      </c>
      <c r="N20" t="str">
        <f t="shared" si="4"/>
        <v>11WP00997414</v>
      </c>
      <c r="O20">
        <v>5</v>
      </c>
      <c r="Q20" t="str" cm="1">
        <f t="array" ref="Q20">_xlfn.IFS(AND(C20="",G20=""),"",LEFT(G20,1)="L","記載要",LEFT(G20,1)="W","",AND(C20,G20=""),"記載要")</f>
        <v/>
      </c>
      <c r="R20" s="21" t="str">
        <f t="shared" si="9"/>
        <v/>
      </c>
      <c r="S20" s="21"/>
      <c r="U20" s="8"/>
      <c r="Y20" s="8"/>
      <c r="AA20">
        <v>1</v>
      </c>
      <c r="AB20">
        <f t="shared" si="5"/>
        <v>0</v>
      </c>
      <c r="AC20">
        <v>1</v>
      </c>
      <c r="AF20">
        <v>1</v>
      </c>
      <c r="AG20" s="8"/>
      <c r="AH20" s="8"/>
      <c r="AK20" cm="1">
        <f t="array" ref="AK20">_xlfn.IFS(B20="","",LEFT(G20,1)="L",1,LEFT(G20,1)="W",1,AND(LEFT(B20,1)="H",G20=""),0)</f>
        <v>1</v>
      </c>
      <c r="AS20" t="str">
        <f t="shared" si="6"/>
        <v/>
      </c>
      <c r="AT20" t="s">
        <v>115</v>
      </c>
      <c r="AU20" t="str">
        <f t="shared" si="7"/>
        <v>0</v>
      </c>
      <c r="BD20" t="str">
        <f t="shared" si="8"/>
        <v>0</v>
      </c>
      <c r="BK20" t="str">
        <f>IFERROR(VLOOKUP(B20,'[1]model_S-フレーム'!$F$5:$R$7000,13,1),"")</f>
        <v>E356750_01</v>
      </c>
      <c r="BL20" s="7">
        <f>IFERROR(VLOOKUP(B20,'[1]model_S-フレーム'!$F$5:$V$7000,17,1),"")</f>
        <v>0</v>
      </c>
      <c r="BM20" t="str" cm="1">
        <f t="array" ref="BM20">_xlfn.IFS(LEFT(G20,1)="L","外注品",LEFT(G20,1)="W","内製品",G20="","購買品")</f>
        <v>内製品</v>
      </c>
    </row>
    <row r="21" spans="1:65">
      <c r="A21" t="str">
        <f t="shared" si="0"/>
        <v>WG01</v>
      </c>
      <c r="B21" t="s">
        <v>145</v>
      </c>
      <c r="C21" t="s">
        <v>262</v>
      </c>
      <c r="D21" s="7"/>
      <c r="E21" s="7"/>
      <c r="G21" t="s">
        <v>1938</v>
      </c>
      <c r="H21" t="str" cm="1">
        <f t="array" ref="H21">IFERROR(_xlfn.IFS(B21="","",AND(B21="",G21=""),"",G21="","記載要"),"")</f>
        <v/>
      </c>
      <c r="K21" t="str">
        <f t="shared" si="1"/>
        <v>11WP00997415</v>
      </c>
      <c r="L21" s="3" t="str">
        <f t="shared" si="2"/>
        <v>2001/01/01</v>
      </c>
      <c r="M21" s="3" t="str">
        <f t="shared" si="3"/>
        <v>2199/12/31</v>
      </c>
      <c r="N21" t="str">
        <f t="shared" si="4"/>
        <v>11WP00997415</v>
      </c>
      <c r="O21">
        <v>5</v>
      </c>
      <c r="Q21" t="str" cm="1">
        <f t="array" ref="Q21">_xlfn.IFS(AND(C21="",G21=""),"",LEFT(G21,1)="L","記載要",LEFT(G21,1)="W","",AND(C21,G21=""),"記載要")</f>
        <v/>
      </c>
      <c r="R21" s="21" t="str">
        <f t="shared" si="9"/>
        <v/>
      </c>
      <c r="S21" s="21"/>
      <c r="Y21" s="8"/>
      <c r="AA21">
        <v>1</v>
      </c>
      <c r="AB21">
        <f t="shared" si="5"/>
        <v>0</v>
      </c>
      <c r="AC21">
        <v>1</v>
      </c>
      <c r="AF21">
        <v>1</v>
      </c>
      <c r="AG21" s="8"/>
      <c r="AH21" s="8"/>
      <c r="AK21" cm="1">
        <f t="array" ref="AK21">_xlfn.IFS(B21="","",LEFT(G21,1)="L",1,LEFT(G21,1)="W",1,AND(LEFT(B21,1)="H",G21=""),0)</f>
        <v>1</v>
      </c>
      <c r="AS21" t="str">
        <f t="shared" si="6"/>
        <v/>
      </c>
      <c r="AT21" t="s">
        <v>115</v>
      </c>
      <c r="AU21" t="str">
        <f t="shared" si="7"/>
        <v>0</v>
      </c>
      <c r="BD21" t="str">
        <f t="shared" si="8"/>
        <v>0</v>
      </c>
      <c r="BK21" t="str">
        <f>IFERROR(VLOOKUP(B21,'[1]model_S-フレーム'!$F$5:$R$7000,13,1),"")</f>
        <v>E356750_01</v>
      </c>
      <c r="BL21" s="7">
        <f>IFERROR(VLOOKUP(B21,'[1]model_S-フレーム'!$F$5:$V$7000,17,1),"")</f>
        <v>0</v>
      </c>
      <c r="BM21" t="str" cm="1">
        <f t="array" ref="BM21">_xlfn.IFS(LEFT(G21,1)="L","外注品",LEFT(G21,1)="W","内製品",G21="","購買品")</f>
        <v>内製品</v>
      </c>
    </row>
    <row r="22" spans="1:65">
      <c r="A22" t="str">
        <f t="shared" si="0"/>
        <v>WG01</v>
      </c>
      <c r="B22" t="s">
        <v>146</v>
      </c>
      <c r="C22" t="s">
        <v>262</v>
      </c>
      <c r="D22" s="7"/>
      <c r="E22" s="7"/>
      <c r="G22" t="s">
        <v>1938</v>
      </c>
      <c r="H22" t="str" cm="1">
        <f t="array" ref="H22">IFERROR(_xlfn.IFS(B22="","",AND(B22="",G22=""),"",G22="","記載要"),"")</f>
        <v/>
      </c>
      <c r="K22" t="str">
        <f t="shared" si="1"/>
        <v>11WP00997416</v>
      </c>
      <c r="L22" s="3" t="str">
        <f t="shared" si="2"/>
        <v>2001/01/01</v>
      </c>
      <c r="M22" s="3" t="str">
        <f t="shared" si="3"/>
        <v>2199/12/31</v>
      </c>
      <c r="N22" t="str">
        <f t="shared" si="4"/>
        <v>11WP00997416</v>
      </c>
      <c r="O22">
        <v>5</v>
      </c>
      <c r="Q22" t="str" cm="1">
        <f t="array" ref="Q22">_xlfn.IFS(AND(C22="",G22=""),"",LEFT(G22,1)="L","記載要",LEFT(G22,1)="W","",AND(C22,G22=""),"記載要")</f>
        <v/>
      </c>
      <c r="R22" s="21" t="str">
        <f t="shared" si="9"/>
        <v/>
      </c>
      <c r="S22" s="21"/>
      <c r="Y22" s="8"/>
      <c r="AA22">
        <v>1</v>
      </c>
      <c r="AB22">
        <f t="shared" si="5"/>
        <v>0</v>
      </c>
      <c r="AC22">
        <v>1</v>
      </c>
      <c r="AF22">
        <v>1</v>
      </c>
      <c r="AG22" s="8"/>
      <c r="AH22" s="8"/>
      <c r="AK22" cm="1">
        <f t="array" ref="AK22">_xlfn.IFS(B22="","",LEFT(G22,1)="L",1,LEFT(G22,1)="W",1,AND(LEFT(B22,1)="H",G22=""),0)</f>
        <v>1</v>
      </c>
      <c r="AS22" t="str">
        <f t="shared" si="6"/>
        <v/>
      </c>
      <c r="AT22" t="s">
        <v>115</v>
      </c>
      <c r="AU22" t="str">
        <f t="shared" si="7"/>
        <v>0</v>
      </c>
      <c r="BD22" t="str">
        <f t="shared" si="8"/>
        <v>0</v>
      </c>
      <c r="BK22" t="str">
        <f>IFERROR(VLOOKUP(B22,'[1]model_S-フレーム'!$F$5:$R$7000,13,1),"")</f>
        <v>E356750_01</v>
      </c>
      <c r="BL22" s="7">
        <f>IFERROR(VLOOKUP(B22,'[1]model_S-フレーム'!$F$5:$V$7000,17,1),"")</f>
        <v>0</v>
      </c>
      <c r="BM22" t="str" cm="1">
        <f t="array" ref="BM22">_xlfn.IFS(LEFT(G22,1)="L","外注品",LEFT(G22,1)="W","内製品",G22="","購買品")</f>
        <v>内製品</v>
      </c>
    </row>
    <row r="23" spans="1:65">
      <c r="A23" t="str">
        <f t="shared" si="0"/>
        <v>WG01</v>
      </c>
      <c r="B23" t="s">
        <v>147</v>
      </c>
      <c r="C23" t="s">
        <v>262</v>
      </c>
      <c r="D23" s="7"/>
      <c r="E23" s="7"/>
      <c r="G23" t="s">
        <v>1938</v>
      </c>
      <c r="H23" t="str" cm="1">
        <f t="array" ref="H23">IFERROR(_xlfn.IFS(B23="","",AND(B23="",G23=""),"",G23="","記載要"),"")</f>
        <v/>
      </c>
      <c r="K23" t="str">
        <f t="shared" si="1"/>
        <v>11WP00997417</v>
      </c>
      <c r="L23" s="3" t="str">
        <f t="shared" si="2"/>
        <v>2001/01/01</v>
      </c>
      <c r="M23" s="3" t="str">
        <f t="shared" si="3"/>
        <v>2199/12/31</v>
      </c>
      <c r="N23" t="str">
        <f t="shared" si="4"/>
        <v>11WP00997417</v>
      </c>
      <c r="O23">
        <v>5</v>
      </c>
      <c r="Q23" t="str" cm="1">
        <f t="array" ref="Q23">_xlfn.IFS(AND(C23="",G23=""),"",LEFT(G23,1)="L","記載要",LEFT(G23,1)="W","",AND(C23,G23=""),"記載要")</f>
        <v/>
      </c>
      <c r="R23" s="21" t="str">
        <f t="shared" si="9"/>
        <v/>
      </c>
      <c r="S23" s="21"/>
      <c r="Y23" s="8"/>
      <c r="AA23">
        <v>1</v>
      </c>
      <c r="AB23">
        <f t="shared" si="5"/>
        <v>0</v>
      </c>
      <c r="AC23">
        <v>1</v>
      </c>
      <c r="AF23">
        <v>1</v>
      </c>
      <c r="AG23" s="8"/>
      <c r="AH23" s="8"/>
      <c r="AK23" cm="1">
        <f t="array" ref="AK23">_xlfn.IFS(B23="","",LEFT(G23,1)="L",1,LEFT(G23,1)="W",1,AND(LEFT(B23,1)="H",G23=""),0)</f>
        <v>1</v>
      </c>
      <c r="AS23" t="str">
        <f t="shared" si="6"/>
        <v/>
      </c>
      <c r="AT23" t="s">
        <v>115</v>
      </c>
      <c r="AU23" t="str">
        <f t="shared" si="7"/>
        <v>0</v>
      </c>
      <c r="BD23" t="str">
        <f t="shared" si="8"/>
        <v>0</v>
      </c>
      <c r="BK23" t="str">
        <f>IFERROR(VLOOKUP(B23,'[1]model_S-フレーム'!$F$5:$R$7000,13,1),"")</f>
        <v>E356750_01</v>
      </c>
      <c r="BL23" s="7">
        <f>IFERROR(VLOOKUP(B23,'[1]model_S-フレーム'!$F$5:$V$7000,17,1),"")</f>
        <v>0</v>
      </c>
      <c r="BM23" t="str" cm="1">
        <f t="array" ref="BM23">_xlfn.IFS(LEFT(G23,1)="L","外注品",LEFT(G23,1)="W","内製品",G23="","購買品")</f>
        <v>内製品</v>
      </c>
    </row>
    <row r="24" spans="1:65">
      <c r="A24" t="str">
        <f t="shared" si="0"/>
        <v>WG01</v>
      </c>
      <c r="B24" t="s">
        <v>148</v>
      </c>
      <c r="C24" t="s">
        <v>262</v>
      </c>
      <c r="D24" s="7"/>
      <c r="E24" s="7"/>
      <c r="G24" t="s">
        <v>1938</v>
      </c>
      <c r="H24" t="str" cm="1">
        <f t="array" ref="H24">IFERROR(_xlfn.IFS(B24="","",AND(B24="",G24=""),"",G24="","記載要"),"")</f>
        <v/>
      </c>
      <c r="K24" t="str">
        <f t="shared" si="1"/>
        <v>11WP00997418</v>
      </c>
      <c r="L24" s="3" t="str">
        <f t="shared" si="2"/>
        <v>2001/01/01</v>
      </c>
      <c r="M24" s="3" t="str">
        <f t="shared" si="3"/>
        <v>2199/12/31</v>
      </c>
      <c r="N24" t="str">
        <f t="shared" si="4"/>
        <v>11WP00997418</v>
      </c>
      <c r="O24">
        <v>5</v>
      </c>
      <c r="Q24" t="str" cm="1">
        <f t="array" ref="Q24">_xlfn.IFS(AND(C24="",G24=""),"",LEFT(G24,1)="L","記載要",LEFT(G24,1)="W","",AND(C24,G24=""),"記載要")</f>
        <v/>
      </c>
      <c r="R24" s="21" t="str">
        <f t="shared" si="9"/>
        <v/>
      </c>
      <c r="S24" s="21"/>
      <c r="Y24" s="8"/>
      <c r="AA24">
        <v>1</v>
      </c>
      <c r="AB24">
        <f t="shared" si="5"/>
        <v>0</v>
      </c>
      <c r="AC24">
        <v>1</v>
      </c>
      <c r="AF24">
        <v>1</v>
      </c>
      <c r="AG24" s="8"/>
      <c r="AH24" s="8"/>
      <c r="AK24" cm="1">
        <f t="array" ref="AK24">_xlfn.IFS(B24="","",LEFT(G24,1)="L",1,LEFT(G24,1)="W",1,AND(LEFT(B24,1)="H",G24=""),0)</f>
        <v>1</v>
      </c>
      <c r="AS24" t="str">
        <f t="shared" si="6"/>
        <v/>
      </c>
      <c r="AT24" t="s">
        <v>115</v>
      </c>
      <c r="AU24" t="str">
        <f t="shared" si="7"/>
        <v>0</v>
      </c>
      <c r="BD24" t="str">
        <f t="shared" si="8"/>
        <v>0</v>
      </c>
      <c r="BK24" t="str">
        <f>IFERROR(VLOOKUP(B24,'[1]model_S-フレーム'!$F$5:$R$7000,13,1),"")</f>
        <v>E356750_01</v>
      </c>
      <c r="BL24" s="7">
        <f>IFERROR(VLOOKUP(B24,'[1]model_S-フレーム'!$F$5:$V$7000,17,1),"")</f>
        <v>0</v>
      </c>
      <c r="BM24" t="str" cm="1">
        <f t="array" ref="BM24">_xlfn.IFS(LEFT(G24,1)="L","外注品",LEFT(G24,1)="W","内製品",G24="","購買品")</f>
        <v>内製品</v>
      </c>
    </row>
    <row r="25" spans="1:65">
      <c r="A25" t="str">
        <f t="shared" si="0"/>
        <v>WG01</v>
      </c>
      <c r="B25" t="s">
        <v>149</v>
      </c>
      <c r="C25" t="s">
        <v>262</v>
      </c>
      <c r="D25" s="7"/>
      <c r="E25" s="7"/>
      <c r="G25" t="s">
        <v>1938</v>
      </c>
      <c r="H25" t="str" cm="1">
        <f t="array" ref="H25">IFERROR(_xlfn.IFS(B25="","",AND(B25="",G25=""),"",G25="","記載要"),"")</f>
        <v/>
      </c>
      <c r="K25" t="str">
        <f t="shared" si="1"/>
        <v>11WP00997419</v>
      </c>
      <c r="L25" s="3" t="str">
        <f t="shared" si="2"/>
        <v>2001/01/01</v>
      </c>
      <c r="M25" s="3" t="str">
        <f t="shared" si="3"/>
        <v>2199/12/31</v>
      </c>
      <c r="N25" t="str">
        <f t="shared" si="4"/>
        <v>11WP00997419</v>
      </c>
      <c r="O25">
        <v>5</v>
      </c>
      <c r="Q25" t="str" cm="1">
        <f t="array" ref="Q25">_xlfn.IFS(AND(C25="",G25=""),"",LEFT(G25,1)="L","記載要",LEFT(G25,1)="W","",AND(C25,G25=""),"記載要")</f>
        <v/>
      </c>
      <c r="R25" s="21" t="str">
        <f t="shared" si="9"/>
        <v/>
      </c>
      <c r="S25" s="21"/>
      <c r="Y25" s="8"/>
      <c r="AA25">
        <v>1</v>
      </c>
      <c r="AB25">
        <f t="shared" si="5"/>
        <v>0</v>
      </c>
      <c r="AC25">
        <v>1</v>
      </c>
      <c r="AF25">
        <v>1</v>
      </c>
      <c r="AG25" s="8"/>
      <c r="AH25" s="8"/>
      <c r="AK25" cm="1">
        <f t="array" ref="AK25">_xlfn.IFS(B25="","",LEFT(G25,1)="L",1,LEFT(G25,1)="W",1,AND(LEFT(B25,1)="H",G25=""),0)</f>
        <v>1</v>
      </c>
      <c r="AS25" t="str">
        <f t="shared" si="6"/>
        <v/>
      </c>
      <c r="AT25" t="s">
        <v>115</v>
      </c>
      <c r="AU25" t="str">
        <f t="shared" si="7"/>
        <v>0</v>
      </c>
      <c r="BD25" t="str">
        <f t="shared" si="8"/>
        <v>0</v>
      </c>
      <c r="BK25" t="str">
        <f>IFERROR(VLOOKUP(B25,'[1]model_S-フレーム'!$F$5:$R$7000,13,1),"")</f>
        <v>E356750_01</v>
      </c>
      <c r="BL25" s="7">
        <f>IFERROR(VLOOKUP(B25,'[1]model_S-フレーム'!$F$5:$V$7000,17,1),"")</f>
        <v>0</v>
      </c>
      <c r="BM25" t="str" cm="1">
        <f t="array" ref="BM25">_xlfn.IFS(LEFT(G25,1)="L","外注品",LEFT(G25,1)="W","内製品",G25="","購買品")</f>
        <v>内製品</v>
      </c>
    </row>
    <row r="26" spans="1:65">
      <c r="A26" t="str">
        <f t="shared" si="0"/>
        <v>WG01</v>
      </c>
      <c r="B26" t="s">
        <v>150</v>
      </c>
      <c r="C26" t="s">
        <v>262</v>
      </c>
      <c r="D26" s="7"/>
      <c r="E26" s="7"/>
      <c r="G26" t="s">
        <v>1938</v>
      </c>
      <c r="H26" t="str" cm="1">
        <f t="array" ref="H26">IFERROR(_xlfn.IFS(B26="","",AND(B26="",G26=""),"",G26="","記載要"),"")</f>
        <v/>
      </c>
      <c r="K26" t="str">
        <f t="shared" si="1"/>
        <v>11WP00997420</v>
      </c>
      <c r="L26" s="3" t="str">
        <f t="shared" si="2"/>
        <v>2001/01/01</v>
      </c>
      <c r="M26" s="3" t="str">
        <f t="shared" si="3"/>
        <v>2199/12/31</v>
      </c>
      <c r="N26" t="str">
        <f t="shared" si="4"/>
        <v>11WP00997420</v>
      </c>
      <c r="O26">
        <v>5</v>
      </c>
      <c r="Q26" t="str" cm="1">
        <f t="array" ref="Q26">_xlfn.IFS(AND(C26="",G26=""),"",LEFT(G26,1)="L","記載要",LEFT(G26,1)="W","",AND(C26,G26=""),"記載要")</f>
        <v/>
      </c>
      <c r="R26" s="21" t="str">
        <f t="shared" si="9"/>
        <v/>
      </c>
      <c r="S26" s="21"/>
      <c r="Y26" s="8"/>
      <c r="AA26">
        <v>1</v>
      </c>
      <c r="AB26">
        <f t="shared" si="5"/>
        <v>0</v>
      </c>
      <c r="AC26">
        <v>1</v>
      </c>
      <c r="AF26">
        <v>1</v>
      </c>
      <c r="AG26" s="8"/>
      <c r="AH26" s="8"/>
      <c r="AK26" cm="1">
        <f t="array" ref="AK26">_xlfn.IFS(B26="","",LEFT(G26,1)="L",1,LEFT(G26,1)="W",1,AND(LEFT(B26,1)="H",G26=""),0)</f>
        <v>1</v>
      </c>
      <c r="AS26" t="str">
        <f t="shared" si="6"/>
        <v/>
      </c>
      <c r="AT26" t="s">
        <v>115</v>
      </c>
      <c r="AU26" t="str">
        <f t="shared" si="7"/>
        <v>0</v>
      </c>
      <c r="BD26" t="str">
        <f t="shared" si="8"/>
        <v>0</v>
      </c>
      <c r="BK26" t="str">
        <f>IFERROR(VLOOKUP(B26,'[1]model_S-フレーム'!$F$5:$R$7000,13,1),"")</f>
        <v>E356750_01</v>
      </c>
      <c r="BL26" s="7">
        <f>IFERROR(VLOOKUP(B26,'[1]model_S-フレーム'!$F$5:$V$7000,17,1),"")</f>
        <v>0</v>
      </c>
      <c r="BM26" t="str" cm="1">
        <f t="array" ref="BM26">_xlfn.IFS(LEFT(G26,1)="L","外注品",LEFT(G26,1)="W","内製品",G26="","購買品")</f>
        <v>内製品</v>
      </c>
    </row>
    <row r="27" spans="1:65">
      <c r="A27" t="str">
        <f t="shared" si="0"/>
        <v>WG01</v>
      </c>
      <c r="B27" t="s">
        <v>151</v>
      </c>
      <c r="C27" t="s">
        <v>263</v>
      </c>
      <c r="D27" s="7"/>
      <c r="E27" s="7"/>
      <c r="G27" t="s">
        <v>1938</v>
      </c>
      <c r="H27" t="str" cm="1">
        <f t="array" ref="H27">IFERROR(_xlfn.IFS(B27="","",AND(B27="",G27=""),"",G27="","記載要"),"")</f>
        <v/>
      </c>
      <c r="K27" t="str">
        <f t="shared" si="1"/>
        <v>11WP00997421</v>
      </c>
      <c r="L27" s="3" t="str">
        <f t="shared" si="2"/>
        <v>2001/01/01</v>
      </c>
      <c r="M27" s="3" t="str">
        <f t="shared" si="3"/>
        <v>2199/12/31</v>
      </c>
      <c r="N27" t="str">
        <f t="shared" si="4"/>
        <v>11WP00997421</v>
      </c>
      <c r="O27">
        <v>5</v>
      </c>
      <c r="Q27" t="str" cm="1">
        <f t="array" ref="Q27">_xlfn.IFS(AND(C27="",G27=""),"",LEFT(G27,1)="L","記載要",LEFT(G27,1)="W","",AND(C27,G27=""),"記載要")</f>
        <v/>
      </c>
      <c r="R27" s="21" t="str">
        <f t="shared" si="9"/>
        <v/>
      </c>
      <c r="S27" s="21"/>
      <c r="Z27" s="8"/>
      <c r="AA27">
        <v>1</v>
      </c>
      <c r="AB27">
        <f t="shared" si="5"/>
        <v>0</v>
      </c>
      <c r="AC27">
        <v>1</v>
      </c>
      <c r="AF27">
        <v>1</v>
      </c>
      <c r="AG27" s="8"/>
      <c r="AH27" s="8"/>
      <c r="AK27" cm="1">
        <f t="array" ref="AK27">_xlfn.IFS(B27="","",LEFT(G27,1)="L",1,LEFT(G27,1)="W",1,AND(LEFT(B27,1)="H",G27=""),0)</f>
        <v>1</v>
      </c>
      <c r="AS27" t="str">
        <f t="shared" si="6"/>
        <v/>
      </c>
      <c r="AT27" t="s">
        <v>115</v>
      </c>
      <c r="AU27" t="str">
        <f t="shared" si="7"/>
        <v>0</v>
      </c>
      <c r="BD27" t="str">
        <f t="shared" si="8"/>
        <v>0</v>
      </c>
      <c r="BK27" t="str">
        <f>IFERROR(VLOOKUP(B27,'[1]model_S-フレーム'!$F$5:$R$7000,13,1),"")</f>
        <v>E356750_01</v>
      </c>
      <c r="BL27" s="7">
        <f>IFERROR(VLOOKUP(B27,'[1]model_S-フレーム'!$F$5:$V$7000,17,1),"")</f>
        <v>0</v>
      </c>
      <c r="BM27" t="str" cm="1">
        <f t="array" ref="BM27">_xlfn.IFS(LEFT(G27,1)="L","外注品",LEFT(G27,1)="W","内製品",G27="","購買品")</f>
        <v>内製品</v>
      </c>
    </row>
    <row r="28" spans="1:65">
      <c r="A28" t="str">
        <f t="shared" si="0"/>
        <v>WG01</v>
      </c>
      <c r="B28" t="s">
        <v>152</v>
      </c>
      <c r="C28" t="s">
        <v>263</v>
      </c>
      <c r="D28" s="7"/>
      <c r="E28" s="7"/>
      <c r="G28" t="s">
        <v>1938</v>
      </c>
      <c r="H28" t="str" cm="1">
        <f t="array" ref="H28">IFERROR(_xlfn.IFS(B28="","",AND(B28="",G28=""),"",G28="","記載要"),"")</f>
        <v/>
      </c>
      <c r="K28" t="str">
        <f t="shared" si="1"/>
        <v>11WP00997422</v>
      </c>
      <c r="L28" s="3" t="str">
        <f t="shared" si="2"/>
        <v>2001/01/01</v>
      </c>
      <c r="M28" s="3" t="str">
        <f t="shared" si="3"/>
        <v>2199/12/31</v>
      </c>
      <c r="N28" t="str">
        <f t="shared" si="4"/>
        <v>11WP00997422</v>
      </c>
      <c r="O28">
        <v>5</v>
      </c>
      <c r="Q28" t="str" cm="1">
        <f t="array" ref="Q28">_xlfn.IFS(AND(C28="",G28=""),"",LEFT(G28,1)="L","記載要",LEFT(G28,1)="W","",AND(C28,G28=""),"記載要")</f>
        <v/>
      </c>
      <c r="R28" s="21" t="str">
        <f t="shared" si="9"/>
        <v/>
      </c>
      <c r="S28" s="21"/>
      <c r="AA28">
        <v>1</v>
      </c>
      <c r="AB28">
        <f t="shared" si="5"/>
        <v>0</v>
      </c>
      <c r="AC28">
        <v>1</v>
      </c>
      <c r="AF28">
        <v>1</v>
      </c>
      <c r="AG28" s="8"/>
      <c r="AH28" s="8"/>
      <c r="AK28" cm="1">
        <f t="array" ref="AK28">_xlfn.IFS(B28="","",LEFT(G28,1)="L",1,LEFT(G28,1)="W",1,AND(LEFT(B28,1)="H",G28=""),0)</f>
        <v>1</v>
      </c>
      <c r="AS28" t="str">
        <f t="shared" si="6"/>
        <v/>
      </c>
      <c r="AT28" t="s">
        <v>115</v>
      </c>
      <c r="AU28" t="str">
        <f t="shared" si="7"/>
        <v>0</v>
      </c>
      <c r="BD28" t="str">
        <f t="shared" si="8"/>
        <v>0</v>
      </c>
      <c r="BK28" t="str">
        <f>IFERROR(VLOOKUP(B28,'[1]model_S-フレーム'!$F$5:$R$7000,13,1),"")</f>
        <v>E356750_01</v>
      </c>
      <c r="BL28" s="7">
        <f>IFERROR(VLOOKUP(B28,'[1]model_S-フレーム'!$F$5:$V$7000,17,1),"")</f>
        <v>0</v>
      </c>
      <c r="BM28" t="str" cm="1">
        <f t="array" ref="BM28">_xlfn.IFS(LEFT(G28,1)="L","外注品",LEFT(G28,1)="W","内製品",G28="","購買品")</f>
        <v>内製品</v>
      </c>
    </row>
    <row r="29" spans="1:65">
      <c r="A29" t="str">
        <f t="shared" si="0"/>
        <v>WG01</v>
      </c>
      <c r="B29" t="s">
        <v>153</v>
      </c>
      <c r="C29" t="s">
        <v>263</v>
      </c>
      <c r="D29" s="7"/>
      <c r="E29" s="7"/>
      <c r="G29" t="s">
        <v>1938</v>
      </c>
      <c r="H29" t="str" cm="1">
        <f t="array" ref="H29">IFERROR(_xlfn.IFS(B29="","",AND(B29="",G29=""),"",G29="","記載要"),"")</f>
        <v/>
      </c>
      <c r="K29" t="str">
        <f t="shared" si="1"/>
        <v>11WP00997423</v>
      </c>
      <c r="L29" s="3" t="str">
        <f t="shared" si="2"/>
        <v>2001/01/01</v>
      </c>
      <c r="M29" s="3" t="str">
        <f t="shared" si="3"/>
        <v>2199/12/31</v>
      </c>
      <c r="N29" t="str">
        <f t="shared" si="4"/>
        <v>11WP00997423</v>
      </c>
      <c r="O29">
        <v>5</v>
      </c>
      <c r="Q29" t="str" cm="1">
        <f t="array" ref="Q29">_xlfn.IFS(AND(C29="",G29=""),"",LEFT(G29,1)="L","記載要",LEFT(G29,1)="W","",AND(C29,G29=""),"記載要")</f>
        <v/>
      </c>
      <c r="R29" s="21" t="str">
        <f t="shared" si="9"/>
        <v/>
      </c>
      <c r="S29" s="21"/>
      <c r="AA29">
        <v>1</v>
      </c>
      <c r="AB29">
        <f t="shared" si="5"/>
        <v>0</v>
      </c>
      <c r="AC29">
        <v>1</v>
      </c>
      <c r="AF29">
        <v>1</v>
      </c>
      <c r="AG29" s="8"/>
      <c r="AH29" s="8"/>
      <c r="AK29" cm="1">
        <f t="array" ref="AK29">_xlfn.IFS(B29="","",LEFT(G29,1)="L",1,LEFT(G29,1)="W",1,AND(LEFT(B29,1)="H",G29=""),0)</f>
        <v>1</v>
      </c>
      <c r="AS29" t="str">
        <f t="shared" si="6"/>
        <v/>
      </c>
      <c r="AT29" t="s">
        <v>115</v>
      </c>
      <c r="AU29" t="str">
        <f t="shared" si="7"/>
        <v>0</v>
      </c>
      <c r="BD29" t="str">
        <f t="shared" si="8"/>
        <v>0</v>
      </c>
      <c r="BK29" t="str">
        <f>IFERROR(VLOOKUP(B29,'[1]model_S-フレーム'!$F$5:$R$7000,13,1),"")</f>
        <v>E356750_01</v>
      </c>
      <c r="BL29" s="7">
        <f>IFERROR(VLOOKUP(B29,'[1]model_S-フレーム'!$F$5:$V$7000,17,1),"")</f>
        <v>0</v>
      </c>
      <c r="BM29" t="str" cm="1">
        <f t="array" ref="BM29">_xlfn.IFS(LEFT(G29,1)="L","外注品",LEFT(G29,1)="W","内製品",G29="","購買品")</f>
        <v>内製品</v>
      </c>
    </row>
    <row r="30" spans="1:65">
      <c r="A30" t="str">
        <f t="shared" si="0"/>
        <v>WG01</v>
      </c>
      <c r="B30" t="s">
        <v>154</v>
      </c>
      <c r="C30" t="s">
        <v>263</v>
      </c>
      <c r="D30" s="7"/>
      <c r="E30" s="7"/>
      <c r="G30" t="s">
        <v>1938</v>
      </c>
      <c r="H30" t="str" cm="1">
        <f t="array" ref="H30">IFERROR(_xlfn.IFS(B30="","",AND(B30="",G30=""),"",G30="","記載要"),"")</f>
        <v/>
      </c>
      <c r="K30" t="str">
        <f t="shared" si="1"/>
        <v>11WP00997424</v>
      </c>
      <c r="L30" s="3" t="str">
        <f t="shared" si="2"/>
        <v>2001/01/01</v>
      </c>
      <c r="M30" s="3" t="str">
        <f t="shared" si="3"/>
        <v>2199/12/31</v>
      </c>
      <c r="N30" t="str">
        <f t="shared" si="4"/>
        <v>11WP00997424</v>
      </c>
      <c r="O30">
        <v>5</v>
      </c>
      <c r="Q30" t="str" cm="1">
        <f t="array" ref="Q30">_xlfn.IFS(AND(C30="",G30=""),"",LEFT(G30,1)="L","記載要",LEFT(G30,1)="W","",AND(C30,G30=""),"記載要")</f>
        <v/>
      </c>
      <c r="R30" s="21" t="str">
        <f t="shared" si="9"/>
        <v/>
      </c>
      <c r="S30" s="21"/>
      <c r="AA30">
        <v>1</v>
      </c>
      <c r="AB30">
        <f t="shared" si="5"/>
        <v>0</v>
      </c>
      <c r="AC30">
        <v>1</v>
      </c>
      <c r="AF30">
        <v>1</v>
      </c>
      <c r="AG30" s="8"/>
      <c r="AH30" s="8"/>
      <c r="AK30" cm="1">
        <f t="array" ref="AK30">_xlfn.IFS(B30="","",LEFT(G30,1)="L",1,LEFT(G30,1)="W",1,AND(LEFT(B30,1)="H",G30=""),0)</f>
        <v>1</v>
      </c>
      <c r="AS30" t="str">
        <f t="shared" si="6"/>
        <v/>
      </c>
      <c r="AT30" t="s">
        <v>115</v>
      </c>
      <c r="AU30" t="str">
        <f t="shared" si="7"/>
        <v>0</v>
      </c>
      <c r="BD30" t="str">
        <f t="shared" si="8"/>
        <v>0</v>
      </c>
      <c r="BK30" t="str">
        <f>IFERROR(VLOOKUP(B30,'[1]model_S-フレーム'!$F$5:$R$7000,13,1),"")</f>
        <v>E356750_01</v>
      </c>
      <c r="BL30" s="7">
        <f>IFERROR(VLOOKUP(B30,'[1]model_S-フレーム'!$F$5:$V$7000,17,1),"")</f>
        <v>0</v>
      </c>
      <c r="BM30" t="str" cm="1">
        <f t="array" ref="BM30">_xlfn.IFS(LEFT(G30,1)="L","外注品",LEFT(G30,1)="W","内製品",G30="","購買品")</f>
        <v>内製品</v>
      </c>
    </row>
    <row r="31" spans="1:65">
      <c r="A31" t="str">
        <f t="shared" si="0"/>
        <v>WG01</v>
      </c>
      <c r="B31" t="s">
        <v>155</v>
      </c>
      <c r="C31" t="s">
        <v>264</v>
      </c>
      <c r="D31" s="7"/>
      <c r="E31" s="7"/>
      <c r="G31" t="s">
        <v>1938</v>
      </c>
      <c r="H31" t="str" cm="1">
        <f t="array" ref="H31">IFERROR(_xlfn.IFS(B31="","",AND(B31="",G31=""),"",G31="","記載要"),"")</f>
        <v/>
      </c>
      <c r="K31" t="str">
        <f t="shared" si="1"/>
        <v>11WP00997425</v>
      </c>
      <c r="L31" s="3" t="str">
        <f t="shared" si="2"/>
        <v>2001/01/01</v>
      </c>
      <c r="M31" s="3" t="str">
        <f t="shared" si="3"/>
        <v>2199/12/31</v>
      </c>
      <c r="N31" t="str">
        <f t="shared" si="4"/>
        <v>11WP00997425</v>
      </c>
      <c r="O31">
        <v>5</v>
      </c>
      <c r="Q31" t="str" cm="1">
        <f t="array" ref="Q31">_xlfn.IFS(AND(C31="",G31=""),"",LEFT(G31,1)="L","記載要",LEFT(G31,1)="W","",AND(C31,G31=""),"記載要")</f>
        <v/>
      </c>
      <c r="R31" s="21" t="str">
        <f t="shared" si="9"/>
        <v/>
      </c>
      <c r="S31" s="21"/>
      <c r="AA31">
        <v>1</v>
      </c>
      <c r="AB31">
        <f t="shared" si="5"/>
        <v>0</v>
      </c>
      <c r="AC31">
        <v>1</v>
      </c>
      <c r="AF31">
        <v>1</v>
      </c>
      <c r="AG31" s="8"/>
      <c r="AH31" s="8"/>
      <c r="AK31" cm="1">
        <f t="array" ref="AK31">_xlfn.IFS(B31="","",LEFT(G31,1)="L",1,LEFT(G31,1)="W",1,AND(LEFT(B31,1)="H",G31=""),0)</f>
        <v>1</v>
      </c>
      <c r="AS31" t="str">
        <f t="shared" si="6"/>
        <v/>
      </c>
      <c r="AT31" t="s">
        <v>115</v>
      </c>
      <c r="AU31" t="str">
        <f t="shared" si="7"/>
        <v>0</v>
      </c>
      <c r="BD31" t="str">
        <f t="shared" si="8"/>
        <v>0</v>
      </c>
      <c r="BK31" t="str">
        <f>IFERROR(VLOOKUP(B31,'[1]model_S-フレーム'!$F$5:$R$7000,13,1),"")</f>
        <v>E356750_01</v>
      </c>
      <c r="BL31" s="7">
        <f>IFERROR(VLOOKUP(B31,'[1]model_S-フレーム'!$F$5:$V$7000,17,1),"")</f>
        <v>0</v>
      </c>
      <c r="BM31" t="str" cm="1">
        <f t="array" ref="BM31">_xlfn.IFS(LEFT(G31,1)="L","外注品",LEFT(G31,1)="W","内製品",G31="","購買品")</f>
        <v>内製品</v>
      </c>
    </row>
    <row r="32" spans="1:65">
      <c r="A32" t="str">
        <f t="shared" si="0"/>
        <v>WG01</v>
      </c>
      <c r="B32" t="s">
        <v>156</v>
      </c>
      <c r="C32" t="s">
        <v>264</v>
      </c>
      <c r="D32" s="7"/>
      <c r="E32" s="7"/>
      <c r="G32" t="s">
        <v>1938</v>
      </c>
      <c r="H32" t="str" cm="1">
        <f t="array" ref="H32">IFERROR(_xlfn.IFS(B32="","",AND(B32="",G32=""),"",G32="","記載要"),"")</f>
        <v/>
      </c>
      <c r="K32" t="str">
        <f t="shared" si="1"/>
        <v>11WP00997426</v>
      </c>
      <c r="L32" s="3" t="str">
        <f t="shared" si="2"/>
        <v>2001/01/01</v>
      </c>
      <c r="M32" s="3" t="str">
        <f t="shared" si="3"/>
        <v>2199/12/31</v>
      </c>
      <c r="N32" t="str">
        <f t="shared" si="4"/>
        <v>11WP00997426</v>
      </c>
      <c r="O32">
        <v>5</v>
      </c>
      <c r="Q32" t="str" cm="1">
        <f t="array" ref="Q32">_xlfn.IFS(AND(C32="",G32=""),"",LEFT(G32,1)="L","記載要",LEFT(G32,1)="W","",AND(C32,G32=""),"記載要")</f>
        <v/>
      </c>
      <c r="R32" s="21" t="str">
        <f t="shared" si="9"/>
        <v/>
      </c>
      <c r="S32" s="21"/>
      <c r="AA32">
        <v>1</v>
      </c>
      <c r="AB32">
        <f t="shared" si="5"/>
        <v>0</v>
      </c>
      <c r="AC32">
        <v>1</v>
      </c>
      <c r="AF32">
        <v>1</v>
      </c>
      <c r="AG32" s="8"/>
      <c r="AH32" s="8"/>
      <c r="AK32" cm="1">
        <f t="array" ref="AK32">_xlfn.IFS(B32="","",LEFT(G32,1)="L",1,LEFT(G32,1)="W",1,AND(LEFT(B32,1)="H",G32=""),0)</f>
        <v>1</v>
      </c>
      <c r="AS32" t="str">
        <f t="shared" si="6"/>
        <v/>
      </c>
      <c r="AT32" t="s">
        <v>115</v>
      </c>
      <c r="AU32" t="str">
        <f t="shared" si="7"/>
        <v>0</v>
      </c>
      <c r="BD32" t="str">
        <f t="shared" si="8"/>
        <v>0</v>
      </c>
      <c r="BK32" t="str">
        <f>IFERROR(VLOOKUP(B32,'[1]model_S-フレーム'!$F$5:$R$7000,13,1),"")</f>
        <v>E356750_01</v>
      </c>
      <c r="BL32" s="7">
        <f>IFERROR(VLOOKUP(B32,'[1]model_S-フレーム'!$F$5:$V$7000,17,1),"")</f>
        <v>0</v>
      </c>
      <c r="BM32" t="str" cm="1">
        <f t="array" ref="BM32">_xlfn.IFS(LEFT(G32,1)="L","外注品",LEFT(G32,1)="W","内製品",G32="","購買品")</f>
        <v>内製品</v>
      </c>
    </row>
    <row r="33" spans="1:65">
      <c r="A33" t="str">
        <f t="shared" si="0"/>
        <v>WG01</v>
      </c>
      <c r="B33" t="s">
        <v>157</v>
      </c>
      <c r="C33" t="s">
        <v>264</v>
      </c>
      <c r="D33" s="7"/>
      <c r="E33" s="7"/>
      <c r="G33" t="s">
        <v>1938</v>
      </c>
      <c r="H33" t="str" cm="1">
        <f t="array" ref="H33">IFERROR(_xlfn.IFS(B33="","",AND(B33="",G33=""),"",G33="","記載要"),"")</f>
        <v/>
      </c>
      <c r="K33" t="str">
        <f t="shared" si="1"/>
        <v>11WP00997427</v>
      </c>
      <c r="L33" s="3" t="str">
        <f t="shared" si="2"/>
        <v>2001/01/01</v>
      </c>
      <c r="M33" s="3" t="str">
        <f t="shared" si="3"/>
        <v>2199/12/31</v>
      </c>
      <c r="N33" t="str">
        <f t="shared" si="4"/>
        <v>11WP00997427</v>
      </c>
      <c r="O33">
        <v>5</v>
      </c>
      <c r="Q33" t="str" cm="1">
        <f t="array" ref="Q33">_xlfn.IFS(AND(C33="",G33=""),"",LEFT(G33,1)="L","記載要",LEFT(G33,1)="W","",AND(C33,G33=""),"記載要")</f>
        <v/>
      </c>
      <c r="R33" s="21" t="str">
        <f t="shared" si="9"/>
        <v/>
      </c>
      <c r="S33" s="21"/>
      <c r="AA33">
        <v>1</v>
      </c>
      <c r="AB33">
        <f t="shared" si="5"/>
        <v>0</v>
      </c>
      <c r="AC33">
        <v>1</v>
      </c>
      <c r="AF33">
        <v>1</v>
      </c>
      <c r="AG33" s="8"/>
      <c r="AH33" s="8"/>
      <c r="AK33" cm="1">
        <f t="array" ref="AK33">_xlfn.IFS(B33="","",LEFT(G33,1)="L",1,LEFT(G33,1)="W",1,AND(LEFT(B33,1)="H",G33=""),0)</f>
        <v>1</v>
      </c>
      <c r="AS33" t="str">
        <f t="shared" si="6"/>
        <v/>
      </c>
      <c r="AT33" t="s">
        <v>115</v>
      </c>
      <c r="AU33" t="str">
        <f t="shared" si="7"/>
        <v>0</v>
      </c>
      <c r="BD33" t="str">
        <f t="shared" si="8"/>
        <v>0</v>
      </c>
      <c r="BK33" t="str">
        <f>IFERROR(VLOOKUP(B33,'[1]model_S-フレーム'!$F$5:$R$7000,13,1),"")</f>
        <v>E356750_01</v>
      </c>
      <c r="BL33" s="7">
        <f>IFERROR(VLOOKUP(B33,'[1]model_S-フレーム'!$F$5:$V$7000,17,1),"")</f>
        <v>0</v>
      </c>
      <c r="BM33" t="str" cm="1">
        <f t="array" ref="BM33">_xlfn.IFS(LEFT(G33,1)="L","外注品",LEFT(G33,1)="W","内製品",G33="","購買品")</f>
        <v>内製品</v>
      </c>
    </row>
    <row r="34" spans="1:65">
      <c r="A34" t="str">
        <f t="shared" si="0"/>
        <v>WG01</v>
      </c>
      <c r="B34" t="s">
        <v>158</v>
      </c>
      <c r="C34" t="s">
        <v>264</v>
      </c>
      <c r="D34" s="7"/>
      <c r="E34" s="7"/>
      <c r="G34" t="s">
        <v>1938</v>
      </c>
      <c r="H34" t="str" cm="1">
        <f t="array" ref="H34">IFERROR(_xlfn.IFS(B34="","",AND(B34="",G34=""),"",G34="","記載要"),"")</f>
        <v/>
      </c>
      <c r="K34" t="str">
        <f t="shared" si="1"/>
        <v>11WP00997428</v>
      </c>
      <c r="L34" s="3" t="str">
        <f t="shared" si="2"/>
        <v>2001/01/01</v>
      </c>
      <c r="M34" s="3" t="str">
        <f t="shared" si="3"/>
        <v>2199/12/31</v>
      </c>
      <c r="N34" t="str">
        <f t="shared" si="4"/>
        <v>11WP00997428</v>
      </c>
      <c r="O34">
        <v>5</v>
      </c>
      <c r="Q34" t="str" cm="1">
        <f t="array" ref="Q34">_xlfn.IFS(AND(C34="",G34=""),"",LEFT(G34,1)="L","記載要",LEFT(G34,1)="W","",AND(C34,G34=""),"記載要")</f>
        <v/>
      </c>
      <c r="R34" s="21" t="str">
        <f t="shared" si="9"/>
        <v/>
      </c>
      <c r="S34" s="21"/>
      <c r="AA34">
        <v>1</v>
      </c>
      <c r="AB34">
        <f t="shared" si="5"/>
        <v>0</v>
      </c>
      <c r="AC34">
        <v>1</v>
      </c>
      <c r="AF34">
        <v>1</v>
      </c>
      <c r="AG34" s="8"/>
      <c r="AH34" s="8"/>
      <c r="AK34" cm="1">
        <f t="array" ref="AK34">_xlfn.IFS(B34="","",LEFT(G34,1)="L",1,LEFT(G34,1)="W",1,AND(LEFT(B34,1)="H",G34=""),0)</f>
        <v>1</v>
      </c>
      <c r="AS34" t="str">
        <f t="shared" si="6"/>
        <v/>
      </c>
      <c r="AT34" t="s">
        <v>115</v>
      </c>
      <c r="AU34" t="str">
        <f t="shared" si="7"/>
        <v>0</v>
      </c>
      <c r="BD34" t="str">
        <f t="shared" si="8"/>
        <v>0</v>
      </c>
      <c r="BK34" t="str">
        <f>IFERROR(VLOOKUP(B34,'[1]model_S-フレーム'!$F$5:$R$7000,13,1),"")</f>
        <v>E356750_01</v>
      </c>
      <c r="BL34" s="7">
        <f>IFERROR(VLOOKUP(B34,'[1]model_S-フレーム'!$F$5:$V$7000,17,1),"")</f>
        <v>0</v>
      </c>
      <c r="BM34" t="str" cm="1">
        <f t="array" ref="BM34">_xlfn.IFS(LEFT(G34,1)="L","外注品",LEFT(G34,1)="W","内製品",G34="","購買品")</f>
        <v>内製品</v>
      </c>
    </row>
    <row r="35" spans="1:65">
      <c r="A35" t="str">
        <f t="shared" si="0"/>
        <v>WG01</v>
      </c>
      <c r="B35" t="s">
        <v>159</v>
      </c>
      <c r="C35" t="s">
        <v>265</v>
      </c>
      <c r="D35" s="7"/>
      <c r="E35" s="7"/>
      <c r="H35">
        <v>27616</v>
      </c>
      <c r="K35" t="str">
        <f t="shared" si="1"/>
        <v/>
      </c>
      <c r="L35" s="3" t="str">
        <f t="shared" si="2"/>
        <v>2001/01/01</v>
      </c>
      <c r="M35" s="3" t="str">
        <f t="shared" si="3"/>
        <v>2199/12/31</v>
      </c>
      <c r="N35" t="str">
        <f t="shared" si="4"/>
        <v/>
      </c>
      <c r="O35" t="str">
        <f>IF(G35="","","記載要")</f>
        <v/>
      </c>
      <c r="Q35">
        <v>15</v>
      </c>
      <c r="R35" s="21">
        <v>100000000</v>
      </c>
      <c r="S35" s="21" t="str" cm="1">
        <f t="array" ref="S35">_xlfn.IFS(LEFT(G35,1)="L","記載要",LEFT(G35,1)="W","記載要",G35="","")</f>
        <v/>
      </c>
      <c r="AA35">
        <v>1</v>
      </c>
      <c r="AB35">
        <f t="shared" si="5"/>
        <v>0</v>
      </c>
      <c r="AC35">
        <v>1</v>
      </c>
      <c r="AF35">
        <v>1</v>
      </c>
      <c r="AG35" s="8"/>
      <c r="AH35" s="8"/>
      <c r="AK35" cm="1">
        <f t="array" ref="AK35">_xlfn.IFS(B35="","",LEFT(G35,1)="L",1,LEFT(G35,1)="W",1,AND(LEFT(B35,1)="H",G35=""),0)</f>
        <v>0</v>
      </c>
      <c r="AS35">
        <f t="shared" si="6"/>
        <v>1</v>
      </c>
      <c r="AT35" t="s">
        <v>115</v>
      </c>
      <c r="AU35" t="str">
        <f t="shared" si="7"/>
        <v>0</v>
      </c>
      <c r="BD35" t="str">
        <f t="shared" si="8"/>
        <v>0</v>
      </c>
      <c r="BK35" t="str">
        <f>IFERROR(VLOOKUP(B35,'[1]model_S-フレーム'!$F$5:$R$7000,13,1),"")</f>
        <v>E356750_01</v>
      </c>
      <c r="BL35" s="7">
        <f>IFERROR(VLOOKUP(B35,'[1]model_S-フレーム'!$F$5:$V$7000,17,1),"")</f>
        <v>0</v>
      </c>
      <c r="BM35" t="str" cm="1">
        <f t="array" ref="BM35">_xlfn.IFS(LEFT(G35,1)="L","外注品",LEFT(G35,1)="W","内製品",G35="","購買品")</f>
        <v>購買品</v>
      </c>
    </row>
    <row r="36" spans="1:65">
      <c r="A36" t="str">
        <f t="shared" si="0"/>
        <v>WG01</v>
      </c>
      <c r="B36" t="s">
        <v>159</v>
      </c>
      <c r="C36" t="s">
        <v>265</v>
      </c>
      <c r="D36" s="7"/>
      <c r="E36" s="7"/>
      <c r="H36">
        <v>43453</v>
      </c>
      <c r="K36" t="str">
        <f t="shared" si="1"/>
        <v/>
      </c>
      <c r="L36" s="3" t="str">
        <f t="shared" si="2"/>
        <v>2001/01/01</v>
      </c>
      <c r="M36" s="3" t="str">
        <f t="shared" si="3"/>
        <v>2199/12/31</v>
      </c>
      <c r="N36" t="str">
        <f t="shared" si="4"/>
        <v/>
      </c>
      <c r="O36" t="str">
        <f>IF(G36="","","記載要")</f>
        <v/>
      </c>
      <c r="Q36">
        <v>15</v>
      </c>
      <c r="R36" s="21">
        <v>100000000</v>
      </c>
      <c r="S36" s="21" t="str" cm="1">
        <f t="array" ref="S36">_xlfn.IFS(LEFT(G36,1)="L","記載要",LEFT(G36,1)="W","記載要",G36="","")</f>
        <v/>
      </c>
      <c r="AA36">
        <v>1</v>
      </c>
      <c r="AB36">
        <f t="shared" si="5"/>
        <v>0</v>
      </c>
      <c r="AC36">
        <v>1</v>
      </c>
      <c r="AF36">
        <v>0</v>
      </c>
      <c r="AG36" s="8"/>
      <c r="AH36" s="8"/>
      <c r="AK36" cm="1">
        <f t="array" ref="AK36">_xlfn.IFS(B36="","",LEFT(G36,1)="L",1,LEFT(G36,1)="W",1,AND(LEFT(B36,1)="H",G36=""),0)</f>
        <v>0</v>
      </c>
      <c r="AS36">
        <f t="shared" si="6"/>
        <v>1</v>
      </c>
      <c r="AT36" t="s">
        <v>115</v>
      </c>
      <c r="AU36" t="str">
        <f t="shared" si="7"/>
        <v>0</v>
      </c>
      <c r="BD36" t="str">
        <f t="shared" si="8"/>
        <v>0</v>
      </c>
      <c r="BK36" t="str">
        <f>IFERROR(VLOOKUP(B36,'[1]model_S-フレーム'!$F$5:$R$7000,13,1),"")</f>
        <v>E356750_01</v>
      </c>
      <c r="BL36" s="7">
        <f>IFERROR(VLOOKUP(B36,'[1]model_S-フレーム'!$F$5:$V$7000,17,1),"")</f>
        <v>0</v>
      </c>
      <c r="BM36" t="str" cm="1">
        <f t="array" ref="BM36">_xlfn.IFS(LEFT(G36,1)="L","外注品",LEFT(G36,1)="W","内製品",G36="","購買品")</f>
        <v>購買品</v>
      </c>
    </row>
    <row r="37" spans="1:65">
      <c r="A37" t="str">
        <f t="shared" si="0"/>
        <v>WG01</v>
      </c>
      <c r="B37" t="s">
        <v>159</v>
      </c>
      <c r="C37" t="s">
        <v>265</v>
      </c>
      <c r="D37" s="7"/>
      <c r="E37" s="7"/>
      <c r="H37">
        <v>47081</v>
      </c>
      <c r="K37" t="str">
        <f t="shared" si="1"/>
        <v/>
      </c>
      <c r="L37" s="3" t="str">
        <f t="shared" si="2"/>
        <v>2001/01/01</v>
      </c>
      <c r="M37" s="3" t="str">
        <f t="shared" si="3"/>
        <v>2199/12/31</v>
      </c>
      <c r="N37" t="str">
        <f t="shared" si="4"/>
        <v/>
      </c>
      <c r="O37" t="str">
        <f>IF(G37="","","記載要")</f>
        <v/>
      </c>
      <c r="Q37">
        <v>15</v>
      </c>
      <c r="R37" s="21">
        <v>100000000</v>
      </c>
      <c r="S37" s="21" t="str" cm="1">
        <f t="array" ref="S37">_xlfn.IFS(LEFT(G37,1)="L","記載要",LEFT(G37,1)="W","記載要",G37="","")</f>
        <v/>
      </c>
      <c r="AA37">
        <v>1</v>
      </c>
      <c r="AB37">
        <f t="shared" si="5"/>
        <v>0</v>
      </c>
      <c r="AC37">
        <v>1</v>
      </c>
      <c r="AF37">
        <v>0</v>
      </c>
      <c r="AG37" s="8"/>
      <c r="AH37" s="8"/>
      <c r="AK37" cm="1">
        <f t="array" ref="AK37">_xlfn.IFS(B37="","",LEFT(G37,1)="L",1,LEFT(G37,1)="W",1,AND(LEFT(B37,1)="H",G37=""),0)</f>
        <v>0</v>
      </c>
      <c r="AS37">
        <f t="shared" si="6"/>
        <v>1</v>
      </c>
      <c r="AT37" t="s">
        <v>115</v>
      </c>
      <c r="AU37" t="str">
        <f t="shared" si="7"/>
        <v>0</v>
      </c>
      <c r="BD37" t="str">
        <f t="shared" si="8"/>
        <v>0</v>
      </c>
      <c r="BK37" t="str">
        <f>IFERROR(VLOOKUP(B37,'[1]model_S-フレーム'!$F$5:$R$7000,13,1),"")</f>
        <v>E356750_01</v>
      </c>
      <c r="BL37" s="7">
        <f>IFERROR(VLOOKUP(B37,'[1]model_S-フレーム'!$F$5:$V$7000,17,1),"")</f>
        <v>0</v>
      </c>
      <c r="BM37" t="str" cm="1">
        <f t="array" ref="BM37">_xlfn.IFS(LEFT(G37,1)="L","外注品",LEFT(G37,1)="W","内製品",G37="","購買品")</f>
        <v>購買品</v>
      </c>
    </row>
    <row r="38" spans="1:65">
      <c r="A38" t="str">
        <f t="shared" si="0"/>
        <v>WG01</v>
      </c>
      <c r="B38" t="s">
        <v>159</v>
      </c>
      <c r="C38" t="s">
        <v>265</v>
      </c>
      <c r="D38" s="7"/>
      <c r="E38" s="7"/>
      <c r="H38" s="19" t="s">
        <v>1937</v>
      </c>
      <c r="K38" t="str">
        <f t="shared" si="1"/>
        <v/>
      </c>
      <c r="L38" s="3" t="str">
        <f t="shared" si="2"/>
        <v>2001/01/01</v>
      </c>
      <c r="M38" s="3" t="str">
        <f t="shared" si="3"/>
        <v>2199/12/31</v>
      </c>
      <c r="N38" t="str">
        <f t="shared" si="4"/>
        <v/>
      </c>
      <c r="O38" t="str">
        <f>IF(G38="","","記載要")</f>
        <v/>
      </c>
      <c r="Q38">
        <v>15</v>
      </c>
      <c r="R38" s="21">
        <v>100000000</v>
      </c>
      <c r="S38" s="21" t="str" cm="1">
        <f t="array" ref="S38">_xlfn.IFS(LEFT(G38,1)="L","記載要",LEFT(G38,1)="W","記載要",G38="","")</f>
        <v/>
      </c>
      <c r="AA38">
        <v>1</v>
      </c>
      <c r="AB38">
        <f t="shared" si="5"/>
        <v>0</v>
      </c>
      <c r="AC38">
        <v>1</v>
      </c>
      <c r="AF38">
        <v>0</v>
      </c>
      <c r="AG38" s="8"/>
      <c r="AH38" s="8"/>
      <c r="AK38" cm="1">
        <f t="array" ref="AK38">_xlfn.IFS(B38="","",LEFT(G38,1)="L",1,LEFT(G38,1)="W",1,AND(LEFT(B38,1)="H",G38=""),0)</f>
        <v>0</v>
      </c>
      <c r="AS38">
        <f t="shared" si="6"/>
        <v>1</v>
      </c>
      <c r="AT38" t="s">
        <v>115</v>
      </c>
      <c r="AU38" t="str">
        <f t="shared" si="7"/>
        <v>0</v>
      </c>
      <c r="BD38" t="str">
        <f t="shared" si="8"/>
        <v>0</v>
      </c>
      <c r="BK38" t="str">
        <f>IFERROR(VLOOKUP(B38,'[1]model_S-フレーム'!$F$5:$R$7000,13,1),"")</f>
        <v>E356750_01</v>
      </c>
      <c r="BL38" s="7">
        <f>IFERROR(VLOOKUP(B38,'[1]model_S-フレーム'!$F$5:$V$7000,17,1),"")</f>
        <v>0</v>
      </c>
      <c r="BM38" t="str" cm="1">
        <f t="array" ref="BM38">_xlfn.IFS(LEFT(G38,1)="L","外注品",LEFT(G38,1)="W","内製品",G38="","購買品")</f>
        <v>購買品</v>
      </c>
    </row>
    <row r="39" spans="1:65">
      <c r="A39" t="str">
        <f t="shared" si="0"/>
        <v>WG01</v>
      </c>
      <c r="B39" t="s">
        <v>160</v>
      </c>
      <c r="C39" t="s">
        <v>266</v>
      </c>
      <c r="D39" s="7"/>
      <c r="E39" s="7"/>
      <c r="G39" t="s">
        <v>1938</v>
      </c>
      <c r="H39" t="str" cm="1">
        <f t="array" ref="H39">IFERROR(_xlfn.IFS(B39="","",AND(B39="",G39=""),"",G39="","記載要"),"")</f>
        <v/>
      </c>
      <c r="K39" t="str">
        <f t="shared" si="1"/>
        <v>11WP00997430</v>
      </c>
      <c r="L39" s="3" t="str">
        <f t="shared" si="2"/>
        <v>2001/01/01</v>
      </c>
      <c r="M39" s="3" t="str">
        <f t="shared" si="3"/>
        <v>2199/12/31</v>
      </c>
      <c r="N39" t="str">
        <f t="shared" si="4"/>
        <v>11WP00997430</v>
      </c>
      <c r="O39">
        <v>5</v>
      </c>
      <c r="Q39" t="str" cm="1">
        <f t="array" ref="Q39">_xlfn.IFS(AND(C39="",G39=""),"",LEFT(G39,1)="L","記載要",LEFT(G39,1)="W","",AND(C39,G39=""),"記載要")</f>
        <v/>
      </c>
      <c r="R39" s="21" t="str">
        <f t="shared" si="9"/>
        <v/>
      </c>
      <c r="S39" s="21"/>
      <c r="AA39">
        <v>1</v>
      </c>
      <c r="AB39">
        <f t="shared" si="5"/>
        <v>0</v>
      </c>
      <c r="AC39">
        <v>1</v>
      </c>
      <c r="AF39">
        <v>1</v>
      </c>
      <c r="AG39" s="8"/>
      <c r="AH39" s="8"/>
      <c r="AK39" cm="1">
        <f t="array" ref="AK39">_xlfn.IFS(B39="","",LEFT(G39,1)="L",1,LEFT(G39,1)="W",1,AND(LEFT(B39,1)="H",G39=""),0)</f>
        <v>1</v>
      </c>
      <c r="AS39" t="str">
        <f t="shared" si="6"/>
        <v/>
      </c>
      <c r="AT39" t="s">
        <v>115</v>
      </c>
      <c r="AU39" t="str">
        <f t="shared" si="7"/>
        <v>0</v>
      </c>
      <c r="BD39" t="str">
        <f t="shared" si="8"/>
        <v>0</v>
      </c>
      <c r="BK39" t="str">
        <f>IFERROR(VLOOKUP(B39,'[1]model_S-フレーム'!$F$5:$R$7000,13,1),"")</f>
        <v>E356750_01</v>
      </c>
      <c r="BL39" s="7">
        <f>IFERROR(VLOOKUP(B39,'[1]model_S-フレーム'!$F$5:$V$7000,17,1),"")</f>
        <v>0</v>
      </c>
      <c r="BM39" t="str" cm="1">
        <f t="array" ref="BM39">_xlfn.IFS(LEFT(G39,1)="L","外注品",LEFT(G39,1)="W","内製品",G39="","購買品")</f>
        <v>内製品</v>
      </c>
    </row>
    <row r="40" spans="1:65">
      <c r="A40" t="str">
        <f t="shared" si="0"/>
        <v>WG01</v>
      </c>
      <c r="B40" t="s">
        <v>161</v>
      </c>
      <c r="C40" t="s">
        <v>266</v>
      </c>
      <c r="D40" s="7"/>
      <c r="E40" s="7"/>
      <c r="G40" t="s">
        <v>1938</v>
      </c>
      <c r="H40" t="str" cm="1">
        <f t="array" ref="H40">IFERROR(_xlfn.IFS(B40="","",AND(B40="",G40=""),"",G40="","記載要"),"")</f>
        <v/>
      </c>
      <c r="K40" t="str">
        <f t="shared" si="1"/>
        <v>11WP00997431</v>
      </c>
      <c r="L40" s="3" t="str">
        <f t="shared" si="2"/>
        <v>2001/01/01</v>
      </c>
      <c r="M40" s="3" t="str">
        <f t="shared" si="3"/>
        <v>2199/12/31</v>
      </c>
      <c r="N40" t="str">
        <f t="shared" si="4"/>
        <v>11WP00997431</v>
      </c>
      <c r="O40">
        <v>5</v>
      </c>
      <c r="Q40" t="str" cm="1">
        <f t="array" ref="Q40">_xlfn.IFS(AND(C40="",G40=""),"",LEFT(G40,1)="L","記載要",LEFT(G40,1)="W","",AND(C40,G40=""),"記載要")</f>
        <v/>
      </c>
      <c r="R40" s="21" t="str">
        <f t="shared" si="9"/>
        <v/>
      </c>
      <c r="S40" s="21"/>
      <c r="AA40">
        <v>1</v>
      </c>
      <c r="AB40">
        <f t="shared" si="5"/>
        <v>0</v>
      </c>
      <c r="AC40">
        <v>1</v>
      </c>
      <c r="AF40">
        <v>1</v>
      </c>
      <c r="AG40" s="8"/>
      <c r="AH40" s="8"/>
      <c r="AK40" cm="1">
        <f t="array" ref="AK40">_xlfn.IFS(B40="","",LEFT(G40,1)="L",1,LEFT(G40,1)="W",1,AND(LEFT(B40,1)="H",G40=""),0)</f>
        <v>1</v>
      </c>
      <c r="AS40" t="str">
        <f t="shared" si="6"/>
        <v/>
      </c>
      <c r="AT40" t="s">
        <v>115</v>
      </c>
      <c r="AU40" t="str">
        <f t="shared" si="7"/>
        <v>0</v>
      </c>
      <c r="BD40" t="str">
        <f t="shared" si="8"/>
        <v>0</v>
      </c>
      <c r="BK40" t="str">
        <f>IFERROR(VLOOKUP(B40,'[1]model_S-フレーム'!$F$5:$R$7000,13,1),"")</f>
        <v>E356750_01</v>
      </c>
      <c r="BL40" s="7">
        <f>IFERROR(VLOOKUP(B40,'[1]model_S-フレーム'!$F$5:$V$7000,17,1),"")</f>
        <v>0</v>
      </c>
      <c r="BM40" t="str" cm="1">
        <f t="array" ref="BM40">_xlfn.IFS(LEFT(G40,1)="L","外注品",LEFT(G40,1)="W","内製品",G40="","購買品")</f>
        <v>内製品</v>
      </c>
    </row>
    <row r="41" spans="1:65">
      <c r="A41" t="str">
        <f t="shared" si="0"/>
        <v>WG01</v>
      </c>
      <c r="B41" t="s">
        <v>162</v>
      </c>
      <c r="C41" t="s">
        <v>266</v>
      </c>
      <c r="D41" s="7"/>
      <c r="E41" s="7"/>
      <c r="G41" t="s">
        <v>1938</v>
      </c>
      <c r="H41" t="str" cm="1">
        <f t="array" ref="H41">IFERROR(_xlfn.IFS(B41="","",AND(B41="",G41=""),"",G41="","記載要"),"")</f>
        <v/>
      </c>
      <c r="K41" t="str">
        <f t="shared" si="1"/>
        <v>11WP00997432</v>
      </c>
      <c r="L41" s="3" t="str">
        <f t="shared" si="2"/>
        <v>2001/01/01</v>
      </c>
      <c r="M41" s="3" t="str">
        <f t="shared" si="3"/>
        <v>2199/12/31</v>
      </c>
      <c r="N41" t="str">
        <f t="shared" si="4"/>
        <v>11WP00997432</v>
      </c>
      <c r="O41">
        <v>5</v>
      </c>
      <c r="Q41" t="str" cm="1">
        <f t="array" ref="Q41">_xlfn.IFS(AND(C41="",G41=""),"",LEFT(G41,1)="L","記載要",LEFT(G41,1)="W","",AND(C41,G41=""),"記載要")</f>
        <v/>
      </c>
      <c r="R41" s="21" t="str">
        <f t="shared" si="9"/>
        <v/>
      </c>
      <c r="S41" s="21"/>
      <c r="AA41">
        <v>1</v>
      </c>
      <c r="AB41">
        <f t="shared" si="5"/>
        <v>0</v>
      </c>
      <c r="AC41">
        <v>1</v>
      </c>
      <c r="AF41">
        <v>1</v>
      </c>
      <c r="AG41" s="8"/>
      <c r="AH41" s="8"/>
      <c r="AK41" cm="1">
        <f t="array" ref="AK41">_xlfn.IFS(B41="","",LEFT(G41,1)="L",1,LEFT(G41,1)="W",1,AND(LEFT(B41,1)="H",G41=""),0)</f>
        <v>1</v>
      </c>
      <c r="AS41" t="str">
        <f t="shared" si="6"/>
        <v/>
      </c>
      <c r="AT41" t="s">
        <v>115</v>
      </c>
      <c r="AU41" t="str">
        <f t="shared" si="7"/>
        <v>0</v>
      </c>
      <c r="BD41" t="str">
        <f t="shared" si="8"/>
        <v>0</v>
      </c>
      <c r="BK41" t="str">
        <f>IFERROR(VLOOKUP(B41,'[1]model_S-フレーム'!$F$5:$R$7000,13,1),"")</f>
        <v>E356750_01</v>
      </c>
      <c r="BL41" s="7">
        <f>IFERROR(VLOOKUP(B41,'[1]model_S-フレーム'!$F$5:$V$7000,17,1),"")</f>
        <v>0</v>
      </c>
      <c r="BM41" t="str" cm="1">
        <f t="array" ref="BM41">_xlfn.IFS(LEFT(G41,1)="L","外注品",LEFT(G41,1)="W","内製品",G41="","購買品")</f>
        <v>内製品</v>
      </c>
    </row>
    <row r="42" spans="1:65">
      <c r="A42" t="str">
        <f t="shared" si="0"/>
        <v>WG01</v>
      </c>
      <c r="B42" t="s">
        <v>163</v>
      </c>
      <c r="C42" t="s">
        <v>266</v>
      </c>
      <c r="D42" s="7"/>
      <c r="E42" s="7"/>
      <c r="G42" t="s">
        <v>1938</v>
      </c>
      <c r="H42" t="str" cm="1">
        <f t="array" ref="H42">IFERROR(_xlfn.IFS(B42="","",AND(B42="",G42=""),"",G42="","記載要"),"")</f>
        <v/>
      </c>
      <c r="K42" t="str">
        <f t="shared" si="1"/>
        <v>11WP00997433</v>
      </c>
      <c r="L42" s="3" t="str">
        <f t="shared" si="2"/>
        <v>2001/01/01</v>
      </c>
      <c r="M42" s="3" t="str">
        <f t="shared" si="3"/>
        <v>2199/12/31</v>
      </c>
      <c r="N42" t="str">
        <f t="shared" si="4"/>
        <v>11WP00997433</v>
      </c>
      <c r="O42">
        <v>5</v>
      </c>
      <c r="Q42" t="str" cm="1">
        <f t="array" ref="Q42">_xlfn.IFS(AND(C42="",G42=""),"",LEFT(G42,1)="L","記載要",LEFT(G42,1)="W","",AND(C42,G42=""),"記載要")</f>
        <v/>
      </c>
      <c r="R42" s="21" t="str">
        <f t="shared" si="9"/>
        <v/>
      </c>
      <c r="S42" s="21"/>
      <c r="AA42">
        <v>1</v>
      </c>
      <c r="AB42">
        <f t="shared" si="5"/>
        <v>0</v>
      </c>
      <c r="AC42">
        <v>1</v>
      </c>
      <c r="AF42">
        <v>1</v>
      </c>
      <c r="AG42" s="8"/>
      <c r="AH42" s="8"/>
      <c r="AK42" cm="1">
        <f t="array" ref="AK42">_xlfn.IFS(B42="","",LEFT(G42,1)="L",1,LEFT(G42,1)="W",1,AND(LEFT(B42,1)="H",G42=""),0)</f>
        <v>1</v>
      </c>
      <c r="AS42" t="str">
        <f t="shared" si="6"/>
        <v/>
      </c>
      <c r="AT42" t="s">
        <v>115</v>
      </c>
      <c r="AU42" t="str">
        <f t="shared" si="7"/>
        <v>0</v>
      </c>
      <c r="BD42" t="str">
        <f t="shared" si="8"/>
        <v>0</v>
      </c>
      <c r="BK42" t="str">
        <f>IFERROR(VLOOKUP(B42,'[1]model_S-フレーム'!$F$5:$R$7000,13,1),"")</f>
        <v>E356750_01</v>
      </c>
      <c r="BL42" s="7">
        <f>IFERROR(VLOOKUP(B42,'[1]model_S-フレーム'!$F$5:$V$7000,17,1),"")</f>
        <v>0</v>
      </c>
      <c r="BM42" t="str" cm="1">
        <f t="array" ref="BM42">_xlfn.IFS(LEFT(G42,1)="L","外注品",LEFT(G42,1)="W","内製品",G42="","購買品")</f>
        <v>内製品</v>
      </c>
    </row>
    <row r="43" spans="1:65">
      <c r="A43" t="str">
        <f t="shared" si="0"/>
        <v>WG01</v>
      </c>
      <c r="B43" t="s">
        <v>164</v>
      </c>
      <c r="C43" t="s">
        <v>266</v>
      </c>
      <c r="D43" s="7"/>
      <c r="E43" s="7"/>
      <c r="G43" t="s">
        <v>1938</v>
      </c>
      <c r="H43" t="str" cm="1">
        <f t="array" ref="H43">IFERROR(_xlfn.IFS(B43="","",AND(B43="",G43=""),"",G43="","記載要"),"")</f>
        <v/>
      </c>
      <c r="K43" t="str">
        <f t="shared" si="1"/>
        <v>11WP00997434</v>
      </c>
      <c r="L43" s="3" t="str">
        <f t="shared" si="2"/>
        <v>2001/01/01</v>
      </c>
      <c r="M43" s="3" t="str">
        <f t="shared" si="3"/>
        <v>2199/12/31</v>
      </c>
      <c r="N43" t="str">
        <f t="shared" si="4"/>
        <v>11WP00997434</v>
      </c>
      <c r="O43">
        <v>5</v>
      </c>
      <c r="Q43" t="str" cm="1">
        <f t="array" ref="Q43">_xlfn.IFS(AND(C43="",G43=""),"",LEFT(G43,1)="L","記載要",LEFT(G43,1)="W","",AND(C43,G43=""),"記載要")</f>
        <v/>
      </c>
      <c r="R43" s="21" t="str">
        <f t="shared" si="9"/>
        <v/>
      </c>
      <c r="S43" s="21"/>
      <c r="AA43">
        <v>1</v>
      </c>
      <c r="AB43">
        <f t="shared" si="5"/>
        <v>0</v>
      </c>
      <c r="AC43">
        <v>1</v>
      </c>
      <c r="AF43">
        <v>1</v>
      </c>
      <c r="AG43" s="8"/>
      <c r="AH43" s="8"/>
      <c r="AK43" cm="1">
        <f t="array" ref="AK43">_xlfn.IFS(B43="","",LEFT(G43,1)="L",1,LEFT(G43,1)="W",1,AND(LEFT(B43,1)="H",G43=""),0)</f>
        <v>1</v>
      </c>
      <c r="AS43" t="str">
        <f t="shared" si="6"/>
        <v/>
      </c>
      <c r="AT43" t="s">
        <v>115</v>
      </c>
      <c r="AU43" t="str">
        <f t="shared" si="7"/>
        <v>0</v>
      </c>
      <c r="BD43" t="str">
        <f t="shared" si="8"/>
        <v>0</v>
      </c>
      <c r="BK43" t="str">
        <f>IFERROR(VLOOKUP(B43,'[1]model_S-フレーム'!$F$5:$R$7000,13,1),"")</f>
        <v>E356750_01</v>
      </c>
      <c r="BL43" s="7">
        <f>IFERROR(VLOOKUP(B43,'[1]model_S-フレーム'!$F$5:$V$7000,17,1),"")</f>
        <v>0</v>
      </c>
      <c r="BM43" t="str" cm="1">
        <f t="array" ref="BM43">_xlfn.IFS(LEFT(G43,1)="L","外注品",LEFT(G43,1)="W","内製品",G43="","購買品")</f>
        <v>内製品</v>
      </c>
    </row>
    <row r="44" spans="1:65">
      <c r="A44" t="str">
        <f t="shared" si="0"/>
        <v>WG01</v>
      </c>
      <c r="B44" t="s">
        <v>165</v>
      </c>
      <c r="C44" t="s">
        <v>266</v>
      </c>
      <c r="D44" s="7"/>
      <c r="E44" s="7"/>
      <c r="G44" t="s">
        <v>1938</v>
      </c>
      <c r="H44" t="str" cm="1">
        <f t="array" ref="H44">IFERROR(_xlfn.IFS(B44="","",AND(B44="",G44=""),"",G44="","記載要"),"")</f>
        <v/>
      </c>
      <c r="K44" t="str">
        <f t="shared" si="1"/>
        <v>11WP00997435</v>
      </c>
      <c r="L44" s="3" t="str">
        <f t="shared" si="2"/>
        <v>2001/01/01</v>
      </c>
      <c r="M44" s="3" t="str">
        <f t="shared" si="3"/>
        <v>2199/12/31</v>
      </c>
      <c r="N44" t="str">
        <f t="shared" si="4"/>
        <v>11WP00997435</v>
      </c>
      <c r="O44">
        <v>5</v>
      </c>
      <c r="Q44" t="str" cm="1">
        <f t="array" ref="Q44">_xlfn.IFS(AND(C44="",G44=""),"",LEFT(G44,1)="L","記載要",LEFT(G44,1)="W","",AND(C44,G44=""),"記載要")</f>
        <v/>
      </c>
      <c r="R44" s="21" t="str">
        <f t="shared" si="9"/>
        <v/>
      </c>
      <c r="S44" s="21"/>
      <c r="AA44">
        <v>1</v>
      </c>
      <c r="AB44">
        <f t="shared" si="5"/>
        <v>0</v>
      </c>
      <c r="AC44">
        <v>1</v>
      </c>
      <c r="AF44">
        <v>1</v>
      </c>
      <c r="AG44" s="8"/>
      <c r="AH44" s="8"/>
      <c r="AK44" cm="1">
        <f t="array" ref="AK44">_xlfn.IFS(B44="","",LEFT(G44,1)="L",1,LEFT(G44,1)="W",1,AND(LEFT(B44,1)="H",G44=""),0)</f>
        <v>1</v>
      </c>
      <c r="AS44" t="str">
        <f t="shared" si="6"/>
        <v/>
      </c>
      <c r="AT44" t="s">
        <v>115</v>
      </c>
      <c r="AU44" t="str">
        <f t="shared" si="7"/>
        <v>0</v>
      </c>
      <c r="BD44" t="str">
        <f t="shared" si="8"/>
        <v>0</v>
      </c>
      <c r="BK44" t="str">
        <f>IFERROR(VLOOKUP(B44,'[1]model_S-フレーム'!$F$5:$R$7000,13,1),"")</f>
        <v>E356750_01</v>
      </c>
      <c r="BL44" s="7">
        <f>IFERROR(VLOOKUP(B44,'[1]model_S-フレーム'!$F$5:$V$7000,17,1),"")</f>
        <v>0</v>
      </c>
      <c r="BM44" t="str" cm="1">
        <f t="array" ref="BM44">_xlfn.IFS(LEFT(G44,1)="L","外注品",LEFT(G44,1)="W","内製品",G44="","購買品")</f>
        <v>内製品</v>
      </c>
    </row>
    <row r="45" spans="1:65">
      <c r="A45" t="str">
        <f t="shared" si="0"/>
        <v>WG01</v>
      </c>
      <c r="B45" t="s">
        <v>166</v>
      </c>
      <c r="C45" t="s">
        <v>266</v>
      </c>
      <c r="D45" s="7"/>
      <c r="E45" s="7"/>
      <c r="G45" t="s">
        <v>1938</v>
      </c>
      <c r="H45" t="str" cm="1">
        <f t="array" ref="H45">IFERROR(_xlfn.IFS(B45="","",AND(B45="",G45=""),"",G45="","記載要"),"")</f>
        <v/>
      </c>
      <c r="K45" t="str">
        <f t="shared" si="1"/>
        <v>11WP00997436</v>
      </c>
      <c r="L45" s="3" t="str">
        <f t="shared" si="2"/>
        <v>2001/01/01</v>
      </c>
      <c r="M45" s="3" t="str">
        <f t="shared" si="3"/>
        <v>2199/12/31</v>
      </c>
      <c r="N45" t="str">
        <f t="shared" si="4"/>
        <v>11WP00997436</v>
      </c>
      <c r="O45">
        <v>5</v>
      </c>
      <c r="Q45" t="str" cm="1">
        <f t="array" ref="Q45">_xlfn.IFS(AND(C45="",G45=""),"",LEFT(G45,1)="L","記載要",LEFT(G45,1)="W","",AND(C45,G45=""),"記載要")</f>
        <v/>
      </c>
      <c r="R45" s="21" t="str">
        <f t="shared" si="9"/>
        <v/>
      </c>
      <c r="S45" s="21"/>
      <c r="AA45">
        <v>1</v>
      </c>
      <c r="AB45">
        <f t="shared" si="5"/>
        <v>0</v>
      </c>
      <c r="AC45">
        <v>1</v>
      </c>
      <c r="AF45">
        <v>1</v>
      </c>
      <c r="AG45" s="8"/>
      <c r="AH45" s="8"/>
      <c r="AK45" cm="1">
        <f t="array" ref="AK45">_xlfn.IFS(B45="","",LEFT(G45,1)="L",1,LEFT(G45,1)="W",1,AND(LEFT(B45,1)="H",G45=""),0)</f>
        <v>1</v>
      </c>
      <c r="AS45" t="str">
        <f t="shared" si="6"/>
        <v/>
      </c>
      <c r="AT45" t="s">
        <v>115</v>
      </c>
      <c r="AU45" t="str">
        <f t="shared" si="7"/>
        <v>0</v>
      </c>
      <c r="BD45" t="str">
        <f t="shared" si="8"/>
        <v>0</v>
      </c>
      <c r="BK45" t="str">
        <f>IFERROR(VLOOKUP(B45,'[1]model_S-フレーム'!$F$5:$R$7000,13,1),"")</f>
        <v>E356750_01</v>
      </c>
      <c r="BL45" s="7">
        <f>IFERROR(VLOOKUP(B45,'[1]model_S-フレーム'!$F$5:$V$7000,17,1),"")</f>
        <v>0</v>
      </c>
      <c r="BM45" t="str" cm="1">
        <f t="array" ref="BM45">_xlfn.IFS(LEFT(G45,1)="L","外注品",LEFT(G45,1)="W","内製品",G45="","購買品")</f>
        <v>内製品</v>
      </c>
    </row>
    <row r="46" spans="1:65">
      <c r="A46" t="str">
        <f t="shared" si="0"/>
        <v>WG01</v>
      </c>
      <c r="B46" t="s">
        <v>167</v>
      </c>
      <c r="C46" t="s">
        <v>266</v>
      </c>
      <c r="D46" s="7"/>
      <c r="E46" s="7"/>
      <c r="G46" t="s">
        <v>1938</v>
      </c>
      <c r="H46" t="str" cm="1">
        <f t="array" ref="H46">IFERROR(_xlfn.IFS(B46="","",AND(B46="",G46=""),"",G46="","記載要"),"")</f>
        <v/>
      </c>
      <c r="K46" t="str">
        <f t="shared" si="1"/>
        <v>11WP00997437</v>
      </c>
      <c r="L46" s="3" t="str">
        <f t="shared" si="2"/>
        <v>2001/01/01</v>
      </c>
      <c r="M46" s="3" t="str">
        <f t="shared" si="3"/>
        <v>2199/12/31</v>
      </c>
      <c r="N46" t="str">
        <f t="shared" si="4"/>
        <v>11WP00997437</v>
      </c>
      <c r="O46">
        <v>5</v>
      </c>
      <c r="Q46" t="str" cm="1">
        <f t="array" ref="Q46">_xlfn.IFS(AND(C46="",G46=""),"",LEFT(G46,1)="L","記載要",LEFT(G46,1)="W","",AND(C46,G46=""),"記載要")</f>
        <v/>
      </c>
      <c r="R46" s="21" t="str">
        <f t="shared" si="9"/>
        <v/>
      </c>
      <c r="S46" s="21"/>
      <c r="AA46">
        <v>1</v>
      </c>
      <c r="AB46">
        <f t="shared" si="5"/>
        <v>0</v>
      </c>
      <c r="AC46">
        <v>1</v>
      </c>
      <c r="AF46">
        <v>1</v>
      </c>
      <c r="AG46" s="8"/>
      <c r="AH46" s="8"/>
      <c r="AK46" cm="1">
        <f t="array" ref="AK46">_xlfn.IFS(B46="","",LEFT(G46,1)="L",1,LEFT(G46,1)="W",1,AND(LEFT(B46,1)="H",G46=""),0)</f>
        <v>1</v>
      </c>
      <c r="AS46" t="str">
        <f t="shared" si="6"/>
        <v/>
      </c>
      <c r="AT46" t="s">
        <v>115</v>
      </c>
      <c r="AU46" t="str">
        <f t="shared" si="7"/>
        <v>0</v>
      </c>
      <c r="BD46" t="str">
        <f t="shared" si="8"/>
        <v>0</v>
      </c>
      <c r="BK46" t="str">
        <f>IFERROR(VLOOKUP(B46,'[1]model_S-フレーム'!$F$5:$R$7000,13,1),"")</f>
        <v>E356750_01</v>
      </c>
      <c r="BL46" s="7">
        <f>IFERROR(VLOOKUP(B46,'[1]model_S-フレーム'!$F$5:$V$7000,17,1),"")</f>
        <v>0</v>
      </c>
      <c r="BM46" t="str" cm="1">
        <f t="array" ref="BM46">_xlfn.IFS(LEFT(G46,1)="L","外注品",LEFT(G46,1)="W","内製品",G46="","購買品")</f>
        <v>内製品</v>
      </c>
    </row>
    <row r="47" spans="1:65">
      <c r="A47" t="str">
        <f t="shared" si="0"/>
        <v>WG01</v>
      </c>
      <c r="B47" t="s">
        <v>168</v>
      </c>
      <c r="C47" t="s">
        <v>267</v>
      </c>
      <c r="D47" s="7"/>
      <c r="E47" s="7"/>
      <c r="G47" t="s">
        <v>1938</v>
      </c>
      <c r="H47" t="str" cm="1">
        <f t="array" ref="H47">IFERROR(_xlfn.IFS(B47="","",AND(B47="",G47=""),"",G47="","記載要"),"")</f>
        <v/>
      </c>
      <c r="K47" t="str">
        <f t="shared" si="1"/>
        <v>11WP00997438</v>
      </c>
      <c r="L47" s="3" t="str">
        <f t="shared" si="2"/>
        <v>2001/01/01</v>
      </c>
      <c r="M47" s="3" t="str">
        <f t="shared" si="3"/>
        <v>2199/12/31</v>
      </c>
      <c r="N47" t="str">
        <f t="shared" si="4"/>
        <v>11WP00997438</v>
      </c>
      <c r="O47">
        <v>5</v>
      </c>
      <c r="Q47" t="str" cm="1">
        <f t="array" ref="Q47">_xlfn.IFS(AND(C47="",G47=""),"",LEFT(G47,1)="L","記載要",LEFT(G47,1)="W","",AND(C47,G47=""),"記載要")</f>
        <v/>
      </c>
      <c r="R47" s="21" t="str">
        <f t="shared" si="9"/>
        <v/>
      </c>
      <c r="S47" s="21"/>
      <c r="AA47">
        <v>1</v>
      </c>
      <c r="AB47">
        <f t="shared" si="5"/>
        <v>0</v>
      </c>
      <c r="AC47">
        <v>1</v>
      </c>
      <c r="AF47">
        <v>1</v>
      </c>
      <c r="AG47" s="8"/>
      <c r="AH47" s="8"/>
      <c r="AK47" cm="1">
        <f t="array" ref="AK47">_xlfn.IFS(B47="","",LEFT(G47,1)="L",1,LEFT(G47,1)="W",1,AND(LEFT(B47,1)="H",G47=""),0)</f>
        <v>1</v>
      </c>
      <c r="AS47" t="str">
        <f t="shared" si="6"/>
        <v/>
      </c>
      <c r="AT47" t="s">
        <v>115</v>
      </c>
      <c r="AU47" t="str">
        <f t="shared" si="7"/>
        <v>0</v>
      </c>
      <c r="BD47" t="str">
        <f t="shared" si="8"/>
        <v>0</v>
      </c>
      <c r="BK47" t="str">
        <f>IFERROR(VLOOKUP(B47,'[1]model_S-フレーム'!$F$5:$R$7000,13,1),"")</f>
        <v>E356750_01</v>
      </c>
      <c r="BL47" s="7">
        <f>IFERROR(VLOOKUP(B47,'[1]model_S-フレーム'!$F$5:$V$7000,17,1),"")</f>
        <v>0</v>
      </c>
      <c r="BM47" t="str" cm="1">
        <f t="array" ref="BM47">_xlfn.IFS(LEFT(G47,1)="L","外注品",LEFT(G47,1)="W","内製品",G47="","購買品")</f>
        <v>内製品</v>
      </c>
    </row>
    <row r="48" spans="1:65">
      <c r="A48" t="str">
        <f t="shared" si="0"/>
        <v>WG01</v>
      </c>
      <c r="B48" t="s">
        <v>169</v>
      </c>
      <c r="C48" t="s">
        <v>267</v>
      </c>
      <c r="D48" s="7"/>
      <c r="E48" s="7"/>
      <c r="G48" t="s">
        <v>1938</v>
      </c>
      <c r="H48" t="str" cm="1">
        <f t="array" ref="H48">IFERROR(_xlfn.IFS(B48="","",AND(B48="",G48=""),"",G48="","記載要"),"")</f>
        <v/>
      </c>
      <c r="K48" t="str">
        <f t="shared" si="1"/>
        <v>11WP00997439</v>
      </c>
      <c r="L48" s="3" t="str">
        <f t="shared" si="2"/>
        <v>2001/01/01</v>
      </c>
      <c r="M48" s="3" t="str">
        <f t="shared" si="3"/>
        <v>2199/12/31</v>
      </c>
      <c r="N48" t="str">
        <f t="shared" si="4"/>
        <v>11WP00997439</v>
      </c>
      <c r="O48">
        <v>5</v>
      </c>
      <c r="Q48" t="str" cm="1">
        <f t="array" ref="Q48">_xlfn.IFS(AND(C48="",G48=""),"",LEFT(G48,1)="L","記載要",LEFT(G48,1)="W","",AND(C48,G48=""),"記載要")</f>
        <v/>
      </c>
      <c r="R48" s="21" t="str">
        <f t="shared" si="9"/>
        <v/>
      </c>
      <c r="S48" s="21"/>
      <c r="AA48">
        <v>1</v>
      </c>
      <c r="AB48">
        <f t="shared" si="5"/>
        <v>0</v>
      </c>
      <c r="AC48">
        <v>1</v>
      </c>
      <c r="AF48">
        <v>1</v>
      </c>
      <c r="AG48" s="8"/>
      <c r="AH48" s="8"/>
      <c r="AK48" cm="1">
        <f t="array" ref="AK48">_xlfn.IFS(B48="","",LEFT(G48,1)="L",1,LEFT(G48,1)="W",1,AND(LEFT(B48,1)="H",G48=""),0)</f>
        <v>1</v>
      </c>
      <c r="AS48" t="str">
        <f t="shared" si="6"/>
        <v/>
      </c>
      <c r="AT48" t="s">
        <v>115</v>
      </c>
      <c r="AU48" t="str">
        <f t="shared" si="7"/>
        <v>0</v>
      </c>
      <c r="BD48" t="str">
        <f t="shared" si="8"/>
        <v>0</v>
      </c>
      <c r="BK48" t="str">
        <f>IFERROR(VLOOKUP(B48,'[1]model_S-フレーム'!$F$5:$R$7000,13,1),"")</f>
        <v>E356750_01</v>
      </c>
      <c r="BL48" s="7">
        <f>IFERROR(VLOOKUP(B48,'[1]model_S-フレーム'!$F$5:$V$7000,17,1),"")</f>
        <v>0</v>
      </c>
      <c r="BM48" t="str" cm="1">
        <f t="array" ref="BM48">_xlfn.IFS(LEFT(G48,1)="L","外注品",LEFT(G48,1)="W","内製品",G48="","購買品")</f>
        <v>内製品</v>
      </c>
    </row>
    <row r="49" spans="1:65">
      <c r="A49" t="str">
        <f t="shared" si="0"/>
        <v>WG01</v>
      </c>
      <c r="B49" t="s">
        <v>170</v>
      </c>
      <c r="C49" t="s">
        <v>267</v>
      </c>
      <c r="D49" s="7"/>
      <c r="E49" s="7"/>
      <c r="G49" t="s">
        <v>1938</v>
      </c>
      <c r="H49" t="str" cm="1">
        <f t="array" ref="H49">IFERROR(_xlfn.IFS(B49="","",AND(B49="",G49=""),"",G49="","記載要"),"")</f>
        <v/>
      </c>
      <c r="K49" t="str">
        <f t="shared" si="1"/>
        <v>11WP00997440</v>
      </c>
      <c r="L49" s="3" t="str">
        <f t="shared" si="2"/>
        <v>2001/01/01</v>
      </c>
      <c r="M49" s="3" t="str">
        <f t="shared" si="3"/>
        <v>2199/12/31</v>
      </c>
      <c r="N49" t="str">
        <f t="shared" si="4"/>
        <v>11WP00997440</v>
      </c>
      <c r="O49">
        <v>5</v>
      </c>
      <c r="Q49" t="str" cm="1">
        <f t="array" ref="Q49">_xlfn.IFS(AND(C49="",G49=""),"",LEFT(G49,1)="L","記載要",LEFT(G49,1)="W","",AND(C49,G49=""),"記載要")</f>
        <v/>
      </c>
      <c r="R49" s="21" t="str">
        <f t="shared" si="9"/>
        <v/>
      </c>
      <c r="S49" s="21"/>
      <c r="AA49">
        <v>1</v>
      </c>
      <c r="AB49">
        <f t="shared" si="5"/>
        <v>0</v>
      </c>
      <c r="AC49">
        <v>1</v>
      </c>
      <c r="AF49">
        <v>1</v>
      </c>
      <c r="AG49" s="8"/>
      <c r="AH49" s="8"/>
      <c r="AK49" cm="1">
        <f t="array" ref="AK49">_xlfn.IFS(B49="","",LEFT(G49,1)="L",1,LEFT(G49,1)="W",1,AND(LEFT(B49,1)="H",G49=""),0)</f>
        <v>1</v>
      </c>
      <c r="AS49" t="str">
        <f t="shared" si="6"/>
        <v/>
      </c>
      <c r="AT49" t="s">
        <v>115</v>
      </c>
      <c r="AU49" t="str">
        <f t="shared" si="7"/>
        <v>0</v>
      </c>
      <c r="BD49" t="str">
        <f t="shared" si="8"/>
        <v>0</v>
      </c>
      <c r="BK49" t="str">
        <f>IFERROR(VLOOKUP(B49,'[1]model_S-フレーム'!$F$5:$R$7000,13,1),"")</f>
        <v>E356750_01</v>
      </c>
      <c r="BL49" s="7">
        <f>IFERROR(VLOOKUP(B49,'[1]model_S-フレーム'!$F$5:$V$7000,17,1),"")</f>
        <v>0</v>
      </c>
      <c r="BM49" t="str" cm="1">
        <f t="array" ref="BM49">_xlfn.IFS(LEFT(G49,1)="L","外注品",LEFT(G49,1)="W","内製品",G49="","購買品")</f>
        <v>内製品</v>
      </c>
    </row>
    <row r="50" spans="1:65">
      <c r="A50" t="str">
        <f t="shared" si="0"/>
        <v>WG01</v>
      </c>
      <c r="B50" t="s">
        <v>171</v>
      </c>
      <c r="C50" t="s">
        <v>267</v>
      </c>
      <c r="D50" s="7"/>
      <c r="E50" s="7"/>
      <c r="G50" t="s">
        <v>1938</v>
      </c>
      <c r="H50" t="str" cm="1">
        <f t="array" ref="H50">IFERROR(_xlfn.IFS(B50="","",AND(B50="",G50=""),"",G50="","記載要"),"")</f>
        <v/>
      </c>
      <c r="K50" t="str">
        <f t="shared" si="1"/>
        <v>11WP00997441</v>
      </c>
      <c r="L50" s="3" t="str">
        <f t="shared" si="2"/>
        <v>2001/01/01</v>
      </c>
      <c r="M50" s="3" t="str">
        <f t="shared" si="3"/>
        <v>2199/12/31</v>
      </c>
      <c r="N50" t="str">
        <f t="shared" si="4"/>
        <v>11WP00997441</v>
      </c>
      <c r="O50">
        <v>5</v>
      </c>
      <c r="Q50" t="str" cm="1">
        <f t="array" ref="Q50">_xlfn.IFS(AND(C50="",G50=""),"",LEFT(G50,1)="L","記載要",LEFT(G50,1)="W","",AND(C50,G50=""),"記載要")</f>
        <v/>
      </c>
      <c r="R50" s="21" t="str">
        <f t="shared" si="9"/>
        <v/>
      </c>
      <c r="S50" s="21"/>
      <c r="V50" s="8"/>
      <c r="AA50">
        <v>1</v>
      </c>
      <c r="AB50">
        <f t="shared" si="5"/>
        <v>0</v>
      </c>
      <c r="AC50">
        <v>1</v>
      </c>
      <c r="AF50">
        <v>1</v>
      </c>
      <c r="AG50" s="8"/>
      <c r="AH50" s="8"/>
      <c r="AK50" cm="1">
        <f t="array" ref="AK50">_xlfn.IFS(B50="","",LEFT(G50,1)="L",1,LEFT(G50,1)="W",1,AND(LEFT(B50,1)="H",G50=""),0)</f>
        <v>1</v>
      </c>
      <c r="AS50" t="str">
        <f t="shared" si="6"/>
        <v/>
      </c>
      <c r="AT50" t="s">
        <v>115</v>
      </c>
      <c r="AU50" t="str">
        <f t="shared" si="7"/>
        <v>0</v>
      </c>
      <c r="BD50" t="str">
        <f t="shared" si="8"/>
        <v>0</v>
      </c>
      <c r="BK50" t="str">
        <f>IFERROR(VLOOKUP(B50,'[1]model_S-フレーム'!$F$5:$R$7000,13,1),"")</f>
        <v>E356750_01</v>
      </c>
      <c r="BL50" s="7">
        <f>IFERROR(VLOOKUP(B50,'[1]model_S-フレーム'!$F$5:$V$7000,17,1),"")</f>
        <v>0</v>
      </c>
      <c r="BM50" t="str" cm="1">
        <f t="array" ref="BM50">_xlfn.IFS(LEFT(G50,1)="L","外注品",LEFT(G50,1)="W","内製品",G50="","購買品")</f>
        <v>内製品</v>
      </c>
    </row>
    <row r="51" spans="1:65">
      <c r="A51" t="str">
        <f t="shared" si="0"/>
        <v>WG01</v>
      </c>
      <c r="B51" t="s">
        <v>172</v>
      </c>
      <c r="C51" t="s">
        <v>268</v>
      </c>
      <c r="D51" s="7"/>
      <c r="E51" s="7"/>
      <c r="G51" t="s">
        <v>1938</v>
      </c>
      <c r="H51" t="str" cm="1">
        <f t="array" ref="H51">IFERROR(_xlfn.IFS(B51="","",AND(B51="",G51=""),"",G51="","記載要"),"")</f>
        <v/>
      </c>
      <c r="K51" t="str">
        <f t="shared" si="1"/>
        <v>11WP00997442</v>
      </c>
      <c r="L51" s="3" t="str">
        <f t="shared" si="2"/>
        <v>2001/01/01</v>
      </c>
      <c r="M51" s="3" t="str">
        <f t="shared" si="3"/>
        <v>2199/12/31</v>
      </c>
      <c r="N51" t="str">
        <f t="shared" si="4"/>
        <v>11WP00997442</v>
      </c>
      <c r="O51">
        <v>5</v>
      </c>
      <c r="Q51" t="str" cm="1">
        <f t="array" ref="Q51">_xlfn.IFS(AND(C51="",G51=""),"",LEFT(G51,1)="L","記載要",LEFT(G51,1)="W","",AND(C51,G51=""),"記載要")</f>
        <v/>
      </c>
      <c r="R51" s="21" t="str">
        <f t="shared" si="9"/>
        <v/>
      </c>
      <c r="S51" s="21"/>
      <c r="AA51">
        <v>1</v>
      </c>
      <c r="AB51">
        <f t="shared" si="5"/>
        <v>0</v>
      </c>
      <c r="AC51">
        <v>1</v>
      </c>
      <c r="AF51">
        <v>1</v>
      </c>
      <c r="AG51" s="8"/>
      <c r="AH51" s="8"/>
      <c r="AK51" cm="1">
        <f t="array" ref="AK51">_xlfn.IFS(B51="","",LEFT(G51,1)="L",1,LEFT(G51,1)="W",1,AND(LEFT(B51,1)="H",G51=""),0)</f>
        <v>1</v>
      </c>
      <c r="AS51" t="str">
        <f t="shared" si="6"/>
        <v/>
      </c>
      <c r="AT51" t="s">
        <v>115</v>
      </c>
      <c r="AU51" t="str">
        <f t="shared" si="7"/>
        <v>0</v>
      </c>
      <c r="BD51" t="str">
        <f t="shared" si="8"/>
        <v>0</v>
      </c>
      <c r="BK51" t="str">
        <f>IFERROR(VLOOKUP(B51,'[1]model_S-フレーム'!$F$5:$R$7000,13,1),"")</f>
        <v>E356750_01</v>
      </c>
      <c r="BL51" s="7">
        <f>IFERROR(VLOOKUP(B51,'[1]model_S-フレーム'!$F$5:$V$7000,17,1),"")</f>
        <v>0</v>
      </c>
      <c r="BM51" t="str" cm="1">
        <f t="array" ref="BM51">_xlfn.IFS(LEFT(G51,1)="L","外注品",LEFT(G51,1)="W","内製品",G51="","購買品")</f>
        <v>内製品</v>
      </c>
    </row>
    <row r="52" spans="1:65">
      <c r="A52" t="str">
        <f t="shared" si="0"/>
        <v>WG01</v>
      </c>
      <c r="B52" t="s">
        <v>173</v>
      </c>
      <c r="C52" t="s">
        <v>268</v>
      </c>
      <c r="D52" s="7"/>
      <c r="E52" s="7"/>
      <c r="G52" t="s">
        <v>1938</v>
      </c>
      <c r="H52" t="str" cm="1">
        <f t="array" ref="H52">IFERROR(_xlfn.IFS(B52="","",AND(B52="",G52=""),"",G52="","記載要"),"")</f>
        <v/>
      </c>
      <c r="K52" t="str">
        <f t="shared" si="1"/>
        <v>11WP00997443</v>
      </c>
      <c r="L52" s="3" t="str">
        <f t="shared" si="2"/>
        <v>2001/01/01</v>
      </c>
      <c r="M52" s="3" t="str">
        <f t="shared" si="3"/>
        <v>2199/12/31</v>
      </c>
      <c r="N52" t="str">
        <f t="shared" si="4"/>
        <v>11WP00997443</v>
      </c>
      <c r="O52">
        <v>5</v>
      </c>
      <c r="Q52" t="str" cm="1">
        <f t="array" ref="Q52">_xlfn.IFS(AND(C52="",G52=""),"",LEFT(G52,1)="L","記載要",LEFT(G52,1)="W","",AND(C52,G52=""),"記載要")</f>
        <v/>
      </c>
      <c r="R52" s="21" t="str">
        <f t="shared" si="9"/>
        <v/>
      </c>
      <c r="S52" s="21"/>
      <c r="AA52">
        <v>1</v>
      </c>
      <c r="AB52">
        <f t="shared" si="5"/>
        <v>0</v>
      </c>
      <c r="AC52">
        <v>1</v>
      </c>
      <c r="AF52">
        <v>1</v>
      </c>
      <c r="AG52" s="8"/>
      <c r="AH52" s="8"/>
      <c r="AK52" cm="1">
        <f t="array" ref="AK52">_xlfn.IFS(B52="","",LEFT(G52,1)="L",1,LEFT(G52,1)="W",1,AND(LEFT(B52,1)="H",G52=""),0)</f>
        <v>1</v>
      </c>
      <c r="AS52" t="str">
        <f t="shared" si="6"/>
        <v/>
      </c>
      <c r="AT52" t="s">
        <v>115</v>
      </c>
      <c r="AU52" t="str">
        <f t="shared" si="7"/>
        <v>0</v>
      </c>
      <c r="BD52" t="str">
        <f t="shared" si="8"/>
        <v>0</v>
      </c>
      <c r="BK52" t="str">
        <f>IFERROR(VLOOKUP(B52,'[1]model_S-フレーム'!$F$5:$R$7000,13,1),"")</f>
        <v>E356750_01</v>
      </c>
      <c r="BL52" s="7">
        <f>IFERROR(VLOOKUP(B52,'[1]model_S-フレーム'!$F$5:$V$7000,17,1),"")</f>
        <v>0</v>
      </c>
      <c r="BM52" t="str" cm="1">
        <f t="array" ref="BM52">_xlfn.IFS(LEFT(G52,1)="L","外注品",LEFT(G52,1)="W","内製品",G52="","購買品")</f>
        <v>内製品</v>
      </c>
    </row>
    <row r="53" spans="1:65">
      <c r="A53" t="str">
        <f t="shared" si="0"/>
        <v>WG01</v>
      </c>
      <c r="B53" t="s">
        <v>174</v>
      </c>
      <c r="C53" t="s">
        <v>268</v>
      </c>
      <c r="D53" s="7"/>
      <c r="E53" s="7"/>
      <c r="G53" t="s">
        <v>1938</v>
      </c>
      <c r="H53" t="str" cm="1">
        <f t="array" ref="H53">IFERROR(_xlfn.IFS(B53="","",AND(B53="",G53=""),"",G53="","記載要"),"")</f>
        <v/>
      </c>
      <c r="K53" t="str">
        <f t="shared" si="1"/>
        <v>11WP00997444</v>
      </c>
      <c r="L53" s="3" t="str">
        <f t="shared" si="2"/>
        <v>2001/01/01</v>
      </c>
      <c r="M53" s="3" t="str">
        <f t="shared" si="3"/>
        <v>2199/12/31</v>
      </c>
      <c r="N53" t="str">
        <f t="shared" si="4"/>
        <v>11WP00997444</v>
      </c>
      <c r="O53">
        <v>5</v>
      </c>
      <c r="Q53" t="str" cm="1">
        <f t="array" ref="Q53">_xlfn.IFS(AND(C53="",G53=""),"",LEFT(G53,1)="L","記載要",LEFT(G53,1)="W","",AND(C53,G53=""),"記載要")</f>
        <v/>
      </c>
      <c r="R53" s="21" t="str">
        <f t="shared" si="9"/>
        <v/>
      </c>
      <c r="S53" s="21"/>
      <c r="AA53">
        <v>1</v>
      </c>
      <c r="AB53">
        <f t="shared" si="5"/>
        <v>0</v>
      </c>
      <c r="AC53">
        <v>1</v>
      </c>
      <c r="AF53">
        <v>1</v>
      </c>
      <c r="AG53" s="8"/>
      <c r="AH53" s="8"/>
      <c r="AK53" cm="1">
        <f t="array" ref="AK53">_xlfn.IFS(B53="","",LEFT(G53,1)="L",1,LEFT(G53,1)="W",1,AND(LEFT(B53,1)="H",G53=""),0)</f>
        <v>1</v>
      </c>
      <c r="AS53" t="str">
        <f t="shared" si="6"/>
        <v/>
      </c>
      <c r="AT53" t="s">
        <v>115</v>
      </c>
      <c r="AU53" t="str">
        <f t="shared" si="7"/>
        <v>0</v>
      </c>
      <c r="BD53" t="str">
        <f t="shared" si="8"/>
        <v>0</v>
      </c>
      <c r="BK53" t="str">
        <f>IFERROR(VLOOKUP(B53,'[1]model_S-フレーム'!$F$5:$R$7000,13,1),"")</f>
        <v>E356750_01</v>
      </c>
      <c r="BL53" s="7">
        <f>IFERROR(VLOOKUP(B53,'[1]model_S-フレーム'!$F$5:$V$7000,17,1),"")</f>
        <v>0</v>
      </c>
      <c r="BM53" t="str" cm="1">
        <f t="array" ref="BM53">_xlfn.IFS(LEFT(G53,1)="L","外注品",LEFT(G53,1)="W","内製品",G53="","購買品")</f>
        <v>内製品</v>
      </c>
    </row>
    <row r="54" spans="1:65">
      <c r="A54" t="str">
        <f t="shared" si="0"/>
        <v>WG01</v>
      </c>
      <c r="B54" t="s">
        <v>175</v>
      </c>
      <c r="C54" t="s">
        <v>268</v>
      </c>
      <c r="D54" s="7"/>
      <c r="E54" s="7"/>
      <c r="G54" t="s">
        <v>1938</v>
      </c>
      <c r="H54" t="str" cm="1">
        <f t="array" ref="H54">IFERROR(_xlfn.IFS(B54="","",AND(B54="",G54=""),"",G54="","記載要"),"")</f>
        <v/>
      </c>
      <c r="K54" t="str">
        <f t="shared" si="1"/>
        <v>11WP00997445</v>
      </c>
      <c r="L54" s="3" t="str">
        <f t="shared" si="2"/>
        <v>2001/01/01</v>
      </c>
      <c r="M54" s="3" t="str">
        <f t="shared" si="3"/>
        <v>2199/12/31</v>
      </c>
      <c r="N54" t="str">
        <f t="shared" si="4"/>
        <v>11WP00997445</v>
      </c>
      <c r="O54">
        <v>5</v>
      </c>
      <c r="Q54" t="str" cm="1">
        <f t="array" ref="Q54">_xlfn.IFS(AND(C54="",G54=""),"",LEFT(G54,1)="L","記載要",LEFT(G54,1)="W","",AND(C54,G54=""),"記載要")</f>
        <v/>
      </c>
      <c r="R54" s="21" t="str">
        <f t="shared" si="9"/>
        <v/>
      </c>
      <c r="S54" s="21"/>
      <c r="AA54">
        <v>1</v>
      </c>
      <c r="AB54">
        <f t="shared" si="5"/>
        <v>0</v>
      </c>
      <c r="AC54">
        <v>1</v>
      </c>
      <c r="AF54">
        <v>1</v>
      </c>
      <c r="AG54" s="8"/>
      <c r="AH54" s="8"/>
      <c r="AK54" cm="1">
        <f t="array" ref="AK54">_xlfn.IFS(B54="","",LEFT(G54,1)="L",1,LEFT(G54,1)="W",1,AND(LEFT(B54,1)="H",G54=""),0)</f>
        <v>1</v>
      </c>
      <c r="AS54" t="str">
        <f t="shared" si="6"/>
        <v/>
      </c>
      <c r="AT54" t="s">
        <v>115</v>
      </c>
      <c r="AU54" t="str">
        <f t="shared" si="7"/>
        <v>0</v>
      </c>
      <c r="BD54" t="str">
        <f t="shared" si="8"/>
        <v>0</v>
      </c>
      <c r="BK54" t="str">
        <f>IFERROR(VLOOKUP(B54,'[1]model_S-フレーム'!$F$5:$R$7000,13,1),"")</f>
        <v>E356750_01</v>
      </c>
      <c r="BL54" s="7">
        <f>IFERROR(VLOOKUP(B54,'[1]model_S-フレーム'!$F$5:$V$7000,17,1),"")</f>
        <v>0</v>
      </c>
      <c r="BM54" t="str" cm="1">
        <f t="array" ref="BM54">_xlfn.IFS(LEFT(G54,1)="L","外注品",LEFT(G54,1)="W","内製品",G54="","購買品")</f>
        <v>内製品</v>
      </c>
    </row>
    <row r="55" spans="1:65">
      <c r="A55" t="str">
        <f t="shared" si="0"/>
        <v>WG01</v>
      </c>
      <c r="B55" t="s">
        <v>176</v>
      </c>
      <c r="C55" t="s">
        <v>269</v>
      </c>
      <c r="D55" s="7"/>
      <c r="E55" s="7"/>
      <c r="G55" t="s">
        <v>1938</v>
      </c>
      <c r="H55" t="str" cm="1">
        <f t="array" ref="H55">IFERROR(_xlfn.IFS(B55="","",AND(B55="",G55=""),"",G55="","記載要"),"")</f>
        <v/>
      </c>
      <c r="K55" t="str">
        <f t="shared" si="1"/>
        <v>11WP00997446</v>
      </c>
      <c r="L55" s="3" t="str">
        <f t="shared" si="2"/>
        <v>2001/01/01</v>
      </c>
      <c r="M55" s="3" t="str">
        <f t="shared" si="3"/>
        <v>2199/12/31</v>
      </c>
      <c r="N55" t="str">
        <f t="shared" si="4"/>
        <v>11WP00997446</v>
      </c>
      <c r="O55">
        <v>5</v>
      </c>
      <c r="Q55" t="str" cm="1">
        <f t="array" ref="Q55">_xlfn.IFS(AND(C55="",G55=""),"",LEFT(G55,1)="L","記載要",LEFT(G55,1)="W","",AND(C55,G55=""),"記載要")</f>
        <v/>
      </c>
      <c r="R55" s="21" t="str">
        <f t="shared" si="9"/>
        <v/>
      </c>
      <c r="S55" s="21"/>
      <c r="AA55">
        <v>1</v>
      </c>
      <c r="AB55">
        <f t="shared" si="5"/>
        <v>0</v>
      </c>
      <c r="AC55">
        <v>1</v>
      </c>
      <c r="AF55">
        <v>1</v>
      </c>
      <c r="AG55" s="8"/>
      <c r="AH55" s="8"/>
      <c r="AK55" cm="1">
        <f t="array" ref="AK55">_xlfn.IFS(B55="","",LEFT(G55,1)="L",1,LEFT(G55,1)="W",1,AND(LEFT(B55,1)="H",G55=""),0)</f>
        <v>1</v>
      </c>
      <c r="AS55" t="str">
        <f t="shared" si="6"/>
        <v/>
      </c>
      <c r="AT55" t="s">
        <v>115</v>
      </c>
      <c r="AU55" t="str">
        <f t="shared" si="7"/>
        <v>0</v>
      </c>
      <c r="BD55" t="str">
        <f t="shared" si="8"/>
        <v>0</v>
      </c>
      <c r="BK55" t="str">
        <f>IFERROR(VLOOKUP(B55,'[1]model_S-フレーム'!$F$5:$R$7000,13,1),"")</f>
        <v>E356750_01</v>
      </c>
      <c r="BL55" s="7">
        <f>IFERROR(VLOOKUP(B55,'[1]model_S-フレーム'!$F$5:$V$7000,17,1),"")</f>
        <v>0</v>
      </c>
      <c r="BM55" t="str" cm="1">
        <f t="array" ref="BM55">_xlfn.IFS(LEFT(G55,1)="L","外注品",LEFT(G55,1)="W","内製品",G55="","購買品")</f>
        <v>内製品</v>
      </c>
    </row>
    <row r="56" spans="1:65">
      <c r="A56" t="str">
        <f t="shared" si="0"/>
        <v>WG01</v>
      </c>
      <c r="B56" t="s">
        <v>177</v>
      </c>
      <c r="C56" t="s">
        <v>269</v>
      </c>
      <c r="D56" s="7"/>
      <c r="E56" s="7"/>
      <c r="G56" t="s">
        <v>1938</v>
      </c>
      <c r="H56" t="str" cm="1">
        <f t="array" ref="H56">IFERROR(_xlfn.IFS(B56="","",AND(B56="",G56=""),"",G56="","記載要"),"")</f>
        <v/>
      </c>
      <c r="K56" t="str">
        <f t="shared" si="1"/>
        <v>11WP00997447</v>
      </c>
      <c r="L56" s="3" t="str">
        <f t="shared" si="2"/>
        <v>2001/01/01</v>
      </c>
      <c r="M56" s="3" t="str">
        <f t="shared" si="3"/>
        <v>2199/12/31</v>
      </c>
      <c r="N56" t="str">
        <f t="shared" si="4"/>
        <v>11WP00997447</v>
      </c>
      <c r="O56">
        <v>5</v>
      </c>
      <c r="Q56" t="str" cm="1">
        <f t="array" ref="Q56">_xlfn.IFS(AND(C56="",G56=""),"",LEFT(G56,1)="L","記載要",LEFT(G56,1)="W","",AND(C56,G56=""),"記載要")</f>
        <v/>
      </c>
      <c r="R56" s="21" t="str">
        <f t="shared" si="9"/>
        <v/>
      </c>
      <c r="S56" s="21"/>
      <c r="AA56">
        <v>1</v>
      </c>
      <c r="AB56">
        <f t="shared" si="5"/>
        <v>0</v>
      </c>
      <c r="AC56">
        <v>1</v>
      </c>
      <c r="AF56">
        <v>1</v>
      </c>
      <c r="AG56" s="8"/>
      <c r="AH56" s="8"/>
      <c r="AK56" cm="1">
        <f t="array" ref="AK56">_xlfn.IFS(B56="","",LEFT(G56,1)="L",1,LEFT(G56,1)="W",1,AND(LEFT(B56,1)="H",G56=""),0)</f>
        <v>1</v>
      </c>
      <c r="AS56" t="str">
        <f t="shared" si="6"/>
        <v/>
      </c>
      <c r="AT56" t="s">
        <v>115</v>
      </c>
      <c r="AU56" t="str">
        <f t="shared" si="7"/>
        <v>0</v>
      </c>
      <c r="BD56" t="str">
        <f t="shared" si="8"/>
        <v>0</v>
      </c>
      <c r="BK56" t="str">
        <f>IFERROR(VLOOKUP(B56,'[1]model_S-フレーム'!$F$5:$R$7000,13,1),"")</f>
        <v>E356750_01</v>
      </c>
      <c r="BL56" s="7">
        <f>IFERROR(VLOOKUP(B56,'[1]model_S-フレーム'!$F$5:$V$7000,17,1),"")</f>
        <v>0</v>
      </c>
      <c r="BM56" t="str" cm="1">
        <f t="array" ref="BM56">_xlfn.IFS(LEFT(G56,1)="L","外注品",LEFT(G56,1)="W","内製品",G56="","購買品")</f>
        <v>内製品</v>
      </c>
    </row>
    <row r="57" spans="1:65">
      <c r="A57" t="str">
        <f t="shared" si="0"/>
        <v>WG01</v>
      </c>
      <c r="B57" t="s">
        <v>178</v>
      </c>
      <c r="C57" t="s">
        <v>269</v>
      </c>
      <c r="D57" s="7"/>
      <c r="E57" s="7"/>
      <c r="G57" t="s">
        <v>1938</v>
      </c>
      <c r="H57" t="str" cm="1">
        <f t="array" ref="H57">IFERROR(_xlfn.IFS(B57="","",AND(B57="",G57=""),"",G57="","記載要"),"")</f>
        <v/>
      </c>
      <c r="K57" t="str">
        <f t="shared" si="1"/>
        <v>11WP00997448</v>
      </c>
      <c r="L57" s="3" t="str">
        <f t="shared" si="2"/>
        <v>2001/01/01</v>
      </c>
      <c r="M57" s="3" t="str">
        <f t="shared" si="3"/>
        <v>2199/12/31</v>
      </c>
      <c r="N57" t="str">
        <f t="shared" si="4"/>
        <v>11WP00997448</v>
      </c>
      <c r="O57">
        <v>5</v>
      </c>
      <c r="Q57" t="str" cm="1">
        <f t="array" ref="Q57">_xlfn.IFS(AND(C57="",G57=""),"",LEFT(G57,1)="L","記載要",LEFT(G57,1)="W","",AND(C57,G57=""),"記載要")</f>
        <v/>
      </c>
      <c r="R57" s="21" t="str">
        <f t="shared" si="9"/>
        <v/>
      </c>
      <c r="S57" s="21"/>
      <c r="AA57">
        <v>1</v>
      </c>
      <c r="AB57">
        <f t="shared" si="5"/>
        <v>0</v>
      </c>
      <c r="AC57">
        <v>1</v>
      </c>
      <c r="AF57">
        <v>1</v>
      </c>
      <c r="AG57" s="8"/>
      <c r="AH57" s="8"/>
      <c r="AK57" cm="1">
        <f t="array" ref="AK57">_xlfn.IFS(B57="","",LEFT(G57,1)="L",1,LEFT(G57,1)="W",1,AND(LEFT(B57,1)="H",G57=""),0)</f>
        <v>1</v>
      </c>
      <c r="AS57" t="str">
        <f t="shared" si="6"/>
        <v/>
      </c>
      <c r="AT57" t="s">
        <v>115</v>
      </c>
      <c r="AU57" t="str">
        <f t="shared" si="7"/>
        <v>0</v>
      </c>
      <c r="BD57" t="str">
        <f t="shared" si="8"/>
        <v>0</v>
      </c>
      <c r="BK57" t="str">
        <f>IFERROR(VLOOKUP(B57,'[1]model_S-フレーム'!$F$5:$R$7000,13,1),"")</f>
        <v>E356750_01</v>
      </c>
      <c r="BL57" s="7">
        <f>IFERROR(VLOOKUP(B57,'[1]model_S-フレーム'!$F$5:$V$7000,17,1),"")</f>
        <v>0</v>
      </c>
      <c r="BM57" t="str" cm="1">
        <f t="array" ref="BM57">_xlfn.IFS(LEFT(G57,1)="L","外注品",LEFT(G57,1)="W","内製品",G57="","購買品")</f>
        <v>内製品</v>
      </c>
    </row>
    <row r="58" spans="1:65">
      <c r="A58" t="str">
        <f t="shared" si="0"/>
        <v>WG01</v>
      </c>
      <c r="B58" t="s">
        <v>179</v>
      </c>
      <c r="C58" t="s">
        <v>269</v>
      </c>
      <c r="D58" s="7"/>
      <c r="E58" s="7"/>
      <c r="G58" t="s">
        <v>1938</v>
      </c>
      <c r="H58" t="str" cm="1">
        <f t="array" ref="H58">IFERROR(_xlfn.IFS(B58="","",AND(B58="",G58=""),"",G58="","記載要"),"")</f>
        <v/>
      </c>
      <c r="K58" t="str">
        <f t="shared" si="1"/>
        <v>11WP00997449</v>
      </c>
      <c r="L58" s="3" t="str">
        <f t="shared" si="2"/>
        <v>2001/01/01</v>
      </c>
      <c r="M58" s="3" t="str">
        <f t="shared" si="3"/>
        <v>2199/12/31</v>
      </c>
      <c r="N58" t="str">
        <f t="shared" si="4"/>
        <v>11WP00997449</v>
      </c>
      <c r="O58">
        <v>5</v>
      </c>
      <c r="Q58" t="str" cm="1">
        <f t="array" ref="Q58">_xlfn.IFS(AND(C58="",G58=""),"",LEFT(G58,1)="L","記載要",LEFT(G58,1)="W","",AND(C58,G58=""),"記載要")</f>
        <v/>
      </c>
      <c r="R58" s="21" t="str">
        <f t="shared" si="9"/>
        <v/>
      </c>
      <c r="S58" s="21"/>
      <c r="AA58">
        <v>1</v>
      </c>
      <c r="AB58">
        <f t="shared" si="5"/>
        <v>0</v>
      </c>
      <c r="AC58">
        <v>1</v>
      </c>
      <c r="AF58">
        <v>1</v>
      </c>
      <c r="AG58" s="8"/>
      <c r="AH58" s="8"/>
      <c r="AK58" cm="1">
        <f t="array" ref="AK58">_xlfn.IFS(B58="","",LEFT(G58,1)="L",1,LEFT(G58,1)="W",1,AND(LEFT(B58,1)="H",G58=""),0)</f>
        <v>1</v>
      </c>
      <c r="AS58" t="str">
        <f t="shared" si="6"/>
        <v/>
      </c>
      <c r="AT58" t="s">
        <v>115</v>
      </c>
      <c r="AU58" t="str">
        <f t="shared" si="7"/>
        <v>0</v>
      </c>
      <c r="BD58" t="str">
        <f t="shared" si="8"/>
        <v>0</v>
      </c>
      <c r="BK58" t="str">
        <f>IFERROR(VLOOKUP(B58,'[1]model_S-フレーム'!$F$5:$R$7000,13,1),"")</f>
        <v>E356750_01</v>
      </c>
      <c r="BL58" s="7">
        <f>IFERROR(VLOOKUP(B58,'[1]model_S-フレーム'!$F$5:$V$7000,17,1),"")</f>
        <v>0</v>
      </c>
      <c r="BM58" t="str" cm="1">
        <f t="array" ref="BM58">_xlfn.IFS(LEFT(G58,1)="L","外注品",LEFT(G58,1)="W","内製品",G58="","購買品")</f>
        <v>内製品</v>
      </c>
    </row>
    <row r="59" spans="1:65">
      <c r="A59" t="str">
        <f t="shared" si="0"/>
        <v>WG01</v>
      </c>
      <c r="B59" t="s">
        <v>180</v>
      </c>
      <c r="C59" t="s">
        <v>269</v>
      </c>
      <c r="D59" s="7"/>
      <c r="E59" s="7"/>
      <c r="G59" t="s">
        <v>1938</v>
      </c>
      <c r="H59" t="str" cm="1">
        <f t="array" ref="H59">IFERROR(_xlfn.IFS(B59="","",AND(B59="",G59=""),"",G59="","記載要"),"")</f>
        <v/>
      </c>
      <c r="K59" t="str">
        <f t="shared" si="1"/>
        <v>11WP00997450</v>
      </c>
      <c r="L59" s="3" t="str">
        <f t="shared" si="2"/>
        <v>2001/01/01</v>
      </c>
      <c r="M59" s="3" t="str">
        <f t="shared" si="3"/>
        <v>2199/12/31</v>
      </c>
      <c r="N59" t="str">
        <f t="shared" si="4"/>
        <v>11WP00997450</v>
      </c>
      <c r="O59">
        <v>5</v>
      </c>
      <c r="Q59" t="str" cm="1">
        <f t="array" ref="Q59">_xlfn.IFS(AND(C59="",G59=""),"",LEFT(G59,1)="L","記載要",LEFT(G59,1)="W","",AND(C59,G59=""),"記載要")</f>
        <v/>
      </c>
      <c r="R59" s="21" t="str">
        <f t="shared" si="9"/>
        <v/>
      </c>
      <c r="S59" s="21"/>
      <c r="AA59">
        <v>1</v>
      </c>
      <c r="AB59">
        <f t="shared" si="5"/>
        <v>0</v>
      </c>
      <c r="AC59">
        <v>1</v>
      </c>
      <c r="AF59">
        <v>1</v>
      </c>
      <c r="AG59" s="8"/>
      <c r="AH59" s="8"/>
      <c r="AK59" cm="1">
        <f t="array" ref="AK59">_xlfn.IFS(B59="","",LEFT(G59,1)="L",1,LEFT(G59,1)="W",1,AND(LEFT(B59,1)="H",G59=""),0)</f>
        <v>1</v>
      </c>
      <c r="AS59" t="str">
        <f t="shared" si="6"/>
        <v/>
      </c>
      <c r="AT59" t="s">
        <v>115</v>
      </c>
      <c r="AU59" t="str">
        <f t="shared" si="7"/>
        <v>0</v>
      </c>
      <c r="BD59" t="str">
        <f t="shared" si="8"/>
        <v>0</v>
      </c>
      <c r="BK59" t="str">
        <f>IFERROR(VLOOKUP(B59,'[1]model_S-フレーム'!$F$5:$R$7000,13,1),"")</f>
        <v>E356750_01</v>
      </c>
      <c r="BL59" s="7">
        <f>IFERROR(VLOOKUP(B59,'[1]model_S-フレーム'!$F$5:$V$7000,17,1),"")</f>
        <v>0</v>
      </c>
      <c r="BM59" t="str" cm="1">
        <f t="array" ref="BM59">_xlfn.IFS(LEFT(G59,1)="L","外注品",LEFT(G59,1)="W","内製品",G59="","購買品")</f>
        <v>内製品</v>
      </c>
    </row>
    <row r="60" spans="1:65">
      <c r="A60" t="str">
        <f t="shared" si="0"/>
        <v>WG01</v>
      </c>
      <c r="B60" t="s">
        <v>181</v>
      </c>
      <c r="C60" t="s">
        <v>269</v>
      </c>
      <c r="D60" s="7"/>
      <c r="E60" s="7"/>
      <c r="G60" t="s">
        <v>1938</v>
      </c>
      <c r="H60" t="str" cm="1">
        <f t="array" ref="H60">IFERROR(_xlfn.IFS(B60="","",AND(B60="",G60=""),"",G60="","記載要"),"")</f>
        <v/>
      </c>
      <c r="K60" t="str">
        <f t="shared" si="1"/>
        <v>11WP00997451</v>
      </c>
      <c r="L60" s="3" t="str">
        <f t="shared" si="2"/>
        <v>2001/01/01</v>
      </c>
      <c r="M60" s="3" t="str">
        <f t="shared" si="3"/>
        <v>2199/12/31</v>
      </c>
      <c r="N60" t="str">
        <f t="shared" si="4"/>
        <v>11WP00997451</v>
      </c>
      <c r="O60">
        <v>5</v>
      </c>
      <c r="Q60" t="str" cm="1">
        <f t="array" ref="Q60">_xlfn.IFS(AND(C60="",G60=""),"",LEFT(G60,1)="L","記載要",LEFT(G60,1)="W","",AND(C60,G60=""),"記載要")</f>
        <v/>
      </c>
      <c r="R60" s="21" t="str">
        <f t="shared" si="9"/>
        <v/>
      </c>
      <c r="S60" s="21"/>
      <c r="AA60">
        <v>1</v>
      </c>
      <c r="AB60">
        <f t="shared" si="5"/>
        <v>0</v>
      </c>
      <c r="AC60">
        <v>1</v>
      </c>
      <c r="AF60">
        <v>1</v>
      </c>
      <c r="AG60" s="8"/>
      <c r="AH60" s="8"/>
      <c r="AK60" cm="1">
        <f t="array" ref="AK60">_xlfn.IFS(B60="","",LEFT(G60,1)="L",1,LEFT(G60,1)="W",1,AND(LEFT(B60,1)="H",G60=""),0)</f>
        <v>1</v>
      </c>
      <c r="AS60" t="str">
        <f t="shared" si="6"/>
        <v/>
      </c>
      <c r="AT60" t="s">
        <v>115</v>
      </c>
      <c r="AU60" t="str">
        <f t="shared" si="7"/>
        <v>0</v>
      </c>
      <c r="BD60" t="str">
        <f t="shared" si="8"/>
        <v>0</v>
      </c>
      <c r="BK60" t="str">
        <f>IFERROR(VLOOKUP(B60,'[1]model_S-フレーム'!$F$5:$R$7000,13,1),"")</f>
        <v>E356750_01</v>
      </c>
      <c r="BL60" s="7">
        <f>IFERROR(VLOOKUP(B60,'[1]model_S-フレーム'!$F$5:$V$7000,17,1),"")</f>
        <v>0</v>
      </c>
      <c r="BM60" t="str" cm="1">
        <f t="array" ref="BM60">_xlfn.IFS(LEFT(G60,1)="L","外注品",LEFT(G60,1)="W","内製品",G60="","購買品")</f>
        <v>内製品</v>
      </c>
    </row>
    <row r="61" spans="1:65">
      <c r="A61" t="str">
        <f t="shared" si="0"/>
        <v>WG01</v>
      </c>
      <c r="B61" t="s">
        <v>182</v>
      </c>
      <c r="C61" t="s">
        <v>269</v>
      </c>
      <c r="D61" s="7"/>
      <c r="E61" s="7"/>
      <c r="G61" t="s">
        <v>1938</v>
      </c>
      <c r="H61" t="str" cm="1">
        <f t="array" ref="H61">IFERROR(_xlfn.IFS(B61="","",AND(B61="",G61=""),"",G61="","記載要"),"")</f>
        <v/>
      </c>
      <c r="K61" t="str">
        <f t="shared" si="1"/>
        <v>11WP00997452</v>
      </c>
      <c r="L61" s="3" t="str">
        <f t="shared" si="2"/>
        <v>2001/01/01</v>
      </c>
      <c r="M61" s="3" t="str">
        <f t="shared" si="3"/>
        <v>2199/12/31</v>
      </c>
      <c r="N61" t="str">
        <f t="shared" si="4"/>
        <v>11WP00997452</v>
      </c>
      <c r="O61">
        <v>5</v>
      </c>
      <c r="Q61" t="str" cm="1">
        <f t="array" ref="Q61">_xlfn.IFS(AND(C61="",G61=""),"",LEFT(G61,1)="L","記載要",LEFT(G61,1)="W","",AND(C61,G61=""),"記載要")</f>
        <v/>
      </c>
      <c r="R61" s="21" t="str">
        <f t="shared" si="9"/>
        <v/>
      </c>
      <c r="S61" s="21"/>
      <c r="AA61">
        <v>1</v>
      </c>
      <c r="AB61">
        <f t="shared" si="5"/>
        <v>0</v>
      </c>
      <c r="AC61">
        <v>1</v>
      </c>
      <c r="AF61">
        <v>1</v>
      </c>
      <c r="AG61" s="8"/>
      <c r="AH61" s="8"/>
      <c r="AK61" cm="1">
        <f t="array" ref="AK61">_xlfn.IFS(B61="","",LEFT(G61,1)="L",1,LEFT(G61,1)="W",1,AND(LEFT(B61,1)="H",G61=""),0)</f>
        <v>1</v>
      </c>
      <c r="AS61" t="str">
        <f t="shared" si="6"/>
        <v/>
      </c>
      <c r="AT61" t="s">
        <v>115</v>
      </c>
      <c r="AU61" t="str">
        <f t="shared" si="7"/>
        <v>0</v>
      </c>
      <c r="BD61" t="str">
        <f t="shared" si="8"/>
        <v>0</v>
      </c>
      <c r="BK61" t="str">
        <f>IFERROR(VLOOKUP(B61,'[1]model_S-フレーム'!$F$5:$R$7000,13,1),"")</f>
        <v>E356750_01</v>
      </c>
      <c r="BL61" s="7">
        <f>IFERROR(VLOOKUP(B61,'[1]model_S-フレーム'!$F$5:$V$7000,17,1),"")</f>
        <v>0</v>
      </c>
      <c r="BM61" t="str" cm="1">
        <f t="array" ref="BM61">_xlfn.IFS(LEFT(G61,1)="L","外注品",LEFT(G61,1)="W","内製品",G61="","購買品")</f>
        <v>内製品</v>
      </c>
    </row>
    <row r="62" spans="1:65">
      <c r="A62" t="str">
        <f t="shared" si="0"/>
        <v>WG01</v>
      </c>
      <c r="B62" t="s">
        <v>183</v>
      </c>
      <c r="C62" t="s">
        <v>269</v>
      </c>
      <c r="D62" s="7"/>
      <c r="E62" s="7"/>
      <c r="G62" t="s">
        <v>1938</v>
      </c>
      <c r="H62" t="str" cm="1">
        <f t="array" ref="H62">IFERROR(_xlfn.IFS(B62="","",AND(B62="",G62=""),"",G62="","記載要"),"")</f>
        <v/>
      </c>
      <c r="K62" t="str">
        <f t="shared" si="1"/>
        <v>11WP00997453</v>
      </c>
      <c r="L62" s="3" t="str">
        <f t="shared" si="2"/>
        <v>2001/01/01</v>
      </c>
      <c r="M62" s="3" t="str">
        <f t="shared" si="3"/>
        <v>2199/12/31</v>
      </c>
      <c r="N62" t="str">
        <f t="shared" si="4"/>
        <v>11WP00997453</v>
      </c>
      <c r="O62">
        <v>5</v>
      </c>
      <c r="Q62" t="str" cm="1">
        <f t="array" ref="Q62">_xlfn.IFS(AND(C62="",G62=""),"",LEFT(G62,1)="L","記載要",LEFT(G62,1)="W","",AND(C62,G62=""),"記載要")</f>
        <v/>
      </c>
      <c r="R62" s="21" t="str">
        <f t="shared" si="9"/>
        <v/>
      </c>
      <c r="S62" s="21"/>
      <c r="AA62">
        <v>1</v>
      </c>
      <c r="AB62">
        <f t="shared" si="5"/>
        <v>0</v>
      </c>
      <c r="AC62">
        <v>1</v>
      </c>
      <c r="AF62">
        <v>1</v>
      </c>
      <c r="AG62" s="8"/>
      <c r="AH62" s="8"/>
      <c r="AK62" cm="1">
        <f t="array" ref="AK62">_xlfn.IFS(B62="","",LEFT(G62,1)="L",1,LEFT(G62,1)="W",1,AND(LEFT(B62,1)="H",G62=""),0)</f>
        <v>1</v>
      </c>
      <c r="AS62" t="str">
        <f t="shared" si="6"/>
        <v/>
      </c>
      <c r="AT62" t="s">
        <v>115</v>
      </c>
      <c r="AU62" t="str">
        <f t="shared" si="7"/>
        <v>0</v>
      </c>
      <c r="BD62" t="str">
        <f t="shared" si="8"/>
        <v>0</v>
      </c>
      <c r="BK62" t="str">
        <f>IFERROR(VLOOKUP(B62,'[1]model_S-フレーム'!$F$5:$R$7000,13,1),"")</f>
        <v>E356750_01</v>
      </c>
      <c r="BL62" s="7">
        <f>IFERROR(VLOOKUP(B62,'[1]model_S-フレーム'!$F$5:$V$7000,17,1),"")</f>
        <v>0</v>
      </c>
      <c r="BM62" t="str" cm="1">
        <f t="array" ref="BM62">_xlfn.IFS(LEFT(G62,1)="L","外注品",LEFT(G62,1)="W","内製品",G62="","購買品")</f>
        <v>内製品</v>
      </c>
    </row>
    <row r="63" spans="1:65">
      <c r="A63" t="str">
        <f t="shared" si="0"/>
        <v>WG01</v>
      </c>
      <c r="B63" t="s">
        <v>184</v>
      </c>
      <c r="C63" t="s">
        <v>270</v>
      </c>
      <c r="D63" s="7"/>
      <c r="E63" s="7"/>
      <c r="G63" t="s">
        <v>1938</v>
      </c>
      <c r="H63" t="str" cm="1">
        <f t="array" ref="H63">IFERROR(_xlfn.IFS(B63="","",AND(B63="",G63=""),"",G63="","記載要"),"")</f>
        <v/>
      </c>
      <c r="K63" t="str">
        <f t="shared" si="1"/>
        <v>11WP00997454</v>
      </c>
      <c r="L63" s="3" t="str">
        <f t="shared" si="2"/>
        <v>2001/01/01</v>
      </c>
      <c r="M63" s="3" t="str">
        <f t="shared" si="3"/>
        <v>2199/12/31</v>
      </c>
      <c r="N63" t="str">
        <f t="shared" si="4"/>
        <v>11WP00997454</v>
      </c>
      <c r="O63">
        <v>5</v>
      </c>
      <c r="Q63" t="str" cm="1">
        <f t="array" ref="Q63">_xlfn.IFS(AND(C63="",G63=""),"",LEFT(G63,1)="L","記載要",LEFT(G63,1)="W","",AND(C63,G63=""),"記載要")</f>
        <v/>
      </c>
      <c r="R63" s="21" t="str">
        <f t="shared" si="9"/>
        <v/>
      </c>
      <c r="S63" s="21"/>
      <c r="AA63">
        <v>1</v>
      </c>
      <c r="AB63">
        <f t="shared" si="5"/>
        <v>0</v>
      </c>
      <c r="AC63">
        <v>1</v>
      </c>
      <c r="AF63">
        <v>1</v>
      </c>
      <c r="AG63" s="8"/>
      <c r="AH63" s="8"/>
      <c r="AK63" cm="1">
        <f t="array" ref="AK63">_xlfn.IFS(B63="","",LEFT(G63,1)="L",1,LEFT(G63,1)="W",1,AND(LEFT(B63,1)="H",G63=""),0)</f>
        <v>1</v>
      </c>
      <c r="AS63" t="str">
        <f t="shared" si="6"/>
        <v/>
      </c>
      <c r="AT63" t="s">
        <v>115</v>
      </c>
      <c r="AU63" t="str">
        <f t="shared" si="7"/>
        <v>0</v>
      </c>
      <c r="BD63" t="str">
        <f t="shared" si="8"/>
        <v>0</v>
      </c>
      <c r="BK63" t="str">
        <f>IFERROR(VLOOKUP(B63,'[1]model_S-フレーム'!$F$5:$R$7000,13,1),"")</f>
        <v>E356750_01</v>
      </c>
      <c r="BL63" s="7">
        <f>IFERROR(VLOOKUP(B63,'[1]model_S-フレーム'!$F$5:$V$7000,17,1),"")</f>
        <v>0</v>
      </c>
      <c r="BM63" t="str" cm="1">
        <f t="array" ref="BM63">_xlfn.IFS(LEFT(G63,1)="L","外注品",LEFT(G63,1)="W","内製品",G63="","購買品")</f>
        <v>内製品</v>
      </c>
    </row>
    <row r="64" spans="1:65">
      <c r="A64" t="str">
        <f t="shared" si="0"/>
        <v>WG01</v>
      </c>
      <c r="B64" t="s">
        <v>185</v>
      </c>
      <c r="C64" t="s">
        <v>270</v>
      </c>
      <c r="D64" s="7"/>
      <c r="E64" s="7"/>
      <c r="G64" t="s">
        <v>1938</v>
      </c>
      <c r="H64" t="str" cm="1">
        <f t="array" ref="H64">IFERROR(_xlfn.IFS(B64="","",AND(B64="",G64=""),"",G64="","記載要"),"")</f>
        <v/>
      </c>
      <c r="K64" t="str">
        <f t="shared" si="1"/>
        <v>11WP00997455</v>
      </c>
      <c r="L64" s="3" t="str">
        <f t="shared" si="2"/>
        <v>2001/01/01</v>
      </c>
      <c r="M64" s="3" t="str">
        <f t="shared" si="3"/>
        <v>2199/12/31</v>
      </c>
      <c r="N64" t="str">
        <f t="shared" si="4"/>
        <v>11WP00997455</v>
      </c>
      <c r="O64">
        <v>5</v>
      </c>
      <c r="Q64" t="str" cm="1">
        <f t="array" ref="Q64">_xlfn.IFS(AND(C64="",G64=""),"",LEFT(G64,1)="L","記載要",LEFT(G64,1)="W","",AND(C64,G64=""),"記載要")</f>
        <v/>
      </c>
      <c r="R64" s="21" t="str">
        <f t="shared" si="9"/>
        <v/>
      </c>
      <c r="S64" s="21"/>
      <c r="AA64">
        <v>1</v>
      </c>
      <c r="AB64">
        <f t="shared" si="5"/>
        <v>0</v>
      </c>
      <c r="AC64">
        <v>1</v>
      </c>
      <c r="AF64">
        <v>1</v>
      </c>
      <c r="AG64" s="8"/>
      <c r="AH64" s="8"/>
      <c r="AK64" cm="1">
        <f t="array" ref="AK64">_xlfn.IFS(B64="","",LEFT(G64,1)="L",1,LEFT(G64,1)="W",1,AND(LEFT(B64,1)="H",G64=""),0)</f>
        <v>1</v>
      </c>
      <c r="AS64" t="str">
        <f t="shared" si="6"/>
        <v/>
      </c>
      <c r="AT64" t="s">
        <v>115</v>
      </c>
      <c r="AU64" t="str">
        <f t="shared" si="7"/>
        <v>0</v>
      </c>
      <c r="BD64" t="str">
        <f t="shared" si="8"/>
        <v>0</v>
      </c>
      <c r="BK64" t="str">
        <f>IFERROR(VLOOKUP(B64,'[1]model_S-フレーム'!$F$5:$R$7000,13,1),"")</f>
        <v>E356750_01</v>
      </c>
      <c r="BL64" s="7">
        <f>IFERROR(VLOOKUP(B64,'[1]model_S-フレーム'!$F$5:$V$7000,17,1),"")</f>
        <v>0</v>
      </c>
      <c r="BM64" t="str" cm="1">
        <f t="array" ref="BM64">_xlfn.IFS(LEFT(G64,1)="L","外注品",LEFT(G64,1)="W","内製品",G64="","購買品")</f>
        <v>内製品</v>
      </c>
    </row>
    <row r="65" spans="1:65">
      <c r="A65" t="str">
        <f t="shared" si="0"/>
        <v>WG01</v>
      </c>
      <c r="B65" t="s">
        <v>186</v>
      </c>
      <c r="C65" t="s">
        <v>270</v>
      </c>
      <c r="D65" s="7"/>
      <c r="E65" s="7"/>
      <c r="G65" t="s">
        <v>1938</v>
      </c>
      <c r="H65" t="str" cm="1">
        <f t="array" ref="H65">IFERROR(_xlfn.IFS(B65="","",AND(B65="",G65=""),"",G65="","記載要"),"")</f>
        <v/>
      </c>
      <c r="K65" t="str">
        <f t="shared" si="1"/>
        <v>11WP00997456</v>
      </c>
      <c r="L65" s="3" t="str">
        <f t="shared" si="2"/>
        <v>2001/01/01</v>
      </c>
      <c r="M65" s="3" t="str">
        <f t="shared" si="3"/>
        <v>2199/12/31</v>
      </c>
      <c r="N65" t="str">
        <f t="shared" si="4"/>
        <v>11WP00997456</v>
      </c>
      <c r="O65">
        <v>5</v>
      </c>
      <c r="Q65" t="str" cm="1">
        <f t="array" ref="Q65">_xlfn.IFS(AND(C65="",G65=""),"",LEFT(G65,1)="L","記載要",LEFT(G65,1)="W","",AND(C65,G65=""),"記載要")</f>
        <v/>
      </c>
      <c r="R65" s="21" t="str">
        <f t="shared" si="9"/>
        <v/>
      </c>
      <c r="S65" s="21"/>
      <c r="AA65">
        <v>1</v>
      </c>
      <c r="AB65">
        <f t="shared" si="5"/>
        <v>0</v>
      </c>
      <c r="AC65">
        <v>1</v>
      </c>
      <c r="AF65">
        <v>1</v>
      </c>
      <c r="AG65" s="8"/>
      <c r="AH65" s="8"/>
      <c r="AK65" cm="1">
        <f t="array" ref="AK65">_xlfn.IFS(B65="","",LEFT(G65,1)="L",1,LEFT(G65,1)="W",1,AND(LEFT(B65,1)="H",G65=""),0)</f>
        <v>1</v>
      </c>
      <c r="AS65" t="str">
        <f t="shared" si="6"/>
        <v/>
      </c>
      <c r="AT65" t="s">
        <v>115</v>
      </c>
      <c r="AU65" t="str">
        <f t="shared" si="7"/>
        <v>0</v>
      </c>
      <c r="BD65" t="str">
        <f t="shared" si="8"/>
        <v>0</v>
      </c>
      <c r="BK65" t="str">
        <f>IFERROR(VLOOKUP(B65,'[1]model_S-フレーム'!$F$5:$R$7000,13,1),"")</f>
        <v>E356750_01</v>
      </c>
      <c r="BL65" s="7">
        <f>IFERROR(VLOOKUP(B65,'[1]model_S-フレーム'!$F$5:$V$7000,17,1),"")</f>
        <v>0</v>
      </c>
      <c r="BM65" t="str" cm="1">
        <f t="array" ref="BM65">_xlfn.IFS(LEFT(G65,1)="L","外注品",LEFT(G65,1)="W","内製品",G65="","購買品")</f>
        <v>内製品</v>
      </c>
    </row>
    <row r="66" spans="1:65">
      <c r="A66" t="str">
        <f t="shared" si="0"/>
        <v>WG01</v>
      </c>
      <c r="B66" t="s">
        <v>187</v>
      </c>
      <c r="C66" t="s">
        <v>270</v>
      </c>
      <c r="D66" s="7"/>
      <c r="E66" s="7"/>
      <c r="G66" t="s">
        <v>1938</v>
      </c>
      <c r="H66" t="str" cm="1">
        <f t="array" ref="H66">IFERROR(_xlfn.IFS(B66="","",AND(B66="",G66=""),"",G66="","記載要"),"")</f>
        <v/>
      </c>
      <c r="K66" t="str">
        <f t="shared" si="1"/>
        <v>11WP00997457</v>
      </c>
      <c r="L66" s="3" t="str">
        <f t="shared" si="2"/>
        <v>2001/01/01</v>
      </c>
      <c r="M66" s="3" t="str">
        <f t="shared" si="3"/>
        <v>2199/12/31</v>
      </c>
      <c r="N66" t="str">
        <f t="shared" si="4"/>
        <v>11WP00997457</v>
      </c>
      <c r="O66">
        <v>5</v>
      </c>
      <c r="Q66" t="str" cm="1">
        <f t="array" ref="Q66">_xlfn.IFS(AND(C66="",G66=""),"",LEFT(G66,1)="L","記載要",LEFT(G66,1)="W","",AND(C66,G66=""),"記載要")</f>
        <v/>
      </c>
      <c r="R66" s="21" t="str">
        <f t="shared" si="9"/>
        <v/>
      </c>
      <c r="S66" s="21"/>
      <c r="AA66">
        <v>1</v>
      </c>
      <c r="AB66">
        <f t="shared" si="5"/>
        <v>0</v>
      </c>
      <c r="AC66">
        <v>1</v>
      </c>
      <c r="AF66">
        <v>1</v>
      </c>
      <c r="AG66" s="8"/>
      <c r="AH66" s="8"/>
      <c r="AK66" cm="1">
        <f t="array" ref="AK66">_xlfn.IFS(B66="","",LEFT(G66,1)="L",1,LEFT(G66,1)="W",1,AND(LEFT(B66,1)="H",G66=""),0)</f>
        <v>1</v>
      </c>
      <c r="AS66" t="str">
        <f t="shared" si="6"/>
        <v/>
      </c>
      <c r="AT66" t="s">
        <v>115</v>
      </c>
      <c r="AU66" t="str">
        <f t="shared" si="7"/>
        <v>0</v>
      </c>
      <c r="BD66" t="str">
        <f t="shared" si="8"/>
        <v>0</v>
      </c>
      <c r="BK66" t="str">
        <f>IFERROR(VLOOKUP(B66,'[1]model_S-フレーム'!$F$5:$R$7000,13,1),"")</f>
        <v>E356750_01</v>
      </c>
      <c r="BL66" s="7">
        <f>IFERROR(VLOOKUP(B66,'[1]model_S-フレーム'!$F$5:$V$7000,17,1),"")</f>
        <v>0</v>
      </c>
      <c r="BM66" t="str" cm="1">
        <f t="array" ref="BM66">_xlfn.IFS(LEFT(G66,1)="L","外注品",LEFT(G66,1)="W","内製品",G66="","購買品")</f>
        <v>内製品</v>
      </c>
    </row>
    <row r="67" spans="1:65">
      <c r="A67" t="str">
        <f t="shared" ref="A67:A130" si="10">IF(B67="","","WG01")</f>
        <v>WG01</v>
      </c>
      <c r="B67" t="s">
        <v>188</v>
      </c>
      <c r="C67" t="s">
        <v>271</v>
      </c>
      <c r="D67" s="7"/>
      <c r="E67" s="7"/>
      <c r="G67" t="s">
        <v>1938</v>
      </c>
      <c r="H67" t="str" cm="1">
        <f t="array" ref="H67">IFERROR(_xlfn.IFS(B67="","",AND(B67="",G67=""),"",G67="","記載要"),"")</f>
        <v/>
      </c>
      <c r="K67" t="str">
        <f t="shared" ref="K67:K130" si="11">IF(G67="","","11"&amp;G67&amp;RIGHT(B67,5))</f>
        <v>11WP00997458</v>
      </c>
      <c r="L67" s="3" t="str">
        <f t="shared" ref="L67:L130" si="12">IF(B67="","","2001/01/01")</f>
        <v>2001/01/01</v>
      </c>
      <c r="M67" s="3" t="str">
        <f t="shared" ref="M67:M130" si="13">IF(C67="","","2199/12/31")</f>
        <v>2199/12/31</v>
      </c>
      <c r="N67" t="str">
        <f t="shared" ref="N67:N130" si="14">IF(LEFT(G67,1)="W",K67,"")</f>
        <v>11WP00997458</v>
      </c>
      <c r="O67">
        <v>5</v>
      </c>
      <c r="Q67" t="str" cm="1">
        <f t="array" ref="Q67">_xlfn.IFS(AND(C67="",G67=""),"",LEFT(G67,1)="L","記載要",LEFT(G67,1)="W","",AND(C67,G67=""),"記載要")</f>
        <v/>
      </c>
      <c r="R67" s="21" t="str">
        <f t="shared" si="9"/>
        <v/>
      </c>
      <c r="S67" s="21"/>
      <c r="AA67">
        <v>1</v>
      </c>
      <c r="AB67">
        <f t="shared" ref="AB67:AB130" si="15">IF(B67="","",0)</f>
        <v>0</v>
      </c>
      <c r="AC67">
        <v>1</v>
      </c>
      <c r="AF67">
        <v>1</v>
      </c>
      <c r="AG67" s="8"/>
      <c r="AH67" s="8"/>
      <c r="AK67" cm="1">
        <f t="array" ref="AK67">_xlfn.IFS(B67="","",LEFT(G67,1)="L",1,LEFT(G67,1)="W",1,AND(LEFT(B67,1)="H",G67=""),0)</f>
        <v>1</v>
      </c>
      <c r="AS67" t="str">
        <f t="shared" ref="AS67:AS130" si="16">IF(Q67="","",1)</f>
        <v/>
      </c>
      <c r="AT67" t="s">
        <v>115</v>
      </c>
      <c r="AU67" t="str">
        <f t="shared" ref="AU67:AU130" si="17">IF(B67="","","0")</f>
        <v>0</v>
      </c>
      <c r="BD67" t="str">
        <f t="shared" ref="BD67:BD130" si="18">IF(B67="","","0")</f>
        <v>0</v>
      </c>
      <c r="BK67" t="str">
        <f>IFERROR(VLOOKUP(B67,'[1]model_S-フレーム'!$F$5:$R$7000,13,1),"")</f>
        <v>E356750_01</v>
      </c>
      <c r="BL67" s="7">
        <f>IFERROR(VLOOKUP(B67,'[1]model_S-フレーム'!$F$5:$V$7000,17,1),"")</f>
        <v>0</v>
      </c>
      <c r="BM67" t="str" cm="1">
        <f t="array" ref="BM67">_xlfn.IFS(LEFT(G67,1)="L","外注品",LEFT(G67,1)="W","内製品",G67="","購買品")</f>
        <v>内製品</v>
      </c>
    </row>
    <row r="68" spans="1:65">
      <c r="A68" t="str">
        <f t="shared" si="10"/>
        <v>WG01</v>
      </c>
      <c r="B68" t="s">
        <v>189</v>
      </c>
      <c r="C68" t="s">
        <v>271</v>
      </c>
      <c r="D68" s="7"/>
      <c r="E68" s="7"/>
      <c r="G68" t="s">
        <v>1938</v>
      </c>
      <c r="H68" t="str" cm="1">
        <f t="array" ref="H68">IFERROR(_xlfn.IFS(B68="","",AND(B68="",G68=""),"",G68="","記載要"),"")</f>
        <v/>
      </c>
      <c r="K68" t="str">
        <f t="shared" si="11"/>
        <v>11WP00997459</v>
      </c>
      <c r="L68" s="3" t="str">
        <f t="shared" si="12"/>
        <v>2001/01/01</v>
      </c>
      <c r="M68" s="3" t="str">
        <f t="shared" si="13"/>
        <v>2199/12/31</v>
      </c>
      <c r="N68" t="str">
        <f t="shared" si="14"/>
        <v>11WP00997459</v>
      </c>
      <c r="O68">
        <v>5</v>
      </c>
      <c r="Q68" t="str" cm="1">
        <f t="array" ref="Q68">_xlfn.IFS(AND(C68="",G68=""),"",LEFT(G68,1)="L","記載要",LEFT(G68,1)="W","",AND(C68,G68=""),"記載要")</f>
        <v/>
      </c>
      <c r="R68" s="21" t="str">
        <f t="shared" ref="R68:R131" si="19">IF(H68="","","記載要")</f>
        <v/>
      </c>
      <c r="S68" s="21"/>
      <c r="AA68">
        <v>1</v>
      </c>
      <c r="AB68">
        <f t="shared" si="15"/>
        <v>0</v>
      </c>
      <c r="AC68">
        <v>1</v>
      </c>
      <c r="AF68">
        <v>1</v>
      </c>
      <c r="AG68" s="8"/>
      <c r="AH68" s="8"/>
      <c r="AK68" cm="1">
        <f t="array" ref="AK68">_xlfn.IFS(B68="","",LEFT(G68,1)="L",1,LEFT(G68,1)="W",1,AND(LEFT(B68,1)="H",G68=""),0)</f>
        <v>1</v>
      </c>
      <c r="AS68" t="str">
        <f t="shared" si="16"/>
        <v/>
      </c>
      <c r="AT68" t="s">
        <v>115</v>
      </c>
      <c r="AU68" t="str">
        <f t="shared" si="17"/>
        <v>0</v>
      </c>
      <c r="BD68" t="str">
        <f t="shared" si="18"/>
        <v>0</v>
      </c>
      <c r="BK68" t="str">
        <f>IFERROR(VLOOKUP(B68,'[1]model_S-フレーム'!$F$5:$R$7000,13,1),"")</f>
        <v>E356750_01</v>
      </c>
      <c r="BL68" s="7">
        <f>IFERROR(VLOOKUP(B68,'[1]model_S-フレーム'!$F$5:$V$7000,17,1),"")</f>
        <v>0</v>
      </c>
      <c r="BM68" t="str" cm="1">
        <f t="array" ref="BM68">_xlfn.IFS(LEFT(G68,1)="L","外注品",LEFT(G68,1)="W","内製品",G68="","購買品")</f>
        <v>内製品</v>
      </c>
    </row>
    <row r="69" spans="1:65">
      <c r="A69" t="str">
        <f t="shared" si="10"/>
        <v>WG01</v>
      </c>
      <c r="B69" t="s">
        <v>190</v>
      </c>
      <c r="C69" t="s">
        <v>271</v>
      </c>
      <c r="D69" s="7"/>
      <c r="E69" s="7"/>
      <c r="G69" t="s">
        <v>1938</v>
      </c>
      <c r="H69" t="str" cm="1">
        <f t="array" ref="H69">IFERROR(_xlfn.IFS(B69="","",AND(B69="",G69=""),"",G69="","記載要"),"")</f>
        <v/>
      </c>
      <c r="K69" t="str">
        <f t="shared" si="11"/>
        <v>11WP00997460</v>
      </c>
      <c r="L69" s="3" t="str">
        <f t="shared" si="12"/>
        <v>2001/01/01</v>
      </c>
      <c r="M69" s="3" t="str">
        <f t="shared" si="13"/>
        <v>2199/12/31</v>
      </c>
      <c r="N69" t="str">
        <f t="shared" si="14"/>
        <v>11WP00997460</v>
      </c>
      <c r="O69">
        <v>5</v>
      </c>
      <c r="Q69" t="str" cm="1">
        <f t="array" ref="Q69">_xlfn.IFS(AND(C69="",G69=""),"",LEFT(G69,1)="L","記載要",LEFT(G69,1)="W","",AND(C69,G69=""),"記載要")</f>
        <v/>
      </c>
      <c r="R69" s="21" t="str">
        <f t="shared" si="19"/>
        <v/>
      </c>
      <c r="S69" s="21"/>
      <c r="AA69">
        <v>1</v>
      </c>
      <c r="AB69">
        <f t="shared" si="15"/>
        <v>0</v>
      </c>
      <c r="AC69">
        <v>1</v>
      </c>
      <c r="AF69">
        <v>1</v>
      </c>
      <c r="AG69" s="8"/>
      <c r="AH69" s="8"/>
      <c r="AK69" cm="1">
        <f t="array" ref="AK69">_xlfn.IFS(B69="","",LEFT(G69,1)="L",1,LEFT(G69,1)="W",1,AND(LEFT(B69,1)="H",G69=""),0)</f>
        <v>1</v>
      </c>
      <c r="AS69" t="str">
        <f t="shared" si="16"/>
        <v/>
      </c>
      <c r="AT69" t="s">
        <v>115</v>
      </c>
      <c r="AU69" t="str">
        <f t="shared" si="17"/>
        <v>0</v>
      </c>
      <c r="BD69" t="str">
        <f t="shared" si="18"/>
        <v>0</v>
      </c>
      <c r="BK69" t="str">
        <f>IFERROR(VLOOKUP(B69,'[1]model_S-フレーム'!$F$5:$R$7000,13,1),"")</f>
        <v>E356750_01</v>
      </c>
      <c r="BL69" s="7">
        <f>IFERROR(VLOOKUP(B69,'[1]model_S-フレーム'!$F$5:$V$7000,17,1),"")</f>
        <v>0</v>
      </c>
      <c r="BM69" t="str" cm="1">
        <f t="array" ref="BM69">_xlfn.IFS(LEFT(G69,1)="L","外注品",LEFT(G69,1)="W","内製品",G69="","購買品")</f>
        <v>内製品</v>
      </c>
    </row>
    <row r="70" spans="1:65">
      <c r="A70" t="str">
        <f t="shared" si="10"/>
        <v>WG01</v>
      </c>
      <c r="B70" t="s">
        <v>191</v>
      </c>
      <c r="C70" t="s">
        <v>271</v>
      </c>
      <c r="D70" s="7"/>
      <c r="E70" s="7"/>
      <c r="G70" t="s">
        <v>1938</v>
      </c>
      <c r="H70" t="str" cm="1">
        <f t="array" ref="H70">IFERROR(_xlfn.IFS(B70="","",AND(B70="",G70=""),"",G70="","記載要"),"")</f>
        <v/>
      </c>
      <c r="K70" t="str">
        <f t="shared" si="11"/>
        <v>11WP00997461</v>
      </c>
      <c r="L70" s="3" t="str">
        <f t="shared" si="12"/>
        <v>2001/01/01</v>
      </c>
      <c r="M70" s="3" t="str">
        <f t="shared" si="13"/>
        <v>2199/12/31</v>
      </c>
      <c r="N70" t="str">
        <f t="shared" si="14"/>
        <v>11WP00997461</v>
      </c>
      <c r="O70">
        <v>5</v>
      </c>
      <c r="Q70" t="str" cm="1">
        <f t="array" ref="Q70">_xlfn.IFS(AND(C70="",G70=""),"",LEFT(G70,1)="L","記載要",LEFT(G70,1)="W","",AND(C70,G70=""),"記載要")</f>
        <v/>
      </c>
      <c r="R70" s="21" t="str">
        <f t="shared" si="19"/>
        <v/>
      </c>
      <c r="S70" s="21"/>
      <c r="AA70">
        <v>1</v>
      </c>
      <c r="AB70">
        <f t="shared" si="15"/>
        <v>0</v>
      </c>
      <c r="AC70">
        <v>1</v>
      </c>
      <c r="AF70">
        <v>1</v>
      </c>
      <c r="AG70" s="8"/>
      <c r="AH70" s="8"/>
      <c r="AK70" cm="1">
        <f t="array" ref="AK70">_xlfn.IFS(B70="","",LEFT(G70,1)="L",1,LEFT(G70,1)="W",1,AND(LEFT(B70,1)="H",G70=""),0)</f>
        <v>1</v>
      </c>
      <c r="AS70" t="str">
        <f t="shared" si="16"/>
        <v/>
      </c>
      <c r="AT70" t="s">
        <v>115</v>
      </c>
      <c r="AU70" t="str">
        <f t="shared" si="17"/>
        <v>0</v>
      </c>
      <c r="BD70" t="str">
        <f t="shared" si="18"/>
        <v>0</v>
      </c>
      <c r="BK70" t="str">
        <f>IFERROR(VLOOKUP(B70,'[1]model_S-フレーム'!$F$5:$R$7000,13,1),"")</f>
        <v>E356750_01</v>
      </c>
      <c r="BL70" s="7">
        <f>IFERROR(VLOOKUP(B70,'[1]model_S-フレーム'!$F$5:$V$7000,17,1),"")</f>
        <v>0</v>
      </c>
      <c r="BM70" t="str" cm="1">
        <f t="array" ref="BM70">_xlfn.IFS(LEFT(G70,1)="L","外注品",LEFT(G70,1)="W","内製品",G70="","購買品")</f>
        <v>内製品</v>
      </c>
    </row>
    <row r="71" spans="1:65">
      <c r="A71" t="str">
        <f t="shared" si="10"/>
        <v>WG01</v>
      </c>
      <c r="B71" t="s">
        <v>192</v>
      </c>
      <c r="C71" t="s">
        <v>272</v>
      </c>
      <c r="D71" s="7"/>
      <c r="E71" s="7"/>
      <c r="H71">
        <v>27616</v>
      </c>
      <c r="K71" t="str">
        <f t="shared" si="11"/>
        <v/>
      </c>
      <c r="L71" s="3" t="str">
        <f t="shared" si="12"/>
        <v>2001/01/01</v>
      </c>
      <c r="M71" s="3" t="str">
        <f t="shared" si="13"/>
        <v>2199/12/31</v>
      </c>
      <c r="N71" t="str">
        <f t="shared" si="14"/>
        <v/>
      </c>
      <c r="O71" t="str">
        <f>IF(G71="","","記載要")</f>
        <v/>
      </c>
      <c r="Q71">
        <v>15</v>
      </c>
      <c r="R71" s="21">
        <v>100000000</v>
      </c>
      <c r="S71" s="21" t="str" cm="1">
        <f t="array" ref="S71">_xlfn.IFS(LEFT(G71,1)="L","記載要",LEFT(G71,1)="W","記載要",G71="","")</f>
        <v/>
      </c>
      <c r="AA71" s="8">
        <v>1</v>
      </c>
      <c r="AB71">
        <f t="shared" si="15"/>
        <v>0</v>
      </c>
      <c r="AC71" s="8">
        <v>1</v>
      </c>
      <c r="AF71">
        <v>1</v>
      </c>
      <c r="AG71" s="8"/>
      <c r="AH71" s="8"/>
      <c r="AK71" cm="1">
        <f t="array" ref="AK71">_xlfn.IFS(B71="","",LEFT(G71,1)="L",1,LEFT(G71,1)="W",1,AND(LEFT(B71,1)="H",G71=""),0)</f>
        <v>0</v>
      </c>
      <c r="AS71">
        <f t="shared" si="16"/>
        <v>1</v>
      </c>
      <c r="AT71" t="s">
        <v>115</v>
      </c>
      <c r="AU71" t="str">
        <f t="shared" si="17"/>
        <v>0</v>
      </c>
      <c r="BD71" t="str">
        <f t="shared" si="18"/>
        <v>0</v>
      </c>
      <c r="BK71" t="str">
        <f>IFERROR(VLOOKUP(B71,'[1]model_S-フレーム'!$F$5:$R$7000,13,1),"")</f>
        <v>E356750_01</v>
      </c>
      <c r="BL71" s="7">
        <f>IFERROR(VLOOKUP(B71,'[1]model_S-フレーム'!$F$5:$V$7000,17,1),"")</f>
        <v>0</v>
      </c>
      <c r="BM71" t="str" cm="1">
        <f t="array" ref="BM71">_xlfn.IFS(LEFT(G71,1)="L","外注品",LEFT(G71,1)="W","内製品",G71="","購買品")</f>
        <v>購買品</v>
      </c>
    </row>
    <row r="72" spans="1:65">
      <c r="A72" t="str">
        <f t="shared" si="10"/>
        <v>WG01</v>
      </c>
      <c r="B72" t="s">
        <v>192</v>
      </c>
      <c r="C72" t="s">
        <v>272</v>
      </c>
      <c r="D72" s="7"/>
      <c r="E72" s="7"/>
      <c r="H72">
        <v>43453</v>
      </c>
      <c r="K72" t="str">
        <f t="shared" si="11"/>
        <v/>
      </c>
      <c r="L72" s="3" t="str">
        <f t="shared" si="12"/>
        <v>2001/01/01</v>
      </c>
      <c r="M72" s="3" t="str">
        <f t="shared" si="13"/>
        <v>2199/12/31</v>
      </c>
      <c r="N72" t="str">
        <f t="shared" si="14"/>
        <v/>
      </c>
      <c r="O72" t="str">
        <f>IF(G72="","","記載要")</f>
        <v/>
      </c>
      <c r="Q72">
        <v>15</v>
      </c>
      <c r="R72" s="21">
        <v>100000000</v>
      </c>
      <c r="S72" s="21" t="str" cm="1">
        <f t="array" ref="S72">_xlfn.IFS(LEFT(G72,1)="L","記載要",LEFT(G72,1)="W","記載要",G72="","")</f>
        <v/>
      </c>
      <c r="AA72" s="8">
        <v>1</v>
      </c>
      <c r="AB72">
        <f t="shared" si="15"/>
        <v>0</v>
      </c>
      <c r="AC72" s="8">
        <v>1</v>
      </c>
      <c r="AF72">
        <v>0</v>
      </c>
      <c r="AG72" s="8"/>
      <c r="AH72" s="8"/>
      <c r="AK72" cm="1">
        <f t="array" ref="AK72">_xlfn.IFS(B72="","",LEFT(G72,1)="L",1,LEFT(G72,1)="W",1,AND(LEFT(B72,1)="H",G72=""),0)</f>
        <v>0</v>
      </c>
      <c r="AS72">
        <f t="shared" si="16"/>
        <v>1</v>
      </c>
      <c r="AT72" t="s">
        <v>115</v>
      </c>
      <c r="AU72" t="str">
        <f t="shared" si="17"/>
        <v>0</v>
      </c>
      <c r="BD72" t="str">
        <f t="shared" si="18"/>
        <v>0</v>
      </c>
      <c r="BK72" t="str">
        <f>IFERROR(VLOOKUP(B72,'[1]model_S-フレーム'!$F$5:$R$7000,13,1),"")</f>
        <v>E356750_01</v>
      </c>
      <c r="BL72" s="7">
        <f>IFERROR(VLOOKUP(B72,'[1]model_S-フレーム'!$F$5:$V$7000,17,1),"")</f>
        <v>0</v>
      </c>
      <c r="BM72" t="str" cm="1">
        <f t="array" ref="BM72">_xlfn.IFS(LEFT(G72,1)="L","外注品",LEFT(G72,1)="W","内製品",G72="","購買品")</f>
        <v>購買品</v>
      </c>
    </row>
    <row r="73" spans="1:65">
      <c r="A73" t="str">
        <f t="shared" si="10"/>
        <v>WG01</v>
      </c>
      <c r="B73" t="s">
        <v>192</v>
      </c>
      <c r="C73" t="s">
        <v>272</v>
      </c>
      <c r="D73" s="7"/>
      <c r="E73" s="7"/>
      <c r="H73">
        <v>47081</v>
      </c>
      <c r="K73" t="str">
        <f t="shared" si="11"/>
        <v/>
      </c>
      <c r="L73" s="3" t="str">
        <f t="shared" si="12"/>
        <v>2001/01/01</v>
      </c>
      <c r="M73" s="3" t="str">
        <f t="shared" si="13"/>
        <v>2199/12/31</v>
      </c>
      <c r="N73" t="str">
        <f t="shared" si="14"/>
        <v/>
      </c>
      <c r="O73" t="str">
        <f>IF(G73="","","記載要")</f>
        <v/>
      </c>
      <c r="Q73">
        <v>15</v>
      </c>
      <c r="R73" s="21">
        <v>100000000</v>
      </c>
      <c r="S73" s="21" t="str" cm="1">
        <f t="array" ref="S73">_xlfn.IFS(LEFT(G73,1)="L","記載要",LEFT(G73,1)="W","記載要",G73="","")</f>
        <v/>
      </c>
      <c r="AA73" s="8">
        <v>1</v>
      </c>
      <c r="AB73">
        <f t="shared" si="15"/>
        <v>0</v>
      </c>
      <c r="AC73" s="8">
        <v>1</v>
      </c>
      <c r="AF73">
        <v>0</v>
      </c>
      <c r="AG73" s="8"/>
      <c r="AH73" s="8"/>
      <c r="AK73" cm="1">
        <f t="array" ref="AK73">_xlfn.IFS(B73="","",LEFT(G73,1)="L",1,LEFT(G73,1)="W",1,AND(LEFT(B73,1)="H",G73=""),0)</f>
        <v>0</v>
      </c>
      <c r="AS73">
        <f t="shared" si="16"/>
        <v>1</v>
      </c>
      <c r="AT73" t="s">
        <v>115</v>
      </c>
      <c r="AU73" t="str">
        <f t="shared" si="17"/>
        <v>0</v>
      </c>
      <c r="BD73" t="str">
        <f t="shared" si="18"/>
        <v>0</v>
      </c>
      <c r="BK73" t="str">
        <f>IFERROR(VLOOKUP(B73,'[1]model_S-フレーム'!$F$5:$R$7000,13,1),"")</f>
        <v>E356750_01</v>
      </c>
      <c r="BL73" s="7">
        <f>IFERROR(VLOOKUP(B73,'[1]model_S-フレーム'!$F$5:$V$7000,17,1),"")</f>
        <v>0</v>
      </c>
      <c r="BM73" t="str" cm="1">
        <f t="array" ref="BM73">_xlfn.IFS(LEFT(G73,1)="L","外注品",LEFT(G73,1)="W","内製品",G73="","購買品")</f>
        <v>購買品</v>
      </c>
    </row>
    <row r="74" spans="1:65">
      <c r="A74" t="str">
        <f t="shared" si="10"/>
        <v>WG01</v>
      </c>
      <c r="B74" t="s">
        <v>192</v>
      </c>
      <c r="C74" t="s">
        <v>272</v>
      </c>
      <c r="D74" s="7"/>
      <c r="E74" s="7"/>
      <c r="H74" s="19" t="s">
        <v>1937</v>
      </c>
      <c r="K74" t="str">
        <f t="shared" si="11"/>
        <v/>
      </c>
      <c r="L74" s="3" t="str">
        <f t="shared" si="12"/>
        <v>2001/01/01</v>
      </c>
      <c r="M74" s="3" t="str">
        <f t="shared" si="13"/>
        <v>2199/12/31</v>
      </c>
      <c r="N74" t="str">
        <f t="shared" si="14"/>
        <v/>
      </c>
      <c r="O74" t="str">
        <f>IF(G74="","","記載要")</f>
        <v/>
      </c>
      <c r="Q74">
        <v>15</v>
      </c>
      <c r="R74" s="21">
        <v>100000000</v>
      </c>
      <c r="S74" s="21" t="str" cm="1">
        <f t="array" ref="S74">_xlfn.IFS(LEFT(G74,1)="L","記載要",LEFT(G74,1)="W","記載要",G74="","")</f>
        <v/>
      </c>
      <c r="AA74" s="8">
        <v>1</v>
      </c>
      <c r="AB74">
        <f t="shared" si="15"/>
        <v>0</v>
      </c>
      <c r="AC74" s="8">
        <v>1</v>
      </c>
      <c r="AF74">
        <v>0</v>
      </c>
      <c r="AG74" s="8"/>
      <c r="AH74" s="8"/>
      <c r="AK74" cm="1">
        <f t="array" ref="AK74">_xlfn.IFS(B74="","",LEFT(G74,1)="L",1,LEFT(G74,1)="W",1,AND(LEFT(B74,1)="H",G74=""),0)</f>
        <v>0</v>
      </c>
      <c r="AS74">
        <f t="shared" si="16"/>
        <v>1</v>
      </c>
      <c r="AT74" t="s">
        <v>115</v>
      </c>
      <c r="AU74" t="str">
        <f t="shared" si="17"/>
        <v>0</v>
      </c>
      <c r="BD74" t="str">
        <f t="shared" si="18"/>
        <v>0</v>
      </c>
      <c r="BK74" t="str">
        <f>IFERROR(VLOOKUP(B74,'[1]model_S-フレーム'!$F$5:$R$7000,13,1),"")</f>
        <v>E356750_01</v>
      </c>
      <c r="BL74" s="7">
        <f>IFERROR(VLOOKUP(B74,'[1]model_S-フレーム'!$F$5:$V$7000,17,1),"")</f>
        <v>0</v>
      </c>
      <c r="BM74" t="str" cm="1">
        <f t="array" ref="BM74">_xlfn.IFS(LEFT(G74,1)="L","外注品",LEFT(G74,1)="W","内製品",G74="","購買品")</f>
        <v>購買品</v>
      </c>
    </row>
    <row r="75" spans="1:65">
      <c r="A75" t="str">
        <f t="shared" si="10"/>
        <v>WG01</v>
      </c>
      <c r="B75" t="s">
        <v>193</v>
      </c>
      <c r="C75" t="s">
        <v>273</v>
      </c>
      <c r="D75" s="7"/>
      <c r="E75" s="7"/>
      <c r="G75" t="s">
        <v>1938</v>
      </c>
      <c r="H75" t="str" cm="1">
        <f t="array" ref="H75">IFERROR(_xlfn.IFS(B75="","",AND(B75="",G75=""),"",G75="","記載要"),"")</f>
        <v/>
      </c>
      <c r="K75" t="str">
        <f t="shared" si="11"/>
        <v>11WP00997463</v>
      </c>
      <c r="L75" s="3" t="str">
        <f t="shared" si="12"/>
        <v>2001/01/01</v>
      </c>
      <c r="M75" s="3" t="str">
        <f t="shared" si="13"/>
        <v>2199/12/31</v>
      </c>
      <c r="N75" t="str">
        <f t="shared" si="14"/>
        <v>11WP00997463</v>
      </c>
      <c r="O75">
        <v>5</v>
      </c>
      <c r="Q75" t="str" cm="1">
        <f t="array" ref="Q75">_xlfn.IFS(AND(C75="",G75=""),"",LEFT(G75,1)="L","記載要",LEFT(G75,1)="W","",AND(C75,G75=""),"記載要")</f>
        <v/>
      </c>
      <c r="R75" s="21" t="str">
        <f t="shared" si="19"/>
        <v/>
      </c>
      <c r="S75" s="21"/>
      <c r="AA75">
        <v>1</v>
      </c>
      <c r="AB75">
        <f t="shared" si="15"/>
        <v>0</v>
      </c>
      <c r="AC75">
        <v>1</v>
      </c>
      <c r="AF75">
        <v>1</v>
      </c>
      <c r="AG75" s="8"/>
      <c r="AH75" s="8"/>
      <c r="AK75" cm="1">
        <f t="array" ref="AK75">_xlfn.IFS(B75="","",LEFT(G75,1)="L",1,LEFT(G75,1)="W",1,AND(LEFT(B75,1)="H",G75=""),0)</f>
        <v>1</v>
      </c>
      <c r="AS75" t="str">
        <f t="shared" si="16"/>
        <v/>
      </c>
      <c r="AT75" t="s">
        <v>115</v>
      </c>
      <c r="AU75" t="str">
        <f t="shared" si="17"/>
        <v>0</v>
      </c>
      <c r="BD75" t="str">
        <f t="shared" si="18"/>
        <v>0</v>
      </c>
      <c r="BK75" t="str">
        <f>IFERROR(VLOOKUP(B75,'[1]model_S-フレーム'!$F$5:$R$7000,13,1),"")</f>
        <v>E356750_01</v>
      </c>
      <c r="BL75" s="7">
        <f>IFERROR(VLOOKUP(B75,'[1]model_S-フレーム'!$F$5:$V$7000,17,1),"")</f>
        <v>0</v>
      </c>
      <c r="BM75" t="str" cm="1">
        <f t="array" ref="BM75">_xlfn.IFS(LEFT(G75,1)="L","外注品",LEFT(G75,1)="W","内製品",G75="","購買品")</f>
        <v>内製品</v>
      </c>
    </row>
    <row r="76" spans="1:65">
      <c r="A76" t="str">
        <f t="shared" si="10"/>
        <v>WG01</v>
      </c>
      <c r="B76" t="s">
        <v>194</v>
      </c>
      <c r="C76" t="s">
        <v>273</v>
      </c>
      <c r="D76" s="7"/>
      <c r="E76" s="7"/>
      <c r="G76" t="s">
        <v>1938</v>
      </c>
      <c r="H76" t="str" cm="1">
        <f t="array" ref="H76">IFERROR(_xlfn.IFS(B76="","",AND(B76="",G76=""),"",G76="","記載要"),"")</f>
        <v/>
      </c>
      <c r="K76" t="str">
        <f t="shared" si="11"/>
        <v>11WP00997464</v>
      </c>
      <c r="L76" s="3" t="str">
        <f t="shared" si="12"/>
        <v>2001/01/01</v>
      </c>
      <c r="M76" s="3" t="str">
        <f t="shared" si="13"/>
        <v>2199/12/31</v>
      </c>
      <c r="N76" t="str">
        <f t="shared" si="14"/>
        <v>11WP00997464</v>
      </c>
      <c r="O76">
        <v>5</v>
      </c>
      <c r="Q76" t="str" cm="1">
        <f t="array" ref="Q76">_xlfn.IFS(AND(C76="",G76=""),"",LEFT(G76,1)="L","記載要",LEFT(G76,1)="W","",AND(C76,G76=""),"記載要")</f>
        <v/>
      </c>
      <c r="R76" s="21" t="str">
        <f t="shared" si="19"/>
        <v/>
      </c>
      <c r="S76" s="21"/>
      <c r="AA76">
        <v>1</v>
      </c>
      <c r="AB76">
        <f t="shared" si="15"/>
        <v>0</v>
      </c>
      <c r="AC76">
        <v>1</v>
      </c>
      <c r="AF76">
        <v>1</v>
      </c>
      <c r="AG76" s="8"/>
      <c r="AH76" s="8"/>
      <c r="AK76" cm="1">
        <f t="array" ref="AK76">_xlfn.IFS(B76="","",LEFT(G76,1)="L",1,LEFT(G76,1)="W",1,AND(LEFT(B76,1)="H",G76=""),0)</f>
        <v>1</v>
      </c>
      <c r="AS76" t="str">
        <f t="shared" si="16"/>
        <v/>
      </c>
      <c r="AT76" t="s">
        <v>115</v>
      </c>
      <c r="AU76" t="str">
        <f t="shared" si="17"/>
        <v>0</v>
      </c>
      <c r="BD76" t="str">
        <f t="shared" si="18"/>
        <v>0</v>
      </c>
      <c r="BK76" t="str">
        <f>IFERROR(VLOOKUP(B76,'[1]model_S-フレーム'!$F$5:$R$7000,13,1),"")</f>
        <v>E356750_01</v>
      </c>
      <c r="BL76" s="7">
        <f>IFERROR(VLOOKUP(B76,'[1]model_S-フレーム'!$F$5:$V$7000,17,1),"")</f>
        <v>0</v>
      </c>
      <c r="BM76" t="str" cm="1">
        <f t="array" ref="BM76">_xlfn.IFS(LEFT(G76,1)="L","外注品",LEFT(G76,1)="W","内製品",G76="","購買品")</f>
        <v>内製品</v>
      </c>
    </row>
    <row r="77" spans="1:65">
      <c r="A77" t="str">
        <f t="shared" si="10"/>
        <v>WG01</v>
      </c>
      <c r="B77" t="s">
        <v>195</v>
      </c>
      <c r="C77" t="s">
        <v>273</v>
      </c>
      <c r="D77" s="7"/>
      <c r="E77" s="7"/>
      <c r="G77" t="s">
        <v>1938</v>
      </c>
      <c r="H77" t="str" cm="1">
        <f t="array" ref="H77">IFERROR(_xlfn.IFS(B77="","",AND(B77="",G77=""),"",G77="","記載要"),"")</f>
        <v/>
      </c>
      <c r="K77" t="str">
        <f t="shared" si="11"/>
        <v>11WP00997465</v>
      </c>
      <c r="L77" s="3" t="str">
        <f t="shared" si="12"/>
        <v>2001/01/01</v>
      </c>
      <c r="M77" s="3" t="str">
        <f t="shared" si="13"/>
        <v>2199/12/31</v>
      </c>
      <c r="N77" t="str">
        <f t="shared" si="14"/>
        <v>11WP00997465</v>
      </c>
      <c r="O77">
        <v>5</v>
      </c>
      <c r="Q77" t="str" cm="1">
        <f t="array" ref="Q77">_xlfn.IFS(AND(C77="",G77=""),"",LEFT(G77,1)="L","記載要",LEFT(G77,1)="W","",AND(C77,G77=""),"記載要")</f>
        <v/>
      </c>
      <c r="R77" s="21" t="str">
        <f t="shared" si="19"/>
        <v/>
      </c>
      <c r="S77" s="21"/>
      <c r="AA77">
        <v>1</v>
      </c>
      <c r="AB77">
        <f t="shared" si="15"/>
        <v>0</v>
      </c>
      <c r="AC77">
        <v>1</v>
      </c>
      <c r="AF77">
        <v>1</v>
      </c>
      <c r="AG77" s="8"/>
      <c r="AH77" s="8"/>
      <c r="AK77" cm="1">
        <f t="array" ref="AK77">_xlfn.IFS(B77="","",LEFT(G77,1)="L",1,LEFT(G77,1)="W",1,AND(LEFT(B77,1)="H",G77=""),0)</f>
        <v>1</v>
      </c>
      <c r="AS77" t="str">
        <f t="shared" si="16"/>
        <v/>
      </c>
      <c r="AT77" t="s">
        <v>115</v>
      </c>
      <c r="AU77" t="str">
        <f t="shared" si="17"/>
        <v>0</v>
      </c>
      <c r="BD77" t="str">
        <f t="shared" si="18"/>
        <v>0</v>
      </c>
      <c r="BK77" t="str">
        <f>IFERROR(VLOOKUP(B77,'[1]model_S-フレーム'!$F$5:$R$7000,13,1),"")</f>
        <v>E356750_01</v>
      </c>
      <c r="BL77" s="7">
        <f>IFERROR(VLOOKUP(B77,'[1]model_S-フレーム'!$F$5:$V$7000,17,1),"")</f>
        <v>0</v>
      </c>
      <c r="BM77" t="str" cm="1">
        <f t="array" ref="BM77">_xlfn.IFS(LEFT(G77,1)="L","外注品",LEFT(G77,1)="W","内製品",G77="","購買品")</f>
        <v>内製品</v>
      </c>
    </row>
    <row r="78" spans="1:65">
      <c r="A78" t="str">
        <f t="shared" si="10"/>
        <v>WG01</v>
      </c>
      <c r="B78" t="s">
        <v>196</v>
      </c>
      <c r="C78" t="s">
        <v>273</v>
      </c>
      <c r="D78" s="7"/>
      <c r="E78" s="7"/>
      <c r="G78" t="s">
        <v>1938</v>
      </c>
      <c r="H78" t="str" cm="1">
        <f t="array" ref="H78">IFERROR(_xlfn.IFS(B78="","",AND(B78="",G78=""),"",G78="","記載要"),"")</f>
        <v/>
      </c>
      <c r="K78" t="str">
        <f t="shared" si="11"/>
        <v>11WP00997466</v>
      </c>
      <c r="L78" s="3" t="str">
        <f t="shared" si="12"/>
        <v>2001/01/01</v>
      </c>
      <c r="M78" s="3" t="str">
        <f t="shared" si="13"/>
        <v>2199/12/31</v>
      </c>
      <c r="N78" t="str">
        <f t="shared" si="14"/>
        <v>11WP00997466</v>
      </c>
      <c r="O78">
        <v>5</v>
      </c>
      <c r="Q78" t="str" cm="1">
        <f t="array" ref="Q78">_xlfn.IFS(AND(C78="",G78=""),"",LEFT(G78,1)="L","記載要",LEFT(G78,1)="W","",AND(C78,G78=""),"記載要")</f>
        <v/>
      </c>
      <c r="R78" s="21" t="str">
        <f t="shared" si="19"/>
        <v/>
      </c>
      <c r="S78" s="21"/>
      <c r="AA78">
        <v>1</v>
      </c>
      <c r="AB78">
        <f t="shared" si="15"/>
        <v>0</v>
      </c>
      <c r="AC78">
        <v>1</v>
      </c>
      <c r="AF78">
        <v>1</v>
      </c>
      <c r="AG78" s="8"/>
      <c r="AH78" s="8"/>
      <c r="AK78" cm="1">
        <f t="array" ref="AK78">_xlfn.IFS(B78="","",LEFT(G78,1)="L",1,LEFT(G78,1)="W",1,AND(LEFT(B78,1)="H",G78=""),0)</f>
        <v>1</v>
      </c>
      <c r="AS78" t="str">
        <f t="shared" si="16"/>
        <v/>
      </c>
      <c r="AT78" t="s">
        <v>115</v>
      </c>
      <c r="AU78" t="str">
        <f t="shared" si="17"/>
        <v>0</v>
      </c>
      <c r="BD78" t="str">
        <f t="shared" si="18"/>
        <v>0</v>
      </c>
      <c r="BK78" t="str">
        <f>IFERROR(VLOOKUP(B78,'[1]model_S-フレーム'!$F$5:$R$7000,13,1),"")</f>
        <v>E356750_01</v>
      </c>
      <c r="BL78" s="7">
        <f>IFERROR(VLOOKUP(B78,'[1]model_S-フレーム'!$F$5:$V$7000,17,1),"")</f>
        <v>0</v>
      </c>
      <c r="BM78" t="str" cm="1">
        <f t="array" ref="BM78">_xlfn.IFS(LEFT(G78,1)="L","外注品",LEFT(G78,1)="W","内製品",G78="","購買品")</f>
        <v>内製品</v>
      </c>
    </row>
    <row r="79" spans="1:65">
      <c r="A79" t="str">
        <f t="shared" si="10"/>
        <v>WG01</v>
      </c>
      <c r="B79" t="s">
        <v>197</v>
      </c>
      <c r="C79" t="s">
        <v>273</v>
      </c>
      <c r="D79" s="7"/>
      <c r="E79" s="7"/>
      <c r="G79" t="s">
        <v>1938</v>
      </c>
      <c r="H79" t="str" cm="1">
        <f t="array" ref="H79">IFERROR(_xlfn.IFS(B79="","",AND(B79="",G79=""),"",G79="","記載要"),"")</f>
        <v/>
      </c>
      <c r="K79" t="str">
        <f t="shared" si="11"/>
        <v>11WP00997467</v>
      </c>
      <c r="L79" s="3" t="str">
        <f t="shared" si="12"/>
        <v>2001/01/01</v>
      </c>
      <c r="M79" s="3" t="str">
        <f t="shared" si="13"/>
        <v>2199/12/31</v>
      </c>
      <c r="N79" t="str">
        <f t="shared" si="14"/>
        <v>11WP00997467</v>
      </c>
      <c r="O79">
        <v>5</v>
      </c>
      <c r="Q79" t="str" cm="1">
        <f t="array" ref="Q79">_xlfn.IFS(AND(C79="",G79=""),"",LEFT(G79,1)="L","記載要",LEFT(G79,1)="W","",AND(C79,G79=""),"記載要")</f>
        <v/>
      </c>
      <c r="R79" s="21" t="str">
        <f t="shared" si="19"/>
        <v/>
      </c>
      <c r="S79" s="21"/>
      <c r="AA79">
        <v>1</v>
      </c>
      <c r="AB79">
        <f t="shared" si="15"/>
        <v>0</v>
      </c>
      <c r="AC79">
        <v>1</v>
      </c>
      <c r="AF79">
        <v>1</v>
      </c>
      <c r="AG79" s="8"/>
      <c r="AH79" s="8"/>
      <c r="AK79" cm="1">
        <f t="array" ref="AK79">_xlfn.IFS(B79="","",LEFT(G79,1)="L",1,LEFT(G79,1)="W",1,AND(LEFT(B79,1)="H",G79=""),0)</f>
        <v>1</v>
      </c>
      <c r="AS79" t="str">
        <f t="shared" si="16"/>
        <v/>
      </c>
      <c r="AT79" t="s">
        <v>115</v>
      </c>
      <c r="AU79" t="str">
        <f t="shared" si="17"/>
        <v>0</v>
      </c>
      <c r="BD79" t="str">
        <f t="shared" si="18"/>
        <v>0</v>
      </c>
      <c r="BK79" t="str">
        <f>IFERROR(VLOOKUP(B79,'[1]model_S-フレーム'!$F$5:$R$7000,13,1),"")</f>
        <v>E356750_01</v>
      </c>
      <c r="BL79" s="7">
        <f>IFERROR(VLOOKUP(B79,'[1]model_S-フレーム'!$F$5:$V$7000,17,1),"")</f>
        <v>0</v>
      </c>
      <c r="BM79" t="str" cm="1">
        <f t="array" ref="BM79">_xlfn.IFS(LEFT(G79,1)="L","外注品",LEFT(G79,1)="W","内製品",G79="","購買品")</f>
        <v>内製品</v>
      </c>
    </row>
    <row r="80" spans="1:65">
      <c r="A80" t="str">
        <f t="shared" si="10"/>
        <v>WG01</v>
      </c>
      <c r="B80" t="s">
        <v>198</v>
      </c>
      <c r="C80" t="s">
        <v>273</v>
      </c>
      <c r="D80" s="7"/>
      <c r="E80" s="7"/>
      <c r="G80" t="s">
        <v>1938</v>
      </c>
      <c r="H80" t="str" cm="1">
        <f t="array" ref="H80">IFERROR(_xlfn.IFS(B80="","",AND(B80="",G80=""),"",G80="","記載要"),"")</f>
        <v/>
      </c>
      <c r="K80" t="str">
        <f t="shared" si="11"/>
        <v>11WP00997468</v>
      </c>
      <c r="L80" s="3" t="str">
        <f t="shared" si="12"/>
        <v>2001/01/01</v>
      </c>
      <c r="M80" s="3" t="str">
        <f t="shared" si="13"/>
        <v>2199/12/31</v>
      </c>
      <c r="N80" t="str">
        <f t="shared" si="14"/>
        <v>11WP00997468</v>
      </c>
      <c r="O80">
        <v>5</v>
      </c>
      <c r="Q80" t="str" cm="1">
        <f t="array" ref="Q80">_xlfn.IFS(AND(C80="",G80=""),"",LEFT(G80,1)="L","記載要",LEFT(G80,1)="W","",AND(C80,G80=""),"記載要")</f>
        <v/>
      </c>
      <c r="R80" s="21" t="str">
        <f t="shared" si="19"/>
        <v/>
      </c>
      <c r="S80" s="21"/>
      <c r="AA80">
        <v>1</v>
      </c>
      <c r="AB80">
        <f t="shared" si="15"/>
        <v>0</v>
      </c>
      <c r="AC80">
        <v>1</v>
      </c>
      <c r="AF80">
        <v>1</v>
      </c>
      <c r="AG80" s="8"/>
      <c r="AH80" s="8"/>
      <c r="AK80" cm="1">
        <f t="array" ref="AK80">_xlfn.IFS(B80="","",LEFT(G80,1)="L",1,LEFT(G80,1)="W",1,AND(LEFT(B80,1)="H",G80=""),0)</f>
        <v>1</v>
      </c>
      <c r="AS80" t="str">
        <f t="shared" si="16"/>
        <v/>
      </c>
      <c r="AT80" t="s">
        <v>115</v>
      </c>
      <c r="AU80" t="str">
        <f t="shared" si="17"/>
        <v>0</v>
      </c>
      <c r="BD80" t="str">
        <f t="shared" si="18"/>
        <v>0</v>
      </c>
      <c r="BK80" t="str">
        <f>IFERROR(VLOOKUP(B80,'[1]model_S-フレーム'!$F$5:$R$7000,13,1),"")</f>
        <v>E356750_01</v>
      </c>
      <c r="BL80" s="7">
        <f>IFERROR(VLOOKUP(B80,'[1]model_S-フレーム'!$F$5:$V$7000,17,1),"")</f>
        <v>0</v>
      </c>
      <c r="BM80" t="str" cm="1">
        <f t="array" ref="BM80">_xlfn.IFS(LEFT(G80,1)="L","外注品",LEFT(G80,1)="W","内製品",G80="","購買品")</f>
        <v>内製品</v>
      </c>
    </row>
    <row r="81" spans="1:65">
      <c r="A81" t="str">
        <f t="shared" si="10"/>
        <v>WG01</v>
      </c>
      <c r="B81" t="s">
        <v>199</v>
      </c>
      <c r="C81" t="s">
        <v>273</v>
      </c>
      <c r="D81" s="7"/>
      <c r="E81" s="7"/>
      <c r="G81" t="s">
        <v>1938</v>
      </c>
      <c r="H81" t="str" cm="1">
        <f t="array" ref="H81">IFERROR(_xlfn.IFS(B81="","",AND(B81="",G81=""),"",G81="","記載要"),"")</f>
        <v/>
      </c>
      <c r="K81" t="str">
        <f t="shared" si="11"/>
        <v>11WP00997469</v>
      </c>
      <c r="L81" s="3" t="str">
        <f t="shared" si="12"/>
        <v>2001/01/01</v>
      </c>
      <c r="M81" s="3" t="str">
        <f t="shared" si="13"/>
        <v>2199/12/31</v>
      </c>
      <c r="N81" t="str">
        <f t="shared" si="14"/>
        <v>11WP00997469</v>
      </c>
      <c r="O81">
        <v>5</v>
      </c>
      <c r="Q81" t="str" cm="1">
        <f t="array" ref="Q81">_xlfn.IFS(AND(C81="",G81=""),"",LEFT(G81,1)="L","記載要",LEFT(G81,1)="W","",AND(C81,G81=""),"記載要")</f>
        <v/>
      </c>
      <c r="R81" s="21" t="str">
        <f t="shared" si="19"/>
        <v/>
      </c>
      <c r="S81" s="21"/>
      <c r="AA81">
        <v>1</v>
      </c>
      <c r="AB81">
        <f t="shared" si="15"/>
        <v>0</v>
      </c>
      <c r="AC81">
        <v>1</v>
      </c>
      <c r="AF81">
        <v>1</v>
      </c>
      <c r="AG81" s="8"/>
      <c r="AH81" s="8"/>
      <c r="AK81" cm="1">
        <f t="array" ref="AK81">_xlfn.IFS(B81="","",LEFT(G81,1)="L",1,LEFT(G81,1)="W",1,AND(LEFT(B81,1)="H",G81=""),0)</f>
        <v>1</v>
      </c>
      <c r="AS81" t="str">
        <f t="shared" si="16"/>
        <v/>
      </c>
      <c r="AT81" t="s">
        <v>115</v>
      </c>
      <c r="AU81" t="str">
        <f t="shared" si="17"/>
        <v>0</v>
      </c>
      <c r="BD81" t="str">
        <f t="shared" si="18"/>
        <v>0</v>
      </c>
      <c r="BK81" t="str">
        <f>IFERROR(VLOOKUP(B81,'[1]model_S-フレーム'!$F$5:$R$7000,13,1),"")</f>
        <v>E356750_01</v>
      </c>
      <c r="BL81" s="7">
        <f>IFERROR(VLOOKUP(B81,'[1]model_S-フレーム'!$F$5:$V$7000,17,1),"")</f>
        <v>0</v>
      </c>
      <c r="BM81" t="str" cm="1">
        <f t="array" ref="BM81">_xlfn.IFS(LEFT(G81,1)="L","外注品",LEFT(G81,1)="W","内製品",G81="","購買品")</f>
        <v>内製品</v>
      </c>
    </row>
    <row r="82" spans="1:65">
      <c r="A82" t="str">
        <f t="shared" si="10"/>
        <v>WG01</v>
      </c>
      <c r="B82" t="s">
        <v>200</v>
      </c>
      <c r="C82" t="s">
        <v>273</v>
      </c>
      <c r="D82" s="7"/>
      <c r="E82" s="7"/>
      <c r="G82" t="s">
        <v>1938</v>
      </c>
      <c r="H82" t="str" cm="1">
        <f t="array" ref="H82">IFERROR(_xlfn.IFS(B82="","",AND(B82="",G82=""),"",G82="","記載要"),"")</f>
        <v/>
      </c>
      <c r="K82" t="str">
        <f t="shared" si="11"/>
        <v>11WP00997470</v>
      </c>
      <c r="L82" s="3" t="str">
        <f t="shared" si="12"/>
        <v>2001/01/01</v>
      </c>
      <c r="M82" s="3" t="str">
        <f t="shared" si="13"/>
        <v>2199/12/31</v>
      </c>
      <c r="N82" t="str">
        <f t="shared" si="14"/>
        <v>11WP00997470</v>
      </c>
      <c r="O82">
        <v>5</v>
      </c>
      <c r="Q82" t="str" cm="1">
        <f t="array" ref="Q82">_xlfn.IFS(AND(C82="",G82=""),"",LEFT(G82,1)="L","記載要",LEFT(G82,1)="W","",AND(C82,G82=""),"記載要")</f>
        <v/>
      </c>
      <c r="R82" s="21" t="str">
        <f t="shared" si="19"/>
        <v/>
      </c>
      <c r="S82" s="21"/>
      <c r="AA82">
        <v>1</v>
      </c>
      <c r="AB82">
        <f t="shared" si="15"/>
        <v>0</v>
      </c>
      <c r="AC82">
        <v>1</v>
      </c>
      <c r="AF82">
        <v>1</v>
      </c>
      <c r="AG82" s="8"/>
      <c r="AH82" s="8"/>
      <c r="AK82" cm="1">
        <f t="array" ref="AK82">_xlfn.IFS(B82="","",LEFT(G82,1)="L",1,LEFT(G82,1)="W",1,AND(LEFT(B82,1)="H",G82=""),0)</f>
        <v>1</v>
      </c>
      <c r="AS82" t="str">
        <f t="shared" si="16"/>
        <v/>
      </c>
      <c r="AT82" t="s">
        <v>115</v>
      </c>
      <c r="AU82" t="str">
        <f t="shared" si="17"/>
        <v>0</v>
      </c>
      <c r="BD82" t="str">
        <f t="shared" si="18"/>
        <v>0</v>
      </c>
      <c r="BK82" t="str">
        <f>IFERROR(VLOOKUP(B82,'[1]model_S-フレーム'!$F$5:$R$7000,13,1),"")</f>
        <v>E356750_01</v>
      </c>
      <c r="BL82" s="7">
        <f>IFERROR(VLOOKUP(B82,'[1]model_S-フレーム'!$F$5:$V$7000,17,1),"")</f>
        <v>0</v>
      </c>
      <c r="BM82" t="str" cm="1">
        <f t="array" ref="BM82">_xlfn.IFS(LEFT(G82,1)="L","外注品",LEFT(G82,1)="W","内製品",G82="","購買品")</f>
        <v>内製品</v>
      </c>
    </row>
    <row r="83" spans="1:65">
      <c r="A83" t="str">
        <f t="shared" si="10"/>
        <v>WG01</v>
      </c>
      <c r="B83" t="s">
        <v>201</v>
      </c>
      <c r="C83" t="s">
        <v>274</v>
      </c>
      <c r="D83" s="7"/>
      <c r="E83" s="7"/>
      <c r="G83" t="s">
        <v>1938</v>
      </c>
      <c r="H83" t="str" cm="1">
        <f t="array" ref="H83">IFERROR(_xlfn.IFS(B83="","",AND(B83="",G83=""),"",G83="","記載要"),"")</f>
        <v/>
      </c>
      <c r="K83" t="str">
        <f t="shared" si="11"/>
        <v>11WP00997471</v>
      </c>
      <c r="L83" s="3" t="str">
        <f t="shared" si="12"/>
        <v>2001/01/01</v>
      </c>
      <c r="M83" s="3" t="str">
        <f t="shared" si="13"/>
        <v>2199/12/31</v>
      </c>
      <c r="N83" t="str">
        <f t="shared" si="14"/>
        <v>11WP00997471</v>
      </c>
      <c r="O83">
        <v>5</v>
      </c>
      <c r="Q83" t="str" cm="1">
        <f t="array" ref="Q83">_xlfn.IFS(AND(C83="",G83=""),"",LEFT(G83,1)="L","記載要",LEFT(G83,1)="W","",AND(C83,G83=""),"記載要")</f>
        <v/>
      </c>
      <c r="R83" s="21" t="str">
        <f t="shared" si="19"/>
        <v/>
      </c>
      <c r="S83" s="21"/>
      <c r="AA83">
        <v>1</v>
      </c>
      <c r="AB83">
        <f t="shared" si="15"/>
        <v>0</v>
      </c>
      <c r="AC83">
        <v>1</v>
      </c>
      <c r="AF83">
        <v>1</v>
      </c>
      <c r="AG83" s="8"/>
      <c r="AH83" s="8"/>
      <c r="AK83" cm="1">
        <f t="array" ref="AK83">_xlfn.IFS(B83="","",LEFT(G83,1)="L",1,LEFT(G83,1)="W",1,AND(LEFT(B83,1)="H",G83=""),0)</f>
        <v>1</v>
      </c>
      <c r="AS83" t="str">
        <f t="shared" si="16"/>
        <v/>
      </c>
      <c r="AT83" t="s">
        <v>115</v>
      </c>
      <c r="AU83" t="str">
        <f t="shared" si="17"/>
        <v>0</v>
      </c>
      <c r="BD83" t="str">
        <f t="shared" si="18"/>
        <v>0</v>
      </c>
      <c r="BK83" t="str">
        <f>IFERROR(VLOOKUP(B83,'[1]model_S-フレーム'!$F$5:$R$7000,13,1),"")</f>
        <v>E356750_01</v>
      </c>
      <c r="BL83" s="7">
        <f>IFERROR(VLOOKUP(B83,'[1]model_S-フレーム'!$F$5:$V$7000,17,1),"")</f>
        <v>0</v>
      </c>
      <c r="BM83" t="str" cm="1">
        <f t="array" ref="BM83">_xlfn.IFS(LEFT(G83,1)="L","外注品",LEFT(G83,1)="W","内製品",G83="","購買品")</f>
        <v>内製品</v>
      </c>
    </row>
    <row r="84" spans="1:65">
      <c r="A84" t="str">
        <f t="shared" si="10"/>
        <v>WG01</v>
      </c>
      <c r="B84" t="s">
        <v>202</v>
      </c>
      <c r="C84" t="s">
        <v>274</v>
      </c>
      <c r="D84" s="7"/>
      <c r="E84" s="7"/>
      <c r="G84" t="s">
        <v>1938</v>
      </c>
      <c r="H84" t="str" cm="1">
        <f t="array" ref="H84">IFERROR(_xlfn.IFS(B84="","",AND(B84="",G84=""),"",G84="","記載要"),"")</f>
        <v/>
      </c>
      <c r="K84" t="str">
        <f t="shared" si="11"/>
        <v>11WP00997472</v>
      </c>
      <c r="L84" s="3" t="str">
        <f t="shared" si="12"/>
        <v>2001/01/01</v>
      </c>
      <c r="M84" s="3" t="str">
        <f t="shared" si="13"/>
        <v>2199/12/31</v>
      </c>
      <c r="N84" t="str">
        <f t="shared" si="14"/>
        <v>11WP00997472</v>
      </c>
      <c r="O84">
        <v>5</v>
      </c>
      <c r="Q84" t="str" cm="1">
        <f t="array" ref="Q84">_xlfn.IFS(AND(C84="",G84=""),"",LEFT(G84,1)="L","記載要",LEFT(G84,1)="W","",AND(C84,G84=""),"記載要")</f>
        <v/>
      </c>
      <c r="R84" s="21" t="str">
        <f t="shared" si="19"/>
        <v/>
      </c>
      <c r="S84" s="21"/>
      <c r="AA84">
        <v>1</v>
      </c>
      <c r="AB84">
        <f t="shared" si="15"/>
        <v>0</v>
      </c>
      <c r="AC84">
        <v>1</v>
      </c>
      <c r="AF84">
        <v>1</v>
      </c>
      <c r="AG84" s="8"/>
      <c r="AH84" s="8"/>
      <c r="AK84" cm="1">
        <f t="array" ref="AK84">_xlfn.IFS(B84="","",LEFT(G84,1)="L",1,LEFT(G84,1)="W",1,AND(LEFT(B84,1)="H",G84=""),0)</f>
        <v>1</v>
      </c>
      <c r="AS84" t="str">
        <f t="shared" si="16"/>
        <v/>
      </c>
      <c r="AT84" t="s">
        <v>115</v>
      </c>
      <c r="AU84" t="str">
        <f t="shared" si="17"/>
        <v>0</v>
      </c>
      <c r="BD84" t="str">
        <f t="shared" si="18"/>
        <v>0</v>
      </c>
      <c r="BK84" t="str">
        <f>IFERROR(VLOOKUP(B84,'[1]model_S-フレーム'!$F$5:$R$7000,13,1),"")</f>
        <v>E356750_01</v>
      </c>
      <c r="BL84" s="7">
        <f>IFERROR(VLOOKUP(B84,'[1]model_S-フレーム'!$F$5:$V$7000,17,1),"")</f>
        <v>0</v>
      </c>
      <c r="BM84" t="str" cm="1">
        <f t="array" ref="BM84">_xlfn.IFS(LEFT(G84,1)="L","外注品",LEFT(G84,1)="W","内製品",G84="","購買品")</f>
        <v>内製品</v>
      </c>
    </row>
    <row r="85" spans="1:65">
      <c r="A85" t="str">
        <f t="shared" si="10"/>
        <v>WG01</v>
      </c>
      <c r="B85" t="s">
        <v>203</v>
      </c>
      <c r="C85" t="s">
        <v>274</v>
      </c>
      <c r="D85" s="7"/>
      <c r="E85" s="7"/>
      <c r="G85" t="s">
        <v>1938</v>
      </c>
      <c r="H85" t="str" cm="1">
        <f t="array" ref="H85">IFERROR(_xlfn.IFS(B85="","",AND(B85="",G85=""),"",G85="","記載要"),"")</f>
        <v/>
      </c>
      <c r="K85" t="str">
        <f t="shared" si="11"/>
        <v>11WP00997473</v>
      </c>
      <c r="L85" s="3" t="str">
        <f t="shared" si="12"/>
        <v>2001/01/01</v>
      </c>
      <c r="M85" s="3" t="str">
        <f t="shared" si="13"/>
        <v>2199/12/31</v>
      </c>
      <c r="N85" t="str">
        <f t="shared" si="14"/>
        <v>11WP00997473</v>
      </c>
      <c r="O85">
        <v>5</v>
      </c>
      <c r="Q85" t="str" cm="1">
        <f t="array" ref="Q85">_xlfn.IFS(AND(C85="",G85=""),"",LEFT(G85,1)="L","記載要",LEFT(G85,1)="W","",AND(C85,G85=""),"記載要")</f>
        <v/>
      </c>
      <c r="R85" s="21" t="str">
        <f t="shared" si="19"/>
        <v/>
      </c>
      <c r="S85" s="21"/>
      <c r="AA85">
        <v>1</v>
      </c>
      <c r="AB85">
        <f t="shared" si="15"/>
        <v>0</v>
      </c>
      <c r="AC85">
        <v>1</v>
      </c>
      <c r="AF85">
        <v>1</v>
      </c>
      <c r="AG85" s="8"/>
      <c r="AH85" s="8"/>
      <c r="AK85" cm="1">
        <f t="array" ref="AK85">_xlfn.IFS(B85="","",LEFT(G85,1)="L",1,LEFT(G85,1)="W",1,AND(LEFT(B85,1)="H",G85=""),0)</f>
        <v>1</v>
      </c>
      <c r="AS85" t="str">
        <f t="shared" si="16"/>
        <v/>
      </c>
      <c r="AT85" t="s">
        <v>115</v>
      </c>
      <c r="AU85" t="str">
        <f t="shared" si="17"/>
        <v>0</v>
      </c>
      <c r="BD85" t="str">
        <f t="shared" si="18"/>
        <v>0</v>
      </c>
      <c r="BK85" t="str">
        <f>IFERROR(VLOOKUP(B85,'[1]model_S-フレーム'!$F$5:$R$7000,13,1),"")</f>
        <v>E356750_01</v>
      </c>
      <c r="BL85" s="7">
        <f>IFERROR(VLOOKUP(B85,'[1]model_S-フレーム'!$F$5:$V$7000,17,1),"")</f>
        <v>0</v>
      </c>
      <c r="BM85" t="str" cm="1">
        <f t="array" ref="BM85">_xlfn.IFS(LEFT(G85,1)="L","外注品",LEFT(G85,1)="W","内製品",G85="","購買品")</f>
        <v>内製品</v>
      </c>
    </row>
    <row r="86" spans="1:65">
      <c r="A86" t="str">
        <f t="shared" si="10"/>
        <v>WG01</v>
      </c>
      <c r="B86" t="s">
        <v>204</v>
      </c>
      <c r="C86" t="s">
        <v>274</v>
      </c>
      <c r="D86" s="7"/>
      <c r="E86" s="7"/>
      <c r="G86" t="s">
        <v>1938</v>
      </c>
      <c r="H86" t="str" cm="1">
        <f t="array" ref="H86">IFERROR(_xlfn.IFS(B86="","",AND(B86="",G86=""),"",G86="","記載要"),"")</f>
        <v/>
      </c>
      <c r="K86" t="str">
        <f t="shared" si="11"/>
        <v>11WP00997474</v>
      </c>
      <c r="L86" s="3" t="str">
        <f t="shared" si="12"/>
        <v>2001/01/01</v>
      </c>
      <c r="M86" s="3" t="str">
        <f t="shared" si="13"/>
        <v>2199/12/31</v>
      </c>
      <c r="N86" t="str">
        <f t="shared" si="14"/>
        <v>11WP00997474</v>
      </c>
      <c r="O86">
        <v>5</v>
      </c>
      <c r="Q86" t="str" cm="1">
        <f t="array" ref="Q86">_xlfn.IFS(AND(C86="",G86=""),"",LEFT(G86,1)="L","記載要",LEFT(G86,1)="W","",AND(C86,G86=""),"記載要")</f>
        <v/>
      </c>
      <c r="R86" s="21" t="str">
        <f t="shared" si="19"/>
        <v/>
      </c>
      <c r="S86" s="21"/>
      <c r="AA86">
        <v>1</v>
      </c>
      <c r="AB86">
        <f t="shared" si="15"/>
        <v>0</v>
      </c>
      <c r="AC86">
        <v>1</v>
      </c>
      <c r="AF86">
        <v>1</v>
      </c>
      <c r="AG86" s="8"/>
      <c r="AH86" s="8"/>
      <c r="AK86" cm="1">
        <f t="array" ref="AK86">_xlfn.IFS(B86="","",LEFT(G86,1)="L",1,LEFT(G86,1)="W",1,AND(LEFT(B86,1)="H",G86=""),0)</f>
        <v>1</v>
      </c>
      <c r="AS86" t="str">
        <f t="shared" si="16"/>
        <v/>
      </c>
      <c r="AT86" t="s">
        <v>115</v>
      </c>
      <c r="AU86" t="str">
        <f t="shared" si="17"/>
        <v>0</v>
      </c>
      <c r="BD86" t="str">
        <f t="shared" si="18"/>
        <v>0</v>
      </c>
      <c r="BK86" t="str">
        <f>IFERROR(VLOOKUP(B86,'[1]model_S-フレーム'!$F$5:$R$7000,13,1),"")</f>
        <v>E356750_01</v>
      </c>
      <c r="BL86" s="7">
        <f>IFERROR(VLOOKUP(B86,'[1]model_S-フレーム'!$F$5:$V$7000,17,1),"")</f>
        <v>0</v>
      </c>
      <c r="BM86" t="str" cm="1">
        <f t="array" ref="BM86">_xlfn.IFS(LEFT(G86,1)="L","外注品",LEFT(G86,1)="W","内製品",G86="","購買品")</f>
        <v>内製品</v>
      </c>
    </row>
    <row r="87" spans="1:65">
      <c r="A87" t="str">
        <f t="shared" si="10"/>
        <v>WG01</v>
      </c>
      <c r="B87" t="s">
        <v>205</v>
      </c>
      <c r="C87" t="s">
        <v>275</v>
      </c>
      <c r="D87" s="7"/>
      <c r="E87" s="7"/>
      <c r="G87" t="s">
        <v>1938</v>
      </c>
      <c r="H87" t="str" cm="1">
        <f t="array" ref="H87">IFERROR(_xlfn.IFS(B87="","",AND(B87="",G87=""),"",G87="","記載要"),"")</f>
        <v/>
      </c>
      <c r="K87" t="str">
        <f t="shared" si="11"/>
        <v>11WP00997475</v>
      </c>
      <c r="L87" s="3" t="str">
        <f t="shared" si="12"/>
        <v>2001/01/01</v>
      </c>
      <c r="M87" s="3" t="str">
        <f t="shared" si="13"/>
        <v>2199/12/31</v>
      </c>
      <c r="N87" t="str">
        <f t="shared" si="14"/>
        <v>11WP00997475</v>
      </c>
      <c r="O87">
        <v>5</v>
      </c>
      <c r="Q87" t="str" cm="1">
        <f t="array" ref="Q87">_xlfn.IFS(AND(C87="",G87=""),"",LEFT(G87,1)="L","記載要",LEFT(G87,1)="W","",AND(C87,G87=""),"記載要")</f>
        <v/>
      </c>
      <c r="R87" s="21" t="str">
        <f t="shared" si="19"/>
        <v/>
      </c>
      <c r="S87" s="21"/>
      <c r="AA87">
        <v>1</v>
      </c>
      <c r="AB87">
        <f t="shared" si="15"/>
        <v>0</v>
      </c>
      <c r="AC87">
        <v>1</v>
      </c>
      <c r="AF87">
        <v>1</v>
      </c>
      <c r="AG87" s="8"/>
      <c r="AH87" s="8"/>
      <c r="AK87" cm="1">
        <f t="array" ref="AK87">_xlfn.IFS(B87="","",LEFT(G87,1)="L",1,LEFT(G87,1)="W",1,AND(LEFT(B87,1)="H",G87=""),0)</f>
        <v>1</v>
      </c>
      <c r="AS87" t="str">
        <f t="shared" si="16"/>
        <v/>
      </c>
      <c r="AT87" t="s">
        <v>115</v>
      </c>
      <c r="AU87" t="str">
        <f t="shared" si="17"/>
        <v>0</v>
      </c>
      <c r="BD87" t="str">
        <f t="shared" si="18"/>
        <v>0</v>
      </c>
      <c r="BK87" t="str">
        <f>IFERROR(VLOOKUP(B87,'[1]model_S-フレーム'!$F$5:$R$7000,13,1),"")</f>
        <v>E356750_01</v>
      </c>
      <c r="BL87" s="7">
        <f>IFERROR(VLOOKUP(B87,'[1]model_S-フレーム'!$F$5:$V$7000,17,1),"")</f>
        <v>0</v>
      </c>
      <c r="BM87" t="str" cm="1">
        <f t="array" ref="BM87">_xlfn.IFS(LEFT(G87,1)="L","外注品",LEFT(G87,1)="W","内製品",G87="","購買品")</f>
        <v>内製品</v>
      </c>
    </row>
    <row r="88" spans="1:65">
      <c r="A88" t="str">
        <f t="shared" si="10"/>
        <v>WG01</v>
      </c>
      <c r="B88" t="s">
        <v>206</v>
      </c>
      <c r="C88" t="s">
        <v>275</v>
      </c>
      <c r="D88" s="7"/>
      <c r="E88" s="7"/>
      <c r="G88" t="s">
        <v>1938</v>
      </c>
      <c r="H88" t="str" cm="1">
        <f t="array" ref="H88">IFERROR(_xlfn.IFS(B88="","",AND(B88="",G88=""),"",G88="","記載要"),"")</f>
        <v/>
      </c>
      <c r="K88" t="str">
        <f t="shared" si="11"/>
        <v>11WP00997476</v>
      </c>
      <c r="L88" s="3" t="str">
        <f t="shared" si="12"/>
        <v>2001/01/01</v>
      </c>
      <c r="M88" s="3" t="str">
        <f t="shared" si="13"/>
        <v>2199/12/31</v>
      </c>
      <c r="N88" t="str">
        <f t="shared" si="14"/>
        <v>11WP00997476</v>
      </c>
      <c r="O88">
        <v>5</v>
      </c>
      <c r="Q88" t="str" cm="1">
        <f t="array" ref="Q88">_xlfn.IFS(AND(C88="",G88=""),"",LEFT(G88,1)="L","記載要",LEFT(G88,1)="W","",AND(C88,G88=""),"記載要")</f>
        <v/>
      </c>
      <c r="R88" s="21" t="str">
        <f t="shared" si="19"/>
        <v/>
      </c>
      <c r="S88" s="21"/>
      <c r="AA88">
        <v>1</v>
      </c>
      <c r="AB88">
        <f t="shared" si="15"/>
        <v>0</v>
      </c>
      <c r="AC88">
        <v>1</v>
      </c>
      <c r="AF88">
        <v>1</v>
      </c>
      <c r="AG88" s="8"/>
      <c r="AH88" s="8"/>
      <c r="AK88" cm="1">
        <f t="array" ref="AK88">_xlfn.IFS(B88="","",LEFT(G88,1)="L",1,LEFT(G88,1)="W",1,AND(LEFT(B88,1)="H",G88=""),0)</f>
        <v>1</v>
      </c>
      <c r="AS88" t="str">
        <f t="shared" si="16"/>
        <v/>
      </c>
      <c r="AT88" t="s">
        <v>115</v>
      </c>
      <c r="AU88" t="str">
        <f t="shared" si="17"/>
        <v>0</v>
      </c>
      <c r="BD88" t="str">
        <f t="shared" si="18"/>
        <v>0</v>
      </c>
      <c r="BK88" t="str">
        <f>IFERROR(VLOOKUP(B88,'[1]model_S-フレーム'!$F$5:$R$7000,13,1),"")</f>
        <v>E356750_01</v>
      </c>
      <c r="BL88" s="7">
        <f>IFERROR(VLOOKUP(B88,'[1]model_S-フレーム'!$F$5:$V$7000,17,1),"")</f>
        <v>0</v>
      </c>
      <c r="BM88" t="str" cm="1">
        <f t="array" ref="BM88">_xlfn.IFS(LEFT(G88,1)="L","外注品",LEFT(G88,1)="W","内製品",G88="","購買品")</f>
        <v>内製品</v>
      </c>
    </row>
    <row r="89" spans="1:65">
      <c r="A89" t="str">
        <f t="shared" si="10"/>
        <v>WG01</v>
      </c>
      <c r="B89" t="s">
        <v>207</v>
      </c>
      <c r="C89" t="s">
        <v>275</v>
      </c>
      <c r="D89" s="7"/>
      <c r="E89" s="7"/>
      <c r="G89" t="s">
        <v>1938</v>
      </c>
      <c r="H89" t="str" cm="1">
        <f t="array" ref="H89">IFERROR(_xlfn.IFS(B89="","",AND(B89="",G89=""),"",G89="","記載要"),"")</f>
        <v/>
      </c>
      <c r="K89" t="str">
        <f t="shared" si="11"/>
        <v>11WP00997477</v>
      </c>
      <c r="L89" s="3" t="str">
        <f t="shared" si="12"/>
        <v>2001/01/01</v>
      </c>
      <c r="M89" s="3" t="str">
        <f t="shared" si="13"/>
        <v>2199/12/31</v>
      </c>
      <c r="N89" t="str">
        <f t="shared" si="14"/>
        <v>11WP00997477</v>
      </c>
      <c r="O89">
        <v>5</v>
      </c>
      <c r="Q89" t="str" cm="1">
        <f t="array" ref="Q89">_xlfn.IFS(AND(C89="",G89=""),"",LEFT(G89,1)="L","記載要",LEFT(G89,1)="W","",AND(C89,G89=""),"記載要")</f>
        <v/>
      </c>
      <c r="R89" s="21" t="str">
        <f t="shared" si="19"/>
        <v/>
      </c>
      <c r="S89" s="21"/>
      <c r="AA89">
        <v>1</v>
      </c>
      <c r="AB89">
        <f t="shared" si="15"/>
        <v>0</v>
      </c>
      <c r="AC89">
        <v>1</v>
      </c>
      <c r="AF89">
        <v>1</v>
      </c>
      <c r="AG89" s="8"/>
      <c r="AH89" s="8"/>
      <c r="AK89" cm="1">
        <f t="array" ref="AK89">_xlfn.IFS(B89="","",LEFT(G89,1)="L",1,LEFT(G89,1)="W",1,AND(LEFT(B89,1)="H",G89=""),0)</f>
        <v>1</v>
      </c>
      <c r="AS89" t="str">
        <f t="shared" si="16"/>
        <v/>
      </c>
      <c r="AT89" t="s">
        <v>115</v>
      </c>
      <c r="AU89" t="str">
        <f t="shared" si="17"/>
        <v>0</v>
      </c>
      <c r="BD89" t="str">
        <f t="shared" si="18"/>
        <v>0</v>
      </c>
      <c r="BK89" t="str">
        <f>IFERROR(VLOOKUP(B89,'[1]model_S-フレーム'!$F$5:$R$7000,13,1),"")</f>
        <v>E356750_01</v>
      </c>
      <c r="BL89" s="7">
        <f>IFERROR(VLOOKUP(B89,'[1]model_S-フレーム'!$F$5:$V$7000,17,1),"")</f>
        <v>0</v>
      </c>
      <c r="BM89" t="str" cm="1">
        <f t="array" ref="BM89">_xlfn.IFS(LEFT(G89,1)="L","外注品",LEFT(G89,1)="W","内製品",G89="","購買品")</f>
        <v>内製品</v>
      </c>
    </row>
    <row r="90" spans="1:65">
      <c r="A90" t="str">
        <f t="shared" si="10"/>
        <v>WG01</v>
      </c>
      <c r="B90" t="s">
        <v>208</v>
      </c>
      <c r="C90" t="s">
        <v>275</v>
      </c>
      <c r="D90" s="7"/>
      <c r="E90" s="7"/>
      <c r="G90" t="s">
        <v>1938</v>
      </c>
      <c r="H90" t="str" cm="1">
        <f t="array" ref="H90">IFERROR(_xlfn.IFS(B90="","",AND(B90="",G90=""),"",G90="","記載要"),"")</f>
        <v/>
      </c>
      <c r="K90" t="str">
        <f t="shared" si="11"/>
        <v>11WP00997478</v>
      </c>
      <c r="L90" s="3" t="str">
        <f t="shared" si="12"/>
        <v>2001/01/01</v>
      </c>
      <c r="M90" s="3" t="str">
        <f t="shared" si="13"/>
        <v>2199/12/31</v>
      </c>
      <c r="N90" t="str">
        <f t="shared" si="14"/>
        <v>11WP00997478</v>
      </c>
      <c r="O90">
        <v>5</v>
      </c>
      <c r="Q90" t="str" cm="1">
        <f t="array" ref="Q90">_xlfn.IFS(AND(C90="",G90=""),"",LEFT(G90,1)="L","記載要",LEFT(G90,1)="W","",AND(C90,G90=""),"記載要")</f>
        <v/>
      </c>
      <c r="R90" s="21" t="str">
        <f t="shared" si="19"/>
        <v/>
      </c>
      <c r="S90" s="21"/>
      <c r="AA90">
        <v>1</v>
      </c>
      <c r="AB90">
        <f t="shared" si="15"/>
        <v>0</v>
      </c>
      <c r="AC90">
        <v>1</v>
      </c>
      <c r="AF90">
        <v>1</v>
      </c>
      <c r="AG90" s="8"/>
      <c r="AH90" s="8"/>
      <c r="AK90" cm="1">
        <f t="array" ref="AK90">_xlfn.IFS(B90="","",LEFT(G90,1)="L",1,LEFT(G90,1)="W",1,AND(LEFT(B90,1)="H",G90=""),0)</f>
        <v>1</v>
      </c>
      <c r="AS90" t="str">
        <f t="shared" si="16"/>
        <v/>
      </c>
      <c r="AT90" t="s">
        <v>115</v>
      </c>
      <c r="AU90" t="str">
        <f t="shared" si="17"/>
        <v>0</v>
      </c>
      <c r="BD90" t="str">
        <f t="shared" si="18"/>
        <v>0</v>
      </c>
      <c r="BK90" t="str">
        <f>IFERROR(VLOOKUP(B90,'[1]model_S-フレーム'!$F$5:$R$7000,13,1),"")</f>
        <v>E356750_01</v>
      </c>
      <c r="BL90" s="7">
        <f>IFERROR(VLOOKUP(B90,'[1]model_S-フレーム'!$F$5:$V$7000,17,1),"")</f>
        <v>0</v>
      </c>
      <c r="BM90" t="str" cm="1">
        <f t="array" ref="BM90">_xlfn.IFS(LEFT(G90,1)="L","外注品",LEFT(G90,1)="W","内製品",G90="","購買品")</f>
        <v>内製品</v>
      </c>
    </row>
    <row r="91" spans="1:65">
      <c r="A91" t="str">
        <f t="shared" si="10"/>
        <v>WG01</v>
      </c>
      <c r="B91" t="s">
        <v>209</v>
      </c>
      <c r="C91" t="s">
        <v>276</v>
      </c>
      <c r="D91" s="7"/>
      <c r="E91" s="7"/>
      <c r="G91" t="s">
        <v>1938</v>
      </c>
      <c r="H91" t="str" cm="1">
        <f t="array" ref="H91">IFERROR(_xlfn.IFS(B91="","",AND(B91="",G91=""),"",G91="","記載要"),"")</f>
        <v/>
      </c>
      <c r="K91" t="str">
        <f t="shared" si="11"/>
        <v>11WP00997479</v>
      </c>
      <c r="L91" s="3" t="str">
        <f t="shared" si="12"/>
        <v>2001/01/01</v>
      </c>
      <c r="M91" s="3" t="str">
        <f t="shared" si="13"/>
        <v>2199/12/31</v>
      </c>
      <c r="N91" t="str">
        <f t="shared" si="14"/>
        <v>11WP00997479</v>
      </c>
      <c r="O91">
        <v>5</v>
      </c>
      <c r="Q91" t="str" cm="1">
        <f t="array" ref="Q91">_xlfn.IFS(AND(C91="",G91=""),"",LEFT(G91,1)="L","記載要",LEFT(G91,1)="W","",AND(C91,G91=""),"記載要")</f>
        <v/>
      </c>
      <c r="R91" s="21" t="str">
        <f t="shared" si="19"/>
        <v/>
      </c>
      <c r="S91" s="21"/>
      <c r="AA91">
        <v>1</v>
      </c>
      <c r="AB91">
        <f t="shared" si="15"/>
        <v>0</v>
      </c>
      <c r="AC91">
        <v>1</v>
      </c>
      <c r="AF91">
        <v>1</v>
      </c>
      <c r="AG91" s="8"/>
      <c r="AH91" s="8"/>
      <c r="AK91" cm="1">
        <f t="array" ref="AK91">_xlfn.IFS(B91="","",LEFT(G91,1)="L",1,LEFT(G91,1)="W",1,AND(LEFT(B91,1)="H",G91=""),0)</f>
        <v>1</v>
      </c>
      <c r="AS91" t="str">
        <f t="shared" si="16"/>
        <v/>
      </c>
      <c r="AT91" t="s">
        <v>115</v>
      </c>
      <c r="AU91" t="str">
        <f t="shared" si="17"/>
        <v>0</v>
      </c>
      <c r="BD91" t="str">
        <f t="shared" si="18"/>
        <v>0</v>
      </c>
      <c r="BK91" t="str">
        <f>IFERROR(VLOOKUP(B91,'[1]model_S-フレーム'!$F$5:$R$7000,13,1),"")</f>
        <v>E356750_01</v>
      </c>
      <c r="BL91" s="7">
        <f>IFERROR(VLOOKUP(B91,'[1]model_S-フレーム'!$F$5:$V$7000,17,1),"")</f>
        <v>0</v>
      </c>
      <c r="BM91" t="str" cm="1">
        <f t="array" ref="BM91">_xlfn.IFS(LEFT(G91,1)="L","外注品",LEFT(G91,1)="W","内製品",G91="","購買品")</f>
        <v>内製品</v>
      </c>
    </row>
    <row r="92" spans="1:65">
      <c r="A92" t="str">
        <f t="shared" si="10"/>
        <v>WG01</v>
      </c>
      <c r="B92" t="s">
        <v>210</v>
      </c>
      <c r="C92" t="s">
        <v>276</v>
      </c>
      <c r="D92" s="7"/>
      <c r="E92" s="7"/>
      <c r="G92" t="s">
        <v>1938</v>
      </c>
      <c r="H92" t="str" cm="1">
        <f t="array" ref="H92">IFERROR(_xlfn.IFS(B92="","",AND(B92="",G92=""),"",G92="","記載要"),"")</f>
        <v/>
      </c>
      <c r="K92" t="str">
        <f t="shared" si="11"/>
        <v>11WP00997480</v>
      </c>
      <c r="L92" s="3" t="str">
        <f t="shared" si="12"/>
        <v>2001/01/01</v>
      </c>
      <c r="M92" s="3" t="str">
        <f t="shared" si="13"/>
        <v>2199/12/31</v>
      </c>
      <c r="N92" t="str">
        <f t="shared" si="14"/>
        <v>11WP00997480</v>
      </c>
      <c r="O92">
        <v>5</v>
      </c>
      <c r="Q92" t="str" cm="1">
        <f t="array" ref="Q92">_xlfn.IFS(AND(C92="",G92=""),"",LEFT(G92,1)="L","記載要",LEFT(G92,1)="W","",AND(C92,G92=""),"記載要")</f>
        <v/>
      </c>
      <c r="R92" s="21" t="str">
        <f t="shared" si="19"/>
        <v/>
      </c>
      <c r="S92" s="21"/>
      <c r="AA92">
        <v>1</v>
      </c>
      <c r="AB92">
        <f t="shared" si="15"/>
        <v>0</v>
      </c>
      <c r="AC92">
        <v>1</v>
      </c>
      <c r="AF92">
        <v>1</v>
      </c>
      <c r="AG92" s="8"/>
      <c r="AH92" s="8"/>
      <c r="AK92" cm="1">
        <f t="array" ref="AK92">_xlfn.IFS(B92="","",LEFT(G92,1)="L",1,LEFT(G92,1)="W",1,AND(LEFT(B92,1)="H",G92=""),0)</f>
        <v>1</v>
      </c>
      <c r="AS92" t="str">
        <f t="shared" si="16"/>
        <v/>
      </c>
      <c r="AT92" t="s">
        <v>115</v>
      </c>
      <c r="AU92" t="str">
        <f t="shared" si="17"/>
        <v>0</v>
      </c>
      <c r="BD92" t="str">
        <f t="shared" si="18"/>
        <v>0</v>
      </c>
      <c r="BK92" t="str">
        <f>IFERROR(VLOOKUP(B92,'[1]model_S-フレーム'!$F$5:$R$7000,13,1),"")</f>
        <v>E356750_01</v>
      </c>
      <c r="BL92" s="7">
        <f>IFERROR(VLOOKUP(B92,'[1]model_S-フレーム'!$F$5:$V$7000,17,1),"")</f>
        <v>0</v>
      </c>
      <c r="BM92" t="str" cm="1">
        <f t="array" ref="BM92">_xlfn.IFS(LEFT(G92,1)="L","外注品",LEFT(G92,1)="W","内製品",G92="","購買品")</f>
        <v>内製品</v>
      </c>
    </row>
    <row r="93" spans="1:65">
      <c r="A93" t="str">
        <f t="shared" si="10"/>
        <v>WG01</v>
      </c>
      <c r="B93" t="s">
        <v>211</v>
      </c>
      <c r="C93" t="s">
        <v>276</v>
      </c>
      <c r="D93" s="7"/>
      <c r="E93" s="7"/>
      <c r="G93" t="s">
        <v>1938</v>
      </c>
      <c r="H93" t="str" cm="1">
        <f t="array" ref="H93">IFERROR(_xlfn.IFS(B93="","",AND(B93="",G93=""),"",G93="","記載要"),"")</f>
        <v/>
      </c>
      <c r="K93" t="str">
        <f t="shared" si="11"/>
        <v>11WP00997481</v>
      </c>
      <c r="L93" s="3" t="str">
        <f t="shared" si="12"/>
        <v>2001/01/01</v>
      </c>
      <c r="M93" s="3" t="str">
        <f t="shared" si="13"/>
        <v>2199/12/31</v>
      </c>
      <c r="N93" t="str">
        <f t="shared" si="14"/>
        <v>11WP00997481</v>
      </c>
      <c r="O93">
        <v>5</v>
      </c>
      <c r="Q93" t="str" cm="1">
        <f t="array" ref="Q93">_xlfn.IFS(AND(C93="",G93=""),"",LEFT(G93,1)="L","記載要",LEFT(G93,1)="W","",AND(C93,G93=""),"記載要")</f>
        <v/>
      </c>
      <c r="R93" s="21" t="str">
        <f t="shared" si="19"/>
        <v/>
      </c>
      <c r="S93" s="21"/>
      <c r="AA93">
        <v>1</v>
      </c>
      <c r="AB93">
        <f t="shared" si="15"/>
        <v>0</v>
      </c>
      <c r="AC93">
        <v>1</v>
      </c>
      <c r="AF93">
        <v>1</v>
      </c>
      <c r="AG93" s="8"/>
      <c r="AH93" s="8"/>
      <c r="AK93" cm="1">
        <f t="array" ref="AK93">_xlfn.IFS(B93="","",LEFT(G93,1)="L",1,LEFT(G93,1)="W",1,AND(LEFT(B93,1)="H",G93=""),0)</f>
        <v>1</v>
      </c>
      <c r="AS93" t="str">
        <f t="shared" si="16"/>
        <v/>
      </c>
      <c r="AT93" t="s">
        <v>115</v>
      </c>
      <c r="AU93" t="str">
        <f t="shared" si="17"/>
        <v>0</v>
      </c>
      <c r="BD93" t="str">
        <f t="shared" si="18"/>
        <v>0</v>
      </c>
      <c r="BK93" t="str">
        <f>IFERROR(VLOOKUP(B93,'[1]model_S-フレーム'!$F$5:$R$7000,13,1),"")</f>
        <v>E356750_01</v>
      </c>
      <c r="BL93" s="7">
        <f>IFERROR(VLOOKUP(B93,'[1]model_S-フレーム'!$F$5:$V$7000,17,1),"")</f>
        <v>0</v>
      </c>
      <c r="BM93" t="str" cm="1">
        <f t="array" ref="BM93">_xlfn.IFS(LEFT(G93,1)="L","外注品",LEFT(G93,1)="W","内製品",G93="","購買品")</f>
        <v>内製品</v>
      </c>
    </row>
    <row r="94" spans="1:65">
      <c r="A94" t="str">
        <f t="shared" si="10"/>
        <v>WG01</v>
      </c>
      <c r="B94" t="s">
        <v>212</v>
      </c>
      <c r="C94" t="s">
        <v>276</v>
      </c>
      <c r="D94" s="7"/>
      <c r="E94" s="7"/>
      <c r="G94" t="s">
        <v>1938</v>
      </c>
      <c r="H94" t="str" cm="1">
        <f t="array" ref="H94">IFERROR(_xlfn.IFS(B94="","",AND(B94="",G94=""),"",G94="","記載要"),"")</f>
        <v/>
      </c>
      <c r="K94" t="str">
        <f t="shared" si="11"/>
        <v>11WP00997482</v>
      </c>
      <c r="L94" s="3" t="str">
        <f t="shared" si="12"/>
        <v>2001/01/01</v>
      </c>
      <c r="M94" s="3" t="str">
        <f t="shared" si="13"/>
        <v>2199/12/31</v>
      </c>
      <c r="N94" t="str">
        <f t="shared" si="14"/>
        <v>11WP00997482</v>
      </c>
      <c r="O94">
        <v>5</v>
      </c>
      <c r="Q94" t="str" cm="1">
        <f t="array" ref="Q94">_xlfn.IFS(AND(C94="",G94=""),"",LEFT(G94,1)="L","記載要",LEFT(G94,1)="W","",AND(C94,G94=""),"記載要")</f>
        <v/>
      </c>
      <c r="R94" s="21" t="str">
        <f t="shared" si="19"/>
        <v/>
      </c>
      <c r="S94" s="21"/>
      <c r="AA94">
        <v>1</v>
      </c>
      <c r="AB94">
        <f t="shared" si="15"/>
        <v>0</v>
      </c>
      <c r="AC94">
        <v>1</v>
      </c>
      <c r="AF94">
        <v>1</v>
      </c>
      <c r="AG94" s="8"/>
      <c r="AH94" s="8"/>
      <c r="AK94" cm="1">
        <f t="array" ref="AK94">_xlfn.IFS(B94="","",LEFT(G94,1)="L",1,LEFT(G94,1)="W",1,AND(LEFT(B94,1)="H",G94=""),0)</f>
        <v>1</v>
      </c>
      <c r="AS94" t="str">
        <f t="shared" si="16"/>
        <v/>
      </c>
      <c r="AT94" t="s">
        <v>115</v>
      </c>
      <c r="AU94" t="str">
        <f t="shared" si="17"/>
        <v>0</v>
      </c>
      <c r="BD94" t="str">
        <f t="shared" si="18"/>
        <v>0</v>
      </c>
      <c r="BK94" t="str">
        <f>IFERROR(VLOOKUP(B94,'[1]model_S-フレーム'!$F$5:$R$7000,13,1),"")</f>
        <v>E356750_01</v>
      </c>
      <c r="BL94" s="7">
        <f>IFERROR(VLOOKUP(B94,'[1]model_S-フレーム'!$F$5:$V$7000,17,1),"")</f>
        <v>0</v>
      </c>
      <c r="BM94" t="str" cm="1">
        <f t="array" ref="BM94">_xlfn.IFS(LEFT(G94,1)="L","外注品",LEFT(G94,1)="W","内製品",G94="","購買品")</f>
        <v>内製品</v>
      </c>
    </row>
    <row r="95" spans="1:65">
      <c r="A95" t="str">
        <f t="shared" si="10"/>
        <v>WG01</v>
      </c>
      <c r="B95" t="s">
        <v>213</v>
      </c>
      <c r="C95" t="s">
        <v>276</v>
      </c>
      <c r="D95" s="7"/>
      <c r="E95" s="7"/>
      <c r="G95" t="s">
        <v>1938</v>
      </c>
      <c r="H95" t="str" cm="1">
        <f t="array" ref="H95">IFERROR(_xlfn.IFS(B95="","",AND(B95="",G95=""),"",G95="","記載要"),"")</f>
        <v/>
      </c>
      <c r="K95" t="str">
        <f t="shared" si="11"/>
        <v>11WP00997483</v>
      </c>
      <c r="L95" s="3" t="str">
        <f t="shared" si="12"/>
        <v>2001/01/01</v>
      </c>
      <c r="M95" s="3" t="str">
        <f t="shared" si="13"/>
        <v>2199/12/31</v>
      </c>
      <c r="N95" t="str">
        <f t="shared" si="14"/>
        <v>11WP00997483</v>
      </c>
      <c r="O95">
        <v>5</v>
      </c>
      <c r="Q95" t="str" cm="1">
        <f t="array" ref="Q95">_xlfn.IFS(AND(C95="",G95=""),"",LEFT(G95,1)="L","記載要",LEFT(G95,1)="W","",AND(C95,G95=""),"記載要")</f>
        <v/>
      </c>
      <c r="R95" s="21" t="str">
        <f t="shared" si="19"/>
        <v/>
      </c>
      <c r="S95" s="21"/>
      <c r="AA95">
        <v>1</v>
      </c>
      <c r="AB95">
        <f t="shared" si="15"/>
        <v>0</v>
      </c>
      <c r="AC95">
        <v>1</v>
      </c>
      <c r="AF95">
        <v>1</v>
      </c>
      <c r="AG95" s="8"/>
      <c r="AH95" s="8"/>
      <c r="AK95" cm="1">
        <f t="array" ref="AK95">_xlfn.IFS(B95="","",LEFT(G95,1)="L",1,LEFT(G95,1)="W",1,AND(LEFT(B95,1)="H",G95=""),0)</f>
        <v>1</v>
      </c>
      <c r="AS95" t="str">
        <f t="shared" si="16"/>
        <v/>
      </c>
      <c r="AT95" t="s">
        <v>115</v>
      </c>
      <c r="AU95" t="str">
        <f t="shared" si="17"/>
        <v>0</v>
      </c>
      <c r="BD95" t="str">
        <f t="shared" si="18"/>
        <v>0</v>
      </c>
      <c r="BK95" t="str">
        <f>IFERROR(VLOOKUP(B95,'[1]model_S-フレーム'!$F$5:$R$7000,13,1),"")</f>
        <v>E356750_01</v>
      </c>
      <c r="BL95" s="7">
        <f>IFERROR(VLOOKUP(B95,'[1]model_S-フレーム'!$F$5:$V$7000,17,1),"")</f>
        <v>0</v>
      </c>
      <c r="BM95" t="str" cm="1">
        <f t="array" ref="BM95">_xlfn.IFS(LEFT(G95,1)="L","外注品",LEFT(G95,1)="W","内製品",G95="","購買品")</f>
        <v>内製品</v>
      </c>
    </row>
    <row r="96" spans="1:65">
      <c r="A96" t="str">
        <f t="shared" si="10"/>
        <v>WG01</v>
      </c>
      <c r="B96" t="s">
        <v>214</v>
      </c>
      <c r="C96" t="s">
        <v>276</v>
      </c>
      <c r="D96" s="7"/>
      <c r="E96" s="7"/>
      <c r="G96" t="s">
        <v>1938</v>
      </c>
      <c r="H96" t="str" cm="1">
        <f t="array" ref="H96">IFERROR(_xlfn.IFS(B96="","",AND(B96="",G96=""),"",G96="","記載要"),"")</f>
        <v/>
      </c>
      <c r="K96" t="str">
        <f t="shared" si="11"/>
        <v>11WP00997484</v>
      </c>
      <c r="L96" s="3" t="str">
        <f t="shared" si="12"/>
        <v>2001/01/01</v>
      </c>
      <c r="M96" s="3" t="str">
        <f t="shared" si="13"/>
        <v>2199/12/31</v>
      </c>
      <c r="N96" t="str">
        <f t="shared" si="14"/>
        <v>11WP00997484</v>
      </c>
      <c r="O96">
        <v>5</v>
      </c>
      <c r="Q96" t="str" cm="1">
        <f t="array" ref="Q96">_xlfn.IFS(AND(C96="",G96=""),"",LEFT(G96,1)="L","記載要",LEFT(G96,1)="W","",AND(C96,G96=""),"記載要")</f>
        <v/>
      </c>
      <c r="R96" s="21" t="str">
        <f t="shared" si="19"/>
        <v/>
      </c>
      <c r="S96" s="21"/>
      <c r="AA96">
        <v>1</v>
      </c>
      <c r="AB96">
        <f t="shared" si="15"/>
        <v>0</v>
      </c>
      <c r="AC96">
        <v>1</v>
      </c>
      <c r="AF96">
        <v>1</v>
      </c>
      <c r="AG96" s="8"/>
      <c r="AH96" s="8"/>
      <c r="AK96" cm="1">
        <f t="array" ref="AK96">_xlfn.IFS(B96="","",LEFT(G96,1)="L",1,LEFT(G96,1)="W",1,AND(LEFT(B96,1)="H",G96=""),0)</f>
        <v>1</v>
      </c>
      <c r="AS96" t="str">
        <f t="shared" si="16"/>
        <v/>
      </c>
      <c r="AT96" t="s">
        <v>115</v>
      </c>
      <c r="AU96" t="str">
        <f t="shared" si="17"/>
        <v>0</v>
      </c>
      <c r="BD96" t="str">
        <f t="shared" si="18"/>
        <v>0</v>
      </c>
      <c r="BK96" t="str">
        <f>IFERROR(VLOOKUP(B96,'[1]model_S-フレーム'!$F$5:$R$7000,13,1),"")</f>
        <v>E356750_01</v>
      </c>
      <c r="BL96" s="7">
        <f>IFERROR(VLOOKUP(B96,'[1]model_S-フレーム'!$F$5:$V$7000,17,1),"")</f>
        <v>0</v>
      </c>
      <c r="BM96" t="str" cm="1">
        <f t="array" ref="BM96">_xlfn.IFS(LEFT(G96,1)="L","外注品",LEFT(G96,1)="W","内製品",G96="","購買品")</f>
        <v>内製品</v>
      </c>
    </row>
    <row r="97" spans="1:65">
      <c r="A97" t="str">
        <f t="shared" si="10"/>
        <v>WG01</v>
      </c>
      <c r="B97" t="s">
        <v>215</v>
      </c>
      <c r="C97" t="s">
        <v>276</v>
      </c>
      <c r="D97" s="7"/>
      <c r="E97" s="7"/>
      <c r="G97" t="s">
        <v>1938</v>
      </c>
      <c r="H97" t="str" cm="1">
        <f t="array" ref="H97">IFERROR(_xlfn.IFS(B97="","",AND(B97="",G97=""),"",G97="","記載要"),"")</f>
        <v/>
      </c>
      <c r="K97" t="str">
        <f t="shared" si="11"/>
        <v>11WP00997485</v>
      </c>
      <c r="L97" s="3" t="str">
        <f t="shared" si="12"/>
        <v>2001/01/01</v>
      </c>
      <c r="M97" s="3" t="str">
        <f t="shared" si="13"/>
        <v>2199/12/31</v>
      </c>
      <c r="N97" t="str">
        <f t="shared" si="14"/>
        <v>11WP00997485</v>
      </c>
      <c r="O97">
        <v>5</v>
      </c>
      <c r="Q97" t="str" cm="1">
        <f t="array" ref="Q97">_xlfn.IFS(AND(C97="",G97=""),"",LEFT(G97,1)="L","記載要",LEFT(G97,1)="W","",AND(C97,G97=""),"記載要")</f>
        <v/>
      </c>
      <c r="R97" s="21" t="str">
        <f t="shared" si="19"/>
        <v/>
      </c>
      <c r="S97" s="21"/>
      <c r="AA97">
        <v>1</v>
      </c>
      <c r="AB97">
        <f t="shared" si="15"/>
        <v>0</v>
      </c>
      <c r="AC97">
        <v>1</v>
      </c>
      <c r="AF97">
        <v>1</v>
      </c>
      <c r="AG97" s="8"/>
      <c r="AH97" s="8"/>
      <c r="AK97" cm="1">
        <f t="array" ref="AK97">_xlfn.IFS(B97="","",LEFT(G97,1)="L",1,LEFT(G97,1)="W",1,AND(LEFT(B97,1)="H",G97=""),0)</f>
        <v>1</v>
      </c>
      <c r="AS97" t="str">
        <f t="shared" si="16"/>
        <v/>
      </c>
      <c r="AT97" t="s">
        <v>115</v>
      </c>
      <c r="AU97" t="str">
        <f t="shared" si="17"/>
        <v>0</v>
      </c>
      <c r="BD97" t="str">
        <f t="shared" si="18"/>
        <v>0</v>
      </c>
      <c r="BK97" t="str">
        <f>IFERROR(VLOOKUP(B97,'[1]model_S-フレーム'!$F$5:$R$7000,13,1),"")</f>
        <v>E356750_01</v>
      </c>
      <c r="BL97" s="7">
        <f>IFERROR(VLOOKUP(B97,'[1]model_S-フレーム'!$F$5:$V$7000,17,1),"")</f>
        <v>0</v>
      </c>
      <c r="BM97" t="str" cm="1">
        <f t="array" ref="BM97">_xlfn.IFS(LEFT(G97,1)="L","外注品",LEFT(G97,1)="W","内製品",G97="","購買品")</f>
        <v>内製品</v>
      </c>
    </row>
    <row r="98" spans="1:65">
      <c r="A98" t="str">
        <f t="shared" si="10"/>
        <v>WG01</v>
      </c>
      <c r="B98" t="s">
        <v>216</v>
      </c>
      <c r="C98" t="s">
        <v>276</v>
      </c>
      <c r="D98" s="7"/>
      <c r="E98" s="7"/>
      <c r="G98" t="s">
        <v>1938</v>
      </c>
      <c r="H98" t="str" cm="1">
        <f t="array" ref="H98">IFERROR(_xlfn.IFS(B98="","",AND(B98="",G98=""),"",G98="","記載要"),"")</f>
        <v/>
      </c>
      <c r="K98" t="str">
        <f t="shared" si="11"/>
        <v>11WP00997486</v>
      </c>
      <c r="L98" s="3" t="str">
        <f t="shared" si="12"/>
        <v>2001/01/01</v>
      </c>
      <c r="M98" s="3" t="str">
        <f t="shared" si="13"/>
        <v>2199/12/31</v>
      </c>
      <c r="N98" t="str">
        <f t="shared" si="14"/>
        <v>11WP00997486</v>
      </c>
      <c r="O98">
        <v>5</v>
      </c>
      <c r="Q98" t="str" cm="1">
        <f t="array" ref="Q98">_xlfn.IFS(AND(C98="",G98=""),"",LEFT(G98,1)="L","記載要",LEFT(G98,1)="W","",AND(C98,G98=""),"記載要")</f>
        <v/>
      </c>
      <c r="R98" s="21" t="str">
        <f t="shared" si="19"/>
        <v/>
      </c>
      <c r="S98" s="21"/>
      <c r="AA98">
        <v>1</v>
      </c>
      <c r="AB98">
        <f t="shared" si="15"/>
        <v>0</v>
      </c>
      <c r="AC98">
        <v>1</v>
      </c>
      <c r="AF98">
        <v>1</v>
      </c>
      <c r="AG98" s="8"/>
      <c r="AH98" s="8"/>
      <c r="AK98" cm="1">
        <f t="array" ref="AK98">_xlfn.IFS(B98="","",LEFT(G98,1)="L",1,LEFT(G98,1)="W",1,AND(LEFT(B98,1)="H",G98=""),0)</f>
        <v>1</v>
      </c>
      <c r="AS98" t="str">
        <f t="shared" si="16"/>
        <v/>
      </c>
      <c r="AT98" t="s">
        <v>115</v>
      </c>
      <c r="AU98" t="str">
        <f t="shared" si="17"/>
        <v>0</v>
      </c>
      <c r="BD98" t="str">
        <f t="shared" si="18"/>
        <v>0</v>
      </c>
      <c r="BK98" t="str">
        <f>IFERROR(VLOOKUP(B98,'[1]model_S-フレーム'!$F$5:$R$7000,13,1),"")</f>
        <v>E356750_01</v>
      </c>
      <c r="BL98" s="7">
        <f>IFERROR(VLOOKUP(B98,'[1]model_S-フレーム'!$F$5:$V$7000,17,1),"")</f>
        <v>0</v>
      </c>
      <c r="BM98" t="str" cm="1">
        <f t="array" ref="BM98">_xlfn.IFS(LEFT(G98,1)="L","外注品",LEFT(G98,1)="W","内製品",G98="","購買品")</f>
        <v>内製品</v>
      </c>
    </row>
    <row r="99" spans="1:65">
      <c r="A99" t="str">
        <f t="shared" si="10"/>
        <v>WG01</v>
      </c>
      <c r="B99" t="s">
        <v>217</v>
      </c>
      <c r="C99" t="s">
        <v>277</v>
      </c>
      <c r="D99" s="7"/>
      <c r="E99" s="7"/>
      <c r="G99" t="s">
        <v>1938</v>
      </c>
      <c r="H99" t="str" cm="1">
        <f t="array" ref="H99">IFERROR(_xlfn.IFS(B99="","",AND(B99="",G99=""),"",G99="","記載要"),"")</f>
        <v/>
      </c>
      <c r="K99" t="str">
        <f t="shared" si="11"/>
        <v>11WP00997487</v>
      </c>
      <c r="L99" s="3" t="str">
        <f t="shared" si="12"/>
        <v>2001/01/01</v>
      </c>
      <c r="M99" s="3" t="str">
        <f t="shared" si="13"/>
        <v>2199/12/31</v>
      </c>
      <c r="N99" t="str">
        <f t="shared" si="14"/>
        <v>11WP00997487</v>
      </c>
      <c r="O99">
        <v>5</v>
      </c>
      <c r="Q99" t="str" cm="1">
        <f t="array" ref="Q99">_xlfn.IFS(AND(C99="",G99=""),"",LEFT(G99,1)="L","記載要",LEFT(G99,1)="W","",AND(C99,G99=""),"記載要")</f>
        <v/>
      </c>
      <c r="R99" s="21" t="str">
        <f t="shared" si="19"/>
        <v/>
      </c>
      <c r="S99" s="21"/>
      <c r="AA99">
        <v>1</v>
      </c>
      <c r="AB99">
        <f t="shared" si="15"/>
        <v>0</v>
      </c>
      <c r="AC99">
        <v>1</v>
      </c>
      <c r="AF99">
        <v>1</v>
      </c>
      <c r="AG99" s="8"/>
      <c r="AH99" s="8"/>
      <c r="AK99" cm="1">
        <f t="array" ref="AK99">_xlfn.IFS(B99="","",LEFT(G99,1)="L",1,LEFT(G99,1)="W",1,AND(LEFT(B99,1)="H",G99=""),0)</f>
        <v>1</v>
      </c>
      <c r="AS99" t="str">
        <f t="shared" si="16"/>
        <v/>
      </c>
      <c r="AT99" t="s">
        <v>115</v>
      </c>
      <c r="AU99" t="str">
        <f t="shared" si="17"/>
        <v>0</v>
      </c>
      <c r="BD99" t="str">
        <f t="shared" si="18"/>
        <v>0</v>
      </c>
      <c r="BK99" t="str">
        <f>IFERROR(VLOOKUP(B99,'[1]model_S-フレーム'!$F$5:$R$7000,13,1),"")</f>
        <v>E356750_01</v>
      </c>
      <c r="BL99" s="7">
        <f>IFERROR(VLOOKUP(B99,'[1]model_S-フレーム'!$F$5:$V$7000,17,1),"")</f>
        <v>0</v>
      </c>
      <c r="BM99" t="str" cm="1">
        <f t="array" ref="BM99">_xlfn.IFS(LEFT(G99,1)="L","外注品",LEFT(G99,1)="W","内製品",G99="","購買品")</f>
        <v>内製品</v>
      </c>
    </row>
    <row r="100" spans="1:65">
      <c r="A100" t="str">
        <f t="shared" si="10"/>
        <v>WG01</v>
      </c>
      <c r="B100" t="s">
        <v>218</v>
      </c>
      <c r="C100" t="s">
        <v>277</v>
      </c>
      <c r="D100" s="7"/>
      <c r="E100" s="7"/>
      <c r="G100" t="s">
        <v>1938</v>
      </c>
      <c r="H100" t="str" cm="1">
        <f t="array" ref="H100">IFERROR(_xlfn.IFS(B100="","",AND(B100="",G100=""),"",G100="","記載要"),"")</f>
        <v/>
      </c>
      <c r="K100" t="str">
        <f t="shared" si="11"/>
        <v>11WP00997488</v>
      </c>
      <c r="L100" s="3" t="str">
        <f t="shared" si="12"/>
        <v>2001/01/01</v>
      </c>
      <c r="M100" s="3" t="str">
        <f t="shared" si="13"/>
        <v>2199/12/31</v>
      </c>
      <c r="N100" t="str">
        <f t="shared" si="14"/>
        <v>11WP00997488</v>
      </c>
      <c r="O100">
        <v>5</v>
      </c>
      <c r="Q100" t="str" cm="1">
        <f t="array" ref="Q100">_xlfn.IFS(AND(C100="",G100=""),"",LEFT(G100,1)="L","記載要",LEFT(G100,1)="W","",AND(C100,G100=""),"記載要")</f>
        <v/>
      </c>
      <c r="R100" s="21" t="str">
        <f t="shared" si="19"/>
        <v/>
      </c>
      <c r="S100" s="21"/>
      <c r="AA100">
        <v>1</v>
      </c>
      <c r="AB100">
        <f t="shared" si="15"/>
        <v>0</v>
      </c>
      <c r="AC100">
        <v>1</v>
      </c>
      <c r="AF100">
        <v>1</v>
      </c>
      <c r="AG100" s="8"/>
      <c r="AH100" s="8"/>
      <c r="AK100" cm="1">
        <f t="array" ref="AK100">_xlfn.IFS(B100="","",LEFT(G100,1)="L",1,LEFT(G100,1)="W",1,AND(LEFT(B100,1)="H",G100=""),0)</f>
        <v>1</v>
      </c>
      <c r="AS100" t="str">
        <f t="shared" si="16"/>
        <v/>
      </c>
      <c r="AT100" t="s">
        <v>115</v>
      </c>
      <c r="AU100" t="str">
        <f t="shared" si="17"/>
        <v>0</v>
      </c>
      <c r="BD100" t="str">
        <f t="shared" si="18"/>
        <v>0</v>
      </c>
      <c r="BK100" t="str">
        <f>IFERROR(VLOOKUP(B100,'[1]model_S-フレーム'!$F$5:$R$7000,13,1),"")</f>
        <v>E356750_01</v>
      </c>
      <c r="BL100" s="7">
        <f>IFERROR(VLOOKUP(B100,'[1]model_S-フレーム'!$F$5:$V$7000,17,1),"")</f>
        <v>0</v>
      </c>
      <c r="BM100" t="str" cm="1">
        <f t="array" ref="BM100">_xlfn.IFS(LEFT(G100,1)="L","外注品",LEFT(G100,1)="W","内製品",G100="","購買品")</f>
        <v>内製品</v>
      </c>
    </row>
    <row r="101" spans="1:65">
      <c r="A101" t="str">
        <f t="shared" si="10"/>
        <v>WG01</v>
      </c>
      <c r="B101" t="s">
        <v>219</v>
      </c>
      <c r="C101" t="s">
        <v>277</v>
      </c>
      <c r="D101" s="7"/>
      <c r="E101" s="7"/>
      <c r="G101" t="s">
        <v>1938</v>
      </c>
      <c r="H101" t="str" cm="1">
        <f t="array" ref="H101">IFERROR(_xlfn.IFS(B101="","",AND(B101="",G101=""),"",G101="","記載要"),"")</f>
        <v/>
      </c>
      <c r="K101" t="str">
        <f t="shared" si="11"/>
        <v>11WP00997489</v>
      </c>
      <c r="L101" s="3" t="str">
        <f t="shared" si="12"/>
        <v>2001/01/01</v>
      </c>
      <c r="M101" s="3" t="str">
        <f t="shared" si="13"/>
        <v>2199/12/31</v>
      </c>
      <c r="N101" t="str">
        <f t="shared" si="14"/>
        <v>11WP00997489</v>
      </c>
      <c r="O101">
        <v>5</v>
      </c>
      <c r="Q101" t="str" cm="1">
        <f t="array" ref="Q101">_xlfn.IFS(AND(C101="",G101=""),"",LEFT(G101,1)="L","記載要",LEFT(G101,1)="W","",AND(C101,G101=""),"記載要")</f>
        <v/>
      </c>
      <c r="R101" s="21" t="str">
        <f t="shared" si="19"/>
        <v/>
      </c>
      <c r="S101" s="21"/>
      <c r="AA101">
        <v>1</v>
      </c>
      <c r="AB101">
        <f t="shared" si="15"/>
        <v>0</v>
      </c>
      <c r="AC101">
        <v>1</v>
      </c>
      <c r="AF101">
        <v>1</v>
      </c>
      <c r="AG101" s="8"/>
      <c r="AH101" s="8"/>
      <c r="AK101" cm="1">
        <f t="array" ref="AK101">_xlfn.IFS(B101="","",LEFT(G101,1)="L",1,LEFT(G101,1)="W",1,AND(LEFT(B101,1)="H",G101=""),0)</f>
        <v>1</v>
      </c>
      <c r="AS101" t="str">
        <f t="shared" si="16"/>
        <v/>
      </c>
      <c r="AT101" t="s">
        <v>115</v>
      </c>
      <c r="AU101" t="str">
        <f t="shared" si="17"/>
        <v>0</v>
      </c>
      <c r="BD101" t="str">
        <f t="shared" si="18"/>
        <v>0</v>
      </c>
      <c r="BK101" t="str">
        <f>IFERROR(VLOOKUP(B101,'[1]model_S-フレーム'!$F$5:$R$7000,13,1),"")</f>
        <v>E356750_01</v>
      </c>
      <c r="BL101" s="7">
        <f>IFERROR(VLOOKUP(B101,'[1]model_S-フレーム'!$F$5:$V$7000,17,1),"")</f>
        <v>0</v>
      </c>
      <c r="BM101" t="str" cm="1">
        <f t="array" ref="BM101">_xlfn.IFS(LEFT(G101,1)="L","外注品",LEFT(G101,1)="W","内製品",G101="","購買品")</f>
        <v>内製品</v>
      </c>
    </row>
    <row r="102" spans="1:65">
      <c r="A102" t="str">
        <f t="shared" si="10"/>
        <v>WG01</v>
      </c>
      <c r="B102" t="s">
        <v>220</v>
      </c>
      <c r="C102" t="s">
        <v>277</v>
      </c>
      <c r="D102" s="7"/>
      <c r="E102" s="7"/>
      <c r="G102" t="s">
        <v>1938</v>
      </c>
      <c r="H102" t="str" cm="1">
        <f t="array" ref="H102">IFERROR(_xlfn.IFS(B102="","",AND(B102="",G102=""),"",G102="","記載要"),"")</f>
        <v/>
      </c>
      <c r="K102" t="str">
        <f t="shared" si="11"/>
        <v>11WP00997490</v>
      </c>
      <c r="L102" s="3" t="str">
        <f t="shared" si="12"/>
        <v>2001/01/01</v>
      </c>
      <c r="M102" s="3" t="str">
        <f t="shared" si="13"/>
        <v>2199/12/31</v>
      </c>
      <c r="N102" t="str">
        <f t="shared" si="14"/>
        <v>11WP00997490</v>
      </c>
      <c r="O102">
        <v>5</v>
      </c>
      <c r="Q102" t="str" cm="1">
        <f t="array" ref="Q102">_xlfn.IFS(AND(C102="",G102=""),"",LEFT(G102,1)="L","記載要",LEFT(G102,1)="W","",AND(C102,G102=""),"記載要")</f>
        <v/>
      </c>
      <c r="R102" s="21" t="str">
        <f t="shared" si="19"/>
        <v/>
      </c>
      <c r="S102" s="21"/>
      <c r="AA102">
        <v>1</v>
      </c>
      <c r="AB102">
        <f t="shared" si="15"/>
        <v>0</v>
      </c>
      <c r="AC102">
        <v>1</v>
      </c>
      <c r="AF102">
        <v>1</v>
      </c>
      <c r="AG102" s="8"/>
      <c r="AH102" s="8"/>
      <c r="AK102" cm="1">
        <f t="array" ref="AK102">_xlfn.IFS(B102="","",LEFT(G102,1)="L",1,LEFT(G102,1)="W",1,AND(LEFT(B102,1)="H",G102=""),0)</f>
        <v>1</v>
      </c>
      <c r="AS102" t="str">
        <f t="shared" si="16"/>
        <v/>
      </c>
      <c r="AT102" t="s">
        <v>115</v>
      </c>
      <c r="AU102" t="str">
        <f t="shared" si="17"/>
        <v>0</v>
      </c>
      <c r="BD102" t="str">
        <f t="shared" si="18"/>
        <v>0</v>
      </c>
      <c r="BK102" t="str">
        <f>IFERROR(VLOOKUP(B102,'[1]model_S-フレーム'!$F$5:$R$7000,13,1),"")</f>
        <v>E356750_01</v>
      </c>
      <c r="BL102" s="7">
        <f>IFERROR(VLOOKUP(B102,'[1]model_S-フレーム'!$F$5:$V$7000,17,1),"")</f>
        <v>0</v>
      </c>
      <c r="BM102" t="str" cm="1">
        <f t="array" ref="BM102">_xlfn.IFS(LEFT(G102,1)="L","外注品",LEFT(G102,1)="W","内製品",G102="","購買品")</f>
        <v>内製品</v>
      </c>
    </row>
    <row r="103" spans="1:65">
      <c r="A103" t="str">
        <f t="shared" si="10"/>
        <v>WG01</v>
      </c>
      <c r="B103" t="s">
        <v>221</v>
      </c>
      <c r="C103" t="s">
        <v>278</v>
      </c>
      <c r="D103" s="7"/>
      <c r="E103" s="7"/>
      <c r="G103" t="s">
        <v>1938</v>
      </c>
      <c r="H103" t="str" cm="1">
        <f t="array" ref="H103">IFERROR(_xlfn.IFS(B103="","",AND(B103="",G103=""),"",G103="","記載要"),"")</f>
        <v/>
      </c>
      <c r="K103" t="str">
        <f t="shared" si="11"/>
        <v>11WP00997491</v>
      </c>
      <c r="L103" s="3" t="str">
        <f t="shared" si="12"/>
        <v>2001/01/01</v>
      </c>
      <c r="M103" s="3" t="str">
        <f t="shared" si="13"/>
        <v>2199/12/31</v>
      </c>
      <c r="N103" t="str">
        <f t="shared" si="14"/>
        <v>11WP00997491</v>
      </c>
      <c r="O103">
        <v>5</v>
      </c>
      <c r="Q103" t="str" cm="1">
        <f t="array" ref="Q103">_xlfn.IFS(AND(C103="",G103=""),"",LEFT(G103,1)="L","記載要",LEFT(G103,1)="W","",AND(C103,G103=""),"記載要")</f>
        <v/>
      </c>
      <c r="R103" s="21" t="str">
        <f t="shared" si="19"/>
        <v/>
      </c>
      <c r="S103" s="21"/>
      <c r="AA103">
        <v>1</v>
      </c>
      <c r="AB103">
        <f t="shared" si="15"/>
        <v>0</v>
      </c>
      <c r="AC103">
        <v>1</v>
      </c>
      <c r="AF103">
        <v>1</v>
      </c>
      <c r="AG103" s="8"/>
      <c r="AH103" s="8"/>
      <c r="AK103" cm="1">
        <f t="array" ref="AK103">_xlfn.IFS(B103="","",LEFT(G103,1)="L",1,LEFT(G103,1)="W",1,AND(LEFT(B103,1)="H",G103=""),0)</f>
        <v>1</v>
      </c>
      <c r="AS103" t="str">
        <f t="shared" si="16"/>
        <v/>
      </c>
      <c r="AT103" t="s">
        <v>115</v>
      </c>
      <c r="AU103" t="str">
        <f t="shared" si="17"/>
        <v>0</v>
      </c>
      <c r="BD103" t="str">
        <f t="shared" si="18"/>
        <v>0</v>
      </c>
      <c r="BK103" t="str">
        <f>IFERROR(VLOOKUP(B103,'[1]model_S-フレーム'!$F$5:$R$7000,13,1),"")</f>
        <v>E356750_01</v>
      </c>
      <c r="BL103" s="7">
        <f>IFERROR(VLOOKUP(B103,'[1]model_S-フレーム'!$F$5:$V$7000,17,1),"")</f>
        <v>0</v>
      </c>
      <c r="BM103" t="str" cm="1">
        <f t="array" ref="BM103">_xlfn.IFS(LEFT(G103,1)="L","外注品",LEFT(G103,1)="W","内製品",G103="","購買品")</f>
        <v>内製品</v>
      </c>
    </row>
    <row r="104" spans="1:65">
      <c r="A104" t="str">
        <f t="shared" si="10"/>
        <v>WG01</v>
      </c>
      <c r="B104" t="s">
        <v>222</v>
      </c>
      <c r="C104" t="s">
        <v>278</v>
      </c>
      <c r="D104" s="7"/>
      <c r="E104" s="7"/>
      <c r="G104" t="s">
        <v>1938</v>
      </c>
      <c r="H104" t="str" cm="1">
        <f t="array" ref="H104">IFERROR(_xlfn.IFS(B104="","",AND(B104="",G104=""),"",G104="","記載要"),"")</f>
        <v/>
      </c>
      <c r="K104" t="str">
        <f t="shared" si="11"/>
        <v>11WP00997492</v>
      </c>
      <c r="L104" s="3" t="str">
        <f t="shared" si="12"/>
        <v>2001/01/01</v>
      </c>
      <c r="M104" s="3" t="str">
        <f t="shared" si="13"/>
        <v>2199/12/31</v>
      </c>
      <c r="N104" t="str">
        <f t="shared" si="14"/>
        <v>11WP00997492</v>
      </c>
      <c r="O104">
        <v>5</v>
      </c>
      <c r="Q104" t="str" cm="1">
        <f t="array" ref="Q104">_xlfn.IFS(AND(C104="",G104=""),"",LEFT(G104,1)="L","記載要",LEFT(G104,1)="W","",AND(C104,G104=""),"記載要")</f>
        <v/>
      </c>
      <c r="R104" s="21" t="str">
        <f t="shared" si="19"/>
        <v/>
      </c>
      <c r="S104" s="21"/>
      <c r="AA104">
        <v>1</v>
      </c>
      <c r="AB104">
        <f t="shared" si="15"/>
        <v>0</v>
      </c>
      <c r="AC104">
        <v>1</v>
      </c>
      <c r="AF104">
        <v>1</v>
      </c>
      <c r="AG104" s="8"/>
      <c r="AH104" s="8"/>
      <c r="AK104" cm="1">
        <f t="array" ref="AK104">_xlfn.IFS(B104="","",LEFT(G104,1)="L",1,LEFT(G104,1)="W",1,AND(LEFT(B104,1)="H",G104=""),0)</f>
        <v>1</v>
      </c>
      <c r="AS104" t="str">
        <f t="shared" si="16"/>
        <v/>
      </c>
      <c r="AT104" t="s">
        <v>115</v>
      </c>
      <c r="AU104" t="str">
        <f t="shared" si="17"/>
        <v>0</v>
      </c>
      <c r="BD104" t="str">
        <f t="shared" si="18"/>
        <v>0</v>
      </c>
      <c r="BK104" t="str">
        <f>IFERROR(VLOOKUP(B104,'[1]model_S-フレーム'!$F$5:$R$7000,13,1),"")</f>
        <v>E356750_01</v>
      </c>
      <c r="BL104" s="7">
        <f>IFERROR(VLOOKUP(B104,'[1]model_S-フレーム'!$F$5:$V$7000,17,1),"")</f>
        <v>0</v>
      </c>
      <c r="BM104" t="str" cm="1">
        <f t="array" ref="BM104">_xlfn.IFS(LEFT(G104,1)="L","外注品",LEFT(G104,1)="W","内製品",G104="","購買品")</f>
        <v>内製品</v>
      </c>
    </row>
    <row r="105" spans="1:65">
      <c r="A105" t="str">
        <f t="shared" si="10"/>
        <v>WG01</v>
      </c>
      <c r="B105" t="s">
        <v>223</v>
      </c>
      <c r="C105" t="s">
        <v>278</v>
      </c>
      <c r="D105" s="7"/>
      <c r="E105" s="7"/>
      <c r="G105" t="s">
        <v>1938</v>
      </c>
      <c r="H105" t="str" cm="1">
        <f t="array" ref="H105">IFERROR(_xlfn.IFS(B105="","",AND(B105="",G105=""),"",G105="","記載要"),"")</f>
        <v/>
      </c>
      <c r="K105" t="str">
        <f t="shared" si="11"/>
        <v>11WP00997493</v>
      </c>
      <c r="L105" s="3" t="str">
        <f t="shared" si="12"/>
        <v>2001/01/01</v>
      </c>
      <c r="M105" s="3" t="str">
        <f t="shared" si="13"/>
        <v>2199/12/31</v>
      </c>
      <c r="N105" t="str">
        <f t="shared" si="14"/>
        <v>11WP00997493</v>
      </c>
      <c r="O105">
        <v>5</v>
      </c>
      <c r="Q105" t="str" cm="1">
        <f t="array" ref="Q105">_xlfn.IFS(AND(C105="",G105=""),"",LEFT(G105,1)="L","記載要",LEFT(G105,1)="W","",AND(C105,G105=""),"記載要")</f>
        <v/>
      </c>
      <c r="R105" s="21" t="str">
        <f t="shared" si="19"/>
        <v/>
      </c>
      <c r="S105" s="21"/>
      <c r="AA105">
        <v>1</v>
      </c>
      <c r="AB105">
        <f t="shared" si="15"/>
        <v>0</v>
      </c>
      <c r="AC105">
        <v>1</v>
      </c>
      <c r="AF105">
        <v>1</v>
      </c>
      <c r="AG105" s="8"/>
      <c r="AH105" s="8"/>
      <c r="AK105" cm="1">
        <f t="array" ref="AK105">_xlfn.IFS(B105="","",LEFT(G105,1)="L",1,LEFT(G105,1)="W",1,AND(LEFT(B105,1)="H",G105=""),0)</f>
        <v>1</v>
      </c>
      <c r="AS105" t="str">
        <f t="shared" si="16"/>
        <v/>
      </c>
      <c r="AT105" t="s">
        <v>115</v>
      </c>
      <c r="AU105" t="str">
        <f t="shared" si="17"/>
        <v>0</v>
      </c>
      <c r="BD105" t="str">
        <f t="shared" si="18"/>
        <v>0</v>
      </c>
      <c r="BK105" t="str">
        <f>IFERROR(VLOOKUP(B105,'[1]model_S-フレーム'!$F$5:$R$7000,13,1),"")</f>
        <v>E356750_01</v>
      </c>
      <c r="BL105" s="7">
        <f>IFERROR(VLOOKUP(B105,'[1]model_S-フレーム'!$F$5:$V$7000,17,1),"")</f>
        <v>0</v>
      </c>
      <c r="BM105" t="str" cm="1">
        <f t="array" ref="BM105">_xlfn.IFS(LEFT(G105,1)="L","外注品",LEFT(G105,1)="W","内製品",G105="","購買品")</f>
        <v>内製品</v>
      </c>
    </row>
    <row r="106" spans="1:65">
      <c r="A106" t="str">
        <f t="shared" si="10"/>
        <v>WG01</v>
      </c>
      <c r="B106" t="s">
        <v>224</v>
      </c>
      <c r="C106" t="s">
        <v>278</v>
      </c>
      <c r="D106" s="7"/>
      <c r="E106" s="7"/>
      <c r="G106" t="s">
        <v>1938</v>
      </c>
      <c r="H106" t="str" cm="1">
        <f t="array" ref="H106">IFERROR(_xlfn.IFS(B106="","",AND(B106="",G106=""),"",G106="","記載要"),"")</f>
        <v/>
      </c>
      <c r="K106" t="str">
        <f t="shared" si="11"/>
        <v>11WP00997494</v>
      </c>
      <c r="L106" s="3" t="str">
        <f t="shared" si="12"/>
        <v>2001/01/01</v>
      </c>
      <c r="M106" s="3" t="str">
        <f t="shared" si="13"/>
        <v>2199/12/31</v>
      </c>
      <c r="N106" t="str">
        <f t="shared" si="14"/>
        <v>11WP00997494</v>
      </c>
      <c r="O106">
        <v>5</v>
      </c>
      <c r="Q106" t="str" cm="1">
        <f t="array" ref="Q106">_xlfn.IFS(AND(C106="",G106=""),"",LEFT(G106,1)="L","記載要",LEFT(G106,1)="W","",AND(C106,G106=""),"記載要")</f>
        <v/>
      </c>
      <c r="R106" s="21" t="str">
        <f t="shared" si="19"/>
        <v/>
      </c>
      <c r="S106" s="21"/>
      <c r="AA106">
        <v>1</v>
      </c>
      <c r="AB106">
        <f t="shared" si="15"/>
        <v>0</v>
      </c>
      <c r="AC106">
        <v>1</v>
      </c>
      <c r="AF106">
        <v>1</v>
      </c>
      <c r="AG106" s="8"/>
      <c r="AH106" s="8"/>
      <c r="AK106" cm="1">
        <f t="array" ref="AK106">_xlfn.IFS(B106="","",LEFT(G106,1)="L",1,LEFT(G106,1)="W",1,AND(LEFT(B106,1)="H",G106=""),0)</f>
        <v>1</v>
      </c>
      <c r="AS106" t="str">
        <f t="shared" si="16"/>
        <v/>
      </c>
      <c r="AT106" t="s">
        <v>115</v>
      </c>
      <c r="AU106" t="str">
        <f t="shared" si="17"/>
        <v>0</v>
      </c>
      <c r="BD106" t="str">
        <f t="shared" si="18"/>
        <v>0</v>
      </c>
      <c r="BK106" t="str">
        <f>IFERROR(VLOOKUP(B106,'[1]model_S-フレーム'!$F$5:$R$7000,13,1),"")</f>
        <v>E356750_01</v>
      </c>
      <c r="BL106" s="7">
        <f>IFERROR(VLOOKUP(B106,'[1]model_S-フレーム'!$F$5:$V$7000,17,1),"")</f>
        <v>0</v>
      </c>
      <c r="BM106" t="str" cm="1">
        <f t="array" ref="BM106">_xlfn.IFS(LEFT(G106,1)="L","外注品",LEFT(G106,1)="W","内製品",G106="","購買品")</f>
        <v>内製品</v>
      </c>
    </row>
    <row r="107" spans="1:65">
      <c r="A107" t="str">
        <f t="shared" si="10"/>
        <v>WG01</v>
      </c>
      <c r="B107" t="s">
        <v>225</v>
      </c>
      <c r="C107" t="s">
        <v>279</v>
      </c>
      <c r="D107" s="7"/>
      <c r="E107" s="7"/>
      <c r="H107">
        <v>27616</v>
      </c>
      <c r="K107" t="str">
        <f t="shared" si="11"/>
        <v/>
      </c>
      <c r="L107" s="3" t="str">
        <f t="shared" si="12"/>
        <v>2001/01/01</v>
      </c>
      <c r="M107" s="3" t="str">
        <f t="shared" si="13"/>
        <v>2199/12/31</v>
      </c>
      <c r="N107" t="str">
        <f t="shared" si="14"/>
        <v/>
      </c>
      <c r="O107" t="str">
        <f>IF(G107="","","記載要")</f>
        <v/>
      </c>
      <c r="Q107">
        <v>15</v>
      </c>
      <c r="R107" s="21">
        <v>100000000</v>
      </c>
      <c r="S107" s="21" t="str" cm="1">
        <f t="array" ref="S107">_xlfn.IFS(LEFT(G107,1)="L","記載要",LEFT(G107,1)="W","記載要",G107="","")</f>
        <v/>
      </c>
      <c r="AA107" s="8">
        <v>1</v>
      </c>
      <c r="AB107">
        <f t="shared" si="15"/>
        <v>0</v>
      </c>
      <c r="AC107" s="8">
        <v>1</v>
      </c>
      <c r="AF107">
        <v>1</v>
      </c>
      <c r="AG107" s="8"/>
      <c r="AH107" s="8"/>
      <c r="AK107" cm="1">
        <f t="array" ref="AK107">_xlfn.IFS(B107="","",LEFT(G107,1)="L",1,LEFT(G107,1)="W",1,AND(LEFT(B107,1)="H",G107=""),0)</f>
        <v>0</v>
      </c>
      <c r="AS107">
        <f t="shared" si="16"/>
        <v>1</v>
      </c>
      <c r="AT107" t="s">
        <v>115</v>
      </c>
      <c r="AU107" t="str">
        <f t="shared" si="17"/>
        <v>0</v>
      </c>
      <c r="BD107" t="str">
        <f t="shared" si="18"/>
        <v>0</v>
      </c>
      <c r="BK107" t="str">
        <f>IFERROR(VLOOKUP(B107,'[1]model_S-フレーム'!$F$5:$R$7000,13,1),"")</f>
        <v>E356750_01</v>
      </c>
      <c r="BL107" s="7">
        <f>IFERROR(VLOOKUP(B107,'[1]model_S-フレーム'!$F$5:$V$7000,17,1),"")</f>
        <v>0</v>
      </c>
      <c r="BM107" t="str" cm="1">
        <f t="array" ref="BM107">_xlfn.IFS(LEFT(G107,1)="L","外注品",LEFT(G107,1)="W","内製品",G107="","購買品")</f>
        <v>購買品</v>
      </c>
    </row>
    <row r="108" spans="1:65">
      <c r="A108" t="str">
        <f t="shared" si="10"/>
        <v>WG01</v>
      </c>
      <c r="B108" t="s">
        <v>225</v>
      </c>
      <c r="C108" t="s">
        <v>279</v>
      </c>
      <c r="D108" s="7"/>
      <c r="E108" s="7"/>
      <c r="H108">
        <v>43453</v>
      </c>
      <c r="K108" t="str">
        <f t="shared" si="11"/>
        <v/>
      </c>
      <c r="L108" s="3" t="str">
        <f t="shared" si="12"/>
        <v>2001/01/01</v>
      </c>
      <c r="M108" s="3" t="str">
        <f t="shared" si="13"/>
        <v>2199/12/31</v>
      </c>
      <c r="N108" t="str">
        <f t="shared" si="14"/>
        <v/>
      </c>
      <c r="O108" t="str">
        <f>IF(G108="","","記載要")</f>
        <v/>
      </c>
      <c r="Q108">
        <v>15</v>
      </c>
      <c r="R108" s="21">
        <v>100000000</v>
      </c>
      <c r="S108" s="21" t="str" cm="1">
        <f t="array" ref="S108">_xlfn.IFS(LEFT(G108,1)="L","記載要",LEFT(G108,1)="W","記載要",G108="","")</f>
        <v/>
      </c>
      <c r="AA108" s="8">
        <v>1</v>
      </c>
      <c r="AB108">
        <f t="shared" si="15"/>
        <v>0</v>
      </c>
      <c r="AC108" s="8">
        <v>1</v>
      </c>
      <c r="AF108">
        <v>0</v>
      </c>
      <c r="AG108" s="8"/>
      <c r="AH108" s="8"/>
      <c r="AK108" cm="1">
        <f t="array" ref="AK108">_xlfn.IFS(B108="","",LEFT(G108,1)="L",1,LEFT(G108,1)="W",1,AND(LEFT(B108,1)="H",G108=""),0)</f>
        <v>0</v>
      </c>
      <c r="AS108">
        <f t="shared" si="16"/>
        <v>1</v>
      </c>
      <c r="AT108" t="s">
        <v>115</v>
      </c>
      <c r="AU108" t="str">
        <f t="shared" si="17"/>
        <v>0</v>
      </c>
      <c r="BD108" t="str">
        <f t="shared" si="18"/>
        <v>0</v>
      </c>
      <c r="BK108" t="str">
        <f>IFERROR(VLOOKUP(B108,'[1]model_S-フレーム'!$F$5:$R$7000,13,1),"")</f>
        <v>E356750_01</v>
      </c>
      <c r="BL108" s="7">
        <f>IFERROR(VLOOKUP(B108,'[1]model_S-フレーム'!$F$5:$V$7000,17,1),"")</f>
        <v>0</v>
      </c>
      <c r="BM108" t="str" cm="1">
        <f t="array" ref="BM108">_xlfn.IFS(LEFT(G108,1)="L","外注品",LEFT(G108,1)="W","内製品",G108="","購買品")</f>
        <v>購買品</v>
      </c>
    </row>
    <row r="109" spans="1:65">
      <c r="A109" t="str">
        <f t="shared" si="10"/>
        <v>WG01</v>
      </c>
      <c r="B109" t="s">
        <v>225</v>
      </c>
      <c r="C109" t="s">
        <v>279</v>
      </c>
      <c r="D109" s="7"/>
      <c r="E109" s="7"/>
      <c r="H109">
        <v>47081</v>
      </c>
      <c r="K109" t="str">
        <f t="shared" si="11"/>
        <v/>
      </c>
      <c r="L109" s="3" t="str">
        <f t="shared" si="12"/>
        <v>2001/01/01</v>
      </c>
      <c r="M109" s="3" t="str">
        <f t="shared" si="13"/>
        <v>2199/12/31</v>
      </c>
      <c r="N109" t="str">
        <f t="shared" si="14"/>
        <v/>
      </c>
      <c r="O109" t="str">
        <f>IF(G109="","","記載要")</f>
        <v/>
      </c>
      <c r="Q109">
        <v>15</v>
      </c>
      <c r="R109" s="21">
        <v>100000000</v>
      </c>
      <c r="S109" s="21" t="str" cm="1">
        <f t="array" ref="S109">_xlfn.IFS(LEFT(G109,1)="L","記載要",LEFT(G109,1)="W","記載要",G109="","")</f>
        <v/>
      </c>
      <c r="AA109" s="8">
        <v>1</v>
      </c>
      <c r="AB109">
        <f t="shared" si="15"/>
        <v>0</v>
      </c>
      <c r="AC109" s="8">
        <v>1</v>
      </c>
      <c r="AF109">
        <v>0</v>
      </c>
      <c r="AG109" s="8"/>
      <c r="AH109" s="8"/>
      <c r="AK109" cm="1">
        <f t="array" ref="AK109">_xlfn.IFS(B109="","",LEFT(G109,1)="L",1,LEFT(G109,1)="W",1,AND(LEFT(B109,1)="H",G109=""),0)</f>
        <v>0</v>
      </c>
      <c r="AS109">
        <f t="shared" si="16"/>
        <v>1</v>
      </c>
      <c r="AT109" t="s">
        <v>115</v>
      </c>
      <c r="AU109" t="str">
        <f t="shared" si="17"/>
        <v>0</v>
      </c>
      <c r="BD109" t="str">
        <f t="shared" si="18"/>
        <v>0</v>
      </c>
      <c r="BK109" t="str">
        <f>IFERROR(VLOOKUP(B109,'[1]model_S-フレーム'!$F$5:$R$7000,13,1),"")</f>
        <v>E356750_01</v>
      </c>
      <c r="BL109" s="7">
        <f>IFERROR(VLOOKUP(B109,'[1]model_S-フレーム'!$F$5:$V$7000,17,1),"")</f>
        <v>0</v>
      </c>
      <c r="BM109" t="str" cm="1">
        <f t="array" ref="BM109">_xlfn.IFS(LEFT(G109,1)="L","外注品",LEFT(G109,1)="W","内製品",G109="","購買品")</f>
        <v>購買品</v>
      </c>
    </row>
    <row r="110" spans="1:65">
      <c r="A110" t="str">
        <f t="shared" si="10"/>
        <v>WG01</v>
      </c>
      <c r="B110" t="s">
        <v>225</v>
      </c>
      <c r="C110" t="s">
        <v>279</v>
      </c>
      <c r="D110" s="7"/>
      <c r="E110" s="7"/>
      <c r="H110" s="19" t="s">
        <v>1937</v>
      </c>
      <c r="K110" t="str">
        <f t="shared" si="11"/>
        <v/>
      </c>
      <c r="L110" s="3" t="str">
        <f t="shared" si="12"/>
        <v>2001/01/01</v>
      </c>
      <c r="M110" s="3" t="str">
        <f t="shared" si="13"/>
        <v>2199/12/31</v>
      </c>
      <c r="N110" t="str">
        <f t="shared" si="14"/>
        <v/>
      </c>
      <c r="O110" t="str">
        <f>IF(G110="","","記載要")</f>
        <v/>
      </c>
      <c r="Q110">
        <v>15</v>
      </c>
      <c r="R110" s="21">
        <v>100000000</v>
      </c>
      <c r="S110" s="21" t="str" cm="1">
        <f t="array" ref="S110">_xlfn.IFS(LEFT(G110,1)="L","記載要",LEFT(G110,1)="W","記載要",G110="","")</f>
        <v/>
      </c>
      <c r="AA110" s="8">
        <v>1</v>
      </c>
      <c r="AB110">
        <f t="shared" si="15"/>
        <v>0</v>
      </c>
      <c r="AC110" s="8">
        <v>1</v>
      </c>
      <c r="AF110">
        <v>0</v>
      </c>
      <c r="AG110" s="8"/>
      <c r="AH110" s="8"/>
      <c r="AK110" cm="1">
        <f t="array" ref="AK110">_xlfn.IFS(B110="","",LEFT(G110,1)="L",1,LEFT(G110,1)="W",1,AND(LEFT(B110,1)="H",G110=""),0)</f>
        <v>0</v>
      </c>
      <c r="AS110">
        <f t="shared" si="16"/>
        <v>1</v>
      </c>
      <c r="AT110" t="s">
        <v>115</v>
      </c>
      <c r="AU110" t="str">
        <f t="shared" si="17"/>
        <v>0</v>
      </c>
      <c r="BD110" t="str">
        <f t="shared" si="18"/>
        <v>0</v>
      </c>
      <c r="BK110" t="str">
        <f>IFERROR(VLOOKUP(B110,'[1]model_S-フレーム'!$F$5:$R$7000,13,1),"")</f>
        <v>E356750_01</v>
      </c>
      <c r="BL110" s="7">
        <f>IFERROR(VLOOKUP(B110,'[1]model_S-フレーム'!$F$5:$V$7000,17,1),"")</f>
        <v>0</v>
      </c>
      <c r="BM110" t="str" cm="1">
        <f t="array" ref="BM110">_xlfn.IFS(LEFT(G110,1)="L","外注品",LEFT(G110,1)="W","内製品",G110="","購買品")</f>
        <v>購買品</v>
      </c>
    </row>
    <row r="111" spans="1:65">
      <c r="A111" t="str">
        <f t="shared" si="10"/>
        <v>WG01</v>
      </c>
      <c r="B111" t="s">
        <v>226</v>
      </c>
      <c r="C111" t="s">
        <v>280</v>
      </c>
      <c r="D111" s="7"/>
      <c r="E111" s="7"/>
      <c r="G111" t="s">
        <v>1938</v>
      </c>
      <c r="H111" t="str" cm="1">
        <f t="array" ref="H111">IFERROR(_xlfn.IFS(B111="","",AND(B111="",G111=""),"",G111="","記載要"),"")</f>
        <v/>
      </c>
      <c r="K111" t="str">
        <f t="shared" si="11"/>
        <v>11WP00997496</v>
      </c>
      <c r="L111" s="3" t="str">
        <f t="shared" si="12"/>
        <v>2001/01/01</v>
      </c>
      <c r="M111" s="3" t="str">
        <f t="shared" si="13"/>
        <v>2199/12/31</v>
      </c>
      <c r="N111" t="str">
        <f t="shared" si="14"/>
        <v>11WP00997496</v>
      </c>
      <c r="O111">
        <v>5</v>
      </c>
      <c r="Q111" t="str" cm="1">
        <f t="array" ref="Q111">_xlfn.IFS(AND(C111="",G111=""),"",LEFT(G111,1)="L","記載要",LEFT(G111,1)="W","",AND(C111,G111=""),"記載要")</f>
        <v/>
      </c>
      <c r="R111" s="21" t="str">
        <f t="shared" si="19"/>
        <v/>
      </c>
      <c r="S111" s="21"/>
      <c r="AA111">
        <v>1</v>
      </c>
      <c r="AB111">
        <f t="shared" si="15"/>
        <v>0</v>
      </c>
      <c r="AC111">
        <v>1</v>
      </c>
      <c r="AF111">
        <v>1</v>
      </c>
      <c r="AG111" s="8"/>
      <c r="AH111" s="8"/>
      <c r="AK111" cm="1">
        <f t="array" ref="AK111">_xlfn.IFS(B111="","",LEFT(G111,1)="L",1,LEFT(G111,1)="W",1,AND(LEFT(B111,1)="H",G111=""),0)</f>
        <v>1</v>
      </c>
      <c r="AS111" t="str">
        <f t="shared" si="16"/>
        <v/>
      </c>
      <c r="AT111" t="s">
        <v>115</v>
      </c>
      <c r="AU111" t="str">
        <f t="shared" si="17"/>
        <v>0</v>
      </c>
      <c r="BD111" t="str">
        <f t="shared" si="18"/>
        <v>0</v>
      </c>
      <c r="BK111" t="str">
        <f>IFERROR(VLOOKUP(B111,'[1]model_S-フレーム'!$F$5:$R$7000,13,1),"")</f>
        <v>E356750_01</v>
      </c>
      <c r="BL111" s="7">
        <f>IFERROR(VLOOKUP(B111,'[1]model_S-フレーム'!$F$5:$V$7000,17,1),"")</f>
        <v>0</v>
      </c>
      <c r="BM111" t="str" cm="1">
        <f t="array" ref="BM111">_xlfn.IFS(LEFT(G111,1)="L","外注品",LEFT(G111,1)="W","内製品",G111="","購買品")</f>
        <v>内製品</v>
      </c>
    </row>
    <row r="112" spans="1:65">
      <c r="A112" t="str">
        <f t="shared" si="10"/>
        <v>WG01</v>
      </c>
      <c r="B112" t="s">
        <v>227</v>
      </c>
      <c r="C112" t="s">
        <v>280</v>
      </c>
      <c r="D112" s="7"/>
      <c r="E112" s="7"/>
      <c r="G112" t="s">
        <v>1938</v>
      </c>
      <c r="H112" t="str" cm="1">
        <f t="array" ref="H112">IFERROR(_xlfn.IFS(B112="","",AND(B112="",G112=""),"",G112="","記載要"),"")</f>
        <v/>
      </c>
      <c r="K112" t="str">
        <f t="shared" si="11"/>
        <v>11WP00997497</v>
      </c>
      <c r="L112" s="3" t="str">
        <f t="shared" si="12"/>
        <v>2001/01/01</v>
      </c>
      <c r="M112" s="3" t="str">
        <f t="shared" si="13"/>
        <v>2199/12/31</v>
      </c>
      <c r="N112" t="str">
        <f t="shared" si="14"/>
        <v>11WP00997497</v>
      </c>
      <c r="O112">
        <v>5</v>
      </c>
      <c r="Q112" t="str" cm="1">
        <f t="array" ref="Q112">_xlfn.IFS(AND(C112="",G112=""),"",LEFT(G112,1)="L","記載要",LEFT(G112,1)="W","",AND(C112,G112=""),"記載要")</f>
        <v/>
      </c>
      <c r="R112" s="21" t="str">
        <f t="shared" si="19"/>
        <v/>
      </c>
      <c r="S112" s="21"/>
      <c r="AA112">
        <v>1</v>
      </c>
      <c r="AB112">
        <f t="shared" si="15"/>
        <v>0</v>
      </c>
      <c r="AC112">
        <v>1</v>
      </c>
      <c r="AF112">
        <v>1</v>
      </c>
      <c r="AG112" s="8"/>
      <c r="AH112" s="8"/>
      <c r="AK112" cm="1">
        <f t="array" ref="AK112">_xlfn.IFS(B112="","",LEFT(G112,1)="L",1,LEFT(G112,1)="W",1,AND(LEFT(B112,1)="H",G112=""),0)</f>
        <v>1</v>
      </c>
      <c r="AS112" t="str">
        <f t="shared" si="16"/>
        <v/>
      </c>
      <c r="AT112" t="s">
        <v>115</v>
      </c>
      <c r="AU112" t="str">
        <f t="shared" si="17"/>
        <v>0</v>
      </c>
      <c r="BD112" t="str">
        <f t="shared" si="18"/>
        <v>0</v>
      </c>
      <c r="BK112" t="str">
        <f>IFERROR(VLOOKUP(B112,'[1]model_S-フレーム'!$F$5:$R$7000,13,1),"")</f>
        <v>E356750_01</v>
      </c>
      <c r="BL112" s="7">
        <f>IFERROR(VLOOKUP(B112,'[1]model_S-フレーム'!$F$5:$V$7000,17,1),"")</f>
        <v>0</v>
      </c>
      <c r="BM112" t="str" cm="1">
        <f t="array" ref="BM112">_xlfn.IFS(LEFT(G112,1)="L","外注品",LEFT(G112,1)="W","内製品",G112="","購買品")</f>
        <v>内製品</v>
      </c>
    </row>
    <row r="113" spans="1:65">
      <c r="A113" t="str">
        <f t="shared" si="10"/>
        <v>WG01</v>
      </c>
      <c r="B113" t="s">
        <v>228</v>
      </c>
      <c r="C113" t="s">
        <v>280</v>
      </c>
      <c r="D113" s="7"/>
      <c r="E113" s="7"/>
      <c r="G113" t="s">
        <v>1938</v>
      </c>
      <c r="H113" t="str" cm="1">
        <f t="array" ref="H113">IFERROR(_xlfn.IFS(B113="","",AND(B113="",G113=""),"",G113="","記載要"),"")</f>
        <v/>
      </c>
      <c r="K113" t="str">
        <f t="shared" si="11"/>
        <v>11WP00997498</v>
      </c>
      <c r="L113" s="3" t="str">
        <f t="shared" si="12"/>
        <v>2001/01/01</v>
      </c>
      <c r="M113" s="3" t="str">
        <f t="shared" si="13"/>
        <v>2199/12/31</v>
      </c>
      <c r="N113" t="str">
        <f t="shared" si="14"/>
        <v>11WP00997498</v>
      </c>
      <c r="O113">
        <v>5</v>
      </c>
      <c r="Q113" t="str" cm="1">
        <f t="array" ref="Q113">_xlfn.IFS(AND(C113="",G113=""),"",LEFT(G113,1)="L","記載要",LEFT(G113,1)="W","",AND(C113,G113=""),"記載要")</f>
        <v/>
      </c>
      <c r="R113" s="21" t="str">
        <f t="shared" si="19"/>
        <v/>
      </c>
      <c r="S113" s="21"/>
      <c r="AA113">
        <v>1</v>
      </c>
      <c r="AB113">
        <f t="shared" si="15"/>
        <v>0</v>
      </c>
      <c r="AC113">
        <v>1</v>
      </c>
      <c r="AF113">
        <v>1</v>
      </c>
      <c r="AG113" s="8"/>
      <c r="AH113" s="8"/>
      <c r="AK113" cm="1">
        <f t="array" ref="AK113">_xlfn.IFS(B113="","",LEFT(G113,1)="L",1,LEFT(G113,1)="W",1,AND(LEFT(B113,1)="H",G113=""),0)</f>
        <v>1</v>
      </c>
      <c r="AS113" t="str">
        <f t="shared" si="16"/>
        <v/>
      </c>
      <c r="AT113" t="s">
        <v>115</v>
      </c>
      <c r="AU113" t="str">
        <f t="shared" si="17"/>
        <v>0</v>
      </c>
      <c r="BD113" t="str">
        <f t="shared" si="18"/>
        <v>0</v>
      </c>
      <c r="BK113" t="str">
        <f>IFERROR(VLOOKUP(B113,'[1]model_S-フレーム'!$F$5:$R$7000,13,1),"")</f>
        <v>E356750_01</v>
      </c>
      <c r="BL113" s="7">
        <f>IFERROR(VLOOKUP(B113,'[1]model_S-フレーム'!$F$5:$V$7000,17,1),"")</f>
        <v>0</v>
      </c>
      <c r="BM113" t="str" cm="1">
        <f t="array" ref="BM113">_xlfn.IFS(LEFT(G113,1)="L","外注品",LEFT(G113,1)="W","内製品",G113="","購買品")</f>
        <v>内製品</v>
      </c>
    </row>
    <row r="114" spans="1:65">
      <c r="A114" t="str">
        <f t="shared" si="10"/>
        <v>WG01</v>
      </c>
      <c r="B114" t="s">
        <v>229</v>
      </c>
      <c r="C114" t="s">
        <v>280</v>
      </c>
      <c r="D114" s="7"/>
      <c r="E114" s="7"/>
      <c r="G114" t="s">
        <v>1938</v>
      </c>
      <c r="H114" t="str" cm="1">
        <f t="array" ref="H114">IFERROR(_xlfn.IFS(B114="","",AND(B114="",G114=""),"",G114="","記載要"),"")</f>
        <v/>
      </c>
      <c r="K114" t="str">
        <f t="shared" si="11"/>
        <v>11WP00997499</v>
      </c>
      <c r="L114" s="3" t="str">
        <f t="shared" si="12"/>
        <v>2001/01/01</v>
      </c>
      <c r="M114" s="3" t="str">
        <f t="shared" si="13"/>
        <v>2199/12/31</v>
      </c>
      <c r="N114" t="str">
        <f t="shared" si="14"/>
        <v>11WP00997499</v>
      </c>
      <c r="O114">
        <v>5</v>
      </c>
      <c r="Q114" t="str" cm="1">
        <f t="array" ref="Q114">_xlfn.IFS(AND(C114="",G114=""),"",LEFT(G114,1)="L","記載要",LEFT(G114,1)="W","",AND(C114,G114=""),"記載要")</f>
        <v/>
      </c>
      <c r="R114" s="21" t="str">
        <f t="shared" si="19"/>
        <v/>
      </c>
      <c r="S114" s="21"/>
      <c r="AA114">
        <v>1</v>
      </c>
      <c r="AB114">
        <f t="shared" si="15"/>
        <v>0</v>
      </c>
      <c r="AC114">
        <v>1</v>
      </c>
      <c r="AF114">
        <v>1</v>
      </c>
      <c r="AG114" s="8"/>
      <c r="AH114" s="8"/>
      <c r="AK114" cm="1">
        <f t="array" ref="AK114">_xlfn.IFS(B114="","",LEFT(G114,1)="L",1,LEFT(G114,1)="W",1,AND(LEFT(B114,1)="H",G114=""),0)</f>
        <v>1</v>
      </c>
      <c r="AS114" t="str">
        <f t="shared" si="16"/>
        <v/>
      </c>
      <c r="AT114" t="s">
        <v>115</v>
      </c>
      <c r="AU114" t="str">
        <f t="shared" si="17"/>
        <v>0</v>
      </c>
      <c r="BD114" t="str">
        <f t="shared" si="18"/>
        <v>0</v>
      </c>
      <c r="BK114" t="str">
        <f>IFERROR(VLOOKUP(B114,'[1]model_S-フレーム'!$F$5:$R$7000,13,1),"")</f>
        <v>E356750_01</v>
      </c>
      <c r="BL114" s="7">
        <f>IFERROR(VLOOKUP(B114,'[1]model_S-フレーム'!$F$5:$V$7000,17,1),"")</f>
        <v>0</v>
      </c>
      <c r="BM114" t="str" cm="1">
        <f t="array" ref="BM114">_xlfn.IFS(LEFT(G114,1)="L","外注品",LEFT(G114,1)="W","内製品",G114="","購買品")</f>
        <v>内製品</v>
      </c>
    </row>
    <row r="115" spans="1:65">
      <c r="A115" t="str">
        <f t="shared" si="10"/>
        <v>WG01</v>
      </c>
      <c r="B115" t="s">
        <v>230</v>
      </c>
      <c r="C115" t="s">
        <v>280</v>
      </c>
      <c r="D115" s="7"/>
      <c r="E115" s="7"/>
      <c r="G115" t="s">
        <v>1938</v>
      </c>
      <c r="H115" t="str" cm="1">
        <f t="array" ref="H115">IFERROR(_xlfn.IFS(B115="","",AND(B115="",G115=""),"",G115="","記載要"),"")</f>
        <v/>
      </c>
      <c r="K115" t="str">
        <f t="shared" si="11"/>
        <v>11WP00997500</v>
      </c>
      <c r="L115" s="3" t="str">
        <f t="shared" si="12"/>
        <v>2001/01/01</v>
      </c>
      <c r="M115" s="3" t="str">
        <f t="shared" si="13"/>
        <v>2199/12/31</v>
      </c>
      <c r="N115" t="str">
        <f t="shared" si="14"/>
        <v>11WP00997500</v>
      </c>
      <c r="O115">
        <v>5</v>
      </c>
      <c r="Q115" t="str" cm="1">
        <f t="array" ref="Q115">_xlfn.IFS(AND(C115="",G115=""),"",LEFT(G115,1)="L","記載要",LEFT(G115,1)="W","",AND(C115,G115=""),"記載要")</f>
        <v/>
      </c>
      <c r="R115" s="21" t="str">
        <f t="shared" si="19"/>
        <v/>
      </c>
      <c r="S115" s="21"/>
      <c r="AA115">
        <v>1</v>
      </c>
      <c r="AB115">
        <f t="shared" si="15"/>
        <v>0</v>
      </c>
      <c r="AC115">
        <v>1</v>
      </c>
      <c r="AF115">
        <v>1</v>
      </c>
      <c r="AG115" s="8"/>
      <c r="AH115" s="8"/>
      <c r="AK115" cm="1">
        <f t="array" ref="AK115">_xlfn.IFS(B115="","",LEFT(G115,1)="L",1,LEFT(G115,1)="W",1,AND(LEFT(B115,1)="H",G115=""),0)</f>
        <v>1</v>
      </c>
      <c r="AS115" t="str">
        <f t="shared" si="16"/>
        <v/>
      </c>
      <c r="AT115" t="s">
        <v>115</v>
      </c>
      <c r="AU115" t="str">
        <f t="shared" si="17"/>
        <v>0</v>
      </c>
      <c r="BD115" t="str">
        <f t="shared" si="18"/>
        <v>0</v>
      </c>
      <c r="BK115" t="str">
        <f>IFERROR(VLOOKUP(B115,'[1]model_S-フレーム'!$F$5:$R$7000,13,1),"")</f>
        <v>E356750_01</v>
      </c>
      <c r="BL115" s="7">
        <f>IFERROR(VLOOKUP(B115,'[1]model_S-フレーム'!$F$5:$V$7000,17,1),"")</f>
        <v>0</v>
      </c>
      <c r="BM115" t="str" cm="1">
        <f t="array" ref="BM115">_xlfn.IFS(LEFT(G115,1)="L","外注品",LEFT(G115,1)="W","内製品",G115="","購買品")</f>
        <v>内製品</v>
      </c>
    </row>
    <row r="116" spans="1:65">
      <c r="A116" t="str">
        <f t="shared" si="10"/>
        <v>WG01</v>
      </c>
      <c r="B116" t="s">
        <v>231</v>
      </c>
      <c r="C116" t="s">
        <v>280</v>
      </c>
      <c r="D116" s="7"/>
      <c r="E116" s="7"/>
      <c r="G116" t="s">
        <v>1938</v>
      </c>
      <c r="H116" t="str" cm="1">
        <f t="array" ref="H116">IFERROR(_xlfn.IFS(B116="","",AND(B116="",G116=""),"",G116="","記載要"),"")</f>
        <v/>
      </c>
      <c r="K116" t="str">
        <f t="shared" si="11"/>
        <v>11WP00997501</v>
      </c>
      <c r="L116" s="3" t="str">
        <f t="shared" si="12"/>
        <v>2001/01/01</v>
      </c>
      <c r="M116" s="3" t="str">
        <f t="shared" si="13"/>
        <v>2199/12/31</v>
      </c>
      <c r="N116" t="str">
        <f t="shared" si="14"/>
        <v>11WP00997501</v>
      </c>
      <c r="O116">
        <v>5</v>
      </c>
      <c r="Q116" t="str" cm="1">
        <f t="array" ref="Q116">_xlfn.IFS(AND(C116="",G116=""),"",LEFT(G116,1)="L","記載要",LEFT(G116,1)="W","",AND(C116,G116=""),"記載要")</f>
        <v/>
      </c>
      <c r="R116" s="21" t="str">
        <f t="shared" si="19"/>
        <v/>
      </c>
      <c r="S116" s="21"/>
      <c r="AA116">
        <v>1</v>
      </c>
      <c r="AB116">
        <f t="shared" si="15"/>
        <v>0</v>
      </c>
      <c r="AC116">
        <v>1</v>
      </c>
      <c r="AF116">
        <v>1</v>
      </c>
      <c r="AG116" s="8"/>
      <c r="AH116" s="8"/>
      <c r="AK116" cm="1">
        <f t="array" ref="AK116">_xlfn.IFS(B116="","",LEFT(G116,1)="L",1,LEFT(G116,1)="W",1,AND(LEFT(B116,1)="H",G116=""),0)</f>
        <v>1</v>
      </c>
      <c r="AS116" t="str">
        <f t="shared" si="16"/>
        <v/>
      </c>
      <c r="AT116" t="s">
        <v>115</v>
      </c>
      <c r="AU116" t="str">
        <f t="shared" si="17"/>
        <v>0</v>
      </c>
      <c r="BD116" t="str">
        <f t="shared" si="18"/>
        <v>0</v>
      </c>
      <c r="BK116" t="str">
        <f>IFERROR(VLOOKUP(B116,'[1]model_S-フレーム'!$F$5:$R$7000,13,1),"")</f>
        <v>E356750_01</v>
      </c>
      <c r="BL116" s="7">
        <f>IFERROR(VLOOKUP(B116,'[1]model_S-フレーム'!$F$5:$V$7000,17,1),"")</f>
        <v>0</v>
      </c>
      <c r="BM116" t="str" cm="1">
        <f t="array" ref="BM116">_xlfn.IFS(LEFT(G116,1)="L","外注品",LEFT(G116,1)="W","内製品",G116="","購買品")</f>
        <v>内製品</v>
      </c>
    </row>
    <row r="117" spans="1:65">
      <c r="A117" t="str">
        <f t="shared" si="10"/>
        <v>WG01</v>
      </c>
      <c r="B117" t="s">
        <v>232</v>
      </c>
      <c r="C117" t="s">
        <v>280</v>
      </c>
      <c r="D117" s="7"/>
      <c r="E117" s="7"/>
      <c r="G117" t="s">
        <v>1938</v>
      </c>
      <c r="H117" t="str" cm="1">
        <f t="array" ref="H117">IFERROR(_xlfn.IFS(B117="","",AND(B117="",G117=""),"",G117="","記載要"),"")</f>
        <v/>
      </c>
      <c r="K117" t="str">
        <f t="shared" si="11"/>
        <v>11WP00997502</v>
      </c>
      <c r="L117" s="3" t="str">
        <f t="shared" si="12"/>
        <v>2001/01/01</v>
      </c>
      <c r="M117" s="3" t="str">
        <f t="shared" si="13"/>
        <v>2199/12/31</v>
      </c>
      <c r="N117" t="str">
        <f t="shared" si="14"/>
        <v>11WP00997502</v>
      </c>
      <c r="O117">
        <v>5</v>
      </c>
      <c r="Q117" t="str" cm="1">
        <f t="array" ref="Q117">_xlfn.IFS(AND(C117="",G117=""),"",LEFT(G117,1)="L","記載要",LEFT(G117,1)="W","",AND(C117,G117=""),"記載要")</f>
        <v/>
      </c>
      <c r="R117" s="21" t="str">
        <f t="shared" si="19"/>
        <v/>
      </c>
      <c r="S117" s="21"/>
      <c r="AA117">
        <v>1</v>
      </c>
      <c r="AB117">
        <f t="shared" si="15"/>
        <v>0</v>
      </c>
      <c r="AC117">
        <v>1</v>
      </c>
      <c r="AF117">
        <v>1</v>
      </c>
      <c r="AG117" s="8"/>
      <c r="AH117" s="8"/>
      <c r="AK117" cm="1">
        <f t="array" ref="AK117">_xlfn.IFS(B117="","",LEFT(G117,1)="L",1,LEFT(G117,1)="W",1,AND(LEFT(B117,1)="H",G117=""),0)</f>
        <v>1</v>
      </c>
      <c r="AS117" t="str">
        <f t="shared" si="16"/>
        <v/>
      </c>
      <c r="AT117" t="s">
        <v>115</v>
      </c>
      <c r="AU117" t="str">
        <f t="shared" si="17"/>
        <v>0</v>
      </c>
      <c r="BD117" t="str">
        <f t="shared" si="18"/>
        <v>0</v>
      </c>
      <c r="BK117" t="str">
        <f>IFERROR(VLOOKUP(B117,'[1]model_S-フレーム'!$F$5:$R$7000,13,1),"")</f>
        <v>E356750_01</v>
      </c>
      <c r="BL117" s="7">
        <f>IFERROR(VLOOKUP(B117,'[1]model_S-フレーム'!$F$5:$V$7000,17,1),"")</f>
        <v>0</v>
      </c>
      <c r="BM117" t="str" cm="1">
        <f t="array" ref="BM117">_xlfn.IFS(LEFT(G117,1)="L","外注品",LEFT(G117,1)="W","内製品",G117="","購買品")</f>
        <v>内製品</v>
      </c>
    </row>
    <row r="118" spans="1:65">
      <c r="A118" t="str">
        <f t="shared" si="10"/>
        <v>WG01</v>
      </c>
      <c r="B118" t="s">
        <v>233</v>
      </c>
      <c r="C118" t="s">
        <v>280</v>
      </c>
      <c r="D118" s="7"/>
      <c r="E118" s="7"/>
      <c r="G118" t="s">
        <v>1938</v>
      </c>
      <c r="H118" t="str" cm="1">
        <f t="array" ref="H118">IFERROR(_xlfn.IFS(B118="","",AND(B118="",G118=""),"",G118="","記載要"),"")</f>
        <v/>
      </c>
      <c r="K118" t="str">
        <f t="shared" si="11"/>
        <v>11WP00997503</v>
      </c>
      <c r="L118" s="3" t="str">
        <f t="shared" si="12"/>
        <v>2001/01/01</v>
      </c>
      <c r="M118" s="3" t="str">
        <f t="shared" si="13"/>
        <v>2199/12/31</v>
      </c>
      <c r="N118" t="str">
        <f t="shared" si="14"/>
        <v>11WP00997503</v>
      </c>
      <c r="O118">
        <v>5</v>
      </c>
      <c r="Q118" t="str" cm="1">
        <f t="array" ref="Q118">_xlfn.IFS(AND(C118="",G118=""),"",LEFT(G118,1)="L","記載要",LEFT(G118,1)="W","",AND(C118,G118=""),"記載要")</f>
        <v/>
      </c>
      <c r="R118" s="21" t="str">
        <f t="shared" si="19"/>
        <v/>
      </c>
      <c r="S118" s="21"/>
      <c r="AA118">
        <v>1</v>
      </c>
      <c r="AB118">
        <f t="shared" si="15"/>
        <v>0</v>
      </c>
      <c r="AC118">
        <v>1</v>
      </c>
      <c r="AF118">
        <v>1</v>
      </c>
      <c r="AG118" s="8"/>
      <c r="AH118" s="8"/>
      <c r="AK118" cm="1">
        <f t="array" ref="AK118">_xlfn.IFS(B118="","",LEFT(G118,1)="L",1,LEFT(G118,1)="W",1,AND(LEFT(B118,1)="H",G118=""),0)</f>
        <v>1</v>
      </c>
      <c r="AS118" t="str">
        <f t="shared" si="16"/>
        <v/>
      </c>
      <c r="AT118" t="s">
        <v>115</v>
      </c>
      <c r="AU118" t="str">
        <f t="shared" si="17"/>
        <v>0</v>
      </c>
      <c r="BD118" t="str">
        <f t="shared" si="18"/>
        <v>0</v>
      </c>
      <c r="BK118" t="str">
        <f>IFERROR(VLOOKUP(B118,'[1]model_S-フレーム'!$F$5:$R$7000,13,1),"")</f>
        <v>E356750_01</v>
      </c>
      <c r="BL118" s="7">
        <f>IFERROR(VLOOKUP(B118,'[1]model_S-フレーム'!$F$5:$V$7000,17,1),"")</f>
        <v>0</v>
      </c>
      <c r="BM118" t="str" cm="1">
        <f t="array" ref="BM118">_xlfn.IFS(LEFT(G118,1)="L","外注品",LEFT(G118,1)="W","内製品",G118="","購買品")</f>
        <v>内製品</v>
      </c>
    </row>
    <row r="119" spans="1:65">
      <c r="A119" t="str">
        <f t="shared" si="10"/>
        <v>WG01</v>
      </c>
      <c r="B119" t="s">
        <v>234</v>
      </c>
      <c r="C119" t="s">
        <v>281</v>
      </c>
      <c r="D119" s="7"/>
      <c r="E119" s="7"/>
      <c r="G119" t="s">
        <v>1938</v>
      </c>
      <c r="H119" t="str" cm="1">
        <f t="array" ref="H119">IFERROR(_xlfn.IFS(B119="","",AND(B119="",G119=""),"",G119="","記載要"),"")</f>
        <v/>
      </c>
      <c r="K119" t="str">
        <f t="shared" si="11"/>
        <v>11WP00997504</v>
      </c>
      <c r="L119" s="3" t="str">
        <f t="shared" si="12"/>
        <v>2001/01/01</v>
      </c>
      <c r="M119" s="3" t="str">
        <f t="shared" si="13"/>
        <v>2199/12/31</v>
      </c>
      <c r="N119" t="str">
        <f t="shared" si="14"/>
        <v>11WP00997504</v>
      </c>
      <c r="O119">
        <v>5</v>
      </c>
      <c r="Q119" t="str" cm="1">
        <f t="array" ref="Q119">_xlfn.IFS(AND(C119="",G119=""),"",LEFT(G119,1)="L","記載要",LEFT(G119,1)="W","",AND(C119,G119=""),"記載要")</f>
        <v/>
      </c>
      <c r="R119" s="21" t="str">
        <f t="shared" si="19"/>
        <v/>
      </c>
      <c r="S119" s="21"/>
      <c r="AA119">
        <v>1</v>
      </c>
      <c r="AB119">
        <f t="shared" si="15"/>
        <v>0</v>
      </c>
      <c r="AC119">
        <v>1</v>
      </c>
      <c r="AF119">
        <v>1</v>
      </c>
      <c r="AG119" s="8"/>
      <c r="AH119" s="8"/>
      <c r="AK119" cm="1">
        <f t="array" ref="AK119">_xlfn.IFS(B119="","",LEFT(G119,1)="L",1,LEFT(G119,1)="W",1,AND(LEFT(B119,1)="H",G119=""),0)</f>
        <v>1</v>
      </c>
      <c r="AS119" t="str">
        <f t="shared" si="16"/>
        <v/>
      </c>
      <c r="AT119" t="s">
        <v>115</v>
      </c>
      <c r="AU119" t="str">
        <f t="shared" si="17"/>
        <v>0</v>
      </c>
      <c r="BD119" t="str">
        <f t="shared" si="18"/>
        <v>0</v>
      </c>
      <c r="BK119" t="str">
        <f>IFERROR(VLOOKUP(B119,'[1]model_S-フレーム'!$F$5:$R$7000,13,1),"")</f>
        <v>E356750_01</v>
      </c>
      <c r="BL119" s="7">
        <f>IFERROR(VLOOKUP(B119,'[1]model_S-フレーム'!$F$5:$V$7000,17,1),"")</f>
        <v>0</v>
      </c>
      <c r="BM119" t="str" cm="1">
        <f t="array" ref="BM119">_xlfn.IFS(LEFT(G119,1)="L","外注品",LEFT(G119,1)="W","内製品",G119="","購買品")</f>
        <v>内製品</v>
      </c>
    </row>
    <row r="120" spans="1:65">
      <c r="A120" t="str">
        <f t="shared" si="10"/>
        <v>WG01</v>
      </c>
      <c r="B120" t="s">
        <v>235</v>
      </c>
      <c r="C120" t="s">
        <v>281</v>
      </c>
      <c r="D120" s="7"/>
      <c r="E120" s="7"/>
      <c r="G120" t="s">
        <v>1938</v>
      </c>
      <c r="H120" t="str" cm="1">
        <f t="array" ref="H120">IFERROR(_xlfn.IFS(B120="","",AND(B120="",G120=""),"",G120="","記載要"),"")</f>
        <v/>
      </c>
      <c r="K120" t="str">
        <f t="shared" si="11"/>
        <v>11WP00997505</v>
      </c>
      <c r="L120" s="3" t="str">
        <f t="shared" si="12"/>
        <v>2001/01/01</v>
      </c>
      <c r="M120" s="3" t="str">
        <f t="shared" si="13"/>
        <v>2199/12/31</v>
      </c>
      <c r="N120" t="str">
        <f t="shared" si="14"/>
        <v>11WP00997505</v>
      </c>
      <c r="O120">
        <v>5</v>
      </c>
      <c r="Q120" t="str" cm="1">
        <f t="array" ref="Q120">_xlfn.IFS(AND(C120="",G120=""),"",LEFT(G120,1)="L","記載要",LEFT(G120,1)="W","",AND(C120,G120=""),"記載要")</f>
        <v/>
      </c>
      <c r="R120" s="21" t="str">
        <f t="shared" si="19"/>
        <v/>
      </c>
      <c r="S120" s="21"/>
      <c r="AA120">
        <v>1</v>
      </c>
      <c r="AB120">
        <f t="shared" si="15"/>
        <v>0</v>
      </c>
      <c r="AC120">
        <v>1</v>
      </c>
      <c r="AF120">
        <v>1</v>
      </c>
      <c r="AG120" s="8"/>
      <c r="AH120" s="8"/>
      <c r="AK120" cm="1">
        <f t="array" ref="AK120">_xlfn.IFS(B120="","",LEFT(G120,1)="L",1,LEFT(G120,1)="W",1,AND(LEFT(B120,1)="H",G120=""),0)</f>
        <v>1</v>
      </c>
      <c r="AS120" t="str">
        <f t="shared" si="16"/>
        <v/>
      </c>
      <c r="AT120" t="s">
        <v>115</v>
      </c>
      <c r="AU120" t="str">
        <f t="shared" si="17"/>
        <v>0</v>
      </c>
      <c r="BD120" t="str">
        <f t="shared" si="18"/>
        <v>0</v>
      </c>
      <c r="BK120" t="str">
        <f>IFERROR(VLOOKUP(B120,'[1]model_S-フレーム'!$F$5:$R$7000,13,1),"")</f>
        <v>E356750_01</v>
      </c>
      <c r="BL120" s="7">
        <f>IFERROR(VLOOKUP(B120,'[1]model_S-フレーム'!$F$5:$V$7000,17,1),"")</f>
        <v>0</v>
      </c>
      <c r="BM120" t="str" cm="1">
        <f t="array" ref="BM120">_xlfn.IFS(LEFT(G120,1)="L","外注品",LEFT(G120,1)="W","内製品",G120="","購買品")</f>
        <v>内製品</v>
      </c>
    </row>
    <row r="121" spans="1:65">
      <c r="A121" t="str">
        <f t="shared" si="10"/>
        <v>WG01</v>
      </c>
      <c r="B121" t="s">
        <v>236</v>
      </c>
      <c r="C121" t="s">
        <v>281</v>
      </c>
      <c r="D121" s="7"/>
      <c r="E121" s="7"/>
      <c r="G121" t="s">
        <v>1938</v>
      </c>
      <c r="H121" t="str" cm="1">
        <f t="array" ref="H121">IFERROR(_xlfn.IFS(B121="","",AND(B121="",G121=""),"",G121="","記載要"),"")</f>
        <v/>
      </c>
      <c r="K121" t="str">
        <f t="shared" si="11"/>
        <v>11WP00997506</v>
      </c>
      <c r="L121" s="3" t="str">
        <f t="shared" si="12"/>
        <v>2001/01/01</v>
      </c>
      <c r="M121" s="3" t="str">
        <f t="shared" si="13"/>
        <v>2199/12/31</v>
      </c>
      <c r="N121" t="str">
        <f t="shared" si="14"/>
        <v>11WP00997506</v>
      </c>
      <c r="O121">
        <v>5</v>
      </c>
      <c r="Q121" t="str" cm="1">
        <f t="array" ref="Q121">_xlfn.IFS(AND(C121="",G121=""),"",LEFT(G121,1)="L","記載要",LEFT(G121,1)="W","",AND(C121,G121=""),"記載要")</f>
        <v/>
      </c>
      <c r="R121" s="21" t="str">
        <f t="shared" si="19"/>
        <v/>
      </c>
      <c r="S121" s="21"/>
      <c r="AA121">
        <v>1</v>
      </c>
      <c r="AB121">
        <f t="shared" si="15"/>
        <v>0</v>
      </c>
      <c r="AC121">
        <v>1</v>
      </c>
      <c r="AF121">
        <v>1</v>
      </c>
      <c r="AG121" s="8"/>
      <c r="AH121" s="8"/>
      <c r="AK121" cm="1">
        <f t="array" ref="AK121">_xlfn.IFS(B121="","",LEFT(G121,1)="L",1,LEFT(G121,1)="W",1,AND(LEFT(B121,1)="H",G121=""),0)</f>
        <v>1</v>
      </c>
      <c r="AS121" t="str">
        <f t="shared" si="16"/>
        <v/>
      </c>
      <c r="AT121" t="s">
        <v>115</v>
      </c>
      <c r="AU121" t="str">
        <f t="shared" si="17"/>
        <v>0</v>
      </c>
      <c r="BD121" t="str">
        <f t="shared" si="18"/>
        <v>0</v>
      </c>
      <c r="BK121" t="str">
        <f>IFERROR(VLOOKUP(B121,'[1]model_S-フレーム'!$F$5:$R$7000,13,1),"")</f>
        <v>E356750_01</v>
      </c>
      <c r="BL121" s="7">
        <f>IFERROR(VLOOKUP(B121,'[1]model_S-フレーム'!$F$5:$V$7000,17,1),"")</f>
        <v>0</v>
      </c>
      <c r="BM121" t="str" cm="1">
        <f t="array" ref="BM121">_xlfn.IFS(LEFT(G121,1)="L","外注品",LEFT(G121,1)="W","内製品",G121="","購買品")</f>
        <v>内製品</v>
      </c>
    </row>
    <row r="122" spans="1:65">
      <c r="A122" t="str">
        <f t="shared" si="10"/>
        <v>WG01</v>
      </c>
      <c r="B122" t="s">
        <v>237</v>
      </c>
      <c r="C122" t="s">
        <v>281</v>
      </c>
      <c r="D122" s="7"/>
      <c r="E122" s="7"/>
      <c r="G122" t="s">
        <v>1938</v>
      </c>
      <c r="H122" t="str" cm="1">
        <f t="array" ref="H122">IFERROR(_xlfn.IFS(B122="","",AND(B122="",G122=""),"",G122="","記載要"),"")</f>
        <v/>
      </c>
      <c r="K122" t="str">
        <f t="shared" si="11"/>
        <v>11WP00997507</v>
      </c>
      <c r="L122" s="3" t="str">
        <f t="shared" si="12"/>
        <v>2001/01/01</v>
      </c>
      <c r="M122" s="3" t="str">
        <f t="shared" si="13"/>
        <v>2199/12/31</v>
      </c>
      <c r="N122" t="str">
        <f t="shared" si="14"/>
        <v>11WP00997507</v>
      </c>
      <c r="O122">
        <v>5</v>
      </c>
      <c r="Q122" t="str" cm="1">
        <f t="array" ref="Q122">_xlfn.IFS(AND(C122="",G122=""),"",LEFT(G122,1)="L","記載要",LEFT(G122,1)="W","",AND(C122,G122=""),"記載要")</f>
        <v/>
      </c>
      <c r="R122" s="21" t="str">
        <f t="shared" si="19"/>
        <v/>
      </c>
      <c r="S122" s="21"/>
      <c r="AA122">
        <v>1</v>
      </c>
      <c r="AB122">
        <f t="shared" si="15"/>
        <v>0</v>
      </c>
      <c r="AC122">
        <v>1</v>
      </c>
      <c r="AF122">
        <v>1</v>
      </c>
      <c r="AG122" s="8"/>
      <c r="AH122" s="8"/>
      <c r="AK122" cm="1">
        <f t="array" ref="AK122">_xlfn.IFS(B122="","",LEFT(G122,1)="L",1,LEFT(G122,1)="W",1,AND(LEFT(B122,1)="H",G122=""),0)</f>
        <v>1</v>
      </c>
      <c r="AS122" t="str">
        <f t="shared" si="16"/>
        <v/>
      </c>
      <c r="AT122" t="s">
        <v>115</v>
      </c>
      <c r="AU122" t="str">
        <f t="shared" si="17"/>
        <v>0</v>
      </c>
      <c r="BD122" t="str">
        <f t="shared" si="18"/>
        <v>0</v>
      </c>
      <c r="BK122" t="str">
        <f>IFERROR(VLOOKUP(B122,'[1]model_S-フレーム'!$F$5:$R$7000,13,1),"")</f>
        <v>E356750_01</v>
      </c>
      <c r="BL122" s="7">
        <f>IFERROR(VLOOKUP(B122,'[1]model_S-フレーム'!$F$5:$V$7000,17,1),"")</f>
        <v>0</v>
      </c>
      <c r="BM122" t="str" cm="1">
        <f t="array" ref="BM122">_xlfn.IFS(LEFT(G122,1)="L","外注品",LEFT(G122,1)="W","内製品",G122="","購買品")</f>
        <v>内製品</v>
      </c>
    </row>
    <row r="123" spans="1:65">
      <c r="A123" t="str">
        <f t="shared" si="10"/>
        <v>WG01</v>
      </c>
      <c r="B123" t="s">
        <v>238</v>
      </c>
      <c r="C123" t="s">
        <v>282</v>
      </c>
      <c r="D123" s="7"/>
      <c r="E123" s="7"/>
      <c r="G123" t="s">
        <v>1938</v>
      </c>
      <c r="H123" t="str" cm="1">
        <f t="array" ref="H123">IFERROR(_xlfn.IFS(B123="","",AND(B123="",G123=""),"",G123="","記載要"),"")</f>
        <v/>
      </c>
      <c r="K123" t="str">
        <f t="shared" si="11"/>
        <v>11WP00997508</v>
      </c>
      <c r="L123" s="3" t="str">
        <f t="shared" si="12"/>
        <v>2001/01/01</v>
      </c>
      <c r="M123" s="3" t="str">
        <f t="shared" si="13"/>
        <v>2199/12/31</v>
      </c>
      <c r="N123" t="str">
        <f t="shared" si="14"/>
        <v>11WP00997508</v>
      </c>
      <c r="O123">
        <v>5</v>
      </c>
      <c r="Q123" t="str" cm="1">
        <f t="array" ref="Q123">_xlfn.IFS(AND(C123="",G123=""),"",LEFT(G123,1)="L","記載要",LEFT(G123,1)="W","",AND(C123,G123=""),"記載要")</f>
        <v/>
      </c>
      <c r="R123" s="21" t="str">
        <f t="shared" si="19"/>
        <v/>
      </c>
      <c r="S123" s="21"/>
      <c r="AA123">
        <v>1</v>
      </c>
      <c r="AB123">
        <f t="shared" si="15"/>
        <v>0</v>
      </c>
      <c r="AC123">
        <v>1</v>
      </c>
      <c r="AF123">
        <v>1</v>
      </c>
      <c r="AG123" s="8"/>
      <c r="AH123" s="8"/>
      <c r="AK123" cm="1">
        <f t="array" ref="AK123">_xlfn.IFS(B123="","",LEFT(G123,1)="L",1,LEFT(G123,1)="W",1,AND(LEFT(B123,1)="H",G123=""),0)</f>
        <v>1</v>
      </c>
      <c r="AS123" t="str">
        <f t="shared" si="16"/>
        <v/>
      </c>
      <c r="AT123" t="s">
        <v>115</v>
      </c>
      <c r="AU123" t="str">
        <f t="shared" si="17"/>
        <v>0</v>
      </c>
      <c r="BD123" t="str">
        <f t="shared" si="18"/>
        <v>0</v>
      </c>
      <c r="BK123" t="str">
        <f>IFERROR(VLOOKUP(B123,'[1]model_S-フレーム'!$F$5:$R$7000,13,1),"")</f>
        <v>E356750_01</v>
      </c>
      <c r="BL123" s="7">
        <f>IFERROR(VLOOKUP(B123,'[1]model_S-フレーム'!$F$5:$V$7000,17,1),"")</f>
        <v>0</v>
      </c>
      <c r="BM123" t="str" cm="1">
        <f t="array" ref="BM123">_xlfn.IFS(LEFT(G123,1)="L","外注品",LEFT(G123,1)="W","内製品",G123="","購買品")</f>
        <v>内製品</v>
      </c>
    </row>
    <row r="124" spans="1:65">
      <c r="A124" t="str">
        <f t="shared" si="10"/>
        <v>WG01</v>
      </c>
      <c r="B124" t="s">
        <v>239</v>
      </c>
      <c r="C124" t="s">
        <v>282</v>
      </c>
      <c r="D124" s="7"/>
      <c r="E124" s="7"/>
      <c r="G124" t="s">
        <v>1938</v>
      </c>
      <c r="H124" t="str" cm="1">
        <f t="array" ref="H124">IFERROR(_xlfn.IFS(B124="","",AND(B124="",G124=""),"",G124="","記載要"),"")</f>
        <v/>
      </c>
      <c r="K124" t="str">
        <f t="shared" si="11"/>
        <v>11WP00997509</v>
      </c>
      <c r="L124" s="3" t="str">
        <f t="shared" si="12"/>
        <v>2001/01/01</v>
      </c>
      <c r="M124" s="3" t="str">
        <f t="shared" si="13"/>
        <v>2199/12/31</v>
      </c>
      <c r="N124" t="str">
        <f t="shared" si="14"/>
        <v>11WP00997509</v>
      </c>
      <c r="O124">
        <v>5</v>
      </c>
      <c r="Q124" t="str" cm="1">
        <f t="array" ref="Q124">_xlfn.IFS(AND(C124="",G124=""),"",LEFT(G124,1)="L","記載要",LEFT(G124,1)="W","",AND(C124,G124=""),"記載要")</f>
        <v/>
      </c>
      <c r="R124" s="21" t="str">
        <f t="shared" si="19"/>
        <v/>
      </c>
      <c r="S124" s="21"/>
      <c r="AA124">
        <v>1</v>
      </c>
      <c r="AB124">
        <f t="shared" si="15"/>
        <v>0</v>
      </c>
      <c r="AC124">
        <v>1</v>
      </c>
      <c r="AF124">
        <v>1</v>
      </c>
      <c r="AG124" s="8"/>
      <c r="AH124" s="8"/>
      <c r="AK124" cm="1">
        <f t="array" ref="AK124">_xlfn.IFS(B124="","",LEFT(G124,1)="L",1,LEFT(G124,1)="W",1,AND(LEFT(B124,1)="H",G124=""),0)</f>
        <v>1</v>
      </c>
      <c r="AS124" t="str">
        <f t="shared" si="16"/>
        <v/>
      </c>
      <c r="AT124" t="s">
        <v>115</v>
      </c>
      <c r="AU124" t="str">
        <f t="shared" si="17"/>
        <v>0</v>
      </c>
      <c r="BD124" t="str">
        <f t="shared" si="18"/>
        <v>0</v>
      </c>
      <c r="BK124" t="str">
        <f>IFERROR(VLOOKUP(B124,'[1]model_S-フレーム'!$F$5:$R$7000,13,1),"")</f>
        <v>E356750_01</v>
      </c>
      <c r="BL124" s="7">
        <f>IFERROR(VLOOKUP(B124,'[1]model_S-フレーム'!$F$5:$V$7000,17,1),"")</f>
        <v>0</v>
      </c>
      <c r="BM124" t="str" cm="1">
        <f t="array" ref="BM124">_xlfn.IFS(LEFT(G124,1)="L","外注品",LEFT(G124,1)="W","内製品",G124="","購買品")</f>
        <v>内製品</v>
      </c>
    </row>
    <row r="125" spans="1:65">
      <c r="A125" t="str">
        <f t="shared" si="10"/>
        <v>WG01</v>
      </c>
      <c r="B125" t="s">
        <v>240</v>
      </c>
      <c r="C125" t="s">
        <v>282</v>
      </c>
      <c r="D125" s="7"/>
      <c r="E125" s="7"/>
      <c r="G125" t="s">
        <v>1938</v>
      </c>
      <c r="H125" t="str" cm="1">
        <f t="array" ref="H125">IFERROR(_xlfn.IFS(B125="","",AND(B125="",G125=""),"",G125="","記載要"),"")</f>
        <v/>
      </c>
      <c r="K125" t="str">
        <f t="shared" si="11"/>
        <v>11WP00997510</v>
      </c>
      <c r="L125" s="3" t="str">
        <f t="shared" si="12"/>
        <v>2001/01/01</v>
      </c>
      <c r="M125" s="3" t="str">
        <f t="shared" si="13"/>
        <v>2199/12/31</v>
      </c>
      <c r="N125" t="str">
        <f t="shared" si="14"/>
        <v>11WP00997510</v>
      </c>
      <c r="O125">
        <v>5</v>
      </c>
      <c r="Q125" t="str" cm="1">
        <f t="array" ref="Q125">_xlfn.IFS(AND(C125="",G125=""),"",LEFT(G125,1)="L","記載要",LEFT(G125,1)="W","",AND(C125,G125=""),"記載要")</f>
        <v/>
      </c>
      <c r="R125" s="21" t="str">
        <f t="shared" si="19"/>
        <v/>
      </c>
      <c r="S125" s="21"/>
      <c r="AA125">
        <v>1</v>
      </c>
      <c r="AB125">
        <f t="shared" si="15"/>
        <v>0</v>
      </c>
      <c r="AC125">
        <v>1</v>
      </c>
      <c r="AF125">
        <v>1</v>
      </c>
      <c r="AG125" s="8"/>
      <c r="AH125" s="8"/>
      <c r="AK125" cm="1">
        <f t="array" ref="AK125">_xlfn.IFS(B125="","",LEFT(G125,1)="L",1,LEFT(G125,1)="W",1,AND(LEFT(B125,1)="H",G125=""),0)</f>
        <v>1</v>
      </c>
      <c r="AS125" t="str">
        <f t="shared" si="16"/>
        <v/>
      </c>
      <c r="AT125" t="s">
        <v>115</v>
      </c>
      <c r="AU125" t="str">
        <f t="shared" si="17"/>
        <v>0</v>
      </c>
      <c r="AV125" s="8"/>
      <c r="AW125" s="8"/>
      <c r="AX125" s="8"/>
      <c r="AY125" s="8"/>
      <c r="BD125" t="str">
        <f t="shared" si="18"/>
        <v>0</v>
      </c>
      <c r="BK125" t="str">
        <f>IFERROR(VLOOKUP(B125,'[1]model_S-フレーム'!$F$5:$R$7000,13,1),"")</f>
        <v>E356750_01</v>
      </c>
      <c r="BL125" s="7">
        <f>IFERROR(VLOOKUP(B125,'[1]model_S-フレーム'!$F$5:$V$7000,17,1),"")</f>
        <v>0</v>
      </c>
      <c r="BM125" t="str" cm="1">
        <f t="array" ref="BM125">_xlfn.IFS(LEFT(G125,1)="L","外注品",LEFT(G125,1)="W","内製品",G125="","購買品")</f>
        <v>内製品</v>
      </c>
    </row>
    <row r="126" spans="1:65">
      <c r="A126" t="str">
        <f t="shared" si="10"/>
        <v>WG01</v>
      </c>
      <c r="B126" t="s">
        <v>241</v>
      </c>
      <c r="C126" t="s">
        <v>282</v>
      </c>
      <c r="D126" s="7"/>
      <c r="E126" s="7"/>
      <c r="G126" t="s">
        <v>1938</v>
      </c>
      <c r="H126" t="str" cm="1">
        <f t="array" ref="H126">IFERROR(_xlfn.IFS(B126="","",AND(B126="",G126=""),"",G126="","記載要"),"")</f>
        <v/>
      </c>
      <c r="K126" t="str">
        <f t="shared" si="11"/>
        <v>11WP00997511</v>
      </c>
      <c r="L126" s="3" t="str">
        <f t="shared" si="12"/>
        <v>2001/01/01</v>
      </c>
      <c r="M126" s="3" t="str">
        <f t="shared" si="13"/>
        <v>2199/12/31</v>
      </c>
      <c r="N126" t="str">
        <f t="shared" si="14"/>
        <v>11WP00997511</v>
      </c>
      <c r="O126">
        <v>5</v>
      </c>
      <c r="Q126" t="str" cm="1">
        <f t="array" ref="Q126">_xlfn.IFS(AND(C126="",G126=""),"",LEFT(G126,1)="L","記載要",LEFT(G126,1)="W","",AND(C126,G126=""),"記載要")</f>
        <v/>
      </c>
      <c r="R126" s="21" t="str">
        <f t="shared" si="19"/>
        <v/>
      </c>
      <c r="S126" s="21"/>
      <c r="AA126">
        <v>1</v>
      </c>
      <c r="AB126">
        <f t="shared" si="15"/>
        <v>0</v>
      </c>
      <c r="AC126">
        <v>1</v>
      </c>
      <c r="AF126">
        <v>1</v>
      </c>
      <c r="AG126" s="8"/>
      <c r="AH126" s="8"/>
      <c r="AK126" cm="1">
        <f t="array" ref="AK126">_xlfn.IFS(B126="","",LEFT(G126,1)="L",1,LEFT(G126,1)="W",1,AND(LEFT(B126,1)="H",G126=""),0)</f>
        <v>1</v>
      </c>
      <c r="AS126" t="str">
        <f t="shared" si="16"/>
        <v/>
      </c>
      <c r="AT126" t="s">
        <v>115</v>
      </c>
      <c r="AU126" t="str">
        <f t="shared" si="17"/>
        <v>0</v>
      </c>
      <c r="AV126" s="8"/>
      <c r="AW126" s="8"/>
      <c r="AX126" s="8"/>
      <c r="AY126" s="8"/>
      <c r="BD126" t="str">
        <f t="shared" si="18"/>
        <v>0</v>
      </c>
      <c r="BK126" t="str">
        <f>IFERROR(VLOOKUP(B126,'[1]model_S-フレーム'!$F$5:$R$7000,13,1),"")</f>
        <v>E356750_01</v>
      </c>
      <c r="BL126" s="7">
        <f>IFERROR(VLOOKUP(B126,'[1]model_S-フレーム'!$F$5:$V$7000,17,1),"")</f>
        <v>0</v>
      </c>
      <c r="BM126" t="str" cm="1">
        <f t="array" ref="BM126">_xlfn.IFS(LEFT(G126,1)="L","外注品",LEFT(G126,1)="W","内製品",G126="","購買品")</f>
        <v>内製品</v>
      </c>
    </row>
    <row r="127" spans="1:65">
      <c r="A127" t="str">
        <f t="shared" si="10"/>
        <v>WG01</v>
      </c>
      <c r="B127" t="s">
        <v>242</v>
      </c>
      <c r="C127" t="s">
        <v>283</v>
      </c>
      <c r="D127" s="7"/>
      <c r="E127" s="7"/>
      <c r="G127" t="s">
        <v>1938</v>
      </c>
      <c r="H127" t="str" cm="1">
        <f t="array" ref="H127">IFERROR(_xlfn.IFS(B127="","",AND(B127="",G127=""),"",G127="","記載要"),"")</f>
        <v/>
      </c>
      <c r="K127" t="str">
        <f t="shared" si="11"/>
        <v>11WP00997512</v>
      </c>
      <c r="L127" s="3" t="str">
        <f t="shared" si="12"/>
        <v>2001/01/01</v>
      </c>
      <c r="M127" s="3" t="str">
        <f t="shared" si="13"/>
        <v>2199/12/31</v>
      </c>
      <c r="N127" t="str">
        <f t="shared" si="14"/>
        <v>11WP00997512</v>
      </c>
      <c r="O127">
        <v>5</v>
      </c>
      <c r="Q127" t="str" cm="1">
        <f t="array" ref="Q127">_xlfn.IFS(AND(C127="",G127=""),"",LEFT(G127,1)="L","記載要",LEFT(G127,1)="W","",AND(C127,G127=""),"記載要")</f>
        <v/>
      </c>
      <c r="R127" s="21" t="str">
        <f t="shared" si="19"/>
        <v/>
      </c>
      <c r="S127" s="21"/>
      <c r="AA127">
        <v>1</v>
      </c>
      <c r="AB127">
        <f t="shared" si="15"/>
        <v>0</v>
      </c>
      <c r="AC127">
        <v>1</v>
      </c>
      <c r="AF127">
        <v>1</v>
      </c>
      <c r="AG127" s="8"/>
      <c r="AH127" s="8"/>
      <c r="AK127" cm="1">
        <f t="array" ref="AK127">_xlfn.IFS(B127="","",LEFT(G127,1)="L",1,LEFT(G127,1)="W",1,AND(LEFT(B127,1)="H",G127=""),0)</f>
        <v>1</v>
      </c>
      <c r="AS127" t="str">
        <f t="shared" si="16"/>
        <v/>
      </c>
      <c r="AT127" t="s">
        <v>115</v>
      </c>
      <c r="AU127" t="str">
        <f t="shared" si="17"/>
        <v>0</v>
      </c>
      <c r="AV127" s="8"/>
      <c r="AW127" s="8"/>
      <c r="AX127" s="8"/>
      <c r="AY127" s="8"/>
      <c r="BD127" t="str">
        <f t="shared" si="18"/>
        <v>0</v>
      </c>
      <c r="BK127" t="str">
        <f>IFERROR(VLOOKUP(B127,'[1]model_S-フレーム'!$F$5:$R$7000,13,1),"")</f>
        <v>E356750_01</v>
      </c>
      <c r="BL127" s="7">
        <f>IFERROR(VLOOKUP(B127,'[1]model_S-フレーム'!$F$5:$V$7000,17,1),"")</f>
        <v>0</v>
      </c>
      <c r="BM127" t="str" cm="1">
        <f t="array" ref="BM127">_xlfn.IFS(LEFT(G127,1)="L","外注品",LEFT(G127,1)="W","内製品",G127="","購買品")</f>
        <v>内製品</v>
      </c>
    </row>
    <row r="128" spans="1:65">
      <c r="A128" t="str">
        <f t="shared" si="10"/>
        <v>WG01</v>
      </c>
      <c r="B128" t="s">
        <v>243</v>
      </c>
      <c r="C128" t="s">
        <v>283</v>
      </c>
      <c r="D128" s="7"/>
      <c r="E128" s="7"/>
      <c r="G128" t="s">
        <v>1938</v>
      </c>
      <c r="H128" t="str" cm="1">
        <f t="array" ref="H128">IFERROR(_xlfn.IFS(B128="","",AND(B128="",G128=""),"",G128="","記載要"),"")</f>
        <v/>
      </c>
      <c r="K128" t="str">
        <f t="shared" si="11"/>
        <v>11WP00997513</v>
      </c>
      <c r="L128" s="3" t="str">
        <f t="shared" si="12"/>
        <v>2001/01/01</v>
      </c>
      <c r="M128" s="3" t="str">
        <f t="shared" si="13"/>
        <v>2199/12/31</v>
      </c>
      <c r="N128" t="str">
        <f t="shared" si="14"/>
        <v>11WP00997513</v>
      </c>
      <c r="O128">
        <v>5</v>
      </c>
      <c r="Q128" t="str" cm="1">
        <f t="array" ref="Q128">_xlfn.IFS(AND(C128="",G128=""),"",LEFT(G128,1)="L","記載要",LEFT(G128,1)="W","",AND(C128,G128=""),"記載要")</f>
        <v/>
      </c>
      <c r="R128" s="21" t="str">
        <f t="shared" si="19"/>
        <v/>
      </c>
      <c r="S128" s="21"/>
      <c r="AA128">
        <v>1</v>
      </c>
      <c r="AB128">
        <f t="shared" si="15"/>
        <v>0</v>
      </c>
      <c r="AC128">
        <v>1</v>
      </c>
      <c r="AF128">
        <v>1</v>
      </c>
      <c r="AG128" s="8"/>
      <c r="AH128" s="8"/>
      <c r="AK128" cm="1">
        <f t="array" ref="AK128">_xlfn.IFS(B128="","",LEFT(G128,1)="L",1,LEFT(G128,1)="W",1,AND(LEFT(B128,1)="H",G128=""),0)</f>
        <v>1</v>
      </c>
      <c r="AS128" t="str">
        <f t="shared" si="16"/>
        <v/>
      </c>
      <c r="AT128" t="s">
        <v>115</v>
      </c>
      <c r="AU128" t="str">
        <f t="shared" si="17"/>
        <v>0</v>
      </c>
      <c r="AV128" s="8"/>
      <c r="AW128" s="8"/>
      <c r="AX128" s="8"/>
      <c r="AY128" s="8"/>
      <c r="BD128" t="str">
        <f t="shared" si="18"/>
        <v>0</v>
      </c>
      <c r="BK128" t="str">
        <f>IFERROR(VLOOKUP(B128,'[1]model_S-フレーム'!$F$5:$R$7000,13,1),"")</f>
        <v>E356750_01</v>
      </c>
      <c r="BL128" s="7">
        <f>IFERROR(VLOOKUP(B128,'[1]model_S-フレーム'!$F$5:$V$7000,17,1),"")</f>
        <v>0</v>
      </c>
      <c r="BM128" t="str" cm="1">
        <f t="array" ref="BM128">_xlfn.IFS(LEFT(G128,1)="L","外注品",LEFT(G128,1)="W","内製品",G128="","購買品")</f>
        <v>内製品</v>
      </c>
    </row>
    <row r="129" spans="1:65">
      <c r="A129" t="str">
        <f t="shared" si="10"/>
        <v>WG01</v>
      </c>
      <c r="B129" t="s">
        <v>244</v>
      </c>
      <c r="C129" t="s">
        <v>283</v>
      </c>
      <c r="D129" s="7"/>
      <c r="E129" s="7"/>
      <c r="G129" t="s">
        <v>1938</v>
      </c>
      <c r="H129" t="str" cm="1">
        <f t="array" ref="H129">IFERROR(_xlfn.IFS(B129="","",AND(B129="",G129=""),"",G129="","記載要"),"")</f>
        <v/>
      </c>
      <c r="K129" t="str">
        <f t="shared" si="11"/>
        <v>11WP00997514</v>
      </c>
      <c r="L129" s="3" t="str">
        <f t="shared" si="12"/>
        <v>2001/01/01</v>
      </c>
      <c r="M129" s="3" t="str">
        <f t="shared" si="13"/>
        <v>2199/12/31</v>
      </c>
      <c r="N129" t="str">
        <f t="shared" si="14"/>
        <v>11WP00997514</v>
      </c>
      <c r="O129">
        <v>5</v>
      </c>
      <c r="Q129" t="str" cm="1">
        <f t="array" ref="Q129">_xlfn.IFS(AND(C129="",G129=""),"",LEFT(G129,1)="L","記載要",LEFT(G129,1)="W","",AND(C129,G129=""),"記載要")</f>
        <v/>
      </c>
      <c r="R129" s="21" t="str">
        <f t="shared" si="19"/>
        <v/>
      </c>
      <c r="S129" s="21"/>
      <c r="Z129" s="8"/>
      <c r="AA129">
        <v>1</v>
      </c>
      <c r="AB129">
        <f t="shared" si="15"/>
        <v>0</v>
      </c>
      <c r="AC129">
        <v>1</v>
      </c>
      <c r="AF129">
        <v>1</v>
      </c>
      <c r="AG129" s="8"/>
      <c r="AH129" s="8"/>
      <c r="AK129" cm="1">
        <f t="array" ref="AK129">_xlfn.IFS(B129="","",LEFT(G129,1)="L",1,LEFT(G129,1)="W",1,AND(LEFT(B129,1)="H",G129=""),0)</f>
        <v>1</v>
      </c>
      <c r="AS129" t="str">
        <f t="shared" si="16"/>
        <v/>
      </c>
      <c r="AT129" t="s">
        <v>115</v>
      </c>
      <c r="AU129" t="str">
        <f t="shared" si="17"/>
        <v>0</v>
      </c>
      <c r="AV129" s="8"/>
      <c r="AW129" s="8"/>
      <c r="BD129" t="str">
        <f t="shared" si="18"/>
        <v>0</v>
      </c>
      <c r="BK129" t="str">
        <f>IFERROR(VLOOKUP(B129,'[1]model_S-フレーム'!$F$5:$R$7000,13,1),"")</f>
        <v>E356750_01</v>
      </c>
      <c r="BL129" s="7">
        <f>IFERROR(VLOOKUP(B129,'[1]model_S-フレーム'!$F$5:$V$7000,17,1),"")</f>
        <v>0</v>
      </c>
      <c r="BM129" t="str" cm="1">
        <f t="array" ref="BM129">_xlfn.IFS(LEFT(G129,1)="L","外注品",LEFT(G129,1)="W","内製品",G129="","購買品")</f>
        <v>内製品</v>
      </c>
    </row>
    <row r="130" spans="1:65">
      <c r="A130" t="str">
        <f t="shared" si="10"/>
        <v>WG01</v>
      </c>
      <c r="B130" t="s">
        <v>245</v>
      </c>
      <c r="C130" t="s">
        <v>283</v>
      </c>
      <c r="D130" s="7"/>
      <c r="E130" s="7"/>
      <c r="G130" t="s">
        <v>1938</v>
      </c>
      <c r="H130" t="str" cm="1">
        <f t="array" ref="H130">IFERROR(_xlfn.IFS(B130="","",AND(B130="",G130=""),"",G130="","記載要"),"")</f>
        <v/>
      </c>
      <c r="K130" t="str">
        <f t="shared" si="11"/>
        <v>11WP00997515</v>
      </c>
      <c r="L130" s="3" t="str">
        <f t="shared" si="12"/>
        <v>2001/01/01</v>
      </c>
      <c r="M130" s="3" t="str">
        <f t="shared" si="13"/>
        <v>2199/12/31</v>
      </c>
      <c r="N130" t="str">
        <f t="shared" si="14"/>
        <v>11WP00997515</v>
      </c>
      <c r="O130">
        <v>5</v>
      </c>
      <c r="Q130" t="str" cm="1">
        <f t="array" ref="Q130">_xlfn.IFS(AND(C130="",G130=""),"",LEFT(G130,1)="L","記載要",LEFT(G130,1)="W","",AND(C130,G130=""),"記載要")</f>
        <v/>
      </c>
      <c r="R130" s="21" t="str">
        <f t="shared" si="19"/>
        <v/>
      </c>
      <c r="S130" s="21"/>
      <c r="Z130" s="8"/>
      <c r="AA130">
        <v>1</v>
      </c>
      <c r="AB130">
        <f t="shared" si="15"/>
        <v>0</v>
      </c>
      <c r="AC130">
        <v>1</v>
      </c>
      <c r="AF130">
        <v>1</v>
      </c>
      <c r="AG130" s="8"/>
      <c r="AH130" s="8"/>
      <c r="AK130" cm="1">
        <f t="array" ref="AK130">_xlfn.IFS(B130="","",LEFT(G130,1)="L",1,LEFT(G130,1)="W",1,AND(LEFT(B130,1)="H",G130=""),0)</f>
        <v>1</v>
      </c>
      <c r="AS130" t="str">
        <f t="shared" si="16"/>
        <v/>
      </c>
      <c r="AT130" t="s">
        <v>115</v>
      </c>
      <c r="AU130" t="str">
        <f t="shared" si="17"/>
        <v>0</v>
      </c>
      <c r="AV130" s="8"/>
      <c r="AW130" s="8"/>
      <c r="BD130" t="str">
        <f t="shared" si="18"/>
        <v>0</v>
      </c>
      <c r="BK130" t="str">
        <f>IFERROR(VLOOKUP(B130,'[1]model_S-フレーム'!$F$5:$R$7000,13,1),"")</f>
        <v>E356750_01</v>
      </c>
      <c r="BL130" s="7">
        <f>IFERROR(VLOOKUP(B130,'[1]model_S-フレーム'!$F$5:$V$7000,17,1),"")</f>
        <v>0</v>
      </c>
      <c r="BM130" t="str" cm="1">
        <f t="array" ref="BM130">_xlfn.IFS(LEFT(G130,1)="L","外注品",LEFT(G130,1)="W","内製品",G130="","購買品")</f>
        <v>内製品</v>
      </c>
    </row>
    <row r="131" spans="1:65">
      <c r="A131" t="str">
        <f t="shared" ref="A131:A194" si="20">IF(B131="","","WG01")</f>
        <v>WG01</v>
      </c>
      <c r="B131" t="s">
        <v>246</v>
      </c>
      <c r="C131" t="s">
        <v>283</v>
      </c>
      <c r="D131" s="7"/>
      <c r="E131" s="7"/>
      <c r="G131" t="s">
        <v>1938</v>
      </c>
      <c r="H131" t="str" cm="1">
        <f t="array" ref="H131">IFERROR(_xlfn.IFS(B131="","",AND(B131="",G131=""),"",G131="","記載要"),"")</f>
        <v/>
      </c>
      <c r="K131" t="str">
        <f t="shared" ref="K131:K194" si="21">IF(G131="","","11"&amp;G131&amp;RIGHT(B131,5))</f>
        <v>11WP00997516</v>
      </c>
      <c r="L131" s="3" t="str">
        <f t="shared" ref="L131:L194" si="22">IF(B131="","","2001/01/01")</f>
        <v>2001/01/01</v>
      </c>
      <c r="M131" s="3" t="str">
        <f t="shared" ref="M131:M194" si="23">IF(C131="","","2199/12/31")</f>
        <v>2199/12/31</v>
      </c>
      <c r="N131" t="str">
        <f t="shared" ref="N131:N194" si="24">IF(LEFT(G131,1)="W",K131,"")</f>
        <v>11WP00997516</v>
      </c>
      <c r="O131">
        <v>5</v>
      </c>
      <c r="Q131" t="str" cm="1">
        <f t="array" ref="Q131">_xlfn.IFS(AND(C131="",G131=""),"",LEFT(G131,1)="L","記載要",LEFT(G131,1)="W","",AND(C131,G131=""),"記載要")</f>
        <v/>
      </c>
      <c r="R131" s="21" t="str">
        <f t="shared" si="19"/>
        <v/>
      </c>
      <c r="S131" s="21"/>
      <c r="V131" s="8"/>
      <c r="W131" s="8"/>
      <c r="Z131" s="8"/>
      <c r="AA131">
        <v>1</v>
      </c>
      <c r="AB131">
        <f t="shared" ref="AB131:AB194" si="25">IF(B131="","",0)</f>
        <v>0</v>
      </c>
      <c r="AC131">
        <v>1</v>
      </c>
      <c r="AF131">
        <v>1</v>
      </c>
      <c r="AG131" s="8"/>
      <c r="AH131" s="8"/>
      <c r="AK131" cm="1">
        <f t="array" ref="AK131">_xlfn.IFS(B131="","",LEFT(G131,1)="L",1,LEFT(G131,1)="W",1,AND(LEFT(B131,1)="H",G131=""),0)</f>
        <v>1</v>
      </c>
      <c r="AS131" t="str">
        <f t="shared" ref="AS131:AS194" si="26">IF(Q131="","",1)</f>
        <v/>
      </c>
      <c r="AT131" t="s">
        <v>115</v>
      </c>
      <c r="AU131" t="str">
        <f t="shared" ref="AU131:AU194" si="27">IF(B131="","","0")</f>
        <v>0</v>
      </c>
      <c r="BD131" t="str">
        <f t="shared" ref="BD131:BD194" si="28">IF(B131="","","0")</f>
        <v>0</v>
      </c>
      <c r="BK131" t="str">
        <f>IFERROR(VLOOKUP(B131,'[1]model_S-フレーム'!$F$5:$R$7000,13,1),"")</f>
        <v>E356750_01</v>
      </c>
      <c r="BL131" s="7">
        <f>IFERROR(VLOOKUP(B131,'[1]model_S-フレーム'!$F$5:$V$7000,17,1),"")</f>
        <v>0</v>
      </c>
      <c r="BM131" t="str" cm="1">
        <f t="array" ref="BM131">_xlfn.IFS(LEFT(G131,1)="L","外注品",LEFT(G131,1)="W","内製品",G131="","購買品")</f>
        <v>内製品</v>
      </c>
    </row>
    <row r="132" spans="1:65">
      <c r="A132" t="str">
        <f t="shared" si="20"/>
        <v>WG01</v>
      </c>
      <c r="B132" t="s">
        <v>247</v>
      </c>
      <c r="C132" t="s">
        <v>283</v>
      </c>
      <c r="D132" s="7"/>
      <c r="E132" s="7"/>
      <c r="G132" t="s">
        <v>1938</v>
      </c>
      <c r="H132" t="str" cm="1">
        <f t="array" ref="H132">IFERROR(_xlfn.IFS(B132="","",AND(B132="",G132=""),"",G132="","記載要"),"")</f>
        <v/>
      </c>
      <c r="K132" t="str">
        <f t="shared" si="21"/>
        <v>11WP00997517</v>
      </c>
      <c r="L132" s="3" t="str">
        <f t="shared" si="22"/>
        <v>2001/01/01</v>
      </c>
      <c r="M132" s="3" t="str">
        <f t="shared" si="23"/>
        <v>2199/12/31</v>
      </c>
      <c r="N132" t="str">
        <f t="shared" si="24"/>
        <v>11WP00997517</v>
      </c>
      <c r="O132">
        <v>5</v>
      </c>
      <c r="Q132" t="str" cm="1">
        <f t="array" ref="Q132">_xlfn.IFS(AND(C132="",G132=""),"",LEFT(G132,1)="L","記載要",LEFT(G132,1)="W","",AND(C132,G132=""),"記載要")</f>
        <v/>
      </c>
      <c r="R132" s="21" t="str">
        <f t="shared" ref="R132:R195" si="29">IF(H132="","","記載要")</f>
        <v/>
      </c>
      <c r="S132" s="21"/>
      <c r="AA132">
        <v>1</v>
      </c>
      <c r="AB132">
        <f t="shared" si="25"/>
        <v>0</v>
      </c>
      <c r="AC132">
        <v>1</v>
      </c>
      <c r="AF132">
        <v>1</v>
      </c>
      <c r="AG132" s="8"/>
      <c r="AH132" s="8"/>
      <c r="AK132" cm="1">
        <f t="array" ref="AK132">_xlfn.IFS(B132="","",LEFT(G132,1)="L",1,LEFT(G132,1)="W",1,AND(LEFT(B132,1)="H",G132=""),0)</f>
        <v>1</v>
      </c>
      <c r="AS132" t="str">
        <f t="shared" si="26"/>
        <v/>
      </c>
      <c r="AT132" t="s">
        <v>115</v>
      </c>
      <c r="AU132" t="str">
        <f t="shared" si="27"/>
        <v>0</v>
      </c>
      <c r="AV132" s="8"/>
      <c r="AW132" s="8"/>
      <c r="AX132" s="8"/>
      <c r="AY132" s="8"/>
      <c r="BD132" t="str">
        <f t="shared" si="28"/>
        <v>0</v>
      </c>
      <c r="BK132" t="str">
        <f>IFERROR(VLOOKUP(B132,'[1]model_S-フレーム'!$F$5:$R$7000,13,1),"")</f>
        <v>E356750_01</v>
      </c>
      <c r="BL132" s="7">
        <f>IFERROR(VLOOKUP(B132,'[1]model_S-フレーム'!$F$5:$V$7000,17,1),"")</f>
        <v>0</v>
      </c>
      <c r="BM132" t="str" cm="1">
        <f t="array" ref="BM132">_xlfn.IFS(LEFT(G132,1)="L","外注品",LEFT(G132,1)="W","内製品",G132="","購買品")</f>
        <v>内製品</v>
      </c>
    </row>
    <row r="133" spans="1:65">
      <c r="A133" t="str">
        <f t="shared" si="20"/>
        <v>WG01</v>
      </c>
      <c r="B133" t="s">
        <v>248</v>
      </c>
      <c r="C133" t="s">
        <v>283</v>
      </c>
      <c r="D133" s="7"/>
      <c r="E133" s="7"/>
      <c r="G133" t="s">
        <v>1938</v>
      </c>
      <c r="H133" t="str" cm="1">
        <f t="array" ref="H133">IFERROR(_xlfn.IFS(B133="","",AND(B133="",G133=""),"",G133="","記載要"),"")</f>
        <v/>
      </c>
      <c r="K133" t="str">
        <f t="shared" si="21"/>
        <v>11WP00997518</v>
      </c>
      <c r="L133" s="3" t="str">
        <f t="shared" si="22"/>
        <v>2001/01/01</v>
      </c>
      <c r="M133" s="3" t="str">
        <f t="shared" si="23"/>
        <v>2199/12/31</v>
      </c>
      <c r="N133" t="str">
        <f t="shared" si="24"/>
        <v>11WP00997518</v>
      </c>
      <c r="O133">
        <v>5</v>
      </c>
      <c r="Q133" t="str" cm="1">
        <f t="array" ref="Q133">_xlfn.IFS(AND(C133="",G133=""),"",LEFT(G133,1)="L","記載要",LEFT(G133,1)="W","",AND(C133,G133=""),"記載要")</f>
        <v/>
      </c>
      <c r="R133" s="21" t="str">
        <f t="shared" si="29"/>
        <v/>
      </c>
      <c r="S133" s="21"/>
      <c r="V133" s="8"/>
      <c r="AA133">
        <v>1</v>
      </c>
      <c r="AB133">
        <f t="shared" si="25"/>
        <v>0</v>
      </c>
      <c r="AC133">
        <v>1</v>
      </c>
      <c r="AF133">
        <v>1</v>
      </c>
      <c r="AG133" s="8"/>
      <c r="AH133" s="8"/>
      <c r="AK133" cm="1">
        <f t="array" ref="AK133">_xlfn.IFS(B133="","",LEFT(G133,1)="L",1,LEFT(G133,1)="W",1,AND(LEFT(B133,1)="H",G133=""),0)</f>
        <v>1</v>
      </c>
      <c r="AS133" t="str">
        <f t="shared" si="26"/>
        <v/>
      </c>
      <c r="AT133" t="s">
        <v>115</v>
      </c>
      <c r="AU133" t="str">
        <f t="shared" si="27"/>
        <v>0</v>
      </c>
      <c r="AV133" s="8"/>
      <c r="AW133" s="8"/>
      <c r="AX133" s="8"/>
      <c r="AY133" s="8"/>
      <c r="BD133" t="str">
        <f t="shared" si="28"/>
        <v>0</v>
      </c>
      <c r="BK133" t="str">
        <f>IFERROR(VLOOKUP(B133,'[1]model_S-フレーム'!$F$5:$R$7000,13,1),"")</f>
        <v>E356750_01</v>
      </c>
      <c r="BL133" s="7">
        <f>IFERROR(VLOOKUP(B133,'[1]model_S-フレーム'!$F$5:$V$7000,17,1),"")</f>
        <v>0</v>
      </c>
      <c r="BM133" t="str" cm="1">
        <f t="array" ref="BM133">_xlfn.IFS(LEFT(G133,1)="L","外注品",LEFT(G133,1)="W","内製品",G133="","購買品")</f>
        <v>内製品</v>
      </c>
    </row>
    <row r="134" spans="1:65">
      <c r="A134" t="str">
        <f t="shared" si="20"/>
        <v>WG01</v>
      </c>
      <c r="B134" t="s">
        <v>249</v>
      </c>
      <c r="C134" t="s">
        <v>283</v>
      </c>
      <c r="D134" s="7"/>
      <c r="E134" s="7"/>
      <c r="G134" t="s">
        <v>1938</v>
      </c>
      <c r="H134" t="str" cm="1">
        <f t="array" ref="H134">IFERROR(_xlfn.IFS(B134="","",AND(B134="",G134=""),"",G134="","記載要"),"")</f>
        <v/>
      </c>
      <c r="K134" t="str">
        <f t="shared" si="21"/>
        <v>11WP00997519</v>
      </c>
      <c r="L134" s="3" t="str">
        <f t="shared" si="22"/>
        <v>2001/01/01</v>
      </c>
      <c r="M134" s="3" t="str">
        <f t="shared" si="23"/>
        <v>2199/12/31</v>
      </c>
      <c r="N134" t="str">
        <f t="shared" si="24"/>
        <v>11WP00997519</v>
      </c>
      <c r="O134">
        <v>5</v>
      </c>
      <c r="Q134" t="str" cm="1">
        <f t="array" ref="Q134">_xlfn.IFS(AND(C134="",G134=""),"",LEFT(G134,1)="L","記載要",LEFT(G134,1)="W","",AND(C134,G134=""),"記載要")</f>
        <v/>
      </c>
      <c r="R134" s="21" t="str">
        <f t="shared" si="29"/>
        <v/>
      </c>
      <c r="S134" s="21"/>
      <c r="V134" s="8"/>
      <c r="AA134">
        <v>1</v>
      </c>
      <c r="AB134">
        <f t="shared" si="25"/>
        <v>0</v>
      </c>
      <c r="AC134">
        <v>1</v>
      </c>
      <c r="AF134">
        <v>1</v>
      </c>
      <c r="AG134" s="8"/>
      <c r="AH134" s="8"/>
      <c r="AK134" cm="1">
        <f t="array" ref="AK134">_xlfn.IFS(B134="","",LEFT(G134,1)="L",1,LEFT(G134,1)="W",1,AND(LEFT(B134,1)="H",G134=""),0)</f>
        <v>1</v>
      </c>
      <c r="AS134" t="str">
        <f t="shared" si="26"/>
        <v/>
      </c>
      <c r="AT134" t="s">
        <v>115</v>
      </c>
      <c r="AU134" t="str">
        <f t="shared" si="27"/>
        <v>0</v>
      </c>
      <c r="AV134" s="8"/>
      <c r="AW134" s="8"/>
      <c r="AX134" s="8"/>
      <c r="AY134" s="8"/>
      <c r="BD134" t="str">
        <f t="shared" si="28"/>
        <v>0</v>
      </c>
      <c r="BK134" t="str">
        <f>IFERROR(VLOOKUP(B134,'[1]model_S-フレーム'!$F$5:$R$7000,13,1),"")</f>
        <v>E356750_01</v>
      </c>
      <c r="BL134" s="7">
        <f>IFERROR(VLOOKUP(B134,'[1]model_S-フレーム'!$F$5:$V$7000,17,1),"")</f>
        <v>0</v>
      </c>
      <c r="BM134" t="str" cm="1">
        <f t="array" ref="BM134">_xlfn.IFS(LEFT(G134,1)="L","外注品",LEFT(G134,1)="W","内製品",G134="","購買品")</f>
        <v>内製品</v>
      </c>
    </row>
    <row r="135" spans="1:65">
      <c r="A135" t="str">
        <f t="shared" si="20"/>
        <v>WG01</v>
      </c>
      <c r="B135" t="s">
        <v>250</v>
      </c>
      <c r="C135" t="s">
        <v>284</v>
      </c>
      <c r="D135" s="7"/>
      <c r="E135" s="7"/>
      <c r="G135" t="s">
        <v>1938</v>
      </c>
      <c r="H135" t="str" cm="1">
        <f t="array" ref="H135">IFERROR(_xlfn.IFS(B135="","",AND(B135="",G135=""),"",G135="","記載要"),"")</f>
        <v/>
      </c>
      <c r="K135" t="str">
        <f t="shared" si="21"/>
        <v>11WP00997520</v>
      </c>
      <c r="L135" s="3" t="str">
        <f t="shared" si="22"/>
        <v>2001/01/01</v>
      </c>
      <c r="M135" s="3" t="str">
        <f t="shared" si="23"/>
        <v>2199/12/31</v>
      </c>
      <c r="N135" t="str">
        <f t="shared" si="24"/>
        <v>11WP00997520</v>
      </c>
      <c r="O135">
        <v>5</v>
      </c>
      <c r="Q135" t="str" cm="1">
        <f t="array" ref="Q135">_xlfn.IFS(AND(C135="",G135=""),"",LEFT(G135,1)="L","記載要",LEFT(G135,1)="W","",AND(C135,G135=""),"記載要")</f>
        <v/>
      </c>
      <c r="R135" s="21" t="str">
        <f t="shared" si="29"/>
        <v/>
      </c>
      <c r="S135" s="21"/>
      <c r="Z135" s="8"/>
      <c r="AA135">
        <v>1</v>
      </c>
      <c r="AB135">
        <f t="shared" si="25"/>
        <v>0</v>
      </c>
      <c r="AC135">
        <v>1</v>
      </c>
      <c r="AF135">
        <v>1</v>
      </c>
      <c r="AG135" s="8"/>
      <c r="AH135" s="8"/>
      <c r="AK135" cm="1">
        <f t="array" ref="AK135">_xlfn.IFS(B135="","",LEFT(G135,1)="L",1,LEFT(G135,1)="W",1,AND(LEFT(B135,1)="H",G135=""),0)</f>
        <v>1</v>
      </c>
      <c r="AS135" t="str">
        <f t="shared" si="26"/>
        <v/>
      </c>
      <c r="AT135" t="s">
        <v>115</v>
      </c>
      <c r="AU135" t="str">
        <f t="shared" si="27"/>
        <v>0</v>
      </c>
      <c r="AV135" s="8"/>
      <c r="AW135" s="8"/>
      <c r="BD135" t="str">
        <f t="shared" si="28"/>
        <v>0</v>
      </c>
      <c r="BK135" t="str">
        <f>IFERROR(VLOOKUP(B135,'[1]model_S-フレーム'!$F$5:$R$7000,13,1),"")</f>
        <v>E356750_01</v>
      </c>
      <c r="BL135" s="7">
        <f>IFERROR(VLOOKUP(B135,'[1]model_S-フレーム'!$F$5:$V$7000,17,1),"")</f>
        <v>0</v>
      </c>
      <c r="BM135" t="str" cm="1">
        <f t="array" ref="BM135">_xlfn.IFS(LEFT(G135,1)="L","外注品",LEFT(G135,1)="W","内製品",G135="","購買品")</f>
        <v>内製品</v>
      </c>
    </row>
    <row r="136" spans="1:65">
      <c r="A136" t="str">
        <f t="shared" si="20"/>
        <v>WG01</v>
      </c>
      <c r="B136" t="s">
        <v>251</v>
      </c>
      <c r="C136" t="s">
        <v>284</v>
      </c>
      <c r="D136" s="7"/>
      <c r="E136" s="7"/>
      <c r="G136" t="s">
        <v>1938</v>
      </c>
      <c r="H136" t="str" cm="1">
        <f t="array" ref="H136">IFERROR(_xlfn.IFS(B136="","",AND(B136="",G136=""),"",G136="","記載要"),"")</f>
        <v/>
      </c>
      <c r="K136" t="str">
        <f t="shared" si="21"/>
        <v>11WP00997521</v>
      </c>
      <c r="L136" s="3" t="str">
        <f t="shared" si="22"/>
        <v>2001/01/01</v>
      </c>
      <c r="M136" s="3" t="str">
        <f t="shared" si="23"/>
        <v>2199/12/31</v>
      </c>
      <c r="N136" t="str">
        <f t="shared" si="24"/>
        <v>11WP00997521</v>
      </c>
      <c r="O136">
        <v>5</v>
      </c>
      <c r="Q136" t="str" cm="1">
        <f t="array" ref="Q136">_xlfn.IFS(AND(C136="",G136=""),"",LEFT(G136,1)="L","記載要",LEFT(G136,1)="W","",AND(C136,G136=""),"記載要")</f>
        <v/>
      </c>
      <c r="R136" s="21" t="str">
        <f t="shared" si="29"/>
        <v/>
      </c>
      <c r="S136" s="21"/>
      <c r="Z136" s="8"/>
      <c r="AA136">
        <v>1</v>
      </c>
      <c r="AB136">
        <f t="shared" si="25"/>
        <v>0</v>
      </c>
      <c r="AC136">
        <v>1</v>
      </c>
      <c r="AF136">
        <v>1</v>
      </c>
      <c r="AG136" s="8"/>
      <c r="AH136" s="8"/>
      <c r="AK136" cm="1">
        <f t="array" ref="AK136">_xlfn.IFS(B136="","",LEFT(G136,1)="L",1,LEFT(G136,1)="W",1,AND(LEFT(B136,1)="H",G136=""),0)</f>
        <v>1</v>
      </c>
      <c r="AS136" t="str">
        <f t="shared" si="26"/>
        <v/>
      </c>
      <c r="AT136" t="s">
        <v>115</v>
      </c>
      <c r="AU136" t="str">
        <f t="shared" si="27"/>
        <v>0</v>
      </c>
      <c r="AV136" s="8"/>
      <c r="AW136" s="8"/>
      <c r="BD136" t="str">
        <f t="shared" si="28"/>
        <v>0</v>
      </c>
      <c r="BK136" t="str">
        <f>IFERROR(VLOOKUP(B136,'[1]model_S-フレーム'!$F$5:$R$7000,13,1),"")</f>
        <v>E356750_01</v>
      </c>
      <c r="BL136" s="7">
        <f>IFERROR(VLOOKUP(B136,'[1]model_S-フレーム'!$F$5:$V$7000,17,1),"")</f>
        <v>0</v>
      </c>
      <c r="BM136" t="str" cm="1">
        <f t="array" ref="BM136">_xlfn.IFS(LEFT(G136,1)="L","外注品",LEFT(G136,1)="W","内製品",G136="","購買品")</f>
        <v>内製品</v>
      </c>
    </row>
    <row r="137" spans="1:65">
      <c r="A137" t="str">
        <f t="shared" si="20"/>
        <v>WG01</v>
      </c>
      <c r="B137" t="s">
        <v>252</v>
      </c>
      <c r="C137" t="s">
        <v>284</v>
      </c>
      <c r="D137" s="7"/>
      <c r="E137" s="7"/>
      <c r="G137" t="s">
        <v>1938</v>
      </c>
      <c r="H137" t="str" cm="1">
        <f t="array" ref="H137">IFERROR(_xlfn.IFS(B137="","",AND(B137="",G137=""),"",G137="","記載要"),"")</f>
        <v/>
      </c>
      <c r="K137" t="str">
        <f t="shared" si="21"/>
        <v>11WP00997522</v>
      </c>
      <c r="L137" s="3" t="str">
        <f t="shared" si="22"/>
        <v>2001/01/01</v>
      </c>
      <c r="M137" s="3" t="str">
        <f t="shared" si="23"/>
        <v>2199/12/31</v>
      </c>
      <c r="N137" t="str">
        <f t="shared" si="24"/>
        <v>11WP00997522</v>
      </c>
      <c r="O137">
        <v>5</v>
      </c>
      <c r="Q137" t="str" cm="1">
        <f t="array" ref="Q137">_xlfn.IFS(AND(C137="",G137=""),"",LEFT(G137,1)="L","記載要",LEFT(G137,1)="W","",AND(C137,G137=""),"記載要")</f>
        <v/>
      </c>
      <c r="R137" s="21" t="str">
        <f t="shared" si="29"/>
        <v/>
      </c>
      <c r="S137" s="21"/>
      <c r="V137" s="8"/>
      <c r="AA137">
        <v>1</v>
      </c>
      <c r="AB137">
        <f t="shared" si="25"/>
        <v>0</v>
      </c>
      <c r="AC137">
        <v>1</v>
      </c>
      <c r="AF137">
        <v>1</v>
      </c>
      <c r="AG137" s="8"/>
      <c r="AH137" s="8"/>
      <c r="AK137" cm="1">
        <f t="array" ref="AK137">_xlfn.IFS(B137="","",LEFT(G137,1)="L",1,LEFT(G137,1)="W",1,AND(LEFT(B137,1)="H",G137=""),0)</f>
        <v>1</v>
      </c>
      <c r="AS137" t="str">
        <f t="shared" si="26"/>
        <v/>
      </c>
      <c r="AT137" t="s">
        <v>115</v>
      </c>
      <c r="AU137" t="str">
        <f t="shared" si="27"/>
        <v>0</v>
      </c>
      <c r="AV137" s="8"/>
      <c r="AW137" s="8"/>
      <c r="AX137" s="8"/>
      <c r="AY137" s="8"/>
      <c r="BD137" t="str">
        <f t="shared" si="28"/>
        <v>0</v>
      </c>
      <c r="BK137" t="str">
        <f>IFERROR(VLOOKUP(B137,'[1]model_S-フレーム'!$F$5:$R$7000,13,1),"")</f>
        <v>E356750_01</v>
      </c>
      <c r="BL137" s="7">
        <f>IFERROR(VLOOKUP(B137,'[1]model_S-フレーム'!$F$5:$V$7000,17,1),"")</f>
        <v>0</v>
      </c>
      <c r="BM137" t="str" cm="1">
        <f t="array" ref="BM137">_xlfn.IFS(LEFT(G137,1)="L","外注品",LEFT(G137,1)="W","内製品",G137="","購買品")</f>
        <v>内製品</v>
      </c>
    </row>
    <row r="138" spans="1:65">
      <c r="A138" t="str">
        <f t="shared" si="20"/>
        <v>WG01</v>
      </c>
      <c r="B138" t="s">
        <v>253</v>
      </c>
      <c r="C138" t="s">
        <v>284</v>
      </c>
      <c r="D138" s="7"/>
      <c r="E138" s="7"/>
      <c r="G138" t="s">
        <v>1938</v>
      </c>
      <c r="H138" t="str" cm="1">
        <f t="array" ref="H138">IFERROR(_xlfn.IFS(B138="","",AND(B138="",G138=""),"",G138="","記載要"),"")</f>
        <v/>
      </c>
      <c r="K138" t="str">
        <f t="shared" si="21"/>
        <v>11WP00997523</v>
      </c>
      <c r="L138" s="3" t="str">
        <f t="shared" si="22"/>
        <v>2001/01/01</v>
      </c>
      <c r="M138" s="3" t="str">
        <f t="shared" si="23"/>
        <v>2199/12/31</v>
      </c>
      <c r="N138" t="str">
        <f t="shared" si="24"/>
        <v>11WP00997523</v>
      </c>
      <c r="O138">
        <v>5</v>
      </c>
      <c r="Q138" t="str" cm="1">
        <f t="array" ref="Q138">_xlfn.IFS(AND(C138="",G138=""),"",LEFT(G138,1)="L","記載要",LEFT(G138,1)="W","",AND(C138,G138=""),"記載要")</f>
        <v/>
      </c>
      <c r="R138" s="21" t="str">
        <f t="shared" si="29"/>
        <v/>
      </c>
      <c r="S138" s="21"/>
      <c r="AA138">
        <v>1</v>
      </c>
      <c r="AB138">
        <f t="shared" si="25"/>
        <v>0</v>
      </c>
      <c r="AC138">
        <v>1</v>
      </c>
      <c r="AF138">
        <v>1</v>
      </c>
      <c r="AG138" s="8"/>
      <c r="AH138" s="8"/>
      <c r="AK138" cm="1">
        <f t="array" ref="AK138">_xlfn.IFS(B138="","",LEFT(G138,1)="L",1,LEFT(G138,1)="W",1,AND(LEFT(B138,1)="H",G138=""),0)</f>
        <v>1</v>
      </c>
      <c r="AS138" t="str">
        <f t="shared" si="26"/>
        <v/>
      </c>
      <c r="AT138" t="s">
        <v>115</v>
      </c>
      <c r="AU138" t="str">
        <f t="shared" si="27"/>
        <v>0</v>
      </c>
      <c r="AV138" s="8"/>
      <c r="AW138" s="8"/>
      <c r="AX138" s="8"/>
      <c r="AY138" s="8"/>
      <c r="BD138" t="str">
        <f t="shared" si="28"/>
        <v>0</v>
      </c>
      <c r="BK138" t="str">
        <f>IFERROR(VLOOKUP(B138,'[1]model_S-フレーム'!$F$5:$R$7000,13,1),"")</f>
        <v>E356750_01</v>
      </c>
      <c r="BL138" s="7">
        <f>IFERROR(VLOOKUP(B138,'[1]model_S-フレーム'!$F$5:$V$7000,17,1),"")</f>
        <v>0</v>
      </c>
      <c r="BM138" t="str" cm="1">
        <f t="array" ref="BM138">_xlfn.IFS(LEFT(G138,1)="L","外注品",LEFT(G138,1)="W","内製品",G138="","購買品")</f>
        <v>内製品</v>
      </c>
    </row>
    <row r="139" spans="1:65">
      <c r="A139" t="str">
        <f t="shared" si="20"/>
        <v>WG01</v>
      </c>
      <c r="B139" t="s">
        <v>254</v>
      </c>
      <c r="C139" t="s">
        <v>285</v>
      </c>
      <c r="D139" s="7"/>
      <c r="E139" s="7"/>
      <c r="G139" t="s">
        <v>1938</v>
      </c>
      <c r="H139" t="str" cm="1">
        <f t="array" ref="H139">IFERROR(_xlfn.IFS(B139="","",AND(B139="",G139=""),"",G139="","記載要"),"")</f>
        <v/>
      </c>
      <c r="K139" t="str">
        <f t="shared" si="21"/>
        <v>11WP00997524</v>
      </c>
      <c r="L139" s="3" t="str">
        <f t="shared" si="22"/>
        <v>2001/01/01</v>
      </c>
      <c r="M139" s="3" t="str">
        <f t="shared" si="23"/>
        <v>2199/12/31</v>
      </c>
      <c r="N139" t="str">
        <f t="shared" si="24"/>
        <v>11WP00997524</v>
      </c>
      <c r="O139">
        <v>5</v>
      </c>
      <c r="Q139" t="str" cm="1">
        <f t="array" ref="Q139">_xlfn.IFS(AND(C139="",G139=""),"",LEFT(G139,1)="L","記載要",LEFT(G139,1)="W","",AND(C139,G139=""),"記載要")</f>
        <v/>
      </c>
      <c r="R139" s="21" t="str">
        <f t="shared" si="29"/>
        <v/>
      </c>
      <c r="S139" s="21"/>
      <c r="AA139">
        <v>1</v>
      </c>
      <c r="AB139">
        <f t="shared" si="25"/>
        <v>0</v>
      </c>
      <c r="AC139">
        <v>1</v>
      </c>
      <c r="AF139">
        <v>1</v>
      </c>
      <c r="AG139" s="8"/>
      <c r="AH139" s="8"/>
      <c r="AK139" cm="1">
        <f t="array" ref="AK139">_xlfn.IFS(B139="","",LEFT(G139,1)="L",1,LEFT(G139,1)="W",1,AND(LEFT(B139,1)="H",G139=""),0)</f>
        <v>1</v>
      </c>
      <c r="AS139" t="str">
        <f t="shared" si="26"/>
        <v/>
      </c>
      <c r="AT139" t="s">
        <v>115</v>
      </c>
      <c r="AU139" t="str">
        <f t="shared" si="27"/>
        <v>0</v>
      </c>
      <c r="AV139" s="8"/>
      <c r="AW139" s="8"/>
      <c r="AX139" s="8"/>
      <c r="AY139" s="8"/>
      <c r="BD139" t="str">
        <f t="shared" si="28"/>
        <v>0</v>
      </c>
      <c r="BK139" t="str">
        <f>IFERROR(VLOOKUP(B139,'[1]model_S-フレーム'!$F$5:$R$7000,13,1),"")</f>
        <v>E356750_01</v>
      </c>
      <c r="BL139" s="7">
        <f>IFERROR(VLOOKUP(B139,'[1]model_S-フレーム'!$F$5:$V$7000,17,1),"")</f>
        <v>0</v>
      </c>
      <c r="BM139" t="str" cm="1">
        <f t="array" ref="BM139">_xlfn.IFS(LEFT(G139,1)="L","外注品",LEFT(G139,1)="W","内製品",G139="","購買品")</f>
        <v>内製品</v>
      </c>
    </row>
    <row r="140" spans="1:65">
      <c r="A140" t="str">
        <f t="shared" si="20"/>
        <v>WG01</v>
      </c>
      <c r="B140" t="s">
        <v>255</v>
      </c>
      <c r="C140" t="s">
        <v>285</v>
      </c>
      <c r="D140" s="7"/>
      <c r="E140" s="7"/>
      <c r="G140" t="s">
        <v>1938</v>
      </c>
      <c r="H140" t="str" cm="1">
        <f t="array" ref="H140">IFERROR(_xlfn.IFS(B140="","",AND(B140="",G140=""),"",G140="","記載要"),"")</f>
        <v/>
      </c>
      <c r="K140" t="str">
        <f t="shared" si="21"/>
        <v>11WP00997525</v>
      </c>
      <c r="L140" s="3" t="str">
        <f t="shared" si="22"/>
        <v>2001/01/01</v>
      </c>
      <c r="M140" s="3" t="str">
        <f t="shared" si="23"/>
        <v>2199/12/31</v>
      </c>
      <c r="N140" t="str">
        <f t="shared" si="24"/>
        <v>11WP00997525</v>
      </c>
      <c r="O140">
        <v>5</v>
      </c>
      <c r="Q140" t="str" cm="1">
        <f t="array" ref="Q140">_xlfn.IFS(AND(C140="",G140=""),"",LEFT(G140,1)="L","記載要",LEFT(G140,1)="W","",AND(C140,G140=""),"記載要")</f>
        <v/>
      </c>
      <c r="R140" s="21" t="str">
        <f t="shared" si="29"/>
        <v/>
      </c>
      <c r="S140" s="21"/>
      <c r="V140" s="8"/>
      <c r="Z140" s="8"/>
      <c r="AA140">
        <v>1</v>
      </c>
      <c r="AB140">
        <f t="shared" si="25"/>
        <v>0</v>
      </c>
      <c r="AC140">
        <v>1</v>
      </c>
      <c r="AF140">
        <v>1</v>
      </c>
      <c r="AG140" s="8"/>
      <c r="AH140" s="8"/>
      <c r="AK140" cm="1">
        <f t="array" ref="AK140">_xlfn.IFS(B140="","",LEFT(G140,1)="L",1,LEFT(G140,1)="W",1,AND(LEFT(B140,1)="H",G140=""),0)</f>
        <v>1</v>
      </c>
      <c r="AS140" t="str">
        <f t="shared" si="26"/>
        <v/>
      </c>
      <c r="AT140" t="s">
        <v>115</v>
      </c>
      <c r="AU140" t="str">
        <f t="shared" si="27"/>
        <v>0</v>
      </c>
      <c r="AV140" s="8"/>
      <c r="AW140" s="8"/>
      <c r="AX140" s="8"/>
      <c r="AY140" s="8"/>
      <c r="BD140" t="str">
        <f t="shared" si="28"/>
        <v>0</v>
      </c>
      <c r="BK140" t="str">
        <f>IFERROR(VLOOKUP(B140,'[1]model_S-フレーム'!$F$5:$R$7000,13,1),"")</f>
        <v>E356750_01</v>
      </c>
      <c r="BL140" s="7">
        <f>IFERROR(VLOOKUP(B140,'[1]model_S-フレーム'!$F$5:$V$7000,17,1),"")</f>
        <v>0</v>
      </c>
      <c r="BM140" t="str" cm="1">
        <f t="array" ref="BM140">_xlfn.IFS(LEFT(G140,1)="L","外注品",LEFT(G140,1)="W","内製品",G140="","購買品")</f>
        <v>内製品</v>
      </c>
    </row>
    <row r="141" spans="1:65">
      <c r="A141" t="str">
        <f t="shared" si="20"/>
        <v>WG01</v>
      </c>
      <c r="B141" t="s">
        <v>256</v>
      </c>
      <c r="C141" t="s">
        <v>285</v>
      </c>
      <c r="D141" s="7"/>
      <c r="E141" s="7"/>
      <c r="G141" t="s">
        <v>1938</v>
      </c>
      <c r="H141" t="str" cm="1">
        <f t="array" ref="H141">IFERROR(_xlfn.IFS(B141="","",AND(B141="",G141=""),"",G141="","記載要"),"")</f>
        <v/>
      </c>
      <c r="K141" t="str">
        <f t="shared" si="21"/>
        <v>11WP00997526</v>
      </c>
      <c r="L141" s="3" t="str">
        <f t="shared" si="22"/>
        <v>2001/01/01</v>
      </c>
      <c r="M141" s="3" t="str">
        <f t="shared" si="23"/>
        <v>2199/12/31</v>
      </c>
      <c r="N141" t="str">
        <f t="shared" si="24"/>
        <v>11WP00997526</v>
      </c>
      <c r="O141">
        <v>5</v>
      </c>
      <c r="Q141" t="str" cm="1">
        <f t="array" ref="Q141">_xlfn.IFS(AND(C141="",G141=""),"",LEFT(G141,1)="L","記載要",LEFT(G141,1)="W","",AND(C141,G141=""),"記載要")</f>
        <v/>
      </c>
      <c r="R141" s="21" t="str">
        <f t="shared" si="29"/>
        <v/>
      </c>
      <c r="S141" s="21"/>
      <c r="Z141" s="8"/>
      <c r="AA141">
        <v>1</v>
      </c>
      <c r="AB141">
        <f t="shared" si="25"/>
        <v>0</v>
      </c>
      <c r="AC141">
        <v>1</v>
      </c>
      <c r="AF141">
        <v>1</v>
      </c>
      <c r="AG141" s="8"/>
      <c r="AH141" s="8"/>
      <c r="AK141" cm="1">
        <f t="array" ref="AK141">_xlfn.IFS(B141="","",LEFT(G141,1)="L",1,LEFT(G141,1)="W",1,AND(LEFT(B141,1)="H",G141=""),0)</f>
        <v>1</v>
      </c>
      <c r="AS141" t="str">
        <f t="shared" si="26"/>
        <v/>
      </c>
      <c r="AT141" t="s">
        <v>115</v>
      </c>
      <c r="AU141" t="str">
        <f t="shared" si="27"/>
        <v>0</v>
      </c>
      <c r="BD141" t="str">
        <f t="shared" si="28"/>
        <v>0</v>
      </c>
      <c r="BK141" t="str">
        <f>IFERROR(VLOOKUP(B141,'[1]model_S-フレーム'!$F$5:$R$7000,13,1),"")</f>
        <v>E356750_01</v>
      </c>
      <c r="BL141" s="7">
        <f>IFERROR(VLOOKUP(B141,'[1]model_S-フレーム'!$F$5:$V$7000,17,1),"")</f>
        <v>0</v>
      </c>
      <c r="BM141" t="str" cm="1">
        <f t="array" ref="BM141">_xlfn.IFS(LEFT(G141,1)="L","外注品",LEFT(G141,1)="W","内製品",G141="","購買品")</f>
        <v>内製品</v>
      </c>
    </row>
    <row r="142" spans="1:65">
      <c r="A142" t="str">
        <f t="shared" si="20"/>
        <v>WG01</v>
      </c>
      <c r="B142" t="s">
        <v>257</v>
      </c>
      <c r="C142" t="s">
        <v>285</v>
      </c>
      <c r="D142" s="7"/>
      <c r="E142" s="7"/>
      <c r="G142" t="s">
        <v>1938</v>
      </c>
      <c r="H142" t="str" cm="1">
        <f t="array" ref="H142">IFERROR(_xlfn.IFS(B142="","",AND(B142="",G142=""),"",G142="","記載要"),"")</f>
        <v/>
      </c>
      <c r="K142" t="str">
        <f t="shared" si="21"/>
        <v>11WP00997527</v>
      </c>
      <c r="L142" s="3" t="str">
        <f t="shared" si="22"/>
        <v>2001/01/01</v>
      </c>
      <c r="M142" s="3" t="str">
        <f t="shared" si="23"/>
        <v>2199/12/31</v>
      </c>
      <c r="N142" t="str">
        <f t="shared" si="24"/>
        <v>11WP00997527</v>
      </c>
      <c r="O142">
        <v>5</v>
      </c>
      <c r="Q142" t="str" cm="1">
        <f t="array" ref="Q142">_xlfn.IFS(AND(C142="",G142=""),"",LEFT(G142,1)="L","記載要",LEFT(G142,1)="W","",AND(C142,G142=""),"記載要")</f>
        <v/>
      </c>
      <c r="R142" s="21" t="str">
        <f t="shared" si="29"/>
        <v/>
      </c>
      <c r="S142" s="21"/>
      <c r="Z142" s="8"/>
      <c r="AA142">
        <v>1</v>
      </c>
      <c r="AB142">
        <f t="shared" si="25"/>
        <v>0</v>
      </c>
      <c r="AC142">
        <v>1</v>
      </c>
      <c r="AF142">
        <v>1</v>
      </c>
      <c r="AG142" s="8"/>
      <c r="AH142" s="8"/>
      <c r="AK142" cm="1">
        <f t="array" ref="AK142">_xlfn.IFS(B142="","",LEFT(G142,1)="L",1,LEFT(G142,1)="W",1,AND(LEFT(B142,1)="H",G142=""),0)</f>
        <v>1</v>
      </c>
      <c r="AS142" t="str">
        <f t="shared" si="26"/>
        <v/>
      </c>
      <c r="AT142" t="s">
        <v>115</v>
      </c>
      <c r="AU142" t="str">
        <f t="shared" si="27"/>
        <v>0</v>
      </c>
      <c r="BD142" t="str">
        <f t="shared" si="28"/>
        <v>0</v>
      </c>
      <c r="BK142" t="str">
        <f>IFERROR(VLOOKUP(B142,'[1]model_S-フレーム'!$F$5:$R$7000,13,1),"")</f>
        <v>E356750_01</v>
      </c>
      <c r="BL142" s="7">
        <f>IFERROR(VLOOKUP(B142,'[1]model_S-フレーム'!$F$5:$V$7000,17,1),"")</f>
        <v>0</v>
      </c>
      <c r="BM142" t="str" cm="1">
        <f t="array" ref="BM142">_xlfn.IFS(LEFT(G142,1)="L","外注品",LEFT(G142,1)="W","内製品",G142="","購買品")</f>
        <v>内製品</v>
      </c>
    </row>
    <row r="143" spans="1:65">
      <c r="A143" t="str">
        <f t="shared" si="20"/>
        <v>WG01</v>
      </c>
      <c r="B143" t="s">
        <v>258</v>
      </c>
      <c r="C143" t="s">
        <v>286</v>
      </c>
      <c r="D143" s="7"/>
      <c r="E143" s="7"/>
      <c r="H143">
        <v>27616</v>
      </c>
      <c r="K143" t="str">
        <f t="shared" si="21"/>
        <v/>
      </c>
      <c r="L143" s="3" t="str">
        <f t="shared" si="22"/>
        <v>2001/01/01</v>
      </c>
      <c r="M143" s="3" t="str">
        <f t="shared" si="23"/>
        <v>2199/12/31</v>
      </c>
      <c r="N143" t="str">
        <f t="shared" si="24"/>
        <v/>
      </c>
      <c r="O143" t="str">
        <f>IF(G143="","","記載要")</f>
        <v/>
      </c>
      <c r="Q143">
        <v>15</v>
      </c>
      <c r="R143" s="21">
        <v>100000000</v>
      </c>
      <c r="S143" s="21" t="str" cm="1">
        <f t="array" ref="S143">_xlfn.IFS(LEFT(G143,1)="L","記載要",LEFT(G143,1)="W","記載要",G143="","")</f>
        <v/>
      </c>
      <c r="Z143" s="8"/>
      <c r="AA143" s="8">
        <v>1</v>
      </c>
      <c r="AB143">
        <f t="shared" si="25"/>
        <v>0</v>
      </c>
      <c r="AC143" s="8">
        <v>1</v>
      </c>
      <c r="AF143">
        <v>1</v>
      </c>
      <c r="AG143" s="8"/>
      <c r="AH143" s="8"/>
      <c r="AK143" cm="1">
        <f t="array" ref="AK143">_xlfn.IFS(B143="","",LEFT(G143,1)="L",1,LEFT(G143,1)="W",1,AND(LEFT(B143,1)="H",G143=""),0)</f>
        <v>0</v>
      </c>
      <c r="AS143">
        <f t="shared" si="26"/>
        <v>1</v>
      </c>
      <c r="AT143" t="s">
        <v>115</v>
      </c>
      <c r="AU143" t="str">
        <f t="shared" si="27"/>
        <v>0</v>
      </c>
      <c r="BD143" t="str">
        <f t="shared" si="28"/>
        <v>0</v>
      </c>
      <c r="BK143" t="str">
        <f>IFERROR(VLOOKUP(B143,'[1]model_S-フレーム'!$F$5:$R$7000,13,1),"")</f>
        <v>E356750_01</v>
      </c>
      <c r="BL143" s="7">
        <f>IFERROR(VLOOKUP(B143,'[1]model_S-フレーム'!$F$5:$V$7000,17,1),"")</f>
        <v>0</v>
      </c>
      <c r="BM143" t="str" cm="1">
        <f t="array" ref="BM143">_xlfn.IFS(LEFT(G143,1)="L","外注品",LEFT(G143,1)="W","内製品",G143="","購買品")</f>
        <v>購買品</v>
      </c>
    </row>
    <row r="144" spans="1:65">
      <c r="A144" t="str">
        <f t="shared" si="20"/>
        <v>WG01</v>
      </c>
      <c r="B144" t="s">
        <v>258</v>
      </c>
      <c r="C144" t="s">
        <v>286</v>
      </c>
      <c r="D144" s="7"/>
      <c r="E144" s="7"/>
      <c r="H144">
        <v>43453</v>
      </c>
      <c r="K144" t="str">
        <f t="shared" si="21"/>
        <v/>
      </c>
      <c r="L144" s="3" t="str">
        <f t="shared" si="22"/>
        <v>2001/01/01</v>
      </c>
      <c r="M144" s="3" t="str">
        <f t="shared" si="23"/>
        <v>2199/12/31</v>
      </c>
      <c r="N144" t="str">
        <f t="shared" si="24"/>
        <v/>
      </c>
      <c r="O144" t="str">
        <f>IF(G144="","","記載要")</f>
        <v/>
      </c>
      <c r="Q144">
        <v>15</v>
      </c>
      <c r="R144" s="21">
        <v>100000000</v>
      </c>
      <c r="S144" s="21" t="str" cm="1">
        <f t="array" ref="S144">_xlfn.IFS(LEFT(G144,1)="L","記載要",LEFT(G144,1)="W","記載要",G144="","")</f>
        <v/>
      </c>
      <c r="Z144" s="8"/>
      <c r="AA144" s="8">
        <v>1</v>
      </c>
      <c r="AB144">
        <f t="shared" si="25"/>
        <v>0</v>
      </c>
      <c r="AC144" s="8">
        <v>1</v>
      </c>
      <c r="AF144">
        <v>0</v>
      </c>
      <c r="AG144" s="8"/>
      <c r="AH144" s="8"/>
      <c r="AK144" cm="1">
        <f t="array" ref="AK144">_xlfn.IFS(B144="","",LEFT(G144,1)="L",1,LEFT(G144,1)="W",1,AND(LEFT(B144,1)="H",G144=""),0)</f>
        <v>0</v>
      </c>
      <c r="AS144">
        <f t="shared" si="26"/>
        <v>1</v>
      </c>
      <c r="AT144" t="s">
        <v>115</v>
      </c>
      <c r="AU144" t="str">
        <f t="shared" si="27"/>
        <v>0</v>
      </c>
      <c r="BD144" t="str">
        <f t="shared" si="28"/>
        <v>0</v>
      </c>
      <c r="BK144" t="str">
        <f>IFERROR(VLOOKUP(B144,'[1]model_S-フレーム'!$F$5:$R$7000,13,1),"")</f>
        <v>E356750_01</v>
      </c>
      <c r="BL144" s="7">
        <f>IFERROR(VLOOKUP(B144,'[1]model_S-フレーム'!$F$5:$V$7000,17,1),"")</f>
        <v>0</v>
      </c>
      <c r="BM144" t="str" cm="1">
        <f t="array" ref="BM144">_xlfn.IFS(LEFT(G144,1)="L","外注品",LEFT(G144,1)="W","内製品",G144="","購買品")</f>
        <v>購買品</v>
      </c>
    </row>
    <row r="145" spans="1:65">
      <c r="A145" t="str">
        <f t="shared" si="20"/>
        <v>WG01</v>
      </c>
      <c r="B145" t="s">
        <v>258</v>
      </c>
      <c r="C145" t="s">
        <v>286</v>
      </c>
      <c r="D145" s="7"/>
      <c r="E145" s="7"/>
      <c r="H145">
        <v>47081</v>
      </c>
      <c r="K145" t="str">
        <f t="shared" si="21"/>
        <v/>
      </c>
      <c r="L145" s="3" t="str">
        <f t="shared" si="22"/>
        <v>2001/01/01</v>
      </c>
      <c r="M145" s="3" t="str">
        <f t="shared" si="23"/>
        <v>2199/12/31</v>
      </c>
      <c r="N145" t="str">
        <f t="shared" si="24"/>
        <v/>
      </c>
      <c r="O145" t="str">
        <f>IF(G145="","","記載要")</f>
        <v/>
      </c>
      <c r="Q145">
        <v>15</v>
      </c>
      <c r="R145" s="21">
        <v>100000000</v>
      </c>
      <c r="S145" s="21" t="str" cm="1">
        <f t="array" ref="S145">_xlfn.IFS(LEFT(G145,1)="L","記載要",LEFT(G145,1)="W","記載要",G145="","")</f>
        <v/>
      </c>
      <c r="Z145" s="8"/>
      <c r="AA145" s="8">
        <v>1</v>
      </c>
      <c r="AB145">
        <f t="shared" si="25"/>
        <v>0</v>
      </c>
      <c r="AC145" s="8">
        <v>1</v>
      </c>
      <c r="AF145">
        <v>0</v>
      </c>
      <c r="AG145" s="8"/>
      <c r="AH145" s="8"/>
      <c r="AK145" cm="1">
        <f t="array" ref="AK145">_xlfn.IFS(B145="","",LEFT(G145,1)="L",1,LEFT(G145,1)="W",1,AND(LEFT(B145,1)="H",G145=""),0)</f>
        <v>0</v>
      </c>
      <c r="AS145">
        <f t="shared" si="26"/>
        <v>1</v>
      </c>
      <c r="AT145" t="s">
        <v>115</v>
      </c>
      <c r="AU145" t="str">
        <f t="shared" si="27"/>
        <v>0</v>
      </c>
      <c r="BD145" t="str">
        <f t="shared" si="28"/>
        <v>0</v>
      </c>
      <c r="BK145" t="str">
        <f>IFERROR(VLOOKUP(B145,'[1]model_S-フレーム'!$F$5:$R$7000,13,1),"")</f>
        <v>E356750_01</v>
      </c>
      <c r="BL145" s="7">
        <f>IFERROR(VLOOKUP(B145,'[1]model_S-フレーム'!$F$5:$V$7000,17,1),"")</f>
        <v>0</v>
      </c>
      <c r="BM145" t="str" cm="1">
        <f t="array" ref="BM145">_xlfn.IFS(LEFT(G145,1)="L","外注品",LEFT(G145,1)="W","内製品",G145="","購買品")</f>
        <v>購買品</v>
      </c>
    </row>
    <row r="146" spans="1:65">
      <c r="A146" t="str">
        <f t="shared" si="20"/>
        <v>WG01</v>
      </c>
      <c r="B146" t="s">
        <v>258</v>
      </c>
      <c r="C146" t="s">
        <v>286</v>
      </c>
      <c r="D146" s="7"/>
      <c r="E146" s="7"/>
      <c r="H146" s="19" t="s">
        <v>1937</v>
      </c>
      <c r="K146" t="str">
        <f t="shared" si="21"/>
        <v/>
      </c>
      <c r="L146" s="3" t="str">
        <f t="shared" si="22"/>
        <v>2001/01/01</v>
      </c>
      <c r="M146" s="3" t="str">
        <f t="shared" si="23"/>
        <v>2199/12/31</v>
      </c>
      <c r="N146" t="str">
        <f t="shared" si="24"/>
        <v/>
      </c>
      <c r="O146" t="str">
        <f>IF(G146="","","記載要")</f>
        <v/>
      </c>
      <c r="Q146">
        <v>15</v>
      </c>
      <c r="R146" s="21">
        <v>100000000</v>
      </c>
      <c r="S146" s="21" t="str" cm="1">
        <f t="array" ref="S146">_xlfn.IFS(LEFT(G146,1)="L","記載要",LEFT(G146,1)="W","記載要",G146="","")</f>
        <v/>
      </c>
      <c r="Z146" s="8"/>
      <c r="AA146" s="8">
        <v>1</v>
      </c>
      <c r="AB146">
        <f t="shared" si="25"/>
        <v>0</v>
      </c>
      <c r="AC146" s="8">
        <v>1</v>
      </c>
      <c r="AF146">
        <v>0</v>
      </c>
      <c r="AG146" s="8"/>
      <c r="AH146" s="8"/>
      <c r="AK146" cm="1">
        <f t="array" ref="AK146">_xlfn.IFS(B146="","",LEFT(G146,1)="L",1,LEFT(G146,1)="W",1,AND(LEFT(B146,1)="H",G146=""),0)</f>
        <v>0</v>
      </c>
      <c r="AS146">
        <f t="shared" si="26"/>
        <v>1</v>
      </c>
      <c r="AT146" t="s">
        <v>115</v>
      </c>
      <c r="AU146" t="str">
        <f t="shared" si="27"/>
        <v>0</v>
      </c>
      <c r="BD146" t="str">
        <f t="shared" si="28"/>
        <v>0</v>
      </c>
      <c r="BK146" t="str">
        <f>IFERROR(VLOOKUP(B146,'[1]model_S-フレーム'!$F$5:$R$7000,13,1),"")</f>
        <v>E356750_01</v>
      </c>
      <c r="BL146" s="7">
        <f>IFERROR(VLOOKUP(B146,'[1]model_S-フレーム'!$F$5:$V$7000,17,1),"")</f>
        <v>0</v>
      </c>
      <c r="BM146" t="str" cm="1">
        <f t="array" ref="BM146">_xlfn.IFS(LEFT(G146,1)="L","外注品",LEFT(G146,1)="W","内製品",G146="","購買品")</f>
        <v>購買品</v>
      </c>
    </row>
    <row r="147" spans="1:65">
      <c r="A147" t="str">
        <f t="shared" si="20"/>
        <v>WG01</v>
      </c>
      <c r="B147" t="s">
        <v>287</v>
      </c>
      <c r="C147" t="s">
        <v>871</v>
      </c>
      <c r="D147" s="7"/>
      <c r="E147" s="7"/>
      <c r="G147" t="s">
        <v>1938</v>
      </c>
      <c r="H147" t="str" cm="1">
        <f t="array" ref="H147">IFERROR(_xlfn.IFS(B147="","",AND(B147="",G147=""),"",G147="","記載要"),"")</f>
        <v/>
      </c>
      <c r="K147" t="str">
        <f t="shared" si="21"/>
        <v>11WP00902394</v>
      </c>
      <c r="L147" s="3" t="str">
        <f t="shared" si="22"/>
        <v>2001/01/01</v>
      </c>
      <c r="M147" s="3" t="str">
        <f t="shared" si="23"/>
        <v>2199/12/31</v>
      </c>
      <c r="N147" t="str">
        <f t="shared" si="24"/>
        <v>11WP00902394</v>
      </c>
      <c r="O147">
        <v>5</v>
      </c>
      <c r="Q147" t="str" cm="1">
        <f t="array" ref="Q147">_xlfn.IFS(AND(C147="",G147=""),"",LEFT(G147,1)="L","記載要",LEFT(G147,1)="W","",AND(C147,G147=""),"記載要")</f>
        <v/>
      </c>
      <c r="R147" s="21" t="str">
        <f t="shared" si="29"/>
        <v/>
      </c>
      <c r="S147" s="21"/>
      <c r="Z147" s="8"/>
      <c r="AA147">
        <v>1</v>
      </c>
      <c r="AB147">
        <f t="shared" si="25"/>
        <v>0</v>
      </c>
      <c r="AC147">
        <v>1</v>
      </c>
      <c r="AF147">
        <v>1</v>
      </c>
      <c r="AG147" s="8"/>
      <c r="AH147" s="8"/>
      <c r="AK147" cm="1">
        <f t="array" ref="AK147">_xlfn.IFS(B147="","",LEFT(G147,1)="L",1,LEFT(G147,1)="W",1,AND(LEFT(B147,1)="H",G147=""),0)</f>
        <v>1</v>
      </c>
      <c r="AS147" t="str">
        <f t="shared" si="26"/>
        <v/>
      </c>
      <c r="AT147" t="s">
        <v>115</v>
      </c>
      <c r="AU147" t="str">
        <f t="shared" si="27"/>
        <v>0</v>
      </c>
      <c r="BD147" t="str">
        <f t="shared" si="28"/>
        <v>0</v>
      </c>
      <c r="BK147" t="str">
        <f>IFERROR(VLOOKUP(B147,'[1]model_S-フレーム'!$F$5:$R$7000,13,1),"")</f>
        <v>E345926_01</v>
      </c>
      <c r="BL147" s="7">
        <f>IFERROR(VLOOKUP(B147,'[1]model_S-フレーム'!$F$5:$V$7000,17,1),"")</f>
        <v>0</v>
      </c>
      <c r="BM147" t="str" cm="1">
        <f t="array" ref="BM147">_xlfn.IFS(LEFT(G147,1)="L","外注品",LEFT(G147,1)="W","内製品",G147="","購買品")</f>
        <v>内製品</v>
      </c>
    </row>
    <row r="148" spans="1:65">
      <c r="A148" t="str">
        <f t="shared" si="20"/>
        <v>WG01</v>
      </c>
      <c r="B148" t="s">
        <v>288</v>
      </c>
      <c r="C148" t="s">
        <v>871</v>
      </c>
      <c r="D148" s="7"/>
      <c r="E148" s="7"/>
      <c r="G148" t="s">
        <v>1938</v>
      </c>
      <c r="H148" t="str" cm="1">
        <f t="array" ref="H148">IFERROR(_xlfn.IFS(B148="","",AND(B148="",G148=""),"",G148="","記載要"),"")</f>
        <v/>
      </c>
      <c r="K148" t="str">
        <f t="shared" si="21"/>
        <v>11WP00902395</v>
      </c>
      <c r="L148" s="3" t="str">
        <f t="shared" si="22"/>
        <v>2001/01/01</v>
      </c>
      <c r="M148" s="3" t="str">
        <f t="shared" si="23"/>
        <v>2199/12/31</v>
      </c>
      <c r="N148" t="str">
        <f t="shared" si="24"/>
        <v>11WP00902395</v>
      </c>
      <c r="O148">
        <v>5</v>
      </c>
      <c r="Q148" t="str" cm="1">
        <f t="array" ref="Q148">_xlfn.IFS(AND(C148="",G148=""),"",LEFT(G148,1)="L","記載要",LEFT(G148,1)="W","",AND(C148,G148=""),"記載要")</f>
        <v/>
      </c>
      <c r="R148" s="21" t="str">
        <f t="shared" si="29"/>
        <v/>
      </c>
      <c r="S148" s="21"/>
      <c r="Z148" s="8"/>
      <c r="AA148">
        <v>1</v>
      </c>
      <c r="AB148">
        <f t="shared" si="25"/>
        <v>0</v>
      </c>
      <c r="AC148">
        <v>1</v>
      </c>
      <c r="AF148">
        <v>1</v>
      </c>
      <c r="AG148" s="8"/>
      <c r="AH148" s="8"/>
      <c r="AK148" cm="1">
        <f t="array" ref="AK148">_xlfn.IFS(B148="","",LEFT(G148,1)="L",1,LEFT(G148,1)="W",1,AND(LEFT(B148,1)="H",G148=""),0)</f>
        <v>1</v>
      </c>
      <c r="AS148" t="str">
        <f t="shared" si="26"/>
        <v/>
      </c>
      <c r="AT148" t="s">
        <v>115</v>
      </c>
      <c r="AU148" t="str">
        <f t="shared" si="27"/>
        <v>0</v>
      </c>
      <c r="BD148" t="str">
        <f t="shared" si="28"/>
        <v>0</v>
      </c>
      <c r="BK148" t="str">
        <f>IFERROR(VLOOKUP(B148,'[1]model_S-フレーム'!$F$5:$R$7000,13,1),"")</f>
        <v>E345926_01</v>
      </c>
      <c r="BL148" s="7">
        <f>IFERROR(VLOOKUP(B148,'[1]model_S-フレーム'!$F$5:$V$7000,17,1),"")</f>
        <v>0</v>
      </c>
      <c r="BM148" t="str" cm="1">
        <f t="array" ref="BM148">_xlfn.IFS(LEFT(G148,1)="L","外注品",LEFT(G148,1)="W","内製品",G148="","購買品")</f>
        <v>内製品</v>
      </c>
    </row>
    <row r="149" spans="1:65">
      <c r="A149" t="str">
        <f t="shared" si="20"/>
        <v>WG01</v>
      </c>
      <c r="B149" t="s">
        <v>289</v>
      </c>
      <c r="C149" t="s">
        <v>871</v>
      </c>
      <c r="D149" s="7"/>
      <c r="E149" s="7"/>
      <c r="G149" t="s">
        <v>1938</v>
      </c>
      <c r="H149" t="str" cm="1">
        <f t="array" ref="H149">IFERROR(_xlfn.IFS(B149="","",AND(B149="",G149=""),"",G149="","記載要"),"")</f>
        <v/>
      </c>
      <c r="K149" t="str">
        <f t="shared" si="21"/>
        <v>11WP00902396</v>
      </c>
      <c r="L149" s="3" t="str">
        <f t="shared" si="22"/>
        <v>2001/01/01</v>
      </c>
      <c r="M149" s="3" t="str">
        <f t="shared" si="23"/>
        <v>2199/12/31</v>
      </c>
      <c r="N149" t="str">
        <f t="shared" si="24"/>
        <v>11WP00902396</v>
      </c>
      <c r="O149">
        <v>5</v>
      </c>
      <c r="Q149" t="str" cm="1">
        <f t="array" ref="Q149">_xlfn.IFS(AND(C149="",G149=""),"",LEFT(G149,1)="L","記載要",LEFT(G149,1)="W","",AND(C149,G149=""),"記載要")</f>
        <v/>
      </c>
      <c r="R149" s="21" t="str">
        <f t="shared" si="29"/>
        <v/>
      </c>
      <c r="S149" s="21"/>
      <c r="Z149" s="8"/>
      <c r="AA149">
        <v>1</v>
      </c>
      <c r="AB149">
        <f t="shared" si="25"/>
        <v>0</v>
      </c>
      <c r="AC149">
        <v>1</v>
      </c>
      <c r="AF149">
        <v>1</v>
      </c>
      <c r="AG149" s="8"/>
      <c r="AH149" s="8"/>
      <c r="AK149" cm="1">
        <f t="array" ref="AK149">_xlfn.IFS(B149="","",LEFT(G149,1)="L",1,LEFT(G149,1)="W",1,AND(LEFT(B149,1)="H",G149=""),0)</f>
        <v>1</v>
      </c>
      <c r="AS149" t="str">
        <f t="shared" si="26"/>
        <v/>
      </c>
      <c r="AT149" t="s">
        <v>115</v>
      </c>
      <c r="AU149" t="str">
        <f t="shared" si="27"/>
        <v>0</v>
      </c>
      <c r="BD149" t="str">
        <f t="shared" si="28"/>
        <v>0</v>
      </c>
      <c r="BK149" t="str">
        <f>IFERROR(VLOOKUP(B149,'[1]model_S-フレーム'!$F$5:$R$7000,13,1),"")</f>
        <v>E345926_01</v>
      </c>
      <c r="BL149" s="7">
        <f>IFERROR(VLOOKUP(B149,'[1]model_S-フレーム'!$F$5:$V$7000,17,1),"")</f>
        <v>0</v>
      </c>
      <c r="BM149" t="str" cm="1">
        <f t="array" ref="BM149">_xlfn.IFS(LEFT(G149,1)="L","外注品",LEFT(G149,1)="W","内製品",G149="","購買品")</f>
        <v>内製品</v>
      </c>
    </row>
    <row r="150" spans="1:65">
      <c r="A150" t="str">
        <f t="shared" si="20"/>
        <v>WG01</v>
      </c>
      <c r="B150" t="s">
        <v>290</v>
      </c>
      <c r="C150" t="s">
        <v>871</v>
      </c>
      <c r="D150" s="7"/>
      <c r="E150" s="7"/>
      <c r="G150" t="s">
        <v>1938</v>
      </c>
      <c r="H150" t="str" cm="1">
        <f t="array" ref="H150">IFERROR(_xlfn.IFS(B150="","",AND(B150="",G150=""),"",G150="","記載要"),"")</f>
        <v/>
      </c>
      <c r="K150" t="str">
        <f t="shared" si="21"/>
        <v>11WP00902397</v>
      </c>
      <c r="L150" s="3" t="str">
        <f t="shared" si="22"/>
        <v>2001/01/01</v>
      </c>
      <c r="M150" s="3" t="str">
        <f t="shared" si="23"/>
        <v>2199/12/31</v>
      </c>
      <c r="N150" t="str">
        <f t="shared" si="24"/>
        <v>11WP00902397</v>
      </c>
      <c r="O150">
        <v>5</v>
      </c>
      <c r="Q150" t="str" cm="1">
        <f t="array" ref="Q150">_xlfn.IFS(AND(C150="",G150=""),"",LEFT(G150,1)="L","記載要",LEFT(G150,1)="W","",AND(C150,G150=""),"記載要")</f>
        <v/>
      </c>
      <c r="R150" s="21" t="str">
        <f t="shared" si="29"/>
        <v/>
      </c>
      <c r="S150" s="21"/>
      <c r="Z150" s="8"/>
      <c r="AA150">
        <v>1</v>
      </c>
      <c r="AB150">
        <f t="shared" si="25"/>
        <v>0</v>
      </c>
      <c r="AC150">
        <v>1</v>
      </c>
      <c r="AF150">
        <v>1</v>
      </c>
      <c r="AG150" s="8"/>
      <c r="AH150" s="8"/>
      <c r="AK150" cm="1">
        <f t="array" ref="AK150">_xlfn.IFS(B150="","",LEFT(G150,1)="L",1,LEFT(G150,1)="W",1,AND(LEFT(B150,1)="H",G150=""),0)</f>
        <v>1</v>
      </c>
      <c r="AS150" t="str">
        <f t="shared" si="26"/>
        <v/>
      </c>
      <c r="AT150" t="s">
        <v>115</v>
      </c>
      <c r="AU150" t="str">
        <f t="shared" si="27"/>
        <v>0</v>
      </c>
      <c r="BD150" t="str">
        <f t="shared" si="28"/>
        <v>0</v>
      </c>
      <c r="BK150" t="str">
        <f>IFERROR(VLOOKUP(B150,'[1]model_S-フレーム'!$F$5:$R$7000,13,1),"")</f>
        <v>E345926_01</v>
      </c>
      <c r="BL150" s="7">
        <f>IFERROR(VLOOKUP(B150,'[1]model_S-フレーム'!$F$5:$V$7000,17,1),"")</f>
        <v>0</v>
      </c>
      <c r="BM150" t="str" cm="1">
        <f t="array" ref="BM150">_xlfn.IFS(LEFT(G150,1)="L","外注品",LEFT(G150,1)="W","内製品",G150="","購買品")</f>
        <v>内製品</v>
      </c>
    </row>
    <row r="151" spans="1:65">
      <c r="A151" t="str">
        <f t="shared" si="20"/>
        <v>WG01</v>
      </c>
      <c r="B151" t="s">
        <v>291</v>
      </c>
      <c r="C151" t="s">
        <v>872</v>
      </c>
      <c r="D151" s="7"/>
      <c r="E151" s="7"/>
      <c r="G151" t="s">
        <v>1938</v>
      </c>
      <c r="H151" t="str" cm="1">
        <f t="array" ref="H151">IFERROR(_xlfn.IFS(B151="","",AND(B151="",G151=""),"",G151="","記載要"),"")</f>
        <v/>
      </c>
      <c r="K151" t="str">
        <f t="shared" si="21"/>
        <v>11WP00902398</v>
      </c>
      <c r="L151" s="3" t="str">
        <f t="shared" si="22"/>
        <v>2001/01/01</v>
      </c>
      <c r="M151" s="3" t="str">
        <f t="shared" si="23"/>
        <v>2199/12/31</v>
      </c>
      <c r="N151" t="str">
        <f t="shared" si="24"/>
        <v>11WP00902398</v>
      </c>
      <c r="O151">
        <v>5</v>
      </c>
      <c r="Q151" t="str" cm="1">
        <f t="array" ref="Q151">_xlfn.IFS(AND(C151="",G151=""),"",LEFT(G151,1)="L","記載要",LEFT(G151,1)="W","",AND(C151,G151=""),"記載要")</f>
        <v/>
      </c>
      <c r="R151" s="21" t="str">
        <f t="shared" si="29"/>
        <v/>
      </c>
      <c r="S151" s="21"/>
      <c r="Z151" s="8"/>
      <c r="AA151">
        <v>1</v>
      </c>
      <c r="AB151">
        <f t="shared" si="25"/>
        <v>0</v>
      </c>
      <c r="AC151">
        <v>1</v>
      </c>
      <c r="AF151">
        <v>1</v>
      </c>
      <c r="AG151" s="8"/>
      <c r="AH151" s="8"/>
      <c r="AK151" cm="1">
        <f t="array" ref="AK151">_xlfn.IFS(B151="","",LEFT(G151,1)="L",1,LEFT(G151,1)="W",1,AND(LEFT(B151,1)="H",G151=""),0)</f>
        <v>1</v>
      </c>
      <c r="AS151" t="str">
        <f t="shared" si="26"/>
        <v/>
      </c>
      <c r="AT151" t="s">
        <v>115</v>
      </c>
      <c r="AU151" t="str">
        <f t="shared" si="27"/>
        <v>0</v>
      </c>
      <c r="BD151" t="str">
        <f t="shared" si="28"/>
        <v>0</v>
      </c>
      <c r="BK151" t="str">
        <f>IFERROR(VLOOKUP(B151,'[1]model_S-フレーム'!$F$5:$R$7000,13,1),"")</f>
        <v>E345926_01</v>
      </c>
      <c r="BL151" s="7">
        <f>IFERROR(VLOOKUP(B151,'[1]model_S-フレーム'!$F$5:$V$7000,17,1),"")</f>
        <v>0</v>
      </c>
      <c r="BM151" t="str" cm="1">
        <f t="array" ref="BM151">_xlfn.IFS(LEFT(G151,1)="L","外注品",LEFT(G151,1)="W","内製品",G151="","購買品")</f>
        <v>内製品</v>
      </c>
    </row>
    <row r="152" spans="1:65">
      <c r="A152" t="str">
        <f t="shared" si="20"/>
        <v>WG01</v>
      </c>
      <c r="B152" t="s">
        <v>292</v>
      </c>
      <c r="C152" t="s">
        <v>872</v>
      </c>
      <c r="D152" s="7"/>
      <c r="E152" s="7"/>
      <c r="G152" t="s">
        <v>1938</v>
      </c>
      <c r="H152" t="str" cm="1">
        <f t="array" ref="H152">IFERROR(_xlfn.IFS(B152="","",AND(B152="",G152=""),"",G152="","記載要"),"")</f>
        <v/>
      </c>
      <c r="K152" t="str">
        <f t="shared" si="21"/>
        <v>11WP00902399</v>
      </c>
      <c r="L152" s="3" t="str">
        <f t="shared" si="22"/>
        <v>2001/01/01</v>
      </c>
      <c r="M152" s="3" t="str">
        <f t="shared" si="23"/>
        <v>2199/12/31</v>
      </c>
      <c r="N152" t="str">
        <f t="shared" si="24"/>
        <v>11WP00902399</v>
      </c>
      <c r="O152">
        <v>5</v>
      </c>
      <c r="Q152" t="str" cm="1">
        <f t="array" ref="Q152">_xlfn.IFS(AND(C152="",G152=""),"",LEFT(G152,1)="L","記載要",LEFT(G152,1)="W","",AND(C152,G152=""),"記載要")</f>
        <v/>
      </c>
      <c r="R152" s="21" t="str">
        <f t="shared" si="29"/>
        <v/>
      </c>
      <c r="S152" s="21"/>
      <c r="Z152" s="8"/>
      <c r="AA152">
        <v>1</v>
      </c>
      <c r="AB152">
        <f t="shared" si="25"/>
        <v>0</v>
      </c>
      <c r="AC152">
        <v>1</v>
      </c>
      <c r="AF152">
        <v>1</v>
      </c>
      <c r="AG152" s="8"/>
      <c r="AH152" s="8"/>
      <c r="AK152" cm="1">
        <f t="array" ref="AK152">_xlfn.IFS(B152="","",LEFT(G152,1)="L",1,LEFT(G152,1)="W",1,AND(LEFT(B152,1)="H",G152=""),0)</f>
        <v>1</v>
      </c>
      <c r="AS152" t="str">
        <f t="shared" si="26"/>
        <v/>
      </c>
      <c r="AT152" t="s">
        <v>115</v>
      </c>
      <c r="AU152" t="str">
        <f t="shared" si="27"/>
        <v>0</v>
      </c>
      <c r="BD152" t="str">
        <f t="shared" si="28"/>
        <v>0</v>
      </c>
      <c r="BK152" t="str">
        <f>IFERROR(VLOOKUP(B152,'[1]model_S-フレーム'!$F$5:$R$7000,13,1),"")</f>
        <v>E345926_01</v>
      </c>
      <c r="BL152" s="7">
        <f>IFERROR(VLOOKUP(B152,'[1]model_S-フレーム'!$F$5:$V$7000,17,1),"")</f>
        <v>0</v>
      </c>
      <c r="BM152" t="str" cm="1">
        <f t="array" ref="BM152">_xlfn.IFS(LEFT(G152,1)="L","外注品",LEFT(G152,1)="W","内製品",G152="","購買品")</f>
        <v>内製品</v>
      </c>
    </row>
    <row r="153" spans="1:65">
      <c r="A153" t="str">
        <f t="shared" si="20"/>
        <v>WG01</v>
      </c>
      <c r="B153" t="s">
        <v>293</v>
      </c>
      <c r="C153" t="s">
        <v>872</v>
      </c>
      <c r="D153" s="7"/>
      <c r="E153" s="7"/>
      <c r="G153" t="s">
        <v>1938</v>
      </c>
      <c r="H153" t="str" cm="1">
        <f t="array" ref="H153">IFERROR(_xlfn.IFS(B153="","",AND(B153="",G153=""),"",G153="","記載要"),"")</f>
        <v/>
      </c>
      <c r="K153" t="str">
        <f t="shared" si="21"/>
        <v>11WP00902400</v>
      </c>
      <c r="L153" s="3" t="str">
        <f t="shared" si="22"/>
        <v>2001/01/01</v>
      </c>
      <c r="M153" s="3" t="str">
        <f t="shared" si="23"/>
        <v>2199/12/31</v>
      </c>
      <c r="N153" t="str">
        <f t="shared" si="24"/>
        <v>11WP00902400</v>
      </c>
      <c r="O153">
        <v>5</v>
      </c>
      <c r="Q153" t="str" cm="1">
        <f t="array" ref="Q153">_xlfn.IFS(AND(C153="",G153=""),"",LEFT(G153,1)="L","記載要",LEFT(G153,1)="W","",AND(C153,G153=""),"記載要")</f>
        <v/>
      </c>
      <c r="R153" s="21" t="str">
        <f t="shared" si="29"/>
        <v/>
      </c>
      <c r="S153" s="21"/>
      <c r="Z153" s="8"/>
      <c r="AA153">
        <v>1</v>
      </c>
      <c r="AB153">
        <f t="shared" si="25"/>
        <v>0</v>
      </c>
      <c r="AC153">
        <v>1</v>
      </c>
      <c r="AF153">
        <v>1</v>
      </c>
      <c r="AG153" s="8"/>
      <c r="AH153" s="8"/>
      <c r="AK153" cm="1">
        <f t="array" ref="AK153">_xlfn.IFS(B153="","",LEFT(G153,1)="L",1,LEFT(G153,1)="W",1,AND(LEFT(B153,1)="H",G153=""),0)</f>
        <v>1</v>
      </c>
      <c r="AS153" t="str">
        <f t="shared" si="26"/>
        <v/>
      </c>
      <c r="AT153" t="s">
        <v>115</v>
      </c>
      <c r="AU153" t="str">
        <f t="shared" si="27"/>
        <v>0</v>
      </c>
      <c r="BD153" t="str">
        <f t="shared" si="28"/>
        <v>0</v>
      </c>
      <c r="BK153" t="str">
        <f>IFERROR(VLOOKUP(B153,'[1]model_S-フレーム'!$F$5:$R$7000,13,1),"")</f>
        <v>E345926_01</v>
      </c>
      <c r="BL153" s="7">
        <f>IFERROR(VLOOKUP(B153,'[1]model_S-フレーム'!$F$5:$V$7000,17,1),"")</f>
        <v>0</v>
      </c>
      <c r="BM153" t="str" cm="1">
        <f t="array" ref="BM153">_xlfn.IFS(LEFT(G153,1)="L","外注品",LEFT(G153,1)="W","内製品",G153="","購買品")</f>
        <v>内製品</v>
      </c>
    </row>
    <row r="154" spans="1:65">
      <c r="A154" t="str">
        <f t="shared" si="20"/>
        <v>WG01</v>
      </c>
      <c r="B154" t="s">
        <v>294</v>
      </c>
      <c r="C154" t="s">
        <v>872</v>
      </c>
      <c r="D154" s="7"/>
      <c r="E154" s="7"/>
      <c r="G154" t="s">
        <v>1938</v>
      </c>
      <c r="H154" t="str" cm="1">
        <f t="array" ref="H154">IFERROR(_xlfn.IFS(B154="","",AND(B154="",G154=""),"",G154="","記載要"),"")</f>
        <v/>
      </c>
      <c r="K154" t="str">
        <f t="shared" si="21"/>
        <v>11WP00902401</v>
      </c>
      <c r="L154" s="3" t="str">
        <f t="shared" si="22"/>
        <v>2001/01/01</v>
      </c>
      <c r="M154" s="3" t="str">
        <f t="shared" si="23"/>
        <v>2199/12/31</v>
      </c>
      <c r="N154" t="str">
        <f t="shared" si="24"/>
        <v>11WP00902401</v>
      </c>
      <c r="O154">
        <v>5</v>
      </c>
      <c r="Q154" t="str" cm="1">
        <f t="array" ref="Q154">_xlfn.IFS(AND(C154="",G154=""),"",LEFT(G154,1)="L","記載要",LEFT(G154,1)="W","",AND(C154,G154=""),"記載要")</f>
        <v/>
      </c>
      <c r="R154" s="21" t="str">
        <f t="shared" si="29"/>
        <v/>
      </c>
      <c r="S154" s="21"/>
      <c r="Z154" s="8"/>
      <c r="AA154">
        <v>1</v>
      </c>
      <c r="AB154">
        <f t="shared" si="25"/>
        <v>0</v>
      </c>
      <c r="AC154">
        <v>1</v>
      </c>
      <c r="AF154">
        <v>1</v>
      </c>
      <c r="AG154" s="8"/>
      <c r="AH154" s="8"/>
      <c r="AK154" cm="1">
        <f t="array" ref="AK154">_xlfn.IFS(B154="","",LEFT(G154,1)="L",1,LEFT(G154,1)="W",1,AND(LEFT(B154,1)="H",G154=""),0)</f>
        <v>1</v>
      </c>
      <c r="AS154" t="str">
        <f t="shared" si="26"/>
        <v/>
      </c>
      <c r="AT154" t="s">
        <v>115</v>
      </c>
      <c r="AU154" t="str">
        <f t="shared" si="27"/>
        <v>0</v>
      </c>
      <c r="BD154" t="str">
        <f t="shared" si="28"/>
        <v>0</v>
      </c>
      <c r="BK154" t="str">
        <f>IFERROR(VLOOKUP(B154,'[1]model_S-フレーム'!$F$5:$R$7000,13,1),"")</f>
        <v>E345926_01</v>
      </c>
      <c r="BL154" s="7">
        <f>IFERROR(VLOOKUP(B154,'[1]model_S-フレーム'!$F$5:$V$7000,17,1),"")</f>
        <v>0</v>
      </c>
      <c r="BM154" t="str" cm="1">
        <f t="array" ref="BM154">_xlfn.IFS(LEFT(G154,1)="L","外注品",LEFT(G154,1)="W","内製品",G154="","購買品")</f>
        <v>内製品</v>
      </c>
    </row>
    <row r="155" spans="1:65">
      <c r="A155" t="str">
        <f t="shared" si="20"/>
        <v>WG01</v>
      </c>
      <c r="B155" t="s">
        <v>295</v>
      </c>
      <c r="C155" t="s">
        <v>873</v>
      </c>
      <c r="D155" s="7"/>
      <c r="E155" s="7"/>
      <c r="G155" t="s">
        <v>1938</v>
      </c>
      <c r="H155" t="str" cm="1">
        <f t="array" ref="H155">IFERROR(_xlfn.IFS(B155="","",AND(B155="",G155=""),"",G155="","記載要"),"")</f>
        <v/>
      </c>
      <c r="K155" t="str">
        <f t="shared" si="21"/>
        <v>11WP00902402</v>
      </c>
      <c r="L155" s="3" t="str">
        <f t="shared" si="22"/>
        <v>2001/01/01</v>
      </c>
      <c r="M155" s="3" t="str">
        <f t="shared" si="23"/>
        <v>2199/12/31</v>
      </c>
      <c r="N155" t="str">
        <f t="shared" si="24"/>
        <v>11WP00902402</v>
      </c>
      <c r="O155">
        <v>5</v>
      </c>
      <c r="Q155" t="str" cm="1">
        <f t="array" ref="Q155">_xlfn.IFS(AND(C155="",G155=""),"",LEFT(G155,1)="L","記載要",LEFT(G155,1)="W","",AND(C155,G155=""),"記載要")</f>
        <v/>
      </c>
      <c r="R155" s="21" t="str">
        <f t="shared" si="29"/>
        <v/>
      </c>
      <c r="S155" s="21"/>
      <c r="Z155" s="8"/>
      <c r="AA155">
        <v>1</v>
      </c>
      <c r="AB155">
        <f t="shared" si="25"/>
        <v>0</v>
      </c>
      <c r="AC155">
        <v>1</v>
      </c>
      <c r="AF155">
        <v>1</v>
      </c>
      <c r="AG155" s="8"/>
      <c r="AH155" s="8"/>
      <c r="AK155" cm="1">
        <f t="array" ref="AK155">_xlfn.IFS(B155="","",LEFT(G155,1)="L",1,LEFT(G155,1)="W",1,AND(LEFT(B155,1)="H",G155=""),0)</f>
        <v>1</v>
      </c>
      <c r="AS155" t="str">
        <f t="shared" si="26"/>
        <v/>
      </c>
      <c r="AT155" t="s">
        <v>115</v>
      </c>
      <c r="AU155" t="str">
        <f t="shared" si="27"/>
        <v>0</v>
      </c>
      <c r="BD155" t="str">
        <f t="shared" si="28"/>
        <v>0</v>
      </c>
      <c r="BK155" t="str">
        <f>IFERROR(VLOOKUP(B155,'[1]model_S-フレーム'!$F$5:$R$7000,13,1),"")</f>
        <v>E345926_01</v>
      </c>
      <c r="BL155" s="7">
        <f>IFERROR(VLOOKUP(B155,'[1]model_S-フレーム'!$F$5:$V$7000,17,1),"")</f>
        <v>0</v>
      </c>
      <c r="BM155" t="str" cm="1">
        <f t="array" ref="BM155">_xlfn.IFS(LEFT(G155,1)="L","外注品",LEFT(G155,1)="W","内製品",G155="","購買品")</f>
        <v>内製品</v>
      </c>
    </row>
    <row r="156" spans="1:65">
      <c r="A156" t="str">
        <f t="shared" si="20"/>
        <v>WG01</v>
      </c>
      <c r="B156" t="s">
        <v>296</v>
      </c>
      <c r="C156" t="s">
        <v>873</v>
      </c>
      <c r="D156" s="7"/>
      <c r="E156" s="7"/>
      <c r="G156" t="s">
        <v>1938</v>
      </c>
      <c r="H156" t="str" cm="1">
        <f t="array" ref="H156">IFERROR(_xlfn.IFS(B156="","",AND(B156="",G156=""),"",G156="","記載要"),"")</f>
        <v/>
      </c>
      <c r="K156" t="str">
        <f t="shared" si="21"/>
        <v>11WP00902403</v>
      </c>
      <c r="L156" s="3" t="str">
        <f t="shared" si="22"/>
        <v>2001/01/01</v>
      </c>
      <c r="M156" s="3" t="str">
        <f t="shared" si="23"/>
        <v>2199/12/31</v>
      </c>
      <c r="N156" t="str">
        <f t="shared" si="24"/>
        <v>11WP00902403</v>
      </c>
      <c r="O156">
        <v>5</v>
      </c>
      <c r="Q156" t="str" cm="1">
        <f t="array" ref="Q156">_xlfn.IFS(AND(C156="",G156=""),"",LEFT(G156,1)="L","記載要",LEFT(G156,1)="W","",AND(C156,G156=""),"記載要")</f>
        <v/>
      </c>
      <c r="R156" s="21" t="str">
        <f t="shared" si="29"/>
        <v/>
      </c>
      <c r="S156" s="21"/>
      <c r="Z156" s="8"/>
      <c r="AA156">
        <v>1</v>
      </c>
      <c r="AB156">
        <f t="shared" si="25"/>
        <v>0</v>
      </c>
      <c r="AC156">
        <v>1</v>
      </c>
      <c r="AF156">
        <v>1</v>
      </c>
      <c r="AG156" s="8"/>
      <c r="AH156" s="8"/>
      <c r="AK156" cm="1">
        <f t="array" ref="AK156">_xlfn.IFS(B156="","",LEFT(G156,1)="L",1,LEFT(G156,1)="W",1,AND(LEFT(B156,1)="H",G156=""),0)</f>
        <v>1</v>
      </c>
      <c r="AS156" t="str">
        <f t="shared" si="26"/>
        <v/>
      </c>
      <c r="AT156" t="s">
        <v>115</v>
      </c>
      <c r="AU156" t="str">
        <f t="shared" si="27"/>
        <v>0</v>
      </c>
      <c r="BD156" t="str">
        <f t="shared" si="28"/>
        <v>0</v>
      </c>
      <c r="BK156" t="str">
        <f>IFERROR(VLOOKUP(B156,'[1]model_S-フレーム'!$F$5:$R$7000,13,1),"")</f>
        <v>E345926_01</v>
      </c>
      <c r="BL156" s="7">
        <f>IFERROR(VLOOKUP(B156,'[1]model_S-フレーム'!$F$5:$V$7000,17,1),"")</f>
        <v>0</v>
      </c>
      <c r="BM156" t="str" cm="1">
        <f t="array" ref="BM156">_xlfn.IFS(LEFT(G156,1)="L","外注品",LEFT(G156,1)="W","内製品",G156="","購買品")</f>
        <v>内製品</v>
      </c>
    </row>
    <row r="157" spans="1:65">
      <c r="A157" t="str">
        <f t="shared" si="20"/>
        <v>WG01</v>
      </c>
      <c r="B157" t="s">
        <v>297</v>
      </c>
      <c r="C157" t="s">
        <v>873</v>
      </c>
      <c r="D157" s="7"/>
      <c r="E157" s="7"/>
      <c r="G157" t="s">
        <v>1938</v>
      </c>
      <c r="H157" t="str" cm="1">
        <f t="array" ref="H157">IFERROR(_xlfn.IFS(B157="","",AND(B157="",G157=""),"",G157="","記載要"),"")</f>
        <v/>
      </c>
      <c r="K157" t="str">
        <f t="shared" si="21"/>
        <v>11WP00902404</v>
      </c>
      <c r="L157" s="3" t="str">
        <f t="shared" si="22"/>
        <v>2001/01/01</v>
      </c>
      <c r="M157" s="3" t="str">
        <f t="shared" si="23"/>
        <v>2199/12/31</v>
      </c>
      <c r="N157" t="str">
        <f t="shared" si="24"/>
        <v>11WP00902404</v>
      </c>
      <c r="O157">
        <v>5</v>
      </c>
      <c r="Q157" t="str" cm="1">
        <f t="array" ref="Q157">_xlfn.IFS(AND(C157="",G157=""),"",LEFT(G157,1)="L","記載要",LEFT(G157,1)="W","",AND(C157,G157=""),"記載要")</f>
        <v/>
      </c>
      <c r="R157" s="21" t="str">
        <f t="shared" si="29"/>
        <v/>
      </c>
      <c r="S157" s="21"/>
      <c r="Z157" s="8"/>
      <c r="AA157">
        <v>1</v>
      </c>
      <c r="AB157">
        <f t="shared" si="25"/>
        <v>0</v>
      </c>
      <c r="AC157">
        <v>1</v>
      </c>
      <c r="AF157">
        <v>1</v>
      </c>
      <c r="AG157" s="8"/>
      <c r="AH157" s="8"/>
      <c r="AK157" cm="1">
        <f t="array" ref="AK157">_xlfn.IFS(B157="","",LEFT(G157,1)="L",1,LEFT(G157,1)="W",1,AND(LEFT(B157,1)="H",G157=""),0)</f>
        <v>1</v>
      </c>
      <c r="AS157" t="str">
        <f t="shared" si="26"/>
        <v/>
      </c>
      <c r="AT157" t="s">
        <v>115</v>
      </c>
      <c r="AU157" t="str">
        <f t="shared" si="27"/>
        <v>0</v>
      </c>
      <c r="BD157" t="str">
        <f t="shared" si="28"/>
        <v>0</v>
      </c>
      <c r="BK157" t="str">
        <f>IFERROR(VLOOKUP(B157,'[1]model_S-フレーム'!$F$5:$R$7000,13,1),"")</f>
        <v>E345926_01</v>
      </c>
      <c r="BL157" s="7">
        <f>IFERROR(VLOOKUP(B157,'[1]model_S-フレーム'!$F$5:$V$7000,17,1),"")</f>
        <v>0</v>
      </c>
      <c r="BM157" t="str" cm="1">
        <f t="array" ref="BM157">_xlfn.IFS(LEFT(G157,1)="L","外注品",LEFT(G157,1)="W","内製品",G157="","購買品")</f>
        <v>内製品</v>
      </c>
    </row>
    <row r="158" spans="1:65">
      <c r="A158" t="str">
        <f t="shared" si="20"/>
        <v>WG01</v>
      </c>
      <c r="B158" t="s">
        <v>298</v>
      </c>
      <c r="C158" t="s">
        <v>873</v>
      </c>
      <c r="D158" s="7"/>
      <c r="E158" s="7"/>
      <c r="G158" t="s">
        <v>1938</v>
      </c>
      <c r="H158" t="str" cm="1">
        <f t="array" ref="H158">IFERROR(_xlfn.IFS(B158="","",AND(B158="",G158=""),"",G158="","記載要"),"")</f>
        <v/>
      </c>
      <c r="K158" t="str">
        <f t="shared" si="21"/>
        <v>11WP00902405</v>
      </c>
      <c r="L158" s="3" t="str">
        <f t="shared" si="22"/>
        <v>2001/01/01</v>
      </c>
      <c r="M158" s="3" t="str">
        <f t="shared" si="23"/>
        <v>2199/12/31</v>
      </c>
      <c r="N158" t="str">
        <f t="shared" si="24"/>
        <v>11WP00902405</v>
      </c>
      <c r="O158">
        <v>5</v>
      </c>
      <c r="Q158" t="str" cm="1">
        <f t="array" ref="Q158">_xlfn.IFS(AND(C158="",G158=""),"",LEFT(G158,1)="L","記載要",LEFT(G158,1)="W","",AND(C158,G158=""),"記載要")</f>
        <v/>
      </c>
      <c r="R158" s="21" t="str">
        <f t="shared" si="29"/>
        <v/>
      </c>
      <c r="S158" s="21"/>
      <c r="Z158" s="8"/>
      <c r="AA158">
        <v>1</v>
      </c>
      <c r="AB158">
        <f t="shared" si="25"/>
        <v>0</v>
      </c>
      <c r="AC158">
        <v>1</v>
      </c>
      <c r="AF158">
        <v>1</v>
      </c>
      <c r="AG158" s="8"/>
      <c r="AH158" s="8"/>
      <c r="AK158" cm="1">
        <f t="array" ref="AK158">_xlfn.IFS(B158="","",LEFT(G158,1)="L",1,LEFT(G158,1)="W",1,AND(LEFT(B158,1)="H",G158=""),0)</f>
        <v>1</v>
      </c>
      <c r="AS158" t="str">
        <f t="shared" si="26"/>
        <v/>
      </c>
      <c r="AT158" t="s">
        <v>115</v>
      </c>
      <c r="AU158" t="str">
        <f t="shared" si="27"/>
        <v>0</v>
      </c>
      <c r="BD158" t="str">
        <f t="shared" si="28"/>
        <v>0</v>
      </c>
      <c r="BK158" t="str">
        <f>IFERROR(VLOOKUP(B158,'[1]model_S-フレーム'!$F$5:$R$7000,13,1),"")</f>
        <v>E345926_01</v>
      </c>
      <c r="BL158" s="7">
        <f>IFERROR(VLOOKUP(B158,'[1]model_S-フレーム'!$F$5:$V$7000,17,1),"")</f>
        <v>0</v>
      </c>
      <c r="BM158" t="str" cm="1">
        <f t="array" ref="BM158">_xlfn.IFS(LEFT(G158,1)="L","外注品",LEFT(G158,1)="W","内製品",G158="","購買品")</f>
        <v>内製品</v>
      </c>
    </row>
    <row r="159" spans="1:65">
      <c r="A159" t="str">
        <f t="shared" si="20"/>
        <v>WG01</v>
      </c>
      <c r="B159" t="s">
        <v>299</v>
      </c>
      <c r="C159" t="s">
        <v>874</v>
      </c>
      <c r="D159" s="7"/>
      <c r="E159" s="7"/>
      <c r="G159" t="s">
        <v>1938</v>
      </c>
      <c r="H159" t="str" cm="1">
        <f t="array" ref="H159">IFERROR(_xlfn.IFS(B159="","",AND(B159="",G159=""),"",G159="","記載要"),"")</f>
        <v/>
      </c>
      <c r="K159" t="str">
        <f t="shared" si="21"/>
        <v>11WP00902406</v>
      </c>
      <c r="L159" s="3" t="str">
        <f t="shared" si="22"/>
        <v>2001/01/01</v>
      </c>
      <c r="M159" s="3" t="str">
        <f t="shared" si="23"/>
        <v>2199/12/31</v>
      </c>
      <c r="N159" t="str">
        <f t="shared" si="24"/>
        <v>11WP00902406</v>
      </c>
      <c r="O159">
        <v>5</v>
      </c>
      <c r="Q159" t="str" cm="1">
        <f t="array" ref="Q159">_xlfn.IFS(AND(C159="",G159=""),"",LEFT(G159,1)="L","記載要",LEFT(G159,1)="W","",AND(C159,G159=""),"記載要")</f>
        <v/>
      </c>
      <c r="R159" s="21" t="str">
        <f t="shared" si="29"/>
        <v/>
      </c>
      <c r="S159" s="21"/>
      <c r="Z159" s="8"/>
      <c r="AA159">
        <v>1</v>
      </c>
      <c r="AB159">
        <f t="shared" si="25"/>
        <v>0</v>
      </c>
      <c r="AC159">
        <v>1</v>
      </c>
      <c r="AF159">
        <v>1</v>
      </c>
      <c r="AG159" s="8"/>
      <c r="AH159" s="8"/>
      <c r="AK159" cm="1">
        <f t="array" ref="AK159">_xlfn.IFS(B159="","",LEFT(G159,1)="L",1,LEFT(G159,1)="W",1,AND(LEFT(B159,1)="H",G159=""),0)</f>
        <v>1</v>
      </c>
      <c r="AS159" t="str">
        <f t="shared" si="26"/>
        <v/>
      </c>
      <c r="AT159" t="s">
        <v>115</v>
      </c>
      <c r="AU159" t="str">
        <f t="shared" si="27"/>
        <v>0</v>
      </c>
      <c r="BD159" t="str">
        <f t="shared" si="28"/>
        <v>0</v>
      </c>
      <c r="BK159" t="str">
        <f>IFERROR(VLOOKUP(B159,'[1]model_S-フレーム'!$F$5:$R$7000,13,1),"")</f>
        <v>E345926_01</v>
      </c>
      <c r="BL159" s="7">
        <f>IFERROR(VLOOKUP(B159,'[1]model_S-フレーム'!$F$5:$V$7000,17,1),"")</f>
        <v>0</v>
      </c>
      <c r="BM159" t="str" cm="1">
        <f t="array" ref="BM159">_xlfn.IFS(LEFT(G159,1)="L","外注品",LEFT(G159,1)="W","内製品",G159="","購買品")</f>
        <v>内製品</v>
      </c>
    </row>
    <row r="160" spans="1:65">
      <c r="A160" t="str">
        <f t="shared" si="20"/>
        <v>WG01</v>
      </c>
      <c r="B160" t="s">
        <v>300</v>
      </c>
      <c r="C160" t="s">
        <v>874</v>
      </c>
      <c r="D160" s="7"/>
      <c r="E160" s="7"/>
      <c r="G160" t="s">
        <v>1938</v>
      </c>
      <c r="H160" t="str" cm="1">
        <f t="array" ref="H160">IFERROR(_xlfn.IFS(B160="","",AND(B160="",G160=""),"",G160="","記載要"),"")</f>
        <v/>
      </c>
      <c r="K160" t="str">
        <f t="shared" si="21"/>
        <v>11WP00902407</v>
      </c>
      <c r="L160" s="3" t="str">
        <f t="shared" si="22"/>
        <v>2001/01/01</v>
      </c>
      <c r="M160" s="3" t="str">
        <f t="shared" si="23"/>
        <v>2199/12/31</v>
      </c>
      <c r="N160" t="str">
        <f t="shared" si="24"/>
        <v>11WP00902407</v>
      </c>
      <c r="O160">
        <v>5</v>
      </c>
      <c r="Q160" t="str" cm="1">
        <f t="array" ref="Q160">_xlfn.IFS(AND(C160="",G160=""),"",LEFT(G160,1)="L","記載要",LEFT(G160,1)="W","",AND(C160,G160=""),"記載要")</f>
        <v/>
      </c>
      <c r="R160" s="21" t="str">
        <f t="shared" si="29"/>
        <v/>
      </c>
      <c r="S160" s="21"/>
      <c r="Z160" s="8"/>
      <c r="AA160">
        <v>1</v>
      </c>
      <c r="AB160">
        <f t="shared" si="25"/>
        <v>0</v>
      </c>
      <c r="AC160">
        <v>1</v>
      </c>
      <c r="AF160">
        <v>1</v>
      </c>
      <c r="AG160" s="8"/>
      <c r="AH160" s="8"/>
      <c r="AK160" cm="1">
        <f t="array" ref="AK160">_xlfn.IFS(B160="","",LEFT(G160,1)="L",1,LEFT(G160,1)="W",1,AND(LEFT(B160,1)="H",G160=""),0)</f>
        <v>1</v>
      </c>
      <c r="AS160" t="str">
        <f t="shared" si="26"/>
        <v/>
      </c>
      <c r="AT160" t="s">
        <v>115</v>
      </c>
      <c r="AU160" t="str">
        <f t="shared" si="27"/>
        <v>0</v>
      </c>
      <c r="BD160" t="str">
        <f t="shared" si="28"/>
        <v>0</v>
      </c>
      <c r="BK160" t="str">
        <f>IFERROR(VLOOKUP(B160,'[1]model_S-フレーム'!$F$5:$R$7000,13,1),"")</f>
        <v>E345926_01</v>
      </c>
      <c r="BL160" s="7">
        <f>IFERROR(VLOOKUP(B160,'[1]model_S-フレーム'!$F$5:$V$7000,17,1),"")</f>
        <v>0</v>
      </c>
      <c r="BM160" t="str" cm="1">
        <f t="array" ref="BM160">_xlfn.IFS(LEFT(G160,1)="L","外注品",LEFT(G160,1)="W","内製品",G160="","購買品")</f>
        <v>内製品</v>
      </c>
    </row>
    <row r="161" spans="1:65">
      <c r="A161" t="str">
        <f t="shared" si="20"/>
        <v>WG01</v>
      </c>
      <c r="B161" t="s">
        <v>301</v>
      </c>
      <c r="C161" t="s">
        <v>874</v>
      </c>
      <c r="D161" s="7"/>
      <c r="E161" s="7"/>
      <c r="G161" t="s">
        <v>1938</v>
      </c>
      <c r="H161" t="str" cm="1">
        <f t="array" ref="H161">IFERROR(_xlfn.IFS(B161="","",AND(B161="",G161=""),"",G161="","記載要"),"")</f>
        <v/>
      </c>
      <c r="K161" t="str">
        <f t="shared" si="21"/>
        <v>11WP00902408</v>
      </c>
      <c r="L161" s="3" t="str">
        <f t="shared" si="22"/>
        <v>2001/01/01</v>
      </c>
      <c r="M161" s="3" t="str">
        <f t="shared" si="23"/>
        <v>2199/12/31</v>
      </c>
      <c r="N161" t="str">
        <f t="shared" si="24"/>
        <v>11WP00902408</v>
      </c>
      <c r="O161">
        <v>5</v>
      </c>
      <c r="Q161" t="str" cm="1">
        <f t="array" ref="Q161">_xlfn.IFS(AND(C161="",G161=""),"",LEFT(G161,1)="L","記載要",LEFT(G161,1)="W","",AND(C161,G161=""),"記載要")</f>
        <v/>
      </c>
      <c r="R161" s="21" t="str">
        <f t="shared" si="29"/>
        <v/>
      </c>
      <c r="S161" s="21"/>
      <c r="Z161" s="8"/>
      <c r="AA161">
        <v>1</v>
      </c>
      <c r="AB161">
        <f t="shared" si="25"/>
        <v>0</v>
      </c>
      <c r="AC161">
        <v>1</v>
      </c>
      <c r="AF161">
        <v>1</v>
      </c>
      <c r="AG161" s="8"/>
      <c r="AH161" s="8"/>
      <c r="AK161" cm="1">
        <f t="array" ref="AK161">_xlfn.IFS(B161="","",LEFT(G161,1)="L",1,LEFT(G161,1)="W",1,AND(LEFT(B161,1)="H",G161=""),0)</f>
        <v>1</v>
      </c>
      <c r="AS161" t="str">
        <f t="shared" si="26"/>
        <v/>
      </c>
      <c r="AT161" t="s">
        <v>115</v>
      </c>
      <c r="AU161" t="str">
        <f t="shared" si="27"/>
        <v>0</v>
      </c>
      <c r="BD161" t="str">
        <f t="shared" si="28"/>
        <v>0</v>
      </c>
      <c r="BK161" t="str">
        <f>IFERROR(VLOOKUP(B161,'[1]model_S-フレーム'!$F$5:$R$7000,13,1),"")</f>
        <v>E345926_01</v>
      </c>
      <c r="BL161" s="7">
        <f>IFERROR(VLOOKUP(B161,'[1]model_S-フレーム'!$F$5:$V$7000,17,1),"")</f>
        <v>0</v>
      </c>
      <c r="BM161" t="str" cm="1">
        <f t="array" ref="BM161">_xlfn.IFS(LEFT(G161,1)="L","外注品",LEFT(G161,1)="W","内製品",G161="","購買品")</f>
        <v>内製品</v>
      </c>
    </row>
    <row r="162" spans="1:65">
      <c r="A162" t="str">
        <f t="shared" si="20"/>
        <v>WG01</v>
      </c>
      <c r="B162" t="s">
        <v>302</v>
      </c>
      <c r="C162" t="s">
        <v>874</v>
      </c>
      <c r="D162" s="7"/>
      <c r="E162" s="7"/>
      <c r="G162" t="s">
        <v>1938</v>
      </c>
      <c r="H162" t="str" cm="1">
        <f t="array" ref="H162">IFERROR(_xlfn.IFS(B162="","",AND(B162="",G162=""),"",G162="","記載要"),"")</f>
        <v/>
      </c>
      <c r="K162" t="str">
        <f t="shared" si="21"/>
        <v>11WP00902409</v>
      </c>
      <c r="L162" s="3" t="str">
        <f t="shared" si="22"/>
        <v>2001/01/01</v>
      </c>
      <c r="M162" s="3" t="str">
        <f t="shared" si="23"/>
        <v>2199/12/31</v>
      </c>
      <c r="N162" t="str">
        <f t="shared" si="24"/>
        <v>11WP00902409</v>
      </c>
      <c r="O162">
        <v>5</v>
      </c>
      <c r="Q162" t="str" cm="1">
        <f t="array" ref="Q162">_xlfn.IFS(AND(C162="",G162=""),"",LEFT(G162,1)="L","記載要",LEFT(G162,1)="W","",AND(C162,G162=""),"記載要")</f>
        <v/>
      </c>
      <c r="R162" s="21" t="str">
        <f t="shared" si="29"/>
        <v/>
      </c>
      <c r="S162" s="21"/>
      <c r="Z162" s="8"/>
      <c r="AA162">
        <v>1</v>
      </c>
      <c r="AB162">
        <f t="shared" si="25"/>
        <v>0</v>
      </c>
      <c r="AC162">
        <v>1</v>
      </c>
      <c r="AF162">
        <v>1</v>
      </c>
      <c r="AG162" s="8"/>
      <c r="AH162" s="8"/>
      <c r="AK162" cm="1">
        <f t="array" ref="AK162">_xlfn.IFS(B162="","",LEFT(G162,1)="L",1,LEFT(G162,1)="W",1,AND(LEFT(B162,1)="H",G162=""),0)</f>
        <v>1</v>
      </c>
      <c r="AS162" t="str">
        <f t="shared" si="26"/>
        <v/>
      </c>
      <c r="AT162" t="s">
        <v>115</v>
      </c>
      <c r="AU162" t="str">
        <f t="shared" si="27"/>
        <v>0</v>
      </c>
      <c r="BD162" t="str">
        <f t="shared" si="28"/>
        <v>0</v>
      </c>
      <c r="BK162" t="str">
        <f>IFERROR(VLOOKUP(B162,'[1]model_S-フレーム'!$F$5:$R$7000,13,1),"")</f>
        <v>E345926_01</v>
      </c>
      <c r="BL162" s="7">
        <f>IFERROR(VLOOKUP(B162,'[1]model_S-フレーム'!$F$5:$V$7000,17,1),"")</f>
        <v>0</v>
      </c>
      <c r="BM162" t="str" cm="1">
        <f t="array" ref="BM162">_xlfn.IFS(LEFT(G162,1)="L","外注品",LEFT(G162,1)="W","内製品",G162="","購買品")</f>
        <v>内製品</v>
      </c>
    </row>
    <row r="163" spans="1:65">
      <c r="A163" t="str">
        <f t="shared" si="20"/>
        <v>WG01</v>
      </c>
      <c r="B163" t="s">
        <v>303</v>
      </c>
      <c r="C163" t="s">
        <v>875</v>
      </c>
      <c r="D163" s="7"/>
      <c r="E163" s="7"/>
      <c r="G163" t="s">
        <v>1938</v>
      </c>
      <c r="H163" t="str" cm="1">
        <f t="array" ref="H163">IFERROR(_xlfn.IFS(B163="","",AND(B163="",G163=""),"",G163="","記載要"),"")</f>
        <v/>
      </c>
      <c r="K163" t="str">
        <f t="shared" si="21"/>
        <v>11WP00902410</v>
      </c>
      <c r="L163" s="3" t="str">
        <f t="shared" si="22"/>
        <v>2001/01/01</v>
      </c>
      <c r="M163" s="3" t="str">
        <f t="shared" si="23"/>
        <v>2199/12/31</v>
      </c>
      <c r="N163" t="str">
        <f t="shared" si="24"/>
        <v>11WP00902410</v>
      </c>
      <c r="O163">
        <v>5</v>
      </c>
      <c r="Q163" t="str" cm="1">
        <f t="array" ref="Q163">_xlfn.IFS(AND(C163="",G163=""),"",LEFT(G163,1)="L","記載要",LEFT(G163,1)="W","",AND(C163,G163=""),"記載要")</f>
        <v/>
      </c>
      <c r="R163" s="21" t="str">
        <f t="shared" si="29"/>
        <v/>
      </c>
      <c r="S163" s="21"/>
      <c r="Z163" s="8"/>
      <c r="AA163">
        <v>1</v>
      </c>
      <c r="AB163">
        <f t="shared" si="25"/>
        <v>0</v>
      </c>
      <c r="AC163">
        <v>1</v>
      </c>
      <c r="AF163">
        <v>1</v>
      </c>
      <c r="AG163" s="8"/>
      <c r="AH163" s="8"/>
      <c r="AK163" cm="1">
        <f t="array" ref="AK163">_xlfn.IFS(B163="","",LEFT(G163,1)="L",1,LEFT(G163,1)="W",1,AND(LEFT(B163,1)="H",G163=""),0)</f>
        <v>1</v>
      </c>
      <c r="AS163" t="str">
        <f t="shared" si="26"/>
        <v/>
      </c>
      <c r="AT163" t="s">
        <v>115</v>
      </c>
      <c r="AU163" t="str">
        <f t="shared" si="27"/>
        <v>0</v>
      </c>
      <c r="BD163" t="str">
        <f t="shared" si="28"/>
        <v>0</v>
      </c>
      <c r="BK163" t="str">
        <f>IFERROR(VLOOKUP(B163,'[1]model_S-フレーム'!$F$5:$R$7000,13,1),"")</f>
        <v>E345926_01</v>
      </c>
      <c r="BL163" s="7">
        <f>IFERROR(VLOOKUP(B163,'[1]model_S-フレーム'!$F$5:$V$7000,17,1),"")</f>
        <v>0</v>
      </c>
      <c r="BM163" t="str" cm="1">
        <f t="array" ref="BM163">_xlfn.IFS(LEFT(G163,1)="L","外注品",LEFT(G163,1)="W","内製品",G163="","購買品")</f>
        <v>内製品</v>
      </c>
    </row>
    <row r="164" spans="1:65">
      <c r="A164" t="str">
        <f t="shared" si="20"/>
        <v>WG01</v>
      </c>
      <c r="B164" t="s">
        <v>304</v>
      </c>
      <c r="C164" t="s">
        <v>875</v>
      </c>
      <c r="D164" s="7"/>
      <c r="E164" s="7"/>
      <c r="G164" t="s">
        <v>1938</v>
      </c>
      <c r="H164" t="str" cm="1">
        <f t="array" ref="H164">IFERROR(_xlfn.IFS(B164="","",AND(B164="",G164=""),"",G164="","記載要"),"")</f>
        <v/>
      </c>
      <c r="K164" t="str">
        <f t="shared" si="21"/>
        <v>11WP00902411</v>
      </c>
      <c r="L164" s="3" t="str">
        <f t="shared" si="22"/>
        <v>2001/01/01</v>
      </c>
      <c r="M164" s="3" t="str">
        <f t="shared" si="23"/>
        <v>2199/12/31</v>
      </c>
      <c r="N164" t="str">
        <f t="shared" si="24"/>
        <v>11WP00902411</v>
      </c>
      <c r="O164">
        <v>5</v>
      </c>
      <c r="Q164" t="str" cm="1">
        <f t="array" ref="Q164">_xlfn.IFS(AND(C164="",G164=""),"",LEFT(G164,1)="L","記載要",LEFT(G164,1)="W","",AND(C164,G164=""),"記載要")</f>
        <v/>
      </c>
      <c r="R164" s="21" t="str">
        <f t="shared" si="29"/>
        <v/>
      </c>
      <c r="S164" s="21"/>
      <c r="Z164" s="8"/>
      <c r="AA164">
        <v>1</v>
      </c>
      <c r="AB164">
        <f t="shared" si="25"/>
        <v>0</v>
      </c>
      <c r="AC164">
        <v>1</v>
      </c>
      <c r="AF164">
        <v>1</v>
      </c>
      <c r="AG164" s="8"/>
      <c r="AH164" s="8"/>
      <c r="AK164" cm="1">
        <f t="array" ref="AK164">_xlfn.IFS(B164="","",LEFT(G164,1)="L",1,LEFT(G164,1)="W",1,AND(LEFT(B164,1)="H",G164=""),0)</f>
        <v>1</v>
      </c>
      <c r="AS164" t="str">
        <f t="shared" si="26"/>
        <v/>
      </c>
      <c r="AT164" t="s">
        <v>115</v>
      </c>
      <c r="AU164" t="str">
        <f t="shared" si="27"/>
        <v>0</v>
      </c>
      <c r="BD164" t="str">
        <f t="shared" si="28"/>
        <v>0</v>
      </c>
      <c r="BK164" t="str">
        <f>IFERROR(VLOOKUP(B164,'[1]model_S-フレーム'!$F$5:$R$7000,13,1),"")</f>
        <v>E345926_01</v>
      </c>
      <c r="BL164" s="7">
        <f>IFERROR(VLOOKUP(B164,'[1]model_S-フレーム'!$F$5:$V$7000,17,1),"")</f>
        <v>0</v>
      </c>
      <c r="BM164" t="str" cm="1">
        <f t="array" ref="BM164">_xlfn.IFS(LEFT(G164,1)="L","外注品",LEFT(G164,1)="W","内製品",G164="","購買品")</f>
        <v>内製品</v>
      </c>
    </row>
    <row r="165" spans="1:65">
      <c r="A165" t="str">
        <f t="shared" si="20"/>
        <v>WG01</v>
      </c>
      <c r="B165" t="s">
        <v>305</v>
      </c>
      <c r="C165" t="s">
        <v>875</v>
      </c>
      <c r="D165" s="7"/>
      <c r="E165" s="7"/>
      <c r="G165" t="s">
        <v>1938</v>
      </c>
      <c r="H165" t="str" cm="1">
        <f t="array" ref="H165">IFERROR(_xlfn.IFS(B165="","",AND(B165="",G165=""),"",G165="","記載要"),"")</f>
        <v/>
      </c>
      <c r="K165" t="str">
        <f t="shared" si="21"/>
        <v>11WP00902412</v>
      </c>
      <c r="L165" s="3" t="str">
        <f t="shared" si="22"/>
        <v>2001/01/01</v>
      </c>
      <c r="M165" s="3" t="str">
        <f t="shared" si="23"/>
        <v>2199/12/31</v>
      </c>
      <c r="N165" t="str">
        <f t="shared" si="24"/>
        <v>11WP00902412</v>
      </c>
      <c r="O165">
        <v>5</v>
      </c>
      <c r="Q165" t="str" cm="1">
        <f t="array" ref="Q165">_xlfn.IFS(AND(C165="",G165=""),"",LEFT(G165,1)="L","記載要",LEFT(G165,1)="W","",AND(C165,G165=""),"記載要")</f>
        <v/>
      </c>
      <c r="R165" s="21" t="str">
        <f t="shared" si="29"/>
        <v/>
      </c>
      <c r="S165" s="21"/>
      <c r="Z165" s="8"/>
      <c r="AA165">
        <v>1</v>
      </c>
      <c r="AB165">
        <f t="shared" si="25"/>
        <v>0</v>
      </c>
      <c r="AC165">
        <v>1</v>
      </c>
      <c r="AF165">
        <v>1</v>
      </c>
      <c r="AG165" s="8"/>
      <c r="AH165" s="8"/>
      <c r="AK165" cm="1">
        <f t="array" ref="AK165">_xlfn.IFS(B165="","",LEFT(G165,1)="L",1,LEFT(G165,1)="W",1,AND(LEFT(B165,1)="H",G165=""),0)</f>
        <v>1</v>
      </c>
      <c r="AS165" t="str">
        <f t="shared" si="26"/>
        <v/>
      </c>
      <c r="AT165" t="s">
        <v>115</v>
      </c>
      <c r="AU165" t="str">
        <f t="shared" si="27"/>
        <v>0</v>
      </c>
      <c r="BD165" t="str">
        <f t="shared" si="28"/>
        <v>0</v>
      </c>
      <c r="BK165" t="str">
        <f>IFERROR(VLOOKUP(B165,'[1]model_S-フレーム'!$F$5:$R$7000,13,1),"")</f>
        <v>E345926_01</v>
      </c>
      <c r="BL165" s="7">
        <f>IFERROR(VLOOKUP(B165,'[1]model_S-フレーム'!$F$5:$V$7000,17,1),"")</f>
        <v>0</v>
      </c>
      <c r="BM165" t="str" cm="1">
        <f t="array" ref="BM165">_xlfn.IFS(LEFT(G165,1)="L","外注品",LEFT(G165,1)="W","内製品",G165="","購買品")</f>
        <v>内製品</v>
      </c>
    </row>
    <row r="166" spans="1:65">
      <c r="A166" t="str">
        <f t="shared" si="20"/>
        <v>WG01</v>
      </c>
      <c r="B166" t="s">
        <v>306</v>
      </c>
      <c r="C166" t="s">
        <v>875</v>
      </c>
      <c r="D166" s="7"/>
      <c r="E166" s="7"/>
      <c r="G166" t="s">
        <v>1938</v>
      </c>
      <c r="H166" t="str" cm="1">
        <f t="array" ref="H166">IFERROR(_xlfn.IFS(B166="","",AND(B166="",G166=""),"",G166="","記載要"),"")</f>
        <v/>
      </c>
      <c r="K166" t="str">
        <f t="shared" si="21"/>
        <v>11WP00902413</v>
      </c>
      <c r="L166" s="3" t="str">
        <f t="shared" si="22"/>
        <v>2001/01/01</v>
      </c>
      <c r="M166" s="3" t="str">
        <f t="shared" si="23"/>
        <v>2199/12/31</v>
      </c>
      <c r="N166" t="str">
        <f t="shared" si="24"/>
        <v>11WP00902413</v>
      </c>
      <c r="O166">
        <v>5</v>
      </c>
      <c r="Q166" t="str" cm="1">
        <f t="array" ref="Q166">_xlfn.IFS(AND(C166="",G166=""),"",LEFT(G166,1)="L","記載要",LEFT(G166,1)="W","",AND(C166,G166=""),"記載要")</f>
        <v/>
      </c>
      <c r="R166" s="21" t="str">
        <f t="shared" si="29"/>
        <v/>
      </c>
      <c r="S166" s="21"/>
      <c r="Z166" s="8"/>
      <c r="AA166">
        <v>1</v>
      </c>
      <c r="AB166">
        <f t="shared" si="25"/>
        <v>0</v>
      </c>
      <c r="AC166">
        <v>1</v>
      </c>
      <c r="AF166">
        <v>1</v>
      </c>
      <c r="AG166" s="8"/>
      <c r="AH166" s="8"/>
      <c r="AK166" cm="1">
        <f t="array" ref="AK166">_xlfn.IFS(B166="","",LEFT(G166,1)="L",1,LEFT(G166,1)="W",1,AND(LEFT(B166,1)="H",G166=""),0)</f>
        <v>1</v>
      </c>
      <c r="AS166" t="str">
        <f t="shared" si="26"/>
        <v/>
      </c>
      <c r="AT166" t="s">
        <v>115</v>
      </c>
      <c r="AU166" t="str">
        <f t="shared" si="27"/>
        <v>0</v>
      </c>
      <c r="BD166" t="str">
        <f t="shared" si="28"/>
        <v>0</v>
      </c>
      <c r="BK166" t="str">
        <f>IFERROR(VLOOKUP(B166,'[1]model_S-フレーム'!$F$5:$R$7000,13,1),"")</f>
        <v>E345926_01</v>
      </c>
      <c r="BL166" s="7">
        <f>IFERROR(VLOOKUP(B166,'[1]model_S-フレーム'!$F$5:$V$7000,17,1),"")</f>
        <v>0</v>
      </c>
      <c r="BM166" t="str" cm="1">
        <f t="array" ref="BM166">_xlfn.IFS(LEFT(G166,1)="L","外注品",LEFT(G166,1)="W","内製品",G166="","購買品")</f>
        <v>内製品</v>
      </c>
    </row>
    <row r="167" spans="1:65">
      <c r="A167" t="str">
        <f t="shared" si="20"/>
        <v>WG01</v>
      </c>
      <c r="B167" t="s">
        <v>307</v>
      </c>
      <c r="C167" t="s">
        <v>876</v>
      </c>
      <c r="D167" s="7"/>
      <c r="E167" s="7"/>
      <c r="G167" t="s">
        <v>1938</v>
      </c>
      <c r="H167" t="str" cm="1">
        <f t="array" ref="H167">IFERROR(_xlfn.IFS(B167="","",AND(B167="",G167=""),"",G167="","記載要"),"")</f>
        <v/>
      </c>
      <c r="K167" t="str">
        <f t="shared" si="21"/>
        <v>11WP00902414</v>
      </c>
      <c r="L167" s="3" t="str">
        <f t="shared" si="22"/>
        <v>2001/01/01</v>
      </c>
      <c r="M167" s="3" t="str">
        <f t="shared" si="23"/>
        <v>2199/12/31</v>
      </c>
      <c r="N167" t="str">
        <f t="shared" si="24"/>
        <v>11WP00902414</v>
      </c>
      <c r="O167">
        <v>5</v>
      </c>
      <c r="Q167" t="str" cm="1">
        <f t="array" ref="Q167">_xlfn.IFS(AND(C167="",G167=""),"",LEFT(G167,1)="L","記載要",LEFT(G167,1)="W","",AND(C167,G167=""),"記載要")</f>
        <v/>
      </c>
      <c r="R167" s="21" t="str">
        <f t="shared" si="29"/>
        <v/>
      </c>
      <c r="S167" s="21"/>
      <c r="Z167" s="8"/>
      <c r="AA167">
        <v>1</v>
      </c>
      <c r="AB167">
        <f t="shared" si="25"/>
        <v>0</v>
      </c>
      <c r="AC167">
        <v>1</v>
      </c>
      <c r="AF167">
        <v>1</v>
      </c>
      <c r="AG167" s="8"/>
      <c r="AH167" s="8"/>
      <c r="AK167" cm="1">
        <f t="array" ref="AK167">_xlfn.IFS(B167="","",LEFT(G167,1)="L",1,LEFT(G167,1)="W",1,AND(LEFT(B167,1)="H",G167=""),0)</f>
        <v>1</v>
      </c>
      <c r="AS167" t="str">
        <f t="shared" si="26"/>
        <v/>
      </c>
      <c r="AT167" t="s">
        <v>115</v>
      </c>
      <c r="AU167" t="str">
        <f t="shared" si="27"/>
        <v>0</v>
      </c>
      <c r="BD167" t="str">
        <f t="shared" si="28"/>
        <v>0</v>
      </c>
      <c r="BK167" t="str">
        <f>IFERROR(VLOOKUP(B167,'[1]model_S-フレーム'!$F$5:$R$7000,13,1),"")</f>
        <v>E345926_01</v>
      </c>
      <c r="BL167" s="7">
        <f>IFERROR(VLOOKUP(B167,'[1]model_S-フレーム'!$F$5:$V$7000,17,1),"")</f>
        <v>0</v>
      </c>
      <c r="BM167" t="str" cm="1">
        <f t="array" ref="BM167">_xlfn.IFS(LEFT(G167,1)="L","外注品",LEFT(G167,1)="W","内製品",G167="","購買品")</f>
        <v>内製品</v>
      </c>
    </row>
    <row r="168" spans="1:65">
      <c r="A168" t="str">
        <f t="shared" si="20"/>
        <v>WG01</v>
      </c>
      <c r="B168" t="s">
        <v>308</v>
      </c>
      <c r="C168" t="s">
        <v>876</v>
      </c>
      <c r="D168" s="7"/>
      <c r="E168" s="7"/>
      <c r="G168" t="s">
        <v>1938</v>
      </c>
      <c r="H168" t="str" cm="1">
        <f t="array" ref="H168">IFERROR(_xlfn.IFS(B168="","",AND(B168="",G168=""),"",G168="","記載要"),"")</f>
        <v/>
      </c>
      <c r="K168" t="str">
        <f t="shared" si="21"/>
        <v>11WP00902415</v>
      </c>
      <c r="L168" s="3" t="str">
        <f t="shared" si="22"/>
        <v>2001/01/01</v>
      </c>
      <c r="M168" s="3" t="str">
        <f t="shared" si="23"/>
        <v>2199/12/31</v>
      </c>
      <c r="N168" t="str">
        <f t="shared" si="24"/>
        <v>11WP00902415</v>
      </c>
      <c r="O168">
        <v>5</v>
      </c>
      <c r="Q168" t="str" cm="1">
        <f t="array" ref="Q168">_xlfn.IFS(AND(C168="",G168=""),"",LEFT(G168,1)="L","記載要",LEFT(G168,1)="W","",AND(C168,G168=""),"記載要")</f>
        <v/>
      </c>
      <c r="R168" s="21" t="str">
        <f t="shared" si="29"/>
        <v/>
      </c>
      <c r="S168" s="21"/>
      <c r="Z168" s="8"/>
      <c r="AA168">
        <v>1</v>
      </c>
      <c r="AB168">
        <f t="shared" si="25"/>
        <v>0</v>
      </c>
      <c r="AC168">
        <v>1</v>
      </c>
      <c r="AF168">
        <v>1</v>
      </c>
      <c r="AG168" s="8"/>
      <c r="AH168" s="8"/>
      <c r="AK168" cm="1">
        <f t="array" ref="AK168">_xlfn.IFS(B168="","",LEFT(G168,1)="L",1,LEFT(G168,1)="W",1,AND(LEFT(B168,1)="H",G168=""),0)</f>
        <v>1</v>
      </c>
      <c r="AS168" t="str">
        <f t="shared" si="26"/>
        <v/>
      </c>
      <c r="AT168" t="s">
        <v>115</v>
      </c>
      <c r="AU168" t="str">
        <f t="shared" si="27"/>
        <v>0</v>
      </c>
      <c r="BD168" t="str">
        <f t="shared" si="28"/>
        <v>0</v>
      </c>
      <c r="BK168" t="str">
        <f>IFERROR(VLOOKUP(B168,'[1]model_S-フレーム'!$F$5:$R$7000,13,1),"")</f>
        <v>E345926_01</v>
      </c>
      <c r="BL168" s="7">
        <f>IFERROR(VLOOKUP(B168,'[1]model_S-フレーム'!$F$5:$V$7000,17,1),"")</f>
        <v>0</v>
      </c>
      <c r="BM168" t="str" cm="1">
        <f t="array" ref="BM168">_xlfn.IFS(LEFT(G168,1)="L","外注品",LEFT(G168,1)="W","内製品",G168="","購買品")</f>
        <v>内製品</v>
      </c>
    </row>
    <row r="169" spans="1:65">
      <c r="A169" t="str">
        <f t="shared" si="20"/>
        <v>WG01</v>
      </c>
      <c r="B169" t="s">
        <v>309</v>
      </c>
      <c r="C169" t="s">
        <v>876</v>
      </c>
      <c r="D169" s="7"/>
      <c r="E169" s="7"/>
      <c r="G169" t="s">
        <v>1938</v>
      </c>
      <c r="H169" t="str" cm="1">
        <f t="array" ref="H169">IFERROR(_xlfn.IFS(B169="","",AND(B169="",G169=""),"",G169="","記載要"),"")</f>
        <v/>
      </c>
      <c r="K169" t="str">
        <f t="shared" si="21"/>
        <v>11WP00902416</v>
      </c>
      <c r="L169" s="3" t="str">
        <f t="shared" si="22"/>
        <v>2001/01/01</v>
      </c>
      <c r="M169" s="3" t="str">
        <f t="shared" si="23"/>
        <v>2199/12/31</v>
      </c>
      <c r="N169" t="str">
        <f t="shared" si="24"/>
        <v>11WP00902416</v>
      </c>
      <c r="O169">
        <v>5</v>
      </c>
      <c r="Q169" t="str" cm="1">
        <f t="array" ref="Q169">_xlfn.IFS(AND(C169="",G169=""),"",LEFT(G169,1)="L","記載要",LEFT(G169,1)="W","",AND(C169,G169=""),"記載要")</f>
        <v/>
      </c>
      <c r="R169" s="21" t="str">
        <f t="shared" si="29"/>
        <v/>
      </c>
      <c r="S169" s="21"/>
      <c r="Z169" s="8"/>
      <c r="AA169">
        <v>1</v>
      </c>
      <c r="AB169">
        <f t="shared" si="25"/>
        <v>0</v>
      </c>
      <c r="AC169">
        <v>1</v>
      </c>
      <c r="AF169">
        <v>1</v>
      </c>
      <c r="AG169" s="8"/>
      <c r="AH169" s="8"/>
      <c r="AK169" cm="1">
        <f t="array" ref="AK169">_xlfn.IFS(B169="","",LEFT(G169,1)="L",1,LEFT(G169,1)="W",1,AND(LEFT(B169,1)="H",G169=""),0)</f>
        <v>1</v>
      </c>
      <c r="AS169" t="str">
        <f t="shared" si="26"/>
        <v/>
      </c>
      <c r="AT169" t="s">
        <v>115</v>
      </c>
      <c r="AU169" t="str">
        <f t="shared" si="27"/>
        <v>0</v>
      </c>
      <c r="BD169" t="str">
        <f t="shared" si="28"/>
        <v>0</v>
      </c>
      <c r="BK169" t="str">
        <f>IFERROR(VLOOKUP(B169,'[1]model_S-フレーム'!$F$5:$R$7000,13,1),"")</f>
        <v>E345926_01</v>
      </c>
      <c r="BL169" s="7">
        <f>IFERROR(VLOOKUP(B169,'[1]model_S-フレーム'!$F$5:$V$7000,17,1),"")</f>
        <v>0</v>
      </c>
      <c r="BM169" t="str" cm="1">
        <f t="array" ref="BM169">_xlfn.IFS(LEFT(G169,1)="L","外注品",LEFT(G169,1)="W","内製品",G169="","購買品")</f>
        <v>内製品</v>
      </c>
    </row>
    <row r="170" spans="1:65">
      <c r="A170" t="str">
        <f t="shared" si="20"/>
        <v>WG01</v>
      </c>
      <c r="B170" t="s">
        <v>310</v>
      </c>
      <c r="C170" t="s">
        <v>876</v>
      </c>
      <c r="D170" s="7"/>
      <c r="E170" s="7"/>
      <c r="G170" t="s">
        <v>1938</v>
      </c>
      <c r="H170" t="str" cm="1">
        <f t="array" ref="H170">IFERROR(_xlfn.IFS(B170="","",AND(B170="",G170=""),"",G170="","記載要"),"")</f>
        <v/>
      </c>
      <c r="K170" t="str">
        <f t="shared" si="21"/>
        <v>11WP00902417</v>
      </c>
      <c r="L170" s="3" t="str">
        <f t="shared" si="22"/>
        <v>2001/01/01</v>
      </c>
      <c r="M170" s="3" t="str">
        <f t="shared" si="23"/>
        <v>2199/12/31</v>
      </c>
      <c r="N170" t="str">
        <f t="shared" si="24"/>
        <v>11WP00902417</v>
      </c>
      <c r="O170">
        <v>5</v>
      </c>
      <c r="Q170" t="str" cm="1">
        <f t="array" ref="Q170">_xlfn.IFS(AND(C170="",G170=""),"",LEFT(G170,1)="L","記載要",LEFT(G170,1)="W","",AND(C170,G170=""),"記載要")</f>
        <v/>
      </c>
      <c r="R170" s="21" t="str">
        <f t="shared" si="29"/>
        <v/>
      </c>
      <c r="S170" s="21"/>
      <c r="Z170" s="8"/>
      <c r="AA170">
        <v>1</v>
      </c>
      <c r="AB170">
        <f t="shared" si="25"/>
        <v>0</v>
      </c>
      <c r="AC170">
        <v>1</v>
      </c>
      <c r="AF170">
        <v>1</v>
      </c>
      <c r="AG170" s="8"/>
      <c r="AH170" s="8"/>
      <c r="AK170" cm="1">
        <f t="array" ref="AK170">_xlfn.IFS(B170="","",LEFT(G170,1)="L",1,LEFT(G170,1)="W",1,AND(LEFT(B170,1)="H",G170=""),0)</f>
        <v>1</v>
      </c>
      <c r="AS170" t="str">
        <f t="shared" si="26"/>
        <v/>
      </c>
      <c r="AT170" t="s">
        <v>115</v>
      </c>
      <c r="AU170" t="str">
        <f t="shared" si="27"/>
        <v>0</v>
      </c>
      <c r="BD170" t="str">
        <f t="shared" si="28"/>
        <v>0</v>
      </c>
      <c r="BK170" t="str">
        <f>IFERROR(VLOOKUP(B170,'[1]model_S-フレーム'!$F$5:$R$7000,13,1),"")</f>
        <v>E345926_01</v>
      </c>
      <c r="BL170" s="7">
        <f>IFERROR(VLOOKUP(B170,'[1]model_S-フレーム'!$F$5:$V$7000,17,1),"")</f>
        <v>0</v>
      </c>
      <c r="BM170" t="str" cm="1">
        <f t="array" ref="BM170">_xlfn.IFS(LEFT(G170,1)="L","外注品",LEFT(G170,1)="W","内製品",G170="","購買品")</f>
        <v>内製品</v>
      </c>
    </row>
    <row r="171" spans="1:65">
      <c r="A171" t="str">
        <f t="shared" si="20"/>
        <v>WG01</v>
      </c>
      <c r="B171" t="s">
        <v>311</v>
      </c>
      <c r="C171" t="s">
        <v>877</v>
      </c>
      <c r="D171" s="7"/>
      <c r="E171" s="7"/>
      <c r="G171" t="s">
        <v>1938</v>
      </c>
      <c r="H171" t="str" cm="1">
        <f t="array" ref="H171">IFERROR(_xlfn.IFS(B171="","",AND(B171="",G171=""),"",G171="","記載要"),"")</f>
        <v/>
      </c>
      <c r="K171" t="str">
        <f t="shared" si="21"/>
        <v>11WP00902418</v>
      </c>
      <c r="L171" s="3" t="str">
        <f t="shared" si="22"/>
        <v>2001/01/01</v>
      </c>
      <c r="M171" s="3" t="str">
        <f t="shared" si="23"/>
        <v>2199/12/31</v>
      </c>
      <c r="N171" t="str">
        <f t="shared" si="24"/>
        <v>11WP00902418</v>
      </c>
      <c r="O171">
        <v>5</v>
      </c>
      <c r="Q171" t="str" cm="1">
        <f t="array" ref="Q171">_xlfn.IFS(AND(C171="",G171=""),"",LEFT(G171,1)="L","記載要",LEFT(G171,1)="W","",AND(C171,G171=""),"記載要")</f>
        <v/>
      </c>
      <c r="R171" s="21" t="str">
        <f t="shared" si="29"/>
        <v/>
      </c>
      <c r="S171" s="21"/>
      <c r="Z171" s="8"/>
      <c r="AA171">
        <v>1</v>
      </c>
      <c r="AB171">
        <f t="shared" si="25"/>
        <v>0</v>
      </c>
      <c r="AC171">
        <v>1</v>
      </c>
      <c r="AF171">
        <v>1</v>
      </c>
      <c r="AG171" s="8"/>
      <c r="AH171" s="8"/>
      <c r="AK171" cm="1">
        <f t="array" ref="AK171">_xlfn.IFS(B171="","",LEFT(G171,1)="L",1,LEFT(G171,1)="W",1,AND(LEFT(B171,1)="H",G171=""),0)</f>
        <v>1</v>
      </c>
      <c r="AS171" t="str">
        <f t="shared" si="26"/>
        <v/>
      </c>
      <c r="AT171" t="s">
        <v>115</v>
      </c>
      <c r="AU171" t="str">
        <f t="shared" si="27"/>
        <v>0</v>
      </c>
      <c r="BD171" t="str">
        <f t="shared" si="28"/>
        <v>0</v>
      </c>
      <c r="BK171" t="str">
        <f>IFERROR(VLOOKUP(B171,'[1]model_S-フレーム'!$F$5:$R$7000,13,1),"")</f>
        <v>E345926_01</v>
      </c>
      <c r="BL171" s="7">
        <f>IFERROR(VLOOKUP(B171,'[1]model_S-フレーム'!$F$5:$V$7000,17,1),"")</f>
        <v>0</v>
      </c>
      <c r="BM171" t="str" cm="1">
        <f t="array" ref="BM171">_xlfn.IFS(LEFT(G171,1)="L","外注品",LEFT(G171,1)="W","内製品",G171="","購買品")</f>
        <v>内製品</v>
      </c>
    </row>
    <row r="172" spans="1:65">
      <c r="A172" t="str">
        <f t="shared" si="20"/>
        <v>WG01</v>
      </c>
      <c r="B172" t="s">
        <v>312</v>
      </c>
      <c r="C172" t="s">
        <v>877</v>
      </c>
      <c r="D172" s="7"/>
      <c r="E172" s="7"/>
      <c r="G172" t="s">
        <v>1938</v>
      </c>
      <c r="H172" t="str" cm="1">
        <f t="array" ref="H172">IFERROR(_xlfn.IFS(B172="","",AND(B172="",G172=""),"",G172="","記載要"),"")</f>
        <v/>
      </c>
      <c r="K172" t="str">
        <f t="shared" si="21"/>
        <v>11WP00902419</v>
      </c>
      <c r="L172" s="3" t="str">
        <f t="shared" si="22"/>
        <v>2001/01/01</v>
      </c>
      <c r="M172" s="3" t="str">
        <f t="shared" si="23"/>
        <v>2199/12/31</v>
      </c>
      <c r="N172" t="str">
        <f t="shared" si="24"/>
        <v>11WP00902419</v>
      </c>
      <c r="O172">
        <v>5</v>
      </c>
      <c r="Q172" t="str" cm="1">
        <f t="array" ref="Q172">_xlfn.IFS(AND(C172="",G172=""),"",LEFT(G172,1)="L","記載要",LEFT(G172,1)="W","",AND(C172,G172=""),"記載要")</f>
        <v/>
      </c>
      <c r="R172" s="21" t="str">
        <f t="shared" si="29"/>
        <v/>
      </c>
      <c r="S172" s="21"/>
      <c r="Z172" s="8"/>
      <c r="AA172">
        <v>1</v>
      </c>
      <c r="AB172">
        <f t="shared" si="25"/>
        <v>0</v>
      </c>
      <c r="AC172">
        <v>1</v>
      </c>
      <c r="AF172">
        <v>1</v>
      </c>
      <c r="AG172" s="8"/>
      <c r="AH172" s="8"/>
      <c r="AK172" cm="1">
        <f t="array" ref="AK172">_xlfn.IFS(B172="","",LEFT(G172,1)="L",1,LEFT(G172,1)="W",1,AND(LEFT(B172,1)="H",G172=""),0)</f>
        <v>1</v>
      </c>
      <c r="AS172" t="str">
        <f t="shared" si="26"/>
        <v/>
      </c>
      <c r="AT172" t="s">
        <v>115</v>
      </c>
      <c r="AU172" t="str">
        <f t="shared" si="27"/>
        <v>0</v>
      </c>
      <c r="BD172" t="str">
        <f t="shared" si="28"/>
        <v>0</v>
      </c>
      <c r="BK172" t="str">
        <f>IFERROR(VLOOKUP(B172,'[1]model_S-フレーム'!$F$5:$R$7000,13,1),"")</f>
        <v>E345926_01</v>
      </c>
      <c r="BL172" s="7">
        <f>IFERROR(VLOOKUP(B172,'[1]model_S-フレーム'!$F$5:$V$7000,17,1),"")</f>
        <v>0</v>
      </c>
      <c r="BM172" t="str" cm="1">
        <f t="array" ref="BM172">_xlfn.IFS(LEFT(G172,1)="L","外注品",LEFT(G172,1)="W","内製品",G172="","購買品")</f>
        <v>内製品</v>
      </c>
    </row>
    <row r="173" spans="1:65">
      <c r="A173" t="str">
        <f t="shared" si="20"/>
        <v>WG01</v>
      </c>
      <c r="B173" t="s">
        <v>313</v>
      </c>
      <c r="C173" t="s">
        <v>877</v>
      </c>
      <c r="D173" s="7"/>
      <c r="E173" s="7"/>
      <c r="G173" t="s">
        <v>1938</v>
      </c>
      <c r="H173" t="str" cm="1">
        <f t="array" ref="H173">IFERROR(_xlfn.IFS(B173="","",AND(B173="",G173=""),"",G173="","記載要"),"")</f>
        <v/>
      </c>
      <c r="K173" t="str">
        <f t="shared" si="21"/>
        <v>11WP00902420</v>
      </c>
      <c r="L173" s="3" t="str">
        <f t="shared" si="22"/>
        <v>2001/01/01</v>
      </c>
      <c r="M173" s="3" t="str">
        <f t="shared" si="23"/>
        <v>2199/12/31</v>
      </c>
      <c r="N173" t="str">
        <f t="shared" si="24"/>
        <v>11WP00902420</v>
      </c>
      <c r="O173">
        <v>5</v>
      </c>
      <c r="Q173" t="str" cm="1">
        <f t="array" ref="Q173">_xlfn.IFS(AND(C173="",G173=""),"",LEFT(G173,1)="L","記載要",LEFT(G173,1)="W","",AND(C173,G173=""),"記載要")</f>
        <v/>
      </c>
      <c r="R173" s="21" t="str">
        <f t="shared" si="29"/>
        <v/>
      </c>
      <c r="S173" s="21"/>
      <c r="Z173" s="8"/>
      <c r="AA173">
        <v>1</v>
      </c>
      <c r="AB173">
        <f t="shared" si="25"/>
        <v>0</v>
      </c>
      <c r="AC173">
        <v>1</v>
      </c>
      <c r="AF173">
        <v>1</v>
      </c>
      <c r="AG173" s="8"/>
      <c r="AH173" s="8"/>
      <c r="AK173" cm="1">
        <f t="array" ref="AK173">_xlfn.IFS(B173="","",LEFT(G173,1)="L",1,LEFT(G173,1)="W",1,AND(LEFT(B173,1)="H",G173=""),0)</f>
        <v>1</v>
      </c>
      <c r="AS173" t="str">
        <f t="shared" si="26"/>
        <v/>
      </c>
      <c r="AT173" t="s">
        <v>115</v>
      </c>
      <c r="AU173" t="str">
        <f t="shared" si="27"/>
        <v>0</v>
      </c>
      <c r="BD173" t="str">
        <f t="shared" si="28"/>
        <v>0</v>
      </c>
      <c r="BK173" t="str">
        <f>IFERROR(VLOOKUP(B173,'[1]model_S-フレーム'!$F$5:$R$7000,13,1),"")</f>
        <v>E345926_01</v>
      </c>
      <c r="BL173" s="7">
        <f>IFERROR(VLOOKUP(B173,'[1]model_S-フレーム'!$F$5:$V$7000,17,1),"")</f>
        <v>0</v>
      </c>
      <c r="BM173" t="str" cm="1">
        <f t="array" ref="BM173">_xlfn.IFS(LEFT(G173,1)="L","外注品",LEFT(G173,1)="W","内製品",G173="","購買品")</f>
        <v>内製品</v>
      </c>
    </row>
    <row r="174" spans="1:65">
      <c r="A174" t="str">
        <f t="shared" si="20"/>
        <v>WG01</v>
      </c>
      <c r="B174" t="s">
        <v>314</v>
      </c>
      <c r="C174" t="s">
        <v>877</v>
      </c>
      <c r="D174" s="7"/>
      <c r="E174" s="7"/>
      <c r="G174" t="s">
        <v>1938</v>
      </c>
      <c r="H174" t="str" cm="1">
        <f t="array" ref="H174">IFERROR(_xlfn.IFS(B174="","",AND(B174="",G174=""),"",G174="","記載要"),"")</f>
        <v/>
      </c>
      <c r="K174" t="str">
        <f t="shared" si="21"/>
        <v>11WP00902421</v>
      </c>
      <c r="L174" s="3" t="str">
        <f t="shared" si="22"/>
        <v>2001/01/01</v>
      </c>
      <c r="M174" s="3" t="str">
        <f t="shared" si="23"/>
        <v>2199/12/31</v>
      </c>
      <c r="N174" t="str">
        <f t="shared" si="24"/>
        <v>11WP00902421</v>
      </c>
      <c r="O174">
        <v>5</v>
      </c>
      <c r="Q174" t="str" cm="1">
        <f t="array" ref="Q174">_xlfn.IFS(AND(C174="",G174=""),"",LEFT(G174,1)="L","記載要",LEFT(G174,1)="W","",AND(C174,G174=""),"記載要")</f>
        <v/>
      </c>
      <c r="R174" s="21" t="str">
        <f t="shared" si="29"/>
        <v/>
      </c>
      <c r="S174" s="21"/>
      <c r="Z174" s="8"/>
      <c r="AA174">
        <v>1</v>
      </c>
      <c r="AB174">
        <f t="shared" si="25"/>
        <v>0</v>
      </c>
      <c r="AC174">
        <v>1</v>
      </c>
      <c r="AF174">
        <v>1</v>
      </c>
      <c r="AG174" s="8"/>
      <c r="AH174" s="8"/>
      <c r="AK174" cm="1">
        <f t="array" ref="AK174">_xlfn.IFS(B174="","",LEFT(G174,1)="L",1,LEFT(G174,1)="W",1,AND(LEFT(B174,1)="H",G174=""),0)</f>
        <v>1</v>
      </c>
      <c r="AS174" t="str">
        <f t="shared" si="26"/>
        <v/>
      </c>
      <c r="AT174" t="s">
        <v>115</v>
      </c>
      <c r="AU174" t="str">
        <f t="shared" si="27"/>
        <v>0</v>
      </c>
      <c r="BD174" t="str">
        <f t="shared" si="28"/>
        <v>0</v>
      </c>
      <c r="BK174" t="str">
        <f>IFERROR(VLOOKUP(B174,'[1]model_S-フレーム'!$F$5:$R$7000,13,1),"")</f>
        <v>E345926_01</v>
      </c>
      <c r="BL174" s="7">
        <f>IFERROR(VLOOKUP(B174,'[1]model_S-フレーム'!$F$5:$V$7000,17,1),"")</f>
        <v>0</v>
      </c>
      <c r="BM174" t="str" cm="1">
        <f t="array" ref="BM174">_xlfn.IFS(LEFT(G174,1)="L","外注品",LEFT(G174,1)="W","内製品",G174="","購買品")</f>
        <v>内製品</v>
      </c>
    </row>
    <row r="175" spans="1:65">
      <c r="A175" t="str">
        <f t="shared" si="20"/>
        <v>WG01</v>
      </c>
      <c r="B175" t="s">
        <v>315</v>
      </c>
      <c r="C175" t="s">
        <v>878</v>
      </c>
      <c r="D175" s="7"/>
      <c r="E175" s="7"/>
      <c r="G175" t="s">
        <v>1938</v>
      </c>
      <c r="H175" t="str" cm="1">
        <f t="array" ref="H175">IFERROR(_xlfn.IFS(B175="","",AND(B175="",G175=""),"",G175="","記載要"),"")</f>
        <v/>
      </c>
      <c r="K175" t="str">
        <f t="shared" si="21"/>
        <v>11WP00902422</v>
      </c>
      <c r="L175" s="3" t="str">
        <f t="shared" si="22"/>
        <v>2001/01/01</v>
      </c>
      <c r="M175" s="3" t="str">
        <f t="shared" si="23"/>
        <v>2199/12/31</v>
      </c>
      <c r="N175" t="str">
        <f t="shared" si="24"/>
        <v>11WP00902422</v>
      </c>
      <c r="O175">
        <v>5</v>
      </c>
      <c r="Q175" t="str" cm="1">
        <f t="array" ref="Q175">_xlfn.IFS(AND(C175="",G175=""),"",LEFT(G175,1)="L","記載要",LEFT(G175,1)="W","",AND(C175,G175=""),"記載要")</f>
        <v/>
      </c>
      <c r="R175" s="21" t="str">
        <f t="shared" si="29"/>
        <v/>
      </c>
      <c r="S175" s="21"/>
      <c r="Z175" s="8"/>
      <c r="AA175">
        <v>1</v>
      </c>
      <c r="AB175">
        <f t="shared" si="25"/>
        <v>0</v>
      </c>
      <c r="AC175">
        <v>1</v>
      </c>
      <c r="AF175">
        <v>1</v>
      </c>
      <c r="AG175" s="8"/>
      <c r="AH175" s="8"/>
      <c r="AK175" cm="1">
        <f t="array" ref="AK175">_xlfn.IFS(B175="","",LEFT(G175,1)="L",1,LEFT(G175,1)="W",1,AND(LEFT(B175,1)="H",G175=""),0)</f>
        <v>1</v>
      </c>
      <c r="AS175" t="str">
        <f t="shared" si="26"/>
        <v/>
      </c>
      <c r="AT175" t="s">
        <v>115</v>
      </c>
      <c r="AU175" t="str">
        <f t="shared" si="27"/>
        <v>0</v>
      </c>
      <c r="BD175" t="str">
        <f t="shared" si="28"/>
        <v>0</v>
      </c>
      <c r="BK175" t="str">
        <f>IFERROR(VLOOKUP(B175,'[1]model_S-フレーム'!$F$5:$R$7000,13,1),"")</f>
        <v>E345926_01</v>
      </c>
      <c r="BL175" s="7">
        <f>IFERROR(VLOOKUP(B175,'[1]model_S-フレーム'!$F$5:$V$7000,17,1),"")</f>
        <v>0</v>
      </c>
      <c r="BM175" t="str" cm="1">
        <f t="array" ref="BM175">_xlfn.IFS(LEFT(G175,1)="L","外注品",LEFT(G175,1)="W","内製品",G175="","購買品")</f>
        <v>内製品</v>
      </c>
    </row>
    <row r="176" spans="1:65">
      <c r="A176" t="str">
        <f t="shared" si="20"/>
        <v>WG01</v>
      </c>
      <c r="B176" t="s">
        <v>316</v>
      </c>
      <c r="C176" t="s">
        <v>878</v>
      </c>
      <c r="D176" s="7"/>
      <c r="E176" s="7"/>
      <c r="G176" t="s">
        <v>1938</v>
      </c>
      <c r="H176" t="str" cm="1">
        <f t="array" ref="H176">IFERROR(_xlfn.IFS(B176="","",AND(B176="",G176=""),"",G176="","記載要"),"")</f>
        <v/>
      </c>
      <c r="K176" t="str">
        <f t="shared" si="21"/>
        <v>11WP00902423</v>
      </c>
      <c r="L176" s="3" t="str">
        <f t="shared" si="22"/>
        <v>2001/01/01</v>
      </c>
      <c r="M176" s="3" t="str">
        <f t="shared" si="23"/>
        <v>2199/12/31</v>
      </c>
      <c r="N176" t="str">
        <f t="shared" si="24"/>
        <v>11WP00902423</v>
      </c>
      <c r="O176">
        <v>5</v>
      </c>
      <c r="Q176" t="str" cm="1">
        <f t="array" ref="Q176">_xlfn.IFS(AND(C176="",G176=""),"",LEFT(G176,1)="L","記載要",LEFT(G176,1)="W","",AND(C176,G176=""),"記載要")</f>
        <v/>
      </c>
      <c r="R176" s="21" t="str">
        <f t="shared" si="29"/>
        <v/>
      </c>
      <c r="S176" s="21"/>
      <c r="Z176" s="8"/>
      <c r="AA176">
        <v>1</v>
      </c>
      <c r="AB176">
        <f t="shared" si="25"/>
        <v>0</v>
      </c>
      <c r="AC176">
        <v>1</v>
      </c>
      <c r="AF176">
        <v>1</v>
      </c>
      <c r="AG176" s="8"/>
      <c r="AH176" s="8"/>
      <c r="AK176" cm="1">
        <f t="array" ref="AK176">_xlfn.IFS(B176="","",LEFT(G176,1)="L",1,LEFT(G176,1)="W",1,AND(LEFT(B176,1)="H",G176=""),0)</f>
        <v>1</v>
      </c>
      <c r="AS176" t="str">
        <f t="shared" si="26"/>
        <v/>
      </c>
      <c r="AT176" t="s">
        <v>115</v>
      </c>
      <c r="AU176" t="str">
        <f t="shared" si="27"/>
        <v>0</v>
      </c>
      <c r="BD176" t="str">
        <f t="shared" si="28"/>
        <v>0</v>
      </c>
      <c r="BK176" t="str">
        <f>IFERROR(VLOOKUP(B176,'[1]model_S-フレーム'!$F$5:$R$7000,13,1),"")</f>
        <v>E345926_01</v>
      </c>
      <c r="BL176" s="7">
        <f>IFERROR(VLOOKUP(B176,'[1]model_S-フレーム'!$F$5:$V$7000,17,1),"")</f>
        <v>0</v>
      </c>
      <c r="BM176" t="str" cm="1">
        <f t="array" ref="BM176">_xlfn.IFS(LEFT(G176,1)="L","外注品",LEFT(G176,1)="W","内製品",G176="","購買品")</f>
        <v>内製品</v>
      </c>
    </row>
    <row r="177" spans="1:65">
      <c r="A177" t="str">
        <f t="shared" si="20"/>
        <v>WG01</v>
      </c>
      <c r="B177" t="s">
        <v>317</v>
      </c>
      <c r="C177" t="s">
        <v>878</v>
      </c>
      <c r="D177" s="7"/>
      <c r="E177" s="7"/>
      <c r="G177" t="s">
        <v>1938</v>
      </c>
      <c r="H177" t="str" cm="1">
        <f t="array" ref="H177">IFERROR(_xlfn.IFS(B177="","",AND(B177="",G177=""),"",G177="","記載要"),"")</f>
        <v/>
      </c>
      <c r="K177" t="str">
        <f t="shared" si="21"/>
        <v>11WP00902424</v>
      </c>
      <c r="L177" s="3" t="str">
        <f t="shared" si="22"/>
        <v>2001/01/01</v>
      </c>
      <c r="M177" s="3" t="str">
        <f t="shared" si="23"/>
        <v>2199/12/31</v>
      </c>
      <c r="N177" t="str">
        <f t="shared" si="24"/>
        <v>11WP00902424</v>
      </c>
      <c r="O177">
        <v>5</v>
      </c>
      <c r="Q177" t="str" cm="1">
        <f t="array" ref="Q177">_xlfn.IFS(AND(C177="",G177=""),"",LEFT(G177,1)="L","記載要",LEFT(G177,1)="W","",AND(C177,G177=""),"記載要")</f>
        <v/>
      </c>
      <c r="R177" s="21" t="str">
        <f t="shared" si="29"/>
        <v/>
      </c>
      <c r="S177" s="21"/>
      <c r="Z177" s="8"/>
      <c r="AA177">
        <v>1</v>
      </c>
      <c r="AB177">
        <f t="shared" si="25"/>
        <v>0</v>
      </c>
      <c r="AC177">
        <v>1</v>
      </c>
      <c r="AF177">
        <v>1</v>
      </c>
      <c r="AG177" s="8"/>
      <c r="AH177" s="8"/>
      <c r="AK177" cm="1">
        <f t="array" ref="AK177">_xlfn.IFS(B177="","",LEFT(G177,1)="L",1,LEFT(G177,1)="W",1,AND(LEFT(B177,1)="H",G177=""),0)</f>
        <v>1</v>
      </c>
      <c r="AS177" t="str">
        <f t="shared" si="26"/>
        <v/>
      </c>
      <c r="AT177" t="s">
        <v>115</v>
      </c>
      <c r="AU177" t="str">
        <f t="shared" si="27"/>
        <v>0</v>
      </c>
      <c r="BD177" t="str">
        <f t="shared" si="28"/>
        <v>0</v>
      </c>
      <c r="BK177" t="str">
        <f>IFERROR(VLOOKUP(B177,'[1]model_S-フレーム'!$F$5:$R$7000,13,1),"")</f>
        <v>E345926_01</v>
      </c>
      <c r="BL177" s="7">
        <f>IFERROR(VLOOKUP(B177,'[1]model_S-フレーム'!$F$5:$V$7000,17,1),"")</f>
        <v>0</v>
      </c>
      <c r="BM177" t="str" cm="1">
        <f t="array" ref="BM177">_xlfn.IFS(LEFT(G177,1)="L","外注品",LEFT(G177,1)="W","内製品",G177="","購買品")</f>
        <v>内製品</v>
      </c>
    </row>
    <row r="178" spans="1:65">
      <c r="A178" t="str">
        <f t="shared" si="20"/>
        <v>WG01</v>
      </c>
      <c r="B178" t="s">
        <v>318</v>
      </c>
      <c r="C178" t="s">
        <v>878</v>
      </c>
      <c r="D178" s="7"/>
      <c r="E178" s="7"/>
      <c r="G178" t="s">
        <v>1938</v>
      </c>
      <c r="H178" t="str" cm="1">
        <f t="array" ref="H178">IFERROR(_xlfn.IFS(B178="","",AND(B178="",G178=""),"",G178="","記載要"),"")</f>
        <v/>
      </c>
      <c r="K178" t="str">
        <f t="shared" si="21"/>
        <v>11WP00902425</v>
      </c>
      <c r="L178" s="3" t="str">
        <f t="shared" si="22"/>
        <v>2001/01/01</v>
      </c>
      <c r="M178" s="3" t="str">
        <f t="shared" si="23"/>
        <v>2199/12/31</v>
      </c>
      <c r="N178" t="str">
        <f t="shared" si="24"/>
        <v>11WP00902425</v>
      </c>
      <c r="O178">
        <v>5</v>
      </c>
      <c r="Q178" t="str" cm="1">
        <f t="array" ref="Q178">_xlfn.IFS(AND(C178="",G178=""),"",LEFT(G178,1)="L","記載要",LEFT(G178,1)="W","",AND(C178,G178=""),"記載要")</f>
        <v/>
      </c>
      <c r="R178" s="21" t="str">
        <f t="shared" si="29"/>
        <v/>
      </c>
      <c r="S178" s="21"/>
      <c r="Z178" s="8"/>
      <c r="AA178">
        <v>1</v>
      </c>
      <c r="AB178">
        <f t="shared" si="25"/>
        <v>0</v>
      </c>
      <c r="AC178">
        <v>1</v>
      </c>
      <c r="AF178">
        <v>1</v>
      </c>
      <c r="AG178" s="8"/>
      <c r="AH178" s="8"/>
      <c r="AK178" cm="1">
        <f t="array" ref="AK178">_xlfn.IFS(B178="","",LEFT(G178,1)="L",1,LEFT(G178,1)="W",1,AND(LEFT(B178,1)="H",G178=""),0)</f>
        <v>1</v>
      </c>
      <c r="AS178" t="str">
        <f t="shared" si="26"/>
        <v/>
      </c>
      <c r="AT178" t="s">
        <v>115</v>
      </c>
      <c r="AU178" t="str">
        <f t="shared" si="27"/>
        <v>0</v>
      </c>
      <c r="BD178" t="str">
        <f t="shared" si="28"/>
        <v>0</v>
      </c>
      <c r="BK178" t="str">
        <f>IFERROR(VLOOKUP(B178,'[1]model_S-フレーム'!$F$5:$R$7000,13,1),"")</f>
        <v>E345926_01</v>
      </c>
      <c r="BL178" s="7">
        <f>IFERROR(VLOOKUP(B178,'[1]model_S-フレーム'!$F$5:$V$7000,17,1),"")</f>
        <v>0</v>
      </c>
      <c r="BM178" t="str" cm="1">
        <f t="array" ref="BM178">_xlfn.IFS(LEFT(G178,1)="L","外注品",LEFT(G178,1)="W","内製品",G178="","購買品")</f>
        <v>内製品</v>
      </c>
    </row>
    <row r="179" spans="1:65">
      <c r="A179" t="str">
        <f t="shared" si="20"/>
        <v>WG01</v>
      </c>
      <c r="B179" t="s">
        <v>319</v>
      </c>
      <c r="C179" t="s">
        <v>879</v>
      </c>
      <c r="D179" s="7"/>
      <c r="E179" s="7"/>
      <c r="H179">
        <v>27616</v>
      </c>
      <c r="K179" t="str">
        <f t="shared" si="21"/>
        <v/>
      </c>
      <c r="L179" s="3" t="str">
        <f t="shared" si="22"/>
        <v>2001/01/01</v>
      </c>
      <c r="M179" s="3" t="str">
        <f t="shared" si="23"/>
        <v>2199/12/31</v>
      </c>
      <c r="N179" t="str">
        <f t="shared" si="24"/>
        <v/>
      </c>
      <c r="O179" t="str">
        <f t="shared" ref="O179:O186" si="30">IF(G179="","","記載要")</f>
        <v/>
      </c>
      <c r="Q179">
        <v>15</v>
      </c>
      <c r="R179" s="21">
        <v>24396</v>
      </c>
      <c r="S179" s="21" t="str" cm="1">
        <f t="array" ref="S179">_xlfn.IFS(LEFT(G179,1)="L","記載要",LEFT(G179,1)="W","記載要",G179="","")</f>
        <v/>
      </c>
      <c r="Z179" s="8"/>
      <c r="AA179" s="8">
        <v>1</v>
      </c>
      <c r="AB179">
        <f t="shared" si="25"/>
        <v>0</v>
      </c>
      <c r="AC179" s="8">
        <v>12</v>
      </c>
      <c r="AF179">
        <v>1</v>
      </c>
      <c r="AG179" s="8"/>
      <c r="AH179" s="8"/>
      <c r="AK179" cm="1">
        <f t="array" ref="AK179">_xlfn.IFS(B179="","",LEFT(G179,1)="L",1,LEFT(G179,1)="W",1,AND(LEFT(B179,1)="H",G179=""),0)</f>
        <v>0</v>
      </c>
      <c r="AS179">
        <f t="shared" si="26"/>
        <v>1</v>
      </c>
      <c r="AT179" t="s">
        <v>115</v>
      </c>
      <c r="AU179" t="str">
        <f t="shared" si="27"/>
        <v>0</v>
      </c>
      <c r="BD179" t="str">
        <f t="shared" si="28"/>
        <v>0</v>
      </c>
      <c r="BK179" t="str">
        <f>IFERROR(VLOOKUP(B179,'[1]model_S-フレーム'!$F$5:$R$7000,13,1),"")</f>
        <v>E345926_01</v>
      </c>
      <c r="BL179" s="7">
        <f>IFERROR(VLOOKUP(B179,'[1]model_S-フレーム'!$F$5:$V$7000,17,1),"")</f>
        <v>0</v>
      </c>
      <c r="BM179" t="str" cm="1">
        <f t="array" ref="BM179">_xlfn.IFS(LEFT(G179,1)="L","外注品",LEFT(G179,1)="W","内製品",G179="","購買品")</f>
        <v>購買品</v>
      </c>
    </row>
    <row r="180" spans="1:65">
      <c r="A180" t="str">
        <f t="shared" si="20"/>
        <v>WG01</v>
      </c>
      <c r="B180" t="s">
        <v>319</v>
      </c>
      <c r="C180" t="s">
        <v>879</v>
      </c>
      <c r="D180" s="7"/>
      <c r="E180" s="7"/>
      <c r="H180">
        <v>43453</v>
      </c>
      <c r="K180" t="str">
        <f t="shared" si="21"/>
        <v/>
      </c>
      <c r="L180" s="3" t="str">
        <f t="shared" si="22"/>
        <v>2001/01/01</v>
      </c>
      <c r="M180" s="3" t="str">
        <f t="shared" si="23"/>
        <v>2199/12/31</v>
      </c>
      <c r="N180" t="str">
        <f t="shared" si="24"/>
        <v/>
      </c>
      <c r="O180" t="str">
        <f t="shared" si="30"/>
        <v/>
      </c>
      <c r="Q180">
        <v>15</v>
      </c>
      <c r="R180" s="21">
        <v>24480</v>
      </c>
      <c r="S180" s="21" t="str" cm="1">
        <f t="array" ref="S180">_xlfn.IFS(LEFT(G180,1)="L","記載要",LEFT(G180,1)="W","記載要",G180="","")</f>
        <v/>
      </c>
      <c r="Z180" s="8"/>
      <c r="AA180" s="8">
        <v>1</v>
      </c>
      <c r="AB180">
        <f t="shared" si="25"/>
        <v>0</v>
      </c>
      <c r="AC180" s="8">
        <v>12</v>
      </c>
      <c r="AF180">
        <v>1</v>
      </c>
      <c r="AG180" s="8"/>
      <c r="AH180" s="8"/>
      <c r="AK180" cm="1">
        <f t="array" ref="AK180">_xlfn.IFS(B180="","",LEFT(G180,1)="L",1,LEFT(G180,1)="W",1,AND(LEFT(B180,1)="H",G180=""),0)</f>
        <v>0</v>
      </c>
      <c r="AS180">
        <f t="shared" si="26"/>
        <v>1</v>
      </c>
      <c r="AT180" t="s">
        <v>115</v>
      </c>
      <c r="AU180" t="str">
        <f t="shared" si="27"/>
        <v>0</v>
      </c>
      <c r="BD180" t="str">
        <f t="shared" si="28"/>
        <v>0</v>
      </c>
      <c r="BK180" t="str">
        <f>IFERROR(VLOOKUP(B180,'[1]model_S-フレーム'!$F$5:$R$7000,13,1),"")</f>
        <v>E345926_01</v>
      </c>
      <c r="BL180" s="7">
        <f>IFERROR(VLOOKUP(B180,'[1]model_S-フレーム'!$F$5:$V$7000,17,1),"")</f>
        <v>0</v>
      </c>
      <c r="BM180" t="str" cm="1">
        <f t="array" ref="BM180">_xlfn.IFS(LEFT(G180,1)="L","外注品",LEFT(G180,1)="W","内製品",G180="","購買品")</f>
        <v>購買品</v>
      </c>
    </row>
    <row r="181" spans="1:65">
      <c r="A181" t="str">
        <f t="shared" si="20"/>
        <v>WG01</v>
      </c>
      <c r="B181" t="s">
        <v>319</v>
      </c>
      <c r="C181" t="s">
        <v>879</v>
      </c>
      <c r="D181" s="7"/>
      <c r="E181" s="7"/>
      <c r="H181">
        <v>47081</v>
      </c>
      <c r="K181" t="str">
        <f t="shared" si="21"/>
        <v/>
      </c>
      <c r="L181" s="3" t="str">
        <f t="shared" si="22"/>
        <v>2001/01/01</v>
      </c>
      <c r="M181" s="3" t="str">
        <f t="shared" si="23"/>
        <v>2199/12/31</v>
      </c>
      <c r="N181" t="str">
        <f t="shared" si="24"/>
        <v/>
      </c>
      <c r="O181" t="str">
        <f t="shared" si="30"/>
        <v/>
      </c>
      <c r="Q181">
        <v>15</v>
      </c>
      <c r="R181" s="21">
        <v>100000000</v>
      </c>
      <c r="S181" s="21" t="str" cm="1">
        <f t="array" ref="S181">_xlfn.IFS(LEFT(G181,1)="L","記載要",LEFT(G181,1)="W","記載要",G181="","")</f>
        <v/>
      </c>
      <c r="Z181" s="8"/>
      <c r="AA181" s="8">
        <v>1</v>
      </c>
      <c r="AB181">
        <f t="shared" si="25"/>
        <v>0</v>
      </c>
      <c r="AC181" s="8">
        <v>12</v>
      </c>
      <c r="AF181">
        <v>0</v>
      </c>
      <c r="AG181" s="8"/>
      <c r="AH181" s="8"/>
      <c r="AK181" cm="1">
        <f t="array" ref="AK181">_xlfn.IFS(B181="","",LEFT(G181,1)="L",1,LEFT(G181,1)="W",1,AND(LEFT(B181,1)="H",G181=""),0)</f>
        <v>0</v>
      </c>
      <c r="AS181">
        <f t="shared" si="26"/>
        <v>1</v>
      </c>
      <c r="AT181" t="s">
        <v>115</v>
      </c>
      <c r="AU181" t="str">
        <f t="shared" si="27"/>
        <v>0</v>
      </c>
      <c r="BD181" t="str">
        <f t="shared" si="28"/>
        <v>0</v>
      </c>
      <c r="BK181" t="str">
        <f>IFERROR(VLOOKUP(B181,'[1]model_S-フレーム'!$F$5:$R$7000,13,1),"")</f>
        <v>E345926_01</v>
      </c>
      <c r="BL181" s="7">
        <f>IFERROR(VLOOKUP(B181,'[1]model_S-フレーム'!$F$5:$V$7000,17,1),"")</f>
        <v>0</v>
      </c>
      <c r="BM181" t="str" cm="1">
        <f t="array" ref="BM181">_xlfn.IFS(LEFT(G181,1)="L","外注品",LEFT(G181,1)="W","内製品",G181="","購買品")</f>
        <v>購買品</v>
      </c>
    </row>
    <row r="182" spans="1:65">
      <c r="A182" t="str">
        <f t="shared" si="20"/>
        <v>WG01</v>
      </c>
      <c r="B182" t="s">
        <v>319</v>
      </c>
      <c r="C182" t="s">
        <v>879</v>
      </c>
      <c r="D182" s="7"/>
      <c r="E182" s="7"/>
      <c r="H182" s="19" t="s">
        <v>1937</v>
      </c>
      <c r="K182" t="str">
        <f t="shared" si="21"/>
        <v/>
      </c>
      <c r="L182" s="3" t="str">
        <f t="shared" si="22"/>
        <v>2001/01/01</v>
      </c>
      <c r="M182" s="3" t="str">
        <f t="shared" si="23"/>
        <v>2199/12/31</v>
      </c>
      <c r="N182" t="str">
        <f t="shared" si="24"/>
        <v/>
      </c>
      <c r="O182" t="str">
        <f t="shared" si="30"/>
        <v/>
      </c>
      <c r="Q182">
        <v>15</v>
      </c>
      <c r="R182" s="21">
        <v>100000000</v>
      </c>
      <c r="S182" s="21" t="str" cm="1">
        <f t="array" ref="S182">_xlfn.IFS(LEFT(G182,1)="L","記載要",LEFT(G182,1)="W","記載要",G182="","")</f>
        <v/>
      </c>
      <c r="Z182" s="8"/>
      <c r="AA182" s="8">
        <v>1</v>
      </c>
      <c r="AB182">
        <f t="shared" si="25"/>
        <v>0</v>
      </c>
      <c r="AC182" s="8">
        <v>12</v>
      </c>
      <c r="AF182">
        <v>0</v>
      </c>
      <c r="AG182" s="8"/>
      <c r="AH182" s="8"/>
      <c r="AK182" cm="1">
        <f t="array" ref="AK182">_xlfn.IFS(B182="","",LEFT(G182,1)="L",1,LEFT(G182,1)="W",1,AND(LEFT(B182,1)="H",G182=""),0)</f>
        <v>0</v>
      </c>
      <c r="AS182">
        <f t="shared" si="26"/>
        <v>1</v>
      </c>
      <c r="AT182" t="s">
        <v>115</v>
      </c>
      <c r="AU182" t="str">
        <f t="shared" si="27"/>
        <v>0</v>
      </c>
      <c r="BD182" t="str">
        <f t="shared" si="28"/>
        <v>0</v>
      </c>
      <c r="BK182" t="str">
        <f>IFERROR(VLOOKUP(B182,'[1]model_S-フレーム'!$F$5:$R$7000,13,1),"")</f>
        <v>E345926_01</v>
      </c>
      <c r="BL182" s="7">
        <f>IFERROR(VLOOKUP(B182,'[1]model_S-フレーム'!$F$5:$V$7000,17,1),"")</f>
        <v>0</v>
      </c>
      <c r="BM182" t="str" cm="1">
        <f t="array" ref="BM182">_xlfn.IFS(LEFT(G182,1)="L","外注品",LEFT(G182,1)="W","内製品",G182="","購買品")</f>
        <v>購買品</v>
      </c>
    </row>
    <row r="183" spans="1:65">
      <c r="A183" t="str">
        <f t="shared" si="20"/>
        <v>WG01</v>
      </c>
      <c r="B183" t="s">
        <v>320</v>
      </c>
      <c r="C183" t="s">
        <v>880</v>
      </c>
      <c r="D183" s="7"/>
      <c r="E183" s="7"/>
      <c r="H183">
        <v>27616</v>
      </c>
      <c r="K183" t="str">
        <f t="shared" si="21"/>
        <v/>
      </c>
      <c r="L183" s="3" t="str">
        <f t="shared" si="22"/>
        <v>2001/01/01</v>
      </c>
      <c r="M183" s="3" t="str">
        <f t="shared" si="23"/>
        <v>2199/12/31</v>
      </c>
      <c r="N183" t="str">
        <f t="shared" si="24"/>
        <v/>
      </c>
      <c r="O183" t="str">
        <f t="shared" si="30"/>
        <v/>
      </c>
      <c r="Q183">
        <v>15</v>
      </c>
      <c r="R183" s="21">
        <v>100000000</v>
      </c>
      <c r="S183" s="21" t="str" cm="1">
        <f t="array" ref="S183">_xlfn.IFS(LEFT(G183,1)="L","記載要",LEFT(G183,1)="W","記載要",G183="","")</f>
        <v/>
      </c>
      <c r="Z183" s="8"/>
      <c r="AA183" s="8">
        <v>1</v>
      </c>
      <c r="AB183">
        <f t="shared" si="25"/>
        <v>0</v>
      </c>
      <c r="AC183" s="8">
        <v>12</v>
      </c>
      <c r="AF183">
        <v>1</v>
      </c>
      <c r="AG183" s="8"/>
      <c r="AH183" s="8"/>
      <c r="AK183" cm="1">
        <f t="array" ref="AK183">_xlfn.IFS(B183="","",LEFT(G183,1)="L",1,LEFT(G183,1)="W",1,AND(LEFT(B183,1)="H",G183=""),0)</f>
        <v>0</v>
      </c>
      <c r="AS183">
        <f t="shared" si="26"/>
        <v>1</v>
      </c>
      <c r="AT183" t="s">
        <v>115</v>
      </c>
      <c r="AU183" t="str">
        <f t="shared" si="27"/>
        <v>0</v>
      </c>
      <c r="BD183" t="str">
        <f t="shared" si="28"/>
        <v>0</v>
      </c>
      <c r="BK183" t="str">
        <f>IFERROR(VLOOKUP(B183,'[1]model_S-フレーム'!$F$5:$R$7000,13,1),"")</f>
        <v>E345926_01</v>
      </c>
      <c r="BL183" s="7">
        <f>IFERROR(VLOOKUP(B183,'[1]model_S-フレーム'!$F$5:$V$7000,17,1),"")</f>
        <v>0</v>
      </c>
      <c r="BM183" t="str" cm="1">
        <f t="array" ref="BM183">_xlfn.IFS(LEFT(G183,1)="L","外注品",LEFT(G183,1)="W","内製品",G183="","購買品")</f>
        <v>購買品</v>
      </c>
    </row>
    <row r="184" spans="1:65">
      <c r="A184" t="str">
        <f t="shared" si="20"/>
        <v>WG01</v>
      </c>
      <c r="B184" t="s">
        <v>320</v>
      </c>
      <c r="C184" t="s">
        <v>880</v>
      </c>
      <c r="D184" s="7"/>
      <c r="E184" s="7"/>
      <c r="H184">
        <v>43453</v>
      </c>
      <c r="K184" t="str">
        <f t="shared" si="21"/>
        <v/>
      </c>
      <c r="L184" s="3" t="str">
        <f t="shared" si="22"/>
        <v>2001/01/01</v>
      </c>
      <c r="M184" s="3" t="str">
        <f t="shared" si="23"/>
        <v>2199/12/31</v>
      </c>
      <c r="N184" t="str">
        <f t="shared" si="24"/>
        <v/>
      </c>
      <c r="O184" t="str">
        <f t="shared" si="30"/>
        <v/>
      </c>
      <c r="Q184">
        <v>15</v>
      </c>
      <c r="R184" s="21">
        <v>100000000</v>
      </c>
      <c r="S184" s="21" t="str" cm="1">
        <f t="array" ref="S184">_xlfn.IFS(LEFT(G184,1)="L","記載要",LEFT(G184,1)="W","記載要",G184="","")</f>
        <v/>
      </c>
      <c r="Z184" s="8"/>
      <c r="AA184" s="8">
        <v>1</v>
      </c>
      <c r="AB184">
        <f t="shared" si="25"/>
        <v>0</v>
      </c>
      <c r="AC184" s="8">
        <v>12</v>
      </c>
      <c r="AF184">
        <v>1</v>
      </c>
      <c r="AG184" s="8"/>
      <c r="AH184" s="8"/>
      <c r="AK184" cm="1">
        <f t="array" ref="AK184">_xlfn.IFS(B184="","",LEFT(G184,1)="L",1,LEFT(G184,1)="W",1,AND(LEFT(B184,1)="H",G184=""),0)</f>
        <v>0</v>
      </c>
      <c r="AS184">
        <f t="shared" si="26"/>
        <v>1</v>
      </c>
      <c r="AT184" t="s">
        <v>115</v>
      </c>
      <c r="AU184" t="str">
        <f t="shared" si="27"/>
        <v>0</v>
      </c>
      <c r="BD184" t="str">
        <f t="shared" si="28"/>
        <v>0</v>
      </c>
      <c r="BK184" t="str">
        <f>IFERROR(VLOOKUP(B184,'[1]model_S-フレーム'!$F$5:$R$7000,13,1),"")</f>
        <v>E345926_01</v>
      </c>
      <c r="BL184" s="7">
        <f>IFERROR(VLOOKUP(B184,'[1]model_S-フレーム'!$F$5:$V$7000,17,1),"")</f>
        <v>0</v>
      </c>
      <c r="BM184" t="str" cm="1">
        <f t="array" ref="BM184">_xlfn.IFS(LEFT(G184,1)="L","外注品",LEFT(G184,1)="W","内製品",G184="","購買品")</f>
        <v>購買品</v>
      </c>
    </row>
    <row r="185" spans="1:65">
      <c r="A185" t="str">
        <f t="shared" si="20"/>
        <v>WG01</v>
      </c>
      <c r="B185" t="s">
        <v>320</v>
      </c>
      <c r="C185" t="s">
        <v>880</v>
      </c>
      <c r="D185" s="7"/>
      <c r="E185" s="7"/>
      <c r="H185">
        <v>47081</v>
      </c>
      <c r="K185" t="str">
        <f t="shared" si="21"/>
        <v/>
      </c>
      <c r="L185" s="3" t="str">
        <f t="shared" si="22"/>
        <v>2001/01/01</v>
      </c>
      <c r="M185" s="3" t="str">
        <f t="shared" si="23"/>
        <v>2199/12/31</v>
      </c>
      <c r="N185" t="str">
        <f t="shared" si="24"/>
        <v/>
      </c>
      <c r="O185" t="str">
        <f t="shared" si="30"/>
        <v/>
      </c>
      <c r="Q185">
        <v>15</v>
      </c>
      <c r="R185" s="21">
        <v>100000000</v>
      </c>
      <c r="S185" s="21" t="str" cm="1">
        <f t="array" ref="S185">_xlfn.IFS(LEFT(G185,1)="L","記載要",LEFT(G185,1)="W","記載要",G185="","")</f>
        <v/>
      </c>
      <c r="Z185" s="8"/>
      <c r="AA185" s="8">
        <v>1</v>
      </c>
      <c r="AB185">
        <f t="shared" si="25"/>
        <v>0</v>
      </c>
      <c r="AC185" s="8">
        <v>12</v>
      </c>
      <c r="AF185">
        <v>0</v>
      </c>
      <c r="AG185" s="8"/>
      <c r="AH185" s="8"/>
      <c r="AK185" cm="1">
        <f t="array" ref="AK185">_xlfn.IFS(B185="","",LEFT(G185,1)="L",1,LEFT(G185,1)="W",1,AND(LEFT(B185,1)="H",G185=""),0)</f>
        <v>0</v>
      </c>
      <c r="AS185">
        <f t="shared" si="26"/>
        <v>1</v>
      </c>
      <c r="AT185" t="s">
        <v>115</v>
      </c>
      <c r="AU185" t="str">
        <f t="shared" si="27"/>
        <v>0</v>
      </c>
      <c r="BD185" t="str">
        <f t="shared" si="28"/>
        <v>0</v>
      </c>
      <c r="BK185" t="str">
        <f>IFERROR(VLOOKUP(B185,'[1]model_S-フレーム'!$F$5:$R$7000,13,1),"")</f>
        <v>E345926_01</v>
      </c>
      <c r="BL185" s="7">
        <f>IFERROR(VLOOKUP(B185,'[1]model_S-フレーム'!$F$5:$V$7000,17,1),"")</f>
        <v>0</v>
      </c>
      <c r="BM185" t="str" cm="1">
        <f t="array" ref="BM185">_xlfn.IFS(LEFT(G185,1)="L","外注品",LEFT(G185,1)="W","内製品",G185="","購買品")</f>
        <v>購買品</v>
      </c>
    </row>
    <row r="186" spans="1:65">
      <c r="A186" t="str">
        <f t="shared" si="20"/>
        <v>WG01</v>
      </c>
      <c r="B186" t="s">
        <v>320</v>
      </c>
      <c r="C186" t="s">
        <v>880</v>
      </c>
      <c r="D186" s="7"/>
      <c r="E186" s="7"/>
      <c r="H186" s="19" t="s">
        <v>1937</v>
      </c>
      <c r="K186" t="str">
        <f t="shared" si="21"/>
        <v/>
      </c>
      <c r="L186" s="3" t="str">
        <f t="shared" si="22"/>
        <v>2001/01/01</v>
      </c>
      <c r="M186" s="3" t="str">
        <f t="shared" si="23"/>
        <v>2199/12/31</v>
      </c>
      <c r="N186" t="str">
        <f t="shared" si="24"/>
        <v/>
      </c>
      <c r="O186" t="str">
        <f t="shared" si="30"/>
        <v/>
      </c>
      <c r="Q186">
        <v>15</v>
      </c>
      <c r="R186" s="21">
        <v>100000000</v>
      </c>
      <c r="S186" s="21" t="str" cm="1">
        <f t="array" ref="S186">_xlfn.IFS(LEFT(G186,1)="L","記載要",LEFT(G186,1)="W","記載要",G186="","")</f>
        <v/>
      </c>
      <c r="Z186" s="8"/>
      <c r="AA186" s="8">
        <v>1</v>
      </c>
      <c r="AB186">
        <f t="shared" si="25"/>
        <v>0</v>
      </c>
      <c r="AC186" s="8">
        <v>12</v>
      </c>
      <c r="AF186">
        <v>0</v>
      </c>
      <c r="AG186" s="8"/>
      <c r="AH186" s="8"/>
      <c r="AK186" cm="1">
        <f t="array" ref="AK186">_xlfn.IFS(B186="","",LEFT(G186,1)="L",1,LEFT(G186,1)="W",1,AND(LEFT(B186,1)="H",G186=""),0)</f>
        <v>0</v>
      </c>
      <c r="AS186">
        <f t="shared" si="26"/>
        <v>1</v>
      </c>
      <c r="AT186" t="s">
        <v>115</v>
      </c>
      <c r="AU186" t="str">
        <f t="shared" si="27"/>
        <v>0</v>
      </c>
      <c r="BD186" t="str">
        <f t="shared" si="28"/>
        <v>0</v>
      </c>
      <c r="BK186" t="str">
        <f>IFERROR(VLOOKUP(B186,'[1]model_S-フレーム'!$F$5:$R$7000,13,1),"")</f>
        <v>E345926_01</v>
      </c>
      <c r="BL186" s="7">
        <f>IFERROR(VLOOKUP(B186,'[1]model_S-フレーム'!$F$5:$V$7000,17,1),"")</f>
        <v>0</v>
      </c>
      <c r="BM186" t="str" cm="1">
        <f t="array" ref="BM186">_xlfn.IFS(LEFT(G186,1)="L","外注品",LEFT(G186,1)="W","内製品",G186="","購買品")</f>
        <v>購買品</v>
      </c>
    </row>
    <row r="187" spans="1:65">
      <c r="A187" t="str">
        <f t="shared" si="20"/>
        <v>WG01</v>
      </c>
      <c r="B187" t="s">
        <v>321</v>
      </c>
      <c r="C187" t="s">
        <v>871</v>
      </c>
      <c r="D187" s="7"/>
      <c r="E187" s="7"/>
      <c r="G187" t="s">
        <v>1938</v>
      </c>
      <c r="H187" t="str" cm="1">
        <f t="array" ref="H187">IFERROR(_xlfn.IFS(B187="","",AND(B187="",G187=""),"",G187="","記載要"),"")</f>
        <v/>
      </c>
      <c r="K187" t="str">
        <f t="shared" si="21"/>
        <v>11WP00902428</v>
      </c>
      <c r="L187" s="3" t="str">
        <f t="shared" si="22"/>
        <v>2001/01/01</v>
      </c>
      <c r="M187" s="3" t="str">
        <f t="shared" si="23"/>
        <v>2199/12/31</v>
      </c>
      <c r="N187" t="str">
        <f t="shared" si="24"/>
        <v>11WP00902428</v>
      </c>
      <c r="O187">
        <v>5</v>
      </c>
      <c r="Q187" t="str" cm="1">
        <f t="array" ref="Q187">_xlfn.IFS(AND(C187="",G187=""),"",LEFT(G187,1)="L","記載要",LEFT(G187,1)="W","",AND(C187,G187=""),"記載要")</f>
        <v/>
      </c>
      <c r="R187" s="21" t="str">
        <f t="shared" si="29"/>
        <v/>
      </c>
      <c r="S187" s="21"/>
      <c r="Z187" s="8"/>
      <c r="AA187">
        <v>1</v>
      </c>
      <c r="AB187">
        <f t="shared" si="25"/>
        <v>0</v>
      </c>
      <c r="AC187">
        <v>1</v>
      </c>
      <c r="AF187">
        <v>1</v>
      </c>
      <c r="AG187" s="8"/>
      <c r="AH187" s="8"/>
      <c r="AK187" cm="1">
        <f t="array" ref="AK187">_xlfn.IFS(B187="","",LEFT(G187,1)="L",1,LEFT(G187,1)="W",1,AND(LEFT(B187,1)="H",G187=""),0)</f>
        <v>1</v>
      </c>
      <c r="AS187" t="str">
        <f t="shared" si="26"/>
        <v/>
      </c>
      <c r="AT187" t="s">
        <v>115</v>
      </c>
      <c r="AU187" t="str">
        <f t="shared" si="27"/>
        <v>0</v>
      </c>
      <c r="BD187" t="str">
        <f t="shared" si="28"/>
        <v>0</v>
      </c>
      <c r="BK187" t="str">
        <f>IFERROR(VLOOKUP(B187,'[1]model_S-フレーム'!$F$5:$R$7000,13,1),"")</f>
        <v>E349955_01</v>
      </c>
      <c r="BL187" s="7">
        <f>IFERROR(VLOOKUP(B187,'[1]model_S-フレーム'!$F$5:$V$7000,17,1),"")</f>
        <v>0</v>
      </c>
      <c r="BM187" t="str" cm="1">
        <f t="array" ref="BM187">_xlfn.IFS(LEFT(G187,1)="L","外注品",LEFT(G187,1)="W","内製品",G187="","購買品")</f>
        <v>内製品</v>
      </c>
    </row>
    <row r="188" spans="1:65">
      <c r="A188" t="str">
        <f t="shared" si="20"/>
        <v>WG01</v>
      </c>
      <c r="B188" t="s">
        <v>322</v>
      </c>
      <c r="C188" t="s">
        <v>871</v>
      </c>
      <c r="D188" s="7"/>
      <c r="E188" s="7"/>
      <c r="G188" t="s">
        <v>1938</v>
      </c>
      <c r="H188" t="str" cm="1">
        <f t="array" ref="H188">IFERROR(_xlfn.IFS(B188="","",AND(B188="",G188=""),"",G188="","記載要"),"")</f>
        <v/>
      </c>
      <c r="K188" t="str">
        <f t="shared" si="21"/>
        <v>11WP00902429</v>
      </c>
      <c r="L188" s="3" t="str">
        <f t="shared" si="22"/>
        <v>2001/01/01</v>
      </c>
      <c r="M188" s="3" t="str">
        <f t="shared" si="23"/>
        <v>2199/12/31</v>
      </c>
      <c r="N188" t="str">
        <f t="shared" si="24"/>
        <v>11WP00902429</v>
      </c>
      <c r="O188">
        <v>5</v>
      </c>
      <c r="Q188" t="str" cm="1">
        <f t="array" ref="Q188">_xlfn.IFS(AND(C188="",G188=""),"",LEFT(G188,1)="L","記載要",LEFT(G188,1)="W","",AND(C188,G188=""),"記載要")</f>
        <v/>
      </c>
      <c r="R188" s="21" t="str">
        <f t="shared" si="29"/>
        <v/>
      </c>
      <c r="S188" s="21"/>
      <c r="Z188" s="8"/>
      <c r="AA188">
        <v>1</v>
      </c>
      <c r="AB188">
        <f t="shared" si="25"/>
        <v>0</v>
      </c>
      <c r="AC188">
        <v>1</v>
      </c>
      <c r="AF188">
        <v>1</v>
      </c>
      <c r="AG188" s="8"/>
      <c r="AH188" s="8"/>
      <c r="AK188" cm="1">
        <f t="array" ref="AK188">_xlfn.IFS(B188="","",LEFT(G188,1)="L",1,LEFT(G188,1)="W",1,AND(LEFT(B188,1)="H",G188=""),0)</f>
        <v>1</v>
      </c>
      <c r="AS188" t="str">
        <f t="shared" si="26"/>
        <v/>
      </c>
      <c r="AT188" t="s">
        <v>115</v>
      </c>
      <c r="AU188" t="str">
        <f t="shared" si="27"/>
        <v>0</v>
      </c>
      <c r="BD188" t="str">
        <f t="shared" si="28"/>
        <v>0</v>
      </c>
      <c r="BK188" t="str">
        <f>IFERROR(VLOOKUP(B188,'[1]model_S-フレーム'!$F$5:$R$7000,13,1),"")</f>
        <v>E349955_01</v>
      </c>
      <c r="BL188" s="7">
        <f>IFERROR(VLOOKUP(B188,'[1]model_S-フレーム'!$F$5:$V$7000,17,1),"")</f>
        <v>0</v>
      </c>
      <c r="BM188" t="str" cm="1">
        <f t="array" ref="BM188">_xlfn.IFS(LEFT(G188,1)="L","外注品",LEFT(G188,1)="W","内製品",G188="","購買品")</f>
        <v>内製品</v>
      </c>
    </row>
    <row r="189" spans="1:65">
      <c r="A189" t="str">
        <f t="shared" si="20"/>
        <v>WG01</v>
      </c>
      <c r="B189" t="s">
        <v>323</v>
      </c>
      <c r="C189" t="s">
        <v>871</v>
      </c>
      <c r="D189" s="7"/>
      <c r="E189" s="7"/>
      <c r="G189" t="s">
        <v>1938</v>
      </c>
      <c r="H189" t="str" cm="1">
        <f t="array" ref="H189">IFERROR(_xlfn.IFS(B189="","",AND(B189="",G189=""),"",G189="","記載要"),"")</f>
        <v/>
      </c>
      <c r="K189" t="str">
        <f t="shared" si="21"/>
        <v>11WP00902430</v>
      </c>
      <c r="L189" s="3" t="str">
        <f t="shared" si="22"/>
        <v>2001/01/01</v>
      </c>
      <c r="M189" s="3" t="str">
        <f t="shared" si="23"/>
        <v>2199/12/31</v>
      </c>
      <c r="N189" t="str">
        <f t="shared" si="24"/>
        <v>11WP00902430</v>
      </c>
      <c r="O189">
        <v>5</v>
      </c>
      <c r="Q189" t="str" cm="1">
        <f t="array" ref="Q189">_xlfn.IFS(AND(C189="",G189=""),"",LEFT(G189,1)="L","記載要",LEFT(G189,1)="W","",AND(C189,G189=""),"記載要")</f>
        <v/>
      </c>
      <c r="R189" s="21" t="str">
        <f t="shared" si="29"/>
        <v/>
      </c>
      <c r="S189" s="21"/>
      <c r="Z189" s="8"/>
      <c r="AA189">
        <v>1</v>
      </c>
      <c r="AB189">
        <f t="shared" si="25"/>
        <v>0</v>
      </c>
      <c r="AC189">
        <v>1</v>
      </c>
      <c r="AF189">
        <v>1</v>
      </c>
      <c r="AG189" s="8"/>
      <c r="AH189" s="8"/>
      <c r="AK189" cm="1">
        <f t="array" ref="AK189">_xlfn.IFS(B189="","",LEFT(G189,1)="L",1,LEFT(G189,1)="W",1,AND(LEFT(B189,1)="H",G189=""),0)</f>
        <v>1</v>
      </c>
      <c r="AS189" t="str">
        <f t="shared" si="26"/>
        <v/>
      </c>
      <c r="AT189" t="s">
        <v>115</v>
      </c>
      <c r="AU189" t="str">
        <f t="shared" si="27"/>
        <v>0</v>
      </c>
      <c r="BD189" t="str">
        <f t="shared" si="28"/>
        <v>0</v>
      </c>
      <c r="BK189" t="str">
        <f>IFERROR(VLOOKUP(B189,'[1]model_S-フレーム'!$F$5:$R$7000,13,1),"")</f>
        <v>E349955_01</v>
      </c>
      <c r="BL189" s="7">
        <f>IFERROR(VLOOKUP(B189,'[1]model_S-フレーム'!$F$5:$V$7000,17,1),"")</f>
        <v>0</v>
      </c>
      <c r="BM189" t="str" cm="1">
        <f t="array" ref="BM189">_xlfn.IFS(LEFT(G189,1)="L","外注品",LEFT(G189,1)="W","内製品",G189="","購買品")</f>
        <v>内製品</v>
      </c>
    </row>
    <row r="190" spans="1:65">
      <c r="A190" t="str">
        <f t="shared" si="20"/>
        <v>WG01</v>
      </c>
      <c r="B190" t="s">
        <v>324</v>
      </c>
      <c r="C190" t="s">
        <v>871</v>
      </c>
      <c r="D190" s="7"/>
      <c r="E190" s="7"/>
      <c r="G190" t="s">
        <v>1938</v>
      </c>
      <c r="H190" t="str" cm="1">
        <f t="array" ref="H190">IFERROR(_xlfn.IFS(B190="","",AND(B190="",G190=""),"",G190="","記載要"),"")</f>
        <v/>
      </c>
      <c r="K190" t="str">
        <f t="shared" si="21"/>
        <v>11WP00902431</v>
      </c>
      <c r="L190" s="3" t="str">
        <f t="shared" si="22"/>
        <v>2001/01/01</v>
      </c>
      <c r="M190" s="3" t="str">
        <f t="shared" si="23"/>
        <v>2199/12/31</v>
      </c>
      <c r="N190" t="str">
        <f t="shared" si="24"/>
        <v>11WP00902431</v>
      </c>
      <c r="O190">
        <v>5</v>
      </c>
      <c r="Q190" t="str" cm="1">
        <f t="array" ref="Q190">_xlfn.IFS(AND(C190="",G190=""),"",LEFT(G190,1)="L","記載要",LEFT(G190,1)="W","",AND(C190,G190=""),"記載要")</f>
        <v/>
      </c>
      <c r="R190" s="21" t="str">
        <f t="shared" si="29"/>
        <v/>
      </c>
      <c r="S190" s="21"/>
      <c r="Z190" s="8"/>
      <c r="AA190">
        <v>1</v>
      </c>
      <c r="AB190">
        <f t="shared" si="25"/>
        <v>0</v>
      </c>
      <c r="AC190">
        <v>1</v>
      </c>
      <c r="AF190">
        <v>1</v>
      </c>
      <c r="AG190" s="8"/>
      <c r="AH190" s="8"/>
      <c r="AK190" cm="1">
        <f t="array" ref="AK190">_xlfn.IFS(B190="","",LEFT(G190,1)="L",1,LEFT(G190,1)="W",1,AND(LEFT(B190,1)="H",G190=""),0)</f>
        <v>1</v>
      </c>
      <c r="AS190" t="str">
        <f t="shared" si="26"/>
        <v/>
      </c>
      <c r="AT190" t="s">
        <v>115</v>
      </c>
      <c r="AU190" t="str">
        <f t="shared" si="27"/>
        <v>0</v>
      </c>
      <c r="BD190" t="str">
        <f t="shared" si="28"/>
        <v>0</v>
      </c>
      <c r="BK190" t="str">
        <f>IFERROR(VLOOKUP(B190,'[1]model_S-フレーム'!$F$5:$R$7000,13,1),"")</f>
        <v>E349955_01</v>
      </c>
      <c r="BL190" s="7">
        <f>IFERROR(VLOOKUP(B190,'[1]model_S-フレーム'!$F$5:$V$7000,17,1),"")</f>
        <v>0</v>
      </c>
      <c r="BM190" t="str" cm="1">
        <f t="array" ref="BM190">_xlfn.IFS(LEFT(G190,1)="L","外注品",LEFT(G190,1)="W","内製品",G190="","購買品")</f>
        <v>内製品</v>
      </c>
    </row>
    <row r="191" spans="1:65">
      <c r="A191" t="str">
        <f t="shared" si="20"/>
        <v>WG01</v>
      </c>
      <c r="B191" t="s">
        <v>325</v>
      </c>
      <c r="C191" t="s">
        <v>871</v>
      </c>
      <c r="D191" s="7"/>
      <c r="E191" s="7"/>
      <c r="G191" t="s">
        <v>1938</v>
      </c>
      <c r="H191" t="str" cm="1">
        <f t="array" ref="H191">IFERROR(_xlfn.IFS(B191="","",AND(B191="",G191=""),"",G191="","記載要"),"")</f>
        <v/>
      </c>
      <c r="K191" t="str">
        <f t="shared" si="21"/>
        <v>11WP00902432</v>
      </c>
      <c r="L191" s="3" t="str">
        <f t="shared" si="22"/>
        <v>2001/01/01</v>
      </c>
      <c r="M191" s="3" t="str">
        <f t="shared" si="23"/>
        <v>2199/12/31</v>
      </c>
      <c r="N191" t="str">
        <f t="shared" si="24"/>
        <v>11WP00902432</v>
      </c>
      <c r="O191">
        <v>5</v>
      </c>
      <c r="Q191" t="str" cm="1">
        <f t="array" ref="Q191">_xlfn.IFS(AND(C191="",G191=""),"",LEFT(G191,1)="L","記載要",LEFT(G191,1)="W","",AND(C191,G191=""),"記載要")</f>
        <v/>
      </c>
      <c r="R191" s="21" t="str">
        <f t="shared" si="29"/>
        <v/>
      </c>
      <c r="S191" s="21"/>
      <c r="Z191" s="8"/>
      <c r="AA191">
        <v>1</v>
      </c>
      <c r="AB191">
        <f t="shared" si="25"/>
        <v>0</v>
      </c>
      <c r="AC191">
        <v>1</v>
      </c>
      <c r="AF191">
        <v>1</v>
      </c>
      <c r="AG191" s="8"/>
      <c r="AH191" s="8"/>
      <c r="AK191" cm="1">
        <f t="array" ref="AK191">_xlfn.IFS(B191="","",LEFT(G191,1)="L",1,LEFT(G191,1)="W",1,AND(LEFT(B191,1)="H",G191=""),0)</f>
        <v>1</v>
      </c>
      <c r="AS191" t="str">
        <f t="shared" si="26"/>
        <v/>
      </c>
      <c r="AT191" t="s">
        <v>115</v>
      </c>
      <c r="AU191" t="str">
        <f t="shared" si="27"/>
        <v>0</v>
      </c>
      <c r="BD191" t="str">
        <f t="shared" si="28"/>
        <v>0</v>
      </c>
      <c r="BK191" t="str">
        <f>IFERROR(VLOOKUP(B191,'[1]model_S-フレーム'!$F$5:$R$7000,13,1),"")</f>
        <v>E349955_01</v>
      </c>
      <c r="BL191" s="7">
        <f>IFERROR(VLOOKUP(B191,'[1]model_S-フレーム'!$F$5:$V$7000,17,1),"")</f>
        <v>0</v>
      </c>
      <c r="BM191" t="str" cm="1">
        <f t="array" ref="BM191">_xlfn.IFS(LEFT(G191,1)="L","外注品",LEFT(G191,1)="W","内製品",G191="","購買品")</f>
        <v>内製品</v>
      </c>
    </row>
    <row r="192" spans="1:65">
      <c r="A192" t="str">
        <f t="shared" si="20"/>
        <v>WG01</v>
      </c>
      <c r="B192" t="s">
        <v>326</v>
      </c>
      <c r="C192" t="s">
        <v>871</v>
      </c>
      <c r="D192" s="7"/>
      <c r="E192" s="7"/>
      <c r="G192" t="s">
        <v>1938</v>
      </c>
      <c r="H192" t="str" cm="1">
        <f t="array" ref="H192">IFERROR(_xlfn.IFS(B192="","",AND(B192="",G192=""),"",G192="","記載要"),"")</f>
        <v/>
      </c>
      <c r="K192" t="str">
        <f t="shared" si="21"/>
        <v>11WP00902433</v>
      </c>
      <c r="L192" s="3" t="str">
        <f t="shared" si="22"/>
        <v>2001/01/01</v>
      </c>
      <c r="M192" s="3" t="str">
        <f t="shared" si="23"/>
        <v>2199/12/31</v>
      </c>
      <c r="N192" t="str">
        <f t="shared" si="24"/>
        <v>11WP00902433</v>
      </c>
      <c r="O192">
        <v>5</v>
      </c>
      <c r="Q192" t="str" cm="1">
        <f t="array" ref="Q192">_xlfn.IFS(AND(C192="",G192=""),"",LEFT(G192,1)="L","記載要",LEFT(G192,1)="W","",AND(C192,G192=""),"記載要")</f>
        <v/>
      </c>
      <c r="R192" s="21" t="str">
        <f t="shared" si="29"/>
        <v/>
      </c>
      <c r="S192" s="21"/>
      <c r="Z192" s="8"/>
      <c r="AA192">
        <v>1</v>
      </c>
      <c r="AB192">
        <f t="shared" si="25"/>
        <v>0</v>
      </c>
      <c r="AC192">
        <v>1</v>
      </c>
      <c r="AF192">
        <v>1</v>
      </c>
      <c r="AG192" s="8"/>
      <c r="AH192" s="8"/>
      <c r="AK192" cm="1">
        <f t="array" ref="AK192">_xlfn.IFS(B192="","",LEFT(G192,1)="L",1,LEFT(G192,1)="W",1,AND(LEFT(B192,1)="H",G192=""),0)</f>
        <v>1</v>
      </c>
      <c r="AS192" t="str">
        <f t="shared" si="26"/>
        <v/>
      </c>
      <c r="AT192" t="s">
        <v>115</v>
      </c>
      <c r="AU192" t="str">
        <f t="shared" si="27"/>
        <v>0</v>
      </c>
      <c r="BD192" t="str">
        <f t="shared" si="28"/>
        <v>0</v>
      </c>
      <c r="BK192" t="str">
        <f>IFERROR(VLOOKUP(B192,'[1]model_S-フレーム'!$F$5:$R$7000,13,1),"")</f>
        <v>E349955_01</v>
      </c>
      <c r="BL192" s="7">
        <f>IFERROR(VLOOKUP(B192,'[1]model_S-フレーム'!$F$5:$V$7000,17,1),"")</f>
        <v>0</v>
      </c>
      <c r="BM192" t="str" cm="1">
        <f t="array" ref="BM192">_xlfn.IFS(LEFT(G192,1)="L","外注品",LEFT(G192,1)="W","内製品",G192="","購買品")</f>
        <v>内製品</v>
      </c>
    </row>
    <row r="193" spans="1:65">
      <c r="A193" t="str">
        <f t="shared" si="20"/>
        <v>WG01</v>
      </c>
      <c r="B193" t="s">
        <v>327</v>
      </c>
      <c r="C193" t="s">
        <v>871</v>
      </c>
      <c r="D193" s="7"/>
      <c r="E193" s="7"/>
      <c r="G193" t="s">
        <v>1938</v>
      </c>
      <c r="H193" t="str" cm="1">
        <f t="array" ref="H193">IFERROR(_xlfn.IFS(B193="","",AND(B193="",G193=""),"",G193="","記載要"),"")</f>
        <v/>
      </c>
      <c r="K193" t="str">
        <f t="shared" si="21"/>
        <v>11WP00902434</v>
      </c>
      <c r="L193" s="3" t="str">
        <f t="shared" si="22"/>
        <v>2001/01/01</v>
      </c>
      <c r="M193" s="3" t="str">
        <f t="shared" si="23"/>
        <v>2199/12/31</v>
      </c>
      <c r="N193" t="str">
        <f t="shared" si="24"/>
        <v>11WP00902434</v>
      </c>
      <c r="O193">
        <v>5</v>
      </c>
      <c r="Q193" t="str" cm="1">
        <f t="array" ref="Q193">_xlfn.IFS(AND(C193="",G193=""),"",LEFT(G193,1)="L","記載要",LEFT(G193,1)="W","",AND(C193,G193=""),"記載要")</f>
        <v/>
      </c>
      <c r="R193" s="21" t="str">
        <f t="shared" si="29"/>
        <v/>
      </c>
      <c r="S193" s="21"/>
      <c r="Z193" s="8"/>
      <c r="AA193">
        <v>1</v>
      </c>
      <c r="AB193">
        <f t="shared" si="25"/>
        <v>0</v>
      </c>
      <c r="AC193">
        <v>1</v>
      </c>
      <c r="AF193">
        <v>1</v>
      </c>
      <c r="AG193" s="8"/>
      <c r="AH193" s="8"/>
      <c r="AK193" cm="1">
        <f t="array" ref="AK193">_xlfn.IFS(B193="","",LEFT(G193,1)="L",1,LEFT(G193,1)="W",1,AND(LEFT(B193,1)="H",G193=""),0)</f>
        <v>1</v>
      </c>
      <c r="AS193" t="str">
        <f t="shared" si="26"/>
        <v/>
      </c>
      <c r="AT193" t="s">
        <v>115</v>
      </c>
      <c r="AU193" t="str">
        <f t="shared" si="27"/>
        <v>0</v>
      </c>
      <c r="BD193" t="str">
        <f t="shared" si="28"/>
        <v>0</v>
      </c>
      <c r="BK193" t="str">
        <f>IFERROR(VLOOKUP(B193,'[1]model_S-フレーム'!$F$5:$R$7000,13,1),"")</f>
        <v>E349955_01</v>
      </c>
      <c r="BL193" s="7">
        <f>IFERROR(VLOOKUP(B193,'[1]model_S-フレーム'!$F$5:$V$7000,17,1),"")</f>
        <v>0</v>
      </c>
      <c r="BM193" t="str" cm="1">
        <f t="array" ref="BM193">_xlfn.IFS(LEFT(G193,1)="L","外注品",LEFT(G193,1)="W","内製品",G193="","購買品")</f>
        <v>内製品</v>
      </c>
    </row>
    <row r="194" spans="1:65">
      <c r="A194" t="str">
        <f t="shared" si="20"/>
        <v>WG01</v>
      </c>
      <c r="B194" t="s">
        <v>328</v>
      </c>
      <c r="C194" t="s">
        <v>871</v>
      </c>
      <c r="D194" s="7"/>
      <c r="E194" s="7"/>
      <c r="G194" t="s">
        <v>1938</v>
      </c>
      <c r="H194" t="str" cm="1">
        <f t="array" ref="H194">IFERROR(_xlfn.IFS(B194="","",AND(B194="",G194=""),"",G194="","記載要"),"")</f>
        <v/>
      </c>
      <c r="K194" t="str">
        <f t="shared" si="21"/>
        <v>11WP00902435</v>
      </c>
      <c r="L194" s="3" t="str">
        <f t="shared" si="22"/>
        <v>2001/01/01</v>
      </c>
      <c r="M194" s="3" t="str">
        <f t="shared" si="23"/>
        <v>2199/12/31</v>
      </c>
      <c r="N194" t="str">
        <f t="shared" si="24"/>
        <v>11WP00902435</v>
      </c>
      <c r="O194">
        <v>5</v>
      </c>
      <c r="Q194" t="str" cm="1">
        <f t="array" ref="Q194">_xlfn.IFS(AND(C194="",G194=""),"",LEFT(G194,1)="L","記載要",LEFT(G194,1)="W","",AND(C194,G194=""),"記載要")</f>
        <v/>
      </c>
      <c r="R194" s="21" t="str">
        <f t="shared" si="29"/>
        <v/>
      </c>
      <c r="S194" s="21"/>
      <c r="Z194" s="8"/>
      <c r="AA194">
        <v>1</v>
      </c>
      <c r="AB194">
        <f t="shared" si="25"/>
        <v>0</v>
      </c>
      <c r="AC194">
        <v>1</v>
      </c>
      <c r="AF194">
        <v>1</v>
      </c>
      <c r="AG194" s="8"/>
      <c r="AH194" s="8"/>
      <c r="AK194" cm="1">
        <f t="array" ref="AK194">_xlfn.IFS(B194="","",LEFT(G194,1)="L",1,LEFT(G194,1)="W",1,AND(LEFT(B194,1)="H",G194=""),0)</f>
        <v>1</v>
      </c>
      <c r="AS194" t="str">
        <f t="shared" si="26"/>
        <v/>
      </c>
      <c r="AT194" t="s">
        <v>115</v>
      </c>
      <c r="AU194" t="str">
        <f t="shared" si="27"/>
        <v>0</v>
      </c>
      <c r="BD194" t="str">
        <f t="shared" si="28"/>
        <v>0</v>
      </c>
      <c r="BK194" t="str">
        <f>IFERROR(VLOOKUP(B194,'[1]model_S-フレーム'!$F$5:$R$7000,13,1),"")</f>
        <v>E349955_01</v>
      </c>
      <c r="BL194" s="7">
        <f>IFERROR(VLOOKUP(B194,'[1]model_S-フレーム'!$F$5:$V$7000,17,1),"")</f>
        <v>0</v>
      </c>
      <c r="BM194" t="str" cm="1">
        <f t="array" ref="BM194">_xlfn.IFS(LEFT(G194,1)="L","外注品",LEFT(G194,1)="W","内製品",G194="","購買品")</f>
        <v>内製品</v>
      </c>
    </row>
    <row r="195" spans="1:65">
      <c r="A195" t="str">
        <f t="shared" ref="A195:A258" si="31">IF(B195="","","WG01")</f>
        <v>WG01</v>
      </c>
      <c r="B195" t="s">
        <v>329</v>
      </c>
      <c r="C195" t="s">
        <v>871</v>
      </c>
      <c r="D195" s="7"/>
      <c r="E195" s="7"/>
      <c r="G195" t="s">
        <v>1938</v>
      </c>
      <c r="H195" t="str" cm="1">
        <f t="array" ref="H195">IFERROR(_xlfn.IFS(B195="","",AND(B195="",G195=""),"",G195="","記載要"),"")</f>
        <v/>
      </c>
      <c r="K195" t="str">
        <f t="shared" ref="K195:K258" si="32">IF(G195="","","11"&amp;G195&amp;RIGHT(B195,5))</f>
        <v>11WP00902436</v>
      </c>
      <c r="L195" s="3" t="str">
        <f t="shared" ref="L195:L258" si="33">IF(B195="","","2001/01/01")</f>
        <v>2001/01/01</v>
      </c>
      <c r="M195" s="3" t="str">
        <f t="shared" ref="M195:M258" si="34">IF(C195="","","2199/12/31")</f>
        <v>2199/12/31</v>
      </c>
      <c r="N195" t="str">
        <f t="shared" ref="N195:N258" si="35">IF(LEFT(G195,1)="W",K195,"")</f>
        <v>11WP00902436</v>
      </c>
      <c r="O195">
        <v>5</v>
      </c>
      <c r="Q195" t="str" cm="1">
        <f t="array" ref="Q195">_xlfn.IFS(AND(C195="",G195=""),"",LEFT(G195,1)="L","記載要",LEFT(G195,1)="W","",AND(C195,G195=""),"記載要")</f>
        <v/>
      </c>
      <c r="R195" s="21" t="str">
        <f t="shared" si="29"/>
        <v/>
      </c>
      <c r="S195" s="21"/>
      <c r="Z195" s="8"/>
      <c r="AA195">
        <v>1</v>
      </c>
      <c r="AB195">
        <f t="shared" ref="AB195:AB258" si="36">IF(B195="","",0)</f>
        <v>0</v>
      </c>
      <c r="AC195">
        <v>1</v>
      </c>
      <c r="AF195">
        <v>1</v>
      </c>
      <c r="AG195" s="8"/>
      <c r="AH195" s="8"/>
      <c r="AK195" cm="1">
        <f t="array" ref="AK195">_xlfn.IFS(B195="","",LEFT(G195,1)="L",1,LEFT(G195,1)="W",1,AND(LEFT(B195,1)="H",G195=""),0)</f>
        <v>1</v>
      </c>
      <c r="AS195" t="str">
        <f t="shared" ref="AS195:AS258" si="37">IF(Q195="","",1)</f>
        <v/>
      </c>
      <c r="AT195" t="s">
        <v>115</v>
      </c>
      <c r="AU195" t="str">
        <f t="shared" ref="AU195:AU258" si="38">IF(B195="","","0")</f>
        <v>0</v>
      </c>
      <c r="BD195" t="str">
        <f t="shared" ref="BD195:BD258" si="39">IF(B195="","","0")</f>
        <v>0</v>
      </c>
      <c r="BK195" t="str">
        <f>IFERROR(VLOOKUP(B195,'[1]model_S-フレーム'!$F$5:$R$7000,13,1),"")</f>
        <v>E349955_01</v>
      </c>
      <c r="BL195" s="7">
        <f>IFERROR(VLOOKUP(B195,'[1]model_S-フレーム'!$F$5:$V$7000,17,1),"")</f>
        <v>0</v>
      </c>
      <c r="BM195" t="str" cm="1">
        <f t="array" ref="BM195">_xlfn.IFS(LEFT(G195,1)="L","外注品",LEFT(G195,1)="W","内製品",G195="","購買品")</f>
        <v>内製品</v>
      </c>
    </row>
    <row r="196" spans="1:65">
      <c r="A196" t="str">
        <f t="shared" si="31"/>
        <v>WG01</v>
      </c>
      <c r="B196" t="s">
        <v>330</v>
      </c>
      <c r="C196" t="s">
        <v>872</v>
      </c>
      <c r="D196" s="7"/>
      <c r="E196" s="7"/>
      <c r="G196" t="s">
        <v>1938</v>
      </c>
      <c r="H196" t="str" cm="1">
        <f t="array" ref="H196">IFERROR(_xlfn.IFS(B196="","",AND(B196="",G196=""),"",G196="","記載要"),"")</f>
        <v/>
      </c>
      <c r="K196" t="str">
        <f t="shared" si="32"/>
        <v>11WP00902437</v>
      </c>
      <c r="L196" s="3" t="str">
        <f t="shared" si="33"/>
        <v>2001/01/01</v>
      </c>
      <c r="M196" s="3" t="str">
        <f t="shared" si="34"/>
        <v>2199/12/31</v>
      </c>
      <c r="N196" t="str">
        <f t="shared" si="35"/>
        <v>11WP00902437</v>
      </c>
      <c r="O196">
        <v>5</v>
      </c>
      <c r="Q196" t="str" cm="1">
        <f t="array" ref="Q196">_xlfn.IFS(AND(C196="",G196=""),"",LEFT(G196,1)="L","記載要",LEFT(G196,1)="W","",AND(C196,G196=""),"記載要")</f>
        <v/>
      </c>
      <c r="R196" s="21" t="str">
        <f t="shared" ref="R196:R259" si="40">IF(H196="","","記載要")</f>
        <v/>
      </c>
      <c r="S196" s="21"/>
      <c r="Z196" s="8"/>
      <c r="AA196">
        <v>1</v>
      </c>
      <c r="AB196">
        <f t="shared" si="36"/>
        <v>0</v>
      </c>
      <c r="AC196">
        <v>1</v>
      </c>
      <c r="AF196">
        <v>1</v>
      </c>
      <c r="AG196" s="8"/>
      <c r="AH196" s="8"/>
      <c r="AK196" cm="1">
        <f t="array" ref="AK196">_xlfn.IFS(B196="","",LEFT(G196,1)="L",1,LEFT(G196,1)="W",1,AND(LEFT(B196,1)="H",G196=""),0)</f>
        <v>1</v>
      </c>
      <c r="AS196" t="str">
        <f t="shared" si="37"/>
        <v/>
      </c>
      <c r="AT196" t="s">
        <v>115</v>
      </c>
      <c r="AU196" t="str">
        <f t="shared" si="38"/>
        <v>0</v>
      </c>
      <c r="BD196" t="str">
        <f t="shared" si="39"/>
        <v>0</v>
      </c>
      <c r="BK196" t="str">
        <f>IFERROR(VLOOKUP(B196,'[1]model_S-フレーム'!$F$5:$R$7000,13,1),"")</f>
        <v>E349955_01</v>
      </c>
      <c r="BL196" s="7">
        <f>IFERROR(VLOOKUP(B196,'[1]model_S-フレーム'!$F$5:$V$7000,17,1),"")</f>
        <v>0</v>
      </c>
      <c r="BM196" t="str" cm="1">
        <f t="array" ref="BM196">_xlfn.IFS(LEFT(G196,1)="L","外注品",LEFT(G196,1)="W","内製品",G196="","購買品")</f>
        <v>内製品</v>
      </c>
    </row>
    <row r="197" spans="1:65">
      <c r="A197" t="str">
        <f t="shared" si="31"/>
        <v>WG01</v>
      </c>
      <c r="B197" t="s">
        <v>331</v>
      </c>
      <c r="C197" t="s">
        <v>872</v>
      </c>
      <c r="D197" s="7"/>
      <c r="E197" s="7"/>
      <c r="G197" t="s">
        <v>1938</v>
      </c>
      <c r="H197" t="str" cm="1">
        <f t="array" ref="H197">IFERROR(_xlfn.IFS(B197="","",AND(B197="",G197=""),"",G197="","記載要"),"")</f>
        <v/>
      </c>
      <c r="K197" t="str">
        <f t="shared" si="32"/>
        <v>11WP00902438</v>
      </c>
      <c r="L197" s="3" t="str">
        <f t="shared" si="33"/>
        <v>2001/01/01</v>
      </c>
      <c r="M197" s="3" t="str">
        <f t="shared" si="34"/>
        <v>2199/12/31</v>
      </c>
      <c r="N197" t="str">
        <f t="shared" si="35"/>
        <v>11WP00902438</v>
      </c>
      <c r="O197">
        <v>5</v>
      </c>
      <c r="Q197" t="str" cm="1">
        <f t="array" ref="Q197">_xlfn.IFS(AND(C197="",G197=""),"",LEFT(G197,1)="L","記載要",LEFT(G197,1)="W","",AND(C197,G197=""),"記載要")</f>
        <v/>
      </c>
      <c r="R197" s="21" t="str">
        <f t="shared" si="40"/>
        <v/>
      </c>
      <c r="S197" s="21"/>
      <c r="Z197" s="8"/>
      <c r="AA197">
        <v>1</v>
      </c>
      <c r="AB197">
        <f t="shared" si="36"/>
        <v>0</v>
      </c>
      <c r="AC197">
        <v>1</v>
      </c>
      <c r="AF197">
        <v>1</v>
      </c>
      <c r="AG197" s="8"/>
      <c r="AH197" s="8"/>
      <c r="AK197" cm="1">
        <f t="array" ref="AK197">_xlfn.IFS(B197="","",LEFT(G197,1)="L",1,LEFT(G197,1)="W",1,AND(LEFT(B197,1)="H",G197=""),0)</f>
        <v>1</v>
      </c>
      <c r="AS197" t="str">
        <f t="shared" si="37"/>
        <v/>
      </c>
      <c r="AT197" t="s">
        <v>115</v>
      </c>
      <c r="AU197" t="str">
        <f t="shared" si="38"/>
        <v>0</v>
      </c>
      <c r="BD197" t="str">
        <f t="shared" si="39"/>
        <v>0</v>
      </c>
      <c r="BK197" t="str">
        <f>IFERROR(VLOOKUP(B197,'[1]model_S-フレーム'!$F$5:$R$7000,13,1),"")</f>
        <v>E349955_01</v>
      </c>
      <c r="BL197" s="7">
        <f>IFERROR(VLOOKUP(B197,'[1]model_S-フレーム'!$F$5:$V$7000,17,1),"")</f>
        <v>0</v>
      </c>
      <c r="BM197" t="str" cm="1">
        <f t="array" ref="BM197">_xlfn.IFS(LEFT(G197,1)="L","外注品",LEFT(G197,1)="W","内製品",G197="","購買品")</f>
        <v>内製品</v>
      </c>
    </row>
    <row r="198" spans="1:65">
      <c r="A198" t="str">
        <f t="shared" si="31"/>
        <v>WG01</v>
      </c>
      <c r="B198" t="s">
        <v>332</v>
      </c>
      <c r="C198" t="s">
        <v>872</v>
      </c>
      <c r="D198" s="7"/>
      <c r="E198" s="7"/>
      <c r="G198" t="s">
        <v>1938</v>
      </c>
      <c r="H198" t="str" cm="1">
        <f t="array" ref="H198">IFERROR(_xlfn.IFS(B198="","",AND(B198="",G198=""),"",G198="","記載要"),"")</f>
        <v/>
      </c>
      <c r="K198" t="str">
        <f t="shared" si="32"/>
        <v>11WP00902439</v>
      </c>
      <c r="L198" s="3" t="str">
        <f t="shared" si="33"/>
        <v>2001/01/01</v>
      </c>
      <c r="M198" s="3" t="str">
        <f t="shared" si="34"/>
        <v>2199/12/31</v>
      </c>
      <c r="N198" t="str">
        <f t="shared" si="35"/>
        <v>11WP00902439</v>
      </c>
      <c r="O198">
        <v>5</v>
      </c>
      <c r="Q198" t="str" cm="1">
        <f t="array" ref="Q198">_xlfn.IFS(AND(C198="",G198=""),"",LEFT(G198,1)="L","記載要",LEFT(G198,1)="W","",AND(C198,G198=""),"記載要")</f>
        <v/>
      </c>
      <c r="R198" s="21" t="str">
        <f t="shared" si="40"/>
        <v/>
      </c>
      <c r="S198" s="21"/>
      <c r="Z198" s="8"/>
      <c r="AA198">
        <v>1</v>
      </c>
      <c r="AB198">
        <f t="shared" si="36"/>
        <v>0</v>
      </c>
      <c r="AC198">
        <v>1</v>
      </c>
      <c r="AF198">
        <v>1</v>
      </c>
      <c r="AG198" s="8"/>
      <c r="AH198" s="8"/>
      <c r="AK198" cm="1">
        <f t="array" ref="AK198">_xlfn.IFS(B198="","",LEFT(G198,1)="L",1,LEFT(G198,1)="W",1,AND(LEFT(B198,1)="H",G198=""),0)</f>
        <v>1</v>
      </c>
      <c r="AS198" t="str">
        <f t="shared" si="37"/>
        <v/>
      </c>
      <c r="AT198" t="s">
        <v>115</v>
      </c>
      <c r="AU198" t="str">
        <f t="shared" si="38"/>
        <v>0</v>
      </c>
      <c r="BD198" t="str">
        <f t="shared" si="39"/>
        <v>0</v>
      </c>
      <c r="BK198" t="str">
        <f>IFERROR(VLOOKUP(B198,'[1]model_S-フレーム'!$F$5:$R$7000,13,1),"")</f>
        <v>E349955_01</v>
      </c>
      <c r="BL198" s="7">
        <f>IFERROR(VLOOKUP(B198,'[1]model_S-フレーム'!$F$5:$V$7000,17,1),"")</f>
        <v>0</v>
      </c>
      <c r="BM198" t="str" cm="1">
        <f t="array" ref="BM198">_xlfn.IFS(LEFT(G198,1)="L","外注品",LEFT(G198,1)="W","内製品",G198="","購買品")</f>
        <v>内製品</v>
      </c>
    </row>
    <row r="199" spans="1:65">
      <c r="A199" t="str">
        <f t="shared" si="31"/>
        <v>WG01</v>
      </c>
      <c r="B199" t="s">
        <v>333</v>
      </c>
      <c r="C199" t="s">
        <v>872</v>
      </c>
      <c r="D199" s="7"/>
      <c r="E199" s="7"/>
      <c r="G199" t="s">
        <v>1938</v>
      </c>
      <c r="H199" t="str" cm="1">
        <f t="array" ref="H199">IFERROR(_xlfn.IFS(B199="","",AND(B199="",G199=""),"",G199="","記載要"),"")</f>
        <v/>
      </c>
      <c r="K199" t="str">
        <f t="shared" si="32"/>
        <v>11WP00902440</v>
      </c>
      <c r="L199" s="3" t="str">
        <f t="shared" si="33"/>
        <v>2001/01/01</v>
      </c>
      <c r="M199" s="3" t="str">
        <f t="shared" si="34"/>
        <v>2199/12/31</v>
      </c>
      <c r="N199" t="str">
        <f t="shared" si="35"/>
        <v>11WP00902440</v>
      </c>
      <c r="O199">
        <v>5</v>
      </c>
      <c r="Q199" t="str" cm="1">
        <f t="array" ref="Q199">_xlfn.IFS(AND(C199="",G199=""),"",LEFT(G199,1)="L","記載要",LEFT(G199,1)="W","",AND(C199,G199=""),"記載要")</f>
        <v/>
      </c>
      <c r="R199" s="21" t="str">
        <f t="shared" si="40"/>
        <v/>
      </c>
      <c r="S199" s="21"/>
      <c r="Z199" s="8"/>
      <c r="AA199">
        <v>1</v>
      </c>
      <c r="AB199">
        <f t="shared" si="36"/>
        <v>0</v>
      </c>
      <c r="AC199">
        <v>1</v>
      </c>
      <c r="AF199">
        <v>1</v>
      </c>
      <c r="AG199" s="8"/>
      <c r="AH199" s="8"/>
      <c r="AK199" cm="1">
        <f t="array" ref="AK199">_xlfn.IFS(B199="","",LEFT(G199,1)="L",1,LEFT(G199,1)="W",1,AND(LEFT(B199,1)="H",G199=""),0)</f>
        <v>1</v>
      </c>
      <c r="AS199" t="str">
        <f t="shared" si="37"/>
        <v/>
      </c>
      <c r="AT199" t="s">
        <v>115</v>
      </c>
      <c r="AU199" t="str">
        <f t="shared" si="38"/>
        <v>0</v>
      </c>
      <c r="BD199" t="str">
        <f t="shared" si="39"/>
        <v>0</v>
      </c>
      <c r="BK199" t="str">
        <f>IFERROR(VLOOKUP(B199,'[1]model_S-フレーム'!$F$5:$R$7000,13,1),"")</f>
        <v>E349955_01</v>
      </c>
      <c r="BL199" s="7">
        <f>IFERROR(VLOOKUP(B199,'[1]model_S-フレーム'!$F$5:$V$7000,17,1),"")</f>
        <v>0</v>
      </c>
      <c r="BM199" t="str" cm="1">
        <f t="array" ref="BM199">_xlfn.IFS(LEFT(G199,1)="L","外注品",LEFT(G199,1)="W","内製品",G199="","購買品")</f>
        <v>内製品</v>
      </c>
    </row>
    <row r="200" spans="1:65">
      <c r="A200" t="str">
        <f t="shared" si="31"/>
        <v>WG01</v>
      </c>
      <c r="B200" t="s">
        <v>334</v>
      </c>
      <c r="C200" t="s">
        <v>872</v>
      </c>
      <c r="D200" s="7"/>
      <c r="E200" s="7"/>
      <c r="G200" t="s">
        <v>1938</v>
      </c>
      <c r="H200" t="str" cm="1">
        <f t="array" ref="H200">IFERROR(_xlfn.IFS(B200="","",AND(B200="",G200=""),"",G200="","記載要"),"")</f>
        <v/>
      </c>
      <c r="K200" t="str">
        <f t="shared" si="32"/>
        <v>11WP00902441</v>
      </c>
      <c r="L200" s="3" t="str">
        <f t="shared" si="33"/>
        <v>2001/01/01</v>
      </c>
      <c r="M200" s="3" t="str">
        <f t="shared" si="34"/>
        <v>2199/12/31</v>
      </c>
      <c r="N200" t="str">
        <f t="shared" si="35"/>
        <v>11WP00902441</v>
      </c>
      <c r="O200">
        <v>5</v>
      </c>
      <c r="Q200" t="str" cm="1">
        <f t="array" ref="Q200">_xlfn.IFS(AND(C200="",G200=""),"",LEFT(G200,1)="L","記載要",LEFT(G200,1)="W","",AND(C200,G200=""),"記載要")</f>
        <v/>
      </c>
      <c r="R200" s="21" t="str">
        <f t="shared" si="40"/>
        <v/>
      </c>
      <c r="S200" s="21"/>
      <c r="Z200" s="8"/>
      <c r="AA200">
        <v>1</v>
      </c>
      <c r="AB200">
        <f t="shared" si="36"/>
        <v>0</v>
      </c>
      <c r="AC200">
        <v>1</v>
      </c>
      <c r="AF200">
        <v>1</v>
      </c>
      <c r="AG200" s="8"/>
      <c r="AH200" s="8"/>
      <c r="AK200" cm="1">
        <f t="array" ref="AK200">_xlfn.IFS(B200="","",LEFT(G200,1)="L",1,LEFT(G200,1)="W",1,AND(LEFT(B200,1)="H",G200=""),0)</f>
        <v>1</v>
      </c>
      <c r="AS200" t="str">
        <f t="shared" si="37"/>
        <v/>
      </c>
      <c r="AT200" t="s">
        <v>115</v>
      </c>
      <c r="AU200" t="str">
        <f t="shared" si="38"/>
        <v>0</v>
      </c>
      <c r="BD200" t="str">
        <f t="shared" si="39"/>
        <v>0</v>
      </c>
      <c r="BK200" t="str">
        <f>IFERROR(VLOOKUP(B200,'[1]model_S-フレーム'!$F$5:$R$7000,13,1),"")</f>
        <v>E349955_01</v>
      </c>
      <c r="BL200" s="7">
        <f>IFERROR(VLOOKUP(B200,'[1]model_S-フレーム'!$F$5:$V$7000,17,1),"")</f>
        <v>0</v>
      </c>
      <c r="BM200" t="str" cm="1">
        <f t="array" ref="BM200">_xlfn.IFS(LEFT(G200,1)="L","外注品",LEFT(G200,1)="W","内製品",G200="","購買品")</f>
        <v>内製品</v>
      </c>
    </row>
    <row r="201" spans="1:65">
      <c r="A201" t="str">
        <f t="shared" si="31"/>
        <v>WG01</v>
      </c>
      <c r="B201" t="s">
        <v>335</v>
      </c>
      <c r="C201" t="s">
        <v>872</v>
      </c>
      <c r="D201" s="7"/>
      <c r="E201" s="7"/>
      <c r="G201" t="s">
        <v>1938</v>
      </c>
      <c r="H201" t="str" cm="1">
        <f t="array" ref="H201">IFERROR(_xlfn.IFS(B201="","",AND(B201="",G201=""),"",G201="","記載要"),"")</f>
        <v/>
      </c>
      <c r="K201" t="str">
        <f t="shared" si="32"/>
        <v>11WP00902442</v>
      </c>
      <c r="L201" s="3" t="str">
        <f t="shared" si="33"/>
        <v>2001/01/01</v>
      </c>
      <c r="M201" s="3" t="str">
        <f t="shared" si="34"/>
        <v>2199/12/31</v>
      </c>
      <c r="N201" t="str">
        <f t="shared" si="35"/>
        <v>11WP00902442</v>
      </c>
      <c r="O201">
        <v>5</v>
      </c>
      <c r="Q201" t="str" cm="1">
        <f t="array" ref="Q201">_xlfn.IFS(AND(C201="",G201=""),"",LEFT(G201,1)="L","記載要",LEFT(G201,1)="W","",AND(C201,G201=""),"記載要")</f>
        <v/>
      </c>
      <c r="R201" s="21" t="str">
        <f t="shared" si="40"/>
        <v/>
      </c>
      <c r="S201" s="21"/>
      <c r="Z201" s="8"/>
      <c r="AA201">
        <v>1</v>
      </c>
      <c r="AB201">
        <f t="shared" si="36"/>
        <v>0</v>
      </c>
      <c r="AC201">
        <v>1</v>
      </c>
      <c r="AF201">
        <v>1</v>
      </c>
      <c r="AG201" s="8"/>
      <c r="AH201" s="8"/>
      <c r="AK201" cm="1">
        <f t="array" ref="AK201">_xlfn.IFS(B201="","",LEFT(G201,1)="L",1,LEFT(G201,1)="W",1,AND(LEFT(B201,1)="H",G201=""),0)</f>
        <v>1</v>
      </c>
      <c r="AS201" t="str">
        <f t="shared" si="37"/>
        <v/>
      </c>
      <c r="AT201" t="s">
        <v>115</v>
      </c>
      <c r="AU201" t="str">
        <f t="shared" si="38"/>
        <v>0</v>
      </c>
      <c r="BD201" t="str">
        <f t="shared" si="39"/>
        <v>0</v>
      </c>
      <c r="BK201" t="str">
        <f>IFERROR(VLOOKUP(B201,'[1]model_S-フレーム'!$F$5:$R$7000,13,1),"")</f>
        <v>E349955_01</v>
      </c>
      <c r="BL201" s="7">
        <f>IFERROR(VLOOKUP(B201,'[1]model_S-フレーム'!$F$5:$V$7000,17,1),"")</f>
        <v>0</v>
      </c>
      <c r="BM201" t="str" cm="1">
        <f t="array" ref="BM201">_xlfn.IFS(LEFT(G201,1)="L","外注品",LEFT(G201,1)="W","内製品",G201="","購買品")</f>
        <v>内製品</v>
      </c>
    </row>
    <row r="202" spans="1:65">
      <c r="A202" t="str">
        <f t="shared" si="31"/>
        <v>WG01</v>
      </c>
      <c r="B202" t="s">
        <v>336</v>
      </c>
      <c r="C202" t="s">
        <v>872</v>
      </c>
      <c r="D202" s="7"/>
      <c r="E202" s="7"/>
      <c r="G202" t="s">
        <v>1938</v>
      </c>
      <c r="H202" t="str" cm="1">
        <f t="array" ref="H202">IFERROR(_xlfn.IFS(B202="","",AND(B202="",G202=""),"",G202="","記載要"),"")</f>
        <v/>
      </c>
      <c r="K202" t="str">
        <f t="shared" si="32"/>
        <v>11WP00902443</v>
      </c>
      <c r="L202" s="3" t="str">
        <f t="shared" si="33"/>
        <v>2001/01/01</v>
      </c>
      <c r="M202" s="3" t="str">
        <f t="shared" si="34"/>
        <v>2199/12/31</v>
      </c>
      <c r="N202" t="str">
        <f t="shared" si="35"/>
        <v>11WP00902443</v>
      </c>
      <c r="O202">
        <v>5</v>
      </c>
      <c r="Q202" t="str" cm="1">
        <f t="array" ref="Q202">_xlfn.IFS(AND(C202="",G202=""),"",LEFT(G202,1)="L","記載要",LEFT(G202,1)="W","",AND(C202,G202=""),"記載要")</f>
        <v/>
      </c>
      <c r="R202" s="21" t="str">
        <f t="shared" si="40"/>
        <v/>
      </c>
      <c r="S202" s="21"/>
      <c r="Z202" s="8"/>
      <c r="AA202">
        <v>1</v>
      </c>
      <c r="AB202">
        <f t="shared" si="36"/>
        <v>0</v>
      </c>
      <c r="AC202">
        <v>1</v>
      </c>
      <c r="AF202">
        <v>1</v>
      </c>
      <c r="AG202" s="8"/>
      <c r="AH202" s="8"/>
      <c r="AK202" cm="1">
        <f t="array" ref="AK202">_xlfn.IFS(B202="","",LEFT(G202,1)="L",1,LEFT(G202,1)="W",1,AND(LEFT(B202,1)="H",G202=""),0)</f>
        <v>1</v>
      </c>
      <c r="AS202" t="str">
        <f t="shared" si="37"/>
        <v/>
      </c>
      <c r="AT202" t="s">
        <v>115</v>
      </c>
      <c r="AU202" t="str">
        <f t="shared" si="38"/>
        <v>0</v>
      </c>
      <c r="BD202" t="str">
        <f t="shared" si="39"/>
        <v>0</v>
      </c>
      <c r="BK202" t="str">
        <f>IFERROR(VLOOKUP(B202,'[1]model_S-フレーム'!$F$5:$R$7000,13,1),"")</f>
        <v>E349955_01</v>
      </c>
      <c r="BL202" s="7">
        <f>IFERROR(VLOOKUP(B202,'[1]model_S-フレーム'!$F$5:$V$7000,17,1),"")</f>
        <v>0</v>
      </c>
      <c r="BM202" t="str" cm="1">
        <f t="array" ref="BM202">_xlfn.IFS(LEFT(G202,1)="L","外注品",LEFT(G202,1)="W","内製品",G202="","購買品")</f>
        <v>内製品</v>
      </c>
    </row>
    <row r="203" spans="1:65">
      <c r="A203" t="str">
        <f t="shared" si="31"/>
        <v>WG01</v>
      </c>
      <c r="B203" t="s">
        <v>337</v>
      </c>
      <c r="C203" t="s">
        <v>872</v>
      </c>
      <c r="D203" s="7"/>
      <c r="E203" s="7"/>
      <c r="G203" t="s">
        <v>1938</v>
      </c>
      <c r="H203" t="str" cm="1">
        <f t="array" ref="H203">IFERROR(_xlfn.IFS(B203="","",AND(B203="",G203=""),"",G203="","記載要"),"")</f>
        <v/>
      </c>
      <c r="K203" t="str">
        <f t="shared" si="32"/>
        <v>11WP00902444</v>
      </c>
      <c r="L203" s="3" t="str">
        <f t="shared" si="33"/>
        <v>2001/01/01</v>
      </c>
      <c r="M203" s="3" t="str">
        <f t="shared" si="34"/>
        <v>2199/12/31</v>
      </c>
      <c r="N203" t="str">
        <f t="shared" si="35"/>
        <v>11WP00902444</v>
      </c>
      <c r="O203">
        <v>5</v>
      </c>
      <c r="Q203" t="str" cm="1">
        <f t="array" ref="Q203">_xlfn.IFS(AND(C203="",G203=""),"",LEFT(G203,1)="L","記載要",LEFT(G203,1)="W","",AND(C203,G203=""),"記載要")</f>
        <v/>
      </c>
      <c r="R203" s="21" t="str">
        <f t="shared" si="40"/>
        <v/>
      </c>
      <c r="S203" s="21"/>
      <c r="Z203" s="8"/>
      <c r="AA203">
        <v>1</v>
      </c>
      <c r="AB203">
        <f t="shared" si="36"/>
        <v>0</v>
      </c>
      <c r="AC203">
        <v>1</v>
      </c>
      <c r="AF203">
        <v>1</v>
      </c>
      <c r="AG203" s="8"/>
      <c r="AH203" s="8"/>
      <c r="AK203" cm="1">
        <f t="array" ref="AK203">_xlfn.IFS(B203="","",LEFT(G203,1)="L",1,LEFT(G203,1)="W",1,AND(LEFT(B203,1)="H",G203=""),0)</f>
        <v>1</v>
      </c>
      <c r="AS203" t="str">
        <f t="shared" si="37"/>
        <v/>
      </c>
      <c r="AT203" t="s">
        <v>115</v>
      </c>
      <c r="AU203" t="str">
        <f t="shared" si="38"/>
        <v>0</v>
      </c>
      <c r="BD203" t="str">
        <f t="shared" si="39"/>
        <v>0</v>
      </c>
      <c r="BK203" t="str">
        <f>IFERROR(VLOOKUP(B203,'[1]model_S-フレーム'!$F$5:$R$7000,13,1),"")</f>
        <v>E349955_01</v>
      </c>
      <c r="BL203" s="7">
        <f>IFERROR(VLOOKUP(B203,'[1]model_S-フレーム'!$F$5:$V$7000,17,1),"")</f>
        <v>0</v>
      </c>
      <c r="BM203" t="str" cm="1">
        <f t="array" ref="BM203">_xlfn.IFS(LEFT(G203,1)="L","外注品",LEFT(G203,1)="W","内製品",G203="","購買品")</f>
        <v>内製品</v>
      </c>
    </row>
    <row r="204" spans="1:65">
      <c r="A204" t="str">
        <f t="shared" si="31"/>
        <v>WG01</v>
      </c>
      <c r="B204" t="s">
        <v>338</v>
      </c>
      <c r="C204" t="s">
        <v>872</v>
      </c>
      <c r="D204" s="7"/>
      <c r="E204" s="7"/>
      <c r="G204" t="s">
        <v>1938</v>
      </c>
      <c r="H204" t="str" cm="1">
        <f t="array" ref="H204">IFERROR(_xlfn.IFS(B204="","",AND(B204="",G204=""),"",G204="","記載要"),"")</f>
        <v/>
      </c>
      <c r="K204" t="str">
        <f t="shared" si="32"/>
        <v>11WP00902445</v>
      </c>
      <c r="L204" s="3" t="str">
        <f t="shared" si="33"/>
        <v>2001/01/01</v>
      </c>
      <c r="M204" s="3" t="str">
        <f t="shared" si="34"/>
        <v>2199/12/31</v>
      </c>
      <c r="N204" t="str">
        <f t="shared" si="35"/>
        <v>11WP00902445</v>
      </c>
      <c r="O204">
        <v>5</v>
      </c>
      <c r="Q204" t="str" cm="1">
        <f t="array" ref="Q204">_xlfn.IFS(AND(C204="",G204=""),"",LEFT(G204,1)="L","記載要",LEFT(G204,1)="W","",AND(C204,G204=""),"記載要")</f>
        <v/>
      </c>
      <c r="R204" s="21" t="str">
        <f t="shared" si="40"/>
        <v/>
      </c>
      <c r="S204" s="21"/>
      <c r="Z204" s="8"/>
      <c r="AA204">
        <v>1</v>
      </c>
      <c r="AB204">
        <f t="shared" si="36"/>
        <v>0</v>
      </c>
      <c r="AC204">
        <v>1</v>
      </c>
      <c r="AF204">
        <v>1</v>
      </c>
      <c r="AG204" s="8"/>
      <c r="AH204" s="8"/>
      <c r="AK204" cm="1">
        <f t="array" ref="AK204">_xlfn.IFS(B204="","",LEFT(G204,1)="L",1,LEFT(G204,1)="W",1,AND(LEFT(B204,1)="H",G204=""),0)</f>
        <v>1</v>
      </c>
      <c r="AS204" t="str">
        <f t="shared" si="37"/>
        <v/>
      </c>
      <c r="AT204" t="s">
        <v>115</v>
      </c>
      <c r="AU204" t="str">
        <f t="shared" si="38"/>
        <v>0</v>
      </c>
      <c r="BD204" t="str">
        <f t="shared" si="39"/>
        <v>0</v>
      </c>
      <c r="BK204" t="str">
        <f>IFERROR(VLOOKUP(B204,'[1]model_S-フレーム'!$F$5:$R$7000,13,1),"")</f>
        <v>E349955_01</v>
      </c>
      <c r="BL204" s="7">
        <f>IFERROR(VLOOKUP(B204,'[1]model_S-フレーム'!$F$5:$V$7000,17,1),"")</f>
        <v>0</v>
      </c>
      <c r="BM204" t="str" cm="1">
        <f t="array" ref="BM204">_xlfn.IFS(LEFT(G204,1)="L","外注品",LEFT(G204,1)="W","内製品",G204="","購買品")</f>
        <v>内製品</v>
      </c>
    </row>
    <row r="205" spans="1:65">
      <c r="A205" t="str">
        <f t="shared" si="31"/>
        <v>WG01</v>
      </c>
      <c r="B205" t="s">
        <v>339</v>
      </c>
      <c r="C205" t="s">
        <v>873</v>
      </c>
      <c r="D205" s="7"/>
      <c r="E205" s="7"/>
      <c r="G205" t="s">
        <v>1938</v>
      </c>
      <c r="H205" t="str" cm="1">
        <f t="array" ref="H205">IFERROR(_xlfn.IFS(B205="","",AND(B205="",G205=""),"",G205="","記載要"),"")</f>
        <v/>
      </c>
      <c r="K205" t="str">
        <f t="shared" si="32"/>
        <v>11WP00902446</v>
      </c>
      <c r="L205" s="3" t="str">
        <f t="shared" si="33"/>
        <v>2001/01/01</v>
      </c>
      <c r="M205" s="3" t="str">
        <f t="shared" si="34"/>
        <v>2199/12/31</v>
      </c>
      <c r="N205" t="str">
        <f t="shared" si="35"/>
        <v>11WP00902446</v>
      </c>
      <c r="O205">
        <v>5</v>
      </c>
      <c r="Q205" t="str" cm="1">
        <f t="array" ref="Q205">_xlfn.IFS(AND(C205="",G205=""),"",LEFT(G205,1)="L","記載要",LEFT(G205,1)="W","",AND(C205,G205=""),"記載要")</f>
        <v/>
      </c>
      <c r="R205" s="21" t="str">
        <f t="shared" si="40"/>
        <v/>
      </c>
      <c r="S205" s="21"/>
      <c r="Z205" s="8"/>
      <c r="AA205">
        <v>1</v>
      </c>
      <c r="AB205">
        <f t="shared" si="36"/>
        <v>0</v>
      </c>
      <c r="AC205">
        <v>1</v>
      </c>
      <c r="AF205">
        <v>1</v>
      </c>
      <c r="AG205" s="8"/>
      <c r="AH205" s="8"/>
      <c r="AK205" cm="1">
        <f t="array" ref="AK205">_xlfn.IFS(B205="","",LEFT(G205,1)="L",1,LEFT(G205,1)="W",1,AND(LEFT(B205,1)="H",G205=""),0)</f>
        <v>1</v>
      </c>
      <c r="AS205" t="str">
        <f t="shared" si="37"/>
        <v/>
      </c>
      <c r="AT205" t="s">
        <v>115</v>
      </c>
      <c r="AU205" t="str">
        <f t="shared" si="38"/>
        <v>0</v>
      </c>
      <c r="BD205" t="str">
        <f t="shared" si="39"/>
        <v>0</v>
      </c>
      <c r="BK205" t="str">
        <f>IFERROR(VLOOKUP(B205,'[1]model_S-フレーム'!$F$5:$R$7000,13,1),"")</f>
        <v>E349955_01</v>
      </c>
      <c r="BL205" s="7">
        <f>IFERROR(VLOOKUP(B205,'[1]model_S-フレーム'!$F$5:$V$7000,17,1),"")</f>
        <v>0</v>
      </c>
      <c r="BM205" t="str" cm="1">
        <f t="array" ref="BM205">_xlfn.IFS(LEFT(G205,1)="L","外注品",LEFT(G205,1)="W","内製品",G205="","購買品")</f>
        <v>内製品</v>
      </c>
    </row>
    <row r="206" spans="1:65">
      <c r="A206" t="str">
        <f t="shared" si="31"/>
        <v>WG01</v>
      </c>
      <c r="B206" t="s">
        <v>340</v>
      </c>
      <c r="C206" t="s">
        <v>873</v>
      </c>
      <c r="D206" s="7"/>
      <c r="E206" s="7"/>
      <c r="G206" t="s">
        <v>1938</v>
      </c>
      <c r="H206" t="str" cm="1">
        <f t="array" ref="H206">IFERROR(_xlfn.IFS(B206="","",AND(B206="",G206=""),"",G206="","記載要"),"")</f>
        <v/>
      </c>
      <c r="K206" t="str">
        <f t="shared" si="32"/>
        <v>11WP00902447</v>
      </c>
      <c r="L206" s="3" t="str">
        <f t="shared" si="33"/>
        <v>2001/01/01</v>
      </c>
      <c r="M206" s="3" t="str">
        <f t="shared" si="34"/>
        <v>2199/12/31</v>
      </c>
      <c r="N206" t="str">
        <f t="shared" si="35"/>
        <v>11WP00902447</v>
      </c>
      <c r="O206">
        <v>5</v>
      </c>
      <c r="Q206" t="str" cm="1">
        <f t="array" ref="Q206">_xlfn.IFS(AND(C206="",G206=""),"",LEFT(G206,1)="L","記載要",LEFT(G206,1)="W","",AND(C206,G206=""),"記載要")</f>
        <v/>
      </c>
      <c r="R206" s="21" t="str">
        <f t="shared" si="40"/>
        <v/>
      </c>
      <c r="S206" s="21"/>
      <c r="Z206" s="8"/>
      <c r="AA206">
        <v>1</v>
      </c>
      <c r="AB206">
        <f t="shared" si="36"/>
        <v>0</v>
      </c>
      <c r="AC206">
        <v>1</v>
      </c>
      <c r="AF206">
        <v>1</v>
      </c>
      <c r="AG206" s="8"/>
      <c r="AH206" s="8"/>
      <c r="AK206" cm="1">
        <f t="array" ref="AK206">_xlfn.IFS(B206="","",LEFT(G206,1)="L",1,LEFT(G206,1)="W",1,AND(LEFT(B206,1)="H",G206=""),0)</f>
        <v>1</v>
      </c>
      <c r="AS206" t="str">
        <f t="shared" si="37"/>
        <v/>
      </c>
      <c r="AT206" t="s">
        <v>115</v>
      </c>
      <c r="AU206" t="str">
        <f t="shared" si="38"/>
        <v>0</v>
      </c>
      <c r="BD206" t="str">
        <f t="shared" si="39"/>
        <v>0</v>
      </c>
      <c r="BK206" t="str">
        <f>IFERROR(VLOOKUP(B206,'[1]model_S-フレーム'!$F$5:$R$7000,13,1),"")</f>
        <v>E349955_01</v>
      </c>
      <c r="BL206" s="7">
        <f>IFERROR(VLOOKUP(B206,'[1]model_S-フレーム'!$F$5:$V$7000,17,1),"")</f>
        <v>0</v>
      </c>
      <c r="BM206" t="str" cm="1">
        <f t="array" ref="BM206">_xlfn.IFS(LEFT(G206,1)="L","外注品",LEFT(G206,1)="W","内製品",G206="","購買品")</f>
        <v>内製品</v>
      </c>
    </row>
    <row r="207" spans="1:65">
      <c r="A207" t="str">
        <f t="shared" si="31"/>
        <v>WG01</v>
      </c>
      <c r="B207" t="s">
        <v>341</v>
      </c>
      <c r="C207" t="s">
        <v>873</v>
      </c>
      <c r="D207" s="7"/>
      <c r="E207" s="7"/>
      <c r="G207" t="s">
        <v>1938</v>
      </c>
      <c r="H207" t="str" cm="1">
        <f t="array" ref="H207">IFERROR(_xlfn.IFS(B207="","",AND(B207="",G207=""),"",G207="","記載要"),"")</f>
        <v/>
      </c>
      <c r="K207" t="str">
        <f t="shared" si="32"/>
        <v>11WP00902448</v>
      </c>
      <c r="L207" s="3" t="str">
        <f t="shared" si="33"/>
        <v>2001/01/01</v>
      </c>
      <c r="M207" s="3" t="str">
        <f t="shared" si="34"/>
        <v>2199/12/31</v>
      </c>
      <c r="N207" t="str">
        <f t="shared" si="35"/>
        <v>11WP00902448</v>
      </c>
      <c r="O207">
        <v>5</v>
      </c>
      <c r="Q207" t="str" cm="1">
        <f t="array" ref="Q207">_xlfn.IFS(AND(C207="",G207=""),"",LEFT(G207,1)="L","記載要",LEFT(G207,1)="W","",AND(C207,G207=""),"記載要")</f>
        <v/>
      </c>
      <c r="R207" s="21" t="str">
        <f t="shared" si="40"/>
        <v/>
      </c>
      <c r="S207" s="21"/>
      <c r="Z207" s="8"/>
      <c r="AA207">
        <v>1</v>
      </c>
      <c r="AB207">
        <f t="shared" si="36"/>
        <v>0</v>
      </c>
      <c r="AC207">
        <v>1</v>
      </c>
      <c r="AF207">
        <v>1</v>
      </c>
      <c r="AG207" s="8"/>
      <c r="AH207" s="8"/>
      <c r="AK207" cm="1">
        <f t="array" ref="AK207">_xlfn.IFS(B207="","",LEFT(G207,1)="L",1,LEFT(G207,1)="W",1,AND(LEFT(B207,1)="H",G207=""),0)</f>
        <v>1</v>
      </c>
      <c r="AS207" t="str">
        <f t="shared" si="37"/>
        <v/>
      </c>
      <c r="AT207" t="s">
        <v>115</v>
      </c>
      <c r="AU207" t="str">
        <f t="shared" si="38"/>
        <v>0</v>
      </c>
      <c r="BD207" t="str">
        <f t="shared" si="39"/>
        <v>0</v>
      </c>
      <c r="BK207" t="str">
        <f>IFERROR(VLOOKUP(B207,'[1]model_S-フレーム'!$F$5:$R$7000,13,1),"")</f>
        <v>E349955_01</v>
      </c>
      <c r="BL207" s="7">
        <f>IFERROR(VLOOKUP(B207,'[1]model_S-フレーム'!$F$5:$V$7000,17,1),"")</f>
        <v>0</v>
      </c>
      <c r="BM207" t="str" cm="1">
        <f t="array" ref="BM207">_xlfn.IFS(LEFT(G207,1)="L","外注品",LEFT(G207,1)="W","内製品",G207="","購買品")</f>
        <v>内製品</v>
      </c>
    </row>
    <row r="208" spans="1:65">
      <c r="A208" t="str">
        <f t="shared" si="31"/>
        <v>WG01</v>
      </c>
      <c r="B208" t="s">
        <v>342</v>
      </c>
      <c r="C208" t="s">
        <v>873</v>
      </c>
      <c r="D208" s="7"/>
      <c r="E208" s="7"/>
      <c r="G208" t="s">
        <v>1938</v>
      </c>
      <c r="H208" t="str" cm="1">
        <f t="array" ref="H208">IFERROR(_xlfn.IFS(B208="","",AND(B208="",G208=""),"",G208="","記載要"),"")</f>
        <v/>
      </c>
      <c r="K208" t="str">
        <f t="shared" si="32"/>
        <v>11WP00902449</v>
      </c>
      <c r="L208" s="3" t="str">
        <f t="shared" si="33"/>
        <v>2001/01/01</v>
      </c>
      <c r="M208" s="3" t="str">
        <f t="shared" si="34"/>
        <v>2199/12/31</v>
      </c>
      <c r="N208" t="str">
        <f t="shared" si="35"/>
        <v>11WP00902449</v>
      </c>
      <c r="O208">
        <v>5</v>
      </c>
      <c r="Q208" t="str" cm="1">
        <f t="array" ref="Q208">_xlfn.IFS(AND(C208="",G208=""),"",LEFT(G208,1)="L","記載要",LEFT(G208,1)="W","",AND(C208,G208=""),"記載要")</f>
        <v/>
      </c>
      <c r="R208" s="21" t="str">
        <f t="shared" si="40"/>
        <v/>
      </c>
      <c r="S208" s="21"/>
      <c r="Z208" s="8"/>
      <c r="AA208">
        <v>1</v>
      </c>
      <c r="AB208">
        <f t="shared" si="36"/>
        <v>0</v>
      </c>
      <c r="AC208">
        <v>1</v>
      </c>
      <c r="AF208">
        <v>1</v>
      </c>
      <c r="AG208" s="8"/>
      <c r="AH208" s="8"/>
      <c r="AK208" cm="1">
        <f t="array" ref="AK208">_xlfn.IFS(B208="","",LEFT(G208,1)="L",1,LEFT(G208,1)="W",1,AND(LEFT(B208,1)="H",G208=""),0)</f>
        <v>1</v>
      </c>
      <c r="AS208" t="str">
        <f t="shared" si="37"/>
        <v/>
      </c>
      <c r="AT208" t="s">
        <v>115</v>
      </c>
      <c r="AU208" t="str">
        <f t="shared" si="38"/>
        <v>0</v>
      </c>
      <c r="BD208" t="str">
        <f t="shared" si="39"/>
        <v>0</v>
      </c>
      <c r="BK208" t="str">
        <f>IFERROR(VLOOKUP(B208,'[1]model_S-フレーム'!$F$5:$R$7000,13,1),"")</f>
        <v>E349955_01</v>
      </c>
      <c r="BL208" s="7">
        <f>IFERROR(VLOOKUP(B208,'[1]model_S-フレーム'!$F$5:$V$7000,17,1),"")</f>
        <v>0</v>
      </c>
      <c r="BM208" t="str" cm="1">
        <f t="array" ref="BM208">_xlfn.IFS(LEFT(G208,1)="L","外注品",LEFT(G208,1)="W","内製品",G208="","購買品")</f>
        <v>内製品</v>
      </c>
    </row>
    <row r="209" spans="1:65">
      <c r="A209" t="str">
        <f t="shared" si="31"/>
        <v>WG01</v>
      </c>
      <c r="B209" t="s">
        <v>343</v>
      </c>
      <c r="C209" t="s">
        <v>873</v>
      </c>
      <c r="D209" s="7"/>
      <c r="E209" s="7"/>
      <c r="G209" t="s">
        <v>1938</v>
      </c>
      <c r="H209" t="str" cm="1">
        <f t="array" ref="H209">IFERROR(_xlfn.IFS(B209="","",AND(B209="",G209=""),"",G209="","記載要"),"")</f>
        <v/>
      </c>
      <c r="K209" t="str">
        <f t="shared" si="32"/>
        <v>11WP00902450</v>
      </c>
      <c r="L209" s="3" t="str">
        <f t="shared" si="33"/>
        <v>2001/01/01</v>
      </c>
      <c r="M209" s="3" t="str">
        <f t="shared" si="34"/>
        <v>2199/12/31</v>
      </c>
      <c r="N209" t="str">
        <f t="shared" si="35"/>
        <v>11WP00902450</v>
      </c>
      <c r="O209">
        <v>5</v>
      </c>
      <c r="Q209" t="str" cm="1">
        <f t="array" ref="Q209">_xlfn.IFS(AND(C209="",G209=""),"",LEFT(G209,1)="L","記載要",LEFT(G209,1)="W","",AND(C209,G209=""),"記載要")</f>
        <v/>
      </c>
      <c r="R209" s="21" t="str">
        <f t="shared" si="40"/>
        <v/>
      </c>
      <c r="S209" s="21"/>
      <c r="Z209" s="8"/>
      <c r="AA209">
        <v>1</v>
      </c>
      <c r="AB209">
        <f t="shared" si="36"/>
        <v>0</v>
      </c>
      <c r="AC209">
        <v>1</v>
      </c>
      <c r="AF209">
        <v>1</v>
      </c>
      <c r="AG209" s="8"/>
      <c r="AH209" s="8"/>
      <c r="AK209" cm="1">
        <f t="array" ref="AK209">_xlfn.IFS(B209="","",LEFT(G209,1)="L",1,LEFT(G209,1)="W",1,AND(LEFT(B209,1)="H",G209=""),0)</f>
        <v>1</v>
      </c>
      <c r="AS209" t="str">
        <f t="shared" si="37"/>
        <v/>
      </c>
      <c r="AT209" t="s">
        <v>115</v>
      </c>
      <c r="AU209" t="str">
        <f t="shared" si="38"/>
        <v>0</v>
      </c>
      <c r="BD209" t="str">
        <f t="shared" si="39"/>
        <v>0</v>
      </c>
      <c r="BK209" t="str">
        <f>IFERROR(VLOOKUP(B209,'[1]model_S-フレーム'!$F$5:$R$7000,13,1),"")</f>
        <v>E349955_01</v>
      </c>
      <c r="BL209" s="7">
        <f>IFERROR(VLOOKUP(B209,'[1]model_S-フレーム'!$F$5:$V$7000,17,1),"")</f>
        <v>0</v>
      </c>
      <c r="BM209" t="str" cm="1">
        <f t="array" ref="BM209">_xlfn.IFS(LEFT(G209,1)="L","外注品",LEFT(G209,1)="W","内製品",G209="","購買品")</f>
        <v>内製品</v>
      </c>
    </row>
    <row r="210" spans="1:65">
      <c r="A210" t="str">
        <f t="shared" si="31"/>
        <v>WG01</v>
      </c>
      <c r="B210" t="s">
        <v>344</v>
      </c>
      <c r="C210" t="s">
        <v>873</v>
      </c>
      <c r="D210" s="7"/>
      <c r="E210" s="7"/>
      <c r="G210" t="s">
        <v>1938</v>
      </c>
      <c r="H210" t="str" cm="1">
        <f t="array" ref="H210">IFERROR(_xlfn.IFS(B210="","",AND(B210="",G210=""),"",G210="","記載要"),"")</f>
        <v/>
      </c>
      <c r="K210" t="str">
        <f t="shared" si="32"/>
        <v>11WP00902451</v>
      </c>
      <c r="L210" s="3" t="str">
        <f t="shared" si="33"/>
        <v>2001/01/01</v>
      </c>
      <c r="M210" s="3" t="str">
        <f t="shared" si="34"/>
        <v>2199/12/31</v>
      </c>
      <c r="N210" t="str">
        <f t="shared" si="35"/>
        <v>11WP00902451</v>
      </c>
      <c r="O210">
        <v>5</v>
      </c>
      <c r="Q210" t="str" cm="1">
        <f t="array" ref="Q210">_xlfn.IFS(AND(C210="",G210=""),"",LEFT(G210,1)="L","記載要",LEFT(G210,1)="W","",AND(C210,G210=""),"記載要")</f>
        <v/>
      </c>
      <c r="R210" s="21" t="str">
        <f t="shared" si="40"/>
        <v/>
      </c>
      <c r="S210" s="21"/>
      <c r="Z210" s="8"/>
      <c r="AA210">
        <v>1</v>
      </c>
      <c r="AB210">
        <f t="shared" si="36"/>
        <v>0</v>
      </c>
      <c r="AC210">
        <v>1</v>
      </c>
      <c r="AF210">
        <v>1</v>
      </c>
      <c r="AG210" s="8"/>
      <c r="AH210" s="8"/>
      <c r="AK210" cm="1">
        <f t="array" ref="AK210">_xlfn.IFS(B210="","",LEFT(G210,1)="L",1,LEFT(G210,1)="W",1,AND(LEFT(B210,1)="H",G210=""),0)</f>
        <v>1</v>
      </c>
      <c r="AS210" t="str">
        <f t="shared" si="37"/>
        <v/>
      </c>
      <c r="AT210" t="s">
        <v>115</v>
      </c>
      <c r="AU210" t="str">
        <f t="shared" si="38"/>
        <v>0</v>
      </c>
      <c r="BD210" t="str">
        <f t="shared" si="39"/>
        <v>0</v>
      </c>
      <c r="BK210" t="str">
        <f>IFERROR(VLOOKUP(B210,'[1]model_S-フレーム'!$F$5:$R$7000,13,1),"")</f>
        <v>E349955_01</v>
      </c>
      <c r="BL210" s="7">
        <f>IFERROR(VLOOKUP(B210,'[1]model_S-フレーム'!$F$5:$V$7000,17,1),"")</f>
        <v>0</v>
      </c>
      <c r="BM210" t="str" cm="1">
        <f t="array" ref="BM210">_xlfn.IFS(LEFT(G210,1)="L","外注品",LEFT(G210,1)="W","内製品",G210="","購買品")</f>
        <v>内製品</v>
      </c>
    </row>
    <row r="211" spans="1:65">
      <c r="A211" t="str">
        <f t="shared" si="31"/>
        <v>WG01</v>
      </c>
      <c r="B211" t="s">
        <v>345</v>
      </c>
      <c r="C211" t="s">
        <v>873</v>
      </c>
      <c r="D211" s="7"/>
      <c r="E211" s="7"/>
      <c r="G211" t="s">
        <v>1938</v>
      </c>
      <c r="H211" t="str" cm="1">
        <f t="array" ref="H211">IFERROR(_xlfn.IFS(B211="","",AND(B211="",G211=""),"",G211="","記載要"),"")</f>
        <v/>
      </c>
      <c r="K211" t="str">
        <f t="shared" si="32"/>
        <v>11WP00902452</v>
      </c>
      <c r="L211" s="3" t="str">
        <f t="shared" si="33"/>
        <v>2001/01/01</v>
      </c>
      <c r="M211" s="3" t="str">
        <f t="shared" si="34"/>
        <v>2199/12/31</v>
      </c>
      <c r="N211" t="str">
        <f t="shared" si="35"/>
        <v>11WP00902452</v>
      </c>
      <c r="O211">
        <v>5</v>
      </c>
      <c r="Q211" t="str" cm="1">
        <f t="array" ref="Q211">_xlfn.IFS(AND(C211="",G211=""),"",LEFT(G211,1)="L","記載要",LEFT(G211,1)="W","",AND(C211,G211=""),"記載要")</f>
        <v/>
      </c>
      <c r="R211" s="21" t="str">
        <f t="shared" si="40"/>
        <v/>
      </c>
      <c r="S211" s="21"/>
      <c r="Z211" s="8"/>
      <c r="AA211">
        <v>1</v>
      </c>
      <c r="AB211">
        <f t="shared" si="36"/>
        <v>0</v>
      </c>
      <c r="AC211">
        <v>1</v>
      </c>
      <c r="AF211">
        <v>1</v>
      </c>
      <c r="AG211" s="8"/>
      <c r="AH211" s="8"/>
      <c r="AK211" cm="1">
        <f t="array" ref="AK211">_xlfn.IFS(B211="","",LEFT(G211,1)="L",1,LEFT(G211,1)="W",1,AND(LEFT(B211,1)="H",G211=""),0)</f>
        <v>1</v>
      </c>
      <c r="AS211" t="str">
        <f t="shared" si="37"/>
        <v/>
      </c>
      <c r="AT211" t="s">
        <v>115</v>
      </c>
      <c r="AU211" t="str">
        <f t="shared" si="38"/>
        <v>0</v>
      </c>
      <c r="BD211" t="str">
        <f t="shared" si="39"/>
        <v>0</v>
      </c>
      <c r="BK211" t="str">
        <f>IFERROR(VLOOKUP(B211,'[1]model_S-フレーム'!$F$5:$R$7000,13,1),"")</f>
        <v>E349955_01</v>
      </c>
      <c r="BL211" s="7">
        <f>IFERROR(VLOOKUP(B211,'[1]model_S-フレーム'!$F$5:$V$7000,17,1),"")</f>
        <v>0</v>
      </c>
      <c r="BM211" t="str" cm="1">
        <f t="array" ref="BM211">_xlfn.IFS(LEFT(G211,1)="L","外注品",LEFT(G211,1)="W","内製品",G211="","購買品")</f>
        <v>内製品</v>
      </c>
    </row>
    <row r="212" spans="1:65">
      <c r="A212" t="str">
        <f t="shared" si="31"/>
        <v>WG01</v>
      </c>
      <c r="B212" t="s">
        <v>346</v>
      </c>
      <c r="C212" t="s">
        <v>873</v>
      </c>
      <c r="D212" s="7"/>
      <c r="E212" s="7"/>
      <c r="G212" t="s">
        <v>1938</v>
      </c>
      <c r="H212" t="str" cm="1">
        <f t="array" ref="H212">IFERROR(_xlfn.IFS(B212="","",AND(B212="",G212=""),"",G212="","記載要"),"")</f>
        <v/>
      </c>
      <c r="K212" t="str">
        <f t="shared" si="32"/>
        <v>11WP00902453</v>
      </c>
      <c r="L212" s="3" t="str">
        <f t="shared" si="33"/>
        <v>2001/01/01</v>
      </c>
      <c r="M212" s="3" t="str">
        <f t="shared" si="34"/>
        <v>2199/12/31</v>
      </c>
      <c r="N212" t="str">
        <f t="shared" si="35"/>
        <v>11WP00902453</v>
      </c>
      <c r="O212">
        <v>5</v>
      </c>
      <c r="Q212" t="str" cm="1">
        <f t="array" ref="Q212">_xlfn.IFS(AND(C212="",G212=""),"",LEFT(G212,1)="L","記載要",LEFT(G212,1)="W","",AND(C212,G212=""),"記載要")</f>
        <v/>
      </c>
      <c r="R212" s="21" t="str">
        <f t="shared" si="40"/>
        <v/>
      </c>
      <c r="S212" s="21"/>
      <c r="Z212" s="8"/>
      <c r="AA212">
        <v>1</v>
      </c>
      <c r="AB212">
        <f t="shared" si="36"/>
        <v>0</v>
      </c>
      <c r="AC212">
        <v>1</v>
      </c>
      <c r="AF212">
        <v>1</v>
      </c>
      <c r="AG212" s="8"/>
      <c r="AH212" s="8"/>
      <c r="AK212" cm="1">
        <f t="array" ref="AK212">_xlfn.IFS(B212="","",LEFT(G212,1)="L",1,LEFT(G212,1)="W",1,AND(LEFT(B212,1)="H",G212=""),0)</f>
        <v>1</v>
      </c>
      <c r="AS212" t="str">
        <f t="shared" si="37"/>
        <v/>
      </c>
      <c r="AT212" t="s">
        <v>115</v>
      </c>
      <c r="AU212" t="str">
        <f t="shared" si="38"/>
        <v>0</v>
      </c>
      <c r="BD212" t="str">
        <f t="shared" si="39"/>
        <v>0</v>
      </c>
      <c r="BK212" t="str">
        <f>IFERROR(VLOOKUP(B212,'[1]model_S-フレーム'!$F$5:$R$7000,13,1),"")</f>
        <v>E349955_01</v>
      </c>
      <c r="BL212" s="7">
        <f>IFERROR(VLOOKUP(B212,'[1]model_S-フレーム'!$F$5:$V$7000,17,1),"")</f>
        <v>0</v>
      </c>
      <c r="BM212" t="str" cm="1">
        <f t="array" ref="BM212">_xlfn.IFS(LEFT(G212,1)="L","外注品",LEFT(G212,1)="W","内製品",G212="","購買品")</f>
        <v>内製品</v>
      </c>
    </row>
    <row r="213" spans="1:65">
      <c r="A213" t="str">
        <f t="shared" si="31"/>
        <v>WG01</v>
      </c>
      <c r="B213" t="s">
        <v>347</v>
      </c>
      <c r="C213" t="s">
        <v>873</v>
      </c>
      <c r="D213" s="7"/>
      <c r="E213" s="7"/>
      <c r="G213" t="s">
        <v>1938</v>
      </c>
      <c r="H213" t="str" cm="1">
        <f t="array" ref="H213">IFERROR(_xlfn.IFS(B213="","",AND(B213="",G213=""),"",G213="","記載要"),"")</f>
        <v/>
      </c>
      <c r="K213" t="str">
        <f t="shared" si="32"/>
        <v>11WP00902454</v>
      </c>
      <c r="L213" s="3" t="str">
        <f t="shared" si="33"/>
        <v>2001/01/01</v>
      </c>
      <c r="M213" s="3" t="str">
        <f t="shared" si="34"/>
        <v>2199/12/31</v>
      </c>
      <c r="N213" t="str">
        <f t="shared" si="35"/>
        <v>11WP00902454</v>
      </c>
      <c r="O213">
        <v>5</v>
      </c>
      <c r="Q213" t="str" cm="1">
        <f t="array" ref="Q213">_xlfn.IFS(AND(C213="",G213=""),"",LEFT(G213,1)="L","記載要",LEFT(G213,1)="W","",AND(C213,G213=""),"記載要")</f>
        <v/>
      </c>
      <c r="R213" s="21" t="str">
        <f t="shared" si="40"/>
        <v/>
      </c>
      <c r="S213" s="21"/>
      <c r="Z213" s="8"/>
      <c r="AA213">
        <v>1</v>
      </c>
      <c r="AB213">
        <f t="shared" si="36"/>
        <v>0</v>
      </c>
      <c r="AC213">
        <v>1</v>
      </c>
      <c r="AF213">
        <v>1</v>
      </c>
      <c r="AG213" s="8"/>
      <c r="AH213" s="8"/>
      <c r="AK213" cm="1">
        <f t="array" ref="AK213">_xlfn.IFS(B213="","",LEFT(G213,1)="L",1,LEFT(G213,1)="W",1,AND(LEFT(B213,1)="H",G213=""),0)</f>
        <v>1</v>
      </c>
      <c r="AS213" t="str">
        <f t="shared" si="37"/>
        <v/>
      </c>
      <c r="AT213" t="s">
        <v>115</v>
      </c>
      <c r="AU213" t="str">
        <f t="shared" si="38"/>
        <v>0</v>
      </c>
      <c r="BD213" t="str">
        <f t="shared" si="39"/>
        <v>0</v>
      </c>
      <c r="BK213" t="str">
        <f>IFERROR(VLOOKUP(B213,'[1]model_S-フレーム'!$F$5:$R$7000,13,1),"")</f>
        <v>E349955_01</v>
      </c>
      <c r="BL213" s="7">
        <f>IFERROR(VLOOKUP(B213,'[1]model_S-フレーム'!$F$5:$V$7000,17,1),"")</f>
        <v>0</v>
      </c>
      <c r="BM213" t="str" cm="1">
        <f t="array" ref="BM213">_xlfn.IFS(LEFT(G213,1)="L","外注品",LEFT(G213,1)="W","内製品",G213="","購買品")</f>
        <v>内製品</v>
      </c>
    </row>
    <row r="214" spans="1:65">
      <c r="A214" t="str">
        <f t="shared" si="31"/>
        <v>WG01</v>
      </c>
      <c r="B214" t="s">
        <v>348</v>
      </c>
      <c r="C214" t="s">
        <v>874</v>
      </c>
      <c r="D214" s="7"/>
      <c r="E214" s="7"/>
      <c r="G214" t="s">
        <v>1938</v>
      </c>
      <c r="H214" t="str" cm="1">
        <f t="array" ref="H214">IFERROR(_xlfn.IFS(B214="","",AND(B214="",G214=""),"",G214="","記載要"),"")</f>
        <v/>
      </c>
      <c r="K214" t="str">
        <f t="shared" si="32"/>
        <v>11WP00902455</v>
      </c>
      <c r="L214" s="3" t="str">
        <f t="shared" si="33"/>
        <v>2001/01/01</v>
      </c>
      <c r="M214" s="3" t="str">
        <f t="shared" si="34"/>
        <v>2199/12/31</v>
      </c>
      <c r="N214" t="str">
        <f t="shared" si="35"/>
        <v>11WP00902455</v>
      </c>
      <c r="O214">
        <v>5</v>
      </c>
      <c r="Q214" t="str" cm="1">
        <f t="array" ref="Q214">_xlfn.IFS(AND(C214="",G214=""),"",LEFT(G214,1)="L","記載要",LEFT(G214,1)="W","",AND(C214,G214=""),"記載要")</f>
        <v/>
      </c>
      <c r="R214" s="21" t="str">
        <f t="shared" si="40"/>
        <v/>
      </c>
      <c r="S214" s="21"/>
      <c r="Z214" s="8"/>
      <c r="AA214">
        <v>1</v>
      </c>
      <c r="AB214">
        <f t="shared" si="36"/>
        <v>0</v>
      </c>
      <c r="AC214">
        <v>1</v>
      </c>
      <c r="AF214">
        <v>1</v>
      </c>
      <c r="AG214" s="8"/>
      <c r="AH214" s="8"/>
      <c r="AK214" cm="1">
        <f t="array" ref="AK214">_xlfn.IFS(B214="","",LEFT(G214,1)="L",1,LEFT(G214,1)="W",1,AND(LEFT(B214,1)="H",G214=""),0)</f>
        <v>1</v>
      </c>
      <c r="AS214" t="str">
        <f t="shared" si="37"/>
        <v/>
      </c>
      <c r="AT214" t="s">
        <v>115</v>
      </c>
      <c r="AU214" t="str">
        <f t="shared" si="38"/>
        <v>0</v>
      </c>
      <c r="BD214" t="str">
        <f t="shared" si="39"/>
        <v>0</v>
      </c>
      <c r="BK214" t="str">
        <f>IFERROR(VLOOKUP(B214,'[1]model_S-フレーム'!$F$5:$R$7000,13,1),"")</f>
        <v>E349955_01</v>
      </c>
      <c r="BL214" s="7">
        <f>IFERROR(VLOOKUP(B214,'[1]model_S-フレーム'!$F$5:$V$7000,17,1),"")</f>
        <v>0</v>
      </c>
      <c r="BM214" t="str" cm="1">
        <f t="array" ref="BM214">_xlfn.IFS(LEFT(G214,1)="L","外注品",LEFT(G214,1)="W","内製品",G214="","購買品")</f>
        <v>内製品</v>
      </c>
    </row>
    <row r="215" spans="1:65">
      <c r="A215" t="str">
        <f t="shared" si="31"/>
        <v>WG01</v>
      </c>
      <c r="B215" t="s">
        <v>349</v>
      </c>
      <c r="C215" t="s">
        <v>874</v>
      </c>
      <c r="D215" s="7"/>
      <c r="E215" s="7"/>
      <c r="G215" t="s">
        <v>1938</v>
      </c>
      <c r="H215" t="str" cm="1">
        <f t="array" ref="H215">IFERROR(_xlfn.IFS(B215="","",AND(B215="",G215=""),"",G215="","記載要"),"")</f>
        <v/>
      </c>
      <c r="K215" t="str">
        <f t="shared" si="32"/>
        <v>11WP00902456</v>
      </c>
      <c r="L215" s="3" t="str">
        <f t="shared" si="33"/>
        <v>2001/01/01</v>
      </c>
      <c r="M215" s="3" t="str">
        <f t="shared" si="34"/>
        <v>2199/12/31</v>
      </c>
      <c r="N215" t="str">
        <f t="shared" si="35"/>
        <v>11WP00902456</v>
      </c>
      <c r="O215">
        <v>5</v>
      </c>
      <c r="Q215" t="str" cm="1">
        <f t="array" ref="Q215">_xlfn.IFS(AND(C215="",G215=""),"",LEFT(G215,1)="L","記載要",LEFT(G215,1)="W","",AND(C215,G215=""),"記載要")</f>
        <v/>
      </c>
      <c r="R215" s="21" t="str">
        <f t="shared" si="40"/>
        <v/>
      </c>
      <c r="S215" s="21"/>
      <c r="Z215" s="8"/>
      <c r="AA215">
        <v>1</v>
      </c>
      <c r="AB215">
        <f t="shared" si="36"/>
        <v>0</v>
      </c>
      <c r="AC215">
        <v>1</v>
      </c>
      <c r="AF215">
        <v>1</v>
      </c>
      <c r="AG215" s="8"/>
      <c r="AH215" s="8"/>
      <c r="AK215" cm="1">
        <f t="array" ref="AK215">_xlfn.IFS(B215="","",LEFT(G215,1)="L",1,LEFT(G215,1)="W",1,AND(LEFT(B215,1)="H",G215=""),0)</f>
        <v>1</v>
      </c>
      <c r="AS215" t="str">
        <f t="shared" si="37"/>
        <v/>
      </c>
      <c r="AT215" t="s">
        <v>115</v>
      </c>
      <c r="AU215" t="str">
        <f t="shared" si="38"/>
        <v>0</v>
      </c>
      <c r="BD215" t="str">
        <f t="shared" si="39"/>
        <v>0</v>
      </c>
      <c r="BK215" t="str">
        <f>IFERROR(VLOOKUP(B215,'[1]model_S-フレーム'!$F$5:$R$7000,13,1),"")</f>
        <v>E349955_01</v>
      </c>
      <c r="BL215" s="7">
        <f>IFERROR(VLOOKUP(B215,'[1]model_S-フレーム'!$F$5:$V$7000,17,1),"")</f>
        <v>0</v>
      </c>
      <c r="BM215" t="str" cm="1">
        <f t="array" ref="BM215">_xlfn.IFS(LEFT(G215,1)="L","外注品",LEFT(G215,1)="W","内製品",G215="","購買品")</f>
        <v>内製品</v>
      </c>
    </row>
    <row r="216" spans="1:65">
      <c r="A216" t="str">
        <f t="shared" si="31"/>
        <v>WG01</v>
      </c>
      <c r="B216" t="s">
        <v>350</v>
      </c>
      <c r="C216" t="s">
        <v>874</v>
      </c>
      <c r="D216" s="7"/>
      <c r="E216" s="7"/>
      <c r="G216" t="s">
        <v>1938</v>
      </c>
      <c r="H216" t="str" cm="1">
        <f t="array" ref="H216">IFERROR(_xlfn.IFS(B216="","",AND(B216="",G216=""),"",G216="","記載要"),"")</f>
        <v/>
      </c>
      <c r="K216" t="str">
        <f t="shared" si="32"/>
        <v>11WP00902457</v>
      </c>
      <c r="L216" s="3" t="str">
        <f t="shared" si="33"/>
        <v>2001/01/01</v>
      </c>
      <c r="M216" s="3" t="str">
        <f t="shared" si="34"/>
        <v>2199/12/31</v>
      </c>
      <c r="N216" t="str">
        <f t="shared" si="35"/>
        <v>11WP00902457</v>
      </c>
      <c r="O216">
        <v>5</v>
      </c>
      <c r="Q216" t="str" cm="1">
        <f t="array" ref="Q216">_xlfn.IFS(AND(C216="",G216=""),"",LEFT(G216,1)="L","記載要",LEFT(G216,1)="W","",AND(C216,G216=""),"記載要")</f>
        <v/>
      </c>
      <c r="R216" s="21" t="str">
        <f t="shared" si="40"/>
        <v/>
      </c>
      <c r="S216" s="21"/>
      <c r="Z216" s="8"/>
      <c r="AA216">
        <v>1</v>
      </c>
      <c r="AB216">
        <f t="shared" si="36"/>
        <v>0</v>
      </c>
      <c r="AC216">
        <v>1</v>
      </c>
      <c r="AF216">
        <v>1</v>
      </c>
      <c r="AG216" s="8"/>
      <c r="AH216" s="8"/>
      <c r="AK216" cm="1">
        <f t="array" ref="AK216">_xlfn.IFS(B216="","",LEFT(G216,1)="L",1,LEFT(G216,1)="W",1,AND(LEFT(B216,1)="H",G216=""),0)</f>
        <v>1</v>
      </c>
      <c r="AS216" t="str">
        <f t="shared" si="37"/>
        <v/>
      </c>
      <c r="AT216" t="s">
        <v>115</v>
      </c>
      <c r="AU216" t="str">
        <f t="shared" si="38"/>
        <v>0</v>
      </c>
      <c r="BD216" t="str">
        <f t="shared" si="39"/>
        <v>0</v>
      </c>
      <c r="BK216" t="str">
        <f>IFERROR(VLOOKUP(B216,'[1]model_S-フレーム'!$F$5:$R$7000,13,1),"")</f>
        <v>E349955_01</v>
      </c>
      <c r="BL216" s="7">
        <f>IFERROR(VLOOKUP(B216,'[1]model_S-フレーム'!$F$5:$V$7000,17,1),"")</f>
        <v>0</v>
      </c>
      <c r="BM216" t="str" cm="1">
        <f t="array" ref="BM216">_xlfn.IFS(LEFT(G216,1)="L","外注品",LEFT(G216,1)="W","内製品",G216="","購買品")</f>
        <v>内製品</v>
      </c>
    </row>
    <row r="217" spans="1:65">
      <c r="A217" t="str">
        <f t="shared" si="31"/>
        <v>WG01</v>
      </c>
      <c r="B217" t="s">
        <v>351</v>
      </c>
      <c r="C217" t="s">
        <v>874</v>
      </c>
      <c r="D217" s="7"/>
      <c r="E217" s="7"/>
      <c r="G217" t="s">
        <v>1938</v>
      </c>
      <c r="H217" t="str" cm="1">
        <f t="array" ref="H217">IFERROR(_xlfn.IFS(B217="","",AND(B217="",G217=""),"",G217="","記載要"),"")</f>
        <v/>
      </c>
      <c r="K217" t="str">
        <f t="shared" si="32"/>
        <v>11WP00902458</v>
      </c>
      <c r="L217" s="3" t="str">
        <f t="shared" si="33"/>
        <v>2001/01/01</v>
      </c>
      <c r="M217" s="3" t="str">
        <f t="shared" si="34"/>
        <v>2199/12/31</v>
      </c>
      <c r="N217" t="str">
        <f t="shared" si="35"/>
        <v>11WP00902458</v>
      </c>
      <c r="O217">
        <v>5</v>
      </c>
      <c r="Q217" t="str" cm="1">
        <f t="array" ref="Q217">_xlfn.IFS(AND(C217="",G217=""),"",LEFT(G217,1)="L","記載要",LEFT(G217,1)="W","",AND(C217,G217=""),"記載要")</f>
        <v/>
      </c>
      <c r="R217" s="21" t="str">
        <f t="shared" si="40"/>
        <v/>
      </c>
      <c r="S217" s="21"/>
      <c r="Z217" s="8"/>
      <c r="AA217">
        <v>1</v>
      </c>
      <c r="AB217">
        <f t="shared" si="36"/>
        <v>0</v>
      </c>
      <c r="AC217">
        <v>1</v>
      </c>
      <c r="AF217">
        <v>1</v>
      </c>
      <c r="AG217" s="8"/>
      <c r="AH217" s="8"/>
      <c r="AK217" cm="1">
        <f t="array" ref="AK217">_xlfn.IFS(B217="","",LEFT(G217,1)="L",1,LEFT(G217,1)="W",1,AND(LEFT(B217,1)="H",G217=""),0)</f>
        <v>1</v>
      </c>
      <c r="AS217" t="str">
        <f t="shared" si="37"/>
        <v/>
      </c>
      <c r="AT217" t="s">
        <v>115</v>
      </c>
      <c r="AU217" t="str">
        <f t="shared" si="38"/>
        <v>0</v>
      </c>
      <c r="BD217" t="str">
        <f t="shared" si="39"/>
        <v>0</v>
      </c>
      <c r="BK217" t="str">
        <f>IFERROR(VLOOKUP(B217,'[1]model_S-フレーム'!$F$5:$R$7000,13,1),"")</f>
        <v>E349955_01</v>
      </c>
      <c r="BL217" s="7">
        <f>IFERROR(VLOOKUP(B217,'[1]model_S-フレーム'!$F$5:$V$7000,17,1),"")</f>
        <v>0</v>
      </c>
      <c r="BM217" t="str" cm="1">
        <f t="array" ref="BM217">_xlfn.IFS(LEFT(G217,1)="L","外注品",LEFT(G217,1)="W","内製品",G217="","購買品")</f>
        <v>内製品</v>
      </c>
    </row>
    <row r="218" spans="1:65">
      <c r="A218" t="str">
        <f t="shared" si="31"/>
        <v>WG01</v>
      </c>
      <c r="B218" t="s">
        <v>352</v>
      </c>
      <c r="C218" t="s">
        <v>874</v>
      </c>
      <c r="D218" s="7"/>
      <c r="E218" s="7"/>
      <c r="G218" t="s">
        <v>1938</v>
      </c>
      <c r="H218" t="str" cm="1">
        <f t="array" ref="H218">IFERROR(_xlfn.IFS(B218="","",AND(B218="",G218=""),"",G218="","記載要"),"")</f>
        <v/>
      </c>
      <c r="K218" t="str">
        <f t="shared" si="32"/>
        <v>11WP00902459</v>
      </c>
      <c r="L218" s="3" t="str">
        <f t="shared" si="33"/>
        <v>2001/01/01</v>
      </c>
      <c r="M218" s="3" t="str">
        <f t="shared" si="34"/>
        <v>2199/12/31</v>
      </c>
      <c r="N218" t="str">
        <f t="shared" si="35"/>
        <v>11WP00902459</v>
      </c>
      <c r="O218">
        <v>5</v>
      </c>
      <c r="Q218" t="str" cm="1">
        <f t="array" ref="Q218">_xlfn.IFS(AND(C218="",G218=""),"",LEFT(G218,1)="L","記載要",LEFT(G218,1)="W","",AND(C218,G218=""),"記載要")</f>
        <v/>
      </c>
      <c r="R218" s="21" t="str">
        <f t="shared" si="40"/>
        <v/>
      </c>
      <c r="S218" s="21"/>
      <c r="Z218" s="8"/>
      <c r="AA218">
        <v>1</v>
      </c>
      <c r="AB218">
        <f t="shared" si="36"/>
        <v>0</v>
      </c>
      <c r="AC218">
        <v>1</v>
      </c>
      <c r="AF218">
        <v>1</v>
      </c>
      <c r="AG218" s="8"/>
      <c r="AH218" s="8"/>
      <c r="AK218" cm="1">
        <f t="array" ref="AK218">_xlfn.IFS(B218="","",LEFT(G218,1)="L",1,LEFT(G218,1)="W",1,AND(LEFT(B218,1)="H",G218=""),0)</f>
        <v>1</v>
      </c>
      <c r="AS218" t="str">
        <f t="shared" si="37"/>
        <v/>
      </c>
      <c r="AT218" t="s">
        <v>115</v>
      </c>
      <c r="AU218" t="str">
        <f t="shared" si="38"/>
        <v>0</v>
      </c>
      <c r="BD218" t="str">
        <f t="shared" si="39"/>
        <v>0</v>
      </c>
      <c r="BK218" t="str">
        <f>IFERROR(VLOOKUP(B218,'[1]model_S-フレーム'!$F$5:$R$7000,13,1),"")</f>
        <v>E349955_01</v>
      </c>
      <c r="BL218" s="7">
        <f>IFERROR(VLOOKUP(B218,'[1]model_S-フレーム'!$F$5:$V$7000,17,1),"")</f>
        <v>0</v>
      </c>
      <c r="BM218" t="str" cm="1">
        <f t="array" ref="BM218">_xlfn.IFS(LEFT(G218,1)="L","外注品",LEFT(G218,1)="W","内製品",G218="","購買品")</f>
        <v>内製品</v>
      </c>
    </row>
    <row r="219" spans="1:65">
      <c r="A219" t="str">
        <f t="shared" si="31"/>
        <v>WG01</v>
      </c>
      <c r="B219" t="s">
        <v>353</v>
      </c>
      <c r="C219" t="s">
        <v>874</v>
      </c>
      <c r="D219" s="7"/>
      <c r="E219" s="7"/>
      <c r="G219" t="s">
        <v>1938</v>
      </c>
      <c r="H219" t="str" cm="1">
        <f t="array" ref="H219">IFERROR(_xlfn.IFS(B219="","",AND(B219="",G219=""),"",G219="","記載要"),"")</f>
        <v/>
      </c>
      <c r="K219" t="str">
        <f t="shared" si="32"/>
        <v>11WP00902460</v>
      </c>
      <c r="L219" s="3" t="str">
        <f t="shared" si="33"/>
        <v>2001/01/01</v>
      </c>
      <c r="M219" s="3" t="str">
        <f t="shared" si="34"/>
        <v>2199/12/31</v>
      </c>
      <c r="N219" t="str">
        <f t="shared" si="35"/>
        <v>11WP00902460</v>
      </c>
      <c r="O219">
        <v>5</v>
      </c>
      <c r="Q219" t="str" cm="1">
        <f t="array" ref="Q219">_xlfn.IFS(AND(C219="",G219=""),"",LEFT(G219,1)="L","記載要",LEFT(G219,1)="W","",AND(C219,G219=""),"記載要")</f>
        <v/>
      </c>
      <c r="R219" s="21" t="str">
        <f t="shared" si="40"/>
        <v/>
      </c>
      <c r="S219" s="21"/>
      <c r="Z219" s="8"/>
      <c r="AA219">
        <v>1</v>
      </c>
      <c r="AB219">
        <f t="shared" si="36"/>
        <v>0</v>
      </c>
      <c r="AC219">
        <v>1</v>
      </c>
      <c r="AF219">
        <v>1</v>
      </c>
      <c r="AG219" s="8"/>
      <c r="AH219" s="8"/>
      <c r="AK219" cm="1">
        <f t="array" ref="AK219">_xlfn.IFS(B219="","",LEFT(G219,1)="L",1,LEFT(G219,1)="W",1,AND(LEFT(B219,1)="H",G219=""),0)</f>
        <v>1</v>
      </c>
      <c r="AS219" t="str">
        <f t="shared" si="37"/>
        <v/>
      </c>
      <c r="AT219" t="s">
        <v>115</v>
      </c>
      <c r="AU219" t="str">
        <f t="shared" si="38"/>
        <v>0</v>
      </c>
      <c r="BD219" t="str">
        <f t="shared" si="39"/>
        <v>0</v>
      </c>
      <c r="BK219" t="str">
        <f>IFERROR(VLOOKUP(B219,'[1]model_S-フレーム'!$F$5:$R$7000,13,1),"")</f>
        <v>E349955_01</v>
      </c>
      <c r="BL219" s="7">
        <f>IFERROR(VLOOKUP(B219,'[1]model_S-フレーム'!$F$5:$V$7000,17,1),"")</f>
        <v>0</v>
      </c>
      <c r="BM219" t="str" cm="1">
        <f t="array" ref="BM219">_xlfn.IFS(LEFT(G219,1)="L","外注品",LEFT(G219,1)="W","内製品",G219="","購買品")</f>
        <v>内製品</v>
      </c>
    </row>
    <row r="220" spans="1:65">
      <c r="A220" t="str">
        <f t="shared" si="31"/>
        <v>WG01</v>
      </c>
      <c r="B220" t="s">
        <v>354</v>
      </c>
      <c r="C220" t="s">
        <v>874</v>
      </c>
      <c r="D220" s="7"/>
      <c r="E220" s="7"/>
      <c r="G220" t="s">
        <v>1938</v>
      </c>
      <c r="H220" t="str" cm="1">
        <f t="array" ref="H220">IFERROR(_xlfn.IFS(B220="","",AND(B220="",G220=""),"",G220="","記載要"),"")</f>
        <v/>
      </c>
      <c r="K220" t="str">
        <f t="shared" si="32"/>
        <v>11WP00902461</v>
      </c>
      <c r="L220" s="3" t="str">
        <f t="shared" si="33"/>
        <v>2001/01/01</v>
      </c>
      <c r="M220" s="3" t="str">
        <f t="shared" si="34"/>
        <v>2199/12/31</v>
      </c>
      <c r="N220" t="str">
        <f t="shared" si="35"/>
        <v>11WP00902461</v>
      </c>
      <c r="O220">
        <v>5</v>
      </c>
      <c r="Q220" t="str" cm="1">
        <f t="array" ref="Q220">_xlfn.IFS(AND(C220="",G220=""),"",LEFT(G220,1)="L","記載要",LEFT(G220,1)="W","",AND(C220,G220=""),"記載要")</f>
        <v/>
      </c>
      <c r="R220" s="21" t="str">
        <f t="shared" si="40"/>
        <v/>
      </c>
      <c r="S220" s="21"/>
      <c r="Z220" s="8"/>
      <c r="AA220">
        <v>1</v>
      </c>
      <c r="AB220">
        <f t="shared" si="36"/>
        <v>0</v>
      </c>
      <c r="AC220">
        <v>1</v>
      </c>
      <c r="AF220">
        <v>1</v>
      </c>
      <c r="AG220" s="8"/>
      <c r="AH220" s="8"/>
      <c r="AK220" cm="1">
        <f t="array" ref="AK220">_xlfn.IFS(B220="","",LEFT(G220,1)="L",1,LEFT(G220,1)="W",1,AND(LEFT(B220,1)="H",G220=""),0)</f>
        <v>1</v>
      </c>
      <c r="AS220" t="str">
        <f t="shared" si="37"/>
        <v/>
      </c>
      <c r="AT220" t="s">
        <v>115</v>
      </c>
      <c r="AU220" t="str">
        <f t="shared" si="38"/>
        <v>0</v>
      </c>
      <c r="BD220" t="str">
        <f t="shared" si="39"/>
        <v>0</v>
      </c>
      <c r="BK220" t="str">
        <f>IFERROR(VLOOKUP(B220,'[1]model_S-フレーム'!$F$5:$R$7000,13,1),"")</f>
        <v>E349955_01</v>
      </c>
      <c r="BL220" s="7">
        <f>IFERROR(VLOOKUP(B220,'[1]model_S-フレーム'!$F$5:$V$7000,17,1),"")</f>
        <v>0</v>
      </c>
      <c r="BM220" t="str" cm="1">
        <f t="array" ref="BM220">_xlfn.IFS(LEFT(G220,1)="L","外注品",LEFT(G220,1)="W","内製品",G220="","購買品")</f>
        <v>内製品</v>
      </c>
    </row>
    <row r="221" spans="1:65">
      <c r="A221" t="str">
        <f t="shared" si="31"/>
        <v>WG01</v>
      </c>
      <c r="B221" t="s">
        <v>355</v>
      </c>
      <c r="C221" t="s">
        <v>874</v>
      </c>
      <c r="D221" s="7"/>
      <c r="E221" s="7"/>
      <c r="G221" t="s">
        <v>1938</v>
      </c>
      <c r="H221" t="str" cm="1">
        <f t="array" ref="H221">IFERROR(_xlfn.IFS(B221="","",AND(B221="",G221=""),"",G221="","記載要"),"")</f>
        <v/>
      </c>
      <c r="K221" t="str">
        <f t="shared" si="32"/>
        <v>11WP00902462</v>
      </c>
      <c r="L221" s="3" t="str">
        <f t="shared" si="33"/>
        <v>2001/01/01</v>
      </c>
      <c r="M221" s="3" t="str">
        <f t="shared" si="34"/>
        <v>2199/12/31</v>
      </c>
      <c r="N221" t="str">
        <f t="shared" si="35"/>
        <v>11WP00902462</v>
      </c>
      <c r="O221">
        <v>5</v>
      </c>
      <c r="Q221" t="str" cm="1">
        <f t="array" ref="Q221">_xlfn.IFS(AND(C221="",G221=""),"",LEFT(G221,1)="L","記載要",LEFT(G221,1)="W","",AND(C221,G221=""),"記載要")</f>
        <v/>
      </c>
      <c r="R221" s="21" t="str">
        <f t="shared" si="40"/>
        <v/>
      </c>
      <c r="S221" s="21"/>
      <c r="Z221" s="8"/>
      <c r="AA221">
        <v>1</v>
      </c>
      <c r="AB221">
        <f t="shared" si="36"/>
        <v>0</v>
      </c>
      <c r="AC221">
        <v>1</v>
      </c>
      <c r="AF221">
        <v>1</v>
      </c>
      <c r="AG221" s="8"/>
      <c r="AH221" s="8"/>
      <c r="AK221" cm="1">
        <f t="array" ref="AK221">_xlfn.IFS(B221="","",LEFT(G221,1)="L",1,LEFT(G221,1)="W",1,AND(LEFT(B221,1)="H",G221=""),0)</f>
        <v>1</v>
      </c>
      <c r="AS221" t="str">
        <f t="shared" si="37"/>
        <v/>
      </c>
      <c r="AT221" t="s">
        <v>115</v>
      </c>
      <c r="AU221" t="str">
        <f t="shared" si="38"/>
        <v>0</v>
      </c>
      <c r="BD221" t="str">
        <f t="shared" si="39"/>
        <v>0</v>
      </c>
      <c r="BK221" t="str">
        <f>IFERROR(VLOOKUP(B221,'[1]model_S-フレーム'!$F$5:$R$7000,13,1),"")</f>
        <v>E349955_01</v>
      </c>
      <c r="BL221" s="7">
        <f>IFERROR(VLOOKUP(B221,'[1]model_S-フレーム'!$F$5:$V$7000,17,1),"")</f>
        <v>0</v>
      </c>
      <c r="BM221" t="str" cm="1">
        <f t="array" ref="BM221">_xlfn.IFS(LEFT(G221,1)="L","外注品",LEFT(G221,1)="W","内製品",G221="","購買品")</f>
        <v>内製品</v>
      </c>
    </row>
    <row r="222" spans="1:65">
      <c r="A222" t="str">
        <f t="shared" si="31"/>
        <v>WG01</v>
      </c>
      <c r="B222" t="s">
        <v>356</v>
      </c>
      <c r="C222" t="s">
        <v>874</v>
      </c>
      <c r="D222" s="7"/>
      <c r="E222" s="7"/>
      <c r="G222" t="s">
        <v>1938</v>
      </c>
      <c r="H222" t="str" cm="1">
        <f t="array" ref="H222">IFERROR(_xlfn.IFS(B222="","",AND(B222="",G222=""),"",G222="","記載要"),"")</f>
        <v/>
      </c>
      <c r="K222" t="str">
        <f t="shared" si="32"/>
        <v>11WP00902463</v>
      </c>
      <c r="L222" s="3" t="str">
        <f t="shared" si="33"/>
        <v>2001/01/01</v>
      </c>
      <c r="M222" s="3" t="str">
        <f t="shared" si="34"/>
        <v>2199/12/31</v>
      </c>
      <c r="N222" t="str">
        <f t="shared" si="35"/>
        <v>11WP00902463</v>
      </c>
      <c r="O222">
        <v>5</v>
      </c>
      <c r="Q222" t="str" cm="1">
        <f t="array" ref="Q222">_xlfn.IFS(AND(C222="",G222=""),"",LEFT(G222,1)="L","記載要",LEFT(G222,1)="W","",AND(C222,G222=""),"記載要")</f>
        <v/>
      </c>
      <c r="R222" s="21" t="str">
        <f t="shared" si="40"/>
        <v/>
      </c>
      <c r="S222" s="21"/>
      <c r="Z222" s="8"/>
      <c r="AA222">
        <v>1</v>
      </c>
      <c r="AB222">
        <f t="shared" si="36"/>
        <v>0</v>
      </c>
      <c r="AC222">
        <v>1</v>
      </c>
      <c r="AF222">
        <v>1</v>
      </c>
      <c r="AG222" s="8"/>
      <c r="AH222" s="8"/>
      <c r="AK222" cm="1">
        <f t="array" ref="AK222">_xlfn.IFS(B222="","",LEFT(G222,1)="L",1,LEFT(G222,1)="W",1,AND(LEFT(B222,1)="H",G222=""),0)</f>
        <v>1</v>
      </c>
      <c r="AS222" t="str">
        <f t="shared" si="37"/>
        <v/>
      </c>
      <c r="AT222" t="s">
        <v>115</v>
      </c>
      <c r="AU222" t="str">
        <f t="shared" si="38"/>
        <v>0</v>
      </c>
      <c r="BD222" t="str">
        <f t="shared" si="39"/>
        <v>0</v>
      </c>
      <c r="BK222" t="str">
        <f>IFERROR(VLOOKUP(B222,'[1]model_S-フレーム'!$F$5:$R$7000,13,1),"")</f>
        <v>E349955_01</v>
      </c>
      <c r="BL222" s="7">
        <f>IFERROR(VLOOKUP(B222,'[1]model_S-フレーム'!$F$5:$V$7000,17,1),"")</f>
        <v>0</v>
      </c>
      <c r="BM222" t="str" cm="1">
        <f t="array" ref="BM222">_xlfn.IFS(LEFT(G222,1)="L","外注品",LEFT(G222,1)="W","内製品",G222="","購買品")</f>
        <v>内製品</v>
      </c>
    </row>
    <row r="223" spans="1:65">
      <c r="A223" t="str">
        <f t="shared" si="31"/>
        <v>WG01</v>
      </c>
      <c r="B223" t="s">
        <v>357</v>
      </c>
      <c r="C223" t="s">
        <v>875</v>
      </c>
      <c r="D223" s="7"/>
      <c r="E223" s="7"/>
      <c r="G223" t="s">
        <v>1938</v>
      </c>
      <c r="H223" t="str" cm="1">
        <f t="array" ref="H223">IFERROR(_xlfn.IFS(B223="","",AND(B223="",G223=""),"",G223="","記載要"),"")</f>
        <v/>
      </c>
      <c r="K223" t="str">
        <f t="shared" si="32"/>
        <v>11WP00902464</v>
      </c>
      <c r="L223" s="3" t="str">
        <f t="shared" si="33"/>
        <v>2001/01/01</v>
      </c>
      <c r="M223" s="3" t="str">
        <f t="shared" si="34"/>
        <v>2199/12/31</v>
      </c>
      <c r="N223" t="str">
        <f t="shared" si="35"/>
        <v>11WP00902464</v>
      </c>
      <c r="O223">
        <v>5</v>
      </c>
      <c r="Q223" t="str" cm="1">
        <f t="array" ref="Q223">_xlfn.IFS(AND(C223="",G223=""),"",LEFT(G223,1)="L","記載要",LEFT(G223,1)="W","",AND(C223,G223=""),"記載要")</f>
        <v/>
      </c>
      <c r="R223" s="21" t="str">
        <f t="shared" si="40"/>
        <v/>
      </c>
      <c r="S223" s="21"/>
      <c r="Z223" s="8"/>
      <c r="AA223">
        <v>1</v>
      </c>
      <c r="AB223">
        <f t="shared" si="36"/>
        <v>0</v>
      </c>
      <c r="AC223">
        <v>1</v>
      </c>
      <c r="AF223">
        <v>1</v>
      </c>
      <c r="AG223" s="8"/>
      <c r="AH223" s="8"/>
      <c r="AK223" cm="1">
        <f t="array" ref="AK223">_xlfn.IFS(B223="","",LEFT(G223,1)="L",1,LEFT(G223,1)="W",1,AND(LEFT(B223,1)="H",G223=""),0)</f>
        <v>1</v>
      </c>
      <c r="AS223" t="str">
        <f t="shared" si="37"/>
        <v/>
      </c>
      <c r="AT223" t="s">
        <v>115</v>
      </c>
      <c r="AU223" t="str">
        <f t="shared" si="38"/>
        <v>0</v>
      </c>
      <c r="BD223" t="str">
        <f t="shared" si="39"/>
        <v>0</v>
      </c>
      <c r="BK223" t="str">
        <f>IFERROR(VLOOKUP(B223,'[1]model_S-フレーム'!$F$5:$R$7000,13,1),"")</f>
        <v>E349955_01</v>
      </c>
      <c r="BL223" s="7">
        <f>IFERROR(VLOOKUP(B223,'[1]model_S-フレーム'!$F$5:$V$7000,17,1),"")</f>
        <v>0</v>
      </c>
      <c r="BM223" t="str" cm="1">
        <f t="array" ref="BM223">_xlfn.IFS(LEFT(G223,1)="L","外注品",LEFT(G223,1)="W","内製品",G223="","購買品")</f>
        <v>内製品</v>
      </c>
    </row>
    <row r="224" spans="1:65">
      <c r="A224" t="str">
        <f t="shared" si="31"/>
        <v>WG01</v>
      </c>
      <c r="B224" t="s">
        <v>358</v>
      </c>
      <c r="C224" t="s">
        <v>875</v>
      </c>
      <c r="D224" s="7"/>
      <c r="E224" s="7"/>
      <c r="G224" t="s">
        <v>1938</v>
      </c>
      <c r="H224" t="str" cm="1">
        <f t="array" ref="H224">IFERROR(_xlfn.IFS(B224="","",AND(B224="",G224=""),"",G224="","記載要"),"")</f>
        <v/>
      </c>
      <c r="K224" t="str">
        <f t="shared" si="32"/>
        <v>11WP00902465</v>
      </c>
      <c r="L224" s="3" t="str">
        <f t="shared" si="33"/>
        <v>2001/01/01</v>
      </c>
      <c r="M224" s="3" t="str">
        <f t="shared" si="34"/>
        <v>2199/12/31</v>
      </c>
      <c r="N224" t="str">
        <f t="shared" si="35"/>
        <v>11WP00902465</v>
      </c>
      <c r="O224">
        <v>5</v>
      </c>
      <c r="Q224" t="str" cm="1">
        <f t="array" ref="Q224">_xlfn.IFS(AND(C224="",G224=""),"",LEFT(G224,1)="L","記載要",LEFT(G224,1)="W","",AND(C224,G224=""),"記載要")</f>
        <v/>
      </c>
      <c r="R224" s="21" t="str">
        <f t="shared" si="40"/>
        <v/>
      </c>
      <c r="S224" s="21"/>
      <c r="Z224" s="8"/>
      <c r="AA224">
        <v>1</v>
      </c>
      <c r="AB224">
        <f t="shared" si="36"/>
        <v>0</v>
      </c>
      <c r="AC224">
        <v>1</v>
      </c>
      <c r="AF224">
        <v>1</v>
      </c>
      <c r="AG224" s="8"/>
      <c r="AH224" s="8"/>
      <c r="AK224" cm="1">
        <f t="array" ref="AK224">_xlfn.IFS(B224="","",LEFT(G224,1)="L",1,LEFT(G224,1)="W",1,AND(LEFT(B224,1)="H",G224=""),0)</f>
        <v>1</v>
      </c>
      <c r="AS224" t="str">
        <f t="shared" si="37"/>
        <v/>
      </c>
      <c r="AT224" t="s">
        <v>115</v>
      </c>
      <c r="AU224" t="str">
        <f t="shared" si="38"/>
        <v>0</v>
      </c>
      <c r="BD224" t="str">
        <f t="shared" si="39"/>
        <v>0</v>
      </c>
      <c r="BK224" t="str">
        <f>IFERROR(VLOOKUP(B224,'[1]model_S-フレーム'!$F$5:$R$7000,13,1),"")</f>
        <v>E349955_01</v>
      </c>
      <c r="BL224" s="7">
        <f>IFERROR(VLOOKUP(B224,'[1]model_S-フレーム'!$F$5:$V$7000,17,1),"")</f>
        <v>0</v>
      </c>
      <c r="BM224" t="str" cm="1">
        <f t="array" ref="BM224">_xlfn.IFS(LEFT(G224,1)="L","外注品",LEFT(G224,1)="W","内製品",G224="","購買品")</f>
        <v>内製品</v>
      </c>
    </row>
    <row r="225" spans="1:65">
      <c r="A225" t="str">
        <f t="shared" si="31"/>
        <v>WG01</v>
      </c>
      <c r="B225" t="s">
        <v>359</v>
      </c>
      <c r="C225" t="s">
        <v>875</v>
      </c>
      <c r="D225" s="7"/>
      <c r="E225" s="7"/>
      <c r="G225" t="s">
        <v>1938</v>
      </c>
      <c r="H225" t="str" cm="1">
        <f t="array" ref="H225">IFERROR(_xlfn.IFS(B225="","",AND(B225="",G225=""),"",G225="","記載要"),"")</f>
        <v/>
      </c>
      <c r="K225" t="str">
        <f t="shared" si="32"/>
        <v>11WP00902466</v>
      </c>
      <c r="L225" s="3" t="str">
        <f t="shared" si="33"/>
        <v>2001/01/01</v>
      </c>
      <c r="M225" s="3" t="str">
        <f t="shared" si="34"/>
        <v>2199/12/31</v>
      </c>
      <c r="N225" t="str">
        <f t="shared" si="35"/>
        <v>11WP00902466</v>
      </c>
      <c r="O225">
        <v>5</v>
      </c>
      <c r="Q225" t="str" cm="1">
        <f t="array" ref="Q225">_xlfn.IFS(AND(C225="",G225=""),"",LEFT(G225,1)="L","記載要",LEFT(G225,1)="W","",AND(C225,G225=""),"記載要")</f>
        <v/>
      </c>
      <c r="R225" s="21" t="str">
        <f t="shared" si="40"/>
        <v/>
      </c>
      <c r="S225" s="21"/>
      <c r="Z225" s="8"/>
      <c r="AA225">
        <v>1</v>
      </c>
      <c r="AB225">
        <f t="shared" si="36"/>
        <v>0</v>
      </c>
      <c r="AC225">
        <v>1</v>
      </c>
      <c r="AF225">
        <v>1</v>
      </c>
      <c r="AG225" s="8"/>
      <c r="AH225" s="8"/>
      <c r="AK225" cm="1">
        <f t="array" ref="AK225">_xlfn.IFS(B225="","",LEFT(G225,1)="L",1,LEFT(G225,1)="W",1,AND(LEFT(B225,1)="H",G225=""),0)</f>
        <v>1</v>
      </c>
      <c r="AS225" t="str">
        <f t="shared" si="37"/>
        <v/>
      </c>
      <c r="AT225" t="s">
        <v>115</v>
      </c>
      <c r="AU225" t="str">
        <f t="shared" si="38"/>
        <v>0</v>
      </c>
      <c r="BD225" t="str">
        <f t="shared" si="39"/>
        <v>0</v>
      </c>
      <c r="BK225" t="str">
        <f>IFERROR(VLOOKUP(B225,'[1]model_S-フレーム'!$F$5:$R$7000,13,1),"")</f>
        <v>E349955_01</v>
      </c>
      <c r="BL225" s="7">
        <f>IFERROR(VLOOKUP(B225,'[1]model_S-フレーム'!$F$5:$V$7000,17,1),"")</f>
        <v>0</v>
      </c>
      <c r="BM225" t="str" cm="1">
        <f t="array" ref="BM225">_xlfn.IFS(LEFT(G225,1)="L","外注品",LEFT(G225,1)="W","内製品",G225="","購買品")</f>
        <v>内製品</v>
      </c>
    </row>
    <row r="226" spans="1:65">
      <c r="A226" t="str">
        <f t="shared" si="31"/>
        <v>WG01</v>
      </c>
      <c r="B226" t="s">
        <v>360</v>
      </c>
      <c r="C226" t="s">
        <v>875</v>
      </c>
      <c r="D226" s="7"/>
      <c r="E226" s="7"/>
      <c r="G226" t="s">
        <v>1938</v>
      </c>
      <c r="H226" t="str" cm="1">
        <f t="array" ref="H226">IFERROR(_xlfn.IFS(B226="","",AND(B226="",G226=""),"",G226="","記載要"),"")</f>
        <v/>
      </c>
      <c r="K226" t="str">
        <f t="shared" si="32"/>
        <v>11WP00902467</v>
      </c>
      <c r="L226" s="3" t="str">
        <f t="shared" si="33"/>
        <v>2001/01/01</v>
      </c>
      <c r="M226" s="3" t="str">
        <f t="shared" si="34"/>
        <v>2199/12/31</v>
      </c>
      <c r="N226" t="str">
        <f t="shared" si="35"/>
        <v>11WP00902467</v>
      </c>
      <c r="O226">
        <v>5</v>
      </c>
      <c r="Q226" t="str" cm="1">
        <f t="array" ref="Q226">_xlfn.IFS(AND(C226="",G226=""),"",LEFT(G226,1)="L","記載要",LEFT(G226,1)="W","",AND(C226,G226=""),"記載要")</f>
        <v/>
      </c>
      <c r="R226" s="21" t="str">
        <f t="shared" si="40"/>
        <v/>
      </c>
      <c r="S226" s="21"/>
      <c r="Z226" s="8"/>
      <c r="AA226">
        <v>1</v>
      </c>
      <c r="AB226">
        <f t="shared" si="36"/>
        <v>0</v>
      </c>
      <c r="AC226">
        <v>1</v>
      </c>
      <c r="AF226">
        <v>1</v>
      </c>
      <c r="AG226" s="8"/>
      <c r="AH226" s="8"/>
      <c r="AK226" cm="1">
        <f t="array" ref="AK226">_xlfn.IFS(B226="","",LEFT(G226,1)="L",1,LEFT(G226,1)="W",1,AND(LEFT(B226,1)="H",G226=""),0)</f>
        <v>1</v>
      </c>
      <c r="AS226" t="str">
        <f t="shared" si="37"/>
        <v/>
      </c>
      <c r="AT226" t="s">
        <v>115</v>
      </c>
      <c r="AU226" t="str">
        <f t="shared" si="38"/>
        <v>0</v>
      </c>
      <c r="BD226" t="str">
        <f t="shared" si="39"/>
        <v>0</v>
      </c>
      <c r="BK226" t="str">
        <f>IFERROR(VLOOKUP(B226,'[1]model_S-フレーム'!$F$5:$R$7000,13,1),"")</f>
        <v>E349955_01</v>
      </c>
      <c r="BL226" s="7">
        <f>IFERROR(VLOOKUP(B226,'[1]model_S-フレーム'!$F$5:$V$7000,17,1),"")</f>
        <v>0</v>
      </c>
      <c r="BM226" t="str" cm="1">
        <f t="array" ref="BM226">_xlfn.IFS(LEFT(G226,1)="L","外注品",LEFT(G226,1)="W","内製品",G226="","購買品")</f>
        <v>内製品</v>
      </c>
    </row>
    <row r="227" spans="1:65">
      <c r="A227" t="str">
        <f t="shared" si="31"/>
        <v>WG01</v>
      </c>
      <c r="B227" t="s">
        <v>361</v>
      </c>
      <c r="C227" t="s">
        <v>875</v>
      </c>
      <c r="D227" s="7"/>
      <c r="E227" s="7"/>
      <c r="G227" t="s">
        <v>1938</v>
      </c>
      <c r="H227" t="str" cm="1">
        <f t="array" ref="H227">IFERROR(_xlfn.IFS(B227="","",AND(B227="",G227=""),"",G227="","記載要"),"")</f>
        <v/>
      </c>
      <c r="K227" t="str">
        <f t="shared" si="32"/>
        <v>11WP00902468</v>
      </c>
      <c r="L227" s="3" t="str">
        <f t="shared" si="33"/>
        <v>2001/01/01</v>
      </c>
      <c r="M227" s="3" t="str">
        <f t="shared" si="34"/>
        <v>2199/12/31</v>
      </c>
      <c r="N227" t="str">
        <f t="shared" si="35"/>
        <v>11WP00902468</v>
      </c>
      <c r="O227">
        <v>5</v>
      </c>
      <c r="Q227" t="str" cm="1">
        <f t="array" ref="Q227">_xlfn.IFS(AND(C227="",G227=""),"",LEFT(G227,1)="L","記載要",LEFT(G227,1)="W","",AND(C227,G227=""),"記載要")</f>
        <v/>
      </c>
      <c r="R227" s="21" t="str">
        <f t="shared" si="40"/>
        <v/>
      </c>
      <c r="S227" s="21"/>
      <c r="Z227" s="8"/>
      <c r="AA227">
        <v>1</v>
      </c>
      <c r="AB227">
        <f t="shared" si="36"/>
        <v>0</v>
      </c>
      <c r="AC227">
        <v>1</v>
      </c>
      <c r="AF227">
        <v>1</v>
      </c>
      <c r="AG227" s="8"/>
      <c r="AH227" s="8"/>
      <c r="AK227" cm="1">
        <f t="array" ref="AK227">_xlfn.IFS(B227="","",LEFT(G227,1)="L",1,LEFT(G227,1)="W",1,AND(LEFT(B227,1)="H",G227=""),0)</f>
        <v>1</v>
      </c>
      <c r="AS227" t="str">
        <f t="shared" si="37"/>
        <v/>
      </c>
      <c r="AT227" t="s">
        <v>115</v>
      </c>
      <c r="AU227" t="str">
        <f t="shared" si="38"/>
        <v>0</v>
      </c>
      <c r="BD227" t="str">
        <f t="shared" si="39"/>
        <v>0</v>
      </c>
      <c r="BK227" t="str">
        <f>IFERROR(VLOOKUP(B227,'[1]model_S-フレーム'!$F$5:$R$7000,13,1),"")</f>
        <v>E349955_01</v>
      </c>
      <c r="BL227" s="7">
        <f>IFERROR(VLOOKUP(B227,'[1]model_S-フレーム'!$F$5:$V$7000,17,1),"")</f>
        <v>0</v>
      </c>
      <c r="BM227" t="str" cm="1">
        <f t="array" ref="BM227">_xlfn.IFS(LEFT(G227,1)="L","外注品",LEFT(G227,1)="W","内製品",G227="","購買品")</f>
        <v>内製品</v>
      </c>
    </row>
    <row r="228" spans="1:65">
      <c r="A228" t="str">
        <f t="shared" si="31"/>
        <v>WG01</v>
      </c>
      <c r="B228" t="s">
        <v>362</v>
      </c>
      <c r="C228" t="s">
        <v>875</v>
      </c>
      <c r="D228" s="7"/>
      <c r="E228" s="7"/>
      <c r="G228" t="s">
        <v>1938</v>
      </c>
      <c r="H228" t="str" cm="1">
        <f t="array" ref="H228">IFERROR(_xlfn.IFS(B228="","",AND(B228="",G228=""),"",G228="","記載要"),"")</f>
        <v/>
      </c>
      <c r="K228" t="str">
        <f t="shared" si="32"/>
        <v>11WP00902469</v>
      </c>
      <c r="L228" s="3" t="str">
        <f t="shared" si="33"/>
        <v>2001/01/01</v>
      </c>
      <c r="M228" s="3" t="str">
        <f t="shared" si="34"/>
        <v>2199/12/31</v>
      </c>
      <c r="N228" t="str">
        <f t="shared" si="35"/>
        <v>11WP00902469</v>
      </c>
      <c r="O228">
        <v>5</v>
      </c>
      <c r="Q228" t="str" cm="1">
        <f t="array" ref="Q228">_xlfn.IFS(AND(C228="",G228=""),"",LEFT(G228,1)="L","記載要",LEFT(G228,1)="W","",AND(C228,G228=""),"記載要")</f>
        <v/>
      </c>
      <c r="R228" s="21" t="str">
        <f t="shared" si="40"/>
        <v/>
      </c>
      <c r="S228" s="21"/>
      <c r="Z228" s="8"/>
      <c r="AA228">
        <v>1</v>
      </c>
      <c r="AB228">
        <f t="shared" si="36"/>
        <v>0</v>
      </c>
      <c r="AC228">
        <v>1</v>
      </c>
      <c r="AF228">
        <v>1</v>
      </c>
      <c r="AG228" s="8"/>
      <c r="AH228" s="8"/>
      <c r="AK228" cm="1">
        <f t="array" ref="AK228">_xlfn.IFS(B228="","",LEFT(G228,1)="L",1,LEFT(G228,1)="W",1,AND(LEFT(B228,1)="H",G228=""),0)</f>
        <v>1</v>
      </c>
      <c r="AS228" t="str">
        <f t="shared" si="37"/>
        <v/>
      </c>
      <c r="AT228" t="s">
        <v>115</v>
      </c>
      <c r="AU228" t="str">
        <f t="shared" si="38"/>
        <v>0</v>
      </c>
      <c r="BD228" t="str">
        <f t="shared" si="39"/>
        <v>0</v>
      </c>
      <c r="BK228" t="str">
        <f>IFERROR(VLOOKUP(B228,'[1]model_S-フレーム'!$F$5:$R$7000,13,1),"")</f>
        <v>E349955_01</v>
      </c>
      <c r="BL228" s="7">
        <f>IFERROR(VLOOKUP(B228,'[1]model_S-フレーム'!$F$5:$V$7000,17,1),"")</f>
        <v>0</v>
      </c>
      <c r="BM228" t="str" cm="1">
        <f t="array" ref="BM228">_xlfn.IFS(LEFT(G228,1)="L","外注品",LEFT(G228,1)="W","内製品",G228="","購買品")</f>
        <v>内製品</v>
      </c>
    </row>
    <row r="229" spans="1:65">
      <c r="A229" t="str">
        <f t="shared" si="31"/>
        <v>WG01</v>
      </c>
      <c r="B229" t="s">
        <v>363</v>
      </c>
      <c r="C229" t="s">
        <v>875</v>
      </c>
      <c r="D229" s="7"/>
      <c r="E229" s="7"/>
      <c r="G229" t="s">
        <v>1938</v>
      </c>
      <c r="H229" t="str" cm="1">
        <f t="array" ref="H229">IFERROR(_xlfn.IFS(B229="","",AND(B229="",G229=""),"",G229="","記載要"),"")</f>
        <v/>
      </c>
      <c r="K229" t="str">
        <f t="shared" si="32"/>
        <v>11WP00902470</v>
      </c>
      <c r="L229" s="3" t="str">
        <f t="shared" si="33"/>
        <v>2001/01/01</v>
      </c>
      <c r="M229" s="3" t="str">
        <f t="shared" si="34"/>
        <v>2199/12/31</v>
      </c>
      <c r="N229" t="str">
        <f t="shared" si="35"/>
        <v>11WP00902470</v>
      </c>
      <c r="O229">
        <v>5</v>
      </c>
      <c r="Q229" t="str" cm="1">
        <f t="array" ref="Q229">_xlfn.IFS(AND(C229="",G229=""),"",LEFT(G229,1)="L","記載要",LEFT(G229,1)="W","",AND(C229,G229=""),"記載要")</f>
        <v/>
      </c>
      <c r="R229" s="21" t="str">
        <f t="shared" si="40"/>
        <v/>
      </c>
      <c r="S229" s="21"/>
      <c r="Z229" s="8"/>
      <c r="AA229">
        <v>1</v>
      </c>
      <c r="AB229">
        <f t="shared" si="36"/>
        <v>0</v>
      </c>
      <c r="AC229">
        <v>1</v>
      </c>
      <c r="AF229">
        <v>1</v>
      </c>
      <c r="AG229" s="8"/>
      <c r="AH229" s="8"/>
      <c r="AK229" cm="1">
        <f t="array" ref="AK229">_xlfn.IFS(B229="","",LEFT(G229,1)="L",1,LEFT(G229,1)="W",1,AND(LEFT(B229,1)="H",G229=""),0)</f>
        <v>1</v>
      </c>
      <c r="AS229" t="str">
        <f t="shared" si="37"/>
        <v/>
      </c>
      <c r="AT229" t="s">
        <v>115</v>
      </c>
      <c r="AU229" t="str">
        <f t="shared" si="38"/>
        <v>0</v>
      </c>
      <c r="BD229" t="str">
        <f t="shared" si="39"/>
        <v>0</v>
      </c>
      <c r="BK229" t="str">
        <f>IFERROR(VLOOKUP(B229,'[1]model_S-フレーム'!$F$5:$R$7000,13,1),"")</f>
        <v>E349955_01</v>
      </c>
      <c r="BL229" s="7">
        <f>IFERROR(VLOOKUP(B229,'[1]model_S-フレーム'!$F$5:$V$7000,17,1),"")</f>
        <v>0</v>
      </c>
      <c r="BM229" t="str" cm="1">
        <f t="array" ref="BM229">_xlfn.IFS(LEFT(G229,1)="L","外注品",LEFT(G229,1)="W","内製品",G229="","購買品")</f>
        <v>内製品</v>
      </c>
    </row>
    <row r="230" spans="1:65">
      <c r="A230" t="str">
        <f t="shared" si="31"/>
        <v>WG01</v>
      </c>
      <c r="B230" t="s">
        <v>364</v>
      </c>
      <c r="C230" t="s">
        <v>875</v>
      </c>
      <c r="D230" s="7"/>
      <c r="E230" s="7"/>
      <c r="G230" t="s">
        <v>1938</v>
      </c>
      <c r="H230" t="str" cm="1">
        <f t="array" ref="H230">IFERROR(_xlfn.IFS(B230="","",AND(B230="",G230=""),"",G230="","記載要"),"")</f>
        <v/>
      </c>
      <c r="K230" t="str">
        <f t="shared" si="32"/>
        <v>11WP00902471</v>
      </c>
      <c r="L230" s="3" t="str">
        <f t="shared" si="33"/>
        <v>2001/01/01</v>
      </c>
      <c r="M230" s="3" t="str">
        <f t="shared" si="34"/>
        <v>2199/12/31</v>
      </c>
      <c r="N230" t="str">
        <f t="shared" si="35"/>
        <v>11WP00902471</v>
      </c>
      <c r="O230">
        <v>5</v>
      </c>
      <c r="Q230" t="str" cm="1">
        <f t="array" ref="Q230">_xlfn.IFS(AND(C230="",G230=""),"",LEFT(G230,1)="L","記載要",LEFT(G230,1)="W","",AND(C230,G230=""),"記載要")</f>
        <v/>
      </c>
      <c r="R230" s="21" t="str">
        <f t="shared" si="40"/>
        <v/>
      </c>
      <c r="S230" s="21"/>
      <c r="Z230" s="8"/>
      <c r="AA230">
        <v>1</v>
      </c>
      <c r="AB230">
        <f t="shared" si="36"/>
        <v>0</v>
      </c>
      <c r="AC230">
        <v>1</v>
      </c>
      <c r="AF230">
        <v>1</v>
      </c>
      <c r="AG230" s="8"/>
      <c r="AH230" s="8"/>
      <c r="AK230" cm="1">
        <f t="array" ref="AK230">_xlfn.IFS(B230="","",LEFT(G230,1)="L",1,LEFT(G230,1)="W",1,AND(LEFT(B230,1)="H",G230=""),0)</f>
        <v>1</v>
      </c>
      <c r="AS230" t="str">
        <f t="shared" si="37"/>
        <v/>
      </c>
      <c r="AT230" t="s">
        <v>115</v>
      </c>
      <c r="AU230" t="str">
        <f t="shared" si="38"/>
        <v>0</v>
      </c>
      <c r="BD230" t="str">
        <f t="shared" si="39"/>
        <v>0</v>
      </c>
      <c r="BK230" t="str">
        <f>IFERROR(VLOOKUP(B230,'[1]model_S-フレーム'!$F$5:$R$7000,13,1),"")</f>
        <v>E349955_01</v>
      </c>
      <c r="BL230" s="7">
        <f>IFERROR(VLOOKUP(B230,'[1]model_S-フレーム'!$F$5:$V$7000,17,1),"")</f>
        <v>0</v>
      </c>
      <c r="BM230" t="str" cm="1">
        <f t="array" ref="BM230">_xlfn.IFS(LEFT(G230,1)="L","外注品",LEFT(G230,1)="W","内製品",G230="","購買品")</f>
        <v>内製品</v>
      </c>
    </row>
    <row r="231" spans="1:65">
      <c r="A231" t="str">
        <f t="shared" si="31"/>
        <v>WG01</v>
      </c>
      <c r="B231" t="s">
        <v>365</v>
      </c>
      <c r="C231" t="s">
        <v>875</v>
      </c>
      <c r="D231" s="7"/>
      <c r="E231" s="7"/>
      <c r="G231" t="s">
        <v>1938</v>
      </c>
      <c r="H231" t="str" cm="1">
        <f t="array" ref="H231">IFERROR(_xlfn.IFS(B231="","",AND(B231="",G231=""),"",G231="","記載要"),"")</f>
        <v/>
      </c>
      <c r="K231" t="str">
        <f t="shared" si="32"/>
        <v>11WP00902472</v>
      </c>
      <c r="L231" s="3" t="str">
        <f t="shared" si="33"/>
        <v>2001/01/01</v>
      </c>
      <c r="M231" s="3" t="str">
        <f t="shared" si="34"/>
        <v>2199/12/31</v>
      </c>
      <c r="N231" t="str">
        <f t="shared" si="35"/>
        <v>11WP00902472</v>
      </c>
      <c r="O231">
        <v>5</v>
      </c>
      <c r="Q231" t="str" cm="1">
        <f t="array" ref="Q231">_xlfn.IFS(AND(C231="",G231=""),"",LEFT(G231,1)="L","記載要",LEFT(G231,1)="W","",AND(C231,G231=""),"記載要")</f>
        <v/>
      </c>
      <c r="R231" s="21" t="str">
        <f t="shared" si="40"/>
        <v/>
      </c>
      <c r="S231" s="21"/>
      <c r="Z231" s="8"/>
      <c r="AA231">
        <v>1</v>
      </c>
      <c r="AB231">
        <f t="shared" si="36"/>
        <v>0</v>
      </c>
      <c r="AC231">
        <v>1</v>
      </c>
      <c r="AF231">
        <v>1</v>
      </c>
      <c r="AG231" s="8"/>
      <c r="AH231" s="8"/>
      <c r="AK231" cm="1">
        <f t="array" ref="AK231">_xlfn.IFS(B231="","",LEFT(G231,1)="L",1,LEFT(G231,1)="W",1,AND(LEFT(B231,1)="H",G231=""),0)</f>
        <v>1</v>
      </c>
      <c r="AS231" t="str">
        <f t="shared" si="37"/>
        <v/>
      </c>
      <c r="AT231" t="s">
        <v>115</v>
      </c>
      <c r="AU231" t="str">
        <f t="shared" si="38"/>
        <v>0</v>
      </c>
      <c r="BD231" t="str">
        <f t="shared" si="39"/>
        <v>0</v>
      </c>
      <c r="BK231" t="str">
        <f>IFERROR(VLOOKUP(B231,'[1]model_S-フレーム'!$F$5:$R$7000,13,1),"")</f>
        <v>E349955_01</v>
      </c>
      <c r="BL231" s="7">
        <f>IFERROR(VLOOKUP(B231,'[1]model_S-フレーム'!$F$5:$V$7000,17,1),"")</f>
        <v>0</v>
      </c>
      <c r="BM231" t="str" cm="1">
        <f t="array" ref="BM231">_xlfn.IFS(LEFT(G231,1)="L","外注品",LEFT(G231,1)="W","内製品",G231="","購買品")</f>
        <v>内製品</v>
      </c>
    </row>
    <row r="232" spans="1:65">
      <c r="A232" t="str">
        <f t="shared" si="31"/>
        <v>WG01</v>
      </c>
      <c r="B232" t="s">
        <v>366</v>
      </c>
      <c r="C232" t="s">
        <v>876</v>
      </c>
      <c r="D232" s="7"/>
      <c r="E232" s="7"/>
      <c r="G232" t="s">
        <v>1938</v>
      </c>
      <c r="H232" t="str" cm="1">
        <f t="array" ref="H232">IFERROR(_xlfn.IFS(B232="","",AND(B232="",G232=""),"",G232="","記載要"),"")</f>
        <v/>
      </c>
      <c r="K232" t="str">
        <f t="shared" si="32"/>
        <v>11WP00902473</v>
      </c>
      <c r="L232" s="3" t="str">
        <f t="shared" si="33"/>
        <v>2001/01/01</v>
      </c>
      <c r="M232" s="3" t="str">
        <f t="shared" si="34"/>
        <v>2199/12/31</v>
      </c>
      <c r="N232" t="str">
        <f t="shared" si="35"/>
        <v>11WP00902473</v>
      </c>
      <c r="O232">
        <v>5</v>
      </c>
      <c r="Q232" t="str" cm="1">
        <f t="array" ref="Q232">_xlfn.IFS(AND(C232="",G232=""),"",LEFT(G232,1)="L","記載要",LEFT(G232,1)="W","",AND(C232,G232=""),"記載要")</f>
        <v/>
      </c>
      <c r="R232" s="21" t="str">
        <f t="shared" si="40"/>
        <v/>
      </c>
      <c r="S232" s="21"/>
      <c r="Z232" s="8"/>
      <c r="AA232">
        <v>1</v>
      </c>
      <c r="AB232">
        <f t="shared" si="36"/>
        <v>0</v>
      </c>
      <c r="AC232">
        <v>1</v>
      </c>
      <c r="AF232">
        <v>1</v>
      </c>
      <c r="AG232" s="8"/>
      <c r="AH232" s="8"/>
      <c r="AK232" cm="1">
        <f t="array" ref="AK232">_xlfn.IFS(B232="","",LEFT(G232,1)="L",1,LEFT(G232,1)="W",1,AND(LEFT(B232,1)="H",G232=""),0)</f>
        <v>1</v>
      </c>
      <c r="AS232" t="str">
        <f t="shared" si="37"/>
        <v/>
      </c>
      <c r="AT232" t="s">
        <v>115</v>
      </c>
      <c r="AU232" t="str">
        <f t="shared" si="38"/>
        <v>0</v>
      </c>
      <c r="BD232" t="str">
        <f t="shared" si="39"/>
        <v>0</v>
      </c>
      <c r="BK232" t="str">
        <f>IFERROR(VLOOKUP(B232,'[1]model_S-フレーム'!$F$5:$R$7000,13,1),"")</f>
        <v>E349955_01</v>
      </c>
      <c r="BL232" s="7">
        <f>IFERROR(VLOOKUP(B232,'[1]model_S-フレーム'!$F$5:$V$7000,17,1),"")</f>
        <v>0</v>
      </c>
      <c r="BM232" t="str" cm="1">
        <f t="array" ref="BM232">_xlfn.IFS(LEFT(G232,1)="L","外注品",LEFT(G232,1)="W","内製品",G232="","購買品")</f>
        <v>内製品</v>
      </c>
    </row>
    <row r="233" spans="1:65">
      <c r="A233" t="str">
        <f t="shared" si="31"/>
        <v>WG01</v>
      </c>
      <c r="B233" t="s">
        <v>367</v>
      </c>
      <c r="C233" t="s">
        <v>876</v>
      </c>
      <c r="D233" s="7"/>
      <c r="E233" s="7"/>
      <c r="G233" t="s">
        <v>1938</v>
      </c>
      <c r="H233" t="str" cm="1">
        <f t="array" ref="H233">IFERROR(_xlfn.IFS(B233="","",AND(B233="",G233=""),"",G233="","記載要"),"")</f>
        <v/>
      </c>
      <c r="K233" t="str">
        <f t="shared" si="32"/>
        <v>11WP00902474</v>
      </c>
      <c r="L233" s="3" t="str">
        <f t="shared" si="33"/>
        <v>2001/01/01</v>
      </c>
      <c r="M233" s="3" t="str">
        <f t="shared" si="34"/>
        <v>2199/12/31</v>
      </c>
      <c r="N233" t="str">
        <f t="shared" si="35"/>
        <v>11WP00902474</v>
      </c>
      <c r="O233">
        <v>5</v>
      </c>
      <c r="Q233" t="str" cm="1">
        <f t="array" ref="Q233">_xlfn.IFS(AND(C233="",G233=""),"",LEFT(G233,1)="L","記載要",LEFT(G233,1)="W","",AND(C233,G233=""),"記載要")</f>
        <v/>
      </c>
      <c r="R233" s="21" t="str">
        <f t="shared" si="40"/>
        <v/>
      </c>
      <c r="S233" s="21"/>
      <c r="Z233" s="8"/>
      <c r="AA233">
        <v>1</v>
      </c>
      <c r="AB233">
        <f t="shared" si="36"/>
        <v>0</v>
      </c>
      <c r="AC233">
        <v>1</v>
      </c>
      <c r="AF233">
        <v>1</v>
      </c>
      <c r="AG233" s="8"/>
      <c r="AH233" s="8"/>
      <c r="AK233" cm="1">
        <f t="array" ref="AK233">_xlfn.IFS(B233="","",LEFT(G233,1)="L",1,LEFT(G233,1)="W",1,AND(LEFT(B233,1)="H",G233=""),0)</f>
        <v>1</v>
      </c>
      <c r="AS233" t="str">
        <f t="shared" si="37"/>
        <v/>
      </c>
      <c r="AT233" t="s">
        <v>115</v>
      </c>
      <c r="AU233" t="str">
        <f t="shared" si="38"/>
        <v>0</v>
      </c>
      <c r="BD233" t="str">
        <f t="shared" si="39"/>
        <v>0</v>
      </c>
      <c r="BK233" t="str">
        <f>IFERROR(VLOOKUP(B233,'[1]model_S-フレーム'!$F$5:$R$7000,13,1),"")</f>
        <v>E349955_01</v>
      </c>
      <c r="BL233" s="7">
        <f>IFERROR(VLOOKUP(B233,'[1]model_S-フレーム'!$F$5:$V$7000,17,1),"")</f>
        <v>0</v>
      </c>
      <c r="BM233" t="str" cm="1">
        <f t="array" ref="BM233">_xlfn.IFS(LEFT(G233,1)="L","外注品",LEFT(G233,1)="W","内製品",G233="","購買品")</f>
        <v>内製品</v>
      </c>
    </row>
    <row r="234" spans="1:65">
      <c r="A234" t="str">
        <f t="shared" si="31"/>
        <v>WG01</v>
      </c>
      <c r="B234" t="s">
        <v>368</v>
      </c>
      <c r="C234" t="s">
        <v>876</v>
      </c>
      <c r="D234" s="7"/>
      <c r="E234" s="7"/>
      <c r="G234" t="s">
        <v>1938</v>
      </c>
      <c r="H234" t="str" cm="1">
        <f t="array" ref="H234">IFERROR(_xlfn.IFS(B234="","",AND(B234="",G234=""),"",G234="","記載要"),"")</f>
        <v/>
      </c>
      <c r="K234" t="str">
        <f t="shared" si="32"/>
        <v>11WP00902475</v>
      </c>
      <c r="L234" s="3" t="str">
        <f t="shared" si="33"/>
        <v>2001/01/01</v>
      </c>
      <c r="M234" s="3" t="str">
        <f t="shared" si="34"/>
        <v>2199/12/31</v>
      </c>
      <c r="N234" t="str">
        <f t="shared" si="35"/>
        <v>11WP00902475</v>
      </c>
      <c r="O234">
        <v>5</v>
      </c>
      <c r="Q234" t="str" cm="1">
        <f t="array" ref="Q234">_xlfn.IFS(AND(C234="",G234=""),"",LEFT(G234,1)="L","記載要",LEFT(G234,1)="W","",AND(C234,G234=""),"記載要")</f>
        <v/>
      </c>
      <c r="R234" s="21" t="str">
        <f t="shared" si="40"/>
        <v/>
      </c>
      <c r="S234" s="21"/>
      <c r="Z234" s="8"/>
      <c r="AA234">
        <v>1</v>
      </c>
      <c r="AB234">
        <f t="shared" si="36"/>
        <v>0</v>
      </c>
      <c r="AC234">
        <v>1</v>
      </c>
      <c r="AF234">
        <v>1</v>
      </c>
      <c r="AG234" s="8"/>
      <c r="AH234" s="8"/>
      <c r="AK234" cm="1">
        <f t="array" ref="AK234">_xlfn.IFS(B234="","",LEFT(G234,1)="L",1,LEFT(G234,1)="W",1,AND(LEFT(B234,1)="H",G234=""),0)</f>
        <v>1</v>
      </c>
      <c r="AS234" t="str">
        <f t="shared" si="37"/>
        <v/>
      </c>
      <c r="AT234" t="s">
        <v>115</v>
      </c>
      <c r="AU234" t="str">
        <f t="shared" si="38"/>
        <v>0</v>
      </c>
      <c r="BD234" t="str">
        <f t="shared" si="39"/>
        <v>0</v>
      </c>
      <c r="BK234" t="str">
        <f>IFERROR(VLOOKUP(B234,'[1]model_S-フレーム'!$F$5:$R$7000,13,1),"")</f>
        <v>E349955_01</v>
      </c>
      <c r="BL234" s="7">
        <f>IFERROR(VLOOKUP(B234,'[1]model_S-フレーム'!$F$5:$V$7000,17,1),"")</f>
        <v>0</v>
      </c>
      <c r="BM234" t="str" cm="1">
        <f t="array" ref="BM234">_xlfn.IFS(LEFT(G234,1)="L","外注品",LEFT(G234,1)="W","内製品",G234="","購買品")</f>
        <v>内製品</v>
      </c>
    </row>
    <row r="235" spans="1:65">
      <c r="A235" t="str">
        <f t="shared" si="31"/>
        <v>WG01</v>
      </c>
      <c r="B235" t="s">
        <v>369</v>
      </c>
      <c r="C235" t="s">
        <v>876</v>
      </c>
      <c r="D235" s="7"/>
      <c r="E235" s="7"/>
      <c r="G235" t="s">
        <v>1938</v>
      </c>
      <c r="H235" t="str" cm="1">
        <f t="array" ref="H235">IFERROR(_xlfn.IFS(B235="","",AND(B235="",G235=""),"",G235="","記載要"),"")</f>
        <v/>
      </c>
      <c r="K235" t="str">
        <f t="shared" si="32"/>
        <v>11WP00902476</v>
      </c>
      <c r="L235" s="3" t="str">
        <f t="shared" si="33"/>
        <v>2001/01/01</v>
      </c>
      <c r="M235" s="3" t="str">
        <f t="shared" si="34"/>
        <v>2199/12/31</v>
      </c>
      <c r="N235" t="str">
        <f t="shared" si="35"/>
        <v>11WP00902476</v>
      </c>
      <c r="O235">
        <v>5</v>
      </c>
      <c r="Q235" t="str" cm="1">
        <f t="array" ref="Q235">_xlfn.IFS(AND(C235="",G235=""),"",LEFT(G235,1)="L","記載要",LEFT(G235,1)="W","",AND(C235,G235=""),"記載要")</f>
        <v/>
      </c>
      <c r="R235" s="21" t="str">
        <f t="shared" si="40"/>
        <v/>
      </c>
      <c r="S235" s="21"/>
      <c r="Z235" s="8"/>
      <c r="AA235">
        <v>1</v>
      </c>
      <c r="AB235">
        <f t="shared" si="36"/>
        <v>0</v>
      </c>
      <c r="AC235">
        <v>1</v>
      </c>
      <c r="AF235">
        <v>1</v>
      </c>
      <c r="AG235" s="8"/>
      <c r="AH235" s="8"/>
      <c r="AK235" cm="1">
        <f t="array" ref="AK235">_xlfn.IFS(B235="","",LEFT(G235,1)="L",1,LEFT(G235,1)="W",1,AND(LEFT(B235,1)="H",G235=""),0)</f>
        <v>1</v>
      </c>
      <c r="AS235" t="str">
        <f t="shared" si="37"/>
        <v/>
      </c>
      <c r="AT235" t="s">
        <v>115</v>
      </c>
      <c r="AU235" t="str">
        <f t="shared" si="38"/>
        <v>0</v>
      </c>
      <c r="BD235" t="str">
        <f t="shared" si="39"/>
        <v>0</v>
      </c>
      <c r="BK235" t="str">
        <f>IFERROR(VLOOKUP(B235,'[1]model_S-フレーム'!$F$5:$R$7000,13,1),"")</f>
        <v>E349955_01</v>
      </c>
      <c r="BL235" s="7">
        <f>IFERROR(VLOOKUP(B235,'[1]model_S-フレーム'!$F$5:$V$7000,17,1),"")</f>
        <v>0</v>
      </c>
      <c r="BM235" t="str" cm="1">
        <f t="array" ref="BM235">_xlfn.IFS(LEFT(G235,1)="L","外注品",LEFT(G235,1)="W","内製品",G235="","購買品")</f>
        <v>内製品</v>
      </c>
    </row>
    <row r="236" spans="1:65">
      <c r="A236" t="str">
        <f t="shared" si="31"/>
        <v>WG01</v>
      </c>
      <c r="B236" t="s">
        <v>370</v>
      </c>
      <c r="C236" t="s">
        <v>876</v>
      </c>
      <c r="D236" s="7"/>
      <c r="E236" s="7"/>
      <c r="G236" t="s">
        <v>1938</v>
      </c>
      <c r="H236" t="str" cm="1">
        <f t="array" ref="H236">IFERROR(_xlfn.IFS(B236="","",AND(B236="",G236=""),"",G236="","記載要"),"")</f>
        <v/>
      </c>
      <c r="K236" t="str">
        <f t="shared" si="32"/>
        <v>11WP00902477</v>
      </c>
      <c r="L236" s="3" t="str">
        <f t="shared" si="33"/>
        <v>2001/01/01</v>
      </c>
      <c r="M236" s="3" t="str">
        <f t="shared" si="34"/>
        <v>2199/12/31</v>
      </c>
      <c r="N236" t="str">
        <f t="shared" si="35"/>
        <v>11WP00902477</v>
      </c>
      <c r="O236">
        <v>5</v>
      </c>
      <c r="Q236" t="str" cm="1">
        <f t="array" ref="Q236">_xlfn.IFS(AND(C236="",G236=""),"",LEFT(G236,1)="L","記載要",LEFT(G236,1)="W","",AND(C236,G236=""),"記載要")</f>
        <v/>
      </c>
      <c r="R236" s="21" t="str">
        <f t="shared" si="40"/>
        <v/>
      </c>
      <c r="S236" s="21"/>
      <c r="Z236" s="8"/>
      <c r="AA236">
        <v>1</v>
      </c>
      <c r="AB236">
        <f t="shared" si="36"/>
        <v>0</v>
      </c>
      <c r="AC236">
        <v>1</v>
      </c>
      <c r="AF236">
        <v>1</v>
      </c>
      <c r="AG236" s="8"/>
      <c r="AH236" s="8"/>
      <c r="AK236" cm="1">
        <f t="array" ref="AK236">_xlfn.IFS(B236="","",LEFT(G236,1)="L",1,LEFT(G236,1)="W",1,AND(LEFT(B236,1)="H",G236=""),0)</f>
        <v>1</v>
      </c>
      <c r="AS236" t="str">
        <f t="shared" si="37"/>
        <v/>
      </c>
      <c r="AT236" t="s">
        <v>115</v>
      </c>
      <c r="AU236" t="str">
        <f t="shared" si="38"/>
        <v>0</v>
      </c>
      <c r="BD236" t="str">
        <f t="shared" si="39"/>
        <v>0</v>
      </c>
      <c r="BK236" t="str">
        <f>IFERROR(VLOOKUP(B236,'[1]model_S-フレーム'!$F$5:$R$7000,13,1),"")</f>
        <v>E349955_01</v>
      </c>
      <c r="BL236" s="7">
        <f>IFERROR(VLOOKUP(B236,'[1]model_S-フレーム'!$F$5:$V$7000,17,1),"")</f>
        <v>0</v>
      </c>
      <c r="BM236" t="str" cm="1">
        <f t="array" ref="BM236">_xlfn.IFS(LEFT(G236,1)="L","外注品",LEFT(G236,1)="W","内製品",G236="","購買品")</f>
        <v>内製品</v>
      </c>
    </row>
    <row r="237" spans="1:65">
      <c r="A237" t="str">
        <f t="shared" si="31"/>
        <v>WG01</v>
      </c>
      <c r="B237" t="s">
        <v>371</v>
      </c>
      <c r="C237" t="s">
        <v>876</v>
      </c>
      <c r="D237" s="7"/>
      <c r="E237" s="7"/>
      <c r="G237" t="s">
        <v>1938</v>
      </c>
      <c r="H237" t="str" cm="1">
        <f t="array" ref="H237">IFERROR(_xlfn.IFS(B237="","",AND(B237="",G237=""),"",G237="","記載要"),"")</f>
        <v/>
      </c>
      <c r="K237" t="str">
        <f t="shared" si="32"/>
        <v>11WP00902478</v>
      </c>
      <c r="L237" s="3" t="str">
        <f t="shared" si="33"/>
        <v>2001/01/01</v>
      </c>
      <c r="M237" s="3" t="str">
        <f t="shared" si="34"/>
        <v>2199/12/31</v>
      </c>
      <c r="N237" t="str">
        <f t="shared" si="35"/>
        <v>11WP00902478</v>
      </c>
      <c r="O237">
        <v>5</v>
      </c>
      <c r="Q237" t="str" cm="1">
        <f t="array" ref="Q237">_xlfn.IFS(AND(C237="",G237=""),"",LEFT(G237,1)="L","記載要",LEFT(G237,1)="W","",AND(C237,G237=""),"記載要")</f>
        <v/>
      </c>
      <c r="R237" s="21" t="str">
        <f t="shared" si="40"/>
        <v/>
      </c>
      <c r="S237" s="21"/>
      <c r="Z237" s="8"/>
      <c r="AA237">
        <v>1</v>
      </c>
      <c r="AB237">
        <f t="shared" si="36"/>
        <v>0</v>
      </c>
      <c r="AC237">
        <v>1</v>
      </c>
      <c r="AF237">
        <v>1</v>
      </c>
      <c r="AG237" s="8"/>
      <c r="AH237" s="8"/>
      <c r="AK237" cm="1">
        <f t="array" ref="AK237">_xlfn.IFS(B237="","",LEFT(G237,1)="L",1,LEFT(G237,1)="W",1,AND(LEFT(B237,1)="H",G237=""),0)</f>
        <v>1</v>
      </c>
      <c r="AS237" t="str">
        <f t="shared" si="37"/>
        <v/>
      </c>
      <c r="AT237" t="s">
        <v>115</v>
      </c>
      <c r="AU237" t="str">
        <f t="shared" si="38"/>
        <v>0</v>
      </c>
      <c r="BD237" t="str">
        <f t="shared" si="39"/>
        <v>0</v>
      </c>
      <c r="BK237" t="str">
        <f>IFERROR(VLOOKUP(B237,'[1]model_S-フレーム'!$F$5:$R$7000,13,1),"")</f>
        <v>E349955_01</v>
      </c>
      <c r="BL237" s="7">
        <f>IFERROR(VLOOKUP(B237,'[1]model_S-フレーム'!$F$5:$V$7000,17,1),"")</f>
        <v>0</v>
      </c>
      <c r="BM237" t="str" cm="1">
        <f t="array" ref="BM237">_xlfn.IFS(LEFT(G237,1)="L","外注品",LEFT(G237,1)="W","内製品",G237="","購買品")</f>
        <v>内製品</v>
      </c>
    </row>
    <row r="238" spans="1:65">
      <c r="A238" t="str">
        <f t="shared" si="31"/>
        <v>WG01</v>
      </c>
      <c r="B238" t="s">
        <v>372</v>
      </c>
      <c r="C238" t="s">
        <v>876</v>
      </c>
      <c r="D238" s="7"/>
      <c r="E238" s="7"/>
      <c r="G238" t="s">
        <v>1938</v>
      </c>
      <c r="H238" t="str" cm="1">
        <f t="array" ref="H238">IFERROR(_xlfn.IFS(B238="","",AND(B238="",G238=""),"",G238="","記載要"),"")</f>
        <v/>
      </c>
      <c r="K238" t="str">
        <f t="shared" si="32"/>
        <v>11WP00902479</v>
      </c>
      <c r="L238" s="3" t="str">
        <f t="shared" si="33"/>
        <v>2001/01/01</v>
      </c>
      <c r="M238" s="3" t="str">
        <f t="shared" si="34"/>
        <v>2199/12/31</v>
      </c>
      <c r="N238" t="str">
        <f t="shared" si="35"/>
        <v>11WP00902479</v>
      </c>
      <c r="O238">
        <v>5</v>
      </c>
      <c r="Q238" t="str" cm="1">
        <f t="array" ref="Q238">_xlfn.IFS(AND(C238="",G238=""),"",LEFT(G238,1)="L","記載要",LEFT(G238,1)="W","",AND(C238,G238=""),"記載要")</f>
        <v/>
      </c>
      <c r="R238" s="21" t="str">
        <f t="shared" si="40"/>
        <v/>
      </c>
      <c r="S238" s="21"/>
      <c r="Z238" s="8"/>
      <c r="AA238">
        <v>1</v>
      </c>
      <c r="AB238">
        <f t="shared" si="36"/>
        <v>0</v>
      </c>
      <c r="AC238">
        <v>1</v>
      </c>
      <c r="AF238">
        <v>1</v>
      </c>
      <c r="AG238" s="8"/>
      <c r="AH238" s="8"/>
      <c r="AK238" cm="1">
        <f t="array" ref="AK238">_xlfn.IFS(B238="","",LEFT(G238,1)="L",1,LEFT(G238,1)="W",1,AND(LEFT(B238,1)="H",G238=""),0)</f>
        <v>1</v>
      </c>
      <c r="AS238" t="str">
        <f t="shared" si="37"/>
        <v/>
      </c>
      <c r="AT238" t="s">
        <v>115</v>
      </c>
      <c r="AU238" t="str">
        <f t="shared" si="38"/>
        <v>0</v>
      </c>
      <c r="BD238" t="str">
        <f t="shared" si="39"/>
        <v>0</v>
      </c>
      <c r="BK238" t="str">
        <f>IFERROR(VLOOKUP(B238,'[1]model_S-フレーム'!$F$5:$R$7000,13,1),"")</f>
        <v>E349955_01</v>
      </c>
      <c r="BL238" s="7">
        <f>IFERROR(VLOOKUP(B238,'[1]model_S-フレーム'!$F$5:$V$7000,17,1),"")</f>
        <v>0</v>
      </c>
      <c r="BM238" t="str" cm="1">
        <f t="array" ref="BM238">_xlfn.IFS(LEFT(G238,1)="L","外注品",LEFT(G238,1)="W","内製品",G238="","購買品")</f>
        <v>内製品</v>
      </c>
    </row>
    <row r="239" spans="1:65">
      <c r="A239" t="str">
        <f t="shared" si="31"/>
        <v>WG01</v>
      </c>
      <c r="B239" t="s">
        <v>373</v>
      </c>
      <c r="C239" t="s">
        <v>876</v>
      </c>
      <c r="D239" s="7"/>
      <c r="E239" s="7"/>
      <c r="G239" t="s">
        <v>1938</v>
      </c>
      <c r="H239" t="str" cm="1">
        <f t="array" ref="H239">IFERROR(_xlfn.IFS(B239="","",AND(B239="",G239=""),"",G239="","記載要"),"")</f>
        <v/>
      </c>
      <c r="K239" t="str">
        <f t="shared" si="32"/>
        <v>11WP00902480</v>
      </c>
      <c r="L239" s="3" t="str">
        <f t="shared" si="33"/>
        <v>2001/01/01</v>
      </c>
      <c r="M239" s="3" t="str">
        <f t="shared" si="34"/>
        <v>2199/12/31</v>
      </c>
      <c r="N239" t="str">
        <f t="shared" si="35"/>
        <v>11WP00902480</v>
      </c>
      <c r="O239">
        <v>5</v>
      </c>
      <c r="Q239" t="str" cm="1">
        <f t="array" ref="Q239">_xlfn.IFS(AND(C239="",G239=""),"",LEFT(G239,1)="L","記載要",LEFT(G239,1)="W","",AND(C239,G239=""),"記載要")</f>
        <v/>
      </c>
      <c r="R239" s="21" t="str">
        <f t="shared" si="40"/>
        <v/>
      </c>
      <c r="S239" s="21"/>
      <c r="Z239" s="8"/>
      <c r="AA239">
        <v>1</v>
      </c>
      <c r="AB239">
        <f t="shared" si="36"/>
        <v>0</v>
      </c>
      <c r="AC239">
        <v>1</v>
      </c>
      <c r="AF239">
        <v>1</v>
      </c>
      <c r="AG239" s="8"/>
      <c r="AH239" s="8"/>
      <c r="AK239" cm="1">
        <f t="array" ref="AK239">_xlfn.IFS(B239="","",LEFT(G239,1)="L",1,LEFT(G239,1)="W",1,AND(LEFT(B239,1)="H",G239=""),0)</f>
        <v>1</v>
      </c>
      <c r="AS239" t="str">
        <f t="shared" si="37"/>
        <v/>
      </c>
      <c r="AT239" t="s">
        <v>115</v>
      </c>
      <c r="AU239" t="str">
        <f t="shared" si="38"/>
        <v>0</v>
      </c>
      <c r="BD239" t="str">
        <f t="shared" si="39"/>
        <v>0</v>
      </c>
      <c r="BK239" t="str">
        <f>IFERROR(VLOOKUP(B239,'[1]model_S-フレーム'!$F$5:$R$7000,13,1),"")</f>
        <v>E349955_01</v>
      </c>
      <c r="BL239" s="7">
        <f>IFERROR(VLOOKUP(B239,'[1]model_S-フレーム'!$F$5:$V$7000,17,1),"")</f>
        <v>0</v>
      </c>
      <c r="BM239" t="str" cm="1">
        <f t="array" ref="BM239">_xlfn.IFS(LEFT(G239,1)="L","外注品",LEFT(G239,1)="W","内製品",G239="","購買品")</f>
        <v>内製品</v>
      </c>
    </row>
    <row r="240" spans="1:65">
      <c r="A240" t="str">
        <f t="shared" si="31"/>
        <v>WG01</v>
      </c>
      <c r="B240" t="s">
        <v>374</v>
      </c>
      <c r="C240" t="s">
        <v>876</v>
      </c>
      <c r="D240" s="7"/>
      <c r="E240" s="7"/>
      <c r="G240" t="s">
        <v>1938</v>
      </c>
      <c r="H240" t="str" cm="1">
        <f t="array" ref="H240">IFERROR(_xlfn.IFS(B240="","",AND(B240="",G240=""),"",G240="","記載要"),"")</f>
        <v/>
      </c>
      <c r="K240" t="str">
        <f t="shared" si="32"/>
        <v>11WP00902481</v>
      </c>
      <c r="L240" s="3" t="str">
        <f t="shared" si="33"/>
        <v>2001/01/01</v>
      </c>
      <c r="M240" s="3" t="str">
        <f t="shared" si="34"/>
        <v>2199/12/31</v>
      </c>
      <c r="N240" t="str">
        <f t="shared" si="35"/>
        <v>11WP00902481</v>
      </c>
      <c r="O240">
        <v>5</v>
      </c>
      <c r="Q240" t="str" cm="1">
        <f t="array" ref="Q240">_xlfn.IFS(AND(C240="",G240=""),"",LEFT(G240,1)="L","記載要",LEFT(G240,1)="W","",AND(C240,G240=""),"記載要")</f>
        <v/>
      </c>
      <c r="R240" s="21" t="str">
        <f t="shared" si="40"/>
        <v/>
      </c>
      <c r="S240" s="21"/>
      <c r="Z240" s="8"/>
      <c r="AA240">
        <v>1</v>
      </c>
      <c r="AB240">
        <f t="shared" si="36"/>
        <v>0</v>
      </c>
      <c r="AC240">
        <v>1</v>
      </c>
      <c r="AF240">
        <v>1</v>
      </c>
      <c r="AG240" s="8"/>
      <c r="AH240" s="8"/>
      <c r="AK240" cm="1">
        <f t="array" ref="AK240">_xlfn.IFS(B240="","",LEFT(G240,1)="L",1,LEFT(G240,1)="W",1,AND(LEFT(B240,1)="H",G240=""),0)</f>
        <v>1</v>
      </c>
      <c r="AS240" t="str">
        <f t="shared" si="37"/>
        <v/>
      </c>
      <c r="AT240" t="s">
        <v>115</v>
      </c>
      <c r="AU240" t="str">
        <f t="shared" si="38"/>
        <v>0</v>
      </c>
      <c r="BD240" t="str">
        <f t="shared" si="39"/>
        <v>0</v>
      </c>
      <c r="BK240" t="str">
        <f>IFERROR(VLOOKUP(B240,'[1]model_S-フレーム'!$F$5:$R$7000,13,1),"")</f>
        <v>E349955_01</v>
      </c>
      <c r="BL240" s="7">
        <f>IFERROR(VLOOKUP(B240,'[1]model_S-フレーム'!$F$5:$V$7000,17,1),"")</f>
        <v>0</v>
      </c>
      <c r="BM240" t="str" cm="1">
        <f t="array" ref="BM240">_xlfn.IFS(LEFT(G240,1)="L","外注品",LEFT(G240,1)="W","内製品",G240="","購買品")</f>
        <v>内製品</v>
      </c>
    </row>
    <row r="241" spans="1:65">
      <c r="A241" t="str">
        <f t="shared" si="31"/>
        <v>WG01</v>
      </c>
      <c r="B241" t="s">
        <v>375</v>
      </c>
      <c r="C241" t="s">
        <v>877</v>
      </c>
      <c r="D241" s="7"/>
      <c r="E241" s="7"/>
      <c r="G241" t="s">
        <v>1938</v>
      </c>
      <c r="H241" t="str" cm="1">
        <f t="array" ref="H241">IFERROR(_xlfn.IFS(B241="","",AND(B241="",G241=""),"",G241="","記載要"),"")</f>
        <v/>
      </c>
      <c r="K241" t="str">
        <f t="shared" si="32"/>
        <v>11WP00902482</v>
      </c>
      <c r="L241" s="3" t="str">
        <f t="shared" si="33"/>
        <v>2001/01/01</v>
      </c>
      <c r="M241" s="3" t="str">
        <f t="shared" si="34"/>
        <v>2199/12/31</v>
      </c>
      <c r="N241" t="str">
        <f t="shared" si="35"/>
        <v>11WP00902482</v>
      </c>
      <c r="O241">
        <v>5</v>
      </c>
      <c r="Q241" t="str" cm="1">
        <f t="array" ref="Q241">_xlfn.IFS(AND(C241="",G241=""),"",LEFT(G241,1)="L","記載要",LEFT(G241,1)="W","",AND(C241,G241=""),"記載要")</f>
        <v/>
      </c>
      <c r="R241" s="21" t="str">
        <f t="shared" si="40"/>
        <v/>
      </c>
      <c r="S241" s="21"/>
      <c r="Z241" s="8"/>
      <c r="AA241">
        <v>1</v>
      </c>
      <c r="AB241">
        <f t="shared" si="36"/>
        <v>0</v>
      </c>
      <c r="AC241">
        <v>1</v>
      </c>
      <c r="AF241">
        <v>1</v>
      </c>
      <c r="AG241" s="8"/>
      <c r="AH241" s="8"/>
      <c r="AK241" cm="1">
        <f t="array" ref="AK241">_xlfn.IFS(B241="","",LEFT(G241,1)="L",1,LEFT(G241,1)="W",1,AND(LEFT(B241,1)="H",G241=""),0)</f>
        <v>1</v>
      </c>
      <c r="AS241" t="str">
        <f t="shared" si="37"/>
        <v/>
      </c>
      <c r="AT241" t="s">
        <v>115</v>
      </c>
      <c r="AU241" t="str">
        <f t="shared" si="38"/>
        <v>0</v>
      </c>
      <c r="BD241" t="str">
        <f t="shared" si="39"/>
        <v>0</v>
      </c>
      <c r="BK241" t="str">
        <f>IFERROR(VLOOKUP(B241,'[1]model_S-フレーム'!$F$5:$R$7000,13,1),"")</f>
        <v>E349955_01</v>
      </c>
      <c r="BL241" s="7">
        <f>IFERROR(VLOOKUP(B241,'[1]model_S-フレーム'!$F$5:$V$7000,17,1),"")</f>
        <v>0</v>
      </c>
      <c r="BM241" t="str" cm="1">
        <f t="array" ref="BM241">_xlfn.IFS(LEFT(G241,1)="L","外注品",LEFT(G241,1)="W","内製品",G241="","購買品")</f>
        <v>内製品</v>
      </c>
    </row>
    <row r="242" spans="1:65">
      <c r="A242" t="str">
        <f t="shared" si="31"/>
        <v>WG01</v>
      </c>
      <c r="B242" t="s">
        <v>376</v>
      </c>
      <c r="C242" t="s">
        <v>877</v>
      </c>
      <c r="D242" s="7"/>
      <c r="E242" s="7"/>
      <c r="G242" t="s">
        <v>1938</v>
      </c>
      <c r="H242" t="str" cm="1">
        <f t="array" ref="H242">IFERROR(_xlfn.IFS(B242="","",AND(B242="",G242=""),"",G242="","記載要"),"")</f>
        <v/>
      </c>
      <c r="K242" t="str">
        <f t="shared" si="32"/>
        <v>11WP00902483</v>
      </c>
      <c r="L242" s="3" t="str">
        <f t="shared" si="33"/>
        <v>2001/01/01</v>
      </c>
      <c r="M242" s="3" t="str">
        <f t="shared" si="34"/>
        <v>2199/12/31</v>
      </c>
      <c r="N242" t="str">
        <f t="shared" si="35"/>
        <v>11WP00902483</v>
      </c>
      <c r="O242">
        <v>5</v>
      </c>
      <c r="Q242" t="str" cm="1">
        <f t="array" ref="Q242">_xlfn.IFS(AND(C242="",G242=""),"",LEFT(G242,1)="L","記載要",LEFT(G242,1)="W","",AND(C242,G242=""),"記載要")</f>
        <v/>
      </c>
      <c r="R242" s="21" t="str">
        <f t="shared" si="40"/>
        <v/>
      </c>
      <c r="S242" s="21"/>
      <c r="Z242" s="8"/>
      <c r="AA242">
        <v>1</v>
      </c>
      <c r="AB242">
        <f t="shared" si="36"/>
        <v>0</v>
      </c>
      <c r="AC242">
        <v>1</v>
      </c>
      <c r="AF242">
        <v>1</v>
      </c>
      <c r="AG242" s="8"/>
      <c r="AH242" s="8"/>
      <c r="AK242" cm="1">
        <f t="array" ref="AK242">_xlfn.IFS(B242="","",LEFT(G242,1)="L",1,LEFT(G242,1)="W",1,AND(LEFT(B242,1)="H",G242=""),0)</f>
        <v>1</v>
      </c>
      <c r="AS242" t="str">
        <f t="shared" si="37"/>
        <v/>
      </c>
      <c r="AT242" t="s">
        <v>115</v>
      </c>
      <c r="AU242" t="str">
        <f t="shared" si="38"/>
        <v>0</v>
      </c>
      <c r="BD242" t="str">
        <f t="shared" si="39"/>
        <v>0</v>
      </c>
      <c r="BK242" t="str">
        <f>IFERROR(VLOOKUP(B242,'[1]model_S-フレーム'!$F$5:$R$7000,13,1),"")</f>
        <v>E349955_01</v>
      </c>
      <c r="BL242" s="7">
        <f>IFERROR(VLOOKUP(B242,'[1]model_S-フレーム'!$F$5:$V$7000,17,1),"")</f>
        <v>0</v>
      </c>
      <c r="BM242" t="str" cm="1">
        <f t="array" ref="BM242">_xlfn.IFS(LEFT(G242,1)="L","外注品",LEFT(G242,1)="W","内製品",G242="","購買品")</f>
        <v>内製品</v>
      </c>
    </row>
    <row r="243" spans="1:65">
      <c r="A243" t="str">
        <f t="shared" si="31"/>
        <v>WG01</v>
      </c>
      <c r="B243" t="s">
        <v>377</v>
      </c>
      <c r="C243" t="s">
        <v>877</v>
      </c>
      <c r="D243" s="7"/>
      <c r="E243" s="7"/>
      <c r="G243" t="s">
        <v>1938</v>
      </c>
      <c r="H243" t="str" cm="1">
        <f t="array" ref="H243">IFERROR(_xlfn.IFS(B243="","",AND(B243="",G243=""),"",G243="","記載要"),"")</f>
        <v/>
      </c>
      <c r="K243" t="str">
        <f t="shared" si="32"/>
        <v>11WP00902484</v>
      </c>
      <c r="L243" s="3" t="str">
        <f t="shared" si="33"/>
        <v>2001/01/01</v>
      </c>
      <c r="M243" s="3" t="str">
        <f t="shared" si="34"/>
        <v>2199/12/31</v>
      </c>
      <c r="N243" t="str">
        <f t="shared" si="35"/>
        <v>11WP00902484</v>
      </c>
      <c r="O243">
        <v>5</v>
      </c>
      <c r="Q243" t="str" cm="1">
        <f t="array" ref="Q243">_xlfn.IFS(AND(C243="",G243=""),"",LEFT(G243,1)="L","記載要",LEFT(G243,1)="W","",AND(C243,G243=""),"記載要")</f>
        <v/>
      </c>
      <c r="R243" s="21" t="str">
        <f t="shared" si="40"/>
        <v/>
      </c>
      <c r="S243" s="21"/>
      <c r="Z243" s="8"/>
      <c r="AA243">
        <v>1</v>
      </c>
      <c r="AB243">
        <f t="shared" si="36"/>
        <v>0</v>
      </c>
      <c r="AC243">
        <v>1</v>
      </c>
      <c r="AF243">
        <v>1</v>
      </c>
      <c r="AG243" s="8"/>
      <c r="AH243" s="8"/>
      <c r="AK243" cm="1">
        <f t="array" ref="AK243">_xlfn.IFS(B243="","",LEFT(G243,1)="L",1,LEFT(G243,1)="W",1,AND(LEFT(B243,1)="H",G243=""),0)</f>
        <v>1</v>
      </c>
      <c r="AS243" t="str">
        <f t="shared" si="37"/>
        <v/>
      </c>
      <c r="AT243" t="s">
        <v>115</v>
      </c>
      <c r="AU243" t="str">
        <f t="shared" si="38"/>
        <v>0</v>
      </c>
      <c r="BD243" t="str">
        <f t="shared" si="39"/>
        <v>0</v>
      </c>
      <c r="BK243" t="str">
        <f>IFERROR(VLOOKUP(B243,'[1]model_S-フレーム'!$F$5:$R$7000,13,1),"")</f>
        <v>E349955_01</v>
      </c>
      <c r="BL243" s="7">
        <f>IFERROR(VLOOKUP(B243,'[1]model_S-フレーム'!$F$5:$V$7000,17,1),"")</f>
        <v>0</v>
      </c>
      <c r="BM243" t="str" cm="1">
        <f t="array" ref="BM243">_xlfn.IFS(LEFT(G243,1)="L","外注品",LEFT(G243,1)="W","内製品",G243="","購買品")</f>
        <v>内製品</v>
      </c>
    </row>
    <row r="244" spans="1:65">
      <c r="A244" t="str">
        <f t="shared" si="31"/>
        <v>WG01</v>
      </c>
      <c r="B244" t="s">
        <v>378</v>
      </c>
      <c r="C244" t="s">
        <v>877</v>
      </c>
      <c r="D244" s="7"/>
      <c r="E244" s="7"/>
      <c r="G244" t="s">
        <v>1938</v>
      </c>
      <c r="H244" t="str" cm="1">
        <f t="array" ref="H244">IFERROR(_xlfn.IFS(B244="","",AND(B244="",G244=""),"",G244="","記載要"),"")</f>
        <v/>
      </c>
      <c r="K244" t="str">
        <f t="shared" si="32"/>
        <v>11WP00902485</v>
      </c>
      <c r="L244" s="3" t="str">
        <f t="shared" si="33"/>
        <v>2001/01/01</v>
      </c>
      <c r="M244" s="3" t="str">
        <f t="shared" si="34"/>
        <v>2199/12/31</v>
      </c>
      <c r="N244" t="str">
        <f t="shared" si="35"/>
        <v>11WP00902485</v>
      </c>
      <c r="O244">
        <v>5</v>
      </c>
      <c r="Q244" t="str" cm="1">
        <f t="array" ref="Q244">_xlfn.IFS(AND(C244="",G244=""),"",LEFT(G244,1)="L","記載要",LEFT(G244,1)="W","",AND(C244,G244=""),"記載要")</f>
        <v/>
      </c>
      <c r="R244" s="21" t="str">
        <f t="shared" si="40"/>
        <v/>
      </c>
      <c r="S244" s="21"/>
      <c r="Z244" s="8"/>
      <c r="AA244">
        <v>1</v>
      </c>
      <c r="AB244">
        <f t="shared" si="36"/>
        <v>0</v>
      </c>
      <c r="AC244">
        <v>1</v>
      </c>
      <c r="AF244">
        <v>1</v>
      </c>
      <c r="AG244" s="8"/>
      <c r="AH244" s="8"/>
      <c r="AK244" cm="1">
        <f t="array" ref="AK244">_xlfn.IFS(B244="","",LEFT(G244,1)="L",1,LEFT(G244,1)="W",1,AND(LEFT(B244,1)="H",G244=""),0)</f>
        <v>1</v>
      </c>
      <c r="AS244" t="str">
        <f t="shared" si="37"/>
        <v/>
      </c>
      <c r="AT244" t="s">
        <v>115</v>
      </c>
      <c r="AU244" t="str">
        <f t="shared" si="38"/>
        <v>0</v>
      </c>
      <c r="BD244" t="str">
        <f t="shared" si="39"/>
        <v>0</v>
      </c>
      <c r="BK244" t="str">
        <f>IFERROR(VLOOKUP(B244,'[1]model_S-フレーム'!$F$5:$R$7000,13,1),"")</f>
        <v>E349955_01</v>
      </c>
      <c r="BL244" s="7">
        <f>IFERROR(VLOOKUP(B244,'[1]model_S-フレーム'!$F$5:$V$7000,17,1),"")</f>
        <v>0</v>
      </c>
      <c r="BM244" t="str" cm="1">
        <f t="array" ref="BM244">_xlfn.IFS(LEFT(G244,1)="L","外注品",LEFT(G244,1)="W","内製品",G244="","購買品")</f>
        <v>内製品</v>
      </c>
    </row>
    <row r="245" spans="1:65">
      <c r="A245" t="str">
        <f t="shared" si="31"/>
        <v>WG01</v>
      </c>
      <c r="B245" t="s">
        <v>379</v>
      </c>
      <c r="C245" t="s">
        <v>877</v>
      </c>
      <c r="D245" s="7"/>
      <c r="E245" s="7"/>
      <c r="G245" t="s">
        <v>1938</v>
      </c>
      <c r="H245" t="str" cm="1">
        <f t="array" ref="H245">IFERROR(_xlfn.IFS(B245="","",AND(B245="",G245=""),"",G245="","記載要"),"")</f>
        <v/>
      </c>
      <c r="K245" t="str">
        <f t="shared" si="32"/>
        <v>11WP00902486</v>
      </c>
      <c r="L245" s="3" t="str">
        <f t="shared" si="33"/>
        <v>2001/01/01</v>
      </c>
      <c r="M245" s="3" t="str">
        <f t="shared" si="34"/>
        <v>2199/12/31</v>
      </c>
      <c r="N245" t="str">
        <f t="shared" si="35"/>
        <v>11WP00902486</v>
      </c>
      <c r="O245">
        <v>5</v>
      </c>
      <c r="Q245" t="str" cm="1">
        <f t="array" ref="Q245">_xlfn.IFS(AND(C245="",G245=""),"",LEFT(G245,1)="L","記載要",LEFT(G245,1)="W","",AND(C245,G245=""),"記載要")</f>
        <v/>
      </c>
      <c r="R245" s="21" t="str">
        <f t="shared" si="40"/>
        <v/>
      </c>
      <c r="S245" s="21"/>
      <c r="Z245" s="8"/>
      <c r="AA245">
        <v>1</v>
      </c>
      <c r="AB245">
        <f t="shared" si="36"/>
        <v>0</v>
      </c>
      <c r="AC245">
        <v>1</v>
      </c>
      <c r="AF245">
        <v>1</v>
      </c>
      <c r="AG245" s="8"/>
      <c r="AH245" s="8"/>
      <c r="AK245" cm="1">
        <f t="array" ref="AK245">_xlfn.IFS(B245="","",LEFT(G245,1)="L",1,LEFT(G245,1)="W",1,AND(LEFT(B245,1)="H",G245=""),0)</f>
        <v>1</v>
      </c>
      <c r="AS245" t="str">
        <f t="shared" si="37"/>
        <v/>
      </c>
      <c r="AT245" t="s">
        <v>115</v>
      </c>
      <c r="AU245" t="str">
        <f t="shared" si="38"/>
        <v>0</v>
      </c>
      <c r="BD245" t="str">
        <f t="shared" si="39"/>
        <v>0</v>
      </c>
      <c r="BK245" t="str">
        <f>IFERROR(VLOOKUP(B245,'[1]model_S-フレーム'!$F$5:$R$7000,13,1),"")</f>
        <v>E349955_01</v>
      </c>
      <c r="BL245" s="7">
        <f>IFERROR(VLOOKUP(B245,'[1]model_S-フレーム'!$F$5:$V$7000,17,1),"")</f>
        <v>0</v>
      </c>
      <c r="BM245" t="str" cm="1">
        <f t="array" ref="BM245">_xlfn.IFS(LEFT(G245,1)="L","外注品",LEFT(G245,1)="W","内製品",G245="","購買品")</f>
        <v>内製品</v>
      </c>
    </row>
    <row r="246" spans="1:65">
      <c r="A246" t="str">
        <f t="shared" si="31"/>
        <v>WG01</v>
      </c>
      <c r="B246" t="s">
        <v>380</v>
      </c>
      <c r="C246" t="s">
        <v>877</v>
      </c>
      <c r="D246" s="7"/>
      <c r="E246" s="7"/>
      <c r="G246" t="s">
        <v>1938</v>
      </c>
      <c r="H246" t="str" cm="1">
        <f t="array" ref="H246">IFERROR(_xlfn.IFS(B246="","",AND(B246="",G246=""),"",G246="","記載要"),"")</f>
        <v/>
      </c>
      <c r="K246" t="str">
        <f t="shared" si="32"/>
        <v>11WP00902487</v>
      </c>
      <c r="L246" s="3" t="str">
        <f t="shared" si="33"/>
        <v>2001/01/01</v>
      </c>
      <c r="M246" s="3" t="str">
        <f t="shared" si="34"/>
        <v>2199/12/31</v>
      </c>
      <c r="N246" t="str">
        <f t="shared" si="35"/>
        <v>11WP00902487</v>
      </c>
      <c r="O246">
        <v>5</v>
      </c>
      <c r="Q246" t="str" cm="1">
        <f t="array" ref="Q246">_xlfn.IFS(AND(C246="",G246=""),"",LEFT(G246,1)="L","記載要",LEFT(G246,1)="W","",AND(C246,G246=""),"記載要")</f>
        <v/>
      </c>
      <c r="R246" s="21" t="str">
        <f t="shared" si="40"/>
        <v/>
      </c>
      <c r="S246" s="21"/>
      <c r="Z246" s="8"/>
      <c r="AA246">
        <v>1</v>
      </c>
      <c r="AB246">
        <f t="shared" si="36"/>
        <v>0</v>
      </c>
      <c r="AC246">
        <v>1</v>
      </c>
      <c r="AF246">
        <v>1</v>
      </c>
      <c r="AG246" s="8"/>
      <c r="AH246" s="8"/>
      <c r="AK246" cm="1">
        <f t="array" ref="AK246">_xlfn.IFS(B246="","",LEFT(G246,1)="L",1,LEFT(G246,1)="W",1,AND(LEFT(B246,1)="H",G246=""),0)</f>
        <v>1</v>
      </c>
      <c r="AS246" t="str">
        <f t="shared" si="37"/>
        <v/>
      </c>
      <c r="AT246" t="s">
        <v>115</v>
      </c>
      <c r="AU246" t="str">
        <f t="shared" si="38"/>
        <v>0</v>
      </c>
      <c r="BD246" t="str">
        <f t="shared" si="39"/>
        <v>0</v>
      </c>
      <c r="BK246" t="str">
        <f>IFERROR(VLOOKUP(B246,'[1]model_S-フレーム'!$F$5:$R$7000,13,1),"")</f>
        <v>E349955_01</v>
      </c>
      <c r="BL246" s="7">
        <f>IFERROR(VLOOKUP(B246,'[1]model_S-フレーム'!$F$5:$V$7000,17,1),"")</f>
        <v>0</v>
      </c>
      <c r="BM246" t="str" cm="1">
        <f t="array" ref="BM246">_xlfn.IFS(LEFT(G246,1)="L","外注品",LEFT(G246,1)="W","内製品",G246="","購買品")</f>
        <v>内製品</v>
      </c>
    </row>
    <row r="247" spans="1:65">
      <c r="A247" t="str">
        <f t="shared" si="31"/>
        <v>WG01</v>
      </c>
      <c r="B247" t="s">
        <v>381</v>
      </c>
      <c r="C247" t="s">
        <v>877</v>
      </c>
      <c r="D247" s="7"/>
      <c r="E247" s="7"/>
      <c r="G247" t="s">
        <v>1938</v>
      </c>
      <c r="H247" t="str" cm="1">
        <f t="array" ref="H247">IFERROR(_xlfn.IFS(B247="","",AND(B247="",G247=""),"",G247="","記載要"),"")</f>
        <v/>
      </c>
      <c r="K247" t="str">
        <f t="shared" si="32"/>
        <v>11WP00902488</v>
      </c>
      <c r="L247" s="3" t="str">
        <f t="shared" si="33"/>
        <v>2001/01/01</v>
      </c>
      <c r="M247" s="3" t="str">
        <f t="shared" si="34"/>
        <v>2199/12/31</v>
      </c>
      <c r="N247" t="str">
        <f t="shared" si="35"/>
        <v>11WP00902488</v>
      </c>
      <c r="O247">
        <v>5</v>
      </c>
      <c r="Q247" t="str" cm="1">
        <f t="array" ref="Q247">_xlfn.IFS(AND(C247="",G247=""),"",LEFT(G247,1)="L","記載要",LEFT(G247,1)="W","",AND(C247,G247=""),"記載要")</f>
        <v/>
      </c>
      <c r="R247" s="21" t="str">
        <f t="shared" si="40"/>
        <v/>
      </c>
      <c r="S247" s="21"/>
      <c r="Z247" s="8"/>
      <c r="AA247">
        <v>1</v>
      </c>
      <c r="AB247">
        <f t="shared" si="36"/>
        <v>0</v>
      </c>
      <c r="AC247">
        <v>1</v>
      </c>
      <c r="AF247">
        <v>1</v>
      </c>
      <c r="AG247" s="8"/>
      <c r="AH247" s="8"/>
      <c r="AK247" cm="1">
        <f t="array" ref="AK247">_xlfn.IFS(B247="","",LEFT(G247,1)="L",1,LEFT(G247,1)="W",1,AND(LEFT(B247,1)="H",G247=""),0)</f>
        <v>1</v>
      </c>
      <c r="AS247" t="str">
        <f t="shared" si="37"/>
        <v/>
      </c>
      <c r="AT247" t="s">
        <v>115</v>
      </c>
      <c r="AU247" t="str">
        <f t="shared" si="38"/>
        <v>0</v>
      </c>
      <c r="BD247" t="str">
        <f t="shared" si="39"/>
        <v>0</v>
      </c>
      <c r="BK247" t="str">
        <f>IFERROR(VLOOKUP(B247,'[1]model_S-フレーム'!$F$5:$R$7000,13,1),"")</f>
        <v>E349955_01</v>
      </c>
      <c r="BL247" s="7">
        <f>IFERROR(VLOOKUP(B247,'[1]model_S-フレーム'!$F$5:$V$7000,17,1),"")</f>
        <v>0</v>
      </c>
      <c r="BM247" t="str" cm="1">
        <f t="array" ref="BM247">_xlfn.IFS(LEFT(G247,1)="L","外注品",LEFT(G247,1)="W","内製品",G247="","購買品")</f>
        <v>内製品</v>
      </c>
    </row>
    <row r="248" spans="1:65">
      <c r="A248" t="str">
        <f t="shared" si="31"/>
        <v>WG01</v>
      </c>
      <c r="B248" t="s">
        <v>382</v>
      </c>
      <c r="C248" t="s">
        <v>877</v>
      </c>
      <c r="D248" s="7"/>
      <c r="E248" s="7"/>
      <c r="G248" t="s">
        <v>1938</v>
      </c>
      <c r="H248" t="str" cm="1">
        <f t="array" ref="H248">IFERROR(_xlfn.IFS(B248="","",AND(B248="",G248=""),"",G248="","記載要"),"")</f>
        <v/>
      </c>
      <c r="K248" t="str">
        <f t="shared" si="32"/>
        <v>11WP00902489</v>
      </c>
      <c r="L248" s="3" t="str">
        <f t="shared" si="33"/>
        <v>2001/01/01</v>
      </c>
      <c r="M248" s="3" t="str">
        <f t="shared" si="34"/>
        <v>2199/12/31</v>
      </c>
      <c r="N248" t="str">
        <f t="shared" si="35"/>
        <v>11WP00902489</v>
      </c>
      <c r="O248">
        <v>5</v>
      </c>
      <c r="Q248" t="str" cm="1">
        <f t="array" ref="Q248">_xlfn.IFS(AND(C248="",G248=""),"",LEFT(G248,1)="L","記載要",LEFT(G248,1)="W","",AND(C248,G248=""),"記載要")</f>
        <v/>
      </c>
      <c r="R248" s="21" t="str">
        <f t="shared" si="40"/>
        <v/>
      </c>
      <c r="S248" s="21"/>
      <c r="Z248" s="8"/>
      <c r="AA248">
        <v>1</v>
      </c>
      <c r="AB248">
        <f t="shared" si="36"/>
        <v>0</v>
      </c>
      <c r="AC248">
        <v>1</v>
      </c>
      <c r="AF248">
        <v>1</v>
      </c>
      <c r="AG248" s="8"/>
      <c r="AH248" s="8"/>
      <c r="AK248" cm="1">
        <f t="array" ref="AK248">_xlfn.IFS(B248="","",LEFT(G248,1)="L",1,LEFT(G248,1)="W",1,AND(LEFT(B248,1)="H",G248=""),0)</f>
        <v>1</v>
      </c>
      <c r="AS248" t="str">
        <f t="shared" si="37"/>
        <v/>
      </c>
      <c r="AT248" t="s">
        <v>115</v>
      </c>
      <c r="AU248" t="str">
        <f t="shared" si="38"/>
        <v>0</v>
      </c>
      <c r="BD248" t="str">
        <f t="shared" si="39"/>
        <v>0</v>
      </c>
      <c r="BK248" t="str">
        <f>IFERROR(VLOOKUP(B248,'[1]model_S-フレーム'!$F$5:$R$7000,13,1),"")</f>
        <v>E349955_01</v>
      </c>
      <c r="BL248" s="7">
        <f>IFERROR(VLOOKUP(B248,'[1]model_S-フレーム'!$F$5:$V$7000,17,1),"")</f>
        <v>0</v>
      </c>
      <c r="BM248" t="str" cm="1">
        <f t="array" ref="BM248">_xlfn.IFS(LEFT(G248,1)="L","外注品",LEFT(G248,1)="W","内製品",G248="","購買品")</f>
        <v>内製品</v>
      </c>
    </row>
    <row r="249" spans="1:65">
      <c r="A249" t="str">
        <f t="shared" si="31"/>
        <v>WG01</v>
      </c>
      <c r="B249" t="s">
        <v>383</v>
      </c>
      <c r="C249" t="s">
        <v>877</v>
      </c>
      <c r="D249" s="7"/>
      <c r="E249" s="7"/>
      <c r="G249" t="s">
        <v>1938</v>
      </c>
      <c r="H249" t="str" cm="1">
        <f t="array" ref="H249">IFERROR(_xlfn.IFS(B249="","",AND(B249="",G249=""),"",G249="","記載要"),"")</f>
        <v/>
      </c>
      <c r="K249" t="str">
        <f t="shared" si="32"/>
        <v>11WP00902490</v>
      </c>
      <c r="L249" s="3" t="str">
        <f t="shared" si="33"/>
        <v>2001/01/01</v>
      </c>
      <c r="M249" s="3" t="str">
        <f t="shared" si="34"/>
        <v>2199/12/31</v>
      </c>
      <c r="N249" t="str">
        <f t="shared" si="35"/>
        <v>11WP00902490</v>
      </c>
      <c r="O249">
        <v>5</v>
      </c>
      <c r="Q249" t="str" cm="1">
        <f t="array" ref="Q249">_xlfn.IFS(AND(C249="",G249=""),"",LEFT(G249,1)="L","記載要",LEFT(G249,1)="W","",AND(C249,G249=""),"記載要")</f>
        <v/>
      </c>
      <c r="R249" s="21" t="str">
        <f t="shared" si="40"/>
        <v/>
      </c>
      <c r="S249" s="21"/>
      <c r="Z249" s="8"/>
      <c r="AA249">
        <v>1</v>
      </c>
      <c r="AB249">
        <f t="shared" si="36"/>
        <v>0</v>
      </c>
      <c r="AC249">
        <v>1</v>
      </c>
      <c r="AF249">
        <v>1</v>
      </c>
      <c r="AG249" s="8"/>
      <c r="AH249" s="8"/>
      <c r="AK249" cm="1">
        <f t="array" ref="AK249">_xlfn.IFS(B249="","",LEFT(G249,1)="L",1,LEFT(G249,1)="W",1,AND(LEFT(B249,1)="H",G249=""),0)</f>
        <v>1</v>
      </c>
      <c r="AS249" t="str">
        <f t="shared" si="37"/>
        <v/>
      </c>
      <c r="AT249" t="s">
        <v>115</v>
      </c>
      <c r="AU249" t="str">
        <f t="shared" si="38"/>
        <v>0</v>
      </c>
      <c r="BD249" t="str">
        <f t="shared" si="39"/>
        <v>0</v>
      </c>
      <c r="BK249" t="str">
        <f>IFERROR(VLOOKUP(B249,'[1]model_S-フレーム'!$F$5:$R$7000,13,1),"")</f>
        <v>E349955_01</v>
      </c>
      <c r="BL249" s="7">
        <f>IFERROR(VLOOKUP(B249,'[1]model_S-フレーム'!$F$5:$V$7000,17,1),"")</f>
        <v>0</v>
      </c>
      <c r="BM249" t="str" cm="1">
        <f t="array" ref="BM249">_xlfn.IFS(LEFT(G249,1)="L","外注品",LEFT(G249,1)="W","内製品",G249="","購買品")</f>
        <v>内製品</v>
      </c>
    </row>
    <row r="250" spans="1:65">
      <c r="A250" t="str">
        <f t="shared" si="31"/>
        <v>WG01</v>
      </c>
      <c r="B250" t="s">
        <v>384</v>
      </c>
      <c r="C250" t="s">
        <v>878</v>
      </c>
      <c r="D250" s="7"/>
      <c r="E250" s="7"/>
      <c r="G250" t="s">
        <v>1938</v>
      </c>
      <c r="H250" t="str" cm="1">
        <f t="array" ref="H250">IFERROR(_xlfn.IFS(B250="","",AND(B250="",G250=""),"",G250="","記載要"),"")</f>
        <v/>
      </c>
      <c r="K250" t="str">
        <f t="shared" si="32"/>
        <v>11WP00902491</v>
      </c>
      <c r="L250" s="3" t="str">
        <f t="shared" si="33"/>
        <v>2001/01/01</v>
      </c>
      <c r="M250" s="3" t="str">
        <f t="shared" si="34"/>
        <v>2199/12/31</v>
      </c>
      <c r="N250" t="str">
        <f t="shared" si="35"/>
        <v>11WP00902491</v>
      </c>
      <c r="O250">
        <v>5</v>
      </c>
      <c r="Q250" t="str" cm="1">
        <f t="array" ref="Q250">_xlfn.IFS(AND(C250="",G250=""),"",LEFT(G250,1)="L","記載要",LEFT(G250,1)="W","",AND(C250,G250=""),"記載要")</f>
        <v/>
      </c>
      <c r="R250" s="21" t="str">
        <f t="shared" si="40"/>
        <v/>
      </c>
      <c r="S250" s="21"/>
      <c r="Z250" s="8"/>
      <c r="AA250">
        <v>1</v>
      </c>
      <c r="AB250">
        <f t="shared" si="36"/>
        <v>0</v>
      </c>
      <c r="AC250">
        <v>1</v>
      </c>
      <c r="AF250">
        <v>1</v>
      </c>
      <c r="AG250" s="8"/>
      <c r="AH250" s="8"/>
      <c r="AK250" cm="1">
        <f t="array" ref="AK250">_xlfn.IFS(B250="","",LEFT(G250,1)="L",1,LEFT(G250,1)="W",1,AND(LEFT(B250,1)="H",G250=""),0)</f>
        <v>1</v>
      </c>
      <c r="AS250" t="str">
        <f t="shared" si="37"/>
        <v/>
      </c>
      <c r="AT250" t="s">
        <v>115</v>
      </c>
      <c r="AU250" t="str">
        <f t="shared" si="38"/>
        <v>0</v>
      </c>
      <c r="BD250" t="str">
        <f t="shared" si="39"/>
        <v>0</v>
      </c>
      <c r="BK250" t="str">
        <f>IFERROR(VLOOKUP(B250,'[1]model_S-フレーム'!$F$5:$R$7000,13,1),"")</f>
        <v>E349955_01</v>
      </c>
      <c r="BL250" s="7">
        <f>IFERROR(VLOOKUP(B250,'[1]model_S-フレーム'!$F$5:$V$7000,17,1),"")</f>
        <v>0</v>
      </c>
      <c r="BM250" t="str" cm="1">
        <f t="array" ref="BM250">_xlfn.IFS(LEFT(G250,1)="L","外注品",LEFT(G250,1)="W","内製品",G250="","購買品")</f>
        <v>内製品</v>
      </c>
    </row>
    <row r="251" spans="1:65">
      <c r="A251" t="str">
        <f t="shared" si="31"/>
        <v>WG01</v>
      </c>
      <c r="B251" t="s">
        <v>385</v>
      </c>
      <c r="C251" t="s">
        <v>878</v>
      </c>
      <c r="D251" s="7"/>
      <c r="E251" s="7"/>
      <c r="G251" t="s">
        <v>1938</v>
      </c>
      <c r="H251" t="str" cm="1">
        <f t="array" ref="H251">IFERROR(_xlfn.IFS(B251="","",AND(B251="",G251=""),"",G251="","記載要"),"")</f>
        <v/>
      </c>
      <c r="K251" t="str">
        <f t="shared" si="32"/>
        <v>11WP00902492</v>
      </c>
      <c r="L251" s="3" t="str">
        <f t="shared" si="33"/>
        <v>2001/01/01</v>
      </c>
      <c r="M251" s="3" t="str">
        <f t="shared" si="34"/>
        <v>2199/12/31</v>
      </c>
      <c r="N251" t="str">
        <f t="shared" si="35"/>
        <v>11WP00902492</v>
      </c>
      <c r="O251">
        <v>5</v>
      </c>
      <c r="Q251" t="str" cm="1">
        <f t="array" ref="Q251">_xlfn.IFS(AND(C251="",G251=""),"",LEFT(G251,1)="L","記載要",LEFT(G251,1)="W","",AND(C251,G251=""),"記載要")</f>
        <v/>
      </c>
      <c r="R251" s="21" t="str">
        <f t="shared" si="40"/>
        <v/>
      </c>
      <c r="S251" s="21"/>
      <c r="Z251" s="8"/>
      <c r="AA251">
        <v>1</v>
      </c>
      <c r="AB251">
        <f t="shared" si="36"/>
        <v>0</v>
      </c>
      <c r="AC251">
        <v>1</v>
      </c>
      <c r="AF251">
        <v>1</v>
      </c>
      <c r="AG251" s="8"/>
      <c r="AH251" s="8"/>
      <c r="AK251" cm="1">
        <f t="array" ref="AK251">_xlfn.IFS(B251="","",LEFT(G251,1)="L",1,LEFT(G251,1)="W",1,AND(LEFT(B251,1)="H",G251=""),0)</f>
        <v>1</v>
      </c>
      <c r="AS251" t="str">
        <f t="shared" si="37"/>
        <v/>
      </c>
      <c r="AT251" t="s">
        <v>115</v>
      </c>
      <c r="AU251" t="str">
        <f t="shared" si="38"/>
        <v>0</v>
      </c>
      <c r="BD251" t="str">
        <f t="shared" si="39"/>
        <v>0</v>
      </c>
      <c r="BK251" t="str">
        <f>IFERROR(VLOOKUP(B251,'[1]model_S-フレーム'!$F$5:$R$7000,13,1),"")</f>
        <v>E349955_01</v>
      </c>
      <c r="BL251" s="7">
        <f>IFERROR(VLOOKUP(B251,'[1]model_S-フレーム'!$F$5:$V$7000,17,1),"")</f>
        <v>0</v>
      </c>
      <c r="BM251" t="str" cm="1">
        <f t="array" ref="BM251">_xlfn.IFS(LEFT(G251,1)="L","外注品",LEFT(G251,1)="W","内製品",G251="","購買品")</f>
        <v>内製品</v>
      </c>
    </row>
    <row r="252" spans="1:65">
      <c r="A252" t="str">
        <f t="shared" si="31"/>
        <v>WG01</v>
      </c>
      <c r="B252" t="s">
        <v>386</v>
      </c>
      <c r="C252" t="s">
        <v>878</v>
      </c>
      <c r="D252" s="7"/>
      <c r="E252" s="7"/>
      <c r="G252" t="s">
        <v>1938</v>
      </c>
      <c r="H252" t="str" cm="1">
        <f t="array" ref="H252">IFERROR(_xlfn.IFS(B252="","",AND(B252="",G252=""),"",G252="","記載要"),"")</f>
        <v/>
      </c>
      <c r="K252" t="str">
        <f t="shared" si="32"/>
        <v>11WP00902493</v>
      </c>
      <c r="L252" s="3" t="str">
        <f t="shared" si="33"/>
        <v>2001/01/01</v>
      </c>
      <c r="M252" s="3" t="str">
        <f t="shared" si="34"/>
        <v>2199/12/31</v>
      </c>
      <c r="N252" t="str">
        <f t="shared" si="35"/>
        <v>11WP00902493</v>
      </c>
      <c r="O252">
        <v>5</v>
      </c>
      <c r="Q252" t="str" cm="1">
        <f t="array" ref="Q252">_xlfn.IFS(AND(C252="",G252=""),"",LEFT(G252,1)="L","記載要",LEFT(G252,1)="W","",AND(C252,G252=""),"記載要")</f>
        <v/>
      </c>
      <c r="R252" s="21" t="str">
        <f t="shared" si="40"/>
        <v/>
      </c>
      <c r="S252" s="21"/>
      <c r="Z252" s="8"/>
      <c r="AA252">
        <v>1</v>
      </c>
      <c r="AB252">
        <f t="shared" si="36"/>
        <v>0</v>
      </c>
      <c r="AC252">
        <v>1</v>
      </c>
      <c r="AF252">
        <v>1</v>
      </c>
      <c r="AG252" s="8"/>
      <c r="AH252" s="8"/>
      <c r="AK252" cm="1">
        <f t="array" ref="AK252">_xlfn.IFS(B252="","",LEFT(G252,1)="L",1,LEFT(G252,1)="W",1,AND(LEFT(B252,1)="H",G252=""),0)</f>
        <v>1</v>
      </c>
      <c r="AS252" t="str">
        <f t="shared" si="37"/>
        <v/>
      </c>
      <c r="AT252" t="s">
        <v>115</v>
      </c>
      <c r="AU252" t="str">
        <f t="shared" si="38"/>
        <v>0</v>
      </c>
      <c r="BD252" t="str">
        <f t="shared" si="39"/>
        <v>0</v>
      </c>
      <c r="BK252" t="str">
        <f>IFERROR(VLOOKUP(B252,'[1]model_S-フレーム'!$F$5:$R$7000,13,1),"")</f>
        <v>E349955_01</v>
      </c>
      <c r="BL252" s="7">
        <f>IFERROR(VLOOKUP(B252,'[1]model_S-フレーム'!$F$5:$V$7000,17,1),"")</f>
        <v>0</v>
      </c>
      <c r="BM252" t="str" cm="1">
        <f t="array" ref="BM252">_xlfn.IFS(LEFT(G252,1)="L","外注品",LEFT(G252,1)="W","内製品",G252="","購買品")</f>
        <v>内製品</v>
      </c>
    </row>
    <row r="253" spans="1:65">
      <c r="A253" t="str">
        <f t="shared" si="31"/>
        <v>WG01</v>
      </c>
      <c r="B253" t="s">
        <v>387</v>
      </c>
      <c r="C253" t="s">
        <v>878</v>
      </c>
      <c r="D253" s="7"/>
      <c r="E253" s="7"/>
      <c r="G253" t="s">
        <v>1938</v>
      </c>
      <c r="H253" t="str" cm="1">
        <f t="array" ref="H253">IFERROR(_xlfn.IFS(B253="","",AND(B253="",G253=""),"",G253="","記載要"),"")</f>
        <v/>
      </c>
      <c r="K253" t="str">
        <f t="shared" si="32"/>
        <v>11WP00902494</v>
      </c>
      <c r="L253" s="3" t="str">
        <f t="shared" si="33"/>
        <v>2001/01/01</v>
      </c>
      <c r="M253" s="3" t="str">
        <f t="shared" si="34"/>
        <v>2199/12/31</v>
      </c>
      <c r="N253" t="str">
        <f t="shared" si="35"/>
        <v>11WP00902494</v>
      </c>
      <c r="O253">
        <v>5</v>
      </c>
      <c r="Q253" t="str" cm="1">
        <f t="array" ref="Q253">_xlfn.IFS(AND(C253="",G253=""),"",LEFT(G253,1)="L","記載要",LEFT(G253,1)="W","",AND(C253,G253=""),"記載要")</f>
        <v/>
      </c>
      <c r="R253" s="21" t="str">
        <f t="shared" si="40"/>
        <v/>
      </c>
      <c r="S253" s="21"/>
      <c r="Z253" s="8"/>
      <c r="AA253">
        <v>1</v>
      </c>
      <c r="AB253">
        <f t="shared" si="36"/>
        <v>0</v>
      </c>
      <c r="AC253">
        <v>1</v>
      </c>
      <c r="AF253">
        <v>1</v>
      </c>
      <c r="AG253" s="8"/>
      <c r="AH253" s="8"/>
      <c r="AK253" cm="1">
        <f t="array" ref="AK253">_xlfn.IFS(B253="","",LEFT(G253,1)="L",1,LEFT(G253,1)="W",1,AND(LEFT(B253,1)="H",G253=""),0)</f>
        <v>1</v>
      </c>
      <c r="AS253" t="str">
        <f t="shared" si="37"/>
        <v/>
      </c>
      <c r="AT253" t="s">
        <v>115</v>
      </c>
      <c r="AU253" t="str">
        <f t="shared" si="38"/>
        <v>0</v>
      </c>
      <c r="BD253" t="str">
        <f t="shared" si="39"/>
        <v>0</v>
      </c>
      <c r="BK253" t="str">
        <f>IFERROR(VLOOKUP(B253,'[1]model_S-フレーム'!$F$5:$R$7000,13,1),"")</f>
        <v>E349955_01</v>
      </c>
      <c r="BL253" s="7">
        <f>IFERROR(VLOOKUP(B253,'[1]model_S-フレーム'!$F$5:$V$7000,17,1),"")</f>
        <v>0</v>
      </c>
      <c r="BM253" t="str" cm="1">
        <f t="array" ref="BM253">_xlfn.IFS(LEFT(G253,1)="L","外注品",LEFT(G253,1)="W","内製品",G253="","購買品")</f>
        <v>内製品</v>
      </c>
    </row>
    <row r="254" spans="1:65">
      <c r="A254" t="str">
        <f t="shared" si="31"/>
        <v>WG01</v>
      </c>
      <c r="B254" t="s">
        <v>388</v>
      </c>
      <c r="C254" t="s">
        <v>878</v>
      </c>
      <c r="D254" s="7"/>
      <c r="E254" s="7"/>
      <c r="G254" t="s">
        <v>1938</v>
      </c>
      <c r="H254" t="str" cm="1">
        <f t="array" ref="H254">IFERROR(_xlfn.IFS(B254="","",AND(B254="",G254=""),"",G254="","記載要"),"")</f>
        <v/>
      </c>
      <c r="K254" t="str">
        <f t="shared" si="32"/>
        <v>11WP00902495</v>
      </c>
      <c r="L254" s="3" t="str">
        <f t="shared" si="33"/>
        <v>2001/01/01</v>
      </c>
      <c r="M254" s="3" t="str">
        <f t="shared" si="34"/>
        <v>2199/12/31</v>
      </c>
      <c r="N254" t="str">
        <f t="shared" si="35"/>
        <v>11WP00902495</v>
      </c>
      <c r="O254">
        <v>5</v>
      </c>
      <c r="Q254" t="str" cm="1">
        <f t="array" ref="Q254">_xlfn.IFS(AND(C254="",G254=""),"",LEFT(G254,1)="L","記載要",LEFT(G254,1)="W","",AND(C254,G254=""),"記載要")</f>
        <v/>
      </c>
      <c r="R254" s="21" t="str">
        <f t="shared" si="40"/>
        <v/>
      </c>
      <c r="S254" s="21"/>
      <c r="Z254" s="8"/>
      <c r="AA254">
        <v>1</v>
      </c>
      <c r="AB254">
        <f t="shared" si="36"/>
        <v>0</v>
      </c>
      <c r="AC254">
        <v>1</v>
      </c>
      <c r="AF254">
        <v>1</v>
      </c>
      <c r="AG254" s="8"/>
      <c r="AH254" s="8"/>
      <c r="AK254" cm="1">
        <f t="array" ref="AK254">_xlfn.IFS(B254="","",LEFT(G254,1)="L",1,LEFT(G254,1)="W",1,AND(LEFT(B254,1)="H",G254=""),0)</f>
        <v>1</v>
      </c>
      <c r="AS254" t="str">
        <f t="shared" si="37"/>
        <v/>
      </c>
      <c r="AT254" t="s">
        <v>115</v>
      </c>
      <c r="AU254" t="str">
        <f t="shared" si="38"/>
        <v>0</v>
      </c>
      <c r="BD254" t="str">
        <f t="shared" si="39"/>
        <v>0</v>
      </c>
      <c r="BK254" t="str">
        <f>IFERROR(VLOOKUP(B254,'[1]model_S-フレーム'!$F$5:$R$7000,13,1),"")</f>
        <v>E349955_01</v>
      </c>
      <c r="BL254" s="7">
        <f>IFERROR(VLOOKUP(B254,'[1]model_S-フレーム'!$F$5:$V$7000,17,1),"")</f>
        <v>0</v>
      </c>
      <c r="BM254" t="str" cm="1">
        <f t="array" ref="BM254">_xlfn.IFS(LEFT(G254,1)="L","外注品",LEFT(G254,1)="W","内製品",G254="","購買品")</f>
        <v>内製品</v>
      </c>
    </row>
    <row r="255" spans="1:65">
      <c r="A255" t="str">
        <f t="shared" si="31"/>
        <v>WG01</v>
      </c>
      <c r="B255" t="s">
        <v>389</v>
      </c>
      <c r="C255" t="s">
        <v>878</v>
      </c>
      <c r="D255" s="7"/>
      <c r="E255" s="7"/>
      <c r="G255" t="s">
        <v>1938</v>
      </c>
      <c r="H255" t="str" cm="1">
        <f t="array" ref="H255">IFERROR(_xlfn.IFS(B255="","",AND(B255="",G255=""),"",G255="","記載要"),"")</f>
        <v/>
      </c>
      <c r="K255" t="str">
        <f t="shared" si="32"/>
        <v>11WP00902496</v>
      </c>
      <c r="L255" s="3" t="str">
        <f t="shared" si="33"/>
        <v>2001/01/01</v>
      </c>
      <c r="M255" s="3" t="str">
        <f t="shared" si="34"/>
        <v>2199/12/31</v>
      </c>
      <c r="N255" t="str">
        <f t="shared" si="35"/>
        <v>11WP00902496</v>
      </c>
      <c r="O255">
        <v>5</v>
      </c>
      <c r="Q255" t="str" cm="1">
        <f t="array" ref="Q255">_xlfn.IFS(AND(C255="",G255=""),"",LEFT(G255,1)="L","記載要",LEFT(G255,1)="W","",AND(C255,G255=""),"記載要")</f>
        <v/>
      </c>
      <c r="R255" s="21" t="str">
        <f t="shared" si="40"/>
        <v/>
      </c>
      <c r="S255" s="21"/>
      <c r="Z255" s="8"/>
      <c r="AA255">
        <v>1</v>
      </c>
      <c r="AB255">
        <f t="shared" si="36"/>
        <v>0</v>
      </c>
      <c r="AC255">
        <v>1</v>
      </c>
      <c r="AF255">
        <v>1</v>
      </c>
      <c r="AG255" s="8"/>
      <c r="AH255" s="8"/>
      <c r="AK255" cm="1">
        <f t="array" ref="AK255">_xlfn.IFS(B255="","",LEFT(G255,1)="L",1,LEFT(G255,1)="W",1,AND(LEFT(B255,1)="H",G255=""),0)</f>
        <v>1</v>
      </c>
      <c r="AS255" t="str">
        <f t="shared" si="37"/>
        <v/>
      </c>
      <c r="AT255" t="s">
        <v>115</v>
      </c>
      <c r="AU255" t="str">
        <f t="shared" si="38"/>
        <v>0</v>
      </c>
      <c r="BD255" t="str">
        <f t="shared" si="39"/>
        <v>0</v>
      </c>
      <c r="BK255" t="str">
        <f>IFERROR(VLOOKUP(B255,'[1]model_S-フレーム'!$F$5:$R$7000,13,1),"")</f>
        <v>E349955_01</v>
      </c>
      <c r="BL255" s="7">
        <f>IFERROR(VLOOKUP(B255,'[1]model_S-フレーム'!$F$5:$V$7000,17,1),"")</f>
        <v>0</v>
      </c>
      <c r="BM255" t="str" cm="1">
        <f t="array" ref="BM255">_xlfn.IFS(LEFT(G255,1)="L","外注品",LEFT(G255,1)="W","内製品",G255="","購買品")</f>
        <v>内製品</v>
      </c>
    </row>
    <row r="256" spans="1:65">
      <c r="A256" t="str">
        <f t="shared" si="31"/>
        <v>WG01</v>
      </c>
      <c r="B256" t="s">
        <v>390</v>
      </c>
      <c r="C256" t="s">
        <v>878</v>
      </c>
      <c r="D256" s="7"/>
      <c r="E256" s="7"/>
      <c r="G256" t="s">
        <v>1938</v>
      </c>
      <c r="H256" t="str" cm="1">
        <f t="array" ref="H256">IFERROR(_xlfn.IFS(B256="","",AND(B256="",G256=""),"",G256="","記載要"),"")</f>
        <v/>
      </c>
      <c r="K256" t="str">
        <f t="shared" si="32"/>
        <v>11WP00902497</v>
      </c>
      <c r="L256" s="3" t="str">
        <f t="shared" si="33"/>
        <v>2001/01/01</v>
      </c>
      <c r="M256" s="3" t="str">
        <f t="shared" si="34"/>
        <v>2199/12/31</v>
      </c>
      <c r="N256" t="str">
        <f t="shared" si="35"/>
        <v>11WP00902497</v>
      </c>
      <c r="O256">
        <v>5</v>
      </c>
      <c r="Q256" t="str" cm="1">
        <f t="array" ref="Q256">_xlfn.IFS(AND(C256="",G256=""),"",LEFT(G256,1)="L","記載要",LEFT(G256,1)="W","",AND(C256,G256=""),"記載要")</f>
        <v/>
      </c>
      <c r="R256" s="21" t="str">
        <f t="shared" si="40"/>
        <v/>
      </c>
      <c r="S256" s="21"/>
      <c r="Z256" s="8"/>
      <c r="AA256">
        <v>1</v>
      </c>
      <c r="AB256">
        <f t="shared" si="36"/>
        <v>0</v>
      </c>
      <c r="AC256">
        <v>1</v>
      </c>
      <c r="AF256">
        <v>1</v>
      </c>
      <c r="AG256" s="8"/>
      <c r="AH256" s="8"/>
      <c r="AK256" cm="1">
        <f t="array" ref="AK256">_xlfn.IFS(B256="","",LEFT(G256,1)="L",1,LEFT(G256,1)="W",1,AND(LEFT(B256,1)="H",G256=""),0)</f>
        <v>1</v>
      </c>
      <c r="AS256" t="str">
        <f t="shared" si="37"/>
        <v/>
      </c>
      <c r="AT256" t="s">
        <v>115</v>
      </c>
      <c r="AU256" t="str">
        <f t="shared" si="38"/>
        <v>0</v>
      </c>
      <c r="BD256" t="str">
        <f t="shared" si="39"/>
        <v>0</v>
      </c>
      <c r="BK256" t="str">
        <f>IFERROR(VLOOKUP(B256,'[1]model_S-フレーム'!$F$5:$R$7000,13,1),"")</f>
        <v>E349955_01</v>
      </c>
      <c r="BL256" s="7">
        <f>IFERROR(VLOOKUP(B256,'[1]model_S-フレーム'!$F$5:$V$7000,17,1),"")</f>
        <v>0</v>
      </c>
      <c r="BM256" t="str" cm="1">
        <f t="array" ref="BM256">_xlfn.IFS(LEFT(G256,1)="L","外注品",LEFT(G256,1)="W","内製品",G256="","購買品")</f>
        <v>内製品</v>
      </c>
    </row>
    <row r="257" spans="1:65">
      <c r="A257" t="str">
        <f t="shared" si="31"/>
        <v>WG01</v>
      </c>
      <c r="B257" t="s">
        <v>391</v>
      </c>
      <c r="C257" t="s">
        <v>878</v>
      </c>
      <c r="D257" s="7"/>
      <c r="E257" s="7"/>
      <c r="G257" t="s">
        <v>1938</v>
      </c>
      <c r="H257" t="str" cm="1">
        <f t="array" ref="H257">IFERROR(_xlfn.IFS(B257="","",AND(B257="",G257=""),"",G257="","記載要"),"")</f>
        <v/>
      </c>
      <c r="K257" t="str">
        <f t="shared" si="32"/>
        <v>11WP00902498</v>
      </c>
      <c r="L257" s="3" t="str">
        <f t="shared" si="33"/>
        <v>2001/01/01</v>
      </c>
      <c r="M257" s="3" t="str">
        <f t="shared" si="34"/>
        <v>2199/12/31</v>
      </c>
      <c r="N257" t="str">
        <f t="shared" si="35"/>
        <v>11WP00902498</v>
      </c>
      <c r="O257">
        <v>5</v>
      </c>
      <c r="Q257" t="str" cm="1">
        <f t="array" ref="Q257">_xlfn.IFS(AND(C257="",G257=""),"",LEFT(G257,1)="L","記載要",LEFT(G257,1)="W","",AND(C257,G257=""),"記載要")</f>
        <v/>
      </c>
      <c r="R257" s="21" t="str">
        <f t="shared" si="40"/>
        <v/>
      </c>
      <c r="S257" s="21"/>
      <c r="Z257" s="8"/>
      <c r="AA257">
        <v>1</v>
      </c>
      <c r="AB257">
        <f t="shared" si="36"/>
        <v>0</v>
      </c>
      <c r="AC257">
        <v>1</v>
      </c>
      <c r="AF257">
        <v>1</v>
      </c>
      <c r="AG257" s="8"/>
      <c r="AH257" s="8"/>
      <c r="AK257" cm="1">
        <f t="array" ref="AK257">_xlfn.IFS(B257="","",LEFT(G257,1)="L",1,LEFT(G257,1)="W",1,AND(LEFT(B257,1)="H",G257=""),0)</f>
        <v>1</v>
      </c>
      <c r="AS257" t="str">
        <f t="shared" si="37"/>
        <v/>
      </c>
      <c r="AT257" t="s">
        <v>115</v>
      </c>
      <c r="AU257" t="str">
        <f t="shared" si="38"/>
        <v>0</v>
      </c>
      <c r="BD257" t="str">
        <f t="shared" si="39"/>
        <v>0</v>
      </c>
      <c r="BK257" t="str">
        <f>IFERROR(VLOOKUP(B257,'[1]model_S-フレーム'!$F$5:$R$7000,13,1),"")</f>
        <v>E349955_01</v>
      </c>
      <c r="BL257" s="7">
        <f>IFERROR(VLOOKUP(B257,'[1]model_S-フレーム'!$F$5:$V$7000,17,1),"")</f>
        <v>0</v>
      </c>
      <c r="BM257" t="str" cm="1">
        <f t="array" ref="BM257">_xlfn.IFS(LEFT(G257,1)="L","外注品",LEFT(G257,1)="W","内製品",G257="","購買品")</f>
        <v>内製品</v>
      </c>
    </row>
    <row r="258" spans="1:65">
      <c r="A258" t="str">
        <f t="shared" si="31"/>
        <v>WG01</v>
      </c>
      <c r="B258" t="s">
        <v>392</v>
      </c>
      <c r="C258" t="s">
        <v>878</v>
      </c>
      <c r="D258" s="7"/>
      <c r="E258" s="7"/>
      <c r="G258" t="s">
        <v>1938</v>
      </c>
      <c r="H258" t="str" cm="1">
        <f t="array" ref="H258">IFERROR(_xlfn.IFS(B258="","",AND(B258="",G258=""),"",G258="","記載要"),"")</f>
        <v/>
      </c>
      <c r="K258" t="str">
        <f t="shared" si="32"/>
        <v>11WP00902499</v>
      </c>
      <c r="L258" s="3" t="str">
        <f t="shared" si="33"/>
        <v>2001/01/01</v>
      </c>
      <c r="M258" s="3" t="str">
        <f t="shared" si="34"/>
        <v>2199/12/31</v>
      </c>
      <c r="N258" t="str">
        <f t="shared" si="35"/>
        <v>11WP00902499</v>
      </c>
      <c r="O258">
        <v>5</v>
      </c>
      <c r="Q258" t="str" cm="1">
        <f t="array" ref="Q258">_xlfn.IFS(AND(C258="",G258=""),"",LEFT(G258,1)="L","記載要",LEFT(G258,1)="W","",AND(C258,G258=""),"記載要")</f>
        <v/>
      </c>
      <c r="R258" s="21" t="str">
        <f t="shared" si="40"/>
        <v/>
      </c>
      <c r="S258" s="21"/>
      <c r="Z258" s="8"/>
      <c r="AA258">
        <v>1</v>
      </c>
      <c r="AB258">
        <f t="shared" si="36"/>
        <v>0</v>
      </c>
      <c r="AC258">
        <v>1</v>
      </c>
      <c r="AF258">
        <v>1</v>
      </c>
      <c r="AG258" s="8"/>
      <c r="AH258" s="8"/>
      <c r="AK258" cm="1">
        <f t="array" ref="AK258">_xlfn.IFS(B258="","",LEFT(G258,1)="L",1,LEFT(G258,1)="W",1,AND(LEFT(B258,1)="H",G258=""),0)</f>
        <v>1</v>
      </c>
      <c r="AS258" t="str">
        <f t="shared" si="37"/>
        <v/>
      </c>
      <c r="AT258" t="s">
        <v>115</v>
      </c>
      <c r="AU258" t="str">
        <f t="shared" si="38"/>
        <v>0</v>
      </c>
      <c r="BD258" t="str">
        <f t="shared" si="39"/>
        <v>0</v>
      </c>
      <c r="BK258" t="str">
        <f>IFERROR(VLOOKUP(B258,'[1]model_S-フレーム'!$F$5:$R$7000,13,1),"")</f>
        <v>E349955_01</v>
      </c>
      <c r="BL258" s="7">
        <f>IFERROR(VLOOKUP(B258,'[1]model_S-フレーム'!$F$5:$V$7000,17,1),"")</f>
        <v>0</v>
      </c>
      <c r="BM258" t="str" cm="1">
        <f t="array" ref="BM258">_xlfn.IFS(LEFT(G258,1)="L","外注品",LEFT(G258,1)="W","内製品",G258="","購買品")</f>
        <v>内製品</v>
      </c>
    </row>
    <row r="259" spans="1:65">
      <c r="A259" t="str">
        <f t="shared" ref="A259:A322" si="41">IF(B259="","","WG01")</f>
        <v>WG01</v>
      </c>
      <c r="B259" t="s">
        <v>393</v>
      </c>
      <c r="C259" t="s">
        <v>881</v>
      </c>
      <c r="D259" s="7"/>
      <c r="E259" s="7"/>
      <c r="G259" t="s">
        <v>1938</v>
      </c>
      <c r="H259" t="str" cm="1">
        <f t="array" ref="H259">IFERROR(_xlfn.IFS(B259="","",AND(B259="",G259=""),"",G259="","記載要"),"")</f>
        <v/>
      </c>
      <c r="K259" t="str">
        <f t="shared" ref="K259:K322" si="42">IF(G259="","","11"&amp;G259&amp;RIGHT(B259,5))</f>
        <v>11WP00902500</v>
      </c>
      <c r="L259" s="3" t="str">
        <f t="shared" ref="L259:L322" si="43">IF(B259="","","2001/01/01")</f>
        <v>2001/01/01</v>
      </c>
      <c r="M259" s="3" t="str">
        <f t="shared" ref="M259:M322" si="44">IF(C259="","","2199/12/31")</f>
        <v>2199/12/31</v>
      </c>
      <c r="N259" t="str">
        <f t="shared" ref="N259:N322" si="45">IF(LEFT(G259,1)="W",K259,"")</f>
        <v>11WP00902500</v>
      </c>
      <c r="O259">
        <v>5</v>
      </c>
      <c r="Q259" t="str" cm="1">
        <f t="array" ref="Q259">_xlfn.IFS(AND(C259="",G259=""),"",LEFT(G259,1)="L","記載要",LEFT(G259,1)="W","",AND(C259,G259=""),"記載要")</f>
        <v/>
      </c>
      <c r="R259" s="21" t="str">
        <f t="shared" si="40"/>
        <v/>
      </c>
      <c r="S259" s="21"/>
      <c r="Z259" s="8"/>
      <c r="AA259">
        <v>1</v>
      </c>
      <c r="AB259">
        <f t="shared" ref="AB259:AB322" si="46">IF(B259="","",0)</f>
        <v>0</v>
      </c>
      <c r="AC259">
        <v>1</v>
      </c>
      <c r="AF259">
        <v>1</v>
      </c>
      <c r="AG259" s="8"/>
      <c r="AH259" s="8"/>
      <c r="AK259" cm="1">
        <f t="array" ref="AK259">_xlfn.IFS(B259="","",LEFT(G259,1)="L",1,LEFT(G259,1)="W",1,AND(LEFT(B259,1)="H",G259=""),0)</f>
        <v>1</v>
      </c>
      <c r="AS259" t="str">
        <f t="shared" ref="AS259:AS322" si="47">IF(Q259="","",1)</f>
        <v/>
      </c>
      <c r="AT259" t="s">
        <v>115</v>
      </c>
      <c r="AU259" t="str">
        <f t="shared" ref="AU259:AU322" si="48">IF(B259="","","0")</f>
        <v>0</v>
      </c>
      <c r="BD259" t="str">
        <f t="shared" ref="BD259:BD322" si="49">IF(B259="","","0")</f>
        <v>0</v>
      </c>
      <c r="BK259" t="str">
        <f>IFERROR(VLOOKUP(B259,'[1]model_S-フレーム'!$F$5:$R$7000,13,1),"")</f>
        <v>E349955_01</v>
      </c>
      <c r="BL259" s="7">
        <f>IFERROR(VLOOKUP(B259,'[1]model_S-フレーム'!$F$5:$V$7000,17,1),"")</f>
        <v>0</v>
      </c>
      <c r="BM259" t="str" cm="1">
        <f t="array" ref="BM259">_xlfn.IFS(LEFT(G259,1)="L","外注品",LEFT(G259,1)="W","内製品",G259="","購買品")</f>
        <v>内製品</v>
      </c>
    </row>
    <row r="260" spans="1:65">
      <c r="A260" t="str">
        <f t="shared" si="41"/>
        <v>WG01</v>
      </c>
      <c r="B260" t="s">
        <v>394</v>
      </c>
      <c r="C260" t="s">
        <v>881</v>
      </c>
      <c r="D260" s="7"/>
      <c r="E260" s="7"/>
      <c r="G260" t="s">
        <v>1938</v>
      </c>
      <c r="H260" t="str" cm="1">
        <f t="array" ref="H260">IFERROR(_xlfn.IFS(B260="","",AND(B260="",G260=""),"",G260="","記載要"),"")</f>
        <v/>
      </c>
      <c r="K260" t="str">
        <f t="shared" si="42"/>
        <v>11WP00902501</v>
      </c>
      <c r="L260" s="3" t="str">
        <f t="shared" si="43"/>
        <v>2001/01/01</v>
      </c>
      <c r="M260" s="3" t="str">
        <f t="shared" si="44"/>
        <v>2199/12/31</v>
      </c>
      <c r="N260" t="str">
        <f t="shared" si="45"/>
        <v>11WP00902501</v>
      </c>
      <c r="O260">
        <v>5</v>
      </c>
      <c r="Q260" t="str" cm="1">
        <f t="array" ref="Q260">_xlfn.IFS(AND(C260="",G260=""),"",LEFT(G260,1)="L","記載要",LEFT(G260,1)="W","",AND(C260,G260=""),"記載要")</f>
        <v/>
      </c>
      <c r="R260" s="21" t="str">
        <f t="shared" ref="R260:R323" si="50">IF(H260="","","記載要")</f>
        <v/>
      </c>
      <c r="S260" s="21"/>
      <c r="Z260" s="8"/>
      <c r="AA260">
        <v>1</v>
      </c>
      <c r="AB260">
        <f t="shared" si="46"/>
        <v>0</v>
      </c>
      <c r="AC260">
        <v>1</v>
      </c>
      <c r="AF260">
        <v>1</v>
      </c>
      <c r="AG260" s="8"/>
      <c r="AH260" s="8"/>
      <c r="AK260" cm="1">
        <f t="array" ref="AK260">_xlfn.IFS(B260="","",LEFT(G260,1)="L",1,LEFT(G260,1)="W",1,AND(LEFT(B260,1)="H",G260=""),0)</f>
        <v>1</v>
      </c>
      <c r="AS260" t="str">
        <f t="shared" si="47"/>
        <v/>
      </c>
      <c r="AT260" t="s">
        <v>115</v>
      </c>
      <c r="AU260" t="str">
        <f t="shared" si="48"/>
        <v>0</v>
      </c>
      <c r="BD260" t="str">
        <f t="shared" si="49"/>
        <v>0</v>
      </c>
      <c r="BK260" t="str">
        <f>IFERROR(VLOOKUP(B260,'[1]model_S-フレーム'!$F$5:$R$7000,13,1),"")</f>
        <v>E349955_01</v>
      </c>
      <c r="BL260" s="7">
        <f>IFERROR(VLOOKUP(B260,'[1]model_S-フレーム'!$F$5:$V$7000,17,1),"")</f>
        <v>0</v>
      </c>
      <c r="BM260" t="str" cm="1">
        <f t="array" ref="BM260">_xlfn.IFS(LEFT(G260,1)="L","外注品",LEFT(G260,1)="W","内製品",G260="","購買品")</f>
        <v>内製品</v>
      </c>
    </row>
    <row r="261" spans="1:65">
      <c r="A261" t="str">
        <f t="shared" si="41"/>
        <v>WG01</v>
      </c>
      <c r="B261" t="s">
        <v>395</v>
      </c>
      <c r="C261" t="s">
        <v>881</v>
      </c>
      <c r="D261" s="7"/>
      <c r="E261" s="7"/>
      <c r="G261" t="s">
        <v>1938</v>
      </c>
      <c r="H261" t="str" cm="1">
        <f t="array" ref="H261">IFERROR(_xlfn.IFS(B261="","",AND(B261="",G261=""),"",G261="","記載要"),"")</f>
        <v/>
      </c>
      <c r="K261" t="str">
        <f t="shared" si="42"/>
        <v>11WP00902502</v>
      </c>
      <c r="L261" s="3" t="str">
        <f t="shared" si="43"/>
        <v>2001/01/01</v>
      </c>
      <c r="M261" s="3" t="str">
        <f t="shared" si="44"/>
        <v>2199/12/31</v>
      </c>
      <c r="N261" t="str">
        <f t="shared" si="45"/>
        <v>11WP00902502</v>
      </c>
      <c r="O261">
        <v>5</v>
      </c>
      <c r="Q261" t="str" cm="1">
        <f t="array" ref="Q261">_xlfn.IFS(AND(C261="",G261=""),"",LEFT(G261,1)="L","記載要",LEFT(G261,1)="W","",AND(C261,G261=""),"記載要")</f>
        <v/>
      </c>
      <c r="R261" s="21" t="str">
        <f t="shared" si="50"/>
        <v/>
      </c>
      <c r="S261" s="21"/>
      <c r="Z261" s="8"/>
      <c r="AA261">
        <v>1</v>
      </c>
      <c r="AB261">
        <f t="shared" si="46"/>
        <v>0</v>
      </c>
      <c r="AC261">
        <v>1</v>
      </c>
      <c r="AF261">
        <v>1</v>
      </c>
      <c r="AG261" s="8"/>
      <c r="AH261" s="8"/>
      <c r="AK261" cm="1">
        <f t="array" ref="AK261">_xlfn.IFS(B261="","",LEFT(G261,1)="L",1,LEFT(G261,1)="W",1,AND(LEFT(B261,1)="H",G261=""),0)</f>
        <v>1</v>
      </c>
      <c r="AS261" t="str">
        <f t="shared" si="47"/>
        <v/>
      </c>
      <c r="AT261" t="s">
        <v>115</v>
      </c>
      <c r="AU261" t="str">
        <f t="shared" si="48"/>
        <v>0</v>
      </c>
      <c r="BD261" t="str">
        <f t="shared" si="49"/>
        <v>0</v>
      </c>
      <c r="BK261" t="str">
        <f>IFERROR(VLOOKUP(B261,'[1]model_S-フレーム'!$F$5:$R$7000,13,1),"")</f>
        <v>E349955_01</v>
      </c>
      <c r="BL261" s="7">
        <f>IFERROR(VLOOKUP(B261,'[1]model_S-フレーム'!$F$5:$V$7000,17,1),"")</f>
        <v>0</v>
      </c>
      <c r="BM261" t="str" cm="1">
        <f t="array" ref="BM261">_xlfn.IFS(LEFT(G261,1)="L","外注品",LEFT(G261,1)="W","内製品",G261="","購買品")</f>
        <v>内製品</v>
      </c>
    </row>
    <row r="262" spans="1:65">
      <c r="A262" t="str">
        <f t="shared" si="41"/>
        <v>WG01</v>
      </c>
      <c r="B262" t="s">
        <v>396</v>
      </c>
      <c r="C262" t="s">
        <v>881</v>
      </c>
      <c r="D262" s="7"/>
      <c r="E262" s="7"/>
      <c r="G262" t="s">
        <v>1938</v>
      </c>
      <c r="H262" t="str" cm="1">
        <f t="array" ref="H262">IFERROR(_xlfn.IFS(B262="","",AND(B262="",G262=""),"",G262="","記載要"),"")</f>
        <v/>
      </c>
      <c r="K262" t="str">
        <f t="shared" si="42"/>
        <v>11WP00902503</v>
      </c>
      <c r="L262" s="3" t="str">
        <f t="shared" si="43"/>
        <v>2001/01/01</v>
      </c>
      <c r="M262" s="3" t="str">
        <f t="shared" si="44"/>
        <v>2199/12/31</v>
      </c>
      <c r="N262" t="str">
        <f t="shared" si="45"/>
        <v>11WP00902503</v>
      </c>
      <c r="O262">
        <v>5</v>
      </c>
      <c r="Q262" t="str" cm="1">
        <f t="array" ref="Q262">_xlfn.IFS(AND(C262="",G262=""),"",LEFT(G262,1)="L","記載要",LEFT(G262,1)="W","",AND(C262,G262=""),"記載要")</f>
        <v/>
      </c>
      <c r="R262" s="21" t="str">
        <f t="shared" si="50"/>
        <v/>
      </c>
      <c r="S262" s="21"/>
      <c r="Z262" s="8"/>
      <c r="AA262">
        <v>1</v>
      </c>
      <c r="AB262">
        <f t="shared" si="46"/>
        <v>0</v>
      </c>
      <c r="AC262">
        <v>1</v>
      </c>
      <c r="AF262">
        <v>1</v>
      </c>
      <c r="AG262" s="8"/>
      <c r="AH262" s="8"/>
      <c r="AK262" cm="1">
        <f t="array" ref="AK262">_xlfn.IFS(B262="","",LEFT(G262,1)="L",1,LEFT(G262,1)="W",1,AND(LEFT(B262,1)="H",G262=""),0)</f>
        <v>1</v>
      </c>
      <c r="AS262" t="str">
        <f t="shared" si="47"/>
        <v/>
      </c>
      <c r="AT262" t="s">
        <v>115</v>
      </c>
      <c r="AU262" t="str">
        <f t="shared" si="48"/>
        <v>0</v>
      </c>
      <c r="BD262" t="str">
        <f t="shared" si="49"/>
        <v>0</v>
      </c>
      <c r="BK262" t="str">
        <f>IFERROR(VLOOKUP(B262,'[1]model_S-フレーム'!$F$5:$R$7000,13,1),"")</f>
        <v>E349955_01</v>
      </c>
      <c r="BL262" s="7">
        <f>IFERROR(VLOOKUP(B262,'[1]model_S-フレーム'!$F$5:$V$7000,17,1),"")</f>
        <v>0</v>
      </c>
      <c r="BM262" t="str" cm="1">
        <f t="array" ref="BM262">_xlfn.IFS(LEFT(G262,1)="L","外注品",LEFT(G262,1)="W","内製品",G262="","購買品")</f>
        <v>内製品</v>
      </c>
    </row>
    <row r="263" spans="1:65">
      <c r="A263" t="str">
        <f t="shared" si="41"/>
        <v>WG01</v>
      </c>
      <c r="B263" t="s">
        <v>397</v>
      </c>
      <c r="C263" t="s">
        <v>881</v>
      </c>
      <c r="D263" s="7"/>
      <c r="E263" s="7"/>
      <c r="G263" t="s">
        <v>1938</v>
      </c>
      <c r="H263" t="str" cm="1">
        <f t="array" ref="H263">IFERROR(_xlfn.IFS(B263="","",AND(B263="",G263=""),"",G263="","記載要"),"")</f>
        <v/>
      </c>
      <c r="K263" t="str">
        <f t="shared" si="42"/>
        <v>11WP00902504</v>
      </c>
      <c r="L263" s="3" t="str">
        <f t="shared" si="43"/>
        <v>2001/01/01</v>
      </c>
      <c r="M263" s="3" t="str">
        <f t="shared" si="44"/>
        <v>2199/12/31</v>
      </c>
      <c r="N263" t="str">
        <f t="shared" si="45"/>
        <v>11WP00902504</v>
      </c>
      <c r="O263">
        <v>5</v>
      </c>
      <c r="Q263" t="str" cm="1">
        <f t="array" ref="Q263">_xlfn.IFS(AND(C263="",G263=""),"",LEFT(G263,1)="L","記載要",LEFT(G263,1)="W","",AND(C263,G263=""),"記載要")</f>
        <v/>
      </c>
      <c r="R263" s="21" t="str">
        <f t="shared" si="50"/>
        <v/>
      </c>
      <c r="S263" s="21"/>
      <c r="Z263" s="8"/>
      <c r="AA263">
        <v>1</v>
      </c>
      <c r="AB263">
        <f t="shared" si="46"/>
        <v>0</v>
      </c>
      <c r="AC263">
        <v>1</v>
      </c>
      <c r="AF263">
        <v>1</v>
      </c>
      <c r="AG263" s="8"/>
      <c r="AH263" s="8"/>
      <c r="AK263" cm="1">
        <f t="array" ref="AK263">_xlfn.IFS(B263="","",LEFT(G263,1)="L",1,LEFT(G263,1)="W",1,AND(LEFT(B263,1)="H",G263=""),0)</f>
        <v>1</v>
      </c>
      <c r="AS263" t="str">
        <f t="shared" si="47"/>
        <v/>
      </c>
      <c r="AT263" t="s">
        <v>115</v>
      </c>
      <c r="AU263" t="str">
        <f t="shared" si="48"/>
        <v>0</v>
      </c>
      <c r="BD263" t="str">
        <f t="shared" si="49"/>
        <v>0</v>
      </c>
      <c r="BK263" t="str">
        <f>IFERROR(VLOOKUP(B263,'[1]model_S-フレーム'!$F$5:$R$7000,13,1),"")</f>
        <v>E349955_01</v>
      </c>
      <c r="BL263" s="7">
        <f>IFERROR(VLOOKUP(B263,'[1]model_S-フレーム'!$F$5:$V$7000,17,1),"")</f>
        <v>0</v>
      </c>
      <c r="BM263" t="str" cm="1">
        <f t="array" ref="BM263">_xlfn.IFS(LEFT(G263,1)="L","外注品",LEFT(G263,1)="W","内製品",G263="","購買品")</f>
        <v>内製品</v>
      </c>
    </row>
    <row r="264" spans="1:65">
      <c r="A264" t="str">
        <f t="shared" si="41"/>
        <v>WG01</v>
      </c>
      <c r="B264" t="s">
        <v>398</v>
      </c>
      <c r="C264" t="s">
        <v>881</v>
      </c>
      <c r="D264" s="7"/>
      <c r="E264" s="7"/>
      <c r="G264" t="s">
        <v>1938</v>
      </c>
      <c r="H264" t="str" cm="1">
        <f t="array" ref="H264">IFERROR(_xlfn.IFS(B264="","",AND(B264="",G264=""),"",G264="","記載要"),"")</f>
        <v/>
      </c>
      <c r="K264" t="str">
        <f t="shared" si="42"/>
        <v>11WP00902505</v>
      </c>
      <c r="L264" s="3" t="str">
        <f t="shared" si="43"/>
        <v>2001/01/01</v>
      </c>
      <c r="M264" s="3" t="str">
        <f t="shared" si="44"/>
        <v>2199/12/31</v>
      </c>
      <c r="N264" t="str">
        <f t="shared" si="45"/>
        <v>11WP00902505</v>
      </c>
      <c r="O264">
        <v>5</v>
      </c>
      <c r="Q264" t="str" cm="1">
        <f t="array" ref="Q264">_xlfn.IFS(AND(C264="",G264=""),"",LEFT(G264,1)="L","記載要",LEFT(G264,1)="W","",AND(C264,G264=""),"記載要")</f>
        <v/>
      </c>
      <c r="R264" s="21" t="str">
        <f t="shared" si="50"/>
        <v/>
      </c>
      <c r="S264" s="21"/>
      <c r="Z264" s="8"/>
      <c r="AA264">
        <v>1</v>
      </c>
      <c r="AB264">
        <f t="shared" si="46"/>
        <v>0</v>
      </c>
      <c r="AC264">
        <v>1</v>
      </c>
      <c r="AF264">
        <v>1</v>
      </c>
      <c r="AG264" s="8"/>
      <c r="AH264" s="8"/>
      <c r="AK264" cm="1">
        <f t="array" ref="AK264">_xlfn.IFS(B264="","",LEFT(G264,1)="L",1,LEFT(G264,1)="W",1,AND(LEFT(B264,1)="H",G264=""),0)</f>
        <v>1</v>
      </c>
      <c r="AS264" t="str">
        <f t="shared" si="47"/>
        <v/>
      </c>
      <c r="AT264" t="s">
        <v>115</v>
      </c>
      <c r="AU264" t="str">
        <f t="shared" si="48"/>
        <v>0</v>
      </c>
      <c r="BD264" t="str">
        <f t="shared" si="49"/>
        <v>0</v>
      </c>
      <c r="BK264" t="str">
        <f>IFERROR(VLOOKUP(B264,'[1]model_S-フレーム'!$F$5:$R$7000,13,1),"")</f>
        <v>E349955_01</v>
      </c>
      <c r="BL264" s="7">
        <f>IFERROR(VLOOKUP(B264,'[1]model_S-フレーム'!$F$5:$V$7000,17,1),"")</f>
        <v>0</v>
      </c>
      <c r="BM264" t="str" cm="1">
        <f t="array" ref="BM264">_xlfn.IFS(LEFT(G264,1)="L","外注品",LEFT(G264,1)="W","内製品",G264="","購買品")</f>
        <v>内製品</v>
      </c>
    </row>
    <row r="265" spans="1:65">
      <c r="A265" t="str">
        <f t="shared" si="41"/>
        <v>WG01</v>
      </c>
      <c r="B265" t="s">
        <v>399</v>
      </c>
      <c r="C265" t="s">
        <v>881</v>
      </c>
      <c r="D265" s="7"/>
      <c r="E265" s="7"/>
      <c r="G265" t="s">
        <v>1938</v>
      </c>
      <c r="H265" t="str" cm="1">
        <f t="array" ref="H265">IFERROR(_xlfn.IFS(B265="","",AND(B265="",G265=""),"",G265="","記載要"),"")</f>
        <v/>
      </c>
      <c r="K265" t="str">
        <f t="shared" si="42"/>
        <v>11WP00902506</v>
      </c>
      <c r="L265" s="3" t="str">
        <f t="shared" si="43"/>
        <v>2001/01/01</v>
      </c>
      <c r="M265" s="3" t="str">
        <f t="shared" si="44"/>
        <v>2199/12/31</v>
      </c>
      <c r="N265" t="str">
        <f t="shared" si="45"/>
        <v>11WP00902506</v>
      </c>
      <c r="O265">
        <v>5</v>
      </c>
      <c r="Q265" t="str" cm="1">
        <f t="array" ref="Q265">_xlfn.IFS(AND(C265="",G265=""),"",LEFT(G265,1)="L","記載要",LEFT(G265,1)="W","",AND(C265,G265=""),"記載要")</f>
        <v/>
      </c>
      <c r="R265" s="21" t="str">
        <f t="shared" si="50"/>
        <v/>
      </c>
      <c r="S265" s="21"/>
      <c r="Z265" s="8"/>
      <c r="AA265">
        <v>1</v>
      </c>
      <c r="AB265">
        <f t="shared" si="46"/>
        <v>0</v>
      </c>
      <c r="AC265">
        <v>1</v>
      </c>
      <c r="AF265">
        <v>1</v>
      </c>
      <c r="AG265" s="8"/>
      <c r="AH265" s="8"/>
      <c r="AK265" cm="1">
        <f t="array" ref="AK265">_xlfn.IFS(B265="","",LEFT(G265,1)="L",1,LEFT(G265,1)="W",1,AND(LEFT(B265,1)="H",G265=""),0)</f>
        <v>1</v>
      </c>
      <c r="AS265" t="str">
        <f t="shared" si="47"/>
        <v/>
      </c>
      <c r="AT265" t="s">
        <v>115</v>
      </c>
      <c r="AU265" t="str">
        <f t="shared" si="48"/>
        <v>0</v>
      </c>
      <c r="BD265" t="str">
        <f t="shared" si="49"/>
        <v>0</v>
      </c>
      <c r="BK265" t="str">
        <f>IFERROR(VLOOKUP(B265,'[1]model_S-フレーム'!$F$5:$R$7000,13,1),"")</f>
        <v>E349955_01</v>
      </c>
      <c r="BL265" s="7">
        <f>IFERROR(VLOOKUP(B265,'[1]model_S-フレーム'!$F$5:$V$7000,17,1),"")</f>
        <v>0</v>
      </c>
      <c r="BM265" t="str" cm="1">
        <f t="array" ref="BM265">_xlfn.IFS(LEFT(G265,1)="L","外注品",LEFT(G265,1)="W","内製品",G265="","購買品")</f>
        <v>内製品</v>
      </c>
    </row>
    <row r="266" spans="1:65">
      <c r="A266" t="str">
        <f t="shared" si="41"/>
        <v>WG01</v>
      </c>
      <c r="B266" t="s">
        <v>400</v>
      </c>
      <c r="C266" t="s">
        <v>881</v>
      </c>
      <c r="D266" s="7"/>
      <c r="E266" s="7"/>
      <c r="G266" t="s">
        <v>1938</v>
      </c>
      <c r="H266" t="str" cm="1">
        <f t="array" ref="H266">IFERROR(_xlfn.IFS(B266="","",AND(B266="",G266=""),"",G266="","記載要"),"")</f>
        <v/>
      </c>
      <c r="K266" t="str">
        <f t="shared" si="42"/>
        <v>11WP00902507</v>
      </c>
      <c r="L266" s="3" t="str">
        <f t="shared" si="43"/>
        <v>2001/01/01</v>
      </c>
      <c r="M266" s="3" t="str">
        <f t="shared" si="44"/>
        <v>2199/12/31</v>
      </c>
      <c r="N266" t="str">
        <f t="shared" si="45"/>
        <v>11WP00902507</v>
      </c>
      <c r="O266">
        <v>5</v>
      </c>
      <c r="Q266" t="str" cm="1">
        <f t="array" ref="Q266">_xlfn.IFS(AND(C266="",G266=""),"",LEFT(G266,1)="L","記載要",LEFT(G266,1)="W","",AND(C266,G266=""),"記載要")</f>
        <v/>
      </c>
      <c r="R266" s="21" t="str">
        <f t="shared" si="50"/>
        <v/>
      </c>
      <c r="S266" s="21"/>
      <c r="Z266" s="8"/>
      <c r="AA266">
        <v>1</v>
      </c>
      <c r="AB266">
        <f t="shared" si="46"/>
        <v>0</v>
      </c>
      <c r="AC266">
        <v>1</v>
      </c>
      <c r="AF266">
        <v>1</v>
      </c>
      <c r="AG266" s="8"/>
      <c r="AH266" s="8"/>
      <c r="AK266" cm="1">
        <f t="array" ref="AK266">_xlfn.IFS(B266="","",LEFT(G266,1)="L",1,LEFT(G266,1)="W",1,AND(LEFT(B266,1)="H",G266=""),0)</f>
        <v>1</v>
      </c>
      <c r="AS266" t="str">
        <f t="shared" si="47"/>
        <v/>
      </c>
      <c r="AT266" t="s">
        <v>115</v>
      </c>
      <c r="AU266" t="str">
        <f t="shared" si="48"/>
        <v>0</v>
      </c>
      <c r="BD266" t="str">
        <f t="shared" si="49"/>
        <v>0</v>
      </c>
      <c r="BK266" t="str">
        <f>IFERROR(VLOOKUP(B266,'[1]model_S-フレーム'!$F$5:$R$7000,13,1),"")</f>
        <v>E349955_01</v>
      </c>
      <c r="BL266" s="7">
        <f>IFERROR(VLOOKUP(B266,'[1]model_S-フレーム'!$F$5:$V$7000,17,1),"")</f>
        <v>0</v>
      </c>
      <c r="BM266" t="str" cm="1">
        <f t="array" ref="BM266">_xlfn.IFS(LEFT(G266,1)="L","外注品",LEFT(G266,1)="W","内製品",G266="","購買品")</f>
        <v>内製品</v>
      </c>
    </row>
    <row r="267" spans="1:65">
      <c r="A267" t="str">
        <f t="shared" si="41"/>
        <v>WG01</v>
      </c>
      <c r="B267" t="s">
        <v>401</v>
      </c>
      <c r="C267" t="s">
        <v>881</v>
      </c>
      <c r="D267" s="7"/>
      <c r="E267" s="7"/>
      <c r="G267" t="s">
        <v>1938</v>
      </c>
      <c r="H267" t="str" cm="1">
        <f t="array" ref="H267">IFERROR(_xlfn.IFS(B267="","",AND(B267="",G267=""),"",G267="","記載要"),"")</f>
        <v/>
      </c>
      <c r="K267" t="str">
        <f t="shared" si="42"/>
        <v>11WP00902508</v>
      </c>
      <c r="L267" s="3" t="str">
        <f t="shared" si="43"/>
        <v>2001/01/01</v>
      </c>
      <c r="M267" s="3" t="str">
        <f t="shared" si="44"/>
        <v>2199/12/31</v>
      </c>
      <c r="N267" t="str">
        <f t="shared" si="45"/>
        <v>11WP00902508</v>
      </c>
      <c r="O267">
        <v>5</v>
      </c>
      <c r="Q267" t="str" cm="1">
        <f t="array" ref="Q267">_xlfn.IFS(AND(C267="",G267=""),"",LEFT(G267,1)="L","記載要",LEFT(G267,1)="W","",AND(C267,G267=""),"記載要")</f>
        <v/>
      </c>
      <c r="R267" s="21" t="str">
        <f t="shared" si="50"/>
        <v/>
      </c>
      <c r="S267" s="21"/>
      <c r="Z267" s="8"/>
      <c r="AA267">
        <v>1</v>
      </c>
      <c r="AB267">
        <f t="shared" si="46"/>
        <v>0</v>
      </c>
      <c r="AC267">
        <v>1</v>
      </c>
      <c r="AF267">
        <v>1</v>
      </c>
      <c r="AG267" s="8"/>
      <c r="AH267" s="8"/>
      <c r="AK267" cm="1">
        <f t="array" ref="AK267">_xlfn.IFS(B267="","",LEFT(G267,1)="L",1,LEFT(G267,1)="W",1,AND(LEFT(B267,1)="H",G267=""),0)</f>
        <v>1</v>
      </c>
      <c r="AS267" t="str">
        <f t="shared" si="47"/>
        <v/>
      </c>
      <c r="AT267" t="s">
        <v>115</v>
      </c>
      <c r="AU267" t="str">
        <f t="shared" si="48"/>
        <v>0</v>
      </c>
      <c r="BD267" t="str">
        <f t="shared" si="49"/>
        <v>0</v>
      </c>
      <c r="BK267" t="str">
        <f>IFERROR(VLOOKUP(B267,'[1]model_S-フレーム'!$F$5:$R$7000,13,1),"")</f>
        <v>E349955_01</v>
      </c>
      <c r="BL267" s="7">
        <f>IFERROR(VLOOKUP(B267,'[1]model_S-フレーム'!$F$5:$V$7000,17,1),"")</f>
        <v>0</v>
      </c>
      <c r="BM267" t="str" cm="1">
        <f t="array" ref="BM267">_xlfn.IFS(LEFT(G267,1)="L","外注品",LEFT(G267,1)="W","内製品",G267="","購買品")</f>
        <v>内製品</v>
      </c>
    </row>
    <row r="268" spans="1:65">
      <c r="A268" t="str">
        <f t="shared" si="41"/>
        <v>WG01</v>
      </c>
      <c r="B268" t="s">
        <v>402</v>
      </c>
      <c r="C268" t="s">
        <v>882</v>
      </c>
      <c r="D268" s="7"/>
      <c r="E268" s="7"/>
      <c r="G268" t="s">
        <v>1938</v>
      </c>
      <c r="H268" t="str" cm="1">
        <f t="array" ref="H268">IFERROR(_xlfn.IFS(B268="","",AND(B268="",G268=""),"",G268="","記載要"),"")</f>
        <v/>
      </c>
      <c r="K268" t="str">
        <f t="shared" si="42"/>
        <v>11WP00902509</v>
      </c>
      <c r="L268" s="3" t="str">
        <f t="shared" si="43"/>
        <v>2001/01/01</v>
      </c>
      <c r="M268" s="3" t="str">
        <f t="shared" si="44"/>
        <v>2199/12/31</v>
      </c>
      <c r="N268" t="str">
        <f t="shared" si="45"/>
        <v>11WP00902509</v>
      </c>
      <c r="O268">
        <v>5</v>
      </c>
      <c r="Q268" t="str" cm="1">
        <f t="array" ref="Q268">_xlfn.IFS(AND(C268="",G268=""),"",LEFT(G268,1)="L","記載要",LEFT(G268,1)="W","",AND(C268,G268=""),"記載要")</f>
        <v/>
      </c>
      <c r="R268" s="21" t="str">
        <f t="shared" si="50"/>
        <v/>
      </c>
      <c r="S268" s="21"/>
      <c r="Z268" s="8"/>
      <c r="AA268">
        <v>1</v>
      </c>
      <c r="AB268">
        <f t="shared" si="46"/>
        <v>0</v>
      </c>
      <c r="AC268">
        <v>1</v>
      </c>
      <c r="AF268">
        <v>1</v>
      </c>
      <c r="AG268" s="8"/>
      <c r="AH268" s="8"/>
      <c r="AK268" cm="1">
        <f t="array" ref="AK268">_xlfn.IFS(B268="","",LEFT(G268,1)="L",1,LEFT(G268,1)="W",1,AND(LEFT(B268,1)="H",G268=""),0)</f>
        <v>1</v>
      </c>
      <c r="AS268" t="str">
        <f t="shared" si="47"/>
        <v/>
      </c>
      <c r="AT268" t="s">
        <v>115</v>
      </c>
      <c r="AU268" t="str">
        <f t="shared" si="48"/>
        <v>0</v>
      </c>
      <c r="BD268" t="str">
        <f t="shared" si="49"/>
        <v>0</v>
      </c>
      <c r="BK268" t="str">
        <f>IFERROR(VLOOKUP(B268,'[1]model_S-フレーム'!$F$5:$R$7000,13,1),"")</f>
        <v>E349955_01</v>
      </c>
      <c r="BL268" s="7">
        <f>IFERROR(VLOOKUP(B268,'[1]model_S-フレーム'!$F$5:$V$7000,17,1),"")</f>
        <v>0</v>
      </c>
      <c r="BM268" t="str" cm="1">
        <f t="array" ref="BM268">_xlfn.IFS(LEFT(G268,1)="L","外注品",LEFT(G268,1)="W","内製品",G268="","購買品")</f>
        <v>内製品</v>
      </c>
    </row>
    <row r="269" spans="1:65">
      <c r="A269" t="str">
        <f t="shared" si="41"/>
        <v>WG01</v>
      </c>
      <c r="B269" t="s">
        <v>403</v>
      </c>
      <c r="C269" t="s">
        <v>882</v>
      </c>
      <c r="D269" s="7"/>
      <c r="E269" s="7"/>
      <c r="G269" t="s">
        <v>1938</v>
      </c>
      <c r="H269" t="str" cm="1">
        <f t="array" ref="H269">IFERROR(_xlfn.IFS(B269="","",AND(B269="",G269=""),"",G269="","記載要"),"")</f>
        <v/>
      </c>
      <c r="K269" t="str">
        <f t="shared" si="42"/>
        <v>11WP00902510</v>
      </c>
      <c r="L269" s="3" t="str">
        <f t="shared" si="43"/>
        <v>2001/01/01</v>
      </c>
      <c r="M269" s="3" t="str">
        <f t="shared" si="44"/>
        <v>2199/12/31</v>
      </c>
      <c r="N269" t="str">
        <f t="shared" si="45"/>
        <v>11WP00902510</v>
      </c>
      <c r="O269">
        <v>5</v>
      </c>
      <c r="Q269" t="str" cm="1">
        <f t="array" ref="Q269">_xlfn.IFS(AND(C269="",G269=""),"",LEFT(G269,1)="L","記載要",LEFT(G269,1)="W","",AND(C269,G269=""),"記載要")</f>
        <v/>
      </c>
      <c r="R269" s="21" t="str">
        <f t="shared" si="50"/>
        <v/>
      </c>
      <c r="S269" s="21"/>
      <c r="Z269" s="8"/>
      <c r="AA269">
        <v>1</v>
      </c>
      <c r="AB269">
        <f t="shared" si="46"/>
        <v>0</v>
      </c>
      <c r="AC269">
        <v>1</v>
      </c>
      <c r="AF269">
        <v>1</v>
      </c>
      <c r="AG269" s="8"/>
      <c r="AH269" s="8"/>
      <c r="AK269" cm="1">
        <f t="array" ref="AK269">_xlfn.IFS(B269="","",LEFT(G269,1)="L",1,LEFT(G269,1)="W",1,AND(LEFT(B269,1)="H",G269=""),0)</f>
        <v>1</v>
      </c>
      <c r="AS269" t="str">
        <f t="shared" si="47"/>
        <v/>
      </c>
      <c r="AT269" t="s">
        <v>115</v>
      </c>
      <c r="AU269" t="str">
        <f t="shared" si="48"/>
        <v>0</v>
      </c>
      <c r="BD269" t="str">
        <f t="shared" si="49"/>
        <v>0</v>
      </c>
      <c r="BK269" t="str">
        <f>IFERROR(VLOOKUP(B269,'[1]model_S-フレーム'!$F$5:$R$7000,13,1),"")</f>
        <v>E349955_01</v>
      </c>
      <c r="BL269" s="7">
        <f>IFERROR(VLOOKUP(B269,'[1]model_S-フレーム'!$F$5:$V$7000,17,1),"")</f>
        <v>0</v>
      </c>
      <c r="BM269" t="str" cm="1">
        <f t="array" ref="BM269">_xlfn.IFS(LEFT(G269,1)="L","外注品",LEFT(G269,1)="W","内製品",G269="","購買品")</f>
        <v>内製品</v>
      </c>
    </row>
    <row r="270" spans="1:65">
      <c r="A270" t="str">
        <f t="shared" si="41"/>
        <v>WG01</v>
      </c>
      <c r="B270" t="s">
        <v>404</v>
      </c>
      <c r="C270" t="s">
        <v>882</v>
      </c>
      <c r="D270" s="7"/>
      <c r="E270" s="7"/>
      <c r="G270" t="s">
        <v>1938</v>
      </c>
      <c r="H270" t="str" cm="1">
        <f t="array" ref="H270">IFERROR(_xlfn.IFS(B270="","",AND(B270="",G270=""),"",G270="","記載要"),"")</f>
        <v/>
      </c>
      <c r="K270" t="str">
        <f t="shared" si="42"/>
        <v>11WP00902511</v>
      </c>
      <c r="L270" s="3" t="str">
        <f t="shared" si="43"/>
        <v>2001/01/01</v>
      </c>
      <c r="M270" s="3" t="str">
        <f t="shared" si="44"/>
        <v>2199/12/31</v>
      </c>
      <c r="N270" t="str">
        <f t="shared" si="45"/>
        <v>11WP00902511</v>
      </c>
      <c r="O270">
        <v>5</v>
      </c>
      <c r="Q270" t="str" cm="1">
        <f t="array" ref="Q270">_xlfn.IFS(AND(C270="",G270=""),"",LEFT(G270,1)="L","記載要",LEFT(G270,1)="W","",AND(C270,G270=""),"記載要")</f>
        <v/>
      </c>
      <c r="R270" s="21" t="str">
        <f t="shared" si="50"/>
        <v/>
      </c>
      <c r="S270" s="21"/>
      <c r="Z270" s="8"/>
      <c r="AA270">
        <v>1</v>
      </c>
      <c r="AB270">
        <f t="shared" si="46"/>
        <v>0</v>
      </c>
      <c r="AC270">
        <v>1</v>
      </c>
      <c r="AF270">
        <v>1</v>
      </c>
      <c r="AG270" s="8"/>
      <c r="AH270" s="8"/>
      <c r="AK270" cm="1">
        <f t="array" ref="AK270">_xlfn.IFS(B270="","",LEFT(G270,1)="L",1,LEFT(G270,1)="W",1,AND(LEFT(B270,1)="H",G270=""),0)</f>
        <v>1</v>
      </c>
      <c r="AS270" t="str">
        <f t="shared" si="47"/>
        <v/>
      </c>
      <c r="AT270" t="s">
        <v>115</v>
      </c>
      <c r="AU270" t="str">
        <f t="shared" si="48"/>
        <v>0</v>
      </c>
      <c r="BD270" t="str">
        <f t="shared" si="49"/>
        <v>0</v>
      </c>
      <c r="BK270" t="str">
        <f>IFERROR(VLOOKUP(B270,'[1]model_S-フレーム'!$F$5:$R$7000,13,1),"")</f>
        <v>E349955_01</v>
      </c>
      <c r="BL270" s="7">
        <f>IFERROR(VLOOKUP(B270,'[1]model_S-フレーム'!$F$5:$V$7000,17,1),"")</f>
        <v>0</v>
      </c>
      <c r="BM270" t="str" cm="1">
        <f t="array" ref="BM270">_xlfn.IFS(LEFT(G270,1)="L","外注品",LEFT(G270,1)="W","内製品",G270="","購買品")</f>
        <v>内製品</v>
      </c>
    </row>
    <row r="271" spans="1:65">
      <c r="A271" t="str">
        <f t="shared" si="41"/>
        <v>WG01</v>
      </c>
      <c r="B271" t="s">
        <v>405</v>
      </c>
      <c r="C271" t="s">
        <v>882</v>
      </c>
      <c r="D271" s="7"/>
      <c r="E271" s="7"/>
      <c r="G271" t="s">
        <v>1938</v>
      </c>
      <c r="H271" t="str" cm="1">
        <f t="array" ref="H271">IFERROR(_xlfn.IFS(B271="","",AND(B271="",G271=""),"",G271="","記載要"),"")</f>
        <v/>
      </c>
      <c r="K271" t="str">
        <f t="shared" si="42"/>
        <v>11WP00902512</v>
      </c>
      <c r="L271" s="3" t="str">
        <f t="shared" si="43"/>
        <v>2001/01/01</v>
      </c>
      <c r="M271" s="3" t="str">
        <f t="shared" si="44"/>
        <v>2199/12/31</v>
      </c>
      <c r="N271" t="str">
        <f t="shared" si="45"/>
        <v>11WP00902512</v>
      </c>
      <c r="O271">
        <v>5</v>
      </c>
      <c r="Q271" t="str" cm="1">
        <f t="array" ref="Q271">_xlfn.IFS(AND(C271="",G271=""),"",LEFT(G271,1)="L","記載要",LEFT(G271,1)="W","",AND(C271,G271=""),"記載要")</f>
        <v/>
      </c>
      <c r="R271" s="21" t="str">
        <f t="shared" si="50"/>
        <v/>
      </c>
      <c r="S271" s="21"/>
      <c r="Z271" s="8"/>
      <c r="AA271">
        <v>1</v>
      </c>
      <c r="AB271">
        <f t="shared" si="46"/>
        <v>0</v>
      </c>
      <c r="AC271">
        <v>1</v>
      </c>
      <c r="AF271">
        <v>1</v>
      </c>
      <c r="AG271" s="8"/>
      <c r="AH271" s="8"/>
      <c r="AK271" cm="1">
        <f t="array" ref="AK271">_xlfn.IFS(B271="","",LEFT(G271,1)="L",1,LEFT(G271,1)="W",1,AND(LEFT(B271,1)="H",G271=""),0)</f>
        <v>1</v>
      </c>
      <c r="AS271" t="str">
        <f t="shared" si="47"/>
        <v/>
      </c>
      <c r="AT271" t="s">
        <v>115</v>
      </c>
      <c r="AU271" t="str">
        <f t="shared" si="48"/>
        <v>0</v>
      </c>
      <c r="BD271" t="str">
        <f t="shared" si="49"/>
        <v>0</v>
      </c>
      <c r="BK271" t="str">
        <f>IFERROR(VLOOKUP(B271,'[1]model_S-フレーム'!$F$5:$R$7000,13,1),"")</f>
        <v>E349955_01</v>
      </c>
      <c r="BL271" s="7">
        <f>IFERROR(VLOOKUP(B271,'[1]model_S-フレーム'!$F$5:$V$7000,17,1),"")</f>
        <v>0</v>
      </c>
      <c r="BM271" t="str" cm="1">
        <f t="array" ref="BM271">_xlfn.IFS(LEFT(G271,1)="L","外注品",LEFT(G271,1)="W","内製品",G271="","購買品")</f>
        <v>内製品</v>
      </c>
    </row>
    <row r="272" spans="1:65">
      <c r="A272" t="str">
        <f t="shared" si="41"/>
        <v>WG01</v>
      </c>
      <c r="B272" t="s">
        <v>406</v>
      </c>
      <c r="C272" t="s">
        <v>882</v>
      </c>
      <c r="D272" s="7"/>
      <c r="E272" s="7"/>
      <c r="G272" t="s">
        <v>1938</v>
      </c>
      <c r="H272" t="str" cm="1">
        <f t="array" ref="H272">IFERROR(_xlfn.IFS(B272="","",AND(B272="",G272=""),"",G272="","記載要"),"")</f>
        <v/>
      </c>
      <c r="K272" t="str">
        <f t="shared" si="42"/>
        <v>11WP00902513</v>
      </c>
      <c r="L272" s="3" t="str">
        <f t="shared" si="43"/>
        <v>2001/01/01</v>
      </c>
      <c r="M272" s="3" t="str">
        <f t="shared" si="44"/>
        <v>2199/12/31</v>
      </c>
      <c r="N272" t="str">
        <f t="shared" si="45"/>
        <v>11WP00902513</v>
      </c>
      <c r="O272">
        <v>5</v>
      </c>
      <c r="Q272" t="str" cm="1">
        <f t="array" ref="Q272">_xlfn.IFS(AND(C272="",G272=""),"",LEFT(G272,1)="L","記載要",LEFT(G272,1)="W","",AND(C272,G272=""),"記載要")</f>
        <v/>
      </c>
      <c r="R272" s="21" t="str">
        <f t="shared" si="50"/>
        <v/>
      </c>
      <c r="S272" s="21"/>
      <c r="Z272" s="8"/>
      <c r="AA272">
        <v>1</v>
      </c>
      <c r="AB272">
        <f t="shared" si="46"/>
        <v>0</v>
      </c>
      <c r="AC272">
        <v>1</v>
      </c>
      <c r="AF272">
        <v>1</v>
      </c>
      <c r="AG272" s="8"/>
      <c r="AH272" s="8"/>
      <c r="AK272" cm="1">
        <f t="array" ref="AK272">_xlfn.IFS(B272="","",LEFT(G272,1)="L",1,LEFT(G272,1)="W",1,AND(LEFT(B272,1)="H",G272=""),0)</f>
        <v>1</v>
      </c>
      <c r="AS272" t="str">
        <f t="shared" si="47"/>
        <v/>
      </c>
      <c r="AT272" t="s">
        <v>115</v>
      </c>
      <c r="AU272" t="str">
        <f t="shared" si="48"/>
        <v>0</v>
      </c>
      <c r="BD272" t="str">
        <f t="shared" si="49"/>
        <v>0</v>
      </c>
      <c r="BK272" t="str">
        <f>IFERROR(VLOOKUP(B272,'[1]model_S-フレーム'!$F$5:$R$7000,13,1),"")</f>
        <v>E349955_01</v>
      </c>
      <c r="BL272" s="7">
        <f>IFERROR(VLOOKUP(B272,'[1]model_S-フレーム'!$F$5:$V$7000,17,1),"")</f>
        <v>0</v>
      </c>
      <c r="BM272" t="str" cm="1">
        <f t="array" ref="BM272">_xlfn.IFS(LEFT(G272,1)="L","外注品",LEFT(G272,1)="W","内製品",G272="","購買品")</f>
        <v>内製品</v>
      </c>
    </row>
    <row r="273" spans="1:65">
      <c r="A273" t="str">
        <f t="shared" si="41"/>
        <v>WG01</v>
      </c>
      <c r="B273" t="s">
        <v>407</v>
      </c>
      <c r="C273" t="s">
        <v>882</v>
      </c>
      <c r="D273" s="7"/>
      <c r="E273" s="7"/>
      <c r="G273" t="s">
        <v>1938</v>
      </c>
      <c r="H273" t="str" cm="1">
        <f t="array" ref="H273">IFERROR(_xlfn.IFS(B273="","",AND(B273="",G273=""),"",G273="","記載要"),"")</f>
        <v/>
      </c>
      <c r="K273" t="str">
        <f t="shared" si="42"/>
        <v>11WP00902514</v>
      </c>
      <c r="L273" s="3" t="str">
        <f t="shared" si="43"/>
        <v>2001/01/01</v>
      </c>
      <c r="M273" s="3" t="str">
        <f t="shared" si="44"/>
        <v>2199/12/31</v>
      </c>
      <c r="N273" t="str">
        <f t="shared" si="45"/>
        <v>11WP00902514</v>
      </c>
      <c r="O273">
        <v>5</v>
      </c>
      <c r="Q273" t="str" cm="1">
        <f t="array" ref="Q273">_xlfn.IFS(AND(C273="",G273=""),"",LEFT(G273,1)="L","記載要",LEFT(G273,1)="W","",AND(C273,G273=""),"記載要")</f>
        <v/>
      </c>
      <c r="R273" s="21" t="str">
        <f t="shared" si="50"/>
        <v/>
      </c>
      <c r="S273" s="21"/>
      <c r="Z273" s="8"/>
      <c r="AA273">
        <v>1</v>
      </c>
      <c r="AB273">
        <f t="shared" si="46"/>
        <v>0</v>
      </c>
      <c r="AC273">
        <v>1</v>
      </c>
      <c r="AF273">
        <v>1</v>
      </c>
      <c r="AG273" s="8"/>
      <c r="AH273" s="8"/>
      <c r="AK273" cm="1">
        <f t="array" ref="AK273">_xlfn.IFS(B273="","",LEFT(G273,1)="L",1,LEFT(G273,1)="W",1,AND(LEFT(B273,1)="H",G273=""),0)</f>
        <v>1</v>
      </c>
      <c r="AS273" t="str">
        <f t="shared" si="47"/>
        <v/>
      </c>
      <c r="AT273" t="s">
        <v>115</v>
      </c>
      <c r="AU273" t="str">
        <f t="shared" si="48"/>
        <v>0</v>
      </c>
      <c r="BD273" t="str">
        <f t="shared" si="49"/>
        <v>0</v>
      </c>
      <c r="BK273" t="str">
        <f>IFERROR(VLOOKUP(B273,'[1]model_S-フレーム'!$F$5:$R$7000,13,1),"")</f>
        <v>E349955_01</v>
      </c>
      <c r="BL273" s="7">
        <f>IFERROR(VLOOKUP(B273,'[1]model_S-フレーム'!$F$5:$V$7000,17,1),"")</f>
        <v>0</v>
      </c>
      <c r="BM273" t="str" cm="1">
        <f t="array" ref="BM273">_xlfn.IFS(LEFT(G273,1)="L","外注品",LEFT(G273,1)="W","内製品",G273="","購買品")</f>
        <v>内製品</v>
      </c>
    </row>
    <row r="274" spans="1:65">
      <c r="A274" t="str">
        <f t="shared" si="41"/>
        <v>WG01</v>
      </c>
      <c r="B274" t="s">
        <v>408</v>
      </c>
      <c r="C274" t="s">
        <v>882</v>
      </c>
      <c r="D274" s="7"/>
      <c r="E274" s="7"/>
      <c r="G274" t="s">
        <v>1938</v>
      </c>
      <c r="H274" t="str" cm="1">
        <f t="array" ref="H274">IFERROR(_xlfn.IFS(B274="","",AND(B274="",G274=""),"",G274="","記載要"),"")</f>
        <v/>
      </c>
      <c r="K274" t="str">
        <f t="shared" si="42"/>
        <v>11WP00902515</v>
      </c>
      <c r="L274" s="3" t="str">
        <f t="shared" si="43"/>
        <v>2001/01/01</v>
      </c>
      <c r="M274" s="3" t="str">
        <f t="shared" si="44"/>
        <v>2199/12/31</v>
      </c>
      <c r="N274" t="str">
        <f t="shared" si="45"/>
        <v>11WP00902515</v>
      </c>
      <c r="O274">
        <v>5</v>
      </c>
      <c r="Q274" t="str" cm="1">
        <f t="array" ref="Q274">_xlfn.IFS(AND(C274="",G274=""),"",LEFT(G274,1)="L","記載要",LEFT(G274,1)="W","",AND(C274,G274=""),"記載要")</f>
        <v/>
      </c>
      <c r="R274" s="21" t="str">
        <f t="shared" si="50"/>
        <v/>
      </c>
      <c r="S274" s="21"/>
      <c r="Z274" s="8"/>
      <c r="AA274">
        <v>1</v>
      </c>
      <c r="AB274">
        <f t="shared" si="46"/>
        <v>0</v>
      </c>
      <c r="AC274">
        <v>1</v>
      </c>
      <c r="AF274">
        <v>1</v>
      </c>
      <c r="AG274" s="8"/>
      <c r="AH274" s="8"/>
      <c r="AK274" cm="1">
        <f t="array" ref="AK274">_xlfn.IFS(B274="","",LEFT(G274,1)="L",1,LEFT(G274,1)="W",1,AND(LEFT(B274,1)="H",G274=""),0)</f>
        <v>1</v>
      </c>
      <c r="AS274" t="str">
        <f t="shared" si="47"/>
        <v/>
      </c>
      <c r="AT274" t="s">
        <v>115</v>
      </c>
      <c r="AU274" t="str">
        <f t="shared" si="48"/>
        <v>0</v>
      </c>
      <c r="BD274" t="str">
        <f t="shared" si="49"/>
        <v>0</v>
      </c>
      <c r="BK274" t="str">
        <f>IFERROR(VLOOKUP(B274,'[1]model_S-フレーム'!$F$5:$R$7000,13,1),"")</f>
        <v>E349955_01</v>
      </c>
      <c r="BL274" s="7">
        <f>IFERROR(VLOOKUP(B274,'[1]model_S-フレーム'!$F$5:$V$7000,17,1),"")</f>
        <v>0</v>
      </c>
      <c r="BM274" t="str" cm="1">
        <f t="array" ref="BM274">_xlfn.IFS(LEFT(G274,1)="L","外注品",LEFT(G274,1)="W","内製品",G274="","購買品")</f>
        <v>内製品</v>
      </c>
    </row>
    <row r="275" spans="1:65">
      <c r="A275" t="str">
        <f t="shared" si="41"/>
        <v>WG01</v>
      </c>
      <c r="B275" t="s">
        <v>409</v>
      </c>
      <c r="C275" t="s">
        <v>882</v>
      </c>
      <c r="D275" s="7"/>
      <c r="E275" s="7"/>
      <c r="G275" t="s">
        <v>1938</v>
      </c>
      <c r="H275" t="str" cm="1">
        <f t="array" ref="H275">IFERROR(_xlfn.IFS(B275="","",AND(B275="",G275=""),"",G275="","記載要"),"")</f>
        <v/>
      </c>
      <c r="K275" t="str">
        <f t="shared" si="42"/>
        <v>11WP00902516</v>
      </c>
      <c r="L275" s="3" t="str">
        <f t="shared" si="43"/>
        <v>2001/01/01</v>
      </c>
      <c r="M275" s="3" t="str">
        <f t="shared" si="44"/>
        <v>2199/12/31</v>
      </c>
      <c r="N275" t="str">
        <f t="shared" si="45"/>
        <v>11WP00902516</v>
      </c>
      <c r="O275">
        <v>5</v>
      </c>
      <c r="Q275" t="str" cm="1">
        <f t="array" ref="Q275">_xlfn.IFS(AND(C275="",G275=""),"",LEFT(G275,1)="L","記載要",LEFT(G275,1)="W","",AND(C275,G275=""),"記載要")</f>
        <v/>
      </c>
      <c r="R275" s="21" t="str">
        <f t="shared" si="50"/>
        <v/>
      </c>
      <c r="S275" s="21"/>
      <c r="Z275" s="8"/>
      <c r="AA275">
        <v>1</v>
      </c>
      <c r="AB275">
        <f t="shared" si="46"/>
        <v>0</v>
      </c>
      <c r="AC275">
        <v>1</v>
      </c>
      <c r="AF275">
        <v>1</v>
      </c>
      <c r="AG275" s="8"/>
      <c r="AH275" s="8"/>
      <c r="AK275" cm="1">
        <f t="array" ref="AK275">_xlfn.IFS(B275="","",LEFT(G275,1)="L",1,LEFT(G275,1)="W",1,AND(LEFT(B275,1)="H",G275=""),0)</f>
        <v>1</v>
      </c>
      <c r="AS275" t="str">
        <f t="shared" si="47"/>
        <v/>
      </c>
      <c r="AT275" t="s">
        <v>115</v>
      </c>
      <c r="AU275" t="str">
        <f t="shared" si="48"/>
        <v>0</v>
      </c>
      <c r="BD275" t="str">
        <f t="shared" si="49"/>
        <v>0</v>
      </c>
      <c r="BK275" t="str">
        <f>IFERROR(VLOOKUP(B275,'[1]model_S-フレーム'!$F$5:$R$7000,13,1),"")</f>
        <v>E349955_01</v>
      </c>
      <c r="BL275" s="7">
        <f>IFERROR(VLOOKUP(B275,'[1]model_S-フレーム'!$F$5:$V$7000,17,1),"")</f>
        <v>0</v>
      </c>
      <c r="BM275" t="str" cm="1">
        <f t="array" ref="BM275">_xlfn.IFS(LEFT(G275,1)="L","外注品",LEFT(G275,1)="W","内製品",G275="","購買品")</f>
        <v>内製品</v>
      </c>
    </row>
    <row r="276" spans="1:65">
      <c r="A276" t="str">
        <f t="shared" si="41"/>
        <v>WG01</v>
      </c>
      <c r="B276" t="s">
        <v>410</v>
      </c>
      <c r="C276" t="s">
        <v>882</v>
      </c>
      <c r="D276" s="7"/>
      <c r="E276" s="7"/>
      <c r="G276" t="s">
        <v>1938</v>
      </c>
      <c r="H276" t="str" cm="1">
        <f t="array" ref="H276">IFERROR(_xlfn.IFS(B276="","",AND(B276="",G276=""),"",G276="","記載要"),"")</f>
        <v/>
      </c>
      <c r="K276" t="str">
        <f t="shared" si="42"/>
        <v>11WP00902517</v>
      </c>
      <c r="L276" s="3" t="str">
        <f t="shared" si="43"/>
        <v>2001/01/01</v>
      </c>
      <c r="M276" s="3" t="str">
        <f t="shared" si="44"/>
        <v>2199/12/31</v>
      </c>
      <c r="N276" t="str">
        <f t="shared" si="45"/>
        <v>11WP00902517</v>
      </c>
      <c r="O276">
        <v>5</v>
      </c>
      <c r="Q276" t="str" cm="1">
        <f t="array" ref="Q276">_xlfn.IFS(AND(C276="",G276=""),"",LEFT(G276,1)="L","記載要",LEFT(G276,1)="W","",AND(C276,G276=""),"記載要")</f>
        <v/>
      </c>
      <c r="R276" s="21" t="str">
        <f t="shared" si="50"/>
        <v/>
      </c>
      <c r="S276" s="21"/>
      <c r="Z276" s="8"/>
      <c r="AA276">
        <v>1</v>
      </c>
      <c r="AB276">
        <f t="shared" si="46"/>
        <v>0</v>
      </c>
      <c r="AC276">
        <v>1</v>
      </c>
      <c r="AF276">
        <v>1</v>
      </c>
      <c r="AG276" s="8"/>
      <c r="AH276" s="8"/>
      <c r="AK276" cm="1">
        <f t="array" ref="AK276">_xlfn.IFS(B276="","",LEFT(G276,1)="L",1,LEFT(G276,1)="W",1,AND(LEFT(B276,1)="H",G276=""),0)</f>
        <v>1</v>
      </c>
      <c r="AS276" t="str">
        <f t="shared" si="47"/>
        <v/>
      </c>
      <c r="AT276" t="s">
        <v>115</v>
      </c>
      <c r="AU276" t="str">
        <f t="shared" si="48"/>
        <v>0</v>
      </c>
      <c r="BD276" t="str">
        <f t="shared" si="49"/>
        <v>0</v>
      </c>
      <c r="BK276" t="str">
        <f>IFERROR(VLOOKUP(B276,'[1]model_S-フレーム'!$F$5:$R$7000,13,1),"")</f>
        <v>E349955_01</v>
      </c>
      <c r="BL276" s="7">
        <f>IFERROR(VLOOKUP(B276,'[1]model_S-フレーム'!$F$5:$V$7000,17,1),"")</f>
        <v>0</v>
      </c>
      <c r="BM276" t="str" cm="1">
        <f t="array" ref="BM276">_xlfn.IFS(LEFT(G276,1)="L","外注品",LEFT(G276,1)="W","内製品",G276="","購買品")</f>
        <v>内製品</v>
      </c>
    </row>
    <row r="277" spans="1:65">
      <c r="A277" t="str">
        <f t="shared" si="41"/>
        <v>WG01</v>
      </c>
      <c r="B277" t="s">
        <v>411</v>
      </c>
      <c r="C277" t="s">
        <v>883</v>
      </c>
      <c r="D277" s="7"/>
      <c r="E277" s="7"/>
      <c r="G277" t="s">
        <v>1938</v>
      </c>
      <c r="H277" t="str" cm="1">
        <f t="array" ref="H277">IFERROR(_xlfn.IFS(B277="","",AND(B277="",G277=""),"",G277="","記載要"),"")</f>
        <v/>
      </c>
      <c r="K277" t="str">
        <f t="shared" si="42"/>
        <v>11WP00902518</v>
      </c>
      <c r="L277" s="3" t="str">
        <f t="shared" si="43"/>
        <v>2001/01/01</v>
      </c>
      <c r="M277" s="3" t="str">
        <f t="shared" si="44"/>
        <v>2199/12/31</v>
      </c>
      <c r="N277" t="str">
        <f t="shared" si="45"/>
        <v>11WP00902518</v>
      </c>
      <c r="O277">
        <v>5</v>
      </c>
      <c r="Q277" t="str" cm="1">
        <f t="array" ref="Q277">_xlfn.IFS(AND(C277="",G277=""),"",LEFT(G277,1)="L","記載要",LEFT(G277,1)="W","",AND(C277,G277=""),"記載要")</f>
        <v/>
      </c>
      <c r="R277" s="21" t="str">
        <f t="shared" si="50"/>
        <v/>
      </c>
      <c r="S277" s="21"/>
      <c r="Z277" s="8"/>
      <c r="AA277">
        <v>1</v>
      </c>
      <c r="AB277">
        <f t="shared" si="46"/>
        <v>0</v>
      </c>
      <c r="AC277">
        <v>1</v>
      </c>
      <c r="AF277">
        <v>1</v>
      </c>
      <c r="AG277" s="8"/>
      <c r="AH277" s="8"/>
      <c r="AK277" cm="1">
        <f t="array" ref="AK277">_xlfn.IFS(B277="","",LEFT(G277,1)="L",1,LEFT(G277,1)="W",1,AND(LEFT(B277,1)="H",G277=""),0)</f>
        <v>1</v>
      </c>
      <c r="AS277" t="str">
        <f t="shared" si="47"/>
        <v/>
      </c>
      <c r="AT277" t="s">
        <v>115</v>
      </c>
      <c r="AU277" t="str">
        <f t="shared" si="48"/>
        <v>0</v>
      </c>
      <c r="BD277" t="str">
        <f t="shared" si="49"/>
        <v>0</v>
      </c>
      <c r="BK277" t="str">
        <f>IFERROR(VLOOKUP(B277,'[1]model_S-フレーム'!$F$5:$R$7000,13,1),"")</f>
        <v>E349955_01</v>
      </c>
      <c r="BL277" s="7">
        <f>IFERROR(VLOOKUP(B277,'[1]model_S-フレーム'!$F$5:$V$7000,17,1),"")</f>
        <v>0</v>
      </c>
      <c r="BM277" t="str" cm="1">
        <f t="array" ref="BM277">_xlfn.IFS(LEFT(G277,1)="L","外注品",LEFT(G277,1)="W","内製品",G277="","購買品")</f>
        <v>内製品</v>
      </c>
    </row>
    <row r="278" spans="1:65">
      <c r="A278" t="str">
        <f t="shared" si="41"/>
        <v>WG01</v>
      </c>
      <c r="B278" t="s">
        <v>412</v>
      </c>
      <c r="C278" t="s">
        <v>883</v>
      </c>
      <c r="D278" s="7"/>
      <c r="E278" s="7"/>
      <c r="G278" t="s">
        <v>1938</v>
      </c>
      <c r="H278" t="str" cm="1">
        <f t="array" ref="H278">IFERROR(_xlfn.IFS(B278="","",AND(B278="",G278=""),"",G278="","記載要"),"")</f>
        <v/>
      </c>
      <c r="K278" t="str">
        <f t="shared" si="42"/>
        <v>11WP00902519</v>
      </c>
      <c r="L278" s="3" t="str">
        <f t="shared" si="43"/>
        <v>2001/01/01</v>
      </c>
      <c r="M278" s="3" t="str">
        <f t="shared" si="44"/>
        <v>2199/12/31</v>
      </c>
      <c r="N278" t="str">
        <f t="shared" si="45"/>
        <v>11WP00902519</v>
      </c>
      <c r="O278">
        <v>5</v>
      </c>
      <c r="Q278" t="str" cm="1">
        <f t="array" ref="Q278">_xlfn.IFS(AND(C278="",G278=""),"",LEFT(G278,1)="L","記載要",LEFT(G278,1)="W","",AND(C278,G278=""),"記載要")</f>
        <v/>
      </c>
      <c r="R278" s="21" t="str">
        <f t="shared" si="50"/>
        <v/>
      </c>
      <c r="S278" s="21"/>
      <c r="Z278" s="8"/>
      <c r="AA278">
        <v>1</v>
      </c>
      <c r="AB278">
        <f t="shared" si="46"/>
        <v>0</v>
      </c>
      <c r="AC278">
        <v>1</v>
      </c>
      <c r="AF278">
        <v>1</v>
      </c>
      <c r="AG278" s="8"/>
      <c r="AH278" s="8"/>
      <c r="AK278" cm="1">
        <f t="array" ref="AK278">_xlfn.IFS(B278="","",LEFT(G278,1)="L",1,LEFT(G278,1)="W",1,AND(LEFT(B278,1)="H",G278=""),0)</f>
        <v>1</v>
      </c>
      <c r="AS278" t="str">
        <f t="shared" si="47"/>
        <v/>
      </c>
      <c r="AT278" t="s">
        <v>115</v>
      </c>
      <c r="AU278" t="str">
        <f t="shared" si="48"/>
        <v>0</v>
      </c>
      <c r="BD278" t="str">
        <f t="shared" si="49"/>
        <v>0</v>
      </c>
      <c r="BK278" t="str">
        <f>IFERROR(VLOOKUP(B278,'[1]model_S-フレーム'!$F$5:$R$7000,13,1),"")</f>
        <v>E349955_01</v>
      </c>
      <c r="BL278" s="7">
        <f>IFERROR(VLOOKUP(B278,'[1]model_S-フレーム'!$F$5:$V$7000,17,1),"")</f>
        <v>0</v>
      </c>
      <c r="BM278" t="str" cm="1">
        <f t="array" ref="BM278">_xlfn.IFS(LEFT(G278,1)="L","外注品",LEFT(G278,1)="W","内製品",G278="","購買品")</f>
        <v>内製品</v>
      </c>
    </row>
    <row r="279" spans="1:65">
      <c r="A279" t="str">
        <f t="shared" si="41"/>
        <v>WG01</v>
      </c>
      <c r="B279" t="s">
        <v>413</v>
      </c>
      <c r="C279" t="s">
        <v>883</v>
      </c>
      <c r="D279" s="7"/>
      <c r="E279" s="7"/>
      <c r="G279" t="s">
        <v>1938</v>
      </c>
      <c r="H279" t="str" cm="1">
        <f t="array" ref="H279">IFERROR(_xlfn.IFS(B279="","",AND(B279="",G279=""),"",G279="","記載要"),"")</f>
        <v/>
      </c>
      <c r="K279" t="str">
        <f t="shared" si="42"/>
        <v>11WP00902520</v>
      </c>
      <c r="L279" s="3" t="str">
        <f t="shared" si="43"/>
        <v>2001/01/01</v>
      </c>
      <c r="M279" s="3" t="str">
        <f t="shared" si="44"/>
        <v>2199/12/31</v>
      </c>
      <c r="N279" t="str">
        <f t="shared" si="45"/>
        <v>11WP00902520</v>
      </c>
      <c r="O279">
        <v>5</v>
      </c>
      <c r="Q279" t="str" cm="1">
        <f t="array" ref="Q279">_xlfn.IFS(AND(C279="",G279=""),"",LEFT(G279,1)="L","記載要",LEFT(G279,1)="W","",AND(C279,G279=""),"記載要")</f>
        <v/>
      </c>
      <c r="R279" s="21" t="str">
        <f t="shared" si="50"/>
        <v/>
      </c>
      <c r="S279" s="21"/>
      <c r="Z279" s="8"/>
      <c r="AA279">
        <v>1</v>
      </c>
      <c r="AB279">
        <f t="shared" si="46"/>
        <v>0</v>
      </c>
      <c r="AC279">
        <v>1</v>
      </c>
      <c r="AF279">
        <v>1</v>
      </c>
      <c r="AG279" s="8"/>
      <c r="AH279" s="8"/>
      <c r="AK279" cm="1">
        <f t="array" ref="AK279">_xlfn.IFS(B279="","",LEFT(G279,1)="L",1,LEFT(G279,1)="W",1,AND(LEFT(B279,1)="H",G279=""),0)</f>
        <v>1</v>
      </c>
      <c r="AS279" t="str">
        <f t="shared" si="47"/>
        <v/>
      </c>
      <c r="AT279" t="s">
        <v>115</v>
      </c>
      <c r="AU279" t="str">
        <f t="shared" si="48"/>
        <v>0</v>
      </c>
      <c r="BD279" t="str">
        <f t="shared" si="49"/>
        <v>0</v>
      </c>
      <c r="BK279" t="str">
        <f>IFERROR(VLOOKUP(B279,'[1]model_S-フレーム'!$F$5:$R$7000,13,1),"")</f>
        <v>E349955_01</v>
      </c>
      <c r="BL279" s="7">
        <f>IFERROR(VLOOKUP(B279,'[1]model_S-フレーム'!$F$5:$V$7000,17,1),"")</f>
        <v>0</v>
      </c>
      <c r="BM279" t="str" cm="1">
        <f t="array" ref="BM279">_xlfn.IFS(LEFT(G279,1)="L","外注品",LEFT(G279,1)="W","内製品",G279="","購買品")</f>
        <v>内製品</v>
      </c>
    </row>
    <row r="280" spans="1:65">
      <c r="A280" t="str">
        <f t="shared" si="41"/>
        <v>WG01</v>
      </c>
      <c r="B280" t="s">
        <v>414</v>
      </c>
      <c r="C280" t="s">
        <v>883</v>
      </c>
      <c r="D280" s="7"/>
      <c r="E280" s="7"/>
      <c r="G280" t="s">
        <v>1938</v>
      </c>
      <c r="H280" t="str" cm="1">
        <f t="array" ref="H280">IFERROR(_xlfn.IFS(B280="","",AND(B280="",G280=""),"",G280="","記載要"),"")</f>
        <v/>
      </c>
      <c r="K280" t="str">
        <f t="shared" si="42"/>
        <v>11WP00902521</v>
      </c>
      <c r="L280" s="3" t="str">
        <f t="shared" si="43"/>
        <v>2001/01/01</v>
      </c>
      <c r="M280" s="3" t="str">
        <f t="shared" si="44"/>
        <v>2199/12/31</v>
      </c>
      <c r="N280" t="str">
        <f t="shared" si="45"/>
        <v>11WP00902521</v>
      </c>
      <c r="O280">
        <v>5</v>
      </c>
      <c r="Q280" t="str" cm="1">
        <f t="array" ref="Q280">_xlfn.IFS(AND(C280="",G280=""),"",LEFT(G280,1)="L","記載要",LEFT(G280,1)="W","",AND(C280,G280=""),"記載要")</f>
        <v/>
      </c>
      <c r="R280" s="21" t="str">
        <f t="shared" si="50"/>
        <v/>
      </c>
      <c r="S280" s="21"/>
      <c r="Z280" s="8"/>
      <c r="AA280">
        <v>1</v>
      </c>
      <c r="AB280">
        <f t="shared" si="46"/>
        <v>0</v>
      </c>
      <c r="AC280">
        <v>1</v>
      </c>
      <c r="AF280">
        <v>1</v>
      </c>
      <c r="AG280" s="8"/>
      <c r="AH280" s="8"/>
      <c r="AK280" cm="1">
        <f t="array" ref="AK280">_xlfn.IFS(B280="","",LEFT(G280,1)="L",1,LEFT(G280,1)="W",1,AND(LEFT(B280,1)="H",G280=""),0)</f>
        <v>1</v>
      </c>
      <c r="AS280" t="str">
        <f t="shared" si="47"/>
        <v/>
      </c>
      <c r="AT280" t="s">
        <v>115</v>
      </c>
      <c r="AU280" t="str">
        <f t="shared" si="48"/>
        <v>0</v>
      </c>
      <c r="BD280" t="str">
        <f t="shared" si="49"/>
        <v>0</v>
      </c>
      <c r="BK280" t="str">
        <f>IFERROR(VLOOKUP(B280,'[1]model_S-フレーム'!$F$5:$R$7000,13,1),"")</f>
        <v>E349955_01</v>
      </c>
      <c r="BL280" s="7">
        <f>IFERROR(VLOOKUP(B280,'[1]model_S-フレーム'!$F$5:$V$7000,17,1),"")</f>
        <v>0</v>
      </c>
      <c r="BM280" t="str" cm="1">
        <f t="array" ref="BM280">_xlfn.IFS(LEFT(G280,1)="L","外注品",LEFT(G280,1)="W","内製品",G280="","購買品")</f>
        <v>内製品</v>
      </c>
    </row>
    <row r="281" spans="1:65">
      <c r="A281" t="str">
        <f t="shared" si="41"/>
        <v>WG01</v>
      </c>
      <c r="B281" t="s">
        <v>415</v>
      </c>
      <c r="C281" t="s">
        <v>883</v>
      </c>
      <c r="D281" s="7"/>
      <c r="E281" s="7"/>
      <c r="G281" t="s">
        <v>1938</v>
      </c>
      <c r="H281" t="str" cm="1">
        <f t="array" ref="H281">IFERROR(_xlfn.IFS(B281="","",AND(B281="",G281=""),"",G281="","記載要"),"")</f>
        <v/>
      </c>
      <c r="K281" t="str">
        <f t="shared" si="42"/>
        <v>11WP00902522</v>
      </c>
      <c r="L281" s="3" t="str">
        <f t="shared" si="43"/>
        <v>2001/01/01</v>
      </c>
      <c r="M281" s="3" t="str">
        <f t="shared" si="44"/>
        <v>2199/12/31</v>
      </c>
      <c r="N281" t="str">
        <f t="shared" si="45"/>
        <v>11WP00902522</v>
      </c>
      <c r="O281">
        <v>5</v>
      </c>
      <c r="Q281" t="str" cm="1">
        <f t="array" ref="Q281">_xlfn.IFS(AND(C281="",G281=""),"",LEFT(G281,1)="L","記載要",LEFT(G281,1)="W","",AND(C281,G281=""),"記載要")</f>
        <v/>
      </c>
      <c r="R281" s="21" t="str">
        <f t="shared" si="50"/>
        <v/>
      </c>
      <c r="S281" s="21"/>
      <c r="Z281" s="8"/>
      <c r="AA281">
        <v>1</v>
      </c>
      <c r="AB281">
        <f t="shared" si="46"/>
        <v>0</v>
      </c>
      <c r="AC281">
        <v>1</v>
      </c>
      <c r="AF281">
        <v>1</v>
      </c>
      <c r="AG281" s="8"/>
      <c r="AH281" s="8"/>
      <c r="AK281" cm="1">
        <f t="array" ref="AK281">_xlfn.IFS(B281="","",LEFT(G281,1)="L",1,LEFT(G281,1)="W",1,AND(LEFT(B281,1)="H",G281=""),0)</f>
        <v>1</v>
      </c>
      <c r="AS281" t="str">
        <f t="shared" si="47"/>
        <v/>
      </c>
      <c r="AT281" t="s">
        <v>115</v>
      </c>
      <c r="AU281" t="str">
        <f t="shared" si="48"/>
        <v>0</v>
      </c>
      <c r="BD281" t="str">
        <f t="shared" si="49"/>
        <v>0</v>
      </c>
      <c r="BK281" t="str">
        <f>IFERROR(VLOOKUP(B281,'[1]model_S-フレーム'!$F$5:$R$7000,13,1),"")</f>
        <v>E349955_01</v>
      </c>
      <c r="BL281" s="7">
        <f>IFERROR(VLOOKUP(B281,'[1]model_S-フレーム'!$F$5:$V$7000,17,1),"")</f>
        <v>0</v>
      </c>
      <c r="BM281" t="str" cm="1">
        <f t="array" ref="BM281">_xlfn.IFS(LEFT(G281,1)="L","外注品",LEFT(G281,1)="W","内製品",G281="","購買品")</f>
        <v>内製品</v>
      </c>
    </row>
    <row r="282" spans="1:65">
      <c r="A282" t="str">
        <f t="shared" si="41"/>
        <v>WG01</v>
      </c>
      <c r="B282" t="s">
        <v>416</v>
      </c>
      <c r="C282" t="s">
        <v>883</v>
      </c>
      <c r="D282" s="7"/>
      <c r="E282" s="7"/>
      <c r="G282" t="s">
        <v>1938</v>
      </c>
      <c r="H282" t="str" cm="1">
        <f t="array" ref="H282">IFERROR(_xlfn.IFS(B282="","",AND(B282="",G282=""),"",G282="","記載要"),"")</f>
        <v/>
      </c>
      <c r="K282" t="str">
        <f t="shared" si="42"/>
        <v>11WP00902523</v>
      </c>
      <c r="L282" s="3" t="str">
        <f t="shared" si="43"/>
        <v>2001/01/01</v>
      </c>
      <c r="M282" s="3" t="str">
        <f t="shared" si="44"/>
        <v>2199/12/31</v>
      </c>
      <c r="N282" t="str">
        <f t="shared" si="45"/>
        <v>11WP00902523</v>
      </c>
      <c r="O282">
        <v>5</v>
      </c>
      <c r="Q282" t="str" cm="1">
        <f t="array" ref="Q282">_xlfn.IFS(AND(C282="",G282=""),"",LEFT(G282,1)="L","記載要",LEFT(G282,1)="W","",AND(C282,G282=""),"記載要")</f>
        <v/>
      </c>
      <c r="R282" s="21" t="str">
        <f t="shared" si="50"/>
        <v/>
      </c>
      <c r="S282" s="21"/>
      <c r="Z282" s="8"/>
      <c r="AA282">
        <v>1</v>
      </c>
      <c r="AB282">
        <f t="shared" si="46"/>
        <v>0</v>
      </c>
      <c r="AC282">
        <v>1</v>
      </c>
      <c r="AF282">
        <v>1</v>
      </c>
      <c r="AG282" s="8"/>
      <c r="AH282" s="8"/>
      <c r="AK282" cm="1">
        <f t="array" ref="AK282">_xlfn.IFS(B282="","",LEFT(G282,1)="L",1,LEFT(G282,1)="W",1,AND(LEFT(B282,1)="H",G282=""),0)</f>
        <v>1</v>
      </c>
      <c r="AS282" t="str">
        <f t="shared" si="47"/>
        <v/>
      </c>
      <c r="AT282" t="s">
        <v>115</v>
      </c>
      <c r="AU282" t="str">
        <f t="shared" si="48"/>
        <v>0</v>
      </c>
      <c r="BD282" t="str">
        <f t="shared" si="49"/>
        <v>0</v>
      </c>
      <c r="BK282" t="str">
        <f>IFERROR(VLOOKUP(B282,'[1]model_S-フレーム'!$F$5:$R$7000,13,1),"")</f>
        <v>E349955_01</v>
      </c>
      <c r="BL282" s="7">
        <f>IFERROR(VLOOKUP(B282,'[1]model_S-フレーム'!$F$5:$V$7000,17,1),"")</f>
        <v>0</v>
      </c>
      <c r="BM282" t="str" cm="1">
        <f t="array" ref="BM282">_xlfn.IFS(LEFT(G282,1)="L","外注品",LEFT(G282,1)="W","内製品",G282="","購買品")</f>
        <v>内製品</v>
      </c>
    </row>
    <row r="283" spans="1:65">
      <c r="A283" t="str">
        <f t="shared" si="41"/>
        <v>WG01</v>
      </c>
      <c r="B283" t="s">
        <v>417</v>
      </c>
      <c r="C283" t="s">
        <v>883</v>
      </c>
      <c r="D283" s="7"/>
      <c r="E283" s="7"/>
      <c r="G283" t="s">
        <v>1938</v>
      </c>
      <c r="H283" t="str" cm="1">
        <f t="array" ref="H283">IFERROR(_xlfn.IFS(B283="","",AND(B283="",G283=""),"",G283="","記載要"),"")</f>
        <v/>
      </c>
      <c r="K283" t="str">
        <f t="shared" si="42"/>
        <v>11WP00902524</v>
      </c>
      <c r="L283" s="3" t="str">
        <f t="shared" si="43"/>
        <v>2001/01/01</v>
      </c>
      <c r="M283" s="3" t="str">
        <f t="shared" si="44"/>
        <v>2199/12/31</v>
      </c>
      <c r="N283" t="str">
        <f t="shared" si="45"/>
        <v>11WP00902524</v>
      </c>
      <c r="O283">
        <v>5</v>
      </c>
      <c r="Q283" t="str" cm="1">
        <f t="array" ref="Q283">_xlfn.IFS(AND(C283="",G283=""),"",LEFT(G283,1)="L","記載要",LEFT(G283,1)="W","",AND(C283,G283=""),"記載要")</f>
        <v/>
      </c>
      <c r="R283" s="21" t="str">
        <f t="shared" si="50"/>
        <v/>
      </c>
      <c r="S283" s="21"/>
      <c r="Z283" s="8"/>
      <c r="AA283">
        <v>1</v>
      </c>
      <c r="AB283">
        <f t="shared" si="46"/>
        <v>0</v>
      </c>
      <c r="AC283">
        <v>1</v>
      </c>
      <c r="AF283">
        <v>1</v>
      </c>
      <c r="AG283" s="8"/>
      <c r="AH283" s="8"/>
      <c r="AK283" cm="1">
        <f t="array" ref="AK283">_xlfn.IFS(B283="","",LEFT(G283,1)="L",1,LEFT(G283,1)="W",1,AND(LEFT(B283,1)="H",G283=""),0)</f>
        <v>1</v>
      </c>
      <c r="AS283" t="str">
        <f t="shared" si="47"/>
        <v/>
      </c>
      <c r="AT283" t="s">
        <v>115</v>
      </c>
      <c r="AU283" t="str">
        <f t="shared" si="48"/>
        <v>0</v>
      </c>
      <c r="BD283" t="str">
        <f t="shared" si="49"/>
        <v>0</v>
      </c>
      <c r="BK283" t="str">
        <f>IFERROR(VLOOKUP(B283,'[1]model_S-フレーム'!$F$5:$R$7000,13,1),"")</f>
        <v>E349955_01</v>
      </c>
      <c r="BL283" s="7">
        <f>IFERROR(VLOOKUP(B283,'[1]model_S-フレーム'!$F$5:$V$7000,17,1),"")</f>
        <v>0</v>
      </c>
      <c r="BM283" t="str" cm="1">
        <f t="array" ref="BM283">_xlfn.IFS(LEFT(G283,1)="L","外注品",LEFT(G283,1)="W","内製品",G283="","購買品")</f>
        <v>内製品</v>
      </c>
    </row>
    <row r="284" spans="1:65">
      <c r="A284" t="str">
        <f t="shared" si="41"/>
        <v>WG01</v>
      </c>
      <c r="B284" t="s">
        <v>418</v>
      </c>
      <c r="C284" t="s">
        <v>883</v>
      </c>
      <c r="D284" s="7"/>
      <c r="E284" s="7"/>
      <c r="G284" t="s">
        <v>1938</v>
      </c>
      <c r="H284" t="str" cm="1">
        <f t="array" ref="H284">IFERROR(_xlfn.IFS(B284="","",AND(B284="",G284=""),"",G284="","記載要"),"")</f>
        <v/>
      </c>
      <c r="K284" t="str">
        <f t="shared" si="42"/>
        <v>11WP00902525</v>
      </c>
      <c r="L284" s="3" t="str">
        <f t="shared" si="43"/>
        <v>2001/01/01</v>
      </c>
      <c r="M284" s="3" t="str">
        <f t="shared" si="44"/>
        <v>2199/12/31</v>
      </c>
      <c r="N284" t="str">
        <f t="shared" si="45"/>
        <v>11WP00902525</v>
      </c>
      <c r="O284">
        <v>5</v>
      </c>
      <c r="Q284" t="str" cm="1">
        <f t="array" ref="Q284">_xlfn.IFS(AND(C284="",G284=""),"",LEFT(G284,1)="L","記載要",LEFT(G284,1)="W","",AND(C284,G284=""),"記載要")</f>
        <v/>
      </c>
      <c r="R284" s="21" t="str">
        <f t="shared" si="50"/>
        <v/>
      </c>
      <c r="S284" s="21"/>
      <c r="Z284" s="8"/>
      <c r="AA284">
        <v>1</v>
      </c>
      <c r="AB284">
        <f t="shared" si="46"/>
        <v>0</v>
      </c>
      <c r="AC284">
        <v>1</v>
      </c>
      <c r="AF284">
        <v>1</v>
      </c>
      <c r="AG284" s="8"/>
      <c r="AH284" s="8"/>
      <c r="AK284" cm="1">
        <f t="array" ref="AK284">_xlfn.IFS(B284="","",LEFT(G284,1)="L",1,LEFT(G284,1)="W",1,AND(LEFT(B284,1)="H",G284=""),0)</f>
        <v>1</v>
      </c>
      <c r="AS284" t="str">
        <f t="shared" si="47"/>
        <v/>
      </c>
      <c r="AT284" t="s">
        <v>115</v>
      </c>
      <c r="AU284" t="str">
        <f t="shared" si="48"/>
        <v>0</v>
      </c>
      <c r="BD284" t="str">
        <f t="shared" si="49"/>
        <v>0</v>
      </c>
      <c r="BK284" t="str">
        <f>IFERROR(VLOOKUP(B284,'[1]model_S-フレーム'!$F$5:$R$7000,13,1),"")</f>
        <v>E349955_01</v>
      </c>
      <c r="BL284" s="7">
        <f>IFERROR(VLOOKUP(B284,'[1]model_S-フレーム'!$F$5:$V$7000,17,1),"")</f>
        <v>0</v>
      </c>
      <c r="BM284" t="str" cm="1">
        <f t="array" ref="BM284">_xlfn.IFS(LEFT(G284,1)="L","外注品",LEFT(G284,1)="W","内製品",G284="","購買品")</f>
        <v>内製品</v>
      </c>
    </row>
    <row r="285" spans="1:65">
      <c r="A285" t="str">
        <f t="shared" si="41"/>
        <v>WG01</v>
      </c>
      <c r="B285" t="s">
        <v>419</v>
      </c>
      <c r="C285" t="s">
        <v>883</v>
      </c>
      <c r="D285" s="7"/>
      <c r="E285" s="7"/>
      <c r="G285" t="s">
        <v>1938</v>
      </c>
      <c r="H285" t="str" cm="1">
        <f t="array" ref="H285">IFERROR(_xlfn.IFS(B285="","",AND(B285="",G285=""),"",G285="","記載要"),"")</f>
        <v/>
      </c>
      <c r="K285" t="str">
        <f t="shared" si="42"/>
        <v>11WP00902526</v>
      </c>
      <c r="L285" s="3" t="str">
        <f t="shared" si="43"/>
        <v>2001/01/01</v>
      </c>
      <c r="M285" s="3" t="str">
        <f t="shared" si="44"/>
        <v>2199/12/31</v>
      </c>
      <c r="N285" t="str">
        <f t="shared" si="45"/>
        <v>11WP00902526</v>
      </c>
      <c r="O285">
        <v>5</v>
      </c>
      <c r="Q285" t="str" cm="1">
        <f t="array" ref="Q285">_xlfn.IFS(AND(C285="",G285=""),"",LEFT(G285,1)="L","記載要",LEFT(G285,1)="W","",AND(C285,G285=""),"記載要")</f>
        <v/>
      </c>
      <c r="R285" s="21" t="str">
        <f t="shared" si="50"/>
        <v/>
      </c>
      <c r="S285" s="21"/>
      <c r="Z285" s="8"/>
      <c r="AA285">
        <v>1</v>
      </c>
      <c r="AB285">
        <f t="shared" si="46"/>
        <v>0</v>
      </c>
      <c r="AC285">
        <v>1</v>
      </c>
      <c r="AF285">
        <v>1</v>
      </c>
      <c r="AG285" s="8"/>
      <c r="AH285" s="8"/>
      <c r="AK285" cm="1">
        <f t="array" ref="AK285">_xlfn.IFS(B285="","",LEFT(G285,1)="L",1,LEFT(G285,1)="W",1,AND(LEFT(B285,1)="H",G285=""),0)</f>
        <v>1</v>
      </c>
      <c r="AS285" t="str">
        <f t="shared" si="47"/>
        <v/>
      </c>
      <c r="AT285" t="s">
        <v>115</v>
      </c>
      <c r="AU285" t="str">
        <f t="shared" si="48"/>
        <v>0</v>
      </c>
      <c r="BD285" t="str">
        <f t="shared" si="49"/>
        <v>0</v>
      </c>
      <c r="BK285" t="str">
        <f>IFERROR(VLOOKUP(B285,'[1]model_S-フレーム'!$F$5:$R$7000,13,1),"")</f>
        <v>E349955_01</v>
      </c>
      <c r="BL285" s="7">
        <f>IFERROR(VLOOKUP(B285,'[1]model_S-フレーム'!$F$5:$V$7000,17,1),"")</f>
        <v>0</v>
      </c>
      <c r="BM285" t="str" cm="1">
        <f t="array" ref="BM285">_xlfn.IFS(LEFT(G285,1)="L","外注品",LEFT(G285,1)="W","内製品",G285="","購買品")</f>
        <v>内製品</v>
      </c>
    </row>
    <row r="286" spans="1:65">
      <c r="A286" t="str">
        <f t="shared" si="41"/>
        <v>WG01</v>
      </c>
      <c r="B286" t="s">
        <v>420</v>
      </c>
      <c r="C286" t="s">
        <v>884</v>
      </c>
      <c r="D286" s="7"/>
      <c r="E286" s="7"/>
      <c r="G286" t="s">
        <v>1938</v>
      </c>
      <c r="H286" t="str" cm="1">
        <f t="array" ref="H286">IFERROR(_xlfn.IFS(B286="","",AND(B286="",G286=""),"",G286="","記載要"),"")</f>
        <v/>
      </c>
      <c r="K286" t="str">
        <f t="shared" si="42"/>
        <v>11WP00902527</v>
      </c>
      <c r="L286" s="3" t="str">
        <f t="shared" si="43"/>
        <v>2001/01/01</v>
      </c>
      <c r="M286" s="3" t="str">
        <f t="shared" si="44"/>
        <v>2199/12/31</v>
      </c>
      <c r="N286" t="str">
        <f t="shared" si="45"/>
        <v>11WP00902527</v>
      </c>
      <c r="O286">
        <v>5</v>
      </c>
      <c r="Q286" t="str" cm="1">
        <f t="array" ref="Q286">_xlfn.IFS(AND(C286="",G286=""),"",LEFT(G286,1)="L","記載要",LEFT(G286,1)="W","",AND(C286,G286=""),"記載要")</f>
        <v/>
      </c>
      <c r="R286" s="21" t="str">
        <f t="shared" si="50"/>
        <v/>
      </c>
      <c r="S286" s="21"/>
      <c r="Z286" s="8"/>
      <c r="AA286">
        <v>1</v>
      </c>
      <c r="AB286">
        <f t="shared" si="46"/>
        <v>0</v>
      </c>
      <c r="AC286">
        <v>1</v>
      </c>
      <c r="AF286">
        <v>1</v>
      </c>
      <c r="AG286" s="8"/>
      <c r="AH286" s="8"/>
      <c r="AK286" cm="1">
        <f t="array" ref="AK286">_xlfn.IFS(B286="","",LEFT(G286,1)="L",1,LEFT(G286,1)="W",1,AND(LEFT(B286,1)="H",G286=""),0)</f>
        <v>1</v>
      </c>
      <c r="AS286" t="str">
        <f t="shared" si="47"/>
        <v/>
      </c>
      <c r="AT286" t="s">
        <v>115</v>
      </c>
      <c r="AU286" t="str">
        <f t="shared" si="48"/>
        <v>0</v>
      </c>
      <c r="BD286" t="str">
        <f t="shared" si="49"/>
        <v>0</v>
      </c>
      <c r="BK286" t="str">
        <f>IFERROR(VLOOKUP(B286,'[1]model_S-フレーム'!$F$5:$R$7000,13,1),"")</f>
        <v>E349955_01</v>
      </c>
      <c r="BL286" s="7">
        <f>IFERROR(VLOOKUP(B286,'[1]model_S-フレーム'!$F$5:$V$7000,17,1),"")</f>
        <v>0</v>
      </c>
      <c r="BM286" t="str" cm="1">
        <f t="array" ref="BM286">_xlfn.IFS(LEFT(G286,1)="L","外注品",LEFT(G286,1)="W","内製品",G286="","購買品")</f>
        <v>内製品</v>
      </c>
    </row>
    <row r="287" spans="1:65">
      <c r="A287" t="str">
        <f t="shared" si="41"/>
        <v>WG01</v>
      </c>
      <c r="B287" t="s">
        <v>421</v>
      </c>
      <c r="C287" t="s">
        <v>884</v>
      </c>
      <c r="D287" s="7"/>
      <c r="E287" s="7"/>
      <c r="G287" t="s">
        <v>1938</v>
      </c>
      <c r="H287" t="str" cm="1">
        <f t="array" ref="H287">IFERROR(_xlfn.IFS(B287="","",AND(B287="",G287=""),"",G287="","記載要"),"")</f>
        <v/>
      </c>
      <c r="K287" t="str">
        <f t="shared" si="42"/>
        <v>11WP00902528</v>
      </c>
      <c r="L287" s="3" t="str">
        <f t="shared" si="43"/>
        <v>2001/01/01</v>
      </c>
      <c r="M287" s="3" t="str">
        <f t="shared" si="44"/>
        <v>2199/12/31</v>
      </c>
      <c r="N287" t="str">
        <f t="shared" si="45"/>
        <v>11WP00902528</v>
      </c>
      <c r="O287">
        <v>5</v>
      </c>
      <c r="Q287" t="str" cm="1">
        <f t="array" ref="Q287">_xlfn.IFS(AND(C287="",G287=""),"",LEFT(G287,1)="L","記載要",LEFT(G287,1)="W","",AND(C287,G287=""),"記載要")</f>
        <v/>
      </c>
      <c r="R287" s="21" t="str">
        <f t="shared" si="50"/>
        <v/>
      </c>
      <c r="S287" s="21"/>
      <c r="Z287" s="8"/>
      <c r="AA287">
        <v>1</v>
      </c>
      <c r="AB287">
        <f t="shared" si="46"/>
        <v>0</v>
      </c>
      <c r="AC287">
        <v>1</v>
      </c>
      <c r="AF287">
        <v>1</v>
      </c>
      <c r="AG287" s="8"/>
      <c r="AH287" s="8"/>
      <c r="AK287" cm="1">
        <f t="array" ref="AK287">_xlfn.IFS(B287="","",LEFT(G287,1)="L",1,LEFT(G287,1)="W",1,AND(LEFT(B287,1)="H",G287=""),0)</f>
        <v>1</v>
      </c>
      <c r="AS287" t="str">
        <f t="shared" si="47"/>
        <v/>
      </c>
      <c r="AT287" t="s">
        <v>115</v>
      </c>
      <c r="AU287" t="str">
        <f t="shared" si="48"/>
        <v>0</v>
      </c>
      <c r="BD287" t="str">
        <f t="shared" si="49"/>
        <v>0</v>
      </c>
      <c r="BK287" t="str">
        <f>IFERROR(VLOOKUP(B287,'[1]model_S-フレーム'!$F$5:$R$7000,13,1),"")</f>
        <v>E349955_01</v>
      </c>
      <c r="BL287" s="7">
        <f>IFERROR(VLOOKUP(B287,'[1]model_S-フレーム'!$F$5:$V$7000,17,1),"")</f>
        <v>0</v>
      </c>
      <c r="BM287" t="str" cm="1">
        <f t="array" ref="BM287">_xlfn.IFS(LEFT(G287,1)="L","外注品",LEFT(G287,1)="W","内製品",G287="","購買品")</f>
        <v>内製品</v>
      </c>
    </row>
    <row r="288" spans="1:65">
      <c r="A288" t="str">
        <f t="shared" si="41"/>
        <v>WG01</v>
      </c>
      <c r="B288" t="s">
        <v>422</v>
      </c>
      <c r="C288" t="s">
        <v>884</v>
      </c>
      <c r="D288" s="7"/>
      <c r="E288" s="7"/>
      <c r="G288" t="s">
        <v>1938</v>
      </c>
      <c r="H288" t="str" cm="1">
        <f t="array" ref="H288">IFERROR(_xlfn.IFS(B288="","",AND(B288="",G288=""),"",G288="","記載要"),"")</f>
        <v/>
      </c>
      <c r="K288" t="str">
        <f t="shared" si="42"/>
        <v>11WP00902529</v>
      </c>
      <c r="L288" s="3" t="str">
        <f t="shared" si="43"/>
        <v>2001/01/01</v>
      </c>
      <c r="M288" s="3" t="str">
        <f t="shared" si="44"/>
        <v>2199/12/31</v>
      </c>
      <c r="N288" t="str">
        <f t="shared" si="45"/>
        <v>11WP00902529</v>
      </c>
      <c r="O288">
        <v>5</v>
      </c>
      <c r="Q288" t="str" cm="1">
        <f t="array" ref="Q288">_xlfn.IFS(AND(C288="",G288=""),"",LEFT(G288,1)="L","記載要",LEFT(G288,1)="W","",AND(C288,G288=""),"記載要")</f>
        <v/>
      </c>
      <c r="R288" s="21" t="str">
        <f t="shared" si="50"/>
        <v/>
      </c>
      <c r="S288" s="21"/>
      <c r="Z288" s="8"/>
      <c r="AA288">
        <v>1</v>
      </c>
      <c r="AB288">
        <f t="shared" si="46"/>
        <v>0</v>
      </c>
      <c r="AC288">
        <v>1</v>
      </c>
      <c r="AF288">
        <v>1</v>
      </c>
      <c r="AG288" s="8"/>
      <c r="AH288" s="8"/>
      <c r="AK288" cm="1">
        <f t="array" ref="AK288">_xlfn.IFS(B288="","",LEFT(G288,1)="L",1,LEFT(G288,1)="W",1,AND(LEFT(B288,1)="H",G288=""),0)</f>
        <v>1</v>
      </c>
      <c r="AS288" t="str">
        <f t="shared" si="47"/>
        <v/>
      </c>
      <c r="AT288" t="s">
        <v>115</v>
      </c>
      <c r="AU288" t="str">
        <f t="shared" si="48"/>
        <v>0</v>
      </c>
      <c r="BD288" t="str">
        <f t="shared" si="49"/>
        <v>0</v>
      </c>
      <c r="BK288" t="str">
        <f>IFERROR(VLOOKUP(B288,'[1]model_S-フレーム'!$F$5:$R$7000,13,1),"")</f>
        <v>E349955_01</v>
      </c>
      <c r="BL288" s="7">
        <f>IFERROR(VLOOKUP(B288,'[1]model_S-フレーム'!$F$5:$V$7000,17,1),"")</f>
        <v>0</v>
      </c>
      <c r="BM288" t="str" cm="1">
        <f t="array" ref="BM288">_xlfn.IFS(LEFT(G288,1)="L","外注品",LEFT(G288,1)="W","内製品",G288="","購買品")</f>
        <v>内製品</v>
      </c>
    </row>
    <row r="289" spans="1:65">
      <c r="A289" t="str">
        <f t="shared" si="41"/>
        <v>WG01</v>
      </c>
      <c r="B289" t="s">
        <v>423</v>
      </c>
      <c r="C289" t="s">
        <v>884</v>
      </c>
      <c r="D289" s="7"/>
      <c r="E289" s="7"/>
      <c r="G289" t="s">
        <v>1938</v>
      </c>
      <c r="H289" t="str" cm="1">
        <f t="array" ref="H289">IFERROR(_xlfn.IFS(B289="","",AND(B289="",G289=""),"",G289="","記載要"),"")</f>
        <v/>
      </c>
      <c r="K289" t="str">
        <f t="shared" si="42"/>
        <v>11WP00902530</v>
      </c>
      <c r="L289" s="3" t="str">
        <f t="shared" si="43"/>
        <v>2001/01/01</v>
      </c>
      <c r="M289" s="3" t="str">
        <f t="shared" si="44"/>
        <v>2199/12/31</v>
      </c>
      <c r="N289" t="str">
        <f t="shared" si="45"/>
        <v>11WP00902530</v>
      </c>
      <c r="O289">
        <v>5</v>
      </c>
      <c r="Q289" t="str" cm="1">
        <f t="array" ref="Q289">_xlfn.IFS(AND(C289="",G289=""),"",LEFT(G289,1)="L","記載要",LEFT(G289,1)="W","",AND(C289,G289=""),"記載要")</f>
        <v/>
      </c>
      <c r="R289" s="21" t="str">
        <f t="shared" si="50"/>
        <v/>
      </c>
      <c r="S289" s="21"/>
      <c r="Z289" s="8"/>
      <c r="AA289">
        <v>1</v>
      </c>
      <c r="AB289">
        <f t="shared" si="46"/>
        <v>0</v>
      </c>
      <c r="AC289">
        <v>1</v>
      </c>
      <c r="AF289">
        <v>1</v>
      </c>
      <c r="AG289" s="8"/>
      <c r="AH289" s="8"/>
      <c r="AK289" cm="1">
        <f t="array" ref="AK289">_xlfn.IFS(B289="","",LEFT(G289,1)="L",1,LEFT(G289,1)="W",1,AND(LEFT(B289,1)="H",G289=""),0)</f>
        <v>1</v>
      </c>
      <c r="AS289" t="str">
        <f t="shared" si="47"/>
        <v/>
      </c>
      <c r="AT289" t="s">
        <v>115</v>
      </c>
      <c r="AU289" t="str">
        <f t="shared" si="48"/>
        <v>0</v>
      </c>
      <c r="BD289" t="str">
        <f t="shared" si="49"/>
        <v>0</v>
      </c>
      <c r="BK289" t="str">
        <f>IFERROR(VLOOKUP(B289,'[1]model_S-フレーム'!$F$5:$R$7000,13,1),"")</f>
        <v>E349955_01</v>
      </c>
      <c r="BL289" s="7">
        <f>IFERROR(VLOOKUP(B289,'[1]model_S-フレーム'!$F$5:$V$7000,17,1),"")</f>
        <v>0</v>
      </c>
      <c r="BM289" t="str" cm="1">
        <f t="array" ref="BM289">_xlfn.IFS(LEFT(G289,1)="L","外注品",LEFT(G289,1)="W","内製品",G289="","購買品")</f>
        <v>内製品</v>
      </c>
    </row>
    <row r="290" spans="1:65">
      <c r="A290" t="str">
        <f t="shared" si="41"/>
        <v>WG01</v>
      </c>
      <c r="B290" t="s">
        <v>424</v>
      </c>
      <c r="C290" t="s">
        <v>884</v>
      </c>
      <c r="D290" s="7"/>
      <c r="E290" s="7"/>
      <c r="G290" t="s">
        <v>1938</v>
      </c>
      <c r="H290" t="str" cm="1">
        <f t="array" ref="H290">IFERROR(_xlfn.IFS(B290="","",AND(B290="",G290=""),"",G290="","記載要"),"")</f>
        <v/>
      </c>
      <c r="K290" t="str">
        <f t="shared" si="42"/>
        <v>11WP00902531</v>
      </c>
      <c r="L290" s="3" t="str">
        <f t="shared" si="43"/>
        <v>2001/01/01</v>
      </c>
      <c r="M290" s="3" t="str">
        <f t="shared" si="44"/>
        <v>2199/12/31</v>
      </c>
      <c r="N290" t="str">
        <f t="shared" si="45"/>
        <v>11WP00902531</v>
      </c>
      <c r="O290">
        <v>5</v>
      </c>
      <c r="Q290" t="str" cm="1">
        <f t="array" ref="Q290">_xlfn.IFS(AND(C290="",G290=""),"",LEFT(G290,1)="L","記載要",LEFT(G290,1)="W","",AND(C290,G290=""),"記載要")</f>
        <v/>
      </c>
      <c r="R290" s="21" t="str">
        <f t="shared" si="50"/>
        <v/>
      </c>
      <c r="S290" s="21"/>
      <c r="Z290" s="8"/>
      <c r="AA290">
        <v>1</v>
      </c>
      <c r="AB290">
        <f t="shared" si="46"/>
        <v>0</v>
      </c>
      <c r="AC290">
        <v>1</v>
      </c>
      <c r="AF290">
        <v>1</v>
      </c>
      <c r="AG290" s="8"/>
      <c r="AH290" s="8"/>
      <c r="AK290" cm="1">
        <f t="array" ref="AK290">_xlfn.IFS(B290="","",LEFT(G290,1)="L",1,LEFT(G290,1)="W",1,AND(LEFT(B290,1)="H",G290=""),0)</f>
        <v>1</v>
      </c>
      <c r="AS290" t="str">
        <f t="shared" si="47"/>
        <v/>
      </c>
      <c r="AT290" t="s">
        <v>115</v>
      </c>
      <c r="AU290" t="str">
        <f t="shared" si="48"/>
        <v>0</v>
      </c>
      <c r="BD290" t="str">
        <f t="shared" si="49"/>
        <v>0</v>
      </c>
      <c r="BK290" t="str">
        <f>IFERROR(VLOOKUP(B290,'[1]model_S-フレーム'!$F$5:$R$7000,13,1),"")</f>
        <v>E349955_01</v>
      </c>
      <c r="BL290" s="7">
        <f>IFERROR(VLOOKUP(B290,'[1]model_S-フレーム'!$F$5:$V$7000,17,1),"")</f>
        <v>0</v>
      </c>
      <c r="BM290" t="str" cm="1">
        <f t="array" ref="BM290">_xlfn.IFS(LEFT(G290,1)="L","外注品",LEFT(G290,1)="W","内製品",G290="","購買品")</f>
        <v>内製品</v>
      </c>
    </row>
    <row r="291" spans="1:65">
      <c r="A291" t="str">
        <f t="shared" si="41"/>
        <v>WG01</v>
      </c>
      <c r="B291" t="s">
        <v>425</v>
      </c>
      <c r="C291" t="s">
        <v>884</v>
      </c>
      <c r="D291" s="7"/>
      <c r="E291" s="7"/>
      <c r="G291" t="s">
        <v>1938</v>
      </c>
      <c r="H291" t="str" cm="1">
        <f t="array" ref="H291">IFERROR(_xlfn.IFS(B291="","",AND(B291="",G291=""),"",G291="","記載要"),"")</f>
        <v/>
      </c>
      <c r="K291" t="str">
        <f t="shared" si="42"/>
        <v>11WP00902532</v>
      </c>
      <c r="L291" s="3" t="str">
        <f t="shared" si="43"/>
        <v>2001/01/01</v>
      </c>
      <c r="M291" s="3" t="str">
        <f t="shared" si="44"/>
        <v>2199/12/31</v>
      </c>
      <c r="N291" t="str">
        <f t="shared" si="45"/>
        <v>11WP00902532</v>
      </c>
      <c r="O291">
        <v>5</v>
      </c>
      <c r="Q291" t="str" cm="1">
        <f t="array" ref="Q291">_xlfn.IFS(AND(C291="",G291=""),"",LEFT(G291,1)="L","記載要",LEFT(G291,1)="W","",AND(C291,G291=""),"記載要")</f>
        <v/>
      </c>
      <c r="R291" s="21" t="str">
        <f t="shared" si="50"/>
        <v/>
      </c>
      <c r="S291" s="21"/>
      <c r="Z291" s="8"/>
      <c r="AA291">
        <v>1</v>
      </c>
      <c r="AB291">
        <f t="shared" si="46"/>
        <v>0</v>
      </c>
      <c r="AC291">
        <v>1</v>
      </c>
      <c r="AF291">
        <v>1</v>
      </c>
      <c r="AG291" s="8"/>
      <c r="AH291" s="8"/>
      <c r="AK291" cm="1">
        <f t="array" ref="AK291">_xlfn.IFS(B291="","",LEFT(G291,1)="L",1,LEFT(G291,1)="W",1,AND(LEFT(B291,1)="H",G291=""),0)</f>
        <v>1</v>
      </c>
      <c r="AS291" t="str">
        <f t="shared" si="47"/>
        <v/>
      </c>
      <c r="AT291" t="s">
        <v>115</v>
      </c>
      <c r="AU291" t="str">
        <f t="shared" si="48"/>
        <v>0</v>
      </c>
      <c r="BD291" t="str">
        <f t="shared" si="49"/>
        <v>0</v>
      </c>
      <c r="BK291" t="str">
        <f>IFERROR(VLOOKUP(B291,'[1]model_S-フレーム'!$F$5:$R$7000,13,1),"")</f>
        <v>E349955_01</v>
      </c>
      <c r="BL291" s="7">
        <f>IFERROR(VLOOKUP(B291,'[1]model_S-フレーム'!$F$5:$V$7000,17,1),"")</f>
        <v>0</v>
      </c>
      <c r="BM291" t="str" cm="1">
        <f t="array" ref="BM291">_xlfn.IFS(LEFT(G291,1)="L","外注品",LEFT(G291,1)="W","内製品",G291="","購買品")</f>
        <v>内製品</v>
      </c>
    </row>
    <row r="292" spans="1:65">
      <c r="A292" t="str">
        <f t="shared" si="41"/>
        <v>WG01</v>
      </c>
      <c r="B292" t="s">
        <v>426</v>
      </c>
      <c r="C292" t="s">
        <v>884</v>
      </c>
      <c r="D292" s="7"/>
      <c r="E292" s="7"/>
      <c r="G292" t="s">
        <v>1938</v>
      </c>
      <c r="H292" t="str" cm="1">
        <f t="array" ref="H292">IFERROR(_xlfn.IFS(B292="","",AND(B292="",G292=""),"",G292="","記載要"),"")</f>
        <v/>
      </c>
      <c r="K292" t="str">
        <f t="shared" si="42"/>
        <v>11WP00902533</v>
      </c>
      <c r="L292" s="3" t="str">
        <f t="shared" si="43"/>
        <v>2001/01/01</v>
      </c>
      <c r="M292" s="3" t="str">
        <f t="shared" si="44"/>
        <v>2199/12/31</v>
      </c>
      <c r="N292" t="str">
        <f t="shared" si="45"/>
        <v>11WP00902533</v>
      </c>
      <c r="O292">
        <v>5</v>
      </c>
      <c r="Q292" t="str" cm="1">
        <f t="array" ref="Q292">_xlfn.IFS(AND(C292="",G292=""),"",LEFT(G292,1)="L","記載要",LEFT(G292,1)="W","",AND(C292,G292=""),"記載要")</f>
        <v/>
      </c>
      <c r="R292" s="21" t="str">
        <f t="shared" si="50"/>
        <v/>
      </c>
      <c r="S292" s="21"/>
      <c r="Z292" s="8"/>
      <c r="AA292">
        <v>1</v>
      </c>
      <c r="AB292">
        <f t="shared" si="46"/>
        <v>0</v>
      </c>
      <c r="AC292">
        <v>1</v>
      </c>
      <c r="AF292">
        <v>1</v>
      </c>
      <c r="AG292" s="8"/>
      <c r="AH292" s="8"/>
      <c r="AK292" cm="1">
        <f t="array" ref="AK292">_xlfn.IFS(B292="","",LEFT(G292,1)="L",1,LEFT(G292,1)="W",1,AND(LEFT(B292,1)="H",G292=""),0)</f>
        <v>1</v>
      </c>
      <c r="AS292" t="str">
        <f t="shared" si="47"/>
        <v/>
      </c>
      <c r="AT292" t="s">
        <v>115</v>
      </c>
      <c r="AU292" t="str">
        <f t="shared" si="48"/>
        <v>0</v>
      </c>
      <c r="BD292" t="str">
        <f t="shared" si="49"/>
        <v>0</v>
      </c>
      <c r="BK292" t="str">
        <f>IFERROR(VLOOKUP(B292,'[1]model_S-フレーム'!$F$5:$R$7000,13,1),"")</f>
        <v>E349955_01</v>
      </c>
      <c r="BL292" s="7">
        <f>IFERROR(VLOOKUP(B292,'[1]model_S-フレーム'!$F$5:$V$7000,17,1),"")</f>
        <v>0</v>
      </c>
      <c r="BM292" t="str" cm="1">
        <f t="array" ref="BM292">_xlfn.IFS(LEFT(G292,1)="L","外注品",LEFT(G292,1)="W","内製品",G292="","購買品")</f>
        <v>内製品</v>
      </c>
    </row>
    <row r="293" spans="1:65">
      <c r="A293" t="str">
        <f t="shared" si="41"/>
        <v>WG01</v>
      </c>
      <c r="B293" t="s">
        <v>427</v>
      </c>
      <c r="C293" t="s">
        <v>884</v>
      </c>
      <c r="D293" s="7"/>
      <c r="E293" s="7"/>
      <c r="G293" t="s">
        <v>1938</v>
      </c>
      <c r="H293" t="str" cm="1">
        <f t="array" ref="H293">IFERROR(_xlfn.IFS(B293="","",AND(B293="",G293=""),"",G293="","記載要"),"")</f>
        <v/>
      </c>
      <c r="K293" t="str">
        <f t="shared" si="42"/>
        <v>11WP00902534</v>
      </c>
      <c r="L293" s="3" t="str">
        <f t="shared" si="43"/>
        <v>2001/01/01</v>
      </c>
      <c r="M293" s="3" t="str">
        <f t="shared" si="44"/>
        <v>2199/12/31</v>
      </c>
      <c r="N293" t="str">
        <f t="shared" si="45"/>
        <v>11WP00902534</v>
      </c>
      <c r="O293">
        <v>5</v>
      </c>
      <c r="Q293" t="str" cm="1">
        <f t="array" ref="Q293">_xlfn.IFS(AND(C293="",G293=""),"",LEFT(G293,1)="L","記載要",LEFT(G293,1)="W","",AND(C293,G293=""),"記載要")</f>
        <v/>
      </c>
      <c r="R293" s="21" t="str">
        <f t="shared" si="50"/>
        <v/>
      </c>
      <c r="S293" s="21"/>
      <c r="Z293" s="8"/>
      <c r="AA293">
        <v>1</v>
      </c>
      <c r="AB293">
        <f t="shared" si="46"/>
        <v>0</v>
      </c>
      <c r="AC293">
        <v>1</v>
      </c>
      <c r="AF293">
        <v>1</v>
      </c>
      <c r="AG293" s="8"/>
      <c r="AH293" s="8"/>
      <c r="AK293" cm="1">
        <f t="array" ref="AK293">_xlfn.IFS(B293="","",LEFT(G293,1)="L",1,LEFT(G293,1)="W",1,AND(LEFT(B293,1)="H",G293=""),0)</f>
        <v>1</v>
      </c>
      <c r="AS293" t="str">
        <f t="shared" si="47"/>
        <v/>
      </c>
      <c r="AT293" t="s">
        <v>115</v>
      </c>
      <c r="AU293" t="str">
        <f t="shared" si="48"/>
        <v>0</v>
      </c>
      <c r="BD293" t="str">
        <f t="shared" si="49"/>
        <v>0</v>
      </c>
      <c r="BK293" t="str">
        <f>IFERROR(VLOOKUP(B293,'[1]model_S-フレーム'!$F$5:$R$7000,13,1),"")</f>
        <v>E349955_01</v>
      </c>
      <c r="BL293" s="7">
        <f>IFERROR(VLOOKUP(B293,'[1]model_S-フレーム'!$F$5:$V$7000,17,1),"")</f>
        <v>0</v>
      </c>
      <c r="BM293" t="str" cm="1">
        <f t="array" ref="BM293">_xlfn.IFS(LEFT(G293,1)="L","外注品",LEFT(G293,1)="W","内製品",G293="","購買品")</f>
        <v>内製品</v>
      </c>
    </row>
    <row r="294" spans="1:65">
      <c r="A294" t="str">
        <f t="shared" si="41"/>
        <v>WG01</v>
      </c>
      <c r="B294" t="s">
        <v>428</v>
      </c>
      <c r="C294" t="s">
        <v>884</v>
      </c>
      <c r="D294" s="7"/>
      <c r="E294" s="7"/>
      <c r="G294" t="s">
        <v>1938</v>
      </c>
      <c r="H294" t="str" cm="1">
        <f t="array" ref="H294">IFERROR(_xlfn.IFS(B294="","",AND(B294="",G294=""),"",G294="","記載要"),"")</f>
        <v/>
      </c>
      <c r="K294" t="str">
        <f t="shared" si="42"/>
        <v>11WP00902535</v>
      </c>
      <c r="L294" s="3" t="str">
        <f t="shared" si="43"/>
        <v>2001/01/01</v>
      </c>
      <c r="M294" s="3" t="str">
        <f t="shared" si="44"/>
        <v>2199/12/31</v>
      </c>
      <c r="N294" t="str">
        <f t="shared" si="45"/>
        <v>11WP00902535</v>
      </c>
      <c r="O294">
        <v>5</v>
      </c>
      <c r="Q294" t="str" cm="1">
        <f t="array" ref="Q294">_xlfn.IFS(AND(C294="",G294=""),"",LEFT(G294,1)="L","記載要",LEFT(G294,1)="W","",AND(C294,G294=""),"記載要")</f>
        <v/>
      </c>
      <c r="R294" s="21" t="str">
        <f t="shared" si="50"/>
        <v/>
      </c>
      <c r="S294" s="21"/>
      <c r="Z294" s="8"/>
      <c r="AA294">
        <v>1</v>
      </c>
      <c r="AB294">
        <f t="shared" si="46"/>
        <v>0</v>
      </c>
      <c r="AC294">
        <v>1</v>
      </c>
      <c r="AF294">
        <v>1</v>
      </c>
      <c r="AG294" s="8"/>
      <c r="AH294" s="8"/>
      <c r="AK294" cm="1">
        <f t="array" ref="AK294">_xlfn.IFS(B294="","",LEFT(G294,1)="L",1,LEFT(G294,1)="W",1,AND(LEFT(B294,1)="H",G294=""),0)</f>
        <v>1</v>
      </c>
      <c r="AS294" t="str">
        <f t="shared" si="47"/>
        <v/>
      </c>
      <c r="AT294" t="s">
        <v>115</v>
      </c>
      <c r="AU294" t="str">
        <f t="shared" si="48"/>
        <v>0</v>
      </c>
      <c r="BD294" t="str">
        <f t="shared" si="49"/>
        <v>0</v>
      </c>
      <c r="BK294" t="str">
        <f>IFERROR(VLOOKUP(B294,'[1]model_S-フレーム'!$F$5:$R$7000,13,1),"")</f>
        <v>E349955_01</v>
      </c>
      <c r="BL294" s="7">
        <f>IFERROR(VLOOKUP(B294,'[1]model_S-フレーム'!$F$5:$V$7000,17,1),"")</f>
        <v>0</v>
      </c>
      <c r="BM294" t="str" cm="1">
        <f t="array" ref="BM294">_xlfn.IFS(LEFT(G294,1)="L","外注品",LEFT(G294,1)="W","内製品",G294="","購買品")</f>
        <v>内製品</v>
      </c>
    </row>
    <row r="295" spans="1:65" s="11" customFormat="1">
      <c r="A295" t="str">
        <f t="shared" si="41"/>
        <v>WG01</v>
      </c>
      <c r="B295" t="s">
        <v>429</v>
      </c>
      <c r="C295" t="s">
        <v>885</v>
      </c>
      <c r="D295" s="7"/>
      <c r="E295" s="7"/>
      <c r="F295"/>
      <c r="G295"/>
      <c r="H295" s="10" t="s">
        <v>1940</v>
      </c>
      <c r="I295"/>
      <c r="J295"/>
      <c r="K295" t="str">
        <f t="shared" si="42"/>
        <v/>
      </c>
      <c r="L295" s="3" t="str">
        <f t="shared" si="43"/>
        <v>2001/01/01</v>
      </c>
      <c r="M295" s="3" t="str">
        <f t="shared" si="44"/>
        <v>2199/12/31</v>
      </c>
      <c r="N295" t="str">
        <f t="shared" si="45"/>
        <v/>
      </c>
      <c r="O295" t="str">
        <f>IF(G295="","","記載要")</f>
        <v/>
      </c>
      <c r="P295"/>
      <c r="Q295">
        <v>7</v>
      </c>
      <c r="R295" s="21">
        <v>100000000</v>
      </c>
      <c r="S295" s="21" t="str" cm="1">
        <f t="array" ref="S295">_xlfn.IFS(LEFT(G295,1)="L","記載要",LEFT(G295,1)="W","記載要",G295="","")</f>
        <v/>
      </c>
      <c r="T295"/>
      <c r="U295"/>
      <c r="V295"/>
      <c r="W295"/>
      <c r="X295"/>
      <c r="Y295"/>
      <c r="Z295" s="8"/>
      <c r="AA295" s="8">
        <v>1</v>
      </c>
      <c r="AB295">
        <f t="shared" si="46"/>
        <v>0</v>
      </c>
      <c r="AC295" s="8">
        <v>1</v>
      </c>
      <c r="AD295"/>
      <c r="AE295"/>
      <c r="AF295">
        <v>1</v>
      </c>
      <c r="AG295" s="8"/>
      <c r="AH295" s="8"/>
      <c r="AI295"/>
      <c r="AJ295"/>
      <c r="AK295" cm="1">
        <f t="array" ref="AK295">_xlfn.IFS(B295="","",LEFT(G295,1)="L",1,LEFT(G295,1)="W",1,AND(LEFT(B295,1)="H",G295=""),0)</f>
        <v>0</v>
      </c>
      <c r="AL295"/>
      <c r="AM295"/>
      <c r="AN295"/>
      <c r="AO295"/>
      <c r="AP295"/>
      <c r="AQ295"/>
      <c r="AR295"/>
      <c r="AS295">
        <f t="shared" si="47"/>
        <v>1</v>
      </c>
      <c r="AT295" t="s">
        <v>115</v>
      </c>
      <c r="AU295" t="str">
        <f t="shared" si="48"/>
        <v>0</v>
      </c>
      <c r="AV295"/>
      <c r="AW295"/>
      <c r="AX295"/>
      <c r="AY295"/>
      <c r="AZ295"/>
      <c r="BA295"/>
      <c r="BB295"/>
      <c r="BC295"/>
      <c r="BD295" t="str">
        <f t="shared" si="49"/>
        <v>0</v>
      </c>
      <c r="BE295"/>
      <c r="BF295"/>
      <c r="BG295"/>
      <c r="BH295"/>
      <c r="BI295"/>
      <c r="BJ295"/>
      <c r="BK295" s="11" t="str">
        <f>IFERROR(VLOOKUP(B295,'[1]model_S-フレーム'!$F$5:$R$7000,13,1),"")</f>
        <v>E348550_01</v>
      </c>
      <c r="BL295" s="12">
        <f>IFERROR(VLOOKUP(B295,'[1]model_S-フレーム'!$F$5:$V$7000,17,1),"")</f>
        <v>0</v>
      </c>
      <c r="BM295" s="11" t="str" cm="1">
        <f t="array" ref="BM295">_xlfn.IFS(LEFT(G295,1)="L","外注品",LEFT(G295,1)="W","内製品",G295="","購買品")</f>
        <v>購買品</v>
      </c>
    </row>
    <row r="296" spans="1:65" s="11" customFormat="1">
      <c r="A296" t="str">
        <f t="shared" si="41"/>
        <v>WG01</v>
      </c>
      <c r="B296" t="s">
        <v>430</v>
      </c>
      <c r="C296" t="s">
        <v>886</v>
      </c>
      <c r="D296" s="7"/>
      <c r="E296" s="7"/>
      <c r="F296"/>
      <c r="G296"/>
      <c r="H296">
        <v>27616</v>
      </c>
      <c r="I296"/>
      <c r="J296"/>
      <c r="K296" t="str">
        <f t="shared" si="42"/>
        <v/>
      </c>
      <c r="L296" s="3" t="str">
        <f t="shared" si="43"/>
        <v>2001/01/01</v>
      </c>
      <c r="M296" s="3" t="str">
        <f t="shared" si="44"/>
        <v>2199/12/31</v>
      </c>
      <c r="N296" t="str">
        <f t="shared" si="45"/>
        <v/>
      </c>
      <c r="O296" t="str">
        <f>IF(G296="","","記載要")</f>
        <v/>
      </c>
      <c r="P296"/>
      <c r="Q296">
        <v>15</v>
      </c>
      <c r="R296" s="21">
        <v>100000000</v>
      </c>
      <c r="S296" s="21" t="str" cm="1">
        <f t="array" ref="S296">_xlfn.IFS(LEFT(G296,1)="L","記載要",LEFT(G296,1)="W","記載要",G296="","")</f>
        <v/>
      </c>
      <c r="T296"/>
      <c r="U296"/>
      <c r="V296"/>
      <c r="W296"/>
      <c r="X296"/>
      <c r="Y296"/>
      <c r="Z296" s="8"/>
      <c r="AA296" s="8">
        <v>1</v>
      </c>
      <c r="AB296">
        <f t="shared" si="46"/>
        <v>0</v>
      </c>
      <c r="AC296" s="8">
        <v>1</v>
      </c>
      <c r="AD296"/>
      <c r="AE296"/>
      <c r="AF296">
        <v>1</v>
      </c>
      <c r="AG296" s="8"/>
      <c r="AH296" s="8"/>
      <c r="AI296"/>
      <c r="AJ296"/>
      <c r="AK296" cm="1">
        <f t="array" ref="AK296">_xlfn.IFS(B296="","",LEFT(G296,1)="L",1,LEFT(G296,1)="W",1,AND(LEFT(B296,1)="H",G296=""),0)</f>
        <v>0</v>
      </c>
      <c r="AL296"/>
      <c r="AM296"/>
      <c r="AN296"/>
      <c r="AO296"/>
      <c r="AP296"/>
      <c r="AQ296"/>
      <c r="AR296"/>
      <c r="AS296">
        <f t="shared" si="47"/>
        <v>1</v>
      </c>
      <c r="AT296" t="s">
        <v>115</v>
      </c>
      <c r="AU296" t="str">
        <f t="shared" si="48"/>
        <v>0</v>
      </c>
      <c r="AV296"/>
      <c r="AW296"/>
      <c r="AX296"/>
      <c r="AY296"/>
      <c r="AZ296"/>
      <c r="BA296"/>
      <c r="BB296"/>
      <c r="BC296"/>
      <c r="BD296" t="str">
        <f t="shared" si="49"/>
        <v>0</v>
      </c>
      <c r="BE296"/>
      <c r="BF296"/>
      <c r="BG296"/>
      <c r="BH296"/>
      <c r="BI296"/>
      <c r="BJ296"/>
      <c r="BK296" s="11" t="str">
        <f>IFERROR(VLOOKUP(B296,'[1]model_S-フレーム'!$F$5:$R$7000,13,1),"")</f>
        <v>E349955_01</v>
      </c>
      <c r="BL296" s="12">
        <f>IFERROR(VLOOKUP(B296,'[1]model_S-フレーム'!$F$5:$V$7000,17,1),"")</f>
        <v>0</v>
      </c>
      <c r="BM296" s="11" t="str" cm="1">
        <f t="array" ref="BM296">_xlfn.IFS(LEFT(G296,1)="L","外注品",LEFT(G296,1)="W","内製品",G296="","購買品")</f>
        <v>購買品</v>
      </c>
    </row>
    <row r="297" spans="1:65" s="11" customFormat="1">
      <c r="A297" t="str">
        <f t="shared" si="41"/>
        <v>WG01</v>
      </c>
      <c r="B297" t="s">
        <v>430</v>
      </c>
      <c r="C297" t="s">
        <v>886</v>
      </c>
      <c r="D297" s="7"/>
      <c r="E297" s="7"/>
      <c r="F297"/>
      <c r="G297"/>
      <c r="H297">
        <v>43453</v>
      </c>
      <c r="I297"/>
      <c r="J297"/>
      <c r="K297" t="str">
        <f t="shared" si="42"/>
        <v/>
      </c>
      <c r="L297" s="3" t="str">
        <f t="shared" si="43"/>
        <v>2001/01/01</v>
      </c>
      <c r="M297" s="3" t="str">
        <f t="shared" si="44"/>
        <v>2199/12/31</v>
      </c>
      <c r="N297" t="str">
        <f t="shared" si="45"/>
        <v/>
      </c>
      <c r="O297" t="str">
        <f>IF(G297="","","記載要")</f>
        <v/>
      </c>
      <c r="P297"/>
      <c r="Q297">
        <v>15</v>
      </c>
      <c r="R297" s="21">
        <v>100000000</v>
      </c>
      <c r="S297" s="21" t="str" cm="1">
        <f t="array" ref="S297">_xlfn.IFS(LEFT(G297,1)="L","記載要",LEFT(G297,1)="W","記載要",G297="","")</f>
        <v/>
      </c>
      <c r="T297"/>
      <c r="U297"/>
      <c r="V297"/>
      <c r="W297"/>
      <c r="X297"/>
      <c r="Y297"/>
      <c r="Z297" s="8"/>
      <c r="AA297" s="8">
        <v>1</v>
      </c>
      <c r="AB297">
        <f t="shared" si="46"/>
        <v>0</v>
      </c>
      <c r="AC297" s="8">
        <v>1</v>
      </c>
      <c r="AD297"/>
      <c r="AE297"/>
      <c r="AF297">
        <v>0</v>
      </c>
      <c r="AG297" s="8"/>
      <c r="AH297" s="8"/>
      <c r="AI297"/>
      <c r="AJ297"/>
      <c r="AK297" cm="1">
        <f t="array" ref="AK297">_xlfn.IFS(B297="","",LEFT(G297,1)="L",1,LEFT(G297,1)="W",1,AND(LEFT(B297,1)="H",G297=""),0)</f>
        <v>0</v>
      </c>
      <c r="AL297"/>
      <c r="AM297"/>
      <c r="AN297"/>
      <c r="AO297"/>
      <c r="AP297"/>
      <c r="AQ297"/>
      <c r="AR297"/>
      <c r="AS297">
        <f t="shared" si="47"/>
        <v>1</v>
      </c>
      <c r="AT297" t="s">
        <v>115</v>
      </c>
      <c r="AU297" t="str">
        <f t="shared" si="48"/>
        <v>0</v>
      </c>
      <c r="AV297"/>
      <c r="AW297"/>
      <c r="AX297"/>
      <c r="AY297"/>
      <c r="AZ297"/>
      <c r="BA297"/>
      <c r="BB297"/>
      <c r="BC297"/>
      <c r="BD297" t="str">
        <f t="shared" si="49"/>
        <v>0</v>
      </c>
      <c r="BE297"/>
      <c r="BF297"/>
      <c r="BG297"/>
      <c r="BH297"/>
      <c r="BI297"/>
      <c r="BJ297"/>
      <c r="BK297" s="11" t="str">
        <f>IFERROR(VLOOKUP(B297,'[1]model_S-フレーム'!$F$5:$R$7000,13,1),"")</f>
        <v>E349955_01</v>
      </c>
      <c r="BL297" s="12">
        <f>IFERROR(VLOOKUP(B297,'[1]model_S-フレーム'!$F$5:$V$7000,17,1),"")</f>
        <v>0</v>
      </c>
      <c r="BM297" s="11" t="str" cm="1">
        <f t="array" ref="BM297">_xlfn.IFS(LEFT(G297,1)="L","外注品",LEFT(G297,1)="W","内製品",G297="","購買品")</f>
        <v>購買品</v>
      </c>
    </row>
    <row r="298" spans="1:65" s="11" customFormat="1">
      <c r="A298" t="str">
        <f t="shared" si="41"/>
        <v>WG01</v>
      </c>
      <c r="B298" t="s">
        <v>430</v>
      </c>
      <c r="C298" t="s">
        <v>886</v>
      </c>
      <c r="D298" s="7"/>
      <c r="E298" s="7"/>
      <c r="F298"/>
      <c r="G298"/>
      <c r="H298">
        <v>47081</v>
      </c>
      <c r="I298"/>
      <c r="J298"/>
      <c r="K298" t="str">
        <f t="shared" si="42"/>
        <v/>
      </c>
      <c r="L298" s="3" t="str">
        <f t="shared" si="43"/>
        <v>2001/01/01</v>
      </c>
      <c r="M298" s="3" t="str">
        <f t="shared" si="44"/>
        <v>2199/12/31</v>
      </c>
      <c r="N298" t="str">
        <f t="shared" si="45"/>
        <v/>
      </c>
      <c r="O298" t="str">
        <f>IF(G298="","","記載要")</f>
        <v/>
      </c>
      <c r="P298"/>
      <c r="Q298">
        <v>15</v>
      </c>
      <c r="R298" s="21">
        <v>100000000</v>
      </c>
      <c r="S298" s="21" t="str" cm="1">
        <f t="array" ref="S298">_xlfn.IFS(LEFT(G298,1)="L","記載要",LEFT(G298,1)="W","記載要",G298="","")</f>
        <v/>
      </c>
      <c r="T298"/>
      <c r="U298"/>
      <c r="V298"/>
      <c r="W298"/>
      <c r="X298"/>
      <c r="Y298"/>
      <c r="Z298" s="8"/>
      <c r="AA298" s="8">
        <v>1</v>
      </c>
      <c r="AB298">
        <f t="shared" si="46"/>
        <v>0</v>
      </c>
      <c r="AC298" s="8">
        <v>1</v>
      </c>
      <c r="AD298"/>
      <c r="AE298"/>
      <c r="AF298">
        <v>0</v>
      </c>
      <c r="AG298" s="8"/>
      <c r="AH298" s="8"/>
      <c r="AI298"/>
      <c r="AJ298"/>
      <c r="AK298" cm="1">
        <f t="array" ref="AK298">_xlfn.IFS(B298="","",LEFT(G298,1)="L",1,LEFT(G298,1)="W",1,AND(LEFT(B298,1)="H",G298=""),0)</f>
        <v>0</v>
      </c>
      <c r="AL298"/>
      <c r="AM298"/>
      <c r="AN298"/>
      <c r="AO298"/>
      <c r="AP298"/>
      <c r="AQ298"/>
      <c r="AR298"/>
      <c r="AS298">
        <f t="shared" si="47"/>
        <v>1</v>
      </c>
      <c r="AT298" t="s">
        <v>115</v>
      </c>
      <c r="AU298" t="str">
        <f t="shared" si="48"/>
        <v>0</v>
      </c>
      <c r="AV298"/>
      <c r="AW298"/>
      <c r="AX298"/>
      <c r="AY298"/>
      <c r="AZ298"/>
      <c r="BA298"/>
      <c r="BB298"/>
      <c r="BC298"/>
      <c r="BD298" t="str">
        <f t="shared" si="49"/>
        <v>0</v>
      </c>
      <c r="BE298"/>
      <c r="BF298"/>
      <c r="BG298"/>
      <c r="BH298"/>
      <c r="BI298"/>
      <c r="BJ298"/>
      <c r="BK298" s="11" t="str">
        <f>IFERROR(VLOOKUP(B298,'[1]model_S-フレーム'!$F$5:$R$7000,13,1),"")</f>
        <v>E349955_01</v>
      </c>
      <c r="BL298" s="12">
        <f>IFERROR(VLOOKUP(B298,'[1]model_S-フレーム'!$F$5:$V$7000,17,1),"")</f>
        <v>0</v>
      </c>
      <c r="BM298" s="11" t="str" cm="1">
        <f t="array" ref="BM298">_xlfn.IFS(LEFT(G298,1)="L","外注品",LEFT(G298,1)="W","内製品",G298="","購買品")</f>
        <v>購買品</v>
      </c>
    </row>
    <row r="299" spans="1:65">
      <c r="A299" t="str">
        <f t="shared" si="41"/>
        <v>WG01</v>
      </c>
      <c r="B299" t="s">
        <v>430</v>
      </c>
      <c r="C299" t="s">
        <v>886</v>
      </c>
      <c r="D299" s="7"/>
      <c r="E299" s="7"/>
      <c r="H299" s="19" t="s">
        <v>1937</v>
      </c>
      <c r="K299" t="str">
        <f t="shared" si="42"/>
        <v/>
      </c>
      <c r="L299" s="3" t="str">
        <f t="shared" si="43"/>
        <v>2001/01/01</v>
      </c>
      <c r="M299" s="3" t="str">
        <f t="shared" si="44"/>
        <v>2199/12/31</v>
      </c>
      <c r="N299" t="str">
        <f t="shared" si="45"/>
        <v/>
      </c>
      <c r="O299" t="str">
        <f>IF(G299="","","記載要")</f>
        <v/>
      </c>
      <c r="Q299">
        <v>15</v>
      </c>
      <c r="R299" s="21">
        <v>100000000</v>
      </c>
      <c r="S299" s="21" t="str" cm="1">
        <f t="array" ref="S299">_xlfn.IFS(LEFT(G299,1)="L","記載要",LEFT(G299,1)="W","記載要",G299="","")</f>
        <v/>
      </c>
      <c r="Z299" s="8"/>
      <c r="AA299" s="8">
        <v>1</v>
      </c>
      <c r="AB299">
        <f t="shared" si="46"/>
        <v>0</v>
      </c>
      <c r="AC299" s="8">
        <v>1</v>
      </c>
      <c r="AF299">
        <v>0</v>
      </c>
      <c r="AG299" s="8"/>
      <c r="AH299" s="8"/>
      <c r="AK299" cm="1">
        <f t="array" ref="AK299">_xlfn.IFS(B299="","",LEFT(G299,1)="L",1,LEFT(G299,1)="W",1,AND(LEFT(B299,1)="H",G299=""),0)</f>
        <v>0</v>
      </c>
      <c r="AS299">
        <f t="shared" si="47"/>
        <v>1</v>
      </c>
      <c r="AT299" t="s">
        <v>115</v>
      </c>
      <c r="AU299" t="str">
        <f t="shared" si="48"/>
        <v>0</v>
      </c>
      <c r="BD299" t="str">
        <f t="shared" si="49"/>
        <v>0</v>
      </c>
      <c r="BK299" t="str">
        <f>IFERROR(VLOOKUP(B299,'[1]model_S-フレーム'!$F$5:$R$7000,13,1),"")</f>
        <v>E349955_01</v>
      </c>
      <c r="BL299" s="7">
        <f>IFERROR(VLOOKUP(B299,'[1]model_S-フレーム'!$F$5:$V$7000,17,1),"")</f>
        <v>0</v>
      </c>
      <c r="BM299" t="str" cm="1">
        <f t="array" ref="BM299">_xlfn.IFS(LEFT(G299,1)="L","外注品",LEFT(G299,1)="W","内製品",G299="","購買品")</f>
        <v>購買品</v>
      </c>
    </row>
    <row r="300" spans="1:65">
      <c r="A300" t="str">
        <f t="shared" si="41"/>
        <v>WG01</v>
      </c>
      <c r="B300" t="s">
        <v>431</v>
      </c>
      <c r="C300" t="s">
        <v>887</v>
      </c>
      <c r="D300" s="7"/>
      <c r="E300" s="7"/>
      <c r="G300" t="s">
        <v>1938</v>
      </c>
      <c r="H300" t="str" cm="1">
        <f t="array" ref="H300">IFERROR(_xlfn.IFS(B300="","",AND(B300="",G300=""),"",G300="","記載要"),"")</f>
        <v/>
      </c>
      <c r="K300" t="str">
        <f t="shared" si="42"/>
        <v>11WP00902538</v>
      </c>
      <c r="L300" s="3" t="str">
        <f t="shared" si="43"/>
        <v>2001/01/01</v>
      </c>
      <c r="M300" s="3" t="str">
        <f t="shared" si="44"/>
        <v>2199/12/31</v>
      </c>
      <c r="N300" t="str">
        <f t="shared" si="45"/>
        <v>11WP00902538</v>
      </c>
      <c r="O300">
        <v>5</v>
      </c>
      <c r="Q300" t="str" cm="1">
        <f t="array" ref="Q300">_xlfn.IFS(AND(C300="",G300=""),"",LEFT(G300,1)="L","記載要",LEFT(G300,1)="W","",AND(C300,G300=""),"記載要")</f>
        <v/>
      </c>
      <c r="R300" s="21" t="str">
        <f t="shared" si="50"/>
        <v/>
      </c>
      <c r="S300" s="21"/>
      <c r="Z300" s="8"/>
      <c r="AA300">
        <v>1</v>
      </c>
      <c r="AB300">
        <f t="shared" si="46"/>
        <v>0</v>
      </c>
      <c r="AC300">
        <v>1</v>
      </c>
      <c r="AF300">
        <v>1</v>
      </c>
      <c r="AG300" s="8"/>
      <c r="AH300" s="8"/>
      <c r="AK300" cm="1">
        <f t="array" ref="AK300">_xlfn.IFS(B300="","",LEFT(G300,1)="L",1,LEFT(G300,1)="W",1,AND(LEFT(B300,1)="H",G300=""),0)</f>
        <v>1</v>
      </c>
      <c r="AS300" t="str">
        <f t="shared" si="47"/>
        <v/>
      </c>
      <c r="AT300" t="s">
        <v>115</v>
      </c>
      <c r="AU300" t="str">
        <f t="shared" si="48"/>
        <v>0</v>
      </c>
      <c r="BD300" t="str">
        <f t="shared" si="49"/>
        <v>0</v>
      </c>
      <c r="BK300" t="str">
        <f>IFERROR(VLOOKUP(B300,'[1]model_S-フレーム'!$F$5:$R$7000,13,1),"")</f>
        <v>E353766_01</v>
      </c>
      <c r="BL300" s="7" t="str">
        <f>IFERROR(VLOOKUP(B300,'[1]model_S-フレーム'!$F$5:$V$7000,17,1),"")</f>
        <v>RX-10F</v>
      </c>
      <c r="BM300" t="str" cm="1">
        <f t="array" ref="BM300">_xlfn.IFS(LEFT(G300,1)="L","外注品",LEFT(G300,1)="W","内製品",G300="","購買品")</f>
        <v>内製品</v>
      </c>
    </row>
    <row r="301" spans="1:65">
      <c r="A301" t="str">
        <f t="shared" si="41"/>
        <v>WG01</v>
      </c>
      <c r="B301" t="s">
        <v>432</v>
      </c>
      <c r="C301" t="s">
        <v>887</v>
      </c>
      <c r="D301" s="7"/>
      <c r="E301" s="7"/>
      <c r="G301" t="s">
        <v>1938</v>
      </c>
      <c r="H301" t="str" cm="1">
        <f t="array" ref="H301">IFERROR(_xlfn.IFS(B301="","",AND(B301="",G301=""),"",G301="","記載要"),"")</f>
        <v/>
      </c>
      <c r="K301" t="str">
        <f t="shared" si="42"/>
        <v>11WP00902539</v>
      </c>
      <c r="L301" s="3" t="str">
        <f t="shared" si="43"/>
        <v>2001/01/01</v>
      </c>
      <c r="M301" s="3" t="str">
        <f t="shared" si="44"/>
        <v>2199/12/31</v>
      </c>
      <c r="N301" t="str">
        <f t="shared" si="45"/>
        <v>11WP00902539</v>
      </c>
      <c r="O301">
        <v>5</v>
      </c>
      <c r="Q301" t="str" cm="1">
        <f t="array" ref="Q301">_xlfn.IFS(AND(C301="",G301=""),"",LEFT(G301,1)="L","記載要",LEFT(G301,1)="W","",AND(C301,G301=""),"記載要")</f>
        <v/>
      </c>
      <c r="R301" s="21" t="str">
        <f t="shared" si="50"/>
        <v/>
      </c>
      <c r="S301" s="21"/>
      <c r="Z301" s="8"/>
      <c r="AA301">
        <v>1</v>
      </c>
      <c r="AB301">
        <f t="shared" si="46"/>
        <v>0</v>
      </c>
      <c r="AC301">
        <v>1</v>
      </c>
      <c r="AF301">
        <v>1</v>
      </c>
      <c r="AG301" s="8"/>
      <c r="AH301" s="8"/>
      <c r="AK301" cm="1">
        <f t="array" ref="AK301">_xlfn.IFS(B301="","",LEFT(G301,1)="L",1,LEFT(G301,1)="W",1,AND(LEFT(B301,1)="H",G301=""),0)</f>
        <v>1</v>
      </c>
      <c r="AS301" t="str">
        <f t="shared" si="47"/>
        <v/>
      </c>
      <c r="AT301" t="s">
        <v>115</v>
      </c>
      <c r="AU301" t="str">
        <f t="shared" si="48"/>
        <v>0</v>
      </c>
      <c r="BD301" t="str">
        <f t="shared" si="49"/>
        <v>0</v>
      </c>
      <c r="BK301" t="str">
        <f>IFERROR(VLOOKUP(B301,'[1]model_S-フレーム'!$F$5:$R$7000,13,1),"")</f>
        <v>E353766_01</v>
      </c>
      <c r="BL301" s="7" t="str">
        <f>IFERROR(VLOOKUP(B301,'[1]model_S-フレーム'!$F$5:$V$7000,17,1),"")</f>
        <v>RX-10F</v>
      </c>
      <c r="BM301" t="str" cm="1">
        <f t="array" ref="BM301">_xlfn.IFS(LEFT(G301,1)="L","外注品",LEFT(G301,1)="W","内製品",G301="","購買品")</f>
        <v>内製品</v>
      </c>
    </row>
    <row r="302" spans="1:65">
      <c r="A302" t="str">
        <f t="shared" si="41"/>
        <v>WG01</v>
      </c>
      <c r="B302" t="s">
        <v>433</v>
      </c>
      <c r="C302" t="s">
        <v>887</v>
      </c>
      <c r="D302" s="7"/>
      <c r="E302" s="7"/>
      <c r="G302" t="s">
        <v>1938</v>
      </c>
      <c r="H302" t="str" cm="1">
        <f t="array" ref="H302">IFERROR(_xlfn.IFS(B302="","",AND(B302="",G302=""),"",G302="","記載要"),"")</f>
        <v/>
      </c>
      <c r="K302" t="str">
        <f t="shared" si="42"/>
        <v>11WP00902540</v>
      </c>
      <c r="L302" s="3" t="str">
        <f t="shared" si="43"/>
        <v>2001/01/01</v>
      </c>
      <c r="M302" s="3" t="str">
        <f t="shared" si="44"/>
        <v>2199/12/31</v>
      </c>
      <c r="N302" t="str">
        <f t="shared" si="45"/>
        <v>11WP00902540</v>
      </c>
      <c r="O302">
        <v>5</v>
      </c>
      <c r="Q302" t="str" cm="1">
        <f t="array" ref="Q302">_xlfn.IFS(AND(C302="",G302=""),"",LEFT(G302,1)="L","記載要",LEFT(G302,1)="W","",AND(C302,G302=""),"記載要")</f>
        <v/>
      </c>
      <c r="R302" s="21" t="str">
        <f t="shared" si="50"/>
        <v/>
      </c>
      <c r="S302" s="21"/>
      <c r="Z302" s="8"/>
      <c r="AA302">
        <v>1</v>
      </c>
      <c r="AB302">
        <f t="shared" si="46"/>
        <v>0</v>
      </c>
      <c r="AC302">
        <v>1</v>
      </c>
      <c r="AF302">
        <v>1</v>
      </c>
      <c r="AG302" s="8"/>
      <c r="AH302" s="8"/>
      <c r="AK302" cm="1">
        <f t="array" ref="AK302">_xlfn.IFS(B302="","",LEFT(G302,1)="L",1,LEFT(G302,1)="W",1,AND(LEFT(B302,1)="H",G302=""),0)</f>
        <v>1</v>
      </c>
      <c r="AS302" t="str">
        <f t="shared" si="47"/>
        <v/>
      </c>
      <c r="AT302" t="s">
        <v>115</v>
      </c>
      <c r="AU302" t="str">
        <f t="shared" si="48"/>
        <v>0</v>
      </c>
      <c r="BD302" t="str">
        <f t="shared" si="49"/>
        <v>0</v>
      </c>
      <c r="BK302" t="str">
        <f>IFERROR(VLOOKUP(B302,'[1]model_S-フレーム'!$F$5:$R$7000,13,1),"")</f>
        <v>E353766_01</v>
      </c>
      <c r="BL302" s="7" t="str">
        <f>IFERROR(VLOOKUP(B302,'[1]model_S-フレーム'!$F$5:$V$7000,17,1),"")</f>
        <v>RX-10F</v>
      </c>
      <c r="BM302" t="str" cm="1">
        <f t="array" ref="BM302">_xlfn.IFS(LEFT(G302,1)="L","外注品",LEFT(G302,1)="W","内製品",G302="","購買品")</f>
        <v>内製品</v>
      </c>
    </row>
    <row r="303" spans="1:65">
      <c r="A303" t="str">
        <f t="shared" si="41"/>
        <v>WG01</v>
      </c>
      <c r="B303" t="s">
        <v>434</v>
      </c>
      <c r="C303" t="s">
        <v>887</v>
      </c>
      <c r="D303" s="7"/>
      <c r="E303" s="7"/>
      <c r="G303" t="s">
        <v>1938</v>
      </c>
      <c r="H303" t="str" cm="1">
        <f t="array" ref="H303">IFERROR(_xlfn.IFS(B303="","",AND(B303="",G303=""),"",G303="","記載要"),"")</f>
        <v/>
      </c>
      <c r="K303" t="str">
        <f t="shared" si="42"/>
        <v>11WP00902541</v>
      </c>
      <c r="L303" s="3" t="str">
        <f t="shared" si="43"/>
        <v>2001/01/01</v>
      </c>
      <c r="M303" s="3" t="str">
        <f t="shared" si="44"/>
        <v>2199/12/31</v>
      </c>
      <c r="N303" t="str">
        <f t="shared" si="45"/>
        <v>11WP00902541</v>
      </c>
      <c r="O303">
        <v>5</v>
      </c>
      <c r="Q303" t="str" cm="1">
        <f t="array" ref="Q303">_xlfn.IFS(AND(C303="",G303=""),"",LEFT(G303,1)="L","記載要",LEFT(G303,1)="W","",AND(C303,G303=""),"記載要")</f>
        <v/>
      </c>
      <c r="R303" s="21" t="str">
        <f t="shared" si="50"/>
        <v/>
      </c>
      <c r="S303" s="21"/>
      <c r="Z303" s="8"/>
      <c r="AA303">
        <v>1</v>
      </c>
      <c r="AB303">
        <f t="shared" si="46"/>
        <v>0</v>
      </c>
      <c r="AC303">
        <v>1</v>
      </c>
      <c r="AF303">
        <v>1</v>
      </c>
      <c r="AG303" s="8"/>
      <c r="AH303" s="8"/>
      <c r="AK303" cm="1">
        <f t="array" ref="AK303">_xlfn.IFS(B303="","",LEFT(G303,1)="L",1,LEFT(G303,1)="W",1,AND(LEFT(B303,1)="H",G303=""),0)</f>
        <v>1</v>
      </c>
      <c r="AS303" t="str">
        <f t="shared" si="47"/>
        <v/>
      </c>
      <c r="AT303" t="s">
        <v>115</v>
      </c>
      <c r="AU303" t="str">
        <f t="shared" si="48"/>
        <v>0</v>
      </c>
      <c r="BD303" t="str">
        <f t="shared" si="49"/>
        <v>0</v>
      </c>
      <c r="BK303" t="str">
        <f>IFERROR(VLOOKUP(B303,'[1]model_S-フレーム'!$F$5:$R$7000,13,1),"")</f>
        <v>E353766_01</v>
      </c>
      <c r="BL303" s="7" t="str">
        <f>IFERROR(VLOOKUP(B303,'[1]model_S-フレーム'!$F$5:$V$7000,17,1),"")</f>
        <v>RX-10F</v>
      </c>
      <c r="BM303" t="str" cm="1">
        <f t="array" ref="BM303">_xlfn.IFS(LEFT(G303,1)="L","外注品",LEFT(G303,1)="W","内製品",G303="","購買品")</f>
        <v>内製品</v>
      </c>
    </row>
    <row r="304" spans="1:65">
      <c r="A304" t="str">
        <f t="shared" si="41"/>
        <v>WG01</v>
      </c>
      <c r="B304" t="s">
        <v>435</v>
      </c>
      <c r="C304" t="s">
        <v>888</v>
      </c>
      <c r="D304" s="7"/>
      <c r="E304" s="7"/>
      <c r="G304" t="s">
        <v>1938</v>
      </c>
      <c r="H304" t="str" cm="1">
        <f t="array" ref="H304">IFERROR(_xlfn.IFS(B304="","",AND(B304="",G304=""),"",G304="","記載要"),"")</f>
        <v/>
      </c>
      <c r="K304" t="str">
        <f t="shared" si="42"/>
        <v>11WP00902542</v>
      </c>
      <c r="L304" s="3" t="str">
        <f t="shared" si="43"/>
        <v>2001/01/01</v>
      </c>
      <c r="M304" s="3" t="str">
        <f t="shared" si="44"/>
        <v>2199/12/31</v>
      </c>
      <c r="N304" t="str">
        <f t="shared" si="45"/>
        <v>11WP00902542</v>
      </c>
      <c r="O304">
        <v>5</v>
      </c>
      <c r="Q304" t="str" cm="1">
        <f t="array" ref="Q304">_xlfn.IFS(AND(C304="",G304=""),"",LEFT(G304,1)="L","記載要",LEFT(G304,1)="W","",AND(C304,G304=""),"記載要")</f>
        <v/>
      </c>
      <c r="R304" s="21" t="str">
        <f t="shared" si="50"/>
        <v/>
      </c>
      <c r="S304" s="21"/>
      <c r="Z304" s="8"/>
      <c r="AA304">
        <v>1</v>
      </c>
      <c r="AB304">
        <f t="shared" si="46"/>
        <v>0</v>
      </c>
      <c r="AC304">
        <v>1</v>
      </c>
      <c r="AF304">
        <v>1</v>
      </c>
      <c r="AG304" s="8"/>
      <c r="AH304" s="8"/>
      <c r="AK304" cm="1">
        <f t="array" ref="AK304">_xlfn.IFS(B304="","",LEFT(G304,1)="L",1,LEFT(G304,1)="W",1,AND(LEFT(B304,1)="H",G304=""),0)</f>
        <v>1</v>
      </c>
      <c r="AS304" t="str">
        <f t="shared" si="47"/>
        <v/>
      </c>
      <c r="AT304" t="s">
        <v>115</v>
      </c>
      <c r="AU304" t="str">
        <f t="shared" si="48"/>
        <v>0</v>
      </c>
      <c r="BD304" t="str">
        <f t="shared" si="49"/>
        <v>0</v>
      </c>
      <c r="BK304" t="str">
        <f>IFERROR(VLOOKUP(B304,'[1]model_S-フレーム'!$F$5:$R$7000,13,1),"")</f>
        <v>E353766_01</v>
      </c>
      <c r="BL304" s="7" t="str">
        <f>IFERROR(VLOOKUP(B304,'[1]model_S-フレーム'!$F$5:$V$7000,17,1),"")</f>
        <v>RX-10F</v>
      </c>
      <c r="BM304" t="str" cm="1">
        <f t="array" ref="BM304">_xlfn.IFS(LEFT(G304,1)="L","外注品",LEFT(G304,1)="W","内製品",G304="","購買品")</f>
        <v>内製品</v>
      </c>
    </row>
    <row r="305" spans="1:65">
      <c r="A305" t="str">
        <f t="shared" si="41"/>
        <v>WG01</v>
      </c>
      <c r="B305" t="s">
        <v>436</v>
      </c>
      <c r="C305" t="s">
        <v>888</v>
      </c>
      <c r="D305" s="7"/>
      <c r="E305" s="7"/>
      <c r="G305" t="s">
        <v>1938</v>
      </c>
      <c r="H305" t="str" cm="1">
        <f t="array" ref="H305">IFERROR(_xlfn.IFS(B305="","",AND(B305="",G305=""),"",G305="","記載要"),"")</f>
        <v/>
      </c>
      <c r="K305" t="str">
        <f t="shared" si="42"/>
        <v>11WP00902543</v>
      </c>
      <c r="L305" s="3" t="str">
        <f t="shared" si="43"/>
        <v>2001/01/01</v>
      </c>
      <c r="M305" s="3" t="str">
        <f t="shared" si="44"/>
        <v>2199/12/31</v>
      </c>
      <c r="N305" t="str">
        <f t="shared" si="45"/>
        <v>11WP00902543</v>
      </c>
      <c r="O305">
        <v>5</v>
      </c>
      <c r="Q305" t="str" cm="1">
        <f t="array" ref="Q305">_xlfn.IFS(AND(C305="",G305=""),"",LEFT(G305,1)="L","記載要",LEFT(G305,1)="W","",AND(C305,G305=""),"記載要")</f>
        <v/>
      </c>
      <c r="R305" s="21" t="str">
        <f t="shared" si="50"/>
        <v/>
      </c>
      <c r="S305" s="21"/>
      <c r="Z305" s="8"/>
      <c r="AA305">
        <v>1</v>
      </c>
      <c r="AB305">
        <f t="shared" si="46"/>
        <v>0</v>
      </c>
      <c r="AC305">
        <v>1</v>
      </c>
      <c r="AF305">
        <v>1</v>
      </c>
      <c r="AG305" s="8"/>
      <c r="AH305" s="8"/>
      <c r="AK305" cm="1">
        <f t="array" ref="AK305">_xlfn.IFS(B305="","",LEFT(G305,1)="L",1,LEFT(G305,1)="W",1,AND(LEFT(B305,1)="H",G305=""),0)</f>
        <v>1</v>
      </c>
      <c r="AS305" t="str">
        <f t="shared" si="47"/>
        <v/>
      </c>
      <c r="AT305" t="s">
        <v>115</v>
      </c>
      <c r="AU305" t="str">
        <f t="shared" si="48"/>
        <v>0</v>
      </c>
      <c r="BD305" t="str">
        <f t="shared" si="49"/>
        <v>0</v>
      </c>
      <c r="BK305" t="str">
        <f>IFERROR(VLOOKUP(B305,'[1]model_S-フレーム'!$F$5:$R$7000,13,1),"")</f>
        <v>E353766_01</v>
      </c>
      <c r="BL305" s="7" t="str">
        <f>IFERROR(VLOOKUP(B305,'[1]model_S-フレーム'!$F$5:$V$7000,17,1),"")</f>
        <v>RX-10F</v>
      </c>
      <c r="BM305" t="str" cm="1">
        <f t="array" ref="BM305">_xlfn.IFS(LEFT(G305,1)="L","外注品",LEFT(G305,1)="W","内製品",G305="","購買品")</f>
        <v>内製品</v>
      </c>
    </row>
    <row r="306" spans="1:65">
      <c r="A306" t="str">
        <f t="shared" si="41"/>
        <v>WG01</v>
      </c>
      <c r="B306" t="s">
        <v>437</v>
      </c>
      <c r="C306" t="s">
        <v>888</v>
      </c>
      <c r="D306" s="7"/>
      <c r="E306" s="7"/>
      <c r="G306" t="s">
        <v>1938</v>
      </c>
      <c r="H306" t="str" cm="1">
        <f t="array" ref="H306">IFERROR(_xlfn.IFS(B306="","",AND(B306="",G306=""),"",G306="","記載要"),"")</f>
        <v/>
      </c>
      <c r="K306" t="str">
        <f t="shared" si="42"/>
        <v>11WP00902544</v>
      </c>
      <c r="L306" s="3" t="str">
        <f t="shared" si="43"/>
        <v>2001/01/01</v>
      </c>
      <c r="M306" s="3" t="str">
        <f t="shared" si="44"/>
        <v>2199/12/31</v>
      </c>
      <c r="N306" t="str">
        <f t="shared" si="45"/>
        <v>11WP00902544</v>
      </c>
      <c r="O306">
        <v>5</v>
      </c>
      <c r="Q306" t="str" cm="1">
        <f t="array" ref="Q306">_xlfn.IFS(AND(C306="",G306=""),"",LEFT(G306,1)="L","記載要",LEFT(G306,1)="W","",AND(C306,G306=""),"記載要")</f>
        <v/>
      </c>
      <c r="R306" s="21" t="str">
        <f t="shared" si="50"/>
        <v/>
      </c>
      <c r="S306" s="21"/>
      <c r="Z306" s="8"/>
      <c r="AA306">
        <v>1</v>
      </c>
      <c r="AB306">
        <f t="shared" si="46"/>
        <v>0</v>
      </c>
      <c r="AC306">
        <v>1</v>
      </c>
      <c r="AF306">
        <v>1</v>
      </c>
      <c r="AG306" s="8"/>
      <c r="AH306" s="8"/>
      <c r="AK306" cm="1">
        <f t="array" ref="AK306">_xlfn.IFS(B306="","",LEFT(G306,1)="L",1,LEFT(G306,1)="W",1,AND(LEFT(B306,1)="H",G306=""),0)</f>
        <v>1</v>
      </c>
      <c r="AS306" t="str">
        <f t="shared" si="47"/>
        <v/>
      </c>
      <c r="AT306" t="s">
        <v>115</v>
      </c>
      <c r="AU306" t="str">
        <f t="shared" si="48"/>
        <v>0</v>
      </c>
      <c r="BD306" t="str">
        <f t="shared" si="49"/>
        <v>0</v>
      </c>
      <c r="BK306" t="str">
        <f>IFERROR(VLOOKUP(B306,'[1]model_S-フレーム'!$F$5:$R$7000,13,1),"")</f>
        <v>E353766_01</v>
      </c>
      <c r="BL306" s="7" t="str">
        <f>IFERROR(VLOOKUP(B306,'[1]model_S-フレーム'!$F$5:$V$7000,17,1),"")</f>
        <v>RX-10F</v>
      </c>
      <c r="BM306" t="str" cm="1">
        <f t="array" ref="BM306">_xlfn.IFS(LEFT(G306,1)="L","外注品",LEFT(G306,1)="W","内製品",G306="","購買品")</f>
        <v>内製品</v>
      </c>
    </row>
    <row r="307" spans="1:65">
      <c r="A307" t="str">
        <f t="shared" si="41"/>
        <v>WG01</v>
      </c>
      <c r="B307" t="s">
        <v>438</v>
      </c>
      <c r="C307" t="s">
        <v>888</v>
      </c>
      <c r="D307" s="7"/>
      <c r="E307" s="7"/>
      <c r="G307" t="s">
        <v>1938</v>
      </c>
      <c r="H307" t="str" cm="1">
        <f t="array" ref="H307">IFERROR(_xlfn.IFS(B307="","",AND(B307="",G307=""),"",G307="","記載要"),"")</f>
        <v/>
      </c>
      <c r="K307" t="str">
        <f t="shared" si="42"/>
        <v>11WP00902545</v>
      </c>
      <c r="L307" s="3" t="str">
        <f t="shared" si="43"/>
        <v>2001/01/01</v>
      </c>
      <c r="M307" s="3" t="str">
        <f t="shared" si="44"/>
        <v>2199/12/31</v>
      </c>
      <c r="N307" t="str">
        <f t="shared" si="45"/>
        <v>11WP00902545</v>
      </c>
      <c r="O307">
        <v>5</v>
      </c>
      <c r="Q307" t="str" cm="1">
        <f t="array" ref="Q307">_xlfn.IFS(AND(C307="",G307=""),"",LEFT(G307,1)="L","記載要",LEFT(G307,1)="W","",AND(C307,G307=""),"記載要")</f>
        <v/>
      </c>
      <c r="R307" s="21" t="str">
        <f t="shared" si="50"/>
        <v/>
      </c>
      <c r="S307" s="21"/>
      <c r="Z307" s="8"/>
      <c r="AA307">
        <v>1</v>
      </c>
      <c r="AB307">
        <f t="shared" si="46"/>
        <v>0</v>
      </c>
      <c r="AC307">
        <v>1</v>
      </c>
      <c r="AF307">
        <v>1</v>
      </c>
      <c r="AG307" s="8"/>
      <c r="AH307" s="8"/>
      <c r="AK307" cm="1">
        <f t="array" ref="AK307">_xlfn.IFS(B307="","",LEFT(G307,1)="L",1,LEFT(G307,1)="W",1,AND(LEFT(B307,1)="H",G307=""),0)</f>
        <v>1</v>
      </c>
      <c r="AS307" t="str">
        <f t="shared" si="47"/>
        <v/>
      </c>
      <c r="AT307" t="s">
        <v>115</v>
      </c>
      <c r="AU307" t="str">
        <f t="shared" si="48"/>
        <v>0</v>
      </c>
      <c r="BD307" t="str">
        <f t="shared" si="49"/>
        <v>0</v>
      </c>
      <c r="BK307" t="str">
        <f>IFERROR(VLOOKUP(B307,'[1]model_S-フレーム'!$F$5:$R$7000,13,1),"")</f>
        <v>E353766_01</v>
      </c>
      <c r="BL307" s="7" t="str">
        <f>IFERROR(VLOOKUP(B307,'[1]model_S-フレーム'!$F$5:$V$7000,17,1),"")</f>
        <v>RX-10F</v>
      </c>
      <c r="BM307" t="str" cm="1">
        <f t="array" ref="BM307">_xlfn.IFS(LEFT(G307,1)="L","外注品",LEFT(G307,1)="W","内製品",G307="","購買品")</f>
        <v>内製品</v>
      </c>
    </row>
    <row r="308" spans="1:65">
      <c r="A308" t="str">
        <f t="shared" si="41"/>
        <v>WG01</v>
      </c>
      <c r="B308" t="s">
        <v>439</v>
      </c>
      <c r="C308" t="s">
        <v>889</v>
      </c>
      <c r="D308" s="7"/>
      <c r="E308" s="7"/>
      <c r="G308" t="s">
        <v>1938</v>
      </c>
      <c r="H308" t="str" cm="1">
        <f t="array" ref="H308">IFERROR(_xlfn.IFS(B308="","",AND(B308="",G308=""),"",G308="","記載要"),"")</f>
        <v/>
      </c>
      <c r="K308" t="str">
        <f t="shared" si="42"/>
        <v>11WP00902546</v>
      </c>
      <c r="L308" s="3" t="str">
        <f t="shared" si="43"/>
        <v>2001/01/01</v>
      </c>
      <c r="M308" s="3" t="str">
        <f t="shared" si="44"/>
        <v>2199/12/31</v>
      </c>
      <c r="N308" t="str">
        <f t="shared" si="45"/>
        <v>11WP00902546</v>
      </c>
      <c r="O308">
        <v>5</v>
      </c>
      <c r="Q308" t="str" cm="1">
        <f t="array" ref="Q308">_xlfn.IFS(AND(C308="",G308=""),"",LEFT(G308,1)="L","記載要",LEFT(G308,1)="W","",AND(C308,G308=""),"記載要")</f>
        <v/>
      </c>
      <c r="R308" s="21" t="str">
        <f t="shared" si="50"/>
        <v/>
      </c>
      <c r="S308" s="21"/>
      <c r="Z308" s="8"/>
      <c r="AA308">
        <v>1</v>
      </c>
      <c r="AB308">
        <f t="shared" si="46"/>
        <v>0</v>
      </c>
      <c r="AC308">
        <v>1</v>
      </c>
      <c r="AF308">
        <v>1</v>
      </c>
      <c r="AG308" s="8"/>
      <c r="AH308" s="8"/>
      <c r="AK308" cm="1">
        <f t="array" ref="AK308">_xlfn.IFS(B308="","",LEFT(G308,1)="L",1,LEFT(G308,1)="W",1,AND(LEFT(B308,1)="H",G308=""),0)</f>
        <v>1</v>
      </c>
      <c r="AS308" t="str">
        <f t="shared" si="47"/>
        <v/>
      </c>
      <c r="AT308" t="s">
        <v>115</v>
      </c>
      <c r="AU308" t="str">
        <f t="shared" si="48"/>
        <v>0</v>
      </c>
      <c r="BD308" t="str">
        <f t="shared" si="49"/>
        <v>0</v>
      </c>
      <c r="BK308" t="str">
        <f>IFERROR(VLOOKUP(B308,'[1]model_S-フレーム'!$F$5:$R$7000,13,1),"")</f>
        <v>E353766_01</v>
      </c>
      <c r="BL308" s="7" t="str">
        <f>IFERROR(VLOOKUP(B308,'[1]model_S-フレーム'!$F$5:$V$7000,17,1),"")</f>
        <v>RX-10F</v>
      </c>
      <c r="BM308" t="str" cm="1">
        <f t="array" ref="BM308">_xlfn.IFS(LEFT(G308,1)="L","外注品",LEFT(G308,1)="W","内製品",G308="","購買品")</f>
        <v>内製品</v>
      </c>
    </row>
    <row r="309" spans="1:65">
      <c r="A309" t="str">
        <f t="shared" si="41"/>
        <v>WG01</v>
      </c>
      <c r="B309" t="s">
        <v>440</v>
      </c>
      <c r="C309" t="s">
        <v>889</v>
      </c>
      <c r="D309" s="7"/>
      <c r="E309" s="7"/>
      <c r="G309" t="s">
        <v>1938</v>
      </c>
      <c r="H309" t="str" cm="1">
        <f t="array" ref="H309">IFERROR(_xlfn.IFS(B309="","",AND(B309="",G309=""),"",G309="","記載要"),"")</f>
        <v/>
      </c>
      <c r="K309" t="str">
        <f t="shared" si="42"/>
        <v>11WP00902547</v>
      </c>
      <c r="L309" s="3" t="str">
        <f t="shared" si="43"/>
        <v>2001/01/01</v>
      </c>
      <c r="M309" s="3" t="str">
        <f t="shared" si="44"/>
        <v>2199/12/31</v>
      </c>
      <c r="N309" t="str">
        <f t="shared" si="45"/>
        <v>11WP00902547</v>
      </c>
      <c r="O309">
        <v>5</v>
      </c>
      <c r="Q309" t="str" cm="1">
        <f t="array" ref="Q309">_xlfn.IFS(AND(C309="",G309=""),"",LEFT(G309,1)="L","記載要",LEFT(G309,1)="W","",AND(C309,G309=""),"記載要")</f>
        <v/>
      </c>
      <c r="R309" s="21" t="str">
        <f t="shared" si="50"/>
        <v/>
      </c>
      <c r="S309" s="21"/>
      <c r="Z309" s="8"/>
      <c r="AA309">
        <v>1</v>
      </c>
      <c r="AB309">
        <f t="shared" si="46"/>
        <v>0</v>
      </c>
      <c r="AC309">
        <v>1</v>
      </c>
      <c r="AF309">
        <v>1</v>
      </c>
      <c r="AG309" s="8"/>
      <c r="AH309" s="8"/>
      <c r="AK309" cm="1">
        <f t="array" ref="AK309">_xlfn.IFS(B309="","",LEFT(G309,1)="L",1,LEFT(G309,1)="W",1,AND(LEFT(B309,1)="H",G309=""),0)</f>
        <v>1</v>
      </c>
      <c r="AS309" t="str">
        <f t="shared" si="47"/>
        <v/>
      </c>
      <c r="AT309" t="s">
        <v>115</v>
      </c>
      <c r="AU309" t="str">
        <f t="shared" si="48"/>
        <v>0</v>
      </c>
      <c r="BD309" t="str">
        <f t="shared" si="49"/>
        <v>0</v>
      </c>
      <c r="BK309" t="str">
        <f>IFERROR(VLOOKUP(B309,'[1]model_S-フレーム'!$F$5:$R$7000,13,1),"")</f>
        <v>E353766_01</v>
      </c>
      <c r="BL309" s="7" t="str">
        <f>IFERROR(VLOOKUP(B309,'[1]model_S-フレーム'!$F$5:$V$7000,17,1),"")</f>
        <v>RX-10F</v>
      </c>
      <c r="BM309" t="str" cm="1">
        <f t="array" ref="BM309">_xlfn.IFS(LEFT(G309,1)="L","外注品",LEFT(G309,1)="W","内製品",G309="","購買品")</f>
        <v>内製品</v>
      </c>
    </row>
    <row r="310" spans="1:65">
      <c r="A310" t="str">
        <f t="shared" si="41"/>
        <v>WG01</v>
      </c>
      <c r="B310" t="s">
        <v>441</v>
      </c>
      <c r="C310" t="s">
        <v>889</v>
      </c>
      <c r="D310" s="7"/>
      <c r="E310" s="7"/>
      <c r="G310" t="s">
        <v>1938</v>
      </c>
      <c r="H310" t="str" cm="1">
        <f t="array" ref="H310">IFERROR(_xlfn.IFS(B310="","",AND(B310="",G310=""),"",G310="","記載要"),"")</f>
        <v/>
      </c>
      <c r="K310" t="str">
        <f t="shared" si="42"/>
        <v>11WP00902548</v>
      </c>
      <c r="L310" s="3" t="str">
        <f t="shared" si="43"/>
        <v>2001/01/01</v>
      </c>
      <c r="M310" s="3" t="str">
        <f t="shared" si="44"/>
        <v>2199/12/31</v>
      </c>
      <c r="N310" t="str">
        <f t="shared" si="45"/>
        <v>11WP00902548</v>
      </c>
      <c r="O310">
        <v>5</v>
      </c>
      <c r="Q310" t="str" cm="1">
        <f t="array" ref="Q310">_xlfn.IFS(AND(C310="",G310=""),"",LEFT(G310,1)="L","記載要",LEFT(G310,1)="W","",AND(C310,G310=""),"記載要")</f>
        <v/>
      </c>
      <c r="R310" s="21" t="str">
        <f t="shared" si="50"/>
        <v/>
      </c>
      <c r="S310" s="21"/>
      <c r="Z310" s="8"/>
      <c r="AA310">
        <v>1</v>
      </c>
      <c r="AB310">
        <f t="shared" si="46"/>
        <v>0</v>
      </c>
      <c r="AC310">
        <v>1</v>
      </c>
      <c r="AF310">
        <v>1</v>
      </c>
      <c r="AG310" s="8"/>
      <c r="AH310" s="8"/>
      <c r="AK310" cm="1">
        <f t="array" ref="AK310">_xlfn.IFS(B310="","",LEFT(G310,1)="L",1,LEFT(G310,1)="W",1,AND(LEFT(B310,1)="H",G310=""),0)</f>
        <v>1</v>
      </c>
      <c r="AS310" t="str">
        <f t="shared" si="47"/>
        <v/>
      </c>
      <c r="AT310" t="s">
        <v>115</v>
      </c>
      <c r="AU310" t="str">
        <f t="shared" si="48"/>
        <v>0</v>
      </c>
      <c r="BD310" t="str">
        <f t="shared" si="49"/>
        <v>0</v>
      </c>
      <c r="BK310" t="str">
        <f>IFERROR(VLOOKUP(B310,'[1]model_S-フレーム'!$F$5:$R$7000,13,1),"")</f>
        <v>E353766_01</v>
      </c>
      <c r="BL310" s="7" t="str">
        <f>IFERROR(VLOOKUP(B310,'[1]model_S-フレーム'!$F$5:$V$7000,17,1),"")</f>
        <v>RX-10F</v>
      </c>
      <c r="BM310" t="str" cm="1">
        <f t="array" ref="BM310">_xlfn.IFS(LEFT(G310,1)="L","外注品",LEFT(G310,1)="W","内製品",G310="","購買品")</f>
        <v>内製品</v>
      </c>
    </row>
    <row r="311" spans="1:65">
      <c r="A311" t="str">
        <f t="shared" si="41"/>
        <v>WG01</v>
      </c>
      <c r="B311" t="s">
        <v>442</v>
      </c>
      <c r="C311" t="s">
        <v>889</v>
      </c>
      <c r="D311" s="7"/>
      <c r="E311" s="7"/>
      <c r="G311" t="s">
        <v>1938</v>
      </c>
      <c r="H311" t="str" cm="1">
        <f t="array" ref="H311">IFERROR(_xlfn.IFS(B311="","",AND(B311="",G311=""),"",G311="","記載要"),"")</f>
        <v/>
      </c>
      <c r="K311" t="str">
        <f t="shared" si="42"/>
        <v>11WP00902549</v>
      </c>
      <c r="L311" s="3" t="str">
        <f t="shared" si="43"/>
        <v>2001/01/01</v>
      </c>
      <c r="M311" s="3" t="str">
        <f t="shared" si="44"/>
        <v>2199/12/31</v>
      </c>
      <c r="N311" t="str">
        <f t="shared" si="45"/>
        <v>11WP00902549</v>
      </c>
      <c r="O311">
        <v>5</v>
      </c>
      <c r="Q311" t="str" cm="1">
        <f t="array" ref="Q311">_xlfn.IFS(AND(C311="",G311=""),"",LEFT(G311,1)="L","記載要",LEFT(G311,1)="W","",AND(C311,G311=""),"記載要")</f>
        <v/>
      </c>
      <c r="R311" s="21" t="str">
        <f t="shared" si="50"/>
        <v/>
      </c>
      <c r="S311" s="21"/>
      <c r="Z311" s="8"/>
      <c r="AA311">
        <v>1</v>
      </c>
      <c r="AB311">
        <f t="shared" si="46"/>
        <v>0</v>
      </c>
      <c r="AC311">
        <v>1</v>
      </c>
      <c r="AF311">
        <v>1</v>
      </c>
      <c r="AG311" s="8"/>
      <c r="AH311" s="8"/>
      <c r="AK311" cm="1">
        <f t="array" ref="AK311">_xlfn.IFS(B311="","",LEFT(G311,1)="L",1,LEFT(G311,1)="W",1,AND(LEFT(B311,1)="H",G311=""),0)</f>
        <v>1</v>
      </c>
      <c r="AS311" t="str">
        <f t="shared" si="47"/>
        <v/>
      </c>
      <c r="AT311" t="s">
        <v>115</v>
      </c>
      <c r="AU311" t="str">
        <f t="shared" si="48"/>
        <v>0</v>
      </c>
      <c r="BD311" t="str">
        <f t="shared" si="49"/>
        <v>0</v>
      </c>
      <c r="BK311" t="str">
        <f>IFERROR(VLOOKUP(B311,'[1]model_S-フレーム'!$F$5:$R$7000,13,1),"")</f>
        <v>E353766_01</v>
      </c>
      <c r="BL311" s="7" t="str">
        <f>IFERROR(VLOOKUP(B311,'[1]model_S-フレーム'!$F$5:$V$7000,17,1),"")</f>
        <v>RX-10F</v>
      </c>
      <c r="BM311" t="str" cm="1">
        <f t="array" ref="BM311">_xlfn.IFS(LEFT(G311,1)="L","外注品",LEFT(G311,1)="W","内製品",G311="","購買品")</f>
        <v>内製品</v>
      </c>
    </row>
    <row r="312" spans="1:65">
      <c r="A312" t="str">
        <f t="shared" si="41"/>
        <v>WG01</v>
      </c>
      <c r="B312" t="s">
        <v>443</v>
      </c>
      <c r="C312" t="s">
        <v>890</v>
      </c>
      <c r="D312" s="7"/>
      <c r="E312" s="7"/>
      <c r="G312" t="s">
        <v>1938</v>
      </c>
      <c r="H312" t="str" cm="1">
        <f t="array" ref="H312">IFERROR(_xlfn.IFS(B312="","",AND(B312="",G312=""),"",G312="","記載要"),"")</f>
        <v/>
      </c>
      <c r="K312" t="str">
        <f t="shared" si="42"/>
        <v>11WP00902550</v>
      </c>
      <c r="L312" s="3" t="str">
        <f t="shared" si="43"/>
        <v>2001/01/01</v>
      </c>
      <c r="M312" s="3" t="str">
        <f t="shared" si="44"/>
        <v>2199/12/31</v>
      </c>
      <c r="N312" t="str">
        <f t="shared" si="45"/>
        <v>11WP00902550</v>
      </c>
      <c r="O312">
        <v>5</v>
      </c>
      <c r="Q312" t="str" cm="1">
        <f t="array" ref="Q312">_xlfn.IFS(AND(C312="",G312=""),"",LEFT(G312,1)="L","記載要",LEFT(G312,1)="W","",AND(C312,G312=""),"記載要")</f>
        <v/>
      </c>
      <c r="R312" s="21" t="str">
        <f t="shared" si="50"/>
        <v/>
      </c>
      <c r="S312" s="21"/>
      <c r="Z312" s="8"/>
      <c r="AA312">
        <v>1</v>
      </c>
      <c r="AB312">
        <f t="shared" si="46"/>
        <v>0</v>
      </c>
      <c r="AC312">
        <v>1</v>
      </c>
      <c r="AF312">
        <v>1</v>
      </c>
      <c r="AG312" s="8"/>
      <c r="AH312" s="8"/>
      <c r="AK312" cm="1">
        <f t="array" ref="AK312">_xlfn.IFS(B312="","",LEFT(G312,1)="L",1,LEFT(G312,1)="W",1,AND(LEFT(B312,1)="H",G312=""),0)</f>
        <v>1</v>
      </c>
      <c r="AS312" t="str">
        <f t="shared" si="47"/>
        <v/>
      </c>
      <c r="AT312" t="s">
        <v>115</v>
      </c>
      <c r="AU312" t="str">
        <f t="shared" si="48"/>
        <v>0</v>
      </c>
      <c r="BD312" t="str">
        <f t="shared" si="49"/>
        <v>0</v>
      </c>
      <c r="BK312" t="str">
        <f>IFERROR(VLOOKUP(B312,'[1]model_S-フレーム'!$F$5:$R$7000,13,1),"")</f>
        <v>E353766_01</v>
      </c>
      <c r="BL312" s="7" t="str">
        <f>IFERROR(VLOOKUP(B312,'[1]model_S-フレーム'!$F$5:$V$7000,17,1),"")</f>
        <v>RX-10F</v>
      </c>
      <c r="BM312" t="str" cm="1">
        <f t="array" ref="BM312">_xlfn.IFS(LEFT(G312,1)="L","外注品",LEFT(G312,1)="W","内製品",G312="","購買品")</f>
        <v>内製品</v>
      </c>
    </row>
    <row r="313" spans="1:65">
      <c r="A313" t="str">
        <f t="shared" si="41"/>
        <v>WG01</v>
      </c>
      <c r="B313" t="s">
        <v>444</v>
      </c>
      <c r="C313" t="s">
        <v>890</v>
      </c>
      <c r="D313" s="7"/>
      <c r="E313" s="7"/>
      <c r="G313" t="s">
        <v>1938</v>
      </c>
      <c r="H313" t="str" cm="1">
        <f t="array" ref="H313">IFERROR(_xlfn.IFS(B313="","",AND(B313="",G313=""),"",G313="","記載要"),"")</f>
        <v/>
      </c>
      <c r="K313" t="str">
        <f t="shared" si="42"/>
        <v>11WP00902551</v>
      </c>
      <c r="L313" s="3" t="str">
        <f t="shared" si="43"/>
        <v>2001/01/01</v>
      </c>
      <c r="M313" s="3" t="str">
        <f t="shared" si="44"/>
        <v>2199/12/31</v>
      </c>
      <c r="N313" t="str">
        <f t="shared" si="45"/>
        <v>11WP00902551</v>
      </c>
      <c r="O313">
        <v>5</v>
      </c>
      <c r="Q313" t="str" cm="1">
        <f t="array" ref="Q313">_xlfn.IFS(AND(C313="",G313=""),"",LEFT(G313,1)="L","記載要",LEFT(G313,1)="W","",AND(C313,G313=""),"記載要")</f>
        <v/>
      </c>
      <c r="R313" s="21" t="str">
        <f t="shared" si="50"/>
        <v/>
      </c>
      <c r="S313" s="21"/>
      <c r="Z313" s="8"/>
      <c r="AA313">
        <v>1</v>
      </c>
      <c r="AB313">
        <f t="shared" si="46"/>
        <v>0</v>
      </c>
      <c r="AC313">
        <v>1</v>
      </c>
      <c r="AF313">
        <v>1</v>
      </c>
      <c r="AG313" s="8"/>
      <c r="AH313" s="8"/>
      <c r="AK313" cm="1">
        <f t="array" ref="AK313">_xlfn.IFS(B313="","",LEFT(G313,1)="L",1,LEFT(G313,1)="W",1,AND(LEFT(B313,1)="H",G313=""),0)</f>
        <v>1</v>
      </c>
      <c r="AS313" t="str">
        <f t="shared" si="47"/>
        <v/>
      </c>
      <c r="AT313" t="s">
        <v>115</v>
      </c>
      <c r="AU313" t="str">
        <f t="shared" si="48"/>
        <v>0</v>
      </c>
      <c r="BD313" t="str">
        <f t="shared" si="49"/>
        <v>0</v>
      </c>
      <c r="BK313" t="str">
        <f>IFERROR(VLOOKUP(B313,'[1]model_S-フレーム'!$F$5:$R$7000,13,1),"")</f>
        <v>E353766_01</v>
      </c>
      <c r="BL313" s="7" t="str">
        <f>IFERROR(VLOOKUP(B313,'[1]model_S-フレーム'!$F$5:$V$7000,17,1),"")</f>
        <v>RX-10F</v>
      </c>
      <c r="BM313" t="str" cm="1">
        <f t="array" ref="BM313">_xlfn.IFS(LEFT(G313,1)="L","外注品",LEFT(G313,1)="W","内製品",G313="","購買品")</f>
        <v>内製品</v>
      </c>
    </row>
    <row r="314" spans="1:65">
      <c r="A314" t="str">
        <f t="shared" si="41"/>
        <v>WG01</v>
      </c>
      <c r="B314" t="s">
        <v>445</v>
      </c>
      <c r="C314" t="s">
        <v>890</v>
      </c>
      <c r="D314" s="7"/>
      <c r="E314" s="7"/>
      <c r="G314" t="s">
        <v>1938</v>
      </c>
      <c r="H314" t="str" cm="1">
        <f t="array" ref="H314">IFERROR(_xlfn.IFS(B314="","",AND(B314="",G314=""),"",G314="","記載要"),"")</f>
        <v/>
      </c>
      <c r="K314" t="str">
        <f t="shared" si="42"/>
        <v>11WP00902552</v>
      </c>
      <c r="L314" s="3" t="str">
        <f t="shared" si="43"/>
        <v>2001/01/01</v>
      </c>
      <c r="M314" s="3" t="str">
        <f t="shared" si="44"/>
        <v>2199/12/31</v>
      </c>
      <c r="N314" t="str">
        <f t="shared" si="45"/>
        <v>11WP00902552</v>
      </c>
      <c r="O314">
        <v>5</v>
      </c>
      <c r="Q314" t="str" cm="1">
        <f t="array" ref="Q314">_xlfn.IFS(AND(C314="",G314=""),"",LEFT(G314,1)="L","記載要",LEFT(G314,1)="W","",AND(C314,G314=""),"記載要")</f>
        <v/>
      </c>
      <c r="R314" s="21" t="str">
        <f t="shared" si="50"/>
        <v/>
      </c>
      <c r="S314" s="21"/>
      <c r="Z314" s="8"/>
      <c r="AA314">
        <v>1</v>
      </c>
      <c r="AB314">
        <f t="shared" si="46"/>
        <v>0</v>
      </c>
      <c r="AC314">
        <v>1</v>
      </c>
      <c r="AF314">
        <v>1</v>
      </c>
      <c r="AG314" s="8"/>
      <c r="AH314" s="8"/>
      <c r="AK314" cm="1">
        <f t="array" ref="AK314">_xlfn.IFS(B314="","",LEFT(G314,1)="L",1,LEFT(G314,1)="W",1,AND(LEFT(B314,1)="H",G314=""),0)</f>
        <v>1</v>
      </c>
      <c r="AS314" t="str">
        <f t="shared" si="47"/>
        <v/>
      </c>
      <c r="AT314" t="s">
        <v>115</v>
      </c>
      <c r="AU314" t="str">
        <f t="shared" si="48"/>
        <v>0</v>
      </c>
      <c r="BD314" t="str">
        <f t="shared" si="49"/>
        <v>0</v>
      </c>
      <c r="BK314" t="str">
        <f>IFERROR(VLOOKUP(B314,'[1]model_S-フレーム'!$F$5:$R$7000,13,1),"")</f>
        <v>E353766_01</v>
      </c>
      <c r="BL314" s="7" t="str">
        <f>IFERROR(VLOOKUP(B314,'[1]model_S-フレーム'!$F$5:$V$7000,17,1),"")</f>
        <v>RX-10F</v>
      </c>
      <c r="BM314" t="str" cm="1">
        <f t="array" ref="BM314">_xlfn.IFS(LEFT(G314,1)="L","外注品",LEFT(G314,1)="W","内製品",G314="","購買品")</f>
        <v>内製品</v>
      </c>
    </row>
    <row r="315" spans="1:65">
      <c r="A315" t="str">
        <f t="shared" si="41"/>
        <v>WG01</v>
      </c>
      <c r="B315" t="s">
        <v>446</v>
      </c>
      <c r="C315" t="s">
        <v>890</v>
      </c>
      <c r="D315" s="7"/>
      <c r="E315" s="7"/>
      <c r="G315" t="s">
        <v>1938</v>
      </c>
      <c r="H315" t="str" cm="1">
        <f t="array" ref="H315">IFERROR(_xlfn.IFS(B315="","",AND(B315="",G315=""),"",G315="","記載要"),"")</f>
        <v/>
      </c>
      <c r="K315" t="str">
        <f t="shared" si="42"/>
        <v>11WP00902553</v>
      </c>
      <c r="L315" s="3" t="str">
        <f t="shared" si="43"/>
        <v>2001/01/01</v>
      </c>
      <c r="M315" s="3" t="str">
        <f t="shared" si="44"/>
        <v>2199/12/31</v>
      </c>
      <c r="N315" t="str">
        <f t="shared" si="45"/>
        <v>11WP00902553</v>
      </c>
      <c r="O315">
        <v>5</v>
      </c>
      <c r="Q315" t="str" cm="1">
        <f t="array" ref="Q315">_xlfn.IFS(AND(C315="",G315=""),"",LEFT(G315,1)="L","記載要",LEFT(G315,1)="W","",AND(C315,G315=""),"記載要")</f>
        <v/>
      </c>
      <c r="R315" s="21" t="str">
        <f t="shared" si="50"/>
        <v/>
      </c>
      <c r="S315" s="21"/>
      <c r="Z315" s="8"/>
      <c r="AA315">
        <v>1</v>
      </c>
      <c r="AB315">
        <f t="shared" si="46"/>
        <v>0</v>
      </c>
      <c r="AC315">
        <v>1</v>
      </c>
      <c r="AF315">
        <v>1</v>
      </c>
      <c r="AG315" s="8"/>
      <c r="AH315" s="8"/>
      <c r="AK315" cm="1">
        <f t="array" ref="AK315">_xlfn.IFS(B315="","",LEFT(G315,1)="L",1,LEFT(G315,1)="W",1,AND(LEFT(B315,1)="H",G315=""),0)</f>
        <v>1</v>
      </c>
      <c r="AS315" t="str">
        <f t="shared" si="47"/>
        <v/>
      </c>
      <c r="AT315" t="s">
        <v>115</v>
      </c>
      <c r="AU315" t="str">
        <f t="shared" si="48"/>
        <v>0</v>
      </c>
      <c r="BD315" t="str">
        <f t="shared" si="49"/>
        <v>0</v>
      </c>
      <c r="BK315" t="str">
        <f>IFERROR(VLOOKUP(B315,'[1]model_S-フレーム'!$F$5:$R$7000,13,1),"")</f>
        <v>E353766_01</v>
      </c>
      <c r="BL315" s="7" t="str">
        <f>IFERROR(VLOOKUP(B315,'[1]model_S-フレーム'!$F$5:$V$7000,17,1),"")</f>
        <v>RX-10F</v>
      </c>
      <c r="BM315" t="str" cm="1">
        <f t="array" ref="BM315">_xlfn.IFS(LEFT(G315,1)="L","外注品",LEFT(G315,1)="W","内製品",G315="","購買品")</f>
        <v>内製品</v>
      </c>
    </row>
    <row r="316" spans="1:65">
      <c r="A316" t="str">
        <f t="shared" si="41"/>
        <v>WG01</v>
      </c>
      <c r="B316" t="s">
        <v>447</v>
      </c>
      <c r="C316" t="s">
        <v>891</v>
      </c>
      <c r="D316" s="7"/>
      <c r="E316" s="7"/>
      <c r="G316" t="s">
        <v>1938</v>
      </c>
      <c r="H316" t="str" cm="1">
        <f t="array" ref="H316">IFERROR(_xlfn.IFS(B316="","",AND(B316="",G316=""),"",G316="","記載要"),"")</f>
        <v/>
      </c>
      <c r="K316" t="str">
        <f t="shared" si="42"/>
        <v>11WP00902554</v>
      </c>
      <c r="L316" s="3" t="str">
        <f t="shared" si="43"/>
        <v>2001/01/01</v>
      </c>
      <c r="M316" s="3" t="str">
        <f t="shared" si="44"/>
        <v>2199/12/31</v>
      </c>
      <c r="N316" t="str">
        <f t="shared" si="45"/>
        <v>11WP00902554</v>
      </c>
      <c r="O316">
        <v>5</v>
      </c>
      <c r="Q316" t="str" cm="1">
        <f t="array" ref="Q316">_xlfn.IFS(AND(C316="",G316=""),"",LEFT(G316,1)="L","記載要",LEFT(G316,1)="W","",AND(C316,G316=""),"記載要")</f>
        <v/>
      </c>
      <c r="R316" s="21" t="str">
        <f t="shared" si="50"/>
        <v/>
      </c>
      <c r="S316" s="21"/>
      <c r="Z316" s="8"/>
      <c r="AA316">
        <v>1</v>
      </c>
      <c r="AB316">
        <f t="shared" si="46"/>
        <v>0</v>
      </c>
      <c r="AC316">
        <v>1</v>
      </c>
      <c r="AF316">
        <v>1</v>
      </c>
      <c r="AG316" s="8"/>
      <c r="AH316" s="8"/>
      <c r="AK316" cm="1">
        <f t="array" ref="AK316">_xlfn.IFS(B316="","",LEFT(G316,1)="L",1,LEFT(G316,1)="W",1,AND(LEFT(B316,1)="H",G316=""),0)</f>
        <v>1</v>
      </c>
      <c r="AS316" t="str">
        <f t="shared" si="47"/>
        <v/>
      </c>
      <c r="AT316" t="s">
        <v>115</v>
      </c>
      <c r="AU316" t="str">
        <f t="shared" si="48"/>
        <v>0</v>
      </c>
      <c r="BD316" t="str">
        <f t="shared" si="49"/>
        <v>0</v>
      </c>
      <c r="BK316" t="str">
        <f>IFERROR(VLOOKUP(B316,'[1]model_S-フレーム'!$F$5:$R$7000,13,1),"")</f>
        <v>E353766_01</v>
      </c>
      <c r="BL316" s="7" t="str">
        <f>IFERROR(VLOOKUP(B316,'[1]model_S-フレーム'!$F$5:$V$7000,17,1),"")</f>
        <v>RX-10F</v>
      </c>
      <c r="BM316" t="str" cm="1">
        <f t="array" ref="BM316">_xlfn.IFS(LEFT(G316,1)="L","外注品",LEFT(G316,1)="W","内製品",G316="","購買品")</f>
        <v>内製品</v>
      </c>
    </row>
    <row r="317" spans="1:65">
      <c r="A317" t="str">
        <f t="shared" si="41"/>
        <v>WG01</v>
      </c>
      <c r="B317" t="s">
        <v>448</v>
      </c>
      <c r="C317" t="s">
        <v>891</v>
      </c>
      <c r="D317" s="7"/>
      <c r="E317" s="7"/>
      <c r="G317" t="s">
        <v>1938</v>
      </c>
      <c r="H317" t="str" cm="1">
        <f t="array" ref="H317">IFERROR(_xlfn.IFS(B317="","",AND(B317="",G317=""),"",G317="","記載要"),"")</f>
        <v/>
      </c>
      <c r="K317" t="str">
        <f t="shared" si="42"/>
        <v>11WP00902555</v>
      </c>
      <c r="L317" s="3" t="str">
        <f t="shared" si="43"/>
        <v>2001/01/01</v>
      </c>
      <c r="M317" s="3" t="str">
        <f t="shared" si="44"/>
        <v>2199/12/31</v>
      </c>
      <c r="N317" t="str">
        <f t="shared" si="45"/>
        <v>11WP00902555</v>
      </c>
      <c r="O317">
        <v>5</v>
      </c>
      <c r="Q317" t="str" cm="1">
        <f t="array" ref="Q317">_xlfn.IFS(AND(C317="",G317=""),"",LEFT(G317,1)="L","記載要",LEFT(G317,1)="W","",AND(C317,G317=""),"記載要")</f>
        <v/>
      </c>
      <c r="R317" s="21" t="str">
        <f t="shared" si="50"/>
        <v/>
      </c>
      <c r="S317" s="21"/>
      <c r="Z317" s="8"/>
      <c r="AA317">
        <v>1</v>
      </c>
      <c r="AB317">
        <f t="shared" si="46"/>
        <v>0</v>
      </c>
      <c r="AC317">
        <v>1</v>
      </c>
      <c r="AF317">
        <v>1</v>
      </c>
      <c r="AG317" s="8"/>
      <c r="AH317" s="8"/>
      <c r="AK317" cm="1">
        <f t="array" ref="AK317">_xlfn.IFS(B317="","",LEFT(G317,1)="L",1,LEFT(G317,1)="W",1,AND(LEFT(B317,1)="H",G317=""),0)</f>
        <v>1</v>
      </c>
      <c r="AS317" t="str">
        <f t="shared" si="47"/>
        <v/>
      </c>
      <c r="AT317" t="s">
        <v>115</v>
      </c>
      <c r="AU317" t="str">
        <f t="shared" si="48"/>
        <v>0</v>
      </c>
      <c r="BD317" t="str">
        <f t="shared" si="49"/>
        <v>0</v>
      </c>
      <c r="BK317" t="str">
        <f>IFERROR(VLOOKUP(B317,'[1]model_S-フレーム'!$F$5:$R$7000,13,1),"")</f>
        <v>E353766_01</v>
      </c>
      <c r="BL317" s="7" t="str">
        <f>IFERROR(VLOOKUP(B317,'[1]model_S-フレーム'!$F$5:$V$7000,17,1),"")</f>
        <v>RX-10F</v>
      </c>
      <c r="BM317" t="str" cm="1">
        <f t="array" ref="BM317">_xlfn.IFS(LEFT(G317,1)="L","外注品",LEFT(G317,1)="W","内製品",G317="","購買品")</f>
        <v>内製品</v>
      </c>
    </row>
    <row r="318" spans="1:65">
      <c r="A318" t="str">
        <f t="shared" si="41"/>
        <v>WG01</v>
      </c>
      <c r="B318" t="s">
        <v>449</v>
      </c>
      <c r="C318" t="s">
        <v>891</v>
      </c>
      <c r="D318" s="7"/>
      <c r="E318" s="7"/>
      <c r="G318" t="s">
        <v>1938</v>
      </c>
      <c r="H318" t="str" cm="1">
        <f t="array" ref="H318">IFERROR(_xlfn.IFS(B318="","",AND(B318="",G318=""),"",G318="","記載要"),"")</f>
        <v/>
      </c>
      <c r="K318" t="str">
        <f t="shared" si="42"/>
        <v>11WP00902556</v>
      </c>
      <c r="L318" s="3" t="str">
        <f t="shared" si="43"/>
        <v>2001/01/01</v>
      </c>
      <c r="M318" s="3" t="str">
        <f t="shared" si="44"/>
        <v>2199/12/31</v>
      </c>
      <c r="N318" t="str">
        <f t="shared" si="45"/>
        <v>11WP00902556</v>
      </c>
      <c r="O318">
        <v>5</v>
      </c>
      <c r="Q318" t="str" cm="1">
        <f t="array" ref="Q318">_xlfn.IFS(AND(C318="",G318=""),"",LEFT(G318,1)="L","記載要",LEFT(G318,1)="W","",AND(C318,G318=""),"記載要")</f>
        <v/>
      </c>
      <c r="R318" s="21" t="str">
        <f t="shared" si="50"/>
        <v/>
      </c>
      <c r="S318" s="21"/>
      <c r="Z318" s="8"/>
      <c r="AA318">
        <v>1</v>
      </c>
      <c r="AB318">
        <f t="shared" si="46"/>
        <v>0</v>
      </c>
      <c r="AC318">
        <v>1</v>
      </c>
      <c r="AF318">
        <v>1</v>
      </c>
      <c r="AG318" s="8"/>
      <c r="AH318" s="8"/>
      <c r="AK318" cm="1">
        <f t="array" ref="AK318">_xlfn.IFS(B318="","",LEFT(G318,1)="L",1,LEFT(G318,1)="W",1,AND(LEFT(B318,1)="H",G318=""),0)</f>
        <v>1</v>
      </c>
      <c r="AS318" t="str">
        <f t="shared" si="47"/>
        <v/>
      </c>
      <c r="AT318" t="s">
        <v>115</v>
      </c>
      <c r="AU318" t="str">
        <f t="shared" si="48"/>
        <v>0</v>
      </c>
      <c r="BD318" t="str">
        <f t="shared" si="49"/>
        <v>0</v>
      </c>
      <c r="BK318" t="str">
        <f>IFERROR(VLOOKUP(B318,'[1]model_S-フレーム'!$F$5:$R$7000,13,1),"")</f>
        <v>E353766_01</v>
      </c>
      <c r="BL318" s="7" t="str">
        <f>IFERROR(VLOOKUP(B318,'[1]model_S-フレーム'!$F$5:$V$7000,17,1),"")</f>
        <v>RX-10F</v>
      </c>
      <c r="BM318" t="str" cm="1">
        <f t="array" ref="BM318">_xlfn.IFS(LEFT(G318,1)="L","外注品",LEFT(G318,1)="W","内製品",G318="","購買品")</f>
        <v>内製品</v>
      </c>
    </row>
    <row r="319" spans="1:65">
      <c r="A319" t="str">
        <f t="shared" si="41"/>
        <v>WG01</v>
      </c>
      <c r="B319" t="s">
        <v>450</v>
      </c>
      <c r="C319" t="s">
        <v>891</v>
      </c>
      <c r="D319" s="7"/>
      <c r="E319" s="7"/>
      <c r="G319" t="s">
        <v>1938</v>
      </c>
      <c r="H319" t="str" cm="1">
        <f t="array" ref="H319">IFERROR(_xlfn.IFS(B319="","",AND(B319="",G319=""),"",G319="","記載要"),"")</f>
        <v/>
      </c>
      <c r="K319" t="str">
        <f t="shared" si="42"/>
        <v>11WP00902557</v>
      </c>
      <c r="L319" s="3" t="str">
        <f t="shared" si="43"/>
        <v>2001/01/01</v>
      </c>
      <c r="M319" s="3" t="str">
        <f t="shared" si="44"/>
        <v>2199/12/31</v>
      </c>
      <c r="N319" t="str">
        <f t="shared" si="45"/>
        <v>11WP00902557</v>
      </c>
      <c r="O319">
        <v>5</v>
      </c>
      <c r="Q319" t="str" cm="1">
        <f t="array" ref="Q319">_xlfn.IFS(AND(C319="",G319=""),"",LEFT(G319,1)="L","記載要",LEFT(G319,1)="W","",AND(C319,G319=""),"記載要")</f>
        <v/>
      </c>
      <c r="R319" s="21" t="str">
        <f t="shared" si="50"/>
        <v/>
      </c>
      <c r="S319" s="21"/>
      <c r="Z319" s="8"/>
      <c r="AA319">
        <v>1</v>
      </c>
      <c r="AB319">
        <f t="shared" si="46"/>
        <v>0</v>
      </c>
      <c r="AC319">
        <v>1</v>
      </c>
      <c r="AF319">
        <v>1</v>
      </c>
      <c r="AG319" s="8"/>
      <c r="AH319" s="8"/>
      <c r="AK319" cm="1">
        <f t="array" ref="AK319">_xlfn.IFS(B319="","",LEFT(G319,1)="L",1,LEFT(G319,1)="W",1,AND(LEFT(B319,1)="H",G319=""),0)</f>
        <v>1</v>
      </c>
      <c r="AS319" t="str">
        <f t="shared" si="47"/>
        <v/>
      </c>
      <c r="AT319" t="s">
        <v>115</v>
      </c>
      <c r="AU319" t="str">
        <f t="shared" si="48"/>
        <v>0</v>
      </c>
      <c r="BD319" t="str">
        <f t="shared" si="49"/>
        <v>0</v>
      </c>
      <c r="BK319" t="str">
        <f>IFERROR(VLOOKUP(B319,'[1]model_S-フレーム'!$F$5:$R$7000,13,1),"")</f>
        <v>E353766_01</v>
      </c>
      <c r="BL319" s="7" t="str">
        <f>IFERROR(VLOOKUP(B319,'[1]model_S-フレーム'!$F$5:$V$7000,17,1),"")</f>
        <v>RX-10F</v>
      </c>
      <c r="BM319" t="str" cm="1">
        <f t="array" ref="BM319">_xlfn.IFS(LEFT(G319,1)="L","外注品",LEFT(G319,1)="W","内製品",G319="","購買品")</f>
        <v>内製品</v>
      </c>
    </row>
    <row r="320" spans="1:65">
      <c r="A320" t="str">
        <f t="shared" si="41"/>
        <v>WG01</v>
      </c>
      <c r="B320" t="s">
        <v>451</v>
      </c>
      <c r="C320" t="s">
        <v>892</v>
      </c>
      <c r="D320" s="7"/>
      <c r="E320" s="7"/>
      <c r="G320" t="s">
        <v>1938</v>
      </c>
      <c r="H320" t="str" cm="1">
        <f t="array" ref="H320">IFERROR(_xlfn.IFS(B320="","",AND(B320="",G320=""),"",G320="","記載要"),"")</f>
        <v/>
      </c>
      <c r="K320" t="str">
        <f t="shared" si="42"/>
        <v>11WP00902558</v>
      </c>
      <c r="L320" s="3" t="str">
        <f t="shared" si="43"/>
        <v>2001/01/01</v>
      </c>
      <c r="M320" s="3" t="str">
        <f t="shared" si="44"/>
        <v>2199/12/31</v>
      </c>
      <c r="N320" t="str">
        <f t="shared" si="45"/>
        <v>11WP00902558</v>
      </c>
      <c r="O320">
        <v>5</v>
      </c>
      <c r="Q320" t="str" cm="1">
        <f t="array" ref="Q320">_xlfn.IFS(AND(C320="",G320=""),"",LEFT(G320,1)="L","記載要",LEFT(G320,1)="W","",AND(C320,G320=""),"記載要")</f>
        <v/>
      </c>
      <c r="R320" s="21" t="str">
        <f t="shared" si="50"/>
        <v/>
      </c>
      <c r="S320" s="21"/>
      <c r="Z320" s="8"/>
      <c r="AA320">
        <v>1</v>
      </c>
      <c r="AB320">
        <f t="shared" si="46"/>
        <v>0</v>
      </c>
      <c r="AC320">
        <v>1</v>
      </c>
      <c r="AF320">
        <v>1</v>
      </c>
      <c r="AG320" s="8"/>
      <c r="AH320" s="8"/>
      <c r="AK320" cm="1">
        <f t="array" ref="AK320">_xlfn.IFS(B320="","",LEFT(G320,1)="L",1,LEFT(G320,1)="W",1,AND(LEFT(B320,1)="H",G320=""),0)</f>
        <v>1</v>
      </c>
      <c r="AS320" t="str">
        <f t="shared" si="47"/>
        <v/>
      </c>
      <c r="AT320" t="s">
        <v>115</v>
      </c>
      <c r="AU320" t="str">
        <f t="shared" si="48"/>
        <v>0</v>
      </c>
      <c r="BD320" t="str">
        <f t="shared" si="49"/>
        <v>0</v>
      </c>
      <c r="BK320" t="str">
        <f>IFERROR(VLOOKUP(B320,'[1]model_S-フレーム'!$F$5:$R$7000,13,1),"")</f>
        <v>E353766_01</v>
      </c>
      <c r="BL320" s="7" t="str">
        <f>IFERROR(VLOOKUP(B320,'[1]model_S-フレーム'!$F$5:$V$7000,17,1),"")</f>
        <v>RX-10F</v>
      </c>
      <c r="BM320" t="str" cm="1">
        <f t="array" ref="BM320">_xlfn.IFS(LEFT(G320,1)="L","外注品",LEFT(G320,1)="W","内製品",G320="","購買品")</f>
        <v>内製品</v>
      </c>
    </row>
    <row r="321" spans="1:65">
      <c r="A321" t="str">
        <f t="shared" si="41"/>
        <v>WG01</v>
      </c>
      <c r="B321" t="s">
        <v>452</v>
      </c>
      <c r="C321" t="s">
        <v>892</v>
      </c>
      <c r="D321" s="7"/>
      <c r="E321" s="7"/>
      <c r="G321" t="s">
        <v>1938</v>
      </c>
      <c r="H321" t="str" cm="1">
        <f t="array" ref="H321">IFERROR(_xlfn.IFS(B321="","",AND(B321="",G321=""),"",G321="","記載要"),"")</f>
        <v/>
      </c>
      <c r="K321" t="str">
        <f t="shared" si="42"/>
        <v>11WP00902559</v>
      </c>
      <c r="L321" s="3" t="str">
        <f t="shared" si="43"/>
        <v>2001/01/01</v>
      </c>
      <c r="M321" s="3" t="str">
        <f t="shared" si="44"/>
        <v>2199/12/31</v>
      </c>
      <c r="N321" t="str">
        <f t="shared" si="45"/>
        <v>11WP00902559</v>
      </c>
      <c r="O321">
        <v>5</v>
      </c>
      <c r="Q321" t="str" cm="1">
        <f t="array" ref="Q321">_xlfn.IFS(AND(C321="",G321=""),"",LEFT(G321,1)="L","記載要",LEFT(G321,1)="W","",AND(C321,G321=""),"記載要")</f>
        <v/>
      </c>
      <c r="R321" s="21" t="str">
        <f t="shared" si="50"/>
        <v/>
      </c>
      <c r="S321" s="21"/>
      <c r="Z321" s="8"/>
      <c r="AA321">
        <v>1</v>
      </c>
      <c r="AB321">
        <f t="shared" si="46"/>
        <v>0</v>
      </c>
      <c r="AC321">
        <v>1</v>
      </c>
      <c r="AF321">
        <v>1</v>
      </c>
      <c r="AG321" s="8"/>
      <c r="AH321" s="8"/>
      <c r="AK321" cm="1">
        <f t="array" ref="AK321">_xlfn.IFS(B321="","",LEFT(G321,1)="L",1,LEFT(G321,1)="W",1,AND(LEFT(B321,1)="H",G321=""),0)</f>
        <v>1</v>
      </c>
      <c r="AS321" t="str">
        <f t="shared" si="47"/>
        <v/>
      </c>
      <c r="AT321" t="s">
        <v>115</v>
      </c>
      <c r="AU321" t="str">
        <f t="shared" si="48"/>
        <v>0</v>
      </c>
      <c r="BD321" t="str">
        <f t="shared" si="49"/>
        <v>0</v>
      </c>
      <c r="BK321" t="str">
        <f>IFERROR(VLOOKUP(B321,'[1]model_S-フレーム'!$F$5:$R$7000,13,1),"")</f>
        <v>E353766_01</v>
      </c>
      <c r="BL321" s="7" t="str">
        <f>IFERROR(VLOOKUP(B321,'[1]model_S-フレーム'!$F$5:$V$7000,17,1),"")</f>
        <v>RX-10F</v>
      </c>
      <c r="BM321" t="str" cm="1">
        <f t="array" ref="BM321">_xlfn.IFS(LEFT(G321,1)="L","外注品",LEFT(G321,1)="W","内製品",G321="","購買品")</f>
        <v>内製品</v>
      </c>
    </row>
    <row r="322" spans="1:65">
      <c r="A322" t="str">
        <f t="shared" si="41"/>
        <v>WG01</v>
      </c>
      <c r="B322" t="s">
        <v>453</v>
      </c>
      <c r="C322" t="s">
        <v>892</v>
      </c>
      <c r="D322" s="7"/>
      <c r="E322" s="7"/>
      <c r="G322" t="s">
        <v>1938</v>
      </c>
      <c r="H322" t="str" cm="1">
        <f t="array" ref="H322">IFERROR(_xlfn.IFS(B322="","",AND(B322="",G322=""),"",G322="","記載要"),"")</f>
        <v/>
      </c>
      <c r="K322" t="str">
        <f t="shared" si="42"/>
        <v>11WP00902560</v>
      </c>
      <c r="L322" s="3" t="str">
        <f t="shared" si="43"/>
        <v>2001/01/01</v>
      </c>
      <c r="M322" s="3" t="str">
        <f t="shared" si="44"/>
        <v>2199/12/31</v>
      </c>
      <c r="N322" t="str">
        <f t="shared" si="45"/>
        <v>11WP00902560</v>
      </c>
      <c r="O322">
        <v>5</v>
      </c>
      <c r="Q322" t="str" cm="1">
        <f t="array" ref="Q322">_xlfn.IFS(AND(C322="",G322=""),"",LEFT(G322,1)="L","記載要",LEFT(G322,1)="W","",AND(C322,G322=""),"記載要")</f>
        <v/>
      </c>
      <c r="R322" s="21" t="str">
        <f t="shared" si="50"/>
        <v/>
      </c>
      <c r="S322" s="21"/>
      <c r="Z322" s="8"/>
      <c r="AA322">
        <v>1</v>
      </c>
      <c r="AB322">
        <f t="shared" si="46"/>
        <v>0</v>
      </c>
      <c r="AC322">
        <v>1</v>
      </c>
      <c r="AF322">
        <v>1</v>
      </c>
      <c r="AG322" s="8"/>
      <c r="AH322" s="8"/>
      <c r="AK322" cm="1">
        <f t="array" ref="AK322">_xlfn.IFS(B322="","",LEFT(G322,1)="L",1,LEFT(G322,1)="W",1,AND(LEFT(B322,1)="H",G322=""),0)</f>
        <v>1</v>
      </c>
      <c r="AS322" t="str">
        <f t="shared" si="47"/>
        <v/>
      </c>
      <c r="AT322" t="s">
        <v>115</v>
      </c>
      <c r="AU322" t="str">
        <f t="shared" si="48"/>
        <v>0</v>
      </c>
      <c r="BD322" t="str">
        <f t="shared" si="49"/>
        <v>0</v>
      </c>
      <c r="BK322" t="str">
        <f>IFERROR(VLOOKUP(B322,'[1]model_S-フレーム'!$F$5:$R$7000,13,1),"")</f>
        <v>E353766_01</v>
      </c>
      <c r="BL322" s="7" t="str">
        <f>IFERROR(VLOOKUP(B322,'[1]model_S-フレーム'!$F$5:$V$7000,17,1),"")</f>
        <v>RX-10F</v>
      </c>
      <c r="BM322" t="str" cm="1">
        <f t="array" ref="BM322">_xlfn.IFS(LEFT(G322,1)="L","外注品",LEFT(G322,1)="W","内製品",G322="","購買品")</f>
        <v>内製品</v>
      </c>
    </row>
    <row r="323" spans="1:65">
      <c r="A323" t="str">
        <f t="shared" ref="A323:A386" si="51">IF(B323="","","WG01")</f>
        <v>WG01</v>
      </c>
      <c r="B323" t="s">
        <v>454</v>
      </c>
      <c r="C323" t="s">
        <v>892</v>
      </c>
      <c r="D323" s="7"/>
      <c r="E323" s="7"/>
      <c r="G323" t="s">
        <v>1938</v>
      </c>
      <c r="H323" t="str" cm="1">
        <f t="array" ref="H323">IFERROR(_xlfn.IFS(B323="","",AND(B323="",G323=""),"",G323="","記載要"),"")</f>
        <v/>
      </c>
      <c r="K323" t="str">
        <f t="shared" ref="K323:K386" si="52">IF(G323="","","11"&amp;G323&amp;RIGHT(B323,5))</f>
        <v>11WP00902561</v>
      </c>
      <c r="L323" s="3" t="str">
        <f t="shared" ref="L323:L386" si="53">IF(B323="","","2001/01/01")</f>
        <v>2001/01/01</v>
      </c>
      <c r="M323" s="3" t="str">
        <f t="shared" ref="M323:M386" si="54">IF(C323="","","2199/12/31")</f>
        <v>2199/12/31</v>
      </c>
      <c r="N323" t="str">
        <f t="shared" ref="N323:N386" si="55">IF(LEFT(G323,1)="W",K323,"")</f>
        <v>11WP00902561</v>
      </c>
      <c r="O323">
        <v>5</v>
      </c>
      <c r="Q323" t="str" cm="1">
        <f t="array" ref="Q323">_xlfn.IFS(AND(C323="",G323=""),"",LEFT(G323,1)="L","記載要",LEFT(G323,1)="W","",AND(C323,G323=""),"記載要")</f>
        <v/>
      </c>
      <c r="R323" s="21" t="str">
        <f t="shared" si="50"/>
        <v/>
      </c>
      <c r="S323" s="21"/>
      <c r="Z323" s="8"/>
      <c r="AA323">
        <v>1</v>
      </c>
      <c r="AB323">
        <f t="shared" ref="AB323:AB386" si="56">IF(B323="","",0)</f>
        <v>0</v>
      </c>
      <c r="AC323">
        <v>1</v>
      </c>
      <c r="AF323">
        <v>1</v>
      </c>
      <c r="AG323" s="8"/>
      <c r="AH323" s="8"/>
      <c r="AK323" cm="1">
        <f t="array" ref="AK323">_xlfn.IFS(B323="","",LEFT(G323,1)="L",1,LEFT(G323,1)="W",1,AND(LEFT(B323,1)="H",G323=""),0)</f>
        <v>1</v>
      </c>
      <c r="AS323" t="str">
        <f t="shared" ref="AS323:AS386" si="57">IF(Q323="","",1)</f>
        <v/>
      </c>
      <c r="AT323" t="s">
        <v>115</v>
      </c>
      <c r="AU323" t="str">
        <f t="shared" ref="AU323:AU386" si="58">IF(B323="","","0")</f>
        <v>0</v>
      </c>
      <c r="BD323" t="str">
        <f t="shared" ref="BD323:BD386" si="59">IF(B323="","","0")</f>
        <v>0</v>
      </c>
      <c r="BK323" t="str">
        <f>IFERROR(VLOOKUP(B323,'[1]model_S-フレーム'!$F$5:$R$7000,13,1),"")</f>
        <v>E353766_01</v>
      </c>
      <c r="BL323" s="7" t="str">
        <f>IFERROR(VLOOKUP(B323,'[1]model_S-フレーム'!$F$5:$V$7000,17,1),"")</f>
        <v>RX-10F</v>
      </c>
      <c r="BM323" t="str" cm="1">
        <f t="array" ref="BM323">_xlfn.IFS(LEFT(G323,1)="L","外注品",LEFT(G323,1)="W","内製品",G323="","購買品")</f>
        <v>内製品</v>
      </c>
    </row>
    <row r="324" spans="1:65">
      <c r="A324" t="str">
        <f t="shared" si="51"/>
        <v>WG01</v>
      </c>
      <c r="B324" t="s">
        <v>455</v>
      </c>
      <c r="C324" t="s">
        <v>893</v>
      </c>
      <c r="D324" s="7"/>
      <c r="E324" s="7"/>
      <c r="G324" t="s">
        <v>1938</v>
      </c>
      <c r="H324" t="str" cm="1">
        <f t="array" ref="H324">IFERROR(_xlfn.IFS(B324="","",AND(B324="",G324=""),"",G324="","記載要"),"")</f>
        <v/>
      </c>
      <c r="K324" t="str">
        <f t="shared" si="52"/>
        <v>11WP00902562</v>
      </c>
      <c r="L324" s="3" t="str">
        <f t="shared" si="53"/>
        <v>2001/01/01</v>
      </c>
      <c r="M324" s="3" t="str">
        <f t="shared" si="54"/>
        <v>2199/12/31</v>
      </c>
      <c r="N324" t="str">
        <f t="shared" si="55"/>
        <v>11WP00902562</v>
      </c>
      <c r="O324">
        <v>5</v>
      </c>
      <c r="Q324" t="str" cm="1">
        <f t="array" ref="Q324">_xlfn.IFS(AND(C324="",G324=""),"",LEFT(G324,1)="L","記載要",LEFT(G324,1)="W","",AND(C324,G324=""),"記載要")</f>
        <v/>
      </c>
      <c r="R324" s="21" t="str">
        <f t="shared" ref="R324:R387" si="60">IF(H324="","","記載要")</f>
        <v/>
      </c>
      <c r="S324" s="21"/>
      <c r="Z324" s="8"/>
      <c r="AA324">
        <v>1</v>
      </c>
      <c r="AB324">
        <f t="shared" si="56"/>
        <v>0</v>
      </c>
      <c r="AC324">
        <v>1</v>
      </c>
      <c r="AF324">
        <v>1</v>
      </c>
      <c r="AG324" s="8"/>
      <c r="AH324" s="8"/>
      <c r="AK324" cm="1">
        <f t="array" ref="AK324">_xlfn.IFS(B324="","",LEFT(G324,1)="L",1,LEFT(G324,1)="W",1,AND(LEFT(B324,1)="H",G324=""),0)</f>
        <v>1</v>
      </c>
      <c r="AS324" t="str">
        <f t="shared" si="57"/>
        <v/>
      </c>
      <c r="AT324" t="s">
        <v>115</v>
      </c>
      <c r="AU324" t="str">
        <f t="shared" si="58"/>
        <v>0</v>
      </c>
      <c r="BD324" t="str">
        <f t="shared" si="59"/>
        <v>0</v>
      </c>
      <c r="BK324" t="str">
        <f>IFERROR(VLOOKUP(B324,'[1]model_S-フレーム'!$F$5:$R$7000,13,1),"")</f>
        <v>E353766_01</v>
      </c>
      <c r="BL324" s="7" t="str">
        <f>IFERROR(VLOOKUP(B324,'[1]model_S-フレーム'!$F$5:$V$7000,17,1),"")</f>
        <v>RX-10F</v>
      </c>
      <c r="BM324" t="str" cm="1">
        <f t="array" ref="BM324">_xlfn.IFS(LEFT(G324,1)="L","外注品",LEFT(G324,1)="W","内製品",G324="","購買品")</f>
        <v>内製品</v>
      </c>
    </row>
    <row r="325" spans="1:65">
      <c r="A325" t="str">
        <f t="shared" si="51"/>
        <v>WG01</v>
      </c>
      <c r="B325" t="s">
        <v>456</v>
      </c>
      <c r="C325" t="s">
        <v>893</v>
      </c>
      <c r="D325" s="7"/>
      <c r="E325" s="7"/>
      <c r="G325" t="s">
        <v>1938</v>
      </c>
      <c r="H325" t="str" cm="1">
        <f t="array" ref="H325">IFERROR(_xlfn.IFS(B325="","",AND(B325="",G325=""),"",G325="","記載要"),"")</f>
        <v/>
      </c>
      <c r="K325" t="str">
        <f t="shared" si="52"/>
        <v>11WP00902563</v>
      </c>
      <c r="L325" s="3" t="str">
        <f t="shared" si="53"/>
        <v>2001/01/01</v>
      </c>
      <c r="M325" s="3" t="str">
        <f t="shared" si="54"/>
        <v>2199/12/31</v>
      </c>
      <c r="N325" t="str">
        <f t="shared" si="55"/>
        <v>11WP00902563</v>
      </c>
      <c r="O325">
        <v>5</v>
      </c>
      <c r="Q325" t="str" cm="1">
        <f t="array" ref="Q325">_xlfn.IFS(AND(C325="",G325=""),"",LEFT(G325,1)="L","記載要",LEFT(G325,1)="W","",AND(C325,G325=""),"記載要")</f>
        <v/>
      </c>
      <c r="R325" s="21" t="str">
        <f t="shared" si="60"/>
        <v/>
      </c>
      <c r="S325" s="21"/>
      <c r="Z325" s="8"/>
      <c r="AA325">
        <v>1</v>
      </c>
      <c r="AB325">
        <f t="shared" si="56"/>
        <v>0</v>
      </c>
      <c r="AC325">
        <v>1</v>
      </c>
      <c r="AF325">
        <v>1</v>
      </c>
      <c r="AG325" s="8"/>
      <c r="AH325" s="8"/>
      <c r="AK325" cm="1">
        <f t="array" ref="AK325">_xlfn.IFS(B325="","",LEFT(G325,1)="L",1,LEFT(G325,1)="W",1,AND(LEFT(B325,1)="H",G325=""),0)</f>
        <v>1</v>
      </c>
      <c r="AS325" t="str">
        <f t="shared" si="57"/>
        <v/>
      </c>
      <c r="AT325" t="s">
        <v>115</v>
      </c>
      <c r="AU325" t="str">
        <f t="shared" si="58"/>
        <v>0</v>
      </c>
      <c r="BD325" t="str">
        <f t="shared" si="59"/>
        <v>0</v>
      </c>
      <c r="BK325" t="str">
        <f>IFERROR(VLOOKUP(B325,'[1]model_S-フレーム'!$F$5:$R$7000,13,1),"")</f>
        <v>E353766_01</v>
      </c>
      <c r="BL325" s="7" t="str">
        <f>IFERROR(VLOOKUP(B325,'[1]model_S-フレーム'!$F$5:$V$7000,17,1),"")</f>
        <v>RX-10F</v>
      </c>
      <c r="BM325" t="str" cm="1">
        <f t="array" ref="BM325">_xlfn.IFS(LEFT(G325,1)="L","外注品",LEFT(G325,1)="W","内製品",G325="","購買品")</f>
        <v>内製品</v>
      </c>
    </row>
    <row r="326" spans="1:65">
      <c r="A326" t="str">
        <f t="shared" si="51"/>
        <v>WG01</v>
      </c>
      <c r="B326" t="s">
        <v>457</v>
      </c>
      <c r="C326" t="s">
        <v>893</v>
      </c>
      <c r="D326" s="7"/>
      <c r="E326" s="7"/>
      <c r="G326" t="s">
        <v>1938</v>
      </c>
      <c r="H326" t="str" cm="1">
        <f t="array" ref="H326">IFERROR(_xlfn.IFS(B326="","",AND(B326="",G326=""),"",G326="","記載要"),"")</f>
        <v/>
      </c>
      <c r="K326" t="str">
        <f t="shared" si="52"/>
        <v>11WP00902564</v>
      </c>
      <c r="L326" s="3" t="str">
        <f t="shared" si="53"/>
        <v>2001/01/01</v>
      </c>
      <c r="M326" s="3" t="str">
        <f t="shared" si="54"/>
        <v>2199/12/31</v>
      </c>
      <c r="N326" t="str">
        <f t="shared" si="55"/>
        <v>11WP00902564</v>
      </c>
      <c r="O326">
        <v>5</v>
      </c>
      <c r="Q326" t="str" cm="1">
        <f t="array" ref="Q326">_xlfn.IFS(AND(C326="",G326=""),"",LEFT(G326,1)="L","記載要",LEFT(G326,1)="W","",AND(C326,G326=""),"記載要")</f>
        <v/>
      </c>
      <c r="R326" s="21" t="str">
        <f t="shared" si="60"/>
        <v/>
      </c>
      <c r="S326" s="21"/>
      <c r="Z326" s="8"/>
      <c r="AA326">
        <v>1</v>
      </c>
      <c r="AB326">
        <f t="shared" si="56"/>
        <v>0</v>
      </c>
      <c r="AC326">
        <v>1</v>
      </c>
      <c r="AF326">
        <v>1</v>
      </c>
      <c r="AG326" s="8"/>
      <c r="AH326" s="8"/>
      <c r="AK326" cm="1">
        <f t="array" ref="AK326">_xlfn.IFS(B326="","",LEFT(G326,1)="L",1,LEFT(G326,1)="W",1,AND(LEFT(B326,1)="H",G326=""),0)</f>
        <v>1</v>
      </c>
      <c r="AS326" t="str">
        <f t="shared" si="57"/>
        <v/>
      </c>
      <c r="AT326" t="s">
        <v>115</v>
      </c>
      <c r="AU326" t="str">
        <f t="shared" si="58"/>
        <v>0</v>
      </c>
      <c r="BD326" t="str">
        <f t="shared" si="59"/>
        <v>0</v>
      </c>
      <c r="BK326" t="str">
        <f>IFERROR(VLOOKUP(B326,'[1]model_S-フレーム'!$F$5:$R$7000,13,1),"")</f>
        <v>E353766_01</v>
      </c>
      <c r="BL326" s="7" t="str">
        <f>IFERROR(VLOOKUP(B326,'[1]model_S-フレーム'!$F$5:$V$7000,17,1),"")</f>
        <v>RX-10F</v>
      </c>
      <c r="BM326" t="str" cm="1">
        <f t="array" ref="BM326">_xlfn.IFS(LEFT(G326,1)="L","外注品",LEFT(G326,1)="W","内製品",G326="","購買品")</f>
        <v>内製品</v>
      </c>
    </row>
    <row r="327" spans="1:65">
      <c r="A327" t="str">
        <f t="shared" si="51"/>
        <v>WG01</v>
      </c>
      <c r="B327" t="s">
        <v>458</v>
      </c>
      <c r="C327" t="s">
        <v>893</v>
      </c>
      <c r="D327" s="7"/>
      <c r="E327" s="7"/>
      <c r="G327" t="s">
        <v>1938</v>
      </c>
      <c r="H327" t="str" cm="1">
        <f t="array" ref="H327">IFERROR(_xlfn.IFS(B327="","",AND(B327="",G327=""),"",G327="","記載要"),"")</f>
        <v/>
      </c>
      <c r="K327" t="str">
        <f t="shared" si="52"/>
        <v>11WP00902565</v>
      </c>
      <c r="L327" s="3" t="str">
        <f t="shared" si="53"/>
        <v>2001/01/01</v>
      </c>
      <c r="M327" s="3" t="str">
        <f t="shared" si="54"/>
        <v>2199/12/31</v>
      </c>
      <c r="N327" t="str">
        <f t="shared" si="55"/>
        <v>11WP00902565</v>
      </c>
      <c r="O327">
        <v>5</v>
      </c>
      <c r="Q327" t="str" cm="1">
        <f t="array" ref="Q327">_xlfn.IFS(AND(C327="",G327=""),"",LEFT(G327,1)="L","記載要",LEFT(G327,1)="W","",AND(C327,G327=""),"記載要")</f>
        <v/>
      </c>
      <c r="R327" s="21" t="str">
        <f t="shared" si="60"/>
        <v/>
      </c>
      <c r="S327" s="21"/>
      <c r="Z327" s="8"/>
      <c r="AA327">
        <v>1</v>
      </c>
      <c r="AB327">
        <f t="shared" si="56"/>
        <v>0</v>
      </c>
      <c r="AC327">
        <v>1</v>
      </c>
      <c r="AF327">
        <v>1</v>
      </c>
      <c r="AG327" s="8"/>
      <c r="AH327" s="8"/>
      <c r="AK327" cm="1">
        <f t="array" ref="AK327">_xlfn.IFS(B327="","",LEFT(G327,1)="L",1,LEFT(G327,1)="W",1,AND(LEFT(B327,1)="H",G327=""),0)</f>
        <v>1</v>
      </c>
      <c r="AS327" t="str">
        <f t="shared" si="57"/>
        <v/>
      </c>
      <c r="AT327" t="s">
        <v>115</v>
      </c>
      <c r="AU327" t="str">
        <f t="shared" si="58"/>
        <v>0</v>
      </c>
      <c r="BD327" t="str">
        <f t="shared" si="59"/>
        <v>0</v>
      </c>
      <c r="BK327" t="str">
        <f>IFERROR(VLOOKUP(B327,'[1]model_S-フレーム'!$F$5:$R$7000,13,1),"")</f>
        <v>E353766_01</v>
      </c>
      <c r="BL327" s="7" t="str">
        <f>IFERROR(VLOOKUP(B327,'[1]model_S-フレーム'!$F$5:$V$7000,17,1),"")</f>
        <v>RX-10F</v>
      </c>
      <c r="BM327" t="str" cm="1">
        <f t="array" ref="BM327">_xlfn.IFS(LEFT(G327,1)="L","外注品",LEFT(G327,1)="W","内製品",G327="","購買品")</f>
        <v>内製品</v>
      </c>
    </row>
    <row r="328" spans="1:65">
      <c r="A328" t="str">
        <f t="shared" si="51"/>
        <v>WG01</v>
      </c>
      <c r="B328" t="s">
        <v>459</v>
      </c>
      <c r="C328" t="s">
        <v>894</v>
      </c>
      <c r="D328" s="7"/>
      <c r="E328" s="7"/>
      <c r="G328" t="s">
        <v>1938</v>
      </c>
      <c r="H328" t="str" cm="1">
        <f t="array" ref="H328">IFERROR(_xlfn.IFS(B328="","",AND(B328="",G328=""),"",G328="","記載要"),"")</f>
        <v/>
      </c>
      <c r="K328" t="str">
        <f t="shared" si="52"/>
        <v>11WP00902566</v>
      </c>
      <c r="L328" s="3" t="str">
        <f t="shared" si="53"/>
        <v>2001/01/01</v>
      </c>
      <c r="M328" s="3" t="str">
        <f t="shared" si="54"/>
        <v>2199/12/31</v>
      </c>
      <c r="N328" t="str">
        <f t="shared" si="55"/>
        <v>11WP00902566</v>
      </c>
      <c r="O328">
        <v>5</v>
      </c>
      <c r="Q328" t="str" cm="1">
        <f t="array" ref="Q328">_xlfn.IFS(AND(C328="",G328=""),"",LEFT(G328,1)="L","記載要",LEFT(G328,1)="W","",AND(C328,G328=""),"記載要")</f>
        <v/>
      </c>
      <c r="R328" s="21" t="str">
        <f t="shared" si="60"/>
        <v/>
      </c>
      <c r="S328" s="21"/>
      <c r="Z328" s="8"/>
      <c r="AA328">
        <v>1</v>
      </c>
      <c r="AB328">
        <f t="shared" si="56"/>
        <v>0</v>
      </c>
      <c r="AC328">
        <v>1</v>
      </c>
      <c r="AF328">
        <v>1</v>
      </c>
      <c r="AG328" s="8"/>
      <c r="AH328" s="8"/>
      <c r="AK328" cm="1">
        <f t="array" ref="AK328">_xlfn.IFS(B328="","",LEFT(G328,1)="L",1,LEFT(G328,1)="W",1,AND(LEFT(B328,1)="H",G328=""),0)</f>
        <v>1</v>
      </c>
      <c r="AS328" t="str">
        <f t="shared" si="57"/>
        <v/>
      </c>
      <c r="AT328" t="s">
        <v>115</v>
      </c>
      <c r="AU328" t="str">
        <f t="shared" si="58"/>
        <v>0</v>
      </c>
      <c r="BD328" t="str">
        <f t="shared" si="59"/>
        <v>0</v>
      </c>
      <c r="BK328" t="str">
        <f>IFERROR(VLOOKUP(B328,'[1]model_S-フレーム'!$F$5:$R$7000,13,1),"")</f>
        <v>E353766_01</v>
      </c>
      <c r="BL328" s="7" t="str">
        <f>IFERROR(VLOOKUP(B328,'[1]model_S-フレーム'!$F$5:$V$7000,17,1),"")</f>
        <v>RX-10F</v>
      </c>
      <c r="BM328" t="str" cm="1">
        <f t="array" ref="BM328">_xlfn.IFS(LEFT(G328,1)="L","外注品",LEFT(G328,1)="W","内製品",G328="","購買品")</f>
        <v>内製品</v>
      </c>
    </row>
    <row r="329" spans="1:65">
      <c r="A329" t="str">
        <f t="shared" si="51"/>
        <v>WG01</v>
      </c>
      <c r="B329" t="s">
        <v>460</v>
      </c>
      <c r="C329" t="s">
        <v>894</v>
      </c>
      <c r="D329" s="7"/>
      <c r="E329" s="7"/>
      <c r="G329" t="s">
        <v>1938</v>
      </c>
      <c r="H329" t="str" cm="1">
        <f t="array" ref="H329">IFERROR(_xlfn.IFS(B329="","",AND(B329="",G329=""),"",G329="","記載要"),"")</f>
        <v/>
      </c>
      <c r="K329" t="str">
        <f t="shared" si="52"/>
        <v>11WP00902567</v>
      </c>
      <c r="L329" s="3" t="str">
        <f t="shared" si="53"/>
        <v>2001/01/01</v>
      </c>
      <c r="M329" s="3" t="str">
        <f t="shared" si="54"/>
        <v>2199/12/31</v>
      </c>
      <c r="N329" t="str">
        <f t="shared" si="55"/>
        <v>11WP00902567</v>
      </c>
      <c r="O329">
        <v>5</v>
      </c>
      <c r="Q329" t="str" cm="1">
        <f t="array" ref="Q329">_xlfn.IFS(AND(C329="",G329=""),"",LEFT(G329,1)="L","記載要",LEFT(G329,1)="W","",AND(C329,G329=""),"記載要")</f>
        <v/>
      </c>
      <c r="R329" s="21" t="str">
        <f t="shared" si="60"/>
        <v/>
      </c>
      <c r="S329" s="21"/>
      <c r="Z329" s="8"/>
      <c r="AA329">
        <v>1</v>
      </c>
      <c r="AB329">
        <f t="shared" si="56"/>
        <v>0</v>
      </c>
      <c r="AC329">
        <v>1</v>
      </c>
      <c r="AF329">
        <v>1</v>
      </c>
      <c r="AG329" s="8"/>
      <c r="AH329" s="8"/>
      <c r="AK329" cm="1">
        <f t="array" ref="AK329">_xlfn.IFS(B329="","",LEFT(G329,1)="L",1,LEFT(G329,1)="W",1,AND(LEFT(B329,1)="H",G329=""),0)</f>
        <v>1</v>
      </c>
      <c r="AS329" t="str">
        <f t="shared" si="57"/>
        <v/>
      </c>
      <c r="AT329" t="s">
        <v>115</v>
      </c>
      <c r="AU329" t="str">
        <f t="shared" si="58"/>
        <v>0</v>
      </c>
      <c r="BD329" t="str">
        <f t="shared" si="59"/>
        <v>0</v>
      </c>
      <c r="BK329" t="str">
        <f>IFERROR(VLOOKUP(B329,'[1]model_S-フレーム'!$F$5:$R$7000,13,1),"")</f>
        <v>E353766_01</v>
      </c>
      <c r="BL329" s="7" t="str">
        <f>IFERROR(VLOOKUP(B329,'[1]model_S-フレーム'!$F$5:$V$7000,17,1),"")</f>
        <v>RX-10F</v>
      </c>
      <c r="BM329" t="str" cm="1">
        <f t="array" ref="BM329">_xlfn.IFS(LEFT(G329,1)="L","外注品",LEFT(G329,1)="W","内製品",G329="","購買品")</f>
        <v>内製品</v>
      </c>
    </row>
    <row r="330" spans="1:65">
      <c r="A330" t="str">
        <f t="shared" si="51"/>
        <v>WG01</v>
      </c>
      <c r="B330" t="s">
        <v>461</v>
      </c>
      <c r="C330" t="s">
        <v>894</v>
      </c>
      <c r="D330" s="7"/>
      <c r="E330" s="7"/>
      <c r="G330" t="s">
        <v>1938</v>
      </c>
      <c r="H330" t="str" cm="1">
        <f t="array" ref="H330">IFERROR(_xlfn.IFS(B330="","",AND(B330="",G330=""),"",G330="","記載要"),"")</f>
        <v/>
      </c>
      <c r="K330" t="str">
        <f t="shared" si="52"/>
        <v>11WP00902568</v>
      </c>
      <c r="L330" s="3" t="str">
        <f t="shared" si="53"/>
        <v>2001/01/01</v>
      </c>
      <c r="M330" s="3" t="str">
        <f t="shared" si="54"/>
        <v>2199/12/31</v>
      </c>
      <c r="N330" t="str">
        <f t="shared" si="55"/>
        <v>11WP00902568</v>
      </c>
      <c r="O330">
        <v>5</v>
      </c>
      <c r="Q330" t="str" cm="1">
        <f t="array" ref="Q330">_xlfn.IFS(AND(C330="",G330=""),"",LEFT(G330,1)="L","記載要",LEFT(G330,1)="W","",AND(C330,G330=""),"記載要")</f>
        <v/>
      </c>
      <c r="R330" s="21" t="str">
        <f t="shared" si="60"/>
        <v/>
      </c>
      <c r="S330" s="21"/>
      <c r="Z330" s="8"/>
      <c r="AA330">
        <v>1</v>
      </c>
      <c r="AB330">
        <f t="shared" si="56"/>
        <v>0</v>
      </c>
      <c r="AC330">
        <v>1</v>
      </c>
      <c r="AF330">
        <v>1</v>
      </c>
      <c r="AG330" s="8"/>
      <c r="AH330" s="8"/>
      <c r="AK330" cm="1">
        <f t="array" ref="AK330">_xlfn.IFS(B330="","",LEFT(G330,1)="L",1,LEFT(G330,1)="W",1,AND(LEFT(B330,1)="H",G330=""),0)</f>
        <v>1</v>
      </c>
      <c r="AS330" t="str">
        <f t="shared" si="57"/>
        <v/>
      </c>
      <c r="AT330" t="s">
        <v>115</v>
      </c>
      <c r="AU330" t="str">
        <f t="shared" si="58"/>
        <v>0</v>
      </c>
      <c r="BD330" t="str">
        <f t="shared" si="59"/>
        <v>0</v>
      </c>
      <c r="BK330" t="str">
        <f>IFERROR(VLOOKUP(B330,'[1]model_S-フレーム'!$F$5:$R$7000,13,1),"")</f>
        <v>E353766_01</v>
      </c>
      <c r="BL330" s="7" t="str">
        <f>IFERROR(VLOOKUP(B330,'[1]model_S-フレーム'!$F$5:$V$7000,17,1),"")</f>
        <v>RX-10F</v>
      </c>
      <c r="BM330" t="str" cm="1">
        <f t="array" ref="BM330">_xlfn.IFS(LEFT(G330,1)="L","外注品",LEFT(G330,1)="W","内製品",G330="","購買品")</f>
        <v>内製品</v>
      </c>
    </row>
    <row r="331" spans="1:65">
      <c r="A331" t="str">
        <f t="shared" si="51"/>
        <v>WG01</v>
      </c>
      <c r="B331" t="s">
        <v>462</v>
      </c>
      <c r="C331" t="s">
        <v>894</v>
      </c>
      <c r="D331" s="7"/>
      <c r="E331" s="7"/>
      <c r="G331" t="s">
        <v>1938</v>
      </c>
      <c r="H331" t="str" cm="1">
        <f t="array" ref="H331">IFERROR(_xlfn.IFS(B331="","",AND(B331="",G331=""),"",G331="","記載要"),"")</f>
        <v/>
      </c>
      <c r="K331" t="str">
        <f t="shared" si="52"/>
        <v>11WP00902569</v>
      </c>
      <c r="L331" s="3" t="str">
        <f t="shared" si="53"/>
        <v>2001/01/01</v>
      </c>
      <c r="M331" s="3" t="str">
        <f t="shared" si="54"/>
        <v>2199/12/31</v>
      </c>
      <c r="N331" t="str">
        <f t="shared" si="55"/>
        <v>11WP00902569</v>
      </c>
      <c r="O331">
        <v>5</v>
      </c>
      <c r="Q331" t="str" cm="1">
        <f t="array" ref="Q331">_xlfn.IFS(AND(C331="",G331=""),"",LEFT(G331,1)="L","記載要",LEFT(G331,1)="W","",AND(C331,G331=""),"記載要")</f>
        <v/>
      </c>
      <c r="R331" s="21" t="str">
        <f t="shared" si="60"/>
        <v/>
      </c>
      <c r="S331" s="21"/>
      <c r="Z331" s="8"/>
      <c r="AA331">
        <v>1</v>
      </c>
      <c r="AB331">
        <f t="shared" si="56"/>
        <v>0</v>
      </c>
      <c r="AC331">
        <v>1</v>
      </c>
      <c r="AF331">
        <v>1</v>
      </c>
      <c r="AG331" s="8"/>
      <c r="AH331" s="8"/>
      <c r="AK331" cm="1">
        <f t="array" ref="AK331">_xlfn.IFS(B331="","",LEFT(G331,1)="L",1,LEFT(G331,1)="W",1,AND(LEFT(B331,1)="H",G331=""),0)</f>
        <v>1</v>
      </c>
      <c r="AS331" t="str">
        <f t="shared" si="57"/>
        <v/>
      </c>
      <c r="AT331" t="s">
        <v>115</v>
      </c>
      <c r="AU331" t="str">
        <f t="shared" si="58"/>
        <v>0</v>
      </c>
      <c r="BD331" t="str">
        <f t="shared" si="59"/>
        <v>0</v>
      </c>
      <c r="BK331" t="str">
        <f>IFERROR(VLOOKUP(B331,'[1]model_S-フレーム'!$F$5:$R$7000,13,1),"")</f>
        <v>E353766_01</v>
      </c>
      <c r="BL331" s="7" t="str">
        <f>IFERROR(VLOOKUP(B331,'[1]model_S-フレーム'!$F$5:$V$7000,17,1),"")</f>
        <v>RX-10F</v>
      </c>
      <c r="BM331" t="str" cm="1">
        <f t="array" ref="BM331">_xlfn.IFS(LEFT(G331,1)="L","外注品",LEFT(G331,1)="W","内製品",G331="","購買品")</f>
        <v>内製品</v>
      </c>
    </row>
    <row r="332" spans="1:65" s="11" customFormat="1">
      <c r="A332" t="str">
        <f t="shared" si="51"/>
        <v>WG01</v>
      </c>
      <c r="B332" t="s">
        <v>463</v>
      </c>
      <c r="C332" t="s">
        <v>895</v>
      </c>
      <c r="D332" s="7"/>
      <c r="E332" s="7"/>
      <c r="F332"/>
      <c r="G332"/>
      <c r="H332">
        <v>27616</v>
      </c>
      <c r="I332"/>
      <c r="J332"/>
      <c r="K332" t="str">
        <f t="shared" si="52"/>
        <v/>
      </c>
      <c r="L332" s="3" t="str">
        <f t="shared" si="53"/>
        <v>2001/01/01</v>
      </c>
      <c r="M332" s="3" t="str">
        <f t="shared" si="54"/>
        <v>2199/12/31</v>
      </c>
      <c r="N332" t="str">
        <f t="shared" si="55"/>
        <v/>
      </c>
      <c r="O332" t="str">
        <f t="shared" ref="O332:O339" si="61">IF(G332="","","記載要")</f>
        <v/>
      </c>
      <c r="P332"/>
      <c r="Q332">
        <v>15</v>
      </c>
      <c r="R332" s="21">
        <v>100000000</v>
      </c>
      <c r="S332" s="21" t="str" cm="1">
        <f t="array" ref="S332">_xlfn.IFS(LEFT(G332,1)="L","記載要",LEFT(G332,1)="W","記載要",G332="","")</f>
        <v/>
      </c>
      <c r="T332"/>
      <c r="U332"/>
      <c r="V332"/>
      <c r="W332"/>
      <c r="X332"/>
      <c r="Y332"/>
      <c r="Z332" s="8"/>
      <c r="AA332" s="8">
        <v>1</v>
      </c>
      <c r="AB332">
        <f t="shared" si="56"/>
        <v>0</v>
      </c>
      <c r="AC332" s="8">
        <v>1</v>
      </c>
      <c r="AD332"/>
      <c r="AE332"/>
      <c r="AF332">
        <v>1</v>
      </c>
      <c r="AG332" s="8"/>
      <c r="AH332" s="8"/>
      <c r="AI332"/>
      <c r="AJ332"/>
      <c r="AK332" cm="1">
        <f t="array" ref="AK332">_xlfn.IFS(B332="","",LEFT(G332,1)="L",1,LEFT(G332,1)="W",1,AND(LEFT(B332,1)="H",G332=""),0)</f>
        <v>0</v>
      </c>
      <c r="AL332"/>
      <c r="AM332"/>
      <c r="AN332"/>
      <c r="AO332"/>
      <c r="AP332"/>
      <c r="AQ332"/>
      <c r="AR332"/>
      <c r="AS332">
        <f t="shared" si="57"/>
        <v>1</v>
      </c>
      <c r="AT332" t="s">
        <v>115</v>
      </c>
      <c r="AU332" t="str">
        <f t="shared" si="58"/>
        <v>0</v>
      </c>
      <c r="AV332"/>
      <c r="AW332"/>
      <c r="AX332"/>
      <c r="AY332"/>
      <c r="AZ332"/>
      <c r="BA332"/>
      <c r="BB332"/>
      <c r="BC332"/>
      <c r="BD332" t="str">
        <f t="shared" si="59"/>
        <v>0</v>
      </c>
      <c r="BE332"/>
      <c r="BF332"/>
      <c r="BG332"/>
      <c r="BH332"/>
      <c r="BI332"/>
      <c r="BJ332"/>
      <c r="BK332" s="11" t="str">
        <f>IFERROR(VLOOKUP(B332,'[1]model_S-フレーム'!$F$5:$R$7000,13,1),"")</f>
        <v>E353766_01</v>
      </c>
      <c r="BL332" s="12" t="str">
        <f>IFERROR(VLOOKUP(B332,'[1]model_S-フレーム'!$F$5:$V$7000,17,1),"")</f>
        <v>RX-10F</v>
      </c>
      <c r="BM332" s="11" t="str" cm="1">
        <f t="array" ref="BM332">_xlfn.IFS(LEFT(G332,1)="L","外注品",LEFT(G332,1)="W","内製品",G332="","購買品")</f>
        <v>購買品</v>
      </c>
    </row>
    <row r="333" spans="1:65" s="11" customFormat="1">
      <c r="A333" t="str">
        <f t="shared" si="51"/>
        <v>WG01</v>
      </c>
      <c r="B333" t="s">
        <v>463</v>
      </c>
      <c r="C333" t="s">
        <v>895</v>
      </c>
      <c r="D333" s="7"/>
      <c r="E333" s="7"/>
      <c r="F333"/>
      <c r="G333"/>
      <c r="H333">
        <v>43453</v>
      </c>
      <c r="I333"/>
      <c r="J333"/>
      <c r="K333" t="str">
        <f t="shared" si="52"/>
        <v/>
      </c>
      <c r="L333" s="3" t="str">
        <f t="shared" si="53"/>
        <v>2001/01/01</v>
      </c>
      <c r="M333" s="3" t="str">
        <f t="shared" si="54"/>
        <v>2199/12/31</v>
      </c>
      <c r="N333" t="str">
        <f t="shared" si="55"/>
        <v/>
      </c>
      <c r="O333" t="str">
        <f t="shared" si="61"/>
        <v/>
      </c>
      <c r="P333"/>
      <c r="Q333">
        <v>15</v>
      </c>
      <c r="R333" s="21">
        <v>100000000</v>
      </c>
      <c r="S333" s="21" t="str" cm="1">
        <f t="array" ref="S333">_xlfn.IFS(LEFT(G333,1)="L","記載要",LEFT(G333,1)="W","記載要",G333="","")</f>
        <v/>
      </c>
      <c r="T333"/>
      <c r="U333"/>
      <c r="V333"/>
      <c r="W333"/>
      <c r="X333"/>
      <c r="Y333"/>
      <c r="Z333" s="8"/>
      <c r="AA333" s="8">
        <v>1</v>
      </c>
      <c r="AB333">
        <f t="shared" si="56"/>
        <v>0</v>
      </c>
      <c r="AC333" s="8">
        <v>1</v>
      </c>
      <c r="AD333"/>
      <c r="AE333"/>
      <c r="AF333">
        <v>0</v>
      </c>
      <c r="AG333" s="8"/>
      <c r="AH333" s="8"/>
      <c r="AI333"/>
      <c r="AJ333"/>
      <c r="AK333" cm="1">
        <f t="array" ref="AK333">_xlfn.IFS(B333="","",LEFT(G333,1)="L",1,LEFT(G333,1)="W",1,AND(LEFT(B333,1)="H",G333=""),0)</f>
        <v>0</v>
      </c>
      <c r="AL333"/>
      <c r="AM333"/>
      <c r="AN333"/>
      <c r="AO333"/>
      <c r="AP333"/>
      <c r="AQ333"/>
      <c r="AR333"/>
      <c r="AS333">
        <f t="shared" si="57"/>
        <v>1</v>
      </c>
      <c r="AT333" t="s">
        <v>115</v>
      </c>
      <c r="AU333" t="str">
        <f t="shared" si="58"/>
        <v>0</v>
      </c>
      <c r="AV333"/>
      <c r="AW333"/>
      <c r="AX333"/>
      <c r="AY333"/>
      <c r="AZ333"/>
      <c r="BA333"/>
      <c r="BB333"/>
      <c r="BC333"/>
      <c r="BD333" t="str">
        <f t="shared" si="59"/>
        <v>0</v>
      </c>
      <c r="BE333"/>
      <c r="BF333"/>
      <c r="BG333"/>
      <c r="BH333"/>
      <c r="BI333"/>
      <c r="BJ333"/>
      <c r="BK333" s="11" t="str">
        <f>IFERROR(VLOOKUP(B333,'[1]model_S-フレーム'!$F$5:$R$7000,13,1),"")</f>
        <v>E353766_01</v>
      </c>
      <c r="BL333" s="12" t="str">
        <f>IFERROR(VLOOKUP(B333,'[1]model_S-フレーム'!$F$5:$V$7000,17,1),"")</f>
        <v>RX-10F</v>
      </c>
      <c r="BM333" s="11" t="str" cm="1">
        <f t="array" ref="BM333">_xlfn.IFS(LEFT(G333,1)="L","外注品",LEFT(G333,1)="W","内製品",G333="","購買品")</f>
        <v>購買品</v>
      </c>
    </row>
    <row r="334" spans="1:65" s="11" customFormat="1">
      <c r="A334" t="str">
        <f t="shared" si="51"/>
        <v>WG01</v>
      </c>
      <c r="B334" t="s">
        <v>463</v>
      </c>
      <c r="C334" t="s">
        <v>895</v>
      </c>
      <c r="D334" s="7"/>
      <c r="E334" s="7"/>
      <c r="F334"/>
      <c r="G334"/>
      <c r="H334">
        <v>47081</v>
      </c>
      <c r="I334"/>
      <c r="J334"/>
      <c r="K334" t="str">
        <f t="shared" si="52"/>
        <v/>
      </c>
      <c r="L334" s="3" t="str">
        <f t="shared" si="53"/>
        <v>2001/01/01</v>
      </c>
      <c r="M334" s="3" t="str">
        <f t="shared" si="54"/>
        <v>2199/12/31</v>
      </c>
      <c r="N334" t="str">
        <f t="shared" si="55"/>
        <v/>
      </c>
      <c r="O334" t="str">
        <f t="shared" si="61"/>
        <v/>
      </c>
      <c r="P334"/>
      <c r="Q334">
        <v>15</v>
      </c>
      <c r="R334" s="21">
        <v>100000000</v>
      </c>
      <c r="S334" s="21" t="str" cm="1">
        <f t="array" ref="S334">_xlfn.IFS(LEFT(G334,1)="L","記載要",LEFT(G334,1)="W","記載要",G334="","")</f>
        <v/>
      </c>
      <c r="T334"/>
      <c r="U334"/>
      <c r="V334"/>
      <c r="W334"/>
      <c r="X334"/>
      <c r="Y334"/>
      <c r="Z334" s="8"/>
      <c r="AA334" s="8">
        <v>1</v>
      </c>
      <c r="AB334">
        <f t="shared" si="56"/>
        <v>0</v>
      </c>
      <c r="AC334" s="8">
        <v>1</v>
      </c>
      <c r="AD334"/>
      <c r="AE334"/>
      <c r="AF334">
        <v>0</v>
      </c>
      <c r="AG334" s="8"/>
      <c r="AH334" s="8"/>
      <c r="AI334"/>
      <c r="AJ334"/>
      <c r="AK334" cm="1">
        <f t="array" ref="AK334">_xlfn.IFS(B334="","",LEFT(G334,1)="L",1,LEFT(G334,1)="W",1,AND(LEFT(B334,1)="H",G334=""),0)</f>
        <v>0</v>
      </c>
      <c r="AL334"/>
      <c r="AM334"/>
      <c r="AN334"/>
      <c r="AO334"/>
      <c r="AP334"/>
      <c r="AQ334"/>
      <c r="AR334"/>
      <c r="AS334">
        <f t="shared" si="57"/>
        <v>1</v>
      </c>
      <c r="AT334" t="s">
        <v>115</v>
      </c>
      <c r="AU334" t="str">
        <f t="shared" si="58"/>
        <v>0</v>
      </c>
      <c r="AV334"/>
      <c r="AW334"/>
      <c r="AX334"/>
      <c r="AY334"/>
      <c r="AZ334"/>
      <c r="BA334"/>
      <c r="BB334"/>
      <c r="BC334"/>
      <c r="BD334" t="str">
        <f t="shared" si="59"/>
        <v>0</v>
      </c>
      <c r="BE334"/>
      <c r="BF334"/>
      <c r="BG334"/>
      <c r="BH334"/>
      <c r="BI334"/>
      <c r="BJ334"/>
      <c r="BK334" s="11" t="str">
        <f>IFERROR(VLOOKUP(B334,'[1]model_S-フレーム'!$F$5:$R$7000,13,1),"")</f>
        <v>E353766_01</v>
      </c>
      <c r="BL334" s="12" t="str">
        <f>IFERROR(VLOOKUP(B334,'[1]model_S-フレーム'!$F$5:$V$7000,17,1),"")</f>
        <v>RX-10F</v>
      </c>
      <c r="BM334" s="11" t="str" cm="1">
        <f t="array" ref="BM334">_xlfn.IFS(LEFT(G334,1)="L","外注品",LEFT(G334,1)="W","内製品",G334="","購買品")</f>
        <v>購買品</v>
      </c>
    </row>
    <row r="335" spans="1:65">
      <c r="A335" t="str">
        <f t="shared" si="51"/>
        <v>WG01</v>
      </c>
      <c r="B335" t="s">
        <v>463</v>
      </c>
      <c r="C335" t="s">
        <v>895</v>
      </c>
      <c r="D335" s="7"/>
      <c r="E335" s="7"/>
      <c r="H335" s="19" t="s">
        <v>1937</v>
      </c>
      <c r="K335" t="str">
        <f t="shared" si="52"/>
        <v/>
      </c>
      <c r="L335" s="3" t="str">
        <f t="shared" si="53"/>
        <v>2001/01/01</v>
      </c>
      <c r="M335" s="3" t="str">
        <f t="shared" si="54"/>
        <v>2199/12/31</v>
      </c>
      <c r="N335" t="str">
        <f t="shared" si="55"/>
        <v/>
      </c>
      <c r="O335" t="str">
        <f t="shared" si="61"/>
        <v/>
      </c>
      <c r="Q335">
        <v>15</v>
      </c>
      <c r="R335" s="21">
        <v>100000000</v>
      </c>
      <c r="S335" s="21" t="str" cm="1">
        <f t="array" ref="S335">_xlfn.IFS(LEFT(G335,1)="L","記載要",LEFT(G335,1)="W","記載要",G335="","")</f>
        <v/>
      </c>
      <c r="Z335" s="8"/>
      <c r="AA335" s="8">
        <v>1</v>
      </c>
      <c r="AB335">
        <f t="shared" si="56"/>
        <v>0</v>
      </c>
      <c r="AC335" s="8">
        <v>1</v>
      </c>
      <c r="AF335">
        <v>0</v>
      </c>
      <c r="AG335" s="8"/>
      <c r="AH335" s="8"/>
      <c r="AK335" cm="1">
        <f t="array" ref="AK335">_xlfn.IFS(B335="","",LEFT(G335,1)="L",1,LEFT(G335,1)="W",1,AND(LEFT(B335,1)="H",G335=""),0)</f>
        <v>0</v>
      </c>
      <c r="AS335">
        <f t="shared" si="57"/>
        <v>1</v>
      </c>
      <c r="AT335" t="s">
        <v>115</v>
      </c>
      <c r="AU335" t="str">
        <f t="shared" si="58"/>
        <v>0</v>
      </c>
      <c r="BD335" t="str">
        <f t="shared" si="59"/>
        <v>0</v>
      </c>
      <c r="BK335" t="str">
        <f>IFERROR(VLOOKUP(B335,'[1]model_S-フレーム'!$F$5:$R$7000,13,1),"")</f>
        <v>E353766_01</v>
      </c>
      <c r="BL335" s="7" t="str">
        <f>IFERROR(VLOOKUP(B335,'[1]model_S-フレーム'!$F$5:$V$7000,17,1),"")</f>
        <v>RX-10F</v>
      </c>
      <c r="BM335" t="str" cm="1">
        <f t="array" ref="BM335">_xlfn.IFS(LEFT(G335,1)="L","外注品",LEFT(G335,1)="W","内製品",G335="","購買品")</f>
        <v>購買品</v>
      </c>
    </row>
    <row r="336" spans="1:65" s="11" customFormat="1">
      <c r="A336" t="str">
        <f t="shared" si="51"/>
        <v>WG01</v>
      </c>
      <c r="B336" t="s">
        <v>464</v>
      </c>
      <c r="C336" t="s">
        <v>896</v>
      </c>
      <c r="D336" s="7"/>
      <c r="E336" s="7"/>
      <c r="F336"/>
      <c r="G336"/>
      <c r="H336">
        <v>27616</v>
      </c>
      <c r="I336"/>
      <c r="J336"/>
      <c r="K336" t="str">
        <f t="shared" si="52"/>
        <v/>
      </c>
      <c r="L336" s="3" t="str">
        <f t="shared" si="53"/>
        <v>2001/01/01</v>
      </c>
      <c r="M336" s="3" t="str">
        <f t="shared" si="54"/>
        <v>2199/12/31</v>
      </c>
      <c r="N336" t="str">
        <f t="shared" si="55"/>
        <v/>
      </c>
      <c r="O336" t="str">
        <f t="shared" si="61"/>
        <v/>
      </c>
      <c r="P336"/>
      <c r="Q336">
        <v>15</v>
      </c>
      <c r="R336" s="21">
        <v>100000000</v>
      </c>
      <c r="S336" s="21" t="str" cm="1">
        <f t="array" ref="S336">_xlfn.IFS(LEFT(G336,1)="L","記載要",LEFT(G336,1)="W","記載要",G336="","")</f>
        <v/>
      </c>
      <c r="T336"/>
      <c r="U336"/>
      <c r="V336"/>
      <c r="W336"/>
      <c r="X336"/>
      <c r="Y336"/>
      <c r="Z336" s="8"/>
      <c r="AA336" s="8">
        <v>1</v>
      </c>
      <c r="AB336">
        <f t="shared" si="56"/>
        <v>0</v>
      </c>
      <c r="AC336" s="8">
        <v>1</v>
      </c>
      <c r="AD336"/>
      <c r="AE336"/>
      <c r="AF336">
        <v>1</v>
      </c>
      <c r="AG336" s="8"/>
      <c r="AH336" s="8"/>
      <c r="AI336"/>
      <c r="AJ336"/>
      <c r="AK336" cm="1">
        <f t="array" ref="AK336">_xlfn.IFS(B336="","",LEFT(G336,1)="L",1,LEFT(G336,1)="W",1,AND(LEFT(B336,1)="H",G336=""),0)</f>
        <v>0</v>
      </c>
      <c r="AL336"/>
      <c r="AM336"/>
      <c r="AN336"/>
      <c r="AO336"/>
      <c r="AP336"/>
      <c r="AQ336"/>
      <c r="AR336"/>
      <c r="AS336">
        <f t="shared" si="57"/>
        <v>1</v>
      </c>
      <c r="AT336" t="s">
        <v>115</v>
      </c>
      <c r="AU336" t="str">
        <f t="shared" si="58"/>
        <v>0</v>
      </c>
      <c r="AV336"/>
      <c r="AW336"/>
      <c r="AX336"/>
      <c r="AY336"/>
      <c r="AZ336"/>
      <c r="BA336"/>
      <c r="BB336"/>
      <c r="BC336"/>
      <c r="BD336" t="str">
        <f t="shared" si="59"/>
        <v>0</v>
      </c>
      <c r="BE336"/>
      <c r="BF336"/>
      <c r="BG336"/>
      <c r="BH336"/>
      <c r="BI336"/>
      <c r="BJ336"/>
      <c r="BK336" s="11" t="str">
        <f>IFERROR(VLOOKUP(B336,'[1]model_S-フレーム'!$F$5:$R$7000,13,1),"")</f>
        <v>E353766_01</v>
      </c>
      <c r="BL336" s="12" t="str">
        <f>IFERROR(VLOOKUP(B336,'[1]model_S-フレーム'!$F$5:$V$7000,17,1),"")</f>
        <v>RX-10F</v>
      </c>
      <c r="BM336" s="11" t="str" cm="1">
        <f t="array" ref="BM336">_xlfn.IFS(LEFT(G336,1)="L","外注品",LEFT(G336,1)="W","内製品",G336="","購買品")</f>
        <v>購買品</v>
      </c>
    </row>
    <row r="337" spans="1:65" s="11" customFormat="1">
      <c r="A337" t="str">
        <f t="shared" si="51"/>
        <v>WG01</v>
      </c>
      <c r="B337" t="s">
        <v>464</v>
      </c>
      <c r="C337" t="s">
        <v>896</v>
      </c>
      <c r="D337" s="7"/>
      <c r="E337" s="7"/>
      <c r="F337"/>
      <c r="G337"/>
      <c r="H337">
        <v>43453</v>
      </c>
      <c r="I337"/>
      <c r="J337"/>
      <c r="K337" t="str">
        <f t="shared" si="52"/>
        <v/>
      </c>
      <c r="L337" s="3" t="str">
        <f t="shared" si="53"/>
        <v>2001/01/01</v>
      </c>
      <c r="M337" s="3" t="str">
        <f t="shared" si="54"/>
        <v>2199/12/31</v>
      </c>
      <c r="N337" t="str">
        <f t="shared" si="55"/>
        <v/>
      </c>
      <c r="O337" t="str">
        <f t="shared" si="61"/>
        <v/>
      </c>
      <c r="P337"/>
      <c r="Q337">
        <v>15</v>
      </c>
      <c r="R337" s="21">
        <v>100000000</v>
      </c>
      <c r="S337" s="21" t="str" cm="1">
        <f t="array" ref="S337">_xlfn.IFS(LEFT(G337,1)="L","記載要",LEFT(G337,1)="W","記載要",G337="","")</f>
        <v/>
      </c>
      <c r="T337"/>
      <c r="U337"/>
      <c r="V337"/>
      <c r="W337"/>
      <c r="X337"/>
      <c r="Y337"/>
      <c r="Z337" s="8"/>
      <c r="AA337" s="8">
        <v>1</v>
      </c>
      <c r="AB337">
        <f t="shared" si="56"/>
        <v>0</v>
      </c>
      <c r="AC337" s="8">
        <v>1</v>
      </c>
      <c r="AD337"/>
      <c r="AE337"/>
      <c r="AF337">
        <v>0</v>
      </c>
      <c r="AG337" s="8"/>
      <c r="AH337" s="8"/>
      <c r="AI337"/>
      <c r="AJ337"/>
      <c r="AK337" cm="1">
        <f t="array" ref="AK337">_xlfn.IFS(B337="","",LEFT(G337,1)="L",1,LEFT(G337,1)="W",1,AND(LEFT(B337,1)="H",G337=""),0)</f>
        <v>0</v>
      </c>
      <c r="AL337"/>
      <c r="AM337"/>
      <c r="AN337"/>
      <c r="AO337"/>
      <c r="AP337"/>
      <c r="AQ337"/>
      <c r="AR337"/>
      <c r="AS337">
        <f t="shared" si="57"/>
        <v>1</v>
      </c>
      <c r="AT337" t="s">
        <v>115</v>
      </c>
      <c r="AU337" t="str">
        <f t="shared" si="58"/>
        <v>0</v>
      </c>
      <c r="AV337"/>
      <c r="AW337"/>
      <c r="AX337"/>
      <c r="AY337"/>
      <c r="AZ337"/>
      <c r="BA337"/>
      <c r="BB337"/>
      <c r="BC337"/>
      <c r="BD337" t="str">
        <f t="shared" si="59"/>
        <v>0</v>
      </c>
      <c r="BE337"/>
      <c r="BF337"/>
      <c r="BG337"/>
      <c r="BH337"/>
      <c r="BI337"/>
      <c r="BJ337"/>
      <c r="BK337" s="11" t="str">
        <f>IFERROR(VLOOKUP(B337,'[1]model_S-フレーム'!$F$5:$R$7000,13,1),"")</f>
        <v>E353766_01</v>
      </c>
      <c r="BL337" s="12" t="str">
        <f>IFERROR(VLOOKUP(B337,'[1]model_S-フレーム'!$F$5:$V$7000,17,1),"")</f>
        <v>RX-10F</v>
      </c>
      <c r="BM337" s="11" t="str" cm="1">
        <f t="array" ref="BM337">_xlfn.IFS(LEFT(G337,1)="L","外注品",LEFT(G337,1)="W","内製品",G337="","購買品")</f>
        <v>購買品</v>
      </c>
    </row>
    <row r="338" spans="1:65" s="11" customFormat="1">
      <c r="A338" t="str">
        <f t="shared" si="51"/>
        <v>WG01</v>
      </c>
      <c r="B338" t="s">
        <v>464</v>
      </c>
      <c r="C338" t="s">
        <v>896</v>
      </c>
      <c r="D338" s="7"/>
      <c r="E338" s="7"/>
      <c r="F338"/>
      <c r="G338"/>
      <c r="H338">
        <v>47081</v>
      </c>
      <c r="I338"/>
      <c r="J338"/>
      <c r="K338" t="str">
        <f t="shared" si="52"/>
        <v/>
      </c>
      <c r="L338" s="3" t="str">
        <f t="shared" si="53"/>
        <v>2001/01/01</v>
      </c>
      <c r="M338" s="3" t="str">
        <f t="shared" si="54"/>
        <v>2199/12/31</v>
      </c>
      <c r="N338" t="str">
        <f t="shared" si="55"/>
        <v/>
      </c>
      <c r="O338" t="str">
        <f t="shared" si="61"/>
        <v/>
      </c>
      <c r="P338"/>
      <c r="Q338">
        <v>15</v>
      </c>
      <c r="R338" s="21">
        <v>100000000</v>
      </c>
      <c r="S338" s="21" t="str" cm="1">
        <f t="array" ref="S338">_xlfn.IFS(LEFT(G338,1)="L","記載要",LEFT(G338,1)="W","記載要",G338="","")</f>
        <v/>
      </c>
      <c r="T338"/>
      <c r="U338"/>
      <c r="V338"/>
      <c r="W338"/>
      <c r="X338"/>
      <c r="Y338"/>
      <c r="Z338" s="8"/>
      <c r="AA338" s="8">
        <v>1</v>
      </c>
      <c r="AB338">
        <f t="shared" si="56"/>
        <v>0</v>
      </c>
      <c r="AC338" s="8">
        <v>1</v>
      </c>
      <c r="AD338"/>
      <c r="AE338"/>
      <c r="AF338">
        <v>0</v>
      </c>
      <c r="AG338" s="8"/>
      <c r="AH338" s="8"/>
      <c r="AI338"/>
      <c r="AJ338"/>
      <c r="AK338" cm="1">
        <f t="array" ref="AK338">_xlfn.IFS(B338="","",LEFT(G338,1)="L",1,LEFT(G338,1)="W",1,AND(LEFT(B338,1)="H",G338=""),0)</f>
        <v>0</v>
      </c>
      <c r="AL338"/>
      <c r="AM338"/>
      <c r="AN338"/>
      <c r="AO338"/>
      <c r="AP338"/>
      <c r="AQ338"/>
      <c r="AR338"/>
      <c r="AS338">
        <f t="shared" si="57"/>
        <v>1</v>
      </c>
      <c r="AT338" t="s">
        <v>115</v>
      </c>
      <c r="AU338" t="str">
        <f t="shared" si="58"/>
        <v>0</v>
      </c>
      <c r="AV338"/>
      <c r="AW338"/>
      <c r="AX338"/>
      <c r="AY338"/>
      <c r="AZ338"/>
      <c r="BA338"/>
      <c r="BB338"/>
      <c r="BC338"/>
      <c r="BD338" t="str">
        <f t="shared" si="59"/>
        <v>0</v>
      </c>
      <c r="BE338"/>
      <c r="BF338"/>
      <c r="BG338"/>
      <c r="BH338"/>
      <c r="BI338"/>
      <c r="BJ338"/>
      <c r="BK338" s="11" t="str">
        <f>IFERROR(VLOOKUP(B338,'[1]model_S-フレーム'!$F$5:$R$7000,13,1),"")</f>
        <v>E353766_01</v>
      </c>
      <c r="BL338" s="12" t="str">
        <f>IFERROR(VLOOKUP(B338,'[1]model_S-フレーム'!$F$5:$V$7000,17,1),"")</f>
        <v>RX-10F</v>
      </c>
      <c r="BM338" s="11" t="str" cm="1">
        <f t="array" ref="BM338">_xlfn.IFS(LEFT(G338,1)="L","外注品",LEFT(G338,1)="W","内製品",G338="","購買品")</f>
        <v>購買品</v>
      </c>
    </row>
    <row r="339" spans="1:65">
      <c r="A339" t="str">
        <f t="shared" si="51"/>
        <v>WG01</v>
      </c>
      <c r="B339" t="s">
        <v>464</v>
      </c>
      <c r="C339" t="s">
        <v>896</v>
      </c>
      <c r="D339" s="7"/>
      <c r="E339" s="7"/>
      <c r="H339" s="19" t="s">
        <v>1937</v>
      </c>
      <c r="K339" t="str">
        <f t="shared" si="52"/>
        <v/>
      </c>
      <c r="L339" s="3" t="str">
        <f t="shared" si="53"/>
        <v>2001/01/01</v>
      </c>
      <c r="M339" s="3" t="str">
        <f t="shared" si="54"/>
        <v>2199/12/31</v>
      </c>
      <c r="N339" t="str">
        <f t="shared" si="55"/>
        <v/>
      </c>
      <c r="O339" t="str">
        <f t="shared" si="61"/>
        <v/>
      </c>
      <c r="Q339">
        <v>15</v>
      </c>
      <c r="R339" s="21">
        <v>100000000</v>
      </c>
      <c r="S339" s="21" t="str" cm="1">
        <f t="array" ref="S339">_xlfn.IFS(LEFT(G339,1)="L","記載要",LEFT(G339,1)="W","記載要",G339="","")</f>
        <v/>
      </c>
      <c r="Z339" s="8"/>
      <c r="AA339" s="8">
        <v>1</v>
      </c>
      <c r="AB339">
        <f t="shared" si="56"/>
        <v>0</v>
      </c>
      <c r="AC339" s="8">
        <v>1</v>
      </c>
      <c r="AF339">
        <v>0</v>
      </c>
      <c r="AG339" s="8"/>
      <c r="AH339" s="8"/>
      <c r="AK339" cm="1">
        <f t="array" ref="AK339">_xlfn.IFS(B339="","",LEFT(G339,1)="L",1,LEFT(G339,1)="W",1,AND(LEFT(B339,1)="H",G339=""),0)</f>
        <v>0</v>
      </c>
      <c r="AS339">
        <f t="shared" si="57"/>
        <v>1</v>
      </c>
      <c r="AT339" t="s">
        <v>115</v>
      </c>
      <c r="AU339" t="str">
        <f t="shared" si="58"/>
        <v>0</v>
      </c>
      <c r="BD339" t="str">
        <f t="shared" si="59"/>
        <v>0</v>
      </c>
      <c r="BK339" t="str">
        <f>IFERROR(VLOOKUP(B339,'[1]model_S-フレーム'!$F$5:$R$7000,13,1),"")</f>
        <v>E353766_01</v>
      </c>
      <c r="BL339" s="7" t="str">
        <f>IFERROR(VLOOKUP(B339,'[1]model_S-フレーム'!$F$5:$V$7000,17,1),"")</f>
        <v>RX-10F</v>
      </c>
      <c r="BM339" t="str" cm="1">
        <f t="array" ref="BM339">_xlfn.IFS(LEFT(G339,1)="L","外注品",LEFT(G339,1)="W","内製品",G339="","購買品")</f>
        <v>購買品</v>
      </c>
    </row>
    <row r="340" spans="1:65">
      <c r="A340" t="str">
        <f t="shared" si="51"/>
        <v>WG01</v>
      </c>
      <c r="B340" t="s">
        <v>465</v>
      </c>
      <c r="C340" t="s">
        <v>887</v>
      </c>
      <c r="D340" s="7"/>
      <c r="E340" s="7"/>
      <c r="G340" t="s">
        <v>1938</v>
      </c>
      <c r="H340" t="str" cm="1">
        <f t="array" ref="H340">IFERROR(_xlfn.IFS(B340="","",AND(B340="",G340=""),"",G340="","記載要"),"")</f>
        <v/>
      </c>
      <c r="K340" t="str">
        <f t="shared" si="52"/>
        <v>11WP00902572</v>
      </c>
      <c r="L340" s="3" t="str">
        <f t="shared" si="53"/>
        <v>2001/01/01</v>
      </c>
      <c r="M340" s="3" t="str">
        <f t="shared" si="54"/>
        <v>2199/12/31</v>
      </c>
      <c r="N340" t="str">
        <f t="shared" si="55"/>
        <v>11WP00902572</v>
      </c>
      <c r="O340">
        <v>5</v>
      </c>
      <c r="Q340" t="str" cm="1">
        <f t="array" ref="Q340">_xlfn.IFS(AND(C340="",G340=""),"",LEFT(G340,1)="L","記載要",LEFT(G340,1)="W","",AND(C340,G340=""),"記載要")</f>
        <v/>
      </c>
      <c r="R340" s="21" t="str">
        <f t="shared" si="60"/>
        <v/>
      </c>
      <c r="S340" s="21"/>
      <c r="Z340" s="8"/>
      <c r="AA340">
        <v>1</v>
      </c>
      <c r="AB340">
        <f t="shared" si="56"/>
        <v>0</v>
      </c>
      <c r="AC340">
        <v>1</v>
      </c>
      <c r="AF340">
        <v>1</v>
      </c>
      <c r="AG340" s="8"/>
      <c r="AH340" s="8"/>
      <c r="AK340" cm="1">
        <f t="array" ref="AK340">_xlfn.IFS(B340="","",LEFT(G340,1)="L",1,LEFT(G340,1)="W",1,AND(LEFT(B340,1)="H",G340=""),0)</f>
        <v>1</v>
      </c>
      <c r="AS340" t="str">
        <f t="shared" si="57"/>
        <v/>
      </c>
      <c r="AT340" t="s">
        <v>115</v>
      </c>
      <c r="AU340" t="str">
        <f t="shared" si="58"/>
        <v>0</v>
      </c>
      <c r="BD340" t="str">
        <f t="shared" si="59"/>
        <v>0</v>
      </c>
      <c r="BK340" t="str">
        <f>IFERROR(VLOOKUP(B340,'[1]model_S-フレーム'!$F$5:$R$7000,13,1),"")</f>
        <v>E353768_01</v>
      </c>
      <c r="BL340" s="7" t="str">
        <f>IFERROR(VLOOKUP(B340,'[1]model_S-フレーム'!$F$5:$V$7000,17,1),"")</f>
        <v>RX-10F</v>
      </c>
      <c r="BM340" t="str" cm="1">
        <f t="array" ref="BM340">_xlfn.IFS(LEFT(G340,1)="L","外注品",LEFT(G340,1)="W","内製品",G340="","購買品")</f>
        <v>内製品</v>
      </c>
    </row>
    <row r="341" spans="1:65">
      <c r="A341" t="str">
        <f t="shared" si="51"/>
        <v>WG01</v>
      </c>
      <c r="B341" t="s">
        <v>466</v>
      </c>
      <c r="C341" t="s">
        <v>887</v>
      </c>
      <c r="D341" s="7"/>
      <c r="E341" s="7"/>
      <c r="G341" t="s">
        <v>1938</v>
      </c>
      <c r="H341" t="str" cm="1">
        <f t="array" ref="H341">IFERROR(_xlfn.IFS(B341="","",AND(B341="",G341=""),"",G341="","記載要"),"")</f>
        <v/>
      </c>
      <c r="K341" t="str">
        <f t="shared" si="52"/>
        <v>11WP00902573</v>
      </c>
      <c r="L341" s="3" t="str">
        <f t="shared" si="53"/>
        <v>2001/01/01</v>
      </c>
      <c r="M341" s="3" t="str">
        <f t="shared" si="54"/>
        <v>2199/12/31</v>
      </c>
      <c r="N341" t="str">
        <f t="shared" si="55"/>
        <v>11WP00902573</v>
      </c>
      <c r="O341">
        <v>5</v>
      </c>
      <c r="Q341" t="str" cm="1">
        <f t="array" ref="Q341">_xlfn.IFS(AND(C341="",G341=""),"",LEFT(G341,1)="L","記載要",LEFT(G341,1)="W","",AND(C341,G341=""),"記載要")</f>
        <v/>
      </c>
      <c r="R341" s="21" t="str">
        <f t="shared" si="60"/>
        <v/>
      </c>
      <c r="S341" s="21"/>
      <c r="Z341" s="8"/>
      <c r="AA341">
        <v>1</v>
      </c>
      <c r="AB341">
        <f t="shared" si="56"/>
        <v>0</v>
      </c>
      <c r="AC341">
        <v>1</v>
      </c>
      <c r="AF341">
        <v>1</v>
      </c>
      <c r="AG341" s="8"/>
      <c r="AH341" s="8"/>
      <c r="AK341" cm="1">
        <f t="array" ref="AK341">_xlfn.IFS(B341="","",LEFT(G341,1)="L",1,LEFT(G341,1)="W",1,AND(LEFT(B341,1)="H",G341=""),0)</f>
        <v>1</v>
      </c>
      <c r="AS341" t="str">
        <f t="shared" si="57"/>
        <v/>
      </c>
      <c r="AT341" t="s">
        <v>115</v>
      </c>
      <c r="AU341" t="str">
        <f t="shared" si="58"/>
        <v>0</v>
      </c>
      <c r="BD341" t="str">
        <f t="shared" si="59"/>
        <v>0</v>
      </c>
      <c r="BK341" t="str">
        <f>IFERROR(VLOOKUP(B341,'[1]model_S-フレーム'!$F$5:$R$7000,13,1),"")</f>
        <v>E353768_01</v>
      </c>
      <c r="BL341" s="7" t="str">
        <f>IFERROR(VLOOKUP(B341,'[1]model_S-フレーム'!$F$5:$V$7000,17,1),"")</f>
        <v>RX-10F</v>
      </c>
      <c r="BM341" t="str" cm="1">
        <f t="array" ref="BM341">_xlfn.IFS(LEFT(G341,1)="L","外注品",LEFT(G341,1)="W","内製品",G341="","購買品")</f>
        <v>内製品</v>
      </c>
    </row>
    <row r="342" spans="1:65">
      <c r="A342" t="str">
        <f t="shared" si="51"/>
        <v>WG01</v>
      </c>
      <c r="B342" t="s">
        <v>467</v>
      </c>
      <c r="C342" t="s">
        <v>887</v>
      </c>
      <c r="D342" s="7"/>
      <c r="E342" s="7"/>
      <c r="G342" t="s">
        <v>1938</v>
      </c>
      <c r="H342" t="str" cm="1">
        <f t="array" ref="H342">IFERROR(_xlfn.IFS(B342="","",AND(B342="",G342=""),"",G342="","記載要"),"")</f>
        <v/>
      </c>
      <c r="K342" t="str">
        <f t="shared" si="52"/>
        <v>11WP00902574</v>
      </c>
      <c r="L342" s="3" t="str">
        <f t="shared" si="53"/>
        <v>2001/01/01</v>
      </c>
      <c r="M342" s="3" t="str">
        <f t="shared" si="54"/>
        <v>2199/12/31</v>
      </c>
      <c r="N342" t="str">
        <f t="shared" si="55"/>
        <v>11WP00902574</v>
      </c>
      <c r="O342">
        <v>5</v>
      </c>
      <c r="Q342" t="str" cm="1">
        <f t="array" ref="Q342">_xlfn.IFS(AND(C342="",G342=""),"",LEFT(G342,1)="L","記載要",LEFT(G342,1)="W","",AND(C342,G342=""),"記載要")</f>
        <v/>
      </c>
      <c r="R342" s="21" t="str">
        <f t="shared" si="60"/>
        <v/>
      </c>
      <c r="S342" s="21"/>
      <c r="Z342" s="8"/>
      <c r="AA342">
        <v>1</v>
      </c>
      <c r="AB342">
        <f t="shared" si="56"/>
        <v>0</v>
      </c>
      <c r="AC342">
        <v>1</v>
      </c>
      <c r="AF342">
        <v>1</v>
      </c>
      <c r="AG342" s="8"/>
      <c r="AH342" s="8"/>
      <c r="AK342" cm="1">
        <f t="array" ref="AK342">_xlfn.IFS(B342="","",LEFT(G342,1)="L",1,LEFT(G342,1)="W",1,AND(LEFT(B342,1)="H",G342=""),0)</f>
        <v>1</v>
      </c>
      <c r="AS342" t="str">
        <f t="shared" si="57"/>
        <v/>
      </c>
      <c r="AT342" t="s">
        <v>115</v>
      </c>
      <c r="AU342" t="str">
        <f t="shared" si="58"/>
        <v>0</v>
      </c>
      <c r="BD342" t="str">
        <f t="shared" si="59"/>
        <v>0</v>
      </c>
      <c r="BK342" t="str">
        <f>IFERROR(VLOOKUP(B342,'[1]model_S-フレーム'!$F$5:$R$7000,13,1),"")</f>
        <v>E353768_01</v>
      </c>
      <c r="BL342" s="7" t="str">
        <f>IFERROR(VLOOKUP(B342,'[1]model_S-フレーム'!$F$5:$V$7000,17,1),"")</f>
        <v>RX-10F</v>
      </c>
      <c r="BM342" t="str" cm="1">
        <f t="array" ref="BM342">_xlfn.IFS(LEFT(G342,1)="L","外注品",LEFT(G342,1)="W","内製品",G342="","購買品")</f>
        <v>内製品</v>
      </c>
    </row>
    <row r="343" spans="1:65">
      <c r="A343" t="str">
        <f t="shared" si="51"/>
        <v>WG01</v>
      </c>
      <c r="B343" t="s">
        <v>468</v>
      </c>
      <c r="C343" t="s">
        <v>887</v>
      </c>
      <c r="D343" s="7"/>
      <c r="E343" s="7"/>
      <c r="G343" t="s">
        <v>1938</v>
      </c>
      <c r="H343" t="str" cm="1">
        <f t="array" ref="H343">IFERROR(_xlfn.IFS(B343="","",AND(B343="",G343=""),"",G343="","記載要"),"")</f>
        <v/>
      </c>
      <c r="K343" t="str">
        <f t="shared" si="52"/>
        <v>11WP00902575</v>
      </c>
      <c r="L343" s="3" t="str">
        <f t="shared" si="53"/>
        <v>2001/01/01</v>
      </c>
      <c r="M343" s="3" t="str">
        <f t="shared" si="54"/>
        <v>2199/12/31</v>
      </c>
      <c r="N343" t="str">
        <f t="shared" si="55"/>
        <v>11WP00902575</v>
      </c>
      <c r="O343">
        <v>5</v>
      </c>
      <c r="Q343" t="str" cm="1">
        <f t="array" ref="Q343">_xlfn.IFS(AND(C343="",G343=""),"",LEFT(G343,1)="L","記載要",LEFT(G343,1)="W","",AND(C343,G343=""),"記載要")</f>
        <v/>
      </c>
      <c r="R343" s="21" t="str">
        <f t="shared" si="60"/>
        <v/>
      </c>
      <c r="S343" s="21"/>
      <c r="Z343" s="8"/>
      <c r="AA343">
        <v>1</v>
      </c>
      <c r="AB343">
        <f t="shared" si="56"/>
        <v>0</v>
      </c>
      <c r="AC343">
        <v>1</v>
      </c>
      <c r="AF343">
        <v>1</v>
      </c>
      <c r="AG343" s="8"/>
      <c r="AH343" s="8"/>
      <c r="AK343" cm="1">
        <f t="array" ref="AK343">_xlfn.IFS(B343="","",LEFT(G343,1)="L",1,LEFT(G343,1)="W",1,AND(LEFT(B343,1)="H",G343=""),0)</f>
        <v>1</v>
      </c>
      <c r="AS343" t="str">
        <f t="shared" si="57"/>
        <v/>
      </c>
      <c r="AT343" t="s">
        <v>115</v>
      </c>
      <c r="AU343" t="str">
        <f t="shared" si="58"/>
        <v>0</v>
      </c>
      <c r="BD343" t="str">
        <f t="shared" si="59"/>
        <v>0</v>
      </c>
      <c r="BK343" t="str">
        <f>IFERROR(VLOOKUP(B343,'[1]model_S-フレーム'!$F$5:$R$7000,13,1),"")</f>
        <v>E353768_01</v>
      </c>
      <c r="BL343" s="7" t="str">
        <f>IFERROR(VLOOKUP(B343,'[1]model_S-フレーム'!$F$5:$V$7000,17,1),"")</f>
        <v>RX-10F</v>
      </c>
      <c r="BM343" t="str" cm="1">
        <f t="array" ref="BM343">_xlfn.IFS(LEFT(G343,1)="L","外注品",LEFT(G343,1)="W","内製品",G343="","購買品")</f>
        <v>内製品</v>
      </c>
    </row>
    <row r="344" spans="1:65">
      <c r="A344" t="str">
        <f t="shared" si="51"/>
        <v>WG01</v>
      </c>
      <c r="B344" t="s">
        <v>469</v>
      </c>
      <c r="C344" t="s">
        <v>888</v>
      </c>
      <c r="D344" s="7"/>
      <c r="E344" s="7"/>
      <c r="G344" t="s">
        <v>1938</v>
      </c>
      <c r="H344" t="str" cm="1">
        <f t="array" ref="H344">IFERROR(_xlfn.IFS(B344="","",AND(B344="",G344=""),"",G344="","記載要"),"")</f>
        <v/>
      </c>
      <c r="K344" t="str">
        <f t="shared" si="52"/>
        <v>11WP00902576</v>
      </c>
      <c r="L344" s="3" t="str">
        <f t="shared" si="53"/>
        <v>2001/01/01</v>
      </c>
      <c r="M344" s="3" t="str">
        <f t="shared" si="54"/>
        <v>2199/12/31</v>
      </c>
      <c r="N344" t="str">
        <f t="shared" si="55"/>
        <v>11WP00902576</v>
      </c>
      <c r="O344">
        <v>5</v>
      </c>
      <c r="Q344" t="str" cm="1">
        <f t="array" ref="Q344">_xlfn.IFS(AND(C344="",G344=""),"",LEFT(G344,1)="L","記載要",LEFT(G344,1)="W","",AND(C344,G344=""),"記載要")</f>
        <v/>
      </c>
      <c r="R344" s="21" t="str">
        <f t="shared" si="60"/>
        <v/>
      </c>
      <c r="S344" s="21"/>
      <c r="Z344" s="8"/>
      <c r="AA344">
        <v>1</v>
      </c>
      <c r="AB344">
        <f t="shared" si="56"/>
        <v>0</v>
      </c>
      <c r="AC344">
        <v>1</v>
      </c>
      <c r="AF344">
        <v>1</v>
      </c>
      <c r="AG344" s="8"/>
      <c r="AH344" s="8"/>
      <c r="AK344" cm="1">
        <f t="array" ref="AK344">_xlfn.IFS(B344="","",LEFT(G344,1)="L",1,LEFT(G344,1)="W",1,AND(LEFT(B344,1)="H",G344=""),0)</f>
        <v>1</v>
      </c>
      <c r="AS344" t="str">
        <f t="shared" si="57"/>
        <v/>
      </c>
      <c r="AT344" t="s">
        <v>115</v>
      </c>
      <c r="AU344" t="str">
        <f t="shared" si="58"/>
        <v>0</v>
      </c>
      <c r="BD344" t="str">
        <f t="shared" si="59"/>
        <v>0</v>
      </c>
      <c r="BK344" t="str">
        <f>IFERROR(VLOOKUP(B344,'[1]model_S-フレーム'!$F$5:$R$7000,13,1),"")</f>
        <v>E353768_01</v>
      </c>
      <c r="BL344" s="7" t="str">
        <f>IFERROR(VLOOKUP(B344,'[1]model_S-フレーム'!$F$5:$V$7000,17,1),"")</f>
        <v>RX-10F</v>
      </c>
      <c r="BM344" t="str" cm="1">
        <f t="array" ref="BM344">_xlfn.IFS(LEFT(G344,1)="L","外注品",LEFT(G344,1)="W","内製品",G344="","購買品")</f>
        <v>内製品</v>
      </c>
    </row>
    <row r="345" spans="1:65">
      <c r="A345" t="str">
        <f t="shared" si="51"/>
        <v>WG01</v>
      </c>
      <c r="B345" t="s">
        <v>470</v>
      </c>
      <c r="C345" t="s">
        <v>888</v>
      </c>
      <c r="D345" s="7"/>
      <c r="E345" s="7"/>
      <c r="G345" t="s">
        <v>1938</v>
      </c>
      <c r="H345" t="str" cm="1">
        <f t="array" ref="H345">IFERROR(_xlfn.IFS(B345="","",AND(B345="",G345=""),"",G345="","記載要"),"")</f>
        <v/>
      </c>
      <c r="K345" t="str">
        <f t="shared" si="52"/>
        <v>11WP00902577</v>
      </c>
      <c r="L345" s="3" t="str">
        <f t="shared" si="53"/>
        <v>2001/01/01</v>
      </c>
      <c r="M345" s="3" t="str">
        <f t="shared" si="54"/>
        <v>2199/12/31</v>
      </c>
      <c r="N345" t="str">
        <f t="shared" si="55"/>
        <v>11WP00902577</v>
      </c>
      <c r="O345">
        <v>5</v>
      </c>
      <c r="Q345" t="str" cm="1">
        <f t="array" ref="Q345">_xlfn.IFS(AND(C345="",G345=""),"",LEFT(G345,1)="L","記載要",LEFT(G345,1)="W","",AND(C345,G345=""),"記載要")</f>
        <v/>
      </c>
      <c r="R345" s="21" t="str">
        <f t="shared" si="60"/>
        <v/>
      </c>
      <c r="S345" s="21"/>
      <c r="Z345" s="8"/>
      <c r="AA345">
        <v>1</v>
      </c>
      <c r="AB345">
        <f t="shared" si="56"/>
        <v>0</v>
      </c>
      <c r="AC345">
        <v>1</v>
      </c>
      <c r="AF345">
        <v>1</v>
      </c>
      <c r="AG345" s="8"/>
      <c r="AH345" s="8"/>
      <c r="AK345" cm="1">
        <f t="array" ref="AK345">_xlfn.IFS(B345="","",LEFT(G345,1)="L",1,LEFT(G345,1)="W",1,AND(LEFT(B345,1)="H",G345=""),0)</f>
        <v>1</v>
      </c>
      <c r="AS345" t="str">
        <f t="shared" si="57"/>
        <v/>
      </c>
      <c r="AT345" t="s">
        <v>115</v>
      </c>
      <c r="AU345" t="str">
        <f t="shared" si="58"/>
        <v>0</v>
      </c>
      <c r="BD345" t="str">
        <f t="shared" si="59"/>
        <v>0</v>
      </c>
      <c r="BK345" t="str">
        <f>IFERROR(VLOOKUP(B345,'[1]model_S-フレーム'!$F$5:$R$7000,13,1),"")</f>
        <v>E353768_01</v>
      </c>
      <c r="BL345" s="7" t="str">
        <f>IFERROR(VLOOKUP(B345,'[1]model_S-フレーム'!$F$5:$V$7000,17,1),"")</f>
        <v>RX-10F</v>
      </c>
      <c r="BM345" t="str" cm="1">
        <f t="array" ref="BM345">_xlfn.IFS(LEFT(G345,1)="L","外注品",LEFT(G345,1)="W","内製品",G345="","購買品")</f>
        <v>内製品</v>
      </c>
    </row>
    <row r="346" spans="1:65">
      <c r="A346" t="str">
        <f t="shared" si="51"/>
        <v>WG01</v>
      </c>
      <c r="B346" t="s">
        <v>471</v>
      </c>
      <c r="C346" t="s">
        <v>888</v>
      </c>
      <c r="D346" s="7"/>
      <c r="E346" s="7"/>
      <c r="G346" t="s">
        <v>1938</v>
      </c>
      <c r="H346" t="str" cm="1">
        <f t="array" ref="H346">IFERROR(_xlfn.IFS(B346="","",AND(B346="",G346=""),"",G346="","記載要"),"")</f>
        <v/>
      </c>
      <c r="K346" t="str">
        <f t="shared" si="52"/>
        <v>11WP00902578</v>
      </c>
      <c r="L346" s="3" t="str">
        <f t="shared" si="53"/>
        <v>2001/01/01</v>
      </c>
      <c r="M346" s="3" t="str">
        <f t="shared" si="54"/>
        <v>2199/12/31</v>
      </c>
      <c r="N346" t="str">
        <f t="shared" si="55"/>
        <v>11WP00902578</v>
      </c>
      <c r="O346">
        <v>5</v>
      </c>
      <c r="Q346" t="str" cm="1">
        <f t="array" ref="Q346">_xlfn.IFS(AND(C346="",G346=""),"",LEFT(G346,1)="L","記載要",LEFT(G346,1)="W","",AND(C346,G346=""),"記載要")</f>
        <v/>
      </c>
      <c r="R346" s="21" t="str">
        <f t="shared" si="60"/>
        <v/>
      </c>
      <c r="S346" s="21"/>
      <c r="Z346" s="8"/>
      <c r="AA346">
        <v>1</v>
      </c>
      <c r="AB346">
        <f t="shared" si="56"/>
        <v>0</v>
      </c>
      <c r="AC346">
        <v>1</v>
      </c>
      <c r="AF346">
        <v>1</v>
      </c>
      <c r="AG346" s="8"/>
      <c r="AH346" s="8"/>
      <c r="AK346" cm="1">
        <f t="array" ref="AK346">_xlfn.IFS(B346="","",LEFT(G346,1)="L",1,LEFT(G346,1)="W",1,AND(LEFT(B346,1)="H",G346=""),0)</f>
        <v>1</v>
      </c>
      <c r="AS346" t="str">
        <f t="shared" si="57"/>
        <v/>
      </c>
      <c r="AT346" t="s">
        <v>115</v>
      </c>
      <c r="AU346" t="str">
        <f t="shared" si="58"/>
        <v>0</v>
      </c>
      <c r="BD346" t="str">
        <f t="shared" si="59"/>
        <v>0</v>
      </c>
      <c r="BK346" t="str">
        <f>IFERROR(VLOOKUP(B346,'[1]model_S-フレーム'!$F$5:$R$7000,13,1),"")</f>
        <v>E353768_01</v>
      </c>
      <c r="BL346" s="7" t="str">
        <f>IFERROR(VLOOKUP(B346,'[1]model_S-フレーム'!$F$5:$V$7000,17,1),"")</f>
        <v>RX-10F</v>
      </c>
      <c r="BM346" t="str" cm="1">
        <f t="array" ref="BM346">_xlfn.IFS(LEFT(G346,1)="L","外注品",LEFT(G346,1)="W","内製品",G346="","購買品")</f>
        <v>内製品</v>
      </c>
    </row>
    <row r="347" spans="1:65">
      <c r="A347" t="str">
        <f t="shared" si="51"/>
        <v>WG01</v>
      </c>
      <c r="B347" t="s">
        <v>472</v>
      </c>
      <c r="C347" t="s">
        <v>888</v>
      </c>
      <c r="D347" s="7"/>
      <c r="E347" s="7"/>
      <c r="G347" t="s">
        <v>1938</v>
      </c>
      <c r="H347" t="str" cm="1">
        <f t="array" ref="H347">IFERROR(_xlfn.IFS(B347="","",AND(B347="",G347=""),"",G347="","記載要"),"")</f>
        <v/>
      </c>
      <c r="K347" t="str">
        <f t="shared" si="52"/>
        <v>11WP00902579</v>
      </c>
      <c r="L347" s="3" t="str">
        <f t="shared" si="53"/>
        <v>2001/01/01</v>
      </c>
      <c r="M347" s="3" t="str">
        <f t="shared" si="54"/>
        <v>2199/12/31</v>
      </c>
      <c r="N347" t="str">
        <f t="shared" si="55"/>
        <v>11WP00902579</v>
      </c>
      <c r="O347">
        <v>5</v>
      </c>
      <c r="Q347" t="str" cm="1">
        <f t="array" ref="Q347">_xlfn.IFS(AND(C347="",G347=""),"",LEFT(G347,1)="L","記載要",LEFT(G347,1)="W","",AND(C347,G347=""),"記載要")</f>
        <v/>
      </c>
      <c r="R347" s="21" t="str">
        <f t="shared" si="60"/>
        <v/>
      </c>
      <c r="S347" s="21"/>
      <c r="Z347" s="8"/>
      <c r="AA347">
        <v>1</v>
      </c>
      <c r="AB347">
        <f t="shared" si="56"/>
        <v>0</v>
      </c>
      <c r="AC347">
        <v>1</v>
      </c>
      <c r="AF347">
        <v>1</v>
      </c>
      <c r="AG347" s="8"/>
      <c r="AH347" s="8"/>
      <c r="AK347" cm="1">
        <f t="array" ref="AK347">_xlfn.IFS(B347="","",LEFT(G347,1)="L",1,LEFT(G347,1)="W",1,AND(LEFT(B347,1)="H",G347=""),0)</f>
        <v>1</v>
      </c>
      <c r="AS347" t="str">
        <f t="shared" si="57"/>
        <v/>
      </c>
      <c r="AT347" t="s">
        <v>115</v>
      </c>
      <c r="AU347" t="str">
        <f t="shared" si="58"/>
        <v>0</v>
      </c>
      <c r="BD347" t="str">
        <f t="shared" si="59"/>
        <v>0</v>
      </c>
      <c r="BK347" t="str">
        <f>IFERROR(VLOOKUP(B347,'[1]model_S-フレーム'!$F$5:$R$7000,13,1),"")</f>
        <v>E353768_01</v>
      </c>
      <c r="BL347" s="7" t="str">
        <f>IFERROR(VLOOKUP(B347,'[1]model_S-フレーム'!$F$5:$V$7000,17,1),"")</f>
        <v>RX-10F</v>
      </c>
      <c r="BM347" t="str" cm="1">
        <f t="array" ref="BM347">_xlfn.IFS(LEFT(G347,1)="L","外注品",LEFT(G347,1)="W","内製品",G347="","購買品")</f>
        <v>内製品</v>
      </c>
    </row>
    <row r="348" spans="1:65">
      <c r="A348" t="str">
        <f t="shared" si="51"/>
        <v>WG01</v>
      </c>
      <c r="B348" t="s">
        <v>473</v>
      </c>
      <c r="C348" t="s">
        <v>889</v>
      </c>
      <c r="D348" s="7"/>
      <c r="E348" s="7"/>
      <c r="G348" t="s">
        <v>1938</v>
      </c>
      <c r="H348" t="str" cm="1">
        <f t="array" ref="H348">IFERROR(_xlfn.IFS(B348="","",AND(B348="",G348=""),"",G348="","記載要"),"")</f>
        <v/>
      </c>
      <c r="K348" t="str">
        <f t="shared" si="52"/>
        <v>11WP00902580</v>
      </c>
      <c r="L348" s="3" t="str">
        <f t="shared" si="53"/>
        <v>2001/01/01</v>
      </c>
      <c r="M348" s="3" t="str">
        <f t="shared" si="54"/>
        <v>2199/12/31</v>
      </c>
      <c r="N348" t="str">
        <f t="shared" si="55"/>
        <v>11WP00902580</v>
      </c>
      <c r="O348">
        <v>5</v>
      </c>
      <c r="Q348" t="str" cm="1">
        <f t="array" ref="Q348">_xlfn.IFS(AND(C348="",G348=""),"",LEFT(G348,1)="L","記載要",LEFT(G348,1)="W","",AND(C348,G348=""),"記載要")</f>
        <v/>
      </c>
      <c r="R348" s="21" t="str">
        <f t="shared" si="60"/>
        <v/>
      </c>
      <c r="S348" s="21"/>
      <c r="Z348" s="8"/>
      <c r="AA348">
        <v>1</v>
      </c>
      <c r="AB348">
        <f t="shared" si="56"/>
        <v>0</v>
      </c>
      <c r="AC348">
        <v>1</v>
      </c>
      <c r="AF348">
        <v>1</v>
      </c>
      <c r="AG348" s="8"/>
      <c r="AH348" s="8"/>
      <c r="AK348" cm="1">
        <f t="array" ref="AK348">_xlfn.IFS(B348="","",LEFT(G348,1)="L",1,LEFT(G348,1)="W",1,AND(LEFT(B348,1)="H",G348=""),0)</f>
        <v>1</v>
      </c>
      <c r="AS348" t="str">
        <f t="shared" si="57"/>
        <v/>
      </c>
      <c r="AT348" t="s">
        <v>115</v>
      </c>
      <c r="AU348" t="str">
        <f t="shared" si="58"/>
        <v>0</v>
      </c>
      <c r="BD348" t="str">
        <f t="shared" si="59"/>
        <v>0</v>
      </c>
      <c r="BK348" t="str">
        <f>IFERROR(VLOOKUP(B348,'[1]model_S-フレーム'!$F$5:$R$7000,13,1),"")</f>
        <v>E353768_01</v>
      </c>
      <c r="BL348" s="7" t="str">
        <f>IFERROR(VLOOKUP(B348,'[1]model_S-フレーム'!$F$5:$V$7000,17,1),"")</f>
        <v>RX-10F</v>
      </c>
      <c r="BM348" t="str" cm="1">
        <f t="array" ref="BM348">_xlfn.IFS(LEFT(G348,1)="L","外注品",LEFT(G348,1)="W","内製品",G348="","購買品")</f>
        <v>内製品</v>
      </c>
    </row>
    <row r="349" spans="1:65">
      <c r="A349" t="str">
        <f t="shared" si="51"/>
        <v>WG01</v>
      </c>
      <c r="B349" t="s">
        <v>474</v>
      </c>
      <c r="C349" t="s">
        <v>889</v>
      </c>
      <c r="D349" s="7"/>
      <c r="E349" s="7"/>
      <c r="G349" t="s">
        <v>1938</v>
      </c>
      <c r="H349" t="str" cm="1">
        <f t="array" ref="H349">IFERROR(_xlfn.IFS(B349="","",AND(B349="",G349=""),"",G349="","記載要"),"")</f>
        <v/>
      </c>
      <c r="K349" t="str">
        <f t="shared" si="52"/>
        <v>11WP00902581</v>
      </c>
      <c r="L349" s="3" t="str">
        <f t="shared" si="53"/>
        <v>2001/01/01</v>
      </c>
      <c r="M349" s="3" t="str">
        <f t="shared" si="54"/>
        <v>2199/12/31</v>
      </c>
      <c r="N349" t="str">
        <f t="shared" si="55"/>
        <v>11WP00902581</v>
      </c>
      <c r="O349">
        <v>5</v>
      </c>
      <c r="Q349" t="str" cm="1">
        <f t="array" ref="Q349">_xlfn.IFS(AND(C349="",G349=""),"",LEFT(G349,1)="L","記載要",LEFT(G349,1)="W","",AND(C349,G349=""),"記載要")</f>
        <v/>
      </c>
      <c r="R349" s="21" t="str">
        <f t="shared" si="60"/>
        <v/>
      </c>
      <c r="S349" s="21"/>
      <c r="Z349" s="8"/>
      <c r="AA349">
        <v>1</v>
      </c>
      <c r="AB349">
        <f t="shared" si="56"/>
        <v>0</v>
      </c>
      <c r="AC349">
        <v>1</v>
      </c>
      <c r="AF349">
        <v>1</v>
      </c>
      <c r="AG349" s="8"/>
      <c r="AH349" s="8"/>
      <c r="AK349" cm="1">
        <f t="array" ref="AK349">_xlfn.IFS(B349="","",LEFT(G349,1)="L",1,LEFT(G349,1)="W",1,AND(LEFT(B349,1)="H",G349=""),0)</f>
        <v>1</v>
      </c>
      <c r="AS349" t="str">
        <f t="shared" si="57"/>
        <v/>
      </c>
      <c r="AT349" t="s">
        <v>115</v>
      </c>
      <c r="AU349" t="str">
        <f t="shared" si="58"/>
        <v>0</v>
      </c>
      <c r="BD349" t="str">
        <f t="shared" si="59"/>
        <v>0</v>
      </c>
      <c r="BK349" t="str">
        <f>IFERROR(VLOOKUP(B349,'[1]model_S-フレーム'!$F$5:$R$7000,13,1),"")</f>
        <v>E353768_01</v>
      </c>
      <c r="BL349" s="7" t="str">
        <f>IFERROR(VLOOKUP(B349,'[1]model_S-フレーム'!$F$5:$V$7000,17,1),"")</f>
        <v>RX-10F</v>
      </c>
      <c r="BM349" t="str" cm="1">
        <f t="array" ref="BM349">_xlfn.IFS(LEFT(G349,1)="L","外注品",LEFT(G349,1)="W","内製品",G349="","購買品")</f>
        <v>内製品</v>
      </c>
    </row>
    <row r="350" spans="1:65">
      <c r="A350" t="str">
        <f t="shared" si="51"/>
        <v>WG01</v>
      </c>
      <c r="B350" t="s">
        <v>475</v>
      </c>
      <c r="C350" t="s">
        <v>889</v>
      </c>
      <c r="D350" s="7"/>
      <c r="E350" s="7"/>
      <c r="G350" t="s">
        <v>1938</v>
      </c>
      <c r="H350" t="str" cm="1">
        <f t="array" ref="H350">IFERROR(_xlfn.IFS(B350="","",AND(B350="",G350=""),"",G350="","記載要"),"")</f>
        <v/>
      </c>
      <c r="K350" t="str">
        <f t="shared" si="52"/>
        <v>11WP00902582</v>
      </c>
      <c r="L350" s="3" t="str">
        <f t="shared" si="53"/>
        <v>2001/01/01</v>
      </c>
      <c r="M350" s="3" t="str">
        <f t="shared" si="54"/>
        <v>2199/12/31</v>
      </c>
      <c r="N350" t="str">
        <f t="shared" si="55"/>
        <v>11WP00902582</v>
      </c>
      <c r="O350">
        <v>5</v>
      </c>
      <c r="Q350" t="str" cm="1">
        <f t="array" ref="Q350">_xlfn.IFS(AND(C350="",G350=""),"",LEFT(G350,1)="L","記載要",LEFT(G350,1)="W","",AND(C350,G350=""),"記載要")</f>
        <v/>
      </c>
      <c r="R350" s="21" t="str">
        <f t="shared" si="60"/>
        <v/>
      </c>
      <c r="S350" s="21"/>
      <c r="Z350" s="8"/>
      <c r="AA350">
        <v>1</v>
      </c>
      <c r="AB350">
        <f t="shared" si="56"/>
        <v>0</v>
      </c>
      <c r="AC350">
        <v>1</v>
      </c>
      <c r="AF350">
        <v>1</v>
      </c>
      <c r="AG350" s="8"/>
      <c r="AH350" s="8"/>
      <c r="AK350" cm="1">
        <f t="array" ref="AK350">_xlfn.IFS(B350="","",LEFT(G350,1)="L",1,LEFT(G350,1)="W",1,AND(LEFT(B350,1)="H",G350=""),0)</f>
        <v>1</v>
      </c>
      <c r="AS350" t="str">
        <f t="shared" si="57"/>
        <v/>
      </c>
      <c r="AT350" t="s">
        <v>115</v>
      </c>
      <c r="AU350" t="str">
        <f t="shared" si="58"/>
        <v>0</v>
      </c>
      <c r="BD350" t="str">
        <f t="shared" si="59"/>
        <v>0</v>
      </c>
      <c r="BK350" t="str">
        <f>IFERROR(VLOOKUP(B350,'[1]model_S-フレーム'!$F$5:$R$7000,13,1),"")</f>
        <v>E353768_01</v>
      </c>
      <c r="BL350" s="7" t="str">
        <f>IFERROR(VLOOKUP(B350,'[1]model_S-フレーム'!$F$5:$V$7000,17,1),"")</f>
        <v>RX-10F</v>
      </c>
      <c r="BM350" t="str" cm="1">
        <f t="array" ref="BM350">_xlfn.IFS(LEFT(G350,1)="L","外注品",LEFT(G350,1)="W","内製品",G350="","購買品")</f>
        <v>内製品</v>
      </c>
    </row>
    <row r="351" spans="1:65">
      <c r="A351" t="str">
        <f t="shared" si="51"/>
        <v>WG01</v>
      </c>
      <c r="B351" t="s">
        <v>476</v>
      </c>
      <c r="C351" t="s">
        <v>889</v>
      </c>
      <c r="D351" s="7"/>
      <c r="E351" s="7"/>
      <c r="G351" t="s">
        <v>1938</v>
      </c>
      <c r="H351" t="str" cm="1">
        <f t="array" ref="H351">IFERROR(_xlfn.IFS(B351="","",AND(B351="",G351=""),"",G351="","記載要"),"")</f>
        <v/>
      </c>
      <c r="K351" t="str">
        <f t="shared" si="52"/>
        <v>11WP00902583</v>
      </c>
      <c r="L351" s="3" t="str">
        <f t="shared" si="53"/>
        <v>2001/01/01</v>
      </c>
      <c r="M351" s="3" t="str">
        <f t="shared" si="54"/>
        <v>2199/12/31</v>
      </c>
      <c r="N351" t="str">
        <f t="shared" si="55"/>
        <v>11WP00902583</v>
      </c>
      <c r="O351">
        <v>5</v>
      </c>
      <c r="Q351" t="str" cm="1">
        <f t="array" ref="Q351">_xlfn.IFS(AND(C351="",G351=""),"",LEFT(G351,1)="L","記載要",LEFT(G351,1)="W","",AND(C351,G351=""),"記載要")</f>
        <v/>
      </c>
      <c r="R351" s="21" t="str">
        <f t="shared" si="60"/>
        <v/>
      </c>
      <c r="S351" s="21"/>
      <c r="Z351" s="8"/>
      <c r="AA351">
        <v>1</v>
      </c>
      <c r="AB351">
        <f t="shared" si="56"/>
        <v>0</v>
      </c>
      <c r="AC351">
        <v>1</v>
      </c>
      <c r="AF351">
        <v>1</v>
      </c>
      <c r="AG351" s="8"/>
      <c r="AH351" s="8"/>
      <c r="AK351" cm="1">
        <f t="array" ref="AK351">_xlfn.IFS(B351="","",LEFT(G351,1)="L",1,LEFT(G351,1)="W",1,AND(LEFT(B351,1)="H",G351=""),0)</f>
        <v>1</v>
      </c>
      <c r="AS351" t="str">
        <f t="shared" si="57"/>
        <v/>
      </c>
      <c r="AT351" t="s">
        <v>115</v>
      </c>
      <c r="AU351" t="str">
        <f t="shared" si="58"/>
        <v>0</v>
      </c>
      <c r="BD351" t="str">
        <f t="shared" si="59"/>
        <v>0</v>
      </c>
      <c r="BK351" t="str">
        <f>IFERROR(VLOOKUP(B351,'[1]model_S-フレーム'!$F$5:$R$7000,13,1),"")</f>
        <v>E353768_01</v>
      </c>
      <c r="BL351" s="7" t="str">
        <f>IFERROR(VLOOKUP(B351,'[1]model_S-フレーム'!$F$5:$V$7000,17,1),"")</f>
        <v>RX-10F</v>
      </c>
      <c r="BM351" t="str" cm="1">
        <f t="array" ref="BM351">_xlfn.IFS(LEFT(G351,1)="L","外注品",LEFT(G351,1)="W","内製品",G351="","購買品")</f>
        <v>内製品</v>
      </c>
    </row>
    <row r="352" spans="1:65">
      <c r="A352" t="str">
        <f t="shared" si="51"/>
        <v>WG01</v>
      </c>
      <c r="B352" t="s">
        <v>477</v>
      </c>
      <c r="C352" t="s">
        <v>890</v>
      </c>
      <c r="D352" s="7"/>
      <c r="E352" s="7"/>
      <c r="G352" t="s">
        <v>1938</v>
      </c>
      <c r="H352" t="str" cm="1">
        <f t="array" ref="H352">IFERROR(_xlfn.IFS(B352="","",AND(B352="",G352=""),"",G352="","記載要"),"")</f>
        <v/>
      </c>
      <c r="K352" t="str">
        <f t="shared" si="52"/>
        <v>11WP00902584</v>
      </c>
      <c r="L352" s="3" t="str">
        <f t="shared" si="53"/>
        <v>2001/01/01</v>
      </c>
      <c r="M352" s="3" t="str">
        <f t="shared" si="54"/>
        <v>2199/12/31</v>
      </c>
      <c r="N352" t="str">
        <f t="shared" si="55"/>
        <v>11WP00902584</v>
      </c>
      <c r="O352">
        <v>5</v>
      </c>
      <c r="Q352" t="str" cm="1">
        <f t="array" ref="Q352">_xlfn.IFS(AND(C352="",G352=""),"",LEFT(G352,1)="L","記載要",LEFT(G352,1)="W","",AND(C352,G352=""),"記載要")</f>
        <v/>
      </c>
      <c r="R352" s="21" t="str">
        <f t="shared" si="60"/>
        <v/>
      </c>
      <c r="S352" s="21"/>
      <c r="Z352" s="8"/>
      <c r="AA352">
        <v>1</v>
      </c>
      <c r="AB352">
        <f t="shared" si="56"/>
        <v>0</v>
      </c>
      <c r="AC352">
        <v>1</v>
      </c>
      <c r="AF352">
        <v>1</v>
      </c>
      <c r="AG352" s="8"/>
      <c r="AH352" s="8"/>
      <c r="AK352" cm="1">
        <f t="array" ref="AK352">_xlfn.IFS(B352="","",LEFT(G352,1)="L",1,LEFT(G352,1)="W",1,AND(LEFT(B352,1)="H",G352=""),0)</f>
        <v>1</v>
      </c>
      <c r="AS352" t="str">
        <f t="shared" si="57"/>
        <v/>
      </c>
      <c r="AT352" t="s">
        <v>115</v>
      </c>
      <c r="AU352" t="str">
        <f t="shared" si="58"/>
        <v>0</v>
      </c>
      <c r="BD352" t="str">
        <f t="shared" si="59"/>
        <v>0</v>
      </c>
      <c r="BK352" t="str">
        <f>IFERROR(VLOOKUP(B352,'[1]model_S-フレーム'!$F$5:$R$7000,13,1),"")</f>
        <v>E353768_01</v>
      </c>
      <c r="BL352" s="7" t="str">
        <f>IFERROR(VLOOKUP(B352,'[1]model_S-フレーム'!$F$5:$V$7000,17,1),"")</f>
        <v>RX-10F</v>
      </c>
      <c r="BM352" t="str" cm="1">
        <f t="array" ref="BM352">_xlfn.IFS(LEFT(G352,1)="L","外注品",LEFT(G352,1)="W","内製品",G352="","購買品")</f>
        <v>内製品</v>
      </c>
    </row>
    <row r="353" spans="1:65">
      <c r="A353" t="str">
        <f t="shared" si="51"/>
        <v>WG01</v>
      </c>
      <c r="B353" t="s">
        <v>478</v>
      </c>
      <c r="C353" t="s">
        <v>890</v>
      </c>
      <c r="D353" s="7"/>
      <c r="E353" s="7"/>
      <c r="G353" t="s">
        <v>1938</v>
      </c>
      <c r="H353" t="str" cm="1">
        <f t="array" ref="H353">IFERROR(_xlfn.IFS(B353="","",AND(B353="",G353=""),"",G353="","記載要"),"")</f>
        <v/>
      </c>
      <c r="K353" t="str">
        <f t="shared" si="52"/>
        <v>11WP00902585</v>
      </c>
      <c r="L353" s="3" t="str">
        <f t="shared" si="53"/>
        <v>2001/01/01</v>
      </c>
      <c r="M353" s="3" t="str">
        <f t="shared" si="54"/>
        <v>2199/12/31</v>
      </c>
      <c r="N353" t="str">
        <f t="shared" si="55"/>
        <v>11WP00902585</v>
      </c>
      <c r="O353">
        <v>5</v>
      </c>
      <c r="Q353" t="str" cm="1">
        <f t="array" ref="Q353">_xlfn.IFS(AND(C353="",G353=""),"",LEFT(G353,1)="L","記載要",LEFT(G353,1)="W","",AND(C353,G353=""),"記載要")</f>
        <v/>
      </c>
      <c r="R353" s="21" t="str">
        <f t="shared" si="60"/>
        <v/>
      </c>
      <c r="S353" s="21"/>
      <c r="Z353" s="8"/>
      <c r="AA353">
        <v>1</v>
      </c>
      <c r="AB353">
        <f t="shared" si="56"/>
        <v>0</v>
      </c>
      <c r="AC353">
        <v>1</v>
      </c>
      <c r="AF353">
        <v>1</v>
      </c>
      <c r="AG353" s="8"/>
      <c r="AH353" s="8"/>
      <c r="AK353" cm="1">
        <f t="array" ref="AK353">_xlfn.IFS(B353="","",LEFT(G353,1)="L",1,LEFT(G353,1)="W",1,AND(LEFT(B353,1)="H",G353=""),0)</f>
        <v>1</v>
      </c>
      <c r="AS353" t="str">
        <f t="shared" si="57"/>
        <v/>
      </c>
      <c r="AT353" t="s">
        <v>115</v>
      </c>
      <c r="AU353" t="str">
        <f t="shared" si="58"/>
        <v>0</v>
      </c>
      <c r="BD353" t="str">
        <f t="shared" si="59"/>
        <v>0</v>
      </c>
      <c r="BK353" t="str">
        <f>IFERROR(VLOOKUP(B353,'[1]model_S-フレーム'!$F$5:$R$7000,13,1),"")</f>
        <v>E353768_01</v>
      </c>
      <c r="BL353" s="7" t="str">
        <f>IFERROR(VLOOKUP(B353,'[1]model_S-フレーム'!$F$5:$V$7000,17,1),"")</f>
        <v>RX-10F</v>
      </c>
      <c r="BM353" t="str" cm="1">
        <f t="array" ref="BM353">_xlfn.IFS(LEFT(G353,1)="L","外注品",LEFT(G353,1)="W","内製品",G353="","購買品")</f>
        <v>内製品</v>
      </c>
    </row>
    <row r="354" spans="1:65">
      <c r="A354" t="str">
        <f t="shared" si="51"/>
        <v>WG01</v>
      </c>
      <c r="B354" t="s">
        <v>479</v>
      </c>
      <c r="C354" t="s">
        <v>890</v>
      </c>
      <c r="D354" s="7"/>
      <c r="E354" s="7"/>
      <c r="G354" t="s">
        <v>1938</v>
      </c>
      <c r="H354" t="str" cm="1">
        <f t="array" ref="H354">IFERROR(_xlfn.IFS(B354="","",AND(B354="",G354=""),"",G354="","記載要"),"")</f>
        <v/>
      </c>
      <c r="K354" t="str">
        <f t="shared" si="52"/>
        <v>11WP00902586</v>
      </c>
      <c r="L354" s="3" t="str">
        <f t="shared" si="53"/>
        <v>2001/01/01</v>
      </c>
      <c r="M354" s="3" t="str">
        <f t="shared" si="54"/>
        <v>2199/12/31</v>
      </c>
      <c r="N354" t="str">
        <f t="shared" si="55"/>
        <v>11WP00902586</v>
      </c>
      <c r="O354">
        <v>5</v>
      </c>
      <c r="Q354" t="str" cm="1">
        <f t="array" ref="Q354">_xlfn.IFS(AND(C354="",G354=""),"",LEFT(G354,1)="L","記載要",LEFT(G354,1)="W","",AND(C354,G354=""),"記載要")</f>
        <v/>
      </c>
      <c r="R354" s="21" t="str">
        <f t="shared" si="60"/>
        <v/>
      </c>
      <c r="S354" s="21"/>
      <c r="Z354" s="8"/>
      <c r="AA354">
        <v>1</v>
      </c>
      <c r="AB354">
        <f t="shared" si="56"/>
        <v>0</v>
      </c>
      <c r="AC354">
        <v>1</v>
      </c>
      <c r="AF354">
        <v>1</v>
      </c>
      <c r="AG354" s="8"/>
      <c r="AH354" s="8"/>
      <c r="AK354" cm="1">
        <f t="array" ref="AK354">_xlfn.IFS(B354="","",LEFT(G354,1)="L",1,LEFT(G354,1)="W",1,AND(LEFT(B354,1)="H",G354=""),0)</f>
        <v>1</v>
      </c>
      <c r="AS354" t="str">
        <f t="shared" si="57"/>
        <v/>
      </c>
      <c r="AT354" t="s">
        <v>115</v>
      </c>
      <c r="AU354" t="str">
        <f t="shared" si="58"/>
        <v>0</v>
      </c>
      <c r="BD354" t="str">
        <f t="shared" si="59"/>
        <v>0</v>
      </c>
      <c r="BK354" t="str">
        <f>IFERROR(VLOOKUP(B354,'[1]model_S-フレーム'!$F$5:$R$7000,13,1),"")</f>
        <v>E353768_01</v>
      </c>
      <c r="BL354" s="7" t="str">
        <f>IFERROR(VLOOKUP(B354,'[1]model_S-フレーム'!$F$5:$V$7000,17,1),"")</f>
        <v>RX-10F</v>
      </c>
      <c r="BM354" t="str" cm="1">
        <f t="array" ref="BM354">_xlfn.IFS(LEFT(G354,1)="L","外注品",LEFT(G354,1)="W","内製品",G354="","購買品")</f>
        <v>内製品</v>
      </c>
    </row>
    <row r="355" spans="1:65">
      <c r="A355" t="str">
        <f t="shared" si="51"/>
        <v>WG01</v>
      </c>
      <c r="B355" t="s">
        <v>480</v>
      </c>
      <c r="C355" t="s">
        <v>890</v>
      </c>
      <c r="D355" s="7"/>
      <c r="E355" s="7"/>
      <c r="G355" t="s">
        <v>1938</v>
      </c>
      <c r="H355" t="str" cm="1">
        <f t="array" ref="H355">IFERROR(_xlfn.IFS(B355="","",AND(B355="",G355=""),"",G355="","記載要"),"")</f>
        <v/>
      </c>
      <c r="K355" t="str">
        <f t="shared" si="52"/>
        <v>11WP00902587</v>
      </c>
      <c r="L355" s="3" t="str">
        <f t="shared" si="53"/>
        <v>2001/01/01</v>
      </c>
      <c r="M355" s="3" t="str">
        <f t="shared" si="54"/>
        <v>2199/12/31</v>
      </c>
      <c r="N355" t="str">
        <f t="shared" si="55"/>
        <v>11WP00902587</v>
      </c>
      <c r="O355">
        <v>5</v>
      </c>
      <c r="Q355" t="str" cm="1">
        <f t="array" ref="Q355">_xlfn.IFS(AND(C355="",G355=""),"",LEFT(G355,1)="L","記載要",LEFT(G355,1)="W","",AND(C355,G355=""),"記載要")</f>
        <v/>
      </c>
      <c r="R355" s="21" t="str">
        <f t="shared" si="60"/>
        <v/>
      </c>
      <c r="S355" s="21"/>
      <c r="Z355" s="8"/>
      <c r="AA355">
        <v>1</v>
      </c>
      <c r="AB355">
        <f t="shared" si="56"/>
        <v>0</v>
      </c>
      <c r="AC355">
        <v>1</v>
      </c>
      <c r="AF355">
        <v>1</v>
      </c>
      <c r="AG355" s="8"/>
      <c r="AH355" s="8"/>
      <c r="AK355" cm="1">
        <f t="array" ref="AK355">_xlfn.IFS(B355="","",LEFT(G355,1)="L",1,LEFT(G355,1)="W",1,AND(LEFT(B355,1)="H",G355=""),0)</f>
        <v>1</v>
      </c>
      <c r="AS355" t="str">
        <f t="shared" si="57"/>
        <v/>
      </c>
      <c r="AT355" t="s">
        <v>115</v>
      </c>
      <c r="AU355" t="str">
        <f t="shared" si="58"/>
        <v>0</v>
      </c>
      <c r="BD355" t="str">
        <f t="shared" si="59"/>
        <v>0</v>
      </c>
      <c r="BK355" t="str">
        <f>IFERROR(VLOOKUP(B355,'[1]model_S-フレーム'!$F$5:$R$7000,13,1),"")</f>
        <v>E353768_01</v>
      </c>
      <c r="BL355" s="7" t="str">
        <f>IFERROR(VLOOKUP(B355,'[1]model_S-フレーム'!$F$5:$V$7000,17,1),"")</f>
        <v>RX-10F</v>
      </c>
      <c r="BM355" t="str" cm="1">
        <f t="array" ref="BM355">_xlfn.IFS(LEFT(G355,1)="L","外注品",LEFT(G355,1)="W","内製品",G355="","購買品")</f>
        <v>内製品</v>
      </c>
    </row>
    <row r="356" spans="1:65">
      <c r="A356" t="str">
        <f t="shared" si="51"/>
        <v>WG01</v>
      </c>
      <c r="B356" t="s">
        <v>481</v>
      </c>
      <c r="C356" t="s">
        <v>891</v>
      </c>
      <c r="D356" s="7"/>
      <c r="E356" s="7"/>
      <c r="G356" t="s">
        <v>1938</v>
      </c>
      <c r="H356" t="str" cm="1">
        <f t="array" ref="H356">IFERROR(_xlfn.IFS(B356="","",AND(B356="",G356=""),"",G356="","記載要"),"")</f>
        <v/>
      </c>
      <c r="K356" t="str">
        <f t="shared" si="52"/>
        <v>11WP00902588</v>
      </c>
      <c r="L356" s="3" t="str">
        <f t="shared" si="53"/>
        <v>2001/01/01</v>
      </c>
      <c r="M356" s="3" t="str">
        <f t="shared" si="54"/>
        <v>2199/12/31</v>
      </c>
      <c r="N356" t="str">
        <f t="shared" si="55"/>
        <v>11WP00902588</v>
      </c>
      <c r="O356">
        <v>5</v>
      </c>
      <c r="Q356" t="str" cm="1">
        <f t="array" ref="Q356">_xlfn.IFS(AND(C356="",G356=""),"",LEFT(G356,1)="L","記載要",LEFT(G356,1)="W","",AND(C356,G356=""),"記載要")</f>
        <v/>
      </c>
      <c r="R356" s="21" t="str">
        <f t="shared" si="60"/>
        <v/>
      </c>
      <c r="S356" s="21"/>
      <c r="Z356" s="8"/>
      <c r="AA356">
        <v>1</v>
      </c>
      <c r="AB356">
        <f t="shared" si="56"/>
        <v>0</v>
      </c>
      <c r="AC356">
        <v>1</v>
      </c>
      <c r="AF356">
        <v>1</v>
      </c>
      <c r="AG356" s="8"/>
      <c r="AH356" s="8"/>
      <c r="AK356" cm="1">
        <f t="array" ref="AK356">_xlfn.IFS(B356="","",LEFT(G356,1)="L",1,LEFT(G356,1)="W",1,AND(LEFT(B356,1)="H",G356=""),0)</f>
        <v>1</v>
      </c>
      <c r="AS356" t="str">
        <f t="shared" si="57"/>
        <v/>
      </c>
      <c r="AT356" t="s">
        <v>115</v>
      </c>
      <c r="AU356" t="str">
        <f t="shared" si="58"/>
        <v>0</v>
      </c>
      <c r="BD356" t="str">
        <f t="shared" si="59"/>
        <v>0</v>
      </c>
      <c r="BK356" t="str">
        <f>IFERROR(VLOOKUP(B356,'[1]model_S-フレーム'!$F$5:$R$7000,13,1),"")</f>
        <v>E353768_01</v>
      </c>
      <c r="BL356" s="7" t="str">
        <f>IFERROR(VLOOKUP(B356,'[1]model_S-フレーム'!$F$5:$V$7000,17,1),"")</f>
        <v>RX-10F</v>
      </c>
      <c r="BM356" t="str" cm="1">
        <f t="array" ref="BM356">_xlfn.IFS(LEFT(G356,1)="L","外注品",LEFT(G356,1)="W","内製品",G356="","購買品")</f>
        <v>内製品</v>
      </c>
    </row>
    <row r="357" spans="1:65">
      <c r="A357" t="str">
        <f t="shared" si="51"/>
        <v>WG01</v>
      </c>
      <c r="B357" t="s">
        <v>482</v>
      </c>
      <c r="C357" t="s">
        <v>891</v>
      </c>
      <c r="D357" s="7"/>
      <c r="E357" s="7"/>
      <c r="G357" t="s">
        <v>1938</v>
      </c>
      <c r="H357" t="str" cm="1">
        <f t="array" ref="H357">IFERROR(_xlfn.IFS(B357="","",AND(B357="",G357=""),"",G357="","記載要"),"")</f>
        <v/>
      </c>
      <c r="K357" t="str">
        <f t="shared" si="52"/>
        <v>11WP00902589</v>
      </c>
      <c r="L357" s="3" t="str">
        <f t="shared" si="53"/>
        <v>2001/01/01</v>
      </c>
      <c r="M357" s="3" t="str">
        <f t="shared" si="54"/>
        <v>2199/12/31</v>
      </c>
      <c r="N357" t="str">
        <f t="shared" si="55"/>
        <v>11WP00902589</v>
      </c>
      <c r="O357">
        <v>5</v>
      </c>
      <c r="Q357" t="str" cm="1">
        <f t="array" ref="Q357">_xlfn.IFS(AND(C357="",G357=""),"",LEFT(G357,1)="L","記載要",LEFT(G357,1)="W","",AND(C357,G357=""),"記載要")</f>
        <v/>
      </c>
      <c r="R357" s="21" t="str">
        <f t="shared" si="60"/>
        <v/>
      </c>
      <c r="S357" s="21"/>
      <c r="Z357" s="8"/>
      <c r="AA357">
        <v>1</v>
      </c>
      <c r="AB357">
        <f t="shared" si="56"/>
        <v>0</v>
      </c>
      <c r="AC357">
        <v>1</v>
      </c>
      <c r="AF357">
        <v>1</v>
      </c>
      <c r="AG357" s="8"/>
      <c r="AH357" s="8"/>
      <c r="AK357" cm="1">
        <f t="array" ref="AK357">_xlfn.IFS(B357="","",LEFT(G357,1)="L",1,LEFT(G357,1)="W",1,AND(LEFT(B357,1)="H",G357=""),0)</f>
        <v>1</v>
      </c>
      <c r="AS357" t="str">
        <f t="shared" si="57"/>
        <v/>
      </c>
      <c r="AT357" t="s">
        <v>115</v>
      </c>
      <c r="AU357" t="str">
        <f t="shared" si="58"/>
        <v>0</v>
      </c>
      <c r="BD357" t="str">
        <f t="shared" si="59"/>
        <v>0</v>
      </c>
      <c r="BK357" t="str">
        <f>IFERROR(VLOOKUP(B357,'[1]model_S-フレーム'!$F$5:$R$7000,13,1),"")</f>
        <v>E353768_01</v>
      </c>
      <c r="BL357" s="7" t="str">
        <f>IFERROR(VLOOKUP(B357,'[1]model_S-フレーム'!$F$5:$V$7000,17,1),"")</f>
        <v>RX-10F</v>
      </c>
      <c r="BM357" t="str" cm="1">
        <f t="array" ref="BM357">_xlfn.IFS(LEFT(G357,1)="L","外注品",LEFT(G357,1)="W","内製品",G357="","購買品")</f>
        <v>内製品</v>
      </c>
    </row>
    <row r="358" spans="1:65">
      <c r="A358" t="str">
        <f t="shared" si="51"/>
        <v>WG01</v>
      </c>
      <c r="B358" t="s">
        <v>483</v>
      </c>
      <c r="C358" t="s">
        <v>891</v>
      </c>
      <c r="D358" s="7"/>
      <c r="E358" s="7"/>
      <c r="G358" t="s">
        <v>1938</v>
      </c>
      <c r="H358" t="str" cm="1">
        <f t="array" ref="H358">IFERROR(_xlfn.IFS(B358="","",AND(B358="",G358=""),"",G358="","記載要"),"")</f>
        <v/>
      </c>
      <c r="K358" t="str">
        <f t="shared" si="52"/>
        <v>11WP00902590</v>
      </c>
      <c r="L358" s="3" t="str">
        <f t="shared" si="53"/>
        <v>2001/01/01</v>
      </c>
      <c r="M358" s="3" t="str">
        <f t="shared" si="54"/>
        <v>2199/12/31</v>
      </c>
      <c r="N358" t="str">
        <f t="shared" si="55"/>
        <v>11WP00902590</v>
      </c>
      <c r="O358">
        <v>5</v>
      </c>
      <c r="Q358" t="str" cm="1">
        <f t="array" ref="Q358">_xlfn.IFS(AND(C358="",G358=""),"",LEFT(G358,1)="L","記載要",LEFT(G358,1)="W","",AND(C358,G358=""),"記載要")</f>
        <v/>
      </c>
      <c r="R358" s="21" t="str">
        <f t="shared" si="60"/>
        <v/>
      </c>
      <c r="S358" s="21"/>
      <c r="Z358" s="8"/>
      <c r="AA358">
        <v>1</v>
      </c>
      <c r="AB358">
        <f t="shared" si="56"/>
        <v>0</v>
      </c>
      <c r="AC358">
        <v>1</v>
      </c>
      <c r="AF358">
        <v>1</v>
      </c>
      <c r="AG358" s="8"/>
      <c r="AH358" s="8"/>
      <c r="AK358" cm="1">
        <f t="array" ref="AK358">_xlfn.IFS(B358="","",LEFT(G358,1)="L",1,LEFT(G358,1)="W",1,AND(LEFT(B358,1)="H",G358=""),0)</f>
        <v>1</v>
      </c>
      <c r="AS358" t="str">
        <f t="shared" si="57"/>
        <v/>
      </c>
      <c r="AT358" t="s">
        <v>115</v>
      </c>
      <c r="AU358" t="str">
        <f t="shared" si="58"/>
        <v>0</v>
      </c>
      <c r="BD358" t="str">
        <f t="shared" si="59"/>
        <v>0</v>
      </c>
      <c r="BK358" t="str">
        <f>IFERROR(VLOOKUP(B358,'[1]model_S-フレーム'!$F$5:$R$7000,13,1),"")</f>
        <v>E353768_01</v>
      </c>
      <c r="BL358" s="7" t="str">
        <f>IFERROR(VLOOKUP(B358,'[1]model_S-フレーム'!$F$5:$V$7000,17,1),"")</f>
        <v>RX-10F</v>
      </c>
      <c r="BM358" t="str" cm="1">
        <f t="array" ref="BM358">_xlfn.IFS(LEFT(G358,1)="L","外注品",LEFT(G358,1)="W","内製品",G358="","購買品")</f>
        <v>内製品</v>
      </c>
    </row>
    <row r="359" spans="1:65">
      <c r="A359" t="str">
        <f t="shared" si="51"/>
        <v>WG01</v>
      </c>
      <c r="B359" t="s">
        <v>484</v>
      </c>
      <c r="C359" t="s">
        <v>891</v>
      </c>
      <c r="D359" s="7"/>
      <c r="E359" s="7"/>
      <c r="G359" t="s">
        <v>1938</v>
      </c>
      <c r="H359" t="str" cm="1">
        <f t="array" ref="H359">IFERROR(_xlfn.IFS(B359="","",AND(B359="",G359=""),"",G359="","記載要"),"")</f>
        <v/>
      </c>
      <c r="K359" t="str">
        <f t="shared" si="52"/>
        <v>11WP00902591</v>
      </c>
      <c r="L359" s="3" t="str">
        <f t="shared" si="53"/>
        <v>2001/01/01</v>
      </c>
      <c r="M359" s="3" t="str">
        <f t="shared" si="54"/>
        <v>2199/12/31</v>
      </c>
      <c r="N359" t="str">
        <f t="shared" si="55"/>
        <v>11WP00902591</v>
      </c>
      <c r="O359">
        <v>5</v>
      </c>
      <c r="Q359" t="str" cm="1">
        <f t="array" ref="Q359">_xlfn.IFS(AND(C359="",G359=""),"",LEFT(G359,1)="L","記載要",LEFT(G359,1)="W","",AND(C359,G359=""),"記載要")</f>
        <v/>
      </c>
      <c r="R359" s="21" t="str">
        <f t="shared" si="60"/>
        <v/>
      </c>
      <c r="S359" s="21"/>
      <c r="Z359" s="8"/>
      <c r="AA359">
        <v>1</v>
      </c>
      <c r="AB359">
        <f t="shared" si="56"/>
        <v>0</v>
      </c>
      <c r="AC359">
        <v>1</v>
      </c>
      <c r="AF359">
        <v>1</v>
      </c>
      <c r="AG359" s="8"/>
      <c r="AH359" s="8"/>
      <c r="AK359" cm="1">
        <f t="array" ref="AK359">_xlfn.IFS(B359="","",LEFT(G359,1)="L",1,LEFT(G359,1)="W",1,AND(LEFT(B359,1)="H",G359=""),0)</f>
        <v>1</v>
      </c>
      <c r="AS359" t="str">
        <f t="shared" si="57"/>
        <v/>
      </c>
      <c r="AT359" t="s">
        <v>115</v>
      </c>
      <c r="AU359" t="str">
        <f t="shared" si="58"/>
        <v>0</v>
      </c>
      <c r="BD359" t="str">
        <f t="shared" si="59"/>
        <v>0</v>
      </c>
      <c r="BK359" t="str">
        <f>IFERROR(VLOOKUP(B359,'[1]model_S-フレーム'!$F$5:$R$7000,13,1),"")</f>
        <v>E353768_01</v>
      </c>
      <c r="BL359" s="7" t="str">
        <f>IFERROR(VLOOKUP(B359,'[1]model_S-フレーム'!$F$5:$V$7000,17,1),"")</f>
        <v>RX-10F</v>
      </c>
      <c r="BM359" t="str" cm="1">
        <f t="array" ref="BM359">_xlfn.IFS(LEFT(G359,1)="L","外注品",LEFT(G359,1)="W","内製品",G359="","購買品")</f>
        <v>内製品</v>
      </c>
    </row>
    <row r="360" spans="1:65">
      <c r="A360" t="str">
        <f t="shared" si="51"/>
        <v>WG01</v>
      </c>
      <c r="B360" t="s">
        <v>485</v>
      </c>
      <c r="C360" t="s">
        <v>892</v>
      </c>
      <c r="D360" s="7"/>
      <c r="E360" s="7"/>
      <c r="G360" t="s">
        <v>1938</v>
      </c>
      <c r="H360" t="str" cm="1">
        <f t="array" ref="H360">IFERROR(_xlfn.IFS(B360="","",AND(B360="",G360=""),"",G360="","記載要"),"")</f>
        <v/>
      </c>
      <c r="K360" t="str">
        <f t="shared" si="52"/>
        <v>11WP00902592</v>
      </c>
      <c r="L360" s="3" t="str">
        <f t="shared" si="53"/>
        <v>2001/01/01</v>
      </c>
      <c r="M360" s="3" t="str">
        <f t="shared" si="54"/>
        <v>2199/12/31</v>
      </c>
      <c r="N360" t="str">
        <f t="shared" si="55"/>
        <v>11WP00902592</v>
      </c>
      <c r="O360">
        <v>5</v>
      </c>
      <c r="Q360" t="str" cm="1">
        <f t="array" ref="Q360">_xlfn.IFS(AND(C360="",G360=""),"",LEFT(G360,1)="L","記載要",LEFT(G360,1)="W","",AND(C360,G360=""),"記載要")</f>
        <v/>
      </c>
      <c r="R360" s="21" t="str">
        <f t="shared" si="60"/>
        <v/>
      </c>
      <c r="S360" s="21"/>
      <c r="Z360" s="8"/>
      <c r="AA360">
        <v>1</v>
      </c>
      <c r="AB360">
        <f t="shared" si="56"/>
        <v>0</v>
      </c>
      <c r="AC360">
        <v>1</v>
      </c>
      <c r="AF360">
        <v>1</v>
      </c>
      <c r="AG360" s="8"/>
      <c r="AH360" s="8"/>
      <c r="AK360" cm="1">
        <f t="array" ref="AK360">_xlfn.IFS(B360="","",LEFT(G360,1)="L",1,LEFT(G360,1)="W",1,AND(LEFT(B360,1)="H",G360=""),0)</f>
        <v>1</v>
      </c>
      <c r="AS360" t="str">
        <f t="shared" si="57"/>
        <v/>
      </c>
      <c r="AT360" t="s">
        <v>115</v>
      </c>
      <c r="AU360" t="str">
        <f t="shared" si="58"/>
        <v>0</v>
      </c>
      <c r="BD360" t="str">
        <f t="shared" si="59"/>
        <v>0</v>
      </c>
      <c r="BK360" t="str">
        <f>IFERROR(VLOOKUP(B360,'[1]model_S-フレーム'!$F$5:$R$7000,13,1),"")</f>
        <v>E353768_01</v>
      </c>
      <c r="BL360" s="7" t="str">
        <f>IFERROR(VLOOKUP(B360,'[1]model_S-フレーム'!$F$5:$V$7000,17,1),"")</f>
        <v>RX-10F</v>
      </c>
      <c r="BM360" t="str" cm="1">
        <f t="array" ref="BM360">_xlfn.IFS(LEFT(G360,1)="L","外注品",LEFT(G360,1)="W","内製品",G360="","購買品")</f>
        <v>内製品</v>
      </c>
    </row>
    <row r="361" spans="1:65">
      <c r="A361" t="str">
        <f t="shared" si="51"/>
        <v>WG01</v>
      </c>
      <c r="B361" t="s">
        <v>486</v>
      </c>
      <c r="C361" t="s">
        <v>892</v>
      </c>
      <c r="D361" s="7"/>
      <c r="E361" s="7"/>
      <c r="G361" t="s">
        <v>1938</v>
      </c>
      <c r="H361" t="str" cm="1">
        <f t="array" ref="H361">IFERROR(_xlfn.IFS(B361="","",AND(B361="",G361=""),"",G361="","記載要"),"")</f>
        <v/>
      </c>
      <c r="K361" t="str">
        <f t="shared" si="52"/>
        <v>11WP00902593</v>
      </c>
      <c r="L361" s="3" t="str">
        <f t="shared" si="53"/>
        <v>2001/01/01</v>
      </c>
      <c r="M361" s="3" t="str">
        <f t="shared" si="54"/>
        <v>2199/12/31</v>
      </c>
      <c r="N361" t="str">
        <f t="shared" si="55"/>
        <v>11WP00902593</v>
      </c>
      <c r="O361">
        <v>5</v>
      </c>
      <c r="Q361" t="str" cm="1">
        <f t="array" ref="Q361">_xlfn.IFS(AND(C361="",G361=""),"",LEFT(G361,1)="L","記載要",LEFT(G361,1)="W","",AND(C361,G361=""),"記載要")</f>
        <v/>
      </c>
      <c r="R361" s="21" t="str">
        <f t="shared" si="60"/>
        <v/>
      </c>
      <c r="S361" s="21"/>
      <c r="Z361" s="8"/>
      <c r="AA361">
        <v>1</v>
      </c>
      <c r="AB361">
        <f t="shared" si="56"/>
        <v>0</v>
      </c>
      <c r="AC361">
        <v>1</v>
      </c>
      <c r="AF361">
        <v>1</v>
      </c>
      <c r="AG361" s="8"/>
      <c r="AH361" s="8"/>
      <c r="AK361" cm="1">
        <f t="array" ref="AK361">_xlfn.IFS(B361="","",LEFT(G361,1)="L",1,LEFT(G361,1)="W",1,AND(LEFT(B361,1)="H",G361=""),0)</f>
        <v>1</v>
      </c>
      <c r="AS361" t="str">
        <f t="shared" si="57"/>
        <v/>
      </c>
      <c r="AT361" t="s">
        <v>115</v>
      </c>
      <c r="AU361" t="str">
        <f t="shared" si="58"/>
        <v>0</v>
      </c>
      <c r="BD361" t="str">
        <f t="shared" si="59"/>
        <v>0</v>
      </c>
      <c r="BK361" t="str">
        <f>IFERROR(VLOOKUP(B361,'[1]model_S-フレーム'!$F$5:$R$7000,13,1),"")</f>
        <v>E353768_01</v>
      </c>
      <c r="BL361" s="7" t="str">
        <f>IFERROR(VLOOKUP(B361,'[1]model_S-フレーム'!$F$5:$V$7000,17,1),"")</f>
        <v>RX-10F</v>
      </c>
      <c r="BM361" t="str" cm="1">
        <f t="array" ref="BM361">_xlfn.IFS(LEFT(G361,1)="L","外注品",LEFT(G361,1)="W","内製品",G361="","購買品")</f>
        <v>内製品</v>
      </c>
    </row>
    <row r="362" spans="1:65">
      <c r="A362" t="str">
        <f t="shared" si="51"/>
        <v>WG01</v>
      </c>
      <c r="B362" t="s">
        <v>487</v>
      </c>
      <c r="C362" t="s">
        <v>892</v>
      </c>
      <c r="D362" s="7"/>
      <c r="E362" s="7"/>
      <c r="G362" t="s">
        <v>1938</v>
      </c>
      <c r="H362" t="str" cm="1">
        <f t="array" ref="H362">IFERROR(_xlfn.IFS(B362="","",AND(B362="",G362=""),"",G362="","記載要"),"")</f>
        <v/>
      </c>
      <c r="K362" t="str">
        <f t="shared" si="52"/>
        <v>11WP00902594</v>
      </c>
      <c r="L362" s="3" t="str">
        <f t="shared" si="53"/>
        <v>2001/01/01</v>
      </c>
      <c r="M362" s="3" t="str">
        <f t="shared" si="54"/>
        <v>2199/12/31</v>
      </c>
      <c r="N362" t="str">
        <f t="shared" si="55"/>
        <v>11WP00902594</v>
      </c>
      <c r="O362">
        <v>5</v>
      </c>
      <c r="Q362" t="str" cm="1">
        <f t="array" ref="Q362">_xlfn.IFS(AND(C362="",G362=""),"",LEFT(G362,1)="L","記載要",LEFT(G362,1)="W","",AND(C362,G362=""),"記載要")</f>
        <v/>
      </c>
      <c r="R362" s="21" t="str">
        <f t="shared" si="60"/>
        <v/>
      </c>
      <c r="S362" s="21"/>
      <c r="Z362" s="8"/>
      <c r="AA362">
        <v>1</v>
      </c>
      <c r="AB362">
        <f t="shared" si="56"/>
        <v>0</v>
      </c>
      <c r="AC362">
        <v>1</v>
      </c>
      <c r="AF362">
        <v>1</v>
      </c>
      <c r="AG362" s="8"/>
      <c r="AH362" s="8"/>
      <c r="AK362" cm="1">
        <f t="array" ref="AK362">_xlfn.IFS(B362="","",LEFT(G362,1)="L",1,LEFT(G362,1)="W",1,AND(LEFT(B362,1)="H",G362=""),0)</f>
        <v>1</v>
      </c>
      <c r="AS362" t="str">
        <f t="shared" si="57"/>
        <v/>
      </c>
      <c r="AT362" t="s">
        <v>115</v>
      </c>
      <c r="AU362" t="str">
        <f t="shared" si="58"/>
        <v>0</v>
      </c>
      <c r="BD362" t="str">
        <f t="shared" si="59"/>
        <v>0</v>
      </c>
      <c r="BK362" t="str">
        <f>IFERROR(VLOOKUP(B362,'[1]model_S-フレーム'!$F$5:$R$7000,13,1),"")</f>
        <v>E353768_01</v>
      </c>
      <c r="BL362" s="7" t="str">
        <f>IFERROR(VLOOKUP(B362,'[1]model_S-フレーム'!$F$5:$V$7000,17,1),"")</f>
        <v>RX-10F</v>
      </c>
      <c r="BM362" t="str" cm="1">
        <f t="array" ref="BM362">_xlfn.IFS(LEFT(G362,1)="L","外注品",LEFT(G362,1)="W","内製品",G362="","購買品")</f>
        <v>内製品</v>
      </c>
    </row>
    <row r="363" spans="1:65">
      <c r="A363" t="str">
        <f t="shared" si="51"/>
        <v>WG01</v>
      </c>
      <c r="B363" t="s">
        <v>488</v>
      </c>
      <c r="C363" t="s">
        <v>892</v>
      </c>
      <c r="D363" s="7"/>
      <c r="E363" s="7"/>
      <c r="G363" t="s">
        <v>1938</v>
      </c>
      <c r="H363" t="str" cm="1">
        <f t="array" ref="H363">IFERROR(_xlfn.IFS(B363="","",AND(B363="",G363=""),"",G363="","記載要"),"")</f>
        <v/>
      </c>
      <c r="K363" t="str">
        <f t="shared" si="52"/>
        <v>11WP00902595</v>
      </c>
      <c r="L363" s="3" t="str">
        <f t="shared" si="53"/>
        <v>2001/01/01</v>
      </c>
      <c r="M363" s="3" t="str">
        <f t="shared" si="54"/>
        <v>2199/12/31</v>
      </c>
      <c r="N363" t="str">
        <f t="shared" si="55"/>
        <v>11WP00902595</v>
      </c>
      <c r="O363">
        <v>5</v>
      </c>
      <c r="Q363" t="str" cm="1">
        <f t="array" ref="Q363">_xlfn.IFS(AND(C363="",G363=""),"",LEFT(G363,1)="L","記載要",LEFT(G363,1)="W","",AND(C363,G363=""),"記載要")</f>
        <v/>
      </c>
      <c r="R363" s="21" t="str">
        <f t="shared" si="60"/>
        <v/>
      </c>
      <c r="S363" s="21"/>
      <c r="Z363" s="8"/>
      <c r="AA363">
        <v>1</v>
      </c>
      <c r="AB363">
        <f t="shared" si="56"/>
        <v>0</v>
      </c>
      <c r="AC363">
        <v>1</v>
      </c>
      <c r="AF363">
        <v>1</v>
      </c>
      <c r="AG363" s="8"/>
      <c r="AH363" s="8"/>
      <c r="AK363" cm="1">
        <f t="array" ref="AK363">_xlfn.IFS(B363="","",LEFT(G363,1)="L",1,LEFT(G363,1)="W",1,AND(LEFT(B363,1)="H",G363=""),0)</f>
        <v>1</v>
      </c>
      <c r="AS363" t="str">
        <f t="shared" si="57"/>
        <v/>
      </c>
      <c r="AT363" t="s">
        <v>115</v>
      </c>
      <c r="AU363" t="str">
        <f t="shared" si="58"/>
        <v>0</v>
      </c>
      <c r="BD363" t="str">
        <f t="shared" si="59"/>
        <v>0</v>
      </c>
      <c r="BK363" t="str">
        <f>IFERROR(VLOOKUP(B363,'[1]model_S-フレーム'!$F$5:$R$7000,13,1),"")</f>
        <v>E353768_01</v>
      </c>
      <c r="BL363" s="7" t="str">
        <f>IFERROR(VLOOKUP(B363,'[1]model_S-フレーム'!$F$5:$V$7000,17,1),"")</f>
        <v>RX-10F</v>
      </c>
      <c r="BM363" t="str" cm="1">
        <f t="array" ref="BM363">_xlfn.IFS(LEFT(G363,1)="L","外注品",LEFT(G363,1)="W","内製品",G363="","購買品")</f>
        <v>内製品</v>
      </c>
    </row>
    <row r="364" spans="1:65">
      <c r="A364" t="str">
        <f t="shared" si="51"/>
        <v>WG01</v>
      </c>
      <c r="B364" t="s">
        <v>489</v>
      </c>
      <c r="C364" t="s">
        <v>893</v>
      </c>
      <c r="D364" s="7"/>
      <c r="E364" s="7"/>
      <c r="G364" t="s">
        <v>1938</v>
      </c>
      <c r="H364" t="str" cm="1">
        <f t="array" ref="H364">IFERROR(_xlfn.IFS(B364="","",AND(B364="",G364=""),"",G364="","記載要"),"")</f>
        <v/>
      </c>
      <c r="K364" t="str">
        <f t="shared" si="52"/>
        <v>11WP00902596</v>
      </c>
      <c r="L364" s="3" t="str">
        <f t="shared" si="53"/>
        <v>2001/01/01</v>
      </c>
      <c r="M364" s="3" t="str">
        <f t="shared" si="54"/>
        <v>2199/12/31</v>
      </c>
      <c r="N364" t="str">
        <f t="shared" si="55"/>
        <v>11WP00902596</v>
      </c>
      <c r="O364">
        <v>5</v>
      </c>
      <c r="Q364" t="str" cm="1">
        <f t="array" ref="Q364">_xlfn.IFS(AND(C364="",G364=""),"",LEFT(G364,1)="L","記載要",LEFT(G364,1)="W","",AND(C364,G364=""),"記載要")</f>
        <v/>
      </c>
      <c r="R364" s="21" t="str">
        <f t="shared" si="60"/>
        <v/>
      </c>
      <c r="S364" s="21"/>
      <c r="Z364" s="8"/>
      <c r="AA364">
        <v>1</v>
      </c>
      <c r="AB364">
        <f t="shared" si="56"/>
        <v>0</v>
      </c>
      <c r="AC364">
        <v>1</v>
      </c>
      <c r="AF364">
        <v>1</v>
      </c>
      <c r="AG364" s="8"/>
      <c r="AH364" s="8"/>
      <c r="AK364" cm="1">
        <f t="array" ref="AK364">_xlfn.IFS(B364="","",LEFT(G364,1)="L",1,LEFT(G364,1)="W",1,AND(LEFT(B364,1)="H",G364=""),0)</f>
        <v>1</v>
      </c>
      <c r="AS364" t="str">
        <f t="shared" si="57"/>
        <v/>
      </c>
      <c r="AT364" t="s">
        <v>115</v>
      </c>
      <c r="AU364" t="str">
        <f t="shared" si="58"/>
        <v>0</v>
      </c>
      <c r="BD364" t="str">
        <f t="shared" si="59"/>
        <v>0</v>
      </c>
      <c r="BK364" t="str">
        <f>IFERROR(VLOOKUP(B364,'[1]model_S-フレーム'!$F$5:$R$7000,13,1),"")</f>
        <v>E353768_01</v>
      </c>
      <c r="BL364" s="7" t="str">
        <f>IFERROR(VLOOKUP(B364,'[1]model_S-フレーム'!$F$5:$V$7000,17,1),"")</f>
        <v>RX-10F</v>
      </c>
      <c r="BM364" t="str" cm="1">
        <f t="array" ref="BM364">_xlfn.IFS(LEFT(G364,1)="L","外注品",LEFT(G364,1)="W","内製品",G364="","購買品")</f>
        <v>内製品</v>
      </c>
    </row>
    <row r="365" spans="1:65">
      <c r="A365" t="str">
        <f t="shared" si="51"/>
        <v>WG01</v>
      </c>
      <c r="B365" t="s">
        <v>490</v>
      </c>
      <c r="C365" t="s">
        <v>893</v>
      </c>
      <c r="D365" s="7"/>
      <c r="E365" s="7"/>
      <c r="G365" t="s">
        <v>1938</v>
      </c>
      <c r="H365" t="str" cm="1">
        <f t="array" ref="H365">IFERROR(_xlfn.IFS(B365="","",AND(B365="",G365=""),"",G365="","記載要"),"")</f>
        <v/>
      </c>
      <c r="K365" t="str">
        <f t="shared" si="52"/>
        <v>11WP00902597</v>
      </c>
      <c r="L365" s="3" t="str">
        <f t="shared" si="53"/>
        <v>2001/01/01</v>
      </c>
      <c r="M365" s="3" t="str">
        <f t="shared" si="54"/>
        <v>2199/12/31</v>
      </c>
      <c r="N365" t="str">
        <f t="shared" si="55"/>
        <v>11WP00902597</v>
      </c>
      <c r="O365">
        <v>5</v>
      </c>
      <c r="Q365" t="str" cm="1">
        <f t="array" ref="Q365">_xlfn.IFS(AND(C365="",G365=""),"",LEFT(G365,1)="L","記載要",LEFT(G365,1)="W","",AND(C365,G365=""),"記載要")</f>
        <v/>
      </c>
      <c r="R365" s="21" t="str">
        <f t="shared" si="60"/>
        <v/>
      </c>
      <c r="S365" s="21"/>
      <c r="Z365" s="8"/>
      <c r="AA365">
        <v>1</v>
      </c>
      <c r="AB365">
        <f t="shared" si="56"/>
        <v>0</v>
      </c>
      <c r="AC365">
        <v>1</v>
      </c>
      <c r="AF365">
        <v>1</v>
      </c>
      <c r="AG365" s="8"/>
      <c r="AH365" s="8"/>
      <c r="AK365" cm="1">
        <f t="array" ref="AK365">_xlfn.IFS(B365="","",LEFT(G365,1)="L",1,LEFT(G365,1)="W",1,AND(LEFT(B365,1)="H",G365=""),0)</f>
        <v>1</v>
      </c>
      <c r="AS365" t="str">
        <f t="shared" si="57"/>
        <v/>
      </c>
      <c r="AT365" t="s">
        <v>115</v>
      </c>
      <c r="AU365" t="str">
        <f t="shared" si="58"/>
        <v>0</v>
      </c>
      <c r="BD365" t="str">
        <f t="shared" si="59"/>
        <v>0</v>
      </c>
      <c r="BK365" t="str">
        <f>IFERROR(VLOOKUP(B365,'[1]model_S-フレーム'!$F$5:$R$7000,13,1),"")</f>
        <v>E353768_01</v>
      </c>
      <c r="BL365" s="7" t="str">
        <f>IFERROR(VLOOKUP(B365,'[1]model_S-フレーム'!$F$5:$V$7000,17,1),"")</f>
        <v>RX-10F</v>
      </c>
      <c r="BM365" t="str" cm="1">
        <f t="array" ref="BM365">_xlfn.IFS(LEFT(G365,1)="L","外注品",LEFT(G365,1)="W","内製品",G365="","購買品")</f>
        <v>内製品</v>
      </c>
    </row>
    <row r="366" spans="1:65">
      <c r="A366" t="str">
        <f t="shared" si="51"/>
        <v>WG01</v>
      </c>
      <c r="B366" t="s">
        <v>491</v>
      </c>
      <c r="C366" t="s">
        <v>893</v>
      </c>
      <c r="D366" s="7"/>
      <c r="E366" s="7"/>
      <c r="G366" t="s">
        <v>1938</v>
      </c>
      <c r="H366" t="str" cm="1">
        <f t="array" ref="H366">IFERROR(_xlfn.IFS(B366="","",AND(B366="",G366=""),"",G366="","記載要"),"")</f>
        <v/>
      </c>
      <c r="K366" t="str">
        <f t="shared" si="52"/>
        <v>11WP00902598</v>
      </c>
      <c r="L366" s="3" t="str">
        <f t="shared" si="53"/>
        <v>2001/01/01</v>
      </c>
      <c r="M366" s="3" t="str">
        <f t="shared" si="54"/>
        <v>2199/12/31</v>
      </c>
      <c r="N366" t="str">
        <f t="shared" si="55"/>
        <v>11WP00902598</v>
      </c>
      <c r="O366">
        <v>5</v>
      </c>
      <c r="Q366" t="str" cm="1">
        <f t="array" ref="Q366">_xlfn.IFS(AND(C366="",G366=""),"",LEFT(G366,1)="L","記載要",LEFT(G366,1)="W","",AND(C366,G366=""),"記載要")</f>
        <v/>
      </c>
      <c r="R366" s="21" t="str">
        <f t="shared" si="60"/>
        <v/>
      </c>
      <c r="S366" s="21"/>
      <c r="Z366" s="8"/>
      <c r="AA366">
        <v>1</v>
      </c>
      <c r="AB366">
        <f t="shared" si="56"/>
        <v>0</v>
      </c>
      <c r="AC366">
        <v>1</v>
      </c>
      <c r="AF366">
        <v>1</v>
      </c>
      <c r="AG366" s="8"/>
      <c r="AH366" s="8"/>
      <c r="AK366" cm="1">
        <f t="array" ref="AK366">_xlfn.IFS(B366="","",LEFT(G366,1)="L",1,LEFT(G366,1)="W",1,AND(LEFT(B366,1)="H",G366=""),0)</f>
        <v>1</v>
      </c>
      <c r="AS366" t="str">
        <f t="shared" si="57"/>
        <v/>
      </c>
      <c r="AT366" t="s">
        <v>115</v>
      </c>
      <c r="AU366" t="str">
        <f t="shared" si="58"/>
        <v>0</v>
      </c>
      <c r="BD366" t="str">
        <f t="shared" si="59"/>
        <v>0</v>
      </c>
      <c r="BK366" t="str">
        <f>IFERROR(VLOOKUP(B366,'[1]model_S-フレーム'!$F$5:$R$7000,13,1),"")</f>
        <v>E353768_01</v>
      </c>
      <c r="BL366" s="7" t="str">
        <f>IFERROR(VLOOKUP(B366,'[1]model_S-フレーム'!$F$5:$V$7000,17,1),"")</f>
        <v>RX-10F</v>
      </c>
      <c r="BM366" t="str" cm="1">
        <f t="array" ref="BM366">_xlfn.IFS(LEFT(G366,1)="L","外注品",LEFT(G366,1)="W","内製品",G366="","購買品")</f>
        <v>内製品</v>
      </c>
    </row>
    <row r="367" spans="1:65">
      <c r="A367" t="str">
        <f t="shared" si="51"/>
        <v>WG01</v>
      </c>
      <c r="B367" t="s">
        <v>492</v>
      </c>
      <c r="C367" t="s">
        <v>893</v>
      </c>
      <c r="D367" s="7"/>
      <c r="E367" s="7"/>
      <c r="G367" t="s">
        <v>1938</v>
      </c>
      <c r="H367" t="str" cm="1">
        <f t="array" ref="H367">IFERROR(_xlfn.IFS(B367="","",AND(B367="",G367=""),"",G367="","記載要"),"")</f>
        <v/>
      </c>
      <c r="K367" t="str">
        <f t="shared" si="52"/>
        <v>11WP00902599</v>
      </c>
      <c r="L367" s="3" t="str">
        <f t="shared" si="53"/>
        <v>2001/01/01</v>
      </c>
      <c r="M367" s="3" t="str">
        <f t="shared" si="54"/>
        <v>2199/12/31</v>
      </c>
      <c r="N367" t="str">
        <f t="shared" si="55"/>
        <v>11WP00902599</v>
      </c>
      <c r="O367">
        <v>5</v>
      </c>
      <c r="Q367" t="str" cm="1">
        <f t="array" ref="Q367">_xlfn.IFS(AND(C367="",G367=""),"",LEFT(G367,1)="L","記載要",LEFT(G367,1)="W","",AND(C367,G367=""),"記載要")</f>
        <v/>
      </c>
      <c r="R367" s="21" t="str">
        <f t="shared" si="60"/>
        <v/>
      </c>
      <c r="S367" s="21"/>
      <c r="Z367" s="8"/>
      <c r="AA367">
        <v>1</v>
      </c>
      <c r="AB367">
        <f t="shared" si="56"/>
        <v>0</v>
      </c>
      <c r="AC367">
        <v>1</v>
      </c>
      <c r="AF367">
        <v>1</v>
      </c>
      <c r="AG367" s="8"/>
      <c r="AH367" s="8"/>
      <c r="AK367" cm="1">
        <f t="array" ref="AK367">_xlfn.IFS(B367="","",LEFT(G367,1)="L",1,LEFT(G367,1)="W",1,AND(LEFT(B367,1)="H",G367=""),0)</f>
        <v>1</v>
      </c>
      <c r="AS367" t="str">
        <f t="shared" si="57"/>
        <v/>
      </c>
      <c r="AT367" t="s">
        <v>115</v>
      </c>
      <c r="AU367" t="str">
        <f t="shared" si="58"/>
        <v>0</v>
      </c>
      <c r="BD367" t="str">
        <f t="shared" si="59"/>
        <v>0</v>
      </c>
      <c r="BK367" t="str">
        <f>IFERROR(VLOOKUP(B367,'[1]model_S-フレーム'!$F$5:$R$7000,13,1),"")</f>
        <v>E353768_01</v>
      </c>
      <c r="BL367" s="7" t="str">
        <f>IFERROR(VLOOKUP(B367,'[1]model_S-フレーム'!$F$5:$V$7000,17,1),"")</f>
        <v>RX-10F</v>
      </c>
      <c r="BM367" t="str" cm="1">
        <f t="array" ref="BM367">_xlfn.IFS(LEFT(G367,1)="L","外注品",LEFT(G367,1)="W","内製品",G367="","購買品")</f>
        <v>内製品</v>
      </c>
    </row>
    <row r="368" spans="1:65">
      <c r="A368" t="str">
        <f t="shared" si="51"/>
        <v>WG01</v>
      </c>
      <c r="B368" t="s">
        <v>493</v>
      </c>
      <c r="C368" t="s">
        <v>894</v>
      </c>
      <c r="D368" s="7"/>
      <c r="E368" s="7"/>
      <c r="G368" t="s">
        <v>1938</v>
      </c>
      <c r="H368" t="str" cm="1">
        <f t="array" ref="H368">IFERROR(_xlfn.IFS(B368="","",AND(B368="",G368=""),"",G368="","記載要"),"")</f>
        <v/>
      </c>
      <c r="K368" t="str">
        <f t="shared" si="52"/>
        <v>11WP00902600</v>
      </c>
      <c r="L368" s="3" t="str">
        <f t="shared" si="53"/>
        <v>2001/01/01</v>
      </c>
      <c r="M368" s="3" t="str">
        <f t="shared" si="54"/>
        <v>2199/12/31</v>
      </c>
      <c r="N368" t="str">
        <f t="shared" si="55"/>
        <v>11WP00902600</v>
      </c>
      <c r="O368">
        <v>5</v>
      </c>
      <c r="Q368" t="str" cm="1">
        <f t="array" ref="Q368">_xlfn.IFS(AND(C368="",G368=""),"",LEFT(G368,1)="L","記載要",LEFT(G368,1)="W","",AND(C368,G368=""),"記載要")</f>
        <v/>
      </c>
      <c r="R368" s="21" t="str">
        <f t="shared" si="60"/>
        <v/>
      </c>
      <c r="S368" s="21"/>
      <c r="Z368" s="8"/>
      <c r="AA368">
        <v>1</v>
      </c>
      <c r="AB368">
        <f t="shared" si="56"/>
        <v>0</v>
      </c>
      <c r="AC368">
        <v>1</v>
      </c>
      <c r="AF368">
        <v>1</v>
      </c>
      <c r="AG368" s="8"/>
      <c r="AH368" s="8"/>
      <c r="AK368" cm="1">
        <f t="array" ref="AK368">_xlfn.IFS(B368="","",LEFT(G368,1)="L",1,LEFT(G368,1)="W",1,AND(LEFT(B368,1)="H",G368=""),0)</f>
        <v>1</v>
      </c>
      <c r="AS368" t="str">
        <f t="shared" si="57"/>
        <v/>
      </c>
      <c r="AT368" t="s">
        <v>115</v>
      </c>
      <c r="AU368" t="str">
        <f t="shared" si="58"/>
        <v>0</v>
      </c>
      <c r="BD368" t="str">
        <f t="shared" si="59"/>
        <v>0</v>
      </c>
      <c r="BK368" t="str">
        <f>IFERROR(VLOOKUP(B368,'[1]model_S-フレーム'!$F$5:$R$7000,13,1),"")</f>
        <v>E353768_01</v>
      </c>
      <c r="BL368" s="7" t="str">
        <f>IFERROR(VLOOKUP(B368,'[1]model_S-フレーム'!$F$5:$V$7000,17,1),"")</f>
        <v>RX-10F</v>
      </c>
      <c r="BM368" t="str" cm="1">
        <f t="array" ref="BM368">_xlfn.IFS(LEFT(G368,1)="L","外注品",LEFT(G368,1)="W","内製品",G368="","購買品")</f>
        <v>内製品</v>
      </c>
    </row>
    <row r="369" spans="1:65">
      <c r="A369" t="str">
        <f t="shared" si="51"/>
        <v>WG01</v>
      </c>
      <c r="B369" t="s">
        <v>494</v>
      </c>
      <c r="C369" t="s">
        <v>894</v>
      </c>
      <c r="D369" s="7"/>
      <c r="E369" s="7"/>
      <c r="G369" t="s">
        <v>1938</v>
      </c>
      <c r="H369" t="str" cm="1">
        <f t="array" ref="H369">IFERROR(_xlfn.IFS(B369="","",AND(B369="",G369=""),"",G369="","記載要"),"")</f>
        <v/>
      </c>
      <c r="K369" t="str">
        <f t="shared" si="52"/>
        <v>11WP00902601</v>
      </c>
      <c r="L369" s="3" t="str">
        <f t="shared" si="53"/>
        <v>2001/01/01</v>
      </c>
      <c r="M369" s="3" t="str">
        <f t="shared" si="54"/>
        <v>2199/12/31</v>
      </c>
      <c r="N369" t="str">
        <f t="shared" si="55"/>
        <v>11WP00902601</v>
      </c>
      <c r="O369">
        <v>5</v>
      </c>
      <c r="Q369" t="str" cm="1">
        <f t="array" ref="Q369">_xlfn.IFS(AND(C369="",G369=""),"",LEFT(G369,1)="L","記載要",LEFT(G369,1)="W","",AND(C369,G369=""),"記載要")</f>
        <v/>
      </c>
      <c r="R369" s="21" t="str">
        <f t="shared" si="60"/>
        <v/>
      </c>
      <c r="S369" s="21"/>
      <c r="Z369" s="8"/>
      <c r="AA369">
        <v>1</v>
      </c>
      <c r="AB369">
        <f t="shared" si="56"/>
        <v>0</v>
      </c>
      <c r="AC369">
        <v>1</v>
      </c>
      <c r="AF369">
        <v>1</v>
      </c>
      <c r="AG369" s="8"/>
      <c r="AH369" s="8"/>
      <c r="AK369" cm="1">
        <f t="array" ref="AK369">_xlfn.IFS(B369="","",LEFT(G369,1)="L",1,LEFT(G369,1)="W",1,AND(LEFT(B369,1)="H",G369=""),0)</f>
        <v>1</v>
      </c>
      <c r="AS369" t="str">
        <f t="shared" si="57"/>
        <v/>
      </c>
      <c r="AT369" t="s">
        <v>115</v>
      </c>
      <c r="AU369" t="str">
        <f t="shared" si="58"/>
        <v>0</v>
      </c>
      <c r="BD369" t="str">
        <f t="shared" si="59"/>
        <v>0</v>
      </c>
      <c r="BK369" t="str">
        <f>IFERROR(VLOOKUP(B369,'[1]model_S-フレーム'!$F$5:$R$7000,13,1),"")</f>
        <v>E353768_01</v>
      </c>
      <c r="BL369" s="7" t="str">
        <f>IFERROR(VLOOKUP(B369,'[1]model_S-フレーム'!$F$5:$V$7000,17,1),"")</f>
        <v>RX-10F</v>
      </c>
      <c r="BM369" t="str" cm="1">
        <f t="array" ref="BM369">_xlfn.IFS(LEFT(G369,1)="L","外注品",LEFT(G369,1)="W","内製品",G369="","購買品")</f>
        <v>内製品</v>
      </c>
    </row>
    <row r="370" spans="1:65">
      <c r="A370" t="str">
        <f t="shared" si="51"/>
        <v>WG01</v>
      </c>
      <c r="B370" t="s">
        <v>495</v>
      </c>
      <c r="C370" t="s">
        <v>894</v>
      </c>
      <c r="D370" s="7"/>
      <c r="E370" s="7"/>
      <c r="G370" t="s">
        <v>1938</v>
      </c>
      <c r="H370" t="str" cm="1">
        <f t="array" ref="H370">IFERROR(_xlfn.IFS(B370="","",AND(B370="",G370=""),"",G370="","記載要"),"")</f>
        <v/>
      </c>
      <c r="K370" t="str">
        <f t="shared" si="52"/>
        <v>11WP00902602</v>
      </c>
      <c r="L370" s="3" t="str">
        <f t="shared" si="53"/>
        <v>2001/01/01</v>
      </c>
      <c r="M370" s="3" t="str">
        <f t="shared" si="54"/>
        <v>2199/12/31</v>
      </c>
      <c r="N370" t="str">
        <f t="shared" si="55"/>
        <v>11WP00902602</v>
      </c>
      <c r="O370">
        <v>5</v>
      </c>
      <c r="Q370" t="str" cm="1">
        <f t="array" ref="Q370">_xlfn.IFS(AND(C370="",G370=""),"",LEFT(G370,1)="L","記載要",LEFT(G370,1)="W","",AND(C370,G370=""),"記載要")</f>
        <v/>
      </c>
      <c r="R370" s="21" t="str">
        <f t="shared" si="60"/>
        <v/>
      </c>
      <c r="S370" s="21"/>
      <c r="Z370" s="8"/>
      <c r="AA370">
        <v>1</v>
      </c>
      <c r="AB370">
        <f t="shared" si="56"/>
        <v>0</v>
      </c>
      <c r="AC370">
        <v>1</v>
      </c>
      <c r="AF370">
        <v>1</v>
      </c>
      <c r="AG370" s="8"/>
      <c r="AH370" s="8"/>
      <c r="AK370" cm="1">
        <f t="array" ref="AK370">_xlfn.IFS(B370="","",LEFT(G370,1)="L",1,LEFT(G370,1)="W",1,AND(LEFT(B370,1)="H",G370=""),0)</f>
        <v>1</v>
      </c>
      <c r="AS370" t="str">
        <f t="shared" si="57"/>
        <v/>
      </c>
      <c r="AT370" t="s">
        <v>115</v>
      </c>
      <c r="AU370" t="str">
        <f t="shared" si="58"/>
        <v>0</v>
      </c>
      <c r="BD370" t="str">
        <f t="shared" si="59"/>
        <v>0</v>
      </c>
      <c r="BK370" t="str">
        <f>IFERROR(VLOOKUP(B370,'[1]model_S-フレーム'!$F$5:$R$7000,13,1),"")</f>
        <v>E353768_01</v>
      </c>
      <c r="BL370" s="7" t="str">
        <f>IFERROR(VLOOKUP(B370,'[1]model_S-フレーム'!$F$5:$V$7000,17,1),"")</f>
        <v>RX-10F</v>
      </c>
      <c r="BM370" t="str" cm="1">
        <f t="array" ref="BM370">_xlfn.IFS(LEFT(G370,1)="L","外注品",LEFT(G370,1)="W","内製品",G370="","購買品")</f>
        <v>内製品</v>
      </c>
    </row>
    <row r="371" spans="1:65">
      <c r="A371" t="str">
        <f t="shared" si="51"/>
        <v>WG01</v>
      </c>
      <c r="B371" t="s">
        <v>496</v>
      </c>
      <c r="C371" t="s">
        <v>894</v>
      </c>
      <c r="D371" s="7"/>
      <c r="E371" s="7"/>
      <c r="G371" t="s">
        <v>1938</v>
      </c>
      <c r="H371" t="str" cm="1">
        <f t="array" ref="H371">IFERROR(_xlfn.IFS(B371="","",AND(B371="",G371=""),"",G371="","記載要"),"")</f>
        <v/>
      </c>
      <c r="K371" t="str">
        <f t="shared" si="52"/>
        <v>11WP00902603</v>
      </c>
      <c r="L371" s="3" t="str">
        <f t="shared" si="53"/>
        <v>2001/01/01</v>
      </c>
      <c r="M371" s="3" t="str">
        <f t="shared" si="54"/>
        <v>2199/12/31</v>
      </c>
      <c r="N371" t="str">
        <f t="shared" si="55"/>
        <v>11WP00902603</v>
      </c>
      <c r="O371">
        <v>5</v>
      </c>
      <c r="Q371" t="str" cm="1">
        <f t="array" ref="Q371">_xlfn.IFS(AND(C371="",G371=""),"",LEFT(G371,1)="L","記載要",LEFT(G371,1)="W","",AND(C371,G371=""),"記載要")</f>
        <v/>
      </c>
      <c r="R371" s="21" t="str">
        <f t="shared" si="60"/>
        <v/>
      </c>
      <c r="S371" s="21"/>
      <c r="Z371" s="8"/>
      <c r="AA371">
        <v>1</v>
      </c>
      <c r="AB371">
        <f t="shared" si="56"/>
        <v>0</v>
      </c>
      <c r="AC371">
        <v>1</v>
      </c>
      <c r="AF371">
        <v>1</v>
      </c>
      <c r="AG371" s="8"/>
      <c r="AH371" s="8"/>
      <c r="AK371" cm="1">
        <f t="array" ref="AK371">_xlfn.IFS(B371="","",LEFT(G371,1)="L",1,LEFT(G371,1)="W",1,AND(LEFT(B371,1)="H",G371=""),0)</f>
        <v>1</v>
      </c>
      <c r="AS371" t="str">
        <f t="shared" si="57"/>
        <v/>
      </c>
      <c r="AT371" t="s">
        <v>115</v>
      </c>
      <c r="AU371" t="str">
        <f t="shared" si="58"/>
        <v>0</v>
      </c>
      <c r="BD371" t="str">
        <f t="shared" si="59"/>
        <v>0</v>
      </c>
      <c r="BK371" t="str">
        <f>IFERROR(VLOOKUP(B371,'[1]model_S-フレーム'!$F$5:$R$7000,13,1),"")</f>
        <v>E353768_01</v>
      </c>
      <c r="BL371" s="7" t="str">
        <f>IFERROR(VLOOKUP(B371,'[1]model_S-フレーム'!$F$5:$V$7000,17,1),"")</f>
        <v>RX-10F</v>
      </c>
      <c r="BM371" t="str" cm="1">
        <f t="array" ref="BM371">_xlfn.IFS(LEFT(G371,1)="L","外注品",LEFT(G371,1)="W","内製品",G371="","購買品")</f>
        <v>内製品</v>
      </c>
    </row>
    <row r="372" spans="1:65" s="11" customFormat="1">
      <c r="A372" t="str">
        <f t="shared" si="51"/>
        <v>WG01</v>
      </c>
      <c r="B372" t="s">
        <v>497</v>
      </c>
      <c r="C372" t="s">
        <v>895</v>
      </c>
      <c r="D372" s="7"/>
      <c r="E372" s="7"/>
      <c r="F372"/>
      <c r="G372"/>
      <c r="H372">
        <v>27616</v>
      </c>
      <c r="I372"/>
      <c r="J372"/>
      <c r="K372" t="str">
        <f t="shared" si="52"/>
        <v/>
      </c>
      <c r="L372" s="3" t="str">
        <f t="shared" si="53"/>
        <v>2001/01/01</v>
      </c>
      <c r="M372" s="3" t="str">
        <f t="shared" si="54"/>
        <v>2199/12/31</v>
      </c>
      <c r="N372" t="str">
        <f t="shared" si="55"/>
        <v/>
      </c>
      <c r="O372" t="str">
        <f t="shared" ref="O372:O379" si="62">IF(G372="","","記載要")</f>
        <v/>
      </c>
      <c r="P372"/>
      <c r="Q372">
        <v>15</v>
      </c>
      <c r="R372" s="21">
        <v>100000000</v>
      </c>
      <c r="S372" s="21" t="str" cm="1">
        <f t="array" ref="S372">_xlfn.IFS(LEFT(G372,1)="L","記載要",LEFT(G372,1)="W","記載要",G372="","")</f>
        <v/>
      </c>
      <c r="T372"/>
      <c r="U372"/>
      <c r="V372"/>
      <c r="W372"/>
      <c r="X372"/>
      <c r="Y372"/>
      <c r="Z372" s="8"/>
      <c r="AA372" s="8">
        <v>1</v>
      </c>
      <c r="AB372">
        <f t="shared" si="56"/>
        <v>0</v>
      </c>
      <c r="AC372" s="8">
        <v>1</v>
      </c>
      <c r="AD372"/>
      <c r="AE372"/>
      <c r="AF372">
        <v>1</v>
      </c>
      <c r="AG372" s="8"/>
      <c r="AH372" s="8"/>
      <c r="AI372"/>
      <c r="AJ372"/>
      <c r="AK372" cm="1">
        <f t="array" ref="AK372">_xlfn.IFS(B372="","",LEFT(G372,1)="L",1,LEFT(G372,1)="W",1,AND(LEFT(B372,1)="H",G372=""),0)</f>
        <v>0</v>
      </c>
      <c r="AL372"/>
      <c r="AM372"/>
      <c r="AN372"/>
      <c r="AO372"/>
      <c r="AP372"/>
      <c r="AQ372"/>
      <c r="AR372"/>
      <c r="AS372">
        <f t="shared" si="57"/>
        <v>1</v>
      </c>
      <c r="AT372" t="s">
        <v>115</v>
      </c>
      <c r="AU372" t="str">
        <f t="shared" si="58"/>
        <v>0</v>
      </c>
      <c r="AV372"/>
      <c r="AW372"/>
      <c r="AX372"/>
      <c r="AY372"/>
      <c r="AZ372"/>
      <c r="BA372"/>
      <c r="BB372"/>
      <c r="BC372"/>
      <c r="BD372" t="str">
        <f t="shared" si="59"/>
        <v>0</v>
      </c>
      <c r="BE372"/>
      <c r="BF372"/>
      <c r="BG372"/>
      <c r="BH372"/>
      <c r="BI372"/>
      <c r="BJ372"/>
      <c r="BK372" s="11" t="str">
        <f>IFERROR(VLOOKUP(B372,'[1]model_S-フレーム'!$F$5:$R$7000,13,1),"")</f>
        <v>E353768_01</v>
      </c>
      <c r="BL372" s="12" t="str">
        <f>IFERROR(VLOOKUP(B372,'[1]model_S-フレーム'!$F$5:$V$7000,17,1),"")</f>
        <v>RX-10F</v>
      </c>
      <c r="BM372" s="11" t="str" cm="1">
        <f t="array" ref="BM372">_xlfn.IFS(LEFT(G372,1)="L","外注品",LEFT(G372,1)="W","内製品",G372="","購買品")</f>
        <v>購買品</v>
      </c>
    </row>
    <row r="373" spans="1:65" s="11" customFormat="1">
      <c r="A373" t="str">
        <f t="shared" si="51"/>
        <v>WG01</v>
      </c>
      <c r="B373" t="s">
        <v>497</v>
      </c>
      <c r="C373" t="s">
        <v>895</v>
      </c>
      <c r="D373" s="7"/>
      <c r="E373" s="7"/>
      <c r="F373"/>
      <c r="G373"/>
      <c r="H373">
        <v>43453</v>
      </c>
      <c r="I373"/>
      <c r="J373"/>
      <c r="K373" t="str">
        <f t="shared" si="52"/>
        <v/>
      </c>
      <c r="L373" s="3" t="str">
        <f t="shared" si="53"/>
        <v>2001/01/01</v>
      </c>
      <c r="M373" s="3" t="str">
        <f t="shared" si="54"/>
        <v>2199/12/31</v>
      </c>
      <c r="N373" t="str">
        <f t="shared" si="55"/>
        <v/>
      </c>
      <c r="O373" t="str">
        <f t="shared" si="62"/>
        <v/>
      </c>
      <c r="P373"/>
      <c r="Q373">
        <v>15</v>
      </c>
      <c r="R373" s="21">
        <v>100000000</v>
      </c>
      <c r="S373" s="21" t="str" cm="1">
        <f t="array" ref="S373">_xlfn.IFS(LEFT(G373,1)="L","記載要",LEFT(G373,1)="W","記載要",G373="","")</f>
        <v/>
      </c>
      <c r="T373"/>
      <c r="U373"/>
      <c r="V373"/>
      <c r="W373"/>
      <c r="X373"/>
      <c r="Y373"/>
      <c r="Z373" s="8"/>
      <c r="AA373" s="8">
        <v>1</v>
      </c>
      <c r="AB373">
        <f t="shared" si="56"/>
        <v>0</v>
      </c>
      <c r="AC373" s="8">
        <v>1</v>
      </c>
      <c r="AD373"/>
      <c r="AE373"/>
      <c r="AF373">
        <v>0</v>
      </c>
      <c r="AG373" s="8"/>
      <c r="AH373" s="8"/>
      <c r="AI373"/>
      <c r="AJ373"/>
      <c r="AK373" cm="1">
        <f t="array" ref="AK373">_xlfn.IFS(B373="","",LEFT(G373,1)="L",1,LEFT(G373,1)="W",1,AND(LEFT(B373,1)="H",G373=""),0)</f>
        <v>0</v>
      </c>
      <c r="AL373"/>
      <c r="AM373"/>
      <c r="AN373"/>
      <c r="AO373"/>
      <c r="AP373"/>
      <c r="AQ373"/>
      <c r="AR373"/>
      <c r="AS373">
        <f t="shared" si="57"/>
        <v>1</v>
      </c>
      <c r="AT373" t="s">
        <v>115</v>
      </c>
      <c r="AU373" t="str">
        <f t="shared" si="58"/>
        <v>0</v>
      </c>
      <c r="AV373"/>
      <c r="AW373"/>
      <c r="AX373"/>
      <c r="AY373"/>
      <c r="AZ373"/>
      <c r="BA373"/>
      <c r="BB373"/>
      <c r="BC373"/>
      <c r="BD373" t="str">
        <f t="shared" si="59"/>
        <v>0</v>
      </c>
      <c r="BE373"/>
      <c r="BF373"/>
      <c r="BG373"/>
      <c r="BH373"/>
      <c r="BI373"/>
      <c r="BJ373"/>
      <c r="BK373" s="11" t="str">
        <f>IFERROR(VLOOKUP(B373,'[1]model_S-フレーム'!$F$5:$R$7000,13,1),"")</f>
        <v>E353768_01</v>
      </c>
      <c r="BL373" s="12" t="str">
        <f>IFERROR(VLOOKUP(B373,'[1]model_S-フレーム'!$F$5:$V$7000,17,1),"")</f>
        <v>RX-10F</v>
      </c>
      <c r="BM373" s="11" t="str" cm="1">
        <f t="array" ref="BM373">_xlfn.IFS(LEFT(G373,1)="L","外注品",LEFT(G373,1)="W","内製品",G373="","購買品")</f>
        <v>購買品</v>
      </c>
    </row>
    <row r="374" spans="1:65" s="11" customFormat="1">
      <c r="A374" t="str">
        <f t="shared" si="51"/>
        <v>WG01</v>
      </c>
      <c r="B374" t="s">
        <v>497</v>
      </c>
      <c r="C374" t="s">
        <v>895</v>
      </c>
      <c r="D374" s="7"/>
      <c r="E374" s="7"/>
      <c r="F374"/>
      <c r="G374"/>
      <c r="H374">
        <v>47081</v>
      </c>
      <c r="I374"/>
      <c r="J374"/>
      <c r="K374" t="str">
        <f t="shared" si="52"/>
        <v/>
      </c>
      <c r="L374" s="3" t="str">
        <f t="shared" si="53"/>
        <v>2001/01/01</v>
      </c>
      <c r="M374" s="3" t="str">
        <f t="shared" si="54"/>
        <v>2199/12/31</v>
      </c>
      <c r="N374" t="str">
        <f t="shared" si="55"/>
        <v/>
      </c>
      <c r="O374" t="str">
        <f t="shared" si="62"/>
        <v/>
      </c>
      <c r="P374"/>
      <c r="Q374">
        <v>15</v>
      </c>
      <c r="R374" s="21">
        <v>100000000</v>
      </c>
      <c r="S374" s="21" t="str" cm="1">
        <f t="array" ref="S374">_xlfn.IFS(LEFT(G374,1)="L","記載要",LEFT(G374,1)="W","記載要",G374="","")</f>
        <v/>
      </c>
      <c r="T374"/>
      <c r="U374"/>
      <c r="V374"/>
      <c r="W374"/>
      <c r="X374"/>
      <c r="Y374"/>
      <c r="Z374" s="8"/>
      <c r="AA374" s="8">
        <v>1</v>
      </c>
      <c r="AB374">
        <f t="shared" si="56"/>
        <v>0</v>
      </c>
      <c r="AC374" s="8">
        <v>1</v>
      </c>
      <c r="AD374"/>
      <c r="AE374"/>
      <c r="AF374">
        <v>0</v>
      </c>
      <c r="AG374" s="8"/>
      <c r="AH374" s="8"/>
      <c r="AI374"/>
      <c r="AJ374"/>
      <c r="AK374" cm="1">
        <f t="array" ref="AK374">_xlfn.IFS(B374="","",LEFT(G374,1)="L",1,LEFT(G374,1)="W",1,AND(LEFT(B374,1)="H",G374=""),0)</f>
        <v>0</v>
      </c>
      <c r="AL374"/>
      <c r="AM374"/>
      <c r="AN374"/>
      <c r="AO374"/>
      <c r="AP374"/>
      <c r="AQ374"/>
      <c r="AR374"/>
      <c r="AS374">
        <f t="shared" si="57"/>
        <v>1</v>
      </c>
      <c r="AT374" t="s">
        <v>115</v>
      </c>
      <c r="AU374" t="str">
        <f t="shared" si="58"/>
        <v>0</v>
      </c>
      <c r="AV374"/>
      <c r="AW374"/>
      <c r="AX374"/>
      <c r="AY374"/>
      <c r="AZ374"/>
      <c r="BA374"/>
      <c r="BB374"/>
      <c r="BC374"/>
      <c r="BD374" t="str">
        <f t="shared" si="59"/>
        <v>0</v>
      </c>
      <c r="BE374"/>
      <c r="BF374"/>
      <c r="BG374"/>
      <c r="BH374"/>
      <c r="BI374"/>
      <c r="BJ374"/>
      <c r="BK374" s="11" t="str">
        <f>IFERROR(VLOOKUP(B374,'[1]model_S-フレーム'!$F$5:$R$7000,13,1),"")</f>
        <v>E353768_01</v>
      </c>
      <c r="BL374" s="12" t="str">
        <f>IFERROR(VLOOKUP(B374,'[1]model_S-フレーム'!$F$5:$V$7000,17,1),"")</f>
        <v>RX-10F</v>
      </c>
      <c r="BM374" s="11" t="str" cm="1">
        <f t="array" ref="BM374">_xlfn.IFS(LEFT(G374,1)="L","外注品",LEFT(G374,1)="W","内製品",G374="","購買品")</f>
        <v>購買品</v>
      </c>
    </row>
    <row r="375" spans="1:65">
      <c r="A375" t="str">
        <f t="shared" si="51"/>
        <v>WG01</v>
      </c>
      <c r="B375" t="s">
        <v>497</v>
      </c>
      <c r="C375" t="s">
        <v>895</v>
      </c>
      <c r="D375" s="7"/>
      <c r="E375" s="7"/>
      <c r="H375" s="19" t="s">
        <v>1937</v>
      </c>
      <c r="K375" t="str">
        <f t="shared" si="52"/>
        <v/>
      </c>
      <c r="L375" s="3" t="str">
        <f t="shared" si="53"/>
        <v>2001/01/01</v>
      </c>
      <c r="M375" s="3" t="str">
        <f t="shared" si="54"/>
        <v>2199/12/31</v>
      </c>
      <c r="N375" t="str">
        <f t="shared" si="55"/>
        <v/>
      </c>
      <c r="O375" t="str">
        <f t="shared" si="62"/>
        <v/>
      </c>
      <c r="Q375">
        <v>15</v>
      </c>
      <c r="R375" s="21">
        <v>100000000</v>
      </c>
      <c r="S375" s="21" t="str" cm="1">
        <f t="array" ref="S375">_xlfn.IFS(LEFT(G375,1)="L","記載要",LEFT(G375,1)="W","記載要",G375="","")</f>
        <v/>
      </c>
      <c r="Z375" s="8"/>
      <c r="AA375" s="8">
        <v>1</v>
      </c>
      <c r="AB375">
        <f t="shared" si="56"/>
        <v>0</v>
      </c>
      <c r="AC375" s="8">
        <v>1</v>
      </c>
      <c r="AF375">
        <v>0</v>
      </c>
      <c r="AG375" s="8"/>
      <c r="AH375" s="8"/>
      <c r="AK375" cm="1">
        <f t="array" ref="AK375">_xlfn.IFS(B375="","",LEFT(G375,1)="L",1,LEFT(G375,1)="W",1,AND(LEFT(B375,1)="H",G375=""),0)</f>
        <v>0</v>
      </c>
      <c r="AS375">
        <f t="shared" si="57"/>
        <v>1</v>
      </c>
      <c r="AT375" t="s">
        <v>115</v>
      </c>
      <c r="AU375" t="str">
        <f t="shared" si="58"/>
        <v>0</v>
      </c>
      <c r="BD375" t="str">
        <f t="shared" si="59"/>
        <v>0</v>
      </c>
      <c r="BK375" t="str">
        <f>IFERROR(VLOOKUP(B375,'[1]model_S-フレーム'!$F$5:$R$7000,13,1),"")</f>
        <v>E353768_01</v>
      </c>
      <c r="BL375" s="7" t="str">
        <f>IFERROR(VLOOKUP(B375,'[1]model_S-フレーム'!$F$5:$V$7000,17,1),"")</f>
        <v>RX-10F</v>
      </c>
      <c r="BM375" t="str" cm="1">
        <f t="array" ref="BM375">_xlfn.IFS(LEFT(G375,1)="L","外注品",LEFT(G375,1)="W","内製品",G375="","購買品")</f>
        <v>購買品</v>
      </c>
    </row>
    <row r="376" spans="1:65" s="11" customFormat="1">
      <c r="A376" t="str">
        <f t="shared" si="51"/>
        <v>WG01</v>
      </c>
      <c r="B376" t="s">
        <v>498</v>
      </c>
      <c r="C376" t="s">
        <v>896</v>
      </c>
      <c r="D376" s="7"/>
      <c r="E376" s="7"/>
      <c r="F376"/>
      <c r="G376"/>
      <c r="H376">
        <v>27616</v>
      </c>
      <c r="I376"/>
      <c r="J376"/>
      <c r="K376" t="str">
        <f t="shared" si="52"/>
        <v/>
      </c>
      <c r="L376" s="3" t="str">
        <f t="shared" si="53"/>
        <v>2001/01/01</v>
      </c>
      <c r="M376" s="3" t="str">
        <f t="shared" si="54"/>
        <v>2199/12/31</v>
      </c>
      <c r="N376" t="str">
        <f t="shared" si="55"/>
        <v/>
      </c>
      <c r="O376" t="str">
        <f t="shared" si="62"/>
        <v/>
      </c>
      <c r="P376"/>
      <c r="Q376">
        <v>15</v>
      </c>
      <c r="R376" s="21">
        <v>100000000</v>
      </c>
      <c r="S376" s="21" t="str" cm="1">
        <f t="array" ref="S376">_xlfn.IFS(LEFT(G376,1)="L","記載要",LEFT(G376,1)="W","記載要",G376="","")</f>
        <v/>
      </c>
      <c r="T376"/>
      <c r="U376"/>
      <c r="V376"/>
      <c r="W376"/>
      <c r="X376"/>
      <c r="Y376"/>
      <c r="Z376" s="8"/>
      <c r="AA376" s="8">
        <v>1</v>
      </c>
      <c r="AB376">
        <f t="shared" si="56"/>
        <v>0</v>
      </c>
      <c r="AC376" s="8">
        <v>1</v>
      </c>
      <c r="AD376"/>
      <c r="AE376"/>
      <c r="AF376">
        <v>1</v>
      </c>
      <c r="AG376" s="8"/>
      <c r="AH376" s="8"/>
      <c r="AI376"/>
      <c r="AJ376"/>
      <c r="AK376" cm="1">
        <f t="array" ref="AK376">_xlfn.IFS(B376="","",LEFT(G376,1)="L",1,LEFT(G376,1)="W",1,AND(LEFT(B376,1)="H",G376=""),0)</f>
        <v>0</v>
      </c>
      <c r="AL376"/>
      <c r="AM376"/>
      <c r="AN376"/>
      <c r="AO376"/>
      <c r="AP376"/>
      <c r="AQ376"/>
      <c r="AR376"/>
      <c r="AS376">
        <f t="shared" si="57"/>
        <v>1</v>
      </c>
      <c r="AT376" t="s">
        <v>115</v>
      </c>
      <c r="AU376" t="str">
        <f t="shared" si="58"/>
        <v>0</v>
      </c>
      <c r="AV376"/>
      <c r="AW376"/>
      <c r="AX376"/>
      <c r="AY376"/>
      <c r="AZ376"/>
      <c r="BA376"/>
      <c r="BB376"/>
      <c r="BC376"/>
      <c r="BD376" t="str">
        <f t="shared" si="59"/>
        <v>0</v>
      </c>
      <c r="BE376"/>
      <c r="BF376"/>
      <c r="BG376"/>
      <c r="BH376"/>
      <c r="BI376"/>
      <c r="BJ376"/>
      <c r="BK376" s="11" t="str">
        <f>IFERROR(VLOOKUP(B376,'[1]model_S-フレーム'!$F$5:$R$7000,13,1),"")</f>
        <v>E353768_01</v>
      </c>
      <c r="BL376" s="12" t="str">
        <f>IFERROR(VLOOKUP(B376,'[1]model_S-フレーム'!$F$5:$V$7000,17,1),"")</f>
        <v>RX-10F</v>
      </c>
      <c r="BM376" s="11" t="str" cm="1">
        <f t="array" ref="BM376">_xlfn.IFS(LEFT(G376,1)="L","外注品",LEFT(G376,1)="W","内製品",G376="","購買品")</f>
        <v>購買品</v>
      </c>
    </row>
    <row r="377" spans="1:65" s="11" customFormat="1">
      <c r="A377" t="str">
        <f t="shared" si="51"/>
        <v>WG01</v>
      </c>
      <c r="B377" t="s">
        <v>498</v>
      </c>
      <c r="C377" t="s">
        <v>896</v>
      </c>
      <c r="D377" s="7"/>
      <c r="E377" s="7"/>
      <c r="F377"/>
      <c r="G377"/>
      <c r="H377">
        <v>43453</v>
      </c>
      <c r="I377"/>
      <c r="J377"/>
      <c r="K377" t="str">
        <f t="shared" si="52"/>
        <v/>
      </c>
      <c r="L377" s="3" t="str">
        <f t="shared" si="53"/>
        <v>2001/01/01</v>
      </c>
      <c r="M377" s="3" t="str">
        <f t="shared" si="54"/>
        <v>2199/12/31</v>
      </c>
      <c r="N377" t="str">
        <f t="shared" si="55"/>
        <v/>
      </c>
      <c r="O377" t="str">
        <f t="shared" si="62"/>
        <v/>
      </c>
      <c r="P377"/>
      <c r="Q377">
        <v>15</v>
      </c>
      <c r="R377" s="21">
        <v>100000000</v>
      </c>
      <c r="S377" s="21" t="str" cm="1">
        <f t="array" ref="S377">_xlfn.IFS(LEFT(G377,1)="L","記載要",LEFT(G377,1)="W","記載要",G377="","")</f>
        <v/>
      </c>
      <c r="T377"/>
      <c r="U377"/>
      <c r="V377"/>
      <c r="W377"/>
      <c r="X377"/>
      <c r="Y377"/>
      <c r="Z377" s="8"/>
      <c r="AA377" s="8">
        <v>1</v>
      </c>
      <c r="AB377">
        <f t="shared" si="56"/>
        <v>0</v>
      </c>
      <c r="AC377" s="8">
        <v>1</v>
      </c>
      <c r="AD377"/>
      <c r="AE377"/>
      <c r="AF377">
        <v>0</v>
      </c>
      <c r="AG377" s="8"/>
      <c r="AH377" s="8"/>
      <c r="AI377"/>
      <c r="AJ377"/>
      <c r="AK377" cm="1">
        <f t="array" ref="AK377">_xlfn.IFS(B377="","",LEFT(G377,1)="L",1,LEFT(G377,1)="W",1,AND(LEFT(B377,1)="H",G377=""),0)</f>
        <v>0</v>
      </c>
      <c r="AL377"/>
      <c r="AM377"/>
      <c r="AN377"/>
      <c r="AO377"/>
      <c r="AP377"/>
      <c r="AQ377"/>
      <c r="AR377"/>
      <c r="AS377">
        <f t="shared" si="57"/>
        <v>1</v>
      </c>
      <c r="AT377" t="s">
        <v>115</v>
      </c>
      <c r="AU377" t="str">
        <f t="shared" si="58"/>
        <v>0</v>
      </c>
      <c r="AV377"/>
      <c r="AW377"/>
      <c r="AX377"/>
      <c r="AY377"/>
      <c r="AZ377"/>
      <c r="BA377"/>
      <c r="BB377"/>
      <c r="BC377"/>
      <c r="BD377" t="str">
        <f t="shared" si="59"/>
        <v>0</v>
      </c>
      <c r="BE377"/>
      <c r="BF377"/>
      <c r="BG377"/>
      <c r="BH377"/>
      <c r="BI377"/>
      <c r="BJ377"/>
      <c r="BK377" s="11" t="str">
        <f>IFERROR(VLOOKUP(B377,'[1]model_S-フレーム'!$F$5:$R$7000,13,1),"")</f>
        <v>E353768_01</v>
      </c>
      <c r="BL377" s="12" t="str">
        <f>IFERROR(VLOOKUP(B377,'[1]model_S-フレーム'!$F$5:$V$7000,17,1),"")</f>
        <v>RX-10F</v>
      </c>
      <c r="BM377" s="11" t="str" cm="1">
        <f t="array" ref="BM377">_xlfn.IFS(LEFT(G377,1)="L","外注品",LEFT(G377,1)="W","内製品",G377="","購買品")</f>
        <v>購買品</v>
      </c>
    </row>
    <row r="378" spans="1:65" s="11" customFormat="1">
      <c r="A378" t="str">
        <f t="shared" si="51"/>
        <v>WG01</v>
      </c>
      <c r="B378" t="s">
        <v>498</v>
      </c>
      <c r="C378" t="s">
        <v>896</v>
      </c>
      <c r="D378" s="7"/>
      <c r="E378" s="7"/>
      <c r="F378"/>
      <c r="G378"/>
      <c r="H378">
        <v>47081</v>
      </c>
      <c r="I378"/>
      <c r="J378"/>
      <c r="K378" t="str">
        <f t="shared" si="52"/>
        <v/>
      </c>
      <c r="L378" s="3" t="str">
        <f t="shared" si="53"/>
        <v>2001/01/01</v>
      </c>
      <c r="M378" s="3" t="str">
        <f t="shared" si="54"/>
        <v>2199/12/31</v>
      </c>
      <c r="N378" t="str">
        <f t="shared" si="55"/>
        <v/>
      </c>
      <c r="O378" t="str">
        <f t="shared" si="62"/>
        <v/>
      </c>
      <c r="P378"/>
      <c r="Q378">
        <v>15</v>
      </c>
      <c r="R378" s="21">
        <v>100000000</v>
      </c>
      <c r="S378" s="21" t="str" cm="1">
        <f t="array" ref="S378">_xlfn.IFS(LEFT(G378,1)="L","記載要",LEFT(G378,1)="W","記載要",G378="","")</f>
        <v/>
      </c>
      <c r="T378"/>
      <c r="U378"/>
      <c r="V378"/>
      <c r="W378"/>
      <c r="X378"/>
      <c r="Y378"/>
      <c r="Z378" s="8"/>
      <c r="AA378" s="8">
        <v>1</v>
      </c>
      <c r="AB378">
        <f t="shared" si="56"/>
        <v>0</v>
      </c>
      <c r="AC378" s="8">
        <v>1</v>
      </c>
      <c r="AD378"/>
      <c r="AE378"/>
      <c r="AF378">
        <v>0</v>
      </c>
      <c r="AG378" s="8"/>
      <c r="AH378" s="8"/>
      <c r="AI378"/>
      <c r="AJ378"/>
      <c r="AK378" cm="1">
        <f t="array" ref="AK378">_xlfn.IFS(B378="","",LEFT(G378,1)="L",1,LEFT(G378,1)="W",1,AND(LEFT(B378,1)="H",G378=""),0)</f>
        <v>0</v>
      </c>
      <c r="AL378"/>
      <c r="AM378"/>
      <c r="AN378"/>
      <c r="AO378"/>
      <c r="AP378"/>
      <c r="AQ378"/>
      <c r="AR378"/>
      <c r="AS378">
        <f t="shared" si="57"/>
        <v>1</v>
      </c>
      <c r="AT378" t="s">
        <v>115</v>
      </c>
      <c r="AU378" t="str">
        <f t="shared" si="58"/>
        <v>0</v>
      </c>
      <c r="AV378"/>
      <c r="AW378"/>
      <c r="AX378"/>
      <c r="AY378"/>
      <c r="AZ378"/>
      <c r="BA378"/>
      <c r="BB378"/>
      <c r="BC378"/>
      <c r="BD378" t="str">
        <f t="shared" si="59"/>
        <v>0</v>
      </c>
      <c r="BE378"/>
      <c r="BF378"/>
      <c r="BG378"/>
      <c r="BH378"/>
      <c r="BI378"/>
      <c r="BJ378"/>
      <c r="BK378" s="11" t="str">
        <f>IFERROR(VLOOKUP(B378,'[1]model_S-フレーム'!$F$5:$R$7000,13,1),"")</f>
        <v>E353768_01</v>
      </c>
      <c r="BL378" s="12" t="str">
        <f>IFERROR(VLOOKUP(B378,'[1]model_S-フレーム'!$F$5:$V$7000,17,1),"")</f>
        <v>RX-10F</v>
      </c>
      <c r="BM378" s="11" t="str" cm="1">
        <f t="array" ref="BM378">_xlfn.IFS(LEFT(G378,1)="L","外注品",LEFT(G378,1)="W","内製品",G378="","購買品")</f>
        <v>購買品</v>
      </c>
    </row>
    <row r="379" spans="1:65">
      <c r="A379" t="str">
        <f t="shared" si="51"/>
        <v>WG01</v>
      </c>
      <c r="B379" t="s">
        <v>498</v>
      </c>
      <c r="C379" t="s">
        <v>896</v>
      </c>
      <c r="D379" s="7"/>
      <c r="E379" s="7"/>
      <c r="H379" s="19" t="s">
        <v>1937</v>
      </c>
      <c r="K379" t="str">
        <f t="shared" si="52"/>
        <v/>
      </c>
      <c r="L379" s="3" t="str">
        <f t="shared" si="53"/>
        <v>2001/01/01</v>
      </c>
      <c r="M379" s="3" t="str">
        <f t="shared" si="54"/>
        <v>2199/12/31</v>
      </c>
      <c r="N379" t="str">
        <f t="shared" si="55"/>
        <v/>
      </c>
      <c r="O379" t="str">
        <f t="shared" si="62"/>
        <v/>
      </c>
      <c r="Q379">
        <v>15</v>
      </c>
      <c r="R379" s="21">
        <v>100000000</v>
      </c>
      <c r="S379" s="21" t="str" cm="1">
        <f t="array" ref="S379">_xlfn.IFS(LEFT(G379,1)="L","記載要",LEFT(G379,1)="W","記載要",G379="","")</f>
        <v/>
      </c>
      <c r="Z379" s="8"/>
      <c r="AA379" s="8">
        <v>1</v>
      </c>
      <c r="AB379">
        <f t="shared" si="56"/>
        <v>0</v>
      </c>
      <c r="AC379" s="8">
        <v>1</v>
      </c>
      <c r="AF379">
        <v>0</v>
      </c>
      <c r="AG379" s="8"/>
      <c r="AH379" s="8"/>
      <c r="AK379" cm="1">
        <f t="array" ref="AK379">_xlfn.IFS(B379="","",LEFT(G379,1)="L",1,LEFT(G379,1)="W",1,AND(LEFT(B379,1)="H",G379=""),0)</f>
        <v>0</v>
      </c>
      <c r="AS379">
        <f t="shared" si="57"/>
        <v>1</v>
      </c>
      <c r="AT379" t="s">
        <v>115</v>
      </c>
      <c r="AU379" t="str">
        <f t="shared" si="58"/>
        <v>0</v>
      </c>
      <c r="BD379" t="str">
        <f t="shared" si="59"/>
        <v>0</v>
      </c>
      <c r="BK379" t="str">
        <f>IFERROR(VLOOKUP(B379,'[1]model_S-フレーム'!$F$5:$R$7000,13,1),"")</f>
        <v>E353768_01</v>
      </c>
      <c r="BL379" s="7" t="str">
        <f>IFERROR(VLOOKUP(B379,'[1]model_S-フレーム'!$F$5:$V$7000,17,1),"")</f>
        <v>RX-10F</v>
      </c>
      <c r="BM379" t="str" cm="1">
        <f t="array" ref="BM379">_xlfn.IFS(LEFT(G379,1)="L","外注品",LEFT(G379,1)="W","内製品",G379="","購買品")</f>
        <v>購買品</v>
      </c>
    </row>
    <row r="380" spans="1:65">
      <c r="A380" t="str">
        <f t="shared" si="51"/>
        <v>WG01</v>
      </c>
      <c r="B380" t="s">
        <v>499</v>
      </c>
      <c r="C380" t="s">
        <v>897</v>
      </c>
      <c r="D380" s="7"/>
      <c r="E380" s="7"/>
      <c r="G380" t="s">
        <v>1938</v>
      </c>
      <c r="H380" t="str" cm="1">
        <f t="array" ref="H380">IFERROR(_xlfn.IFS(B380="","",AND(B380="",G380=""),"",G380="","記載要"),"")</f>
        <v/>
      </c>
      <c r="K380" t="str">
        <f t="shared" si="52"/>
        <v>11WP00902606</v>
      </c>
      <c r="L380" s="3" t="str">
        <f t="shared" si="53"/>
        <v>2001/01/01</v>
      </c>
      <c r="M380" s="3" t="str">
        <f t="shared" si="54"/>
        <v>2199/12/31</v>
      </c>
      <c r="N380" t="str">
        <f t="shared" si="55"/>
        <v>11WP00902606</v>
      </c>
      <c r="O380">
        <v>5</v>
      </c>
      <c r="Q380" t="str" cm="1">
        <f t="array" ref="Q380">_xlfn.IFS(AND(C380="",G380=""),"",LEFT(G380,1)="L","記載要",LEFT(G380,1)="W","",AND(C380,G380=""),"記載要")</f>
        <v/>
      </c>
      <c r="R380" s="21" t="str">
        <f t="shared" si="60"/>
        <v/>
      </c>
      <c r="S380" s="21"/>
      <c r="Z380" s="8"/>
      <c r="AA380">
        <v>1</v>
      </c>
      <c r="AB380">
        <f t="shared" si="56"/>
        <v>0</v>
      </c>
      <c r="AC380">
        <v>1</v>
      </c>
      <c r="AF380">
        <v>1</v>
      </c>
      <c r="AG380" s="8"/>
      <c r="AH380" s="8"/>
      <c r="AK380" cm="1">
        <f t="array" ref="AK380">_xlfn.IFS(B380="","",LEFT(G380,1)="L",1,LEFT(G380,1)="W",1,AND(LEFT(B380,1)="H",G380=""),0)</f>
        <v>1</v>
      </c>
      <c r="AS380" t="str">
        <f t="shared" si="57"/>
        <v/>
      </c>
      <c r="AT380" t="s">
        <v>115</v>
      </c>
      <c r="AU380" t="str">
        <f t="shared" si="58"/>
        <v>0</v>
      </c>
      <c r="BD380" t="str">
        <f t="shared" si="59"/>
        <v>0</v>
      </c>
      <c r="BK380" t="str">
        <f>IFERROR(VLOOKUP(B380,'[1]model_S-フレーム'!$F$5:$R$7000,13,1),"")</f>
        <v>E353770_01</v>
      </c>
      <c r="BL380" s="7" t="str">
        <f>IFERROR(VLOOKUP(B380,'[1]model_S-フレーム'!$F$5:$V$7000,17,1),"")</f>
        <v>RX-10F</v>
      </c>
      <c r="BM380" t="str" cm="1">
        <f t="array" ref="BM380">_xlfn.IFS(LEFT(G380,1)="L","外注品",LEFT(G380,1)="W","内製品",G380="","購買品")</f>
        <v>内製品</v>
      </c>
    </row>
    <row r="381" spans="1:65">
      <c r="A381" t="str">
        <f t="shared" si="51"/>
        <v>WG01</v>
      </c>
      <c r="B381" t="s">
        <v>500</v>
      </c>
      <c r="C381" t="s">
        <v>897</v>
      </c>
      <c r="D381" s="7"/>
      <c r="E381" s="7"/>
      <c r="G381" t="s">
        <v>1938</v>
      </c>
      <c r="H381" t="str" cm="1">
        <f t="array" ref="H381">IFERROR(_xlfn.IFS(B381="","",AND(B381="",G381=""),"",G381="","記載要"),"")</f>
        <v/>
      </c>
      <c r="K381" t="str">
        <f t="shared" si="52"/>
        <v>11WP00902607</v>
      </c>
      <c r="L381" s="3" t="str">
        <f t="shared" si="53"/>
        <v>2001/01/01</v>
      </c>
      <c r="M381" s="3" t="str">
        <f t="shared" si="54"/>
        <v>2199/12/31</v>
      </c>
      <c r="N381" t="str">
        <f t="shared" si="55"/>
        <v>11WP00902607</v>
      </c>
      <c r="O381">
        <v>5</v>
      </c>
      <c r="Q381" t="str" cm="1">
        <f t="array" ref="Q381">_xlfn.IFS(AND(C381="",G381=""),"",LEFT(G381,1)="L","記載要",LEFT(G381,1)="W","",AND(C381,G381=""),"記載要")</f>
        <v/>
      </c>
      <c r="R381" s="21" t="str">
        <f t="shared" si="60"/>
        <v/>
      </c>
      <c r="S381" s="21"/>
      <c r="Z381" s="8"/>
      <c r="AA381">
        <v>1</v>
      </c>
      <c r="AB381">
        <f t="shared" si="56"/>
        <v>0</v>
      </c>
      <c r="AC381">
        <v>1</v>
      </c>
      <c r="AF381">
        <v>1</v>
      </c>
      <c r="AG381" s="8"/>
      <c r="AH381" s="8"/>
      <c r="AK381" cm="1">
        <f t="array" ref="AK381">_xlfn.IFS(B381="","",LEFT(G381,1)="L",1,LEFT(G381,1)="W",1,AND(LEFT(B381,1)="H",G381=""),0)</f>
        <v>1</v>
      </c>
      <c r="AS381" t="str">
        <f t="shared" si="57"/>
        <v/>
      </c>
      <c r="AT381" t="s">
        <v>115</v>
      </c>
      <c r="AU381" t="str">
        <f t="shared" si="58"/>
        <v>0</v>
      </c>
      <c r="BD381" t="str">
        <f t="shared" si="59"/>
        <v>0</v>
      </c>
      <c r="BK381" t="str">
        <f>IFERROR(VLOOKUP(B381,'[1]model_S-フレーム'!$F$5:$R$7000,13,1),"")</f>
        <v>E353770_01</v>
      </c>
      <c r="BL381" s="7" t="str">
        <f>IFERROR(VLOOKUP(B381,'[1]model_S-フレーム'!$F$5:$V$7000,17,1),"")</f>
        <v>RX-10F</v>
      </c>
      <c r="BM381" t="str" cm="1">
        <f t="array" ref="BM381">_xlfn.IFS(LEFT(G381,1)="L","外注品",LEFT(G381,1)="W","内製品",G381="","購買品")</f>
        <v>内製品</v>
      </c>
    </row>
    <row r="382" spans="1:65">
      <c r="A382" t="str">
        <f t="shared" si="51"/>
        <v>WG01</v>
      </c>
      <c r="B382" t="s">
        <v>501</v>
      </c>
      <c r="C382" t="s">
        <v>897</v>
      </c>
      <c r="D382" s="7"/>
      <c r="E382" s="7"/>
      <c r="G382" t="s">
        <v>1938</v>
      </c>
      <c r="H382" t="str" cm="1">
        <f t="array" ref="H382">IFERROR(_xlfn.IFS(B382="","",AND(B382="",G382=""),"",G382="","記載要"),"")</f>
        <v/>
      </c>
      <c r="K382" t="str">
        <f t="shared" si="52"/>
        <v>11WP00902608</v>
      </c>
      <c r="L382" s="3" t="str">
        <f t="shared" si="53"/>
        <v>2001/01/01</v>
      </c>
      <c r="M382" s="3" t="str">
        <f t="shared" si="54"/>
        <v>2199/12/31</v>
      </c>
      <c r="N382" t="str">
        <f t="shared" si="55"/>
        <v>11WP00902608</v>
      </c>
      <c r="O382">
        <v>5</v>
      </c>
      <c r="Q382" t="str" cm="1">
        <f t="array" ref="Q382">_xlfn.IFS(AND(C382="",G382=""),"",LEFT(G382,1)="L","記載要",LEFT(G382,1)="W","",AND(C382,G382=""),"記載要")</f>
        <v/>
      </c>
      <c r="R382" s="21" t="str">
        <f t="shared" si="60"/>
        <v/>
      </c>
      <c r="S382" s="21"/>
      <c r="Z382" s="8"/>
      <c r="AA382">
        <v>1</v>
      </c>
      <c r="AB382">
        <f t="shared" si="56"/>
        <v>0</v>
      </c>
      <c r="AC382">
        <v>1</v>
      </c>
      <c r="AF382">
        <v>1</v>
      </c>
      <c r="AG382" s="8"/>
      <c r="AH382" s="8"/>
      <c r="AK382" cm="1">
        <f t="array" ref="AK382">_xlfn.IFS(B382="","",LEFT(G382,1)="L",1,LEFT(G382,1)="W",1,AND(LEFT(B382,1)="H",G382=""),0)</f>
        <v>1</v>
      </c>
      <c r="AS382" t="str">
        <f t="shared" si="57"/>
        <v/>
      </c>
      <c r="AT382" t="s">
        <v>115</v>
      </c>
      <c r="AU382" t="str">
        <f t="shared" si="58"/>
        <v>0</v>
      </c>
      <c r="BD382" t="str">
        <f t="shared" si="59"/>
        <v>0</v>
      </c>
      <c r="BK382" t="str">
        <f>IFERROR(VLOOKUP(B382,'[1]model_S-フレーム'!$F$5:$R$7000,13,1),"")</f>
        <v>E353770_01</v>
      </c>
      <c r="BL382" s="7" t="str">
        <f>IFERROR(VLOOKUP(B382,'[1]model_S-フレーム'!$F$5:$V$7000,17,1),"")</f>
        <v>RX-10F</v>
      </c>
      <c r="BM382" t="str" cm="1">
        <f t="array" ref="BM382">_xlfn.IFS(LEFT(G382,1)="L","外注品",LEFT(G382,1)="W","内製品",G382="","購買品")</f>
        <v>内製品</v>
      </c>
    </row>
    <row r="383" spans="1:65">
      <c r="A383" t="str">
        <f t="shared" si="51"/>
        <v>WG01</v>
      </c>
      <c r="B383" t="s">
        <v>502</v>
      </c>
      <c r="C383" t="s">
        <v>897</v>
      </c>
      <c r="D383" s="7"/>
      <c r="E383" s="7"/>
      <c r="G383" t="s">
        <v>1938</v>
      </c>
      <c r="H383" t="str" cm="1">
        <f t="array" ref="H383">IFERROR(_xlfn.IFS(B383="","",AND(B383="",G383=""),"",G383="","記載要"),"")</f>
        <v/>
      </c>
      <c r="K383" t="str">
        <f t="shared" si="52"/>
        <v>11WP00902609</v>
      </c>
      <c r="L383" s="3" t="str">
        <f t="shared" si="53"/>
        <v>2001/01/01</v>
      </c>
      <c r="M383" s="3" t="str">
        <f t="shared" si="54"/>
        <v>2199/12/31</v>
      </c>
      <c r="N383" t="str">
        <f t="shared" si="55"/>
        <v>11WP00902609</v>
      </c>
      <c r="O383">
        <v>5</v>
      </c>
      <c r="Q383" t="str" cm="1">
        <f t="array" ref="Q383">_xlfn.IFS(AND(C383="",G383=""),"",LEFT(G383,1)="L","記載要",LEFT(G383,1)="W","",AND(C383,G383=""),"記載要")</f>
        <v/>
      </c>
      <c r="R383" s="21" t="str">
        <f t="shared" si="60"/>
        <v/>
      </c>
      <c r="S383" s="21"/>
      <c r="Z383" s="8"/>
      <c r="AA383">
        <v>1</v>
      </c>
      <c r="AB383">
        <f t="shared" si="56"/>
        <v>0</v>
      </c>
      <c r="AC383">
        <v>1</v>
      </c>
      <c r="AF383">
        <v>1</v>
      </c>
      <c r="AG383" s="8"/>
      <c r="AH383" s="8"/>
      <c r="AK383" cm="1">
        <f t="array" ref="AK383">_xlfn.IFS(B383="","",LEFT(G383,1)="L",1,LEFT(G383,1)="W",1,AND(LEFT(B383,1)="H",G383=""),0)</f>
        <v>1</v>
      </c>
      <c r="AS383" t="str">
        <f t="shared" si="57"/>
        <v/>
      </c>
      <c r="AT383" t="s">
        <v>115</v>
      </c>
      <c r="AU383" t="str">
        <f t="shared" si="58"/>
        <v>0</v>
      </c>
      <c r="BD383" t="str">
        <f t="shared" si="59"/>
        <v>0</v>
      </c>
      <c r="BK383" t="str">
        <f>IFERROR(VLOOKUP(B383,'[1]model_S-フレーム'!$F$5:$R$7000,13,1),"")</f>
        <v>E353770_01</v>
      </c>
      <c r="BL383" s="7" t="str">
        <f>IFERROR(VLOOKUP(B383,'[1]model_S-フレーム'!$F$5:$V$7000,17,1),"")</f>
        <v>RX-10F</v>
      </c>
      <c r="BM383" t="str" cm="1">
        <f t="array" ref="BM383">_xlfn.IFS(LEFT(G383,1)="L","外注品",LEFT(G383,1)="W","内製品",G383="","購買品")</f>
        <v>内製品</v>
      </c>
    </row>
    <row r="384" spans="1:65">
      <c r="A384" t="str">
        <f t="shared" si="51"/>
        <v>WG01</v>
      </c>
      <c r="B384" t="s">
        <v>503</v>
      </c>
      <c r="C384" t="s">
        <v>897</v>
      </c>
      <c r="D384" s="7"/>
      <c r="E384" s="7"/>
      <c r="G384" t="s">
        <v>1938</v>
      </c>
      <c r="H384" t="str" cm="1">
        <f t="array" ref="H384">IFERROR(_xlfn.IFS(B384="","",AND(B384="",G384=""),"",G384="","記載要"),"")</f>
        <v/>
      </c>
      <c r="K384" t="str">
        <f t="shared" si="52"/>
        <v>11WP00902610</v>
      </c>
      <c r="L384" s="3" t="str">
        <f t="shared" si="53"/>
        <v>2001/01/01</v>
      </c>
      <c r="M384" s="3" t="str">
        <f t="shared" si="54"/>
        <v>2199/12/31</v>
      </c>
      <c r="N384" t="str">
        <f t="shared" si="55"/>
        <v>11WP00902610</v>
      </c>
      <c r="O384">
        <v>5</v>
      </c>
      <c r="Q384" t="str" cm="1">
        <f t="array" ref="Q384">_xlfn.IFS(AND(C384="",G384=""),"",LEFT(G384,1)="L","記載要",LEFT(G384,1)="W","",AND(C384,G384=""),"記載要")</f>
        <v/>
      </c>
      <c r="R384" s="21" t="str">
        <f t="shared" si="60"/>
        <v/>
      </c>
      <c r="S384" s="21"/>
      <c r="Z384" s="8"/>
      <c r="AA384">
        <v>1</v>
      </c>
      <c r="AB384">
        <f t="shared" si="56"/>
        <v>0</v>
      </c>
      <c r="AC384">
        <v>1</v>
      </c>
      <c r="AF384">
        <v>1</v>
      </c>
      <c r="AG384" s="8"/>
      <c r="AH384" s="8"/>
      <c r="AK384" cm="1">
        <f t="array" ref="AK384">_xlfn.IFS(B384="","",LEFT(G384,1)="L",1,LEFT(G384,1)="W",1,AND(LEFT(B384,1)="H",G384=""),0)</f>
        <v>1</v>
      </c>
      <c r="AS384" t="str">
        <f t="shared" si="57"/>
        <v/>
      </c>
      <c r="AT384" t="s">
        <v>115</v>
      </c>
      <c r="AU384" t="str">
        <f t="shared" si="58"/>
        <v>0</v>
      </c>
      <c r="BD384" t="str">
        <f t="shared" si="59"/>
        <v>0</v>
      </c>
      <c r="BK384" t="str">
        <f>IFERROR(VLOOKUP(B384,'[1]model_S-フレーム'!$F$5:$R$7000,13,1),"")</f>
        <v>E353770_01</v>
      </c>
      <c r="BL384" s="7" t="str">
        <f>IFERROR(VLOOKUP(B384,'[1]model_S-フレーム'!$F$5:$V$7000,17,1),"")</f>
        <v>RX-10F</v>
      </c>
      <c r="BM384" t="str" cm="1">
        <f t="array" ref="BM384">_xlfn.IFS(LEFT(G384,1)="L","外注品",LEFT(G384,1)="W","内製品",G384="","購買品")</f>
        <v>内製品</v>
      </c>
    </row>
    <row r="385" spans="1:65">
      <c r="A385" t="str">
        <f t="shared" si="51"/>
        <v>WG01</v>
      </c>
      <c r="B385" t="s">
        <v>504</v>
      </c>
      <c r="C385" t="s">
        <v>897</v>
      </c>
      <c r="D385" s="7"/>
      <c r="E385" s="7"/>
      <c r="G385" t="s">
        <v>1938</v>
      </c>
      <c r="H385" t="str" cm="1">
        <f t="array" ref="H385">IFERROR(_xlfn.IFS(B385="","",AND(B385="",G385=""),"",G385="","記載要"),"")</f>
        <v/>
      </c>
      <c r="K385" t="str">
        <f t="shared" si="52"/>
        <v>11WP00902611</v>
      </c>
      <c r="L385" s="3" t="str">
        <f t="shared" si="53"/>
        <v>2001/01/01</v>
      </c>
      <c r="M385" s="3" t="str">
        <f t="shared" si="54"/>
        <v>2199/12/31</v>
      </c>
      <c r="N385" t="str">
        <f t="shared" si="55"/>
        <v>11WP00902611</v>
      </c>
      <c r="O385">
        <v>5</v>
      </c>
      <c r="Q385" t="str" cm="1">
        <f t="array" ref="Q385">_xlfn.IFS(AND(C385="",G385=""),"",LEFT(G385,1)="L","記載要",LEFT(G385,1)="W","",AND(C385,G385=""),"記載要")</f>
        <v/>
      </c>
      <c r="R385" s="21" t="str">
        <f t="shared" si="60"/>
        <v/>
      </c>
      <c r="S385" s="21"/>
      <c r="Z385" s="8"/>
      <c r="AA385">
        <v>1</v>
      </c>
      <c r="AB385">
        <f t="shared" si="56"/>
        <v>0</v>
      </c>
      <c r="AC385">
        <v>1</v>
      </c>
      <c r="AF385">
        <v>1</v>
      </c>
      <c r="AG385" s="8"/>
      <c r="AH385" s="8"/>
      <c r="AK385" cm="1">
        <f t="array" ref="AK385">_xlfn.IFS(B385="","",LEFT(G385,1)="L",1,LEFT(G385,1)="W",1,AND(LEFT(B385,1)="H",G385=""),0)</f>
        <v>1</v>
      </c>
      <c r="AS385" t="str">
        <f t="shared" si="57"/>
        <v/>
      </c>
      <c r="AT385" t="s">
        <v>115</v>
      </c>
      <c r="AU385" t="str">
        <f t="shared" si="58"/>
        <v>0</v>
      </c>
      <c r="BD385" t="str">
        <f t="shared" si="59"/>
        <v>0</v>
      </c>
      <c r="BK385" t="str">
        <f>IFERROR(VLOOKUP(B385,'[1]model_S-フレーム'!$F$5:$R$7000,13,1),"")</f>
        <v>E353770_01</v>
      </c>
      <c r="BL385" s="7" t="str">
        <f>IFERROR(VLOOKUP(B385,'[1]model_S-フレーム'!$F$5:$V$7000,17,1),"")</f>
        <v>RX-10F</v>
      </c>
      <c r="BM385" t="str" cm="1">
        <f t="array" ref="BM385">_xlfn.IFS(LEFT(G385,1)="L","外注品",LEFT(G385,1)="W","内製品",G385="","購買品")</f>
        <v>内製品</v>
      </c>
    </row>
    <row r="386" spans="1:65">
      <c r="A386" t="str">
        <f t="shared" si="51"/>
        <v>WG01</v>
      </c>
      <c r="B386" t="s">
        <v>505</v>
      </c>
      <c r="C386" t="s">
        <v>897</v>
      </c>
      <c r="D386" s="7"/>
      <c r="E386" s="7"/>
      <c r="G386" t="s">
        <v>1938</v>
      </c>
      <c r="H386" t="str" cm="1">
        <f t="array" ref="H386">IFERROR(_xlfn.IFS(B386="","",AND(B386="",G386=""),"",G386="","記載要"),"")</f>
        <v/>
      </c>
      <c r="K386" t="str">
        <f t="shared" si="52"/>
        <v>11WP00902612</v>
      </c>
      <c r="L386" s="3" t="str">
        <f t="shared" si="53"/>
        <v>2001/01/01</v>
      </c>
      <c r="M386" s="3" t="str">
        <f t="shared" si="54"/>
        <v>2199/12/31</v>
      </c>
      <c r="N386" t="str">
        <f t="shared" si="55"/>
        <v>11WP00902612</v>
      </c>
      <c r="O386">
        <v>5</v>
      </c>
      <c r="Q386" t="str" cm="1">
        <f t="array" ref="Q386">_xlfn.IFS(AND(C386="",G386=""),"",LEFT(G386,1)="L","記載要",LEFT(G386,1)="W","",AND(C386,G386=""),"記載要")</f>
        <v/>
      </c>
      <c r="R386" s="21" t="str">
        <f t="shared" si="60"/>
        <v/>
      </c>
      <c r="S386" s="21"/>
      <c r="Z386" s="8"/>
      <c r="AA386">
        <v>1</v>
      </c>
      <c r="AB386">
        <f t="shared" si="56"/>
        <v>0</v>
      </c>
      <c r="AC386">
        <v>1</v>
      </c>
      <c r="AF386">
        <v>1</v>
      </c>
      <c r="AG386" s="8"/>
      <c r="AH386" s="8"/>
      <c r="AK386" cm="1">
        <f t="array" ref="AK386">_xlfn.IFS(B386="","",LEFT(G386,1)="L",1,LEFT(G386,1)="W",1,AND(LEFT(B386,1)="H",G386=""),0)</f>
        <v>1</v>
      </c>
      <c r="AS386" t="str">
        <f t="shared" si="57"/>
        <v/>
      </c>
      <c r="AT386" t="s">
        <v>115</v>
      </c>
      <c r="AU386" t="str">
        <f t="shared" si="58"/>
        <v>0</v>
      </c>
      <c r="BD386" t="str">
        <f t="shared" si="59"/>
        <v>0</v>
      </c>
      <c r="BK386" t="str">
        <f>IFERROR(VLOOKUP(B386,'[1]model_S-フレーム'!$F$5:$R$7000,13,1),"")</f>
        <v>E353770_01</v>
      </c>
      <c r="BL386" s="7" t="str">
        <f>IFERROR(VLOOKUP(B386,'[1]model_S-フレーム'!$F$5:$V$7000,17,1),"")</f>
        <v>RX-10F</v>
      </c>
      <c r="BM386" t="str" cm="1">
        <f t="array" ref="BM386">_xlfn.IFS(LEFT(G386,1)="L","外注品",LEFT(G386,1)="W","内製品",G386="","購買品")</f>
        <v>内製品</v>
      </c>
    </row>
    <row r="387" spans="1:65">
      <c r="A387" t="str">
        <f t="shared" ref="A387:A450" si="63">IF(B387="","","WG01")</f>
        <v>WG01</v>
      </c>
      <c r="B387" t="s">
        <v>506</v>
      </c>
      <c r="C387" t="s">
        <v>897</v>
      </c>
      <c r="D387" s="7"/>
      <c r="E387" s="7"/>
      <c r="G387" t="s">
        <v>1938</v>
      </c>
      <c r="H387" t="str" cm="1">
        <f t="array" ref="H387">IFERROR(_xlfn.IFS(B387="","",AND(B387="",G387=""),"",G387="","記載要"),"")</f>
        <v/>
      </c>
      <c r="K387" t="str">
        <f t="shared" ref="K387:K450" si="64">IF(G387="","","11"&amp;G387&amp;RIGHT(B387,5))</f>
        <v>11WP00902613</v>
      </c>
      <c r="L387" s="3" t="str">
        <f t="shared" ref="L387:L450" si="65">IF(B387="","","2001/01/01")</f>
        <v>2001/01/01</v>
      </c>
      <c r="M387" s="3" t="str">
        <f t="shared" ref="M387:M450" si="66">IF(C387="","","2199/12/31")</f>
        <v>2199/12/31</v>
      </c>
      <c r="N387" t="str">
        <f t="shared" ref="N387:N450" si="67">IF(LEFT(G387,1)="W",K387,"")</f>
        <v>11WP00902613</v>
      </c>
      <c r="O387">
        <v>5</v>
      </c>
      <c r="Q387" t="str" cm="1">
        <f t="array" ref="Q387">_xlfn.IFS(AND(C387="",G387=""),"",LEFT(G387,1)="L","記載要",LEFT(G387,1)="W","",AND(C387,G387=""),"記載要")</f>
        <v/>
      </c>
      <c r="R387" s="21" t="str">
        <f t="shared" si="60"/>
        <v/>
      </c>
      <c r="S387" s="21"/>
      <c r="Z387" s="8"/>
      <c r="AA387">
        <v>1</v>
      </c>
      <c r="AB387">
        <f t="shared" ref="AB387:AB450" si="68">IF(B387="","",0)</f>
        <v>0</v>
      </c>
      <c r="AC387">
        <v>1</v>
      </c>
      <c r="AF387">
        <v>1</v>
      </c>
      <c r="AG387" s="8"/>
      <c r="AH387" s="8"/>
      <c r="AK387" cm="1">
        <f t="array" ref="AK387">_xlfn.IFS(B387="","",LEFT(G387,1)="L",1,LEFT(G387,1)="W",1,AND(LEFT(B387,1)="H",G387=""),0)</f>
        <v>1</v>
      </c>
      <c r="AS387" t="str">
        <f t="shared" ref="AS387:AS450" si="69">IF(Q387="","",1)</f>
        <v/>
      </c>
      <c r="AT387" t="s">
        <v>115</v>
      </c>
      <c r="AU387" t="str">
        <f t="shared" ref="AU387:AU450" si="70">IF(B387="","","0")</f>
        <v>0</v>
      </c>
      <c r="BD387" t="str">
        <f t="shared" ref="BD387:BD450" si="71">IF(B387="","","0")</f>
        <v>0</v>
      </c>
      <c r="BK387" t="str">
        <f>IFERROR(VLOOKUP(B387,'[1]model_S-フレーム'!$F$5:$R$7000,13,1),"")</f>
        <v>E353770_01</v>
      </c>
      <c r="BL387" s="7" t="str">
        <f>IFERROR(VLOOKUP(B387,'[1]model_S-フレーム'!$F$5:$V$7000,17,1),"")</f>
        <v>RX-10F</v>
      </c>
      <c r="BM387" t="str" cm="1">
        <f t="array" ref="BM387">_xlfn.IFS(LEFT(G387,1)="L","外注品",LEFT(G387,1)="W","内製品",G387="","購買品")</f>
        <v>内製品</v>
      </c>
    </row>
    <row r="388" spans="1:65">
      <c r="A388" t="str">
        <f t="shared" si="63"/>
        <v>WG01</v>
      </c>
      <c r="B388" t="s">
        <v>507</v>
      </c>
      <c r="C388" t="s">
        <v>897</v>
      </c>
      <c r="D388" s="7"/>
      <c r="E388" s="7"/>
      <c r="G388" t="s">
        <v>1938</v>
      </c>
      <c r="H388" t="str" cm="1">
        <f t="array" ref="H388">IFERROR(_xlfn.IFS(B388="","",AND(B388="",G388=""),"",G388="","記載要"),"")</f>
        <v/>
      </c>
      <c r="K388" t="str">
        <f t="shared" si="64"/>
        <v>11WP00902614</v>
      </c>
      <c r="L388" s="3" t="str">
        <f t="shared" si="65"/>
        <v>2001/01/01</v>
      </c>
      <c r="M388" s="3" t="str">
        <f t="shared" si="66"/>
        <v>2199/12/31</v>
      </c>
      <c r="N388" t="str">
        <f t="shared" si="67"/>
        <v>11WP00902614</v>
      </c>
      <c r="O388">
        <v>5</v>
      </c>
      <c r="Q388" t="str" cm="1">
        <f t="array" ref="Q388">_xlfn.IFS(AND(C388="",G388=""),"",LEFT(G388,1)="L","記載要",LEFT(G388,1)="W","",AND(C388,G388=""),"記載要")</f>
        <v/>
      </c>
      <c r="R388" s="21" t="str">
        <f t="shared" ref="R388:R451" si="72">IF(H388="","","記載要")</f>
        <v/>
      </c>
      <c r="S388" s="21"/>
      <c r="Z388" s="8"/>
      <c r="AA388">
        <v>1</v>
      </c>
      <c r="AB388">
        <f t="shared" si="68"/>
        <v>0</v>
      </c>
      <c r="AC388">
        <v>1</v>
      </c>
      <c r="AF388">
        <v>1</v>
      </c>
      <c r="AG388" s="8"/>
      <c r="AH388" s="8"/>
      <c r="AK388" cm="1">
        <f t="array" ref="AK388">_xlfn.IFS(B388="","",LEFT(G388,1)="L",1,LEFT(G388,1)="W",1,AND(LEFT(B388,1)="H",G388=""),0)</f>
        <v>1</v>
      </c>
      <c r="AS388" t="str">
        <f t="shared" si="69"/>
        <v/>
      </c>
      <c r="AT388" t="s">
        <v>115</v>
      </c>
      <c r="AU388" t="str">
        <f t="shared" si="70"/>
        <v>0</v>
      </c>
      <c r="BD388" t="str">
        <f t="shared" si="71"/>
        <v>0</v>
      </c>
      <c r="BK388" t="str">
        <f>IFERROR(VLOOKUP(B388,'[1]model_S-フレーム'!$F$5:$R$7000,13,1),"")</f>
        <v>E353770_01</v>
      </c>
      <c r="BL388" s="7" t="str">
        <f>IFERROR(VLOOKUP(B388,'[1]model_S-フレーム'!$F$5:$V$7000,17,1),"")</f>
        <v>RX-10F</v>
      </c>
      <c r="BM388" t="str" cm="1">
        <f t="array" ref="BM388">_xlfn.IFS(LEFT(G388,1)="L","外注品",LEFT(G388,1)="W","内製品",G388="","購買品")</f>
        <v>内製品</v>
      </c>
    </row>
    <row r="389" spans="1:65">
      <c r="A389" t="str">
        <f t="shared" si="63"/>
        <v>WG01</v>
      </c>
      <c r="B389" t="s">
        <v>508</v>
      </c>
      <c r="C389" t="s">
        <v>898</v>
      </c>
      <c r="D389" s="7"/>
      <c r="E389" s="7"/>
      <c r="G389" t="s">
        <v>1938</v>
      </c>
      <c r="H389" t="str" cm="1">
        <f t="array" ref="H389">IFERROR(_xlfn.IFS(B389="","",AND(B389="",G389=""),"",G389="","記載要"),"")</f>
        <v/>
      </c>
      <c r="K389" t="str">
        <f t="shared" si="64"/>
        <v>11WP00902615</v>
      </c>
      <c r="L389" s="3" t="str">
        <f t="shared" si="65"/>
        <v>2001/01/01</v>
      </c>
      <c r="M389" s="3" t="str">
        <f t="shared" si="66"/>
        <v>2199/12/31</v>
      </c>
      <c r="N389" t="str">
        <f t="shared" si="67"/>
        <v>11WP00902615</v>
      </c>
      <c r="O389">
        <v>5</v>
      </c>
      <c r="Q389" t="str" cm="1">
        <f t="array" ref="Q389">_xlfn.IFS(AND(C389="",G389=""),"",LEFT(G389,1)="L","記載要",LEFT(G389,1)="W","",AND(C389,G389=""),"記載要")</f>
        <v/>
      </c>
      <c r="R389" s="21" t="str">
        <f t="shared" si="72"/>
        <v/>
      </c>
      <c r="S389" s="21"/>
      <c r="Z389" s="8"/>
      <c r="AA389">
        <v>1</v>
      </c>
      <c r="AB389">
        <f t="shared" si="68"/>
        <v>0</v>
      </c>
      <c r="AC389">
        <v>1</v>
      </c>
      <c r="AF389">
        <v>1</v>
      </c>
      <c r="AG389" s="8"/>
      <c r="AH389" s="8"/>
      <c r="AK389" cm="1">
        <f t="array" ref="AK389">_xlfn.IFS(B389="","",LEFT(G389,1)="L",1,LEFT(G389,1)="W",1,AND(LEFT(B389,1)="H",G389=""),0)</f>
        <v>1</v>
      </c>
      <c r="AS389" t="str">
        <f t="shared" si="69"/>
        <v/>
      </c>
      <c r="AT389" t="s">
        <v>115</v>
      </c>
      <c r="AU389" t="str">
        <f t="shared" si="70"/>
        <v>0</v>
      </c>
      <c r="BD389" t="str">
        <f t="shared" si="71"/>
        <v>0</v>
      </c>
      <c r="BK389" t="str">
        <f>IFERROR(VLOOKUP(B389,'[1]model_S-フレーム'!$F$5:$R$7000,13,1),"")</f>
        <v>E353770_01</v>
      </c>
      <c r="BL389" s="7" t="str">
        <f>IFERROR(VLOOKUP(B389,'[1]model_S-フレーム'!$F$5:$V$7000,17,1),"")</f>
        <v>RX-10F</v>
      </c>
      <c r="BM389" t="str" cm="1">
        <f t="array" ref="BM389">_xlfn.IFS(LEFT(G389,1)="L","外注品",LEFT(G389,1)="W","内製品",G389="","購買品")</f>
        <v>内製品</v>
      </c>
    </row>
    <row r="390" spans="1:65">
      <c r="A390" t="str">
        <f t="shared" si="63"/>
        <v>WG01</v>
      </c>
      <c r="B390" t="s">
        <v>509</v>
      </c>
      <c r="C390" t="s">
        <v>898</v>
      </c>
      <c r="D390" s="7"/>
      <c r="E390" s="7"/>
      <c r="G390" t="s">
        <v>1938</v>
      </c>
      <c r="H390" t="str" cm="1">
        <f t="array" ref="H390">IFERROR(_xlfn.IFS(B390="","",AND(B390="",G390=""),"",G390="","記載要"),"")</f>
        <v/>
      </c>
      <c r="K390" t="str">
        <f t="shared" si="64"/>
        <v>11WP00902616</v>
      </c>
      <c r="L390" s="3" t="str">
        <f t="shared" si="65"/>
        <v>2001/01/01</v>
      </c>
      <c r="M390" s="3" t="str">
        <f t="shared" si="66"/>
        <v>2199/12/31</v>
      </c>
      <c r="N390" t="str">
        <f t="shared" si="67"/>
        <v>11WP00902616</v>
      </c>
      <c r="O390">
        <v>5</v>
      </c>
      <c r="Q390" t="str" cm="1">
        <f t="array" ref="Q390">_xlfn.IFS(AND(C390="",G390=""),"",LEFT(G390,1)="L","記載要",LEFT(G390,1)="W","",AND(C390,G390=""),"記載要")</f>
        <v/>
      </c>
      <c r="R390" s="21" t="str">
        <f t="shared" si="72"/>
        <v/>
      </c>
      <c r="S390" s="21"/>
      <c r="Z390" s="8"/>
      <c r="AA390">
        <v>1</v>
      </c>
      <c r="AB390">
        <f t="shared" si="68"/>
        <v>0</v>
      </c>
      <c r="AC390">
        <v>1</v>
      </c>
      <c r="AF390">
        <v>1</v>
      </c>
      <c r="AG390" s="8"/>
      <c r="AH390" s="8"/>
      <c r="AK390" cm="1">
        <f t="array" ref="AK390">_xlfn.IFS(B390="","",LEFT(G390,1)="L",1,LEFT(G390,1)="W",1,AND(LEFT(B390,1)="H",G390=""),0)</f>
        <v>1</v>
      </c>
      <c r="AS390" t="str">
        <f t="shared" si="69"/>
        <v/>
      </c>
      <c r="AT390" t="s">
        <v>115</v>
      </c>
      <c r="AU390" t="str">
        <f t="shared" si="70"/>
        <v>0</v>
      </c>
      <c r="BD390" t="str">
        <f t="shared" si="71"/>
        <v>0</v>
      </c>
      <c r="BK390" t="str">
        <f>IFERROR(VLOOKUP(B390,'[1]model_S-フレーム'!$F$5:$R$7000,13,1),"")</f>
        <v>E353770_01</v>
      </c>
      <c r="BL390" s="7" t="str">
        <f>IFERROR(VLOOKUP(B390,'[1]model_S-フレーム'!$F$5:$V$7000,17,1),"")</f>
        <v>RX-10F</v>
      </c>
      <c r="BM390" t="str" cm="1">
        <f t="array" ref="BM390">_xlfn.IFS(LEFT(G390,1)="L","外注品",LEFT(G390,1)="W","内製品",G390="","購買品")</f>
        <v>内製品</v>
      </c>
    </row>
    <row r="391" spans="1:65">
      <c r="A391" t="str">
        <f t="shared" si="63"/>
        <v>WG01</v>
      </c>
      <c r="B391" t="s">
        <v>510</v>
      </c>
      <c r="C391" t="s">
        <v>898</v>
      </c>
      <c r="D391" s="7"/>
      <c r="E391" s="7"/>
      <c r="G391" t="s">
        <v>1938</v>
      </c>
      <c r="H391" t="str" cm="1">
        <f t="array" ref="H391">IFERROR(_xlfn.IFS(B391="","",AND(B391="",G391=""),"",G391="","記載要"),"")</f>
        <v/>
      </c>
      <c r="K391" t="str">
        <f t="shared" si="64"/>
        <v>11WP00902617</v>
      </c>
      <c r="L391" s="3" t="str">
        <f t="shared" si="65"/>
        <v>2001/01/01</v>
      </c>
      <c r="M391" s="3" t="str">
        <f t="shared" si="66"/>
        <v>2199/12/31</v>
      </c>
      <c r="N391" t="str">
        <f t="shared" si="67"/>
        <v>11WP00902617</v>
      </c>
      <c r="O391">
        <v>5</v>
      </c>
      <c r="Q391" t="str" cm="1">
        <f t="array" ref="Q391">_xlfn.IFS(AND(C391="",G391=""),"",LEFT(G391,1)="L","記載要",LEFT(G391,1)="W","",AND(C391,G391=""),"記載要")</f>
        <v/>
      </c>
      <c r="R391" s="21" t="str">
        <f t="shared" si="72"/>
        <v/>
      </c>
      <c r="S391" s="21"/>
      <c r="Z391" s="8"/>
      <c r="AA391">
        <v>1</v>
      </c>
      <c r="AB391">
        <f t="shared" si="68"/>
        <v>0</v>
      </c>
      <c r="AC391">
        <v>1</v>
      </c>
      <c r="AF391">
        <v>1</v>
      </c>
      <c r="AG391" s="8"/>
      <c r="AH391" s="8"/>
      <c r="AK391" cm="1">
        <f t="array" ref="AK391">_xlfn.IFS(B391="","",LEFT(G391,1)="L",1,LEFT(G391,1)="W",1,AND(LEFT(B391,1)="H",G391=""),0)</f>
        <v>1</v>
      </c>
      <c r="AS391" t="str">
        <f t="shared" si="69"/>
        <v/>
      </c>
      <c r="AT391" t="s">
        <v>115</v>
      </c>
      <c r="AU391" t="str">
        <f t="shared" si="70"/>
        <v>0</v>
      </c>
      <c r="BD391" t="str">
        <f t="shared" si="71"/>
        <v>0</v>
      </c>
      <c r="BK391" t="str">
        <f>IFERROR(VLOOKUP(B391,'[1]model_S-フレーム'!$F$5:$R$7000,13,1),"")</f>
        <v>E353770_01</v>
      </c>
      <c r="BL391" s="7" t="str">
        <f>IFERROR(VLOOKUP(B391,'[1]model_S-フレーム'!$F$5:$V$7000,17,1),"")</f>
        <v>RX-10F</v>
      </c>
      <c r="BM391" t="str" cm="1">
        <f t="array" ref="BM391">_xlfn.IFS(LEFT(G391,1)="L","外注品",LEFT(G391,1)="W","内製品",G391="","購買品")</f>
        <v>内製品</v>
      </c>
    </row>
    <row r="392" spans="1:65">
      <c r="A392" t="str">
        <f t="shared" si="63"/>
        <v>WG01</v>
      </c>
      <c r="B392" t="s">
        <v>511</v>
      </c>
      <c r="C392" t="s">
        <v>898</v>
      </c>
      <c r="D392" s="7"/>
      <c r="E392" s="7"/>
      <c r="G392" t="s">
        <v>1938</v>
      </c>
      <c r="H392" t="str" cm="1">
        <f t="array" ref="H392">IFERROR(_xlfn.IFS(B392="","",AND(B392="",G392=""),"",G392="","記載要"),"")</f>
        <v/>
      </c>
      <c r="K392" t="str">
        <f t="shared" si="64"/>
        <v>11WP00902618</v>
      </c>
      <c r="L392" s="3" t="str">
        <f t="shared" si="65"/>
        <v>2001/01/01</v>
      </c>
      <c r="M392" s="3" t="str">
        <f t="shared" si="66"/>
        <v>2199/12/31</v>
      </c>
      <c r="N392" t="str">
        <f t="shared" si="67"/>
        <v>11WP00902618</v>
      </c>
      <c r="O392">
        <v>5</v>
      </c>
      <c r="Q392" t="str" cm="1">
        <f t="array" ref="Q392">_xlfn.IFS(AND(C392="",G392=""),"",LEFT(G392,1)="L","記載要",LEFT(G392,1)="W","",AND(C392,G392=""),"記載要")</f>
        <v/>
      </c>
      <c r="R392" s="21" t="str">
        <f t="shared" si="72"/>
        <v/>
      </c>
      <c r="S392" s="21"/>
      <c r="Z392" s="8"/>
      <c r="AA392">
        <v>1</v>
      </c>
      <c r="AB392">
        <f t="shared" si="68"/>
        <v>0</v>
      </c>
      <c r="AC392">
        <v>1</v>
      </c>
      <c r="AF392">
        <v>1</v>
      </c>
      <c r="AG392" s="8"/>
      <c r="AH392" s="8"/>
      <c r="AK392" cm="1">
        <f t="array" ref="AK392">_xlfn.IFS(B392="","",LEFT(G392,1)="L",1,LEFT(G392,1)="W",1,AND(LEFT(B392,1)="H",G392=""),0)</f>
        <v>1</v>
      </c>
      <c r="AS392" t="str">
        <f t="shared" si="69"/>
        <v/>
      </c>
      <c r="AT392" t="s">
        <v>115</v>
      </c>
      <c r="AU392" t="str">
        <f t="shared" si="70"/>
        <v>0</v>
      </c>
      <c r="BD392" t="str">
        <f t="shared" si="71"/>
        <v>0</v>
      </c>
      <c r="BK392" t="str">
        <f>IFERROR(VLOOKUP(B392,'[1]model_S-フレーム'!$F$5:$R$7000,13,1),"")</f>
        <v>E353770_01</v>
      </c>
      <c r="BL392" s="7" t="str">
        <f>IFERROR(VLOOKUP(B392,'[1]model_S-フレーム'!$F$5:$V$7000,17,1),"")</f>
        <v>RX-10F</v>
      </c>
      <c r="BM392" t="str" cm="1">
        <f t="array" ref="BM392">_xlfn.IFS(LEFT(G392,1)="L","外注品",LEFT(G392,1)="W","内製品",G392="","購買品")</f>
        <v>内製品</v>
      </c>
    </row>
    <row r="393" spans="1:65">
      <c r="A393" t="str">
        <f t="shared" si="63"/>
        <v>WG01</v>
      </c>
      <c r="B393" t="s">
        <v>512</v>
      </c>
      <c r="C393" t="s">
        <v>898</v>
      </c>
      <c r="D393" s="7"/>
      <c r="E393" s="7"/>
      <c r="G393" t="s">
        <v>1938</v>
      </c>
      <c r="H393" t="str" cm="1">
        <f t="array" ref="H393">IFERROR(_xlfn.IFS(B393="","",AND(B393="",G393=""),"",G393="","記載要"),"")</f>
        <v/>
      </c>
      <c r="K393" t="str">
        <f t="shared" si="64"/>
        <v>11WP00902619</v>
      </c>
      <c r="L393" s="3" t="str">
        <f t="shared" si="65"/>
        <v>2001/01/01</v>
      </c>
      <c r="M393" s="3" t="str">
        <f t="shared" si="66"/>
        <v>2199/12/31</v>
      </c>
      <c r="N393" t="str">
        <f t="shared" si="67"/>
        <v>11WP00902619</v>
      </c>
      <c r="O393">
        <v>5</v>
      </c>
      <c r="Q393" t="str" cm="1">
        <f t="array" ref="Q393">_xlfn.IFS(AND(C393="",G393=""),"",LEFT(G393,1)="L","記載要",LEFT(G393,1)="W","",AND(C393,G393=""),"記載要")</f>
        <v/>
      </c>
      <c r="R393" s="21" t="str">
        <f t="shared" si="72"/>
        <v/>
      </c>
      <c r="S393" s="21"/>
      <c r="Z393" s="8"/>
      <c r="AA393">
        <v>1</v>
      </c>
      <c r="AB393">
        <f t="shared" si="68"/>
        <v>0</v>
      </c>
      <c r="AC393">
        <v>1</v>
      </c>
      <c r="AF393">
        <v>1</v>
      </c>
      <c r="AG393" s="8"/>
      <c r="AH393" s="8"/>
      <c r="AK393" cm="1">
        <f t="array" ref="AK393">_xlfn.IFS(B393="","",LEFT(G393,1)="L",1,LEFT(G393,1)="W",1,AND(LEFT(B393,1)="H",G393=""),0)</f>
        <v>1</v>
      </c>
      <c r="AS393" t="str">
        <f t="shared" si="69"/>
        <v/>
      </c>
      <c r="AT393" t="s">
        <v>115</v>
      </c>
      <c r="AU393" t="str">
        <f t="shared" si="70"/>
        <v>0</v>
      </c>
      <c r="BD393" t="str">
        <f t="shared" si="71"/>
        <v>0</v>
      </c>
      <c r="BK393" t="str">
        <f>IFERROR(VLOOKUP(B393,'[1]model_S-フレーム'!$F$5:$R$7000,13,1),"")</f>
        <v>E353770_01</v>
      </c>
      <c r="BL393" s="7" t="str">
        <f>IFERROR(VLOOKUP(B393,'[1]model_S-フレーム'!$F$5:$V$7000,17,1),"")</f>
        <v>RX-10F</v>
      </c>
      <c r="BM393" t="str" cm="1">
        <f t="array" ref="BM393">_xlfn.IFS(LEFT(G393,1)="L","外注品",LEFT(G393,1)="W","内製品",G393="","購買品")</f>
        <v>内製品</v>
      </c>
    </row>
    <row r="394" spans="1:65">
      <c r="A394" t="str">
        <f t="shared" si="63"/>
        <v>WG01</v>
      </c>
      <c r="B394" t="s">
        <v>513</v>
      </c>
      <c r="C394" t="s">
        <v>898</v>
      </c>
      <c r="D394" s="7"/>
      <c r="E394" s="7"/>
      <c r="G394" t="s">
        <v>1938</v>
      </c>
      <c r="H394" t="str" cm="1">
        <f t="array" ref="H394">IFERROR(_xlfn.IFS(B394="","",AND(B394="",G394=""),"",G394="","記載要"),"")</f>
        <v/>
      </c>
      <c r="K394" t="str">
        <f t="shared" si="64"/>
        <v>11WP00902620</v>
      </c>
      <c r="L394" s="3" t="str">
        <f t="shared" si="65"/>
        <v>2001/01/01</v>
      </c>
      <c r="M394" s="3" t="str">
        <f t="shared" si="66"/>
        <v>2199/12/31</v>
      </c>
      <c r="N394" t="str">
        <f t="shared" si="67"/>
        <v>11WP00902620</v>
      </c>
      <c r="O394">
        <v>5</v>
      </c>
      <c r="Q394" t="str" cm="1">
        <f t="array" ref="Q394">_xlfn.IFS(AND(C394="",G394=""),"",LEFT(G394,1)="L","記載要",LEFT(G394,1)="W","",AND(C394,G394=""),"記載要")</f>
        <v/>
      </c>
      <c r="R394" s="21" t="str">
        <f t="shared" si="72"/>
        <v/>
      </c>
      <c r="S394" s="21"/>
      <c r="Z394" s="8"/>
      <c r="AA394">
        <v>1</v>
      </c>
      <c r="AB394">
        <f t="shared" si="68"/>
        <v>0</v>
      </c>
      <c r="AC394">
        <v>1</v>
      </c>
      <c r="AF394">
        <v>1</v>
      </c>
      <c r="AG394" s="8"/>
      <c r="AH394" s="8"/>
      <c r="AK394" cm="1">
        <f t="array" ref="AK394">_xlfn.IFS(B394="","",LEFT(G394,1)="L",1,LEFT(G394,1)="W",1,AND(LEFT(B394,1)="H",G394=""),0)</f>
        <v>1</v>
      </c>
      <c r="AS394" t="str">
        <f t="shared" si="69"/>
        <v/>
      </c>
      <c r="AT394" t="s">
        <v>115</v>
      </c>
      <c r="AU394" t="str">
        <f t="shared" si="70"/>
        <v>0</v>
      </c>
      <c r="BD394" t="str">
        <f t="shared" si="71"/>
        <v>0</v>
      </c>
      <c r="BK394" t="str">
        <f>IFERROR(VLOOKUP(B394,'[1]model_S-フレーム'!$F$5:$R$7000,13,1),"")</f>
        <v>E353770_01</v>
      </c>
      <c r="BL394" s="7" t="str">
        <f>IFERROR(VLOOKUP(B394,'[1]model_S-フレーム'!$F$5:$V$7000,17,1),"")</f>
        <v>RX-10F</v>
      </c>
      <c r="BM394" t="str" cm="1">
        <f t="array" ref="BM394">_xlfn.IFS(LEFT(G394,1)="L","外注品",LEFT(G394,1)="W","内製品",G394="","購買品")</f>
        <v>内製品</v>
      </c>
    </row>
    <row r="395" spans="1:65">
      <c r="A395" t="str">
        <f t="shared" si="63"/>
        <v>WG01</v>
      </c>
      <c r="B395" t="s">
        <v>514</v>
      </c>
      <c r="C395" t="s">
        <v>898</v>
      </c>
      <c r="D395" s="7"/>
      <c r="E395" s="7"/>
      <c r="G395" t="s">
        <v>1938</v>
      </c>
      <c r="H395" t="str" cm="1">
        <f t="array" ref="H395">IFERROR(_xlfn.IFS(B395="","",AND(B395="",G395=""),"",G395="","記載要"),"")</f>
        <v/>
      </c>
      <c r="K395" t="str">
        <f t="shared" si="64"/>
        <v>11WP00902621</v>
      </c>
      <c r="L395" s="3" t="str">
        <f t="shared" si="65"/>
        <v>2001/01/01</v>
      </c>
      <c r="M395" s="3" t="str">
        <f t="shared" si="66"/>
        <v>2199/12/31</v>
      </c>
      <c r="N395" t="str">
        <f t="shared" si="67"/>
        <v>11WP00902621</v>
      </c>
      <c r="O395">
        <v>5</v>
      </c>
      <c r="Q395" t="str" cm="1">
        <f t="array" ref="Q395">_xlfn.IFS(AND(C395="",G395=""),"",LEFT(G395,1)="L","記載要",LEFT(G395,1)="W","",AND(C395,G395=""),"記載要")</f>
        <v/>
      </c>
      <c r="R395" s="21" t="str">
        <f t="shared" si="72"/>
        <v/>
      </c>
      <c r="S395" s="21"/>
      <c r="Z395" s="8"/>
      <c r="AA395">
        <v>1</v>
      </c>
      <c r="AB395">
        <f t="shared" si="68"/>
        <v>0</v>
      </c>
      <c r="AC395">
        <v>1</v>
      </c>
      <c r="AF395">
        <v>1</v>
      </c>
      <c r="AG395" s="8"/>
      <c r="AH395" s="8"/>
      <c r="AK395" cm="1">
        <f t="array" ref="AK395">_xlfn.IFS(B395="","",LEFT(G395,1)="L",1,LEFT(G395,1)="W",1,AND(LEFT(B395,1)="H",G395=""),0)</f>
        <v>1</v>
      </c>
      <c r="AS395" t="str">
        <f t="shared" si="69"/>
        <v/>
      </c>
      <c r="AT395" t="s">
        <v>115</v>
      </c>
      <c r="AU395" t="str">
        <f t="shared" si="70"/>
        <v>0</v>
      </c>
      <c r="BD395" t="str">
        <f t="shared" si="71"/>
        <v>0</v>
      </c>
      <c r="BK395" t="str">
        <f>IFERROR(VLOOKUP(B395,'[1]model_S-フレーム'!$F$5:$R$7000,13,1),"")</f>
        <v>E353770_01</v>
      </c>
      <c r="BL395" s="7" t="str">
        <f>IFERROR(VLOOKUP(B395,'[1]model_S-フレーム'!$F$5:$V$7000,17,1),"")</f>
        <v>RX-10F</v>
      </c>
      <c r="BM395" t="str" cm="1">
        <f t="array" ref="BM395">_xlfn.IFS(LEFT(G395,1)="L","外注品",LEFT(G395,1)="W","内製品",G395="","購買品")</f>
        <v>内製品</v>
      </c>
    </row>
    <row r="396" spans="1:65">
      <c r="A396" t="str">
        <f t="shared" si="63"/>
        <v>WG01</v>
      </c>
      <c r="B396" t="s">
        <v>515</v>
      </c>
      <c r="C396" t="s">
        <v>898</v>
      </c>
      <c r="D396" s="7"/>
      <c r="E396" s="7"/>
      <c r="G396" t="s">
        <v>1938</v>
      </c>
      <c r="H396" t="str" cm="1">
        <f t="array" ref="H396">IFERROR(_xlfn.IFS(B396="","",AND(B396="",G396=""),"",G396="","記載要"),"")</f>
        <v/>
      </c>
      <c r="K396" t="str">
        <f t="shared" si="64"/>
        <v>11WP00902622</v>
      </c>
      <c r="L396" s="3" t="str">
        <f t="shared" si="65"/>
        <v>2001/01/01</v>
      </c>
      <c r="M396" s="3" t="str">
        <f t="shared" si="66"/>
        <v>2199/12/31</v>
      </c>
      <c r="N396" t="str">
        <f t="shared" si="67"/>
        <v>11WP00902622</v>
      </c>
      <c r="O396">
        <v>5</v>
      </c>
      <c r="Q396" t="str" cm="1">
        <f t="array" ref="Q396">_xlfn.IFS(AND(C396="",G396=""),"",LEFT(G396,1)="L","記載要",LEFT(G396,1)="W","",AND(C396,G396=""),"記載要")</f>
        <v/>
      </c>
      <c r="R396" s="21" t="str">
        <f t="shared" si="72"/>
        <v/>
      </c>
      <c r="S396" s="21"/>
      <c r="Z396" s="8"/>
      <c r="AA396">
        <v>1</v>
      </c>
      <c r="AB396">
        <f t="shared" si="68"/>
        <v>0</v>
      </c>
      <c r="AC396">
        <v>1</v>
      </c>
      <c r="AF396">
        <v>1</v>
      </c>
      <c r="AG396" s="8"/>
      <c r="AH396" s="8"/>
      <c r="AK396" cm="1">
        <f t="array" ref="AK396">_xlfn.IFS(B396="","",LEFT(G396,1)="L",1,LEFT(G396,1)="W",1,AND(LEFT(B396,1)="H",G396=""),0)</f>
        <v>1</v>
      </c>
      <c r="AS396" t="str">
        <f t="shared" si="69"/>
        <v/>
      </c>
      <c r="AT396" t="s">
        <v>115</v>
      </c>
      <c r="AU396" t="str">
        <f t="shared" si="70"/>
        <v>0</v>
      </c>
      <c r="BD396" t="str">
        <f t="shared" si="71"/>
        <v>0</v>
      </c>
      <c r="BK396" t="str">
        <f>IFERROR(VLOOKUP(B396,'[1]model_S-フレーム'!$F$5:$R$7000,13,1),"")</f>
        <v>E353770_01</v>
      </c>
      <c r="BL396" s="7" t="str">
        <f>IFERROR(VLOOKUP(B396,'[1]model_S-フレーム'!$F$5:$V$7000,17,1),"")</f>
        <v>RX-10F</v>
      </c>
      <c r="BM396" t="str" cm="1">
        <f t="array" ref="BM396">_xlfn.IFS(LEFT(G396,1)="L","外注品",LEFT(G396,1)="W","内製品",G396="","購買品")</f>
        <v>内製品</v>
      </c>
    </row>
    <row r="397" spans="1:65">
      <c r="A397" t="str">
        <f t="shared" si="63"/>
        <v>WG01</v>
      </c>
      <c r="B397" t="s">
        <v>516</v>
      </c>
      <c r="C397" t="s">
        <v>898</v>
      </c>
      <c r="D397" s="7"/>
      <c r="E397" s="7"/>
      <c r="G397" t="s">
        <v>1938</v>
      </c>
      <c r="H397" t="str" cm="1">
        <f t="array" ref="H397">IFERROR(_xlfn.IFS(B397="","",AND(B397="",G397=""),"",G397="","記載要"),"")</f>
        <v/>
      </c>
      <c r="K397" t="str">
        <f t="shared" si="64"/>
        <v>11WP00902623</v>
      </c>
      <c r="L397" s="3" t="str">
        <f t="shared" si="65"/>
        <v>2001/01/01</v>
      </c>
      <c r="M397" s="3" t="str">
        <f t="shared" si="66"/>
        <v>2199/12/31</v>
      </c>
      <c r="N397" t="str">
        <f t="shared" si="67"/>
        <v>11WP00902623</v>
      </c>
      <c r="O397">
        <v>5</v>
      </c>
      <c r="Q397" t="str" cm="1">
        <f t="array" ref="Q397">_xlfn.IFS(AND(C397="",G397=""),"",LEFT(G397,1)="L","記載要",LEFT(G397,1)="W","",AND(C397,G397=""),"記載要")</f>
        <v/>
      </c>
      <c r="R397" s="21" t="str">
        <f t="shared" si="72"/>
        <v/>
      </c>
      <c r="S397" s="21"/>
      <c r="Z397" s="8"/>
      <c r="AA397">
        <v>1</v>
      </c>
      <c r="AB397">
        <f t="shared" si="68"/>
        <v>0</v>
      </c>
      <c r="AC397">
        <v>1</v>
      </c>
      <c r="AF397">
        <v>1</v>
      </c>
      <c r="AG397" s="8"/>
      <c r="AH397" s="8"/>
      <c r="AK397" cm="1">
        <f t="array" ref="AK397">_xlfn.IFS(B397="","",LEFT(G397,1)="L",1,LEFT(G397,1)="W",1,AND(LEFT(B397,1)="H",G397=""),0)</f>
        <v>1</v>
      </c>
      <c r="AS397" t="str">
        <f t="shared" si="69"/>
        <v/>
      </c>
      <c r="AT397" t="s">
        <v>115</v>
      </c>
      <c r="AU397" t="str">
        <f t="shared" si="70"/>
        <v>0</v>
      </c>
      <c r="BD397" t="str">
        <f t="shared" si="71"/>
        <v>0</v>
      </c>
      <c r="BK397" t="str">
        <f>IFERROR(VLOOKUP(B397,'[1]model_S-フレーム'!$F$5:$R$7000,13,1),"")</f>
        <v>E353770_01</v>
      </c>
      <c r="BL397" s="7" t="str">
        <f>IFERROR(VLOOKUP(B397,'[1]model_S-フレーム'!$F$5:$V$7000,17,1),"")</f>
        <v>RX-10F</v>
      </c>
      <c r="BM397" t="str" cm="1">
        <f t="array" ref="BM397">_xlfn.IFS(LEFT(G397,1)="L","外注品",LEFT(G397,1)="W","内製品",G397="","購買品")</f>
        <v>内製品</v>
      </c>
    </row>
    <row r="398" spans="1:65">
      <c r="A398" t="str">
        <f t="shared" si="63"/>
        <v>WG01</v>
      </c>
      <c r="B398" t="s">
        <v>517</v>
      </c>
      <c r="C398" t="s">
        <v>899</v>
      </c>
      <c r="D398" s="7"/>
      <c r="E398" s="7"/>
      <c r="G398" t="s">
        <v>1938</v>
      </c>
      <c r="H398" t="str" cm="1">
        <f t="array" ref="H398">IFERROR(_xlfn.IFS(B398="","",AND(B398="",G398=""),"",G398="","記載要"),"")</f>
        <v/>
      </c>
      <c r="K398" t="str">
        <f t="shared" si="64"/>
        <v>11WP00902624</v>
      </c>
      <c r="L398" s="3" t="str">
        <f t="shared" si="65"/>
        <v>2001/01/01</v>
      </c>
      <c r="M398" s="3" t="str">
        <f t="shared" si="66"/>
        <v>2199/12/31</v>
      </c>
      <c r="N398" t="str">
        <f t="shared" si="67"/>
        <v>11WP00902624</v>
      </c>
      <c r="O398">
        <v>5</v>
      </c>
      <c r="Q398" t="str" cm="1">
        <f t="array" ref="Q398">_xlfn.IFS(AND(C398="",G398=""),"",LEFT(G398,1)="L","記載要",LEFT(G398,1)="W","",AND(C398,G398=""),"記載要")</f>
        <v/>
      </c>
      <c r="R398" s="21" t="str">
        <f t="shared" si="72"/>
        <v/>
      </c>
      <c r="S398" s="21"/>
      <c r="Z398" s="8"/>
      <c r="AA398">
        <v>1</v>
      </c>
      <c r="AB398">
        <f t="shared" si="68"/>
        <v>0</v>
      </c>
      <c r="AC398">
        <v>1</v>
      </c>
      <c r="AF398">
        <v>1</v>
      </c>
      <c r="AG398" s="8"/>
      <c r="AH398" s="8"/>
      <c r="AK398" cm="1">
        <f t="array" ref="AK398">_xlfn.IFS(B398="","",LEFT(G398,1)="L",1,LEFT(G398,1)="W",1,AND(LEFT(B398,1)="H",G398=""),0)</f>
        <v>1</v>
      </c>
      <c r="AS398" t="str">
        <f t="shared" si="69"/>
        <v/>
      </c>
      <c r="AT398" t="s">
        <v>115</v>
      </c>
      <c r="AU398" t="str">
        <f t="shared" si="70"/>
        <v>0</v>
      </c>
      <c r="BD398" t="str">
        <f t="shared" si="71"/>
        <v>0</v>
      </c>
      <c r="BK398" t="str">
        <f>IFERROR(VLOOKUP(B398,'[1]model_S-フレーム'!$F$5:$R$7000,13,1),"")</f>
        <v>E353770_01</v>
      </c>
      <c r="BL398" s="7" t="str">
        <f>IFERROR(VLOOKUP(B398,'[1]model_S-フレーム'!$F$5:$V$7000,17,1),"")</f>
        <v>RX-10F</v>
      </c>
      <c r="BM398" t="str" cm="1">
        <f t="array" ref="BM398">_xlfn.IFS(LEFT(G398,1)="L","外注品",LEFT(G398,1)="W","内製品",G398="","購買品")</f>
        <v>内製品</v>
      </c>
    </row>
    <row r="399" spans="1:65">
      <c r="A399" t="str">
        <f t="shared" si="63"/>
        <v>WG01</v>
      </c>
      <c r="B399" t="s">
        <v>518</v>
      </c>
      <c r="C399" t="s">
        <v>899</v>
      </c>
      <c r="D399" s="7"/>
      <c r="E399" s="7"/>
      <c r="G399" t="s">
        <v>1938</v>
      </c>
      <c r="H399" t="str" cm="1">
        <f t="array" ref="H399">IFERROR(_xlfn.IFS(B399="","",AND(B399="",G399=""),"",G399="","記載要"),"")</f>
        <v/>
      </c>
      <c r="K399" t="str">
        <f t="shared" si="64"/>
        <v>11WP00902625</v>
      </c>
      <c r="L399" s="3" t="str">
        <f t="shared" si="65"/>
        <v>2001/01/01</v>
      </c>
      <c r="M399" s="3" t="str">
        <f t="shared" si="66"/>
        <v>2199/12/31</v>
      </c>
      <c r="N399" t="str">
        <f t="shared" si="67"/>
        <v>11WP00902625</v>
      </c>
      <c r="O399">
        <v>5</v>
      </c>
      <c r="Q399" t="str" cm="1">
        <f t="array" ref="Q399">_xlfn.IFS(AND(C399="",G399=""),"",LEFT(G399,1)="L","記載要",LEFT(G399,1)="W","",AND(C399,G399=""),"記載要")</f>
        <v/>
      </c>
      <c r="R399" s="21" t="str">
        <f t="shared" si="72"/>
        <v/>
      </c>
      <c r="S399" s="21"/>
      <c r="Z399" s="8"/>
      <c r="AA399">
        <v>1</v>
      </c>
      <c r="AB399">
        <f t="shared" si="68"/>
        <v>0</v>
      </c>
      <c r="AC399">
        <v>1</v>
      </c>
      <c r="AF399">
        <v>1</v>
      </c>
      <c r="AG399" s="8"/>
      <c r="AH399" s="8"/>
      <c r="AK399" cm="1">
        <f t="array" ref="AK399">_xlfn.IFS(B399="","",LEFT(G399,1)="L",1,LEFT(G399,1)="W",1,AND(LEFT(B399,1)="H",G399=""),0)</f>
        <v>1</v>
      </c>
      <c r="AS399" t="str">
        <f t="shared" si="69"/>
        <v/>
      </c>
      <c r="AT399" t="s">
        <v>115</v>
      </c>
      <c r="AU399" t="str">
        <f t="shared" si="70"/>
        <v>0</v>
      </c>
      <c r="BD399" t="str">
        <f t="shared" si="71"/>
        <v>0</v>
      </c>
      <c r="BK399" t="str">
        <f>IFERROR(VLOOKUP(B399,'[1]model_S-フレーム'!$F$5:$R$7000,13,1),"")</f>
        <v>E353770_01</v>
      </c>
      <c r="BL399" s="7" t="str">
        <f>IFERROR(VLOOKUP(B399,'[1]model_S-フレーム'!$F$5:$V$7000,17,1),"")</f>
        <v>RX-10F</v>
      </c>
      <c r="BM399" t="str" cm="1">
        <f t="array" ref="BM399">_xlfn.IFS(LEFT(G399,1)="L","外注品",LEFT(G399,1)="W","内製品",G399="","購買品")</f>
        <v>内製品</v>
      </c>
    </row>
    <row r="400" spans="1:65">
      <c r="A400" t="str">
        <f t="shared" si="63"/>
        <v>WG01</v>
      </c>
      <c r="B400" t="s">
        <v>519</v>
      </c>
      <c r="C400" t="s">
        <v>899</v>
      </c>
      <c r="D400" s="7"/>
      <c r="E400" s="7"/>
      <c r="G400" t="s">
        <v>1938</v>
      </c>
      <c r="H400" t="str" cm="1">
        <f t="array" ref="H400">IFERROR(_xlfn.IFS(B400="","",AND(B400="",G400=""),"",G400="","記載要"),"")</f>
        <v/>
      </c>
      <c r="K400" t="str">
        <f t="shared" si="64"/>
        <v>11WP00902626</v>
      </c>
      <c r="L400" s="3" t="str">
        <f t="shared" si="65"/>
        <v>2001/01/01</v>
      </c>
      <c r="M400" s="3" t="str">
        <f t="shared" si="66"/>
        <v>2199/12/31</v>
      </c>
      <c r="N400" t="str">
        <f t="shared" si="67"/>
        <v>11WP00902626</v>
      </c>
      <c r="O400">
        <v>5</v>
      </c>
      <c r="Q400" t="str" cm="1">
        <f t="array" ref="Q400">_xlfn.IFS(AND(C400="",G400=""),"",LEFT(G400,1)="L","記載要",LEFT(G400,1)="W","",AND(C400,G400=""),"記載要")</f>
        <v/>
      </c>
      <c r="R400" s="21" t="str">
        <f t="shared" si="72"/>
        <v/>
      </c>
      <c r="S400" s="21"/>
      <c r="Z400" s="8"/>
      <c r="AA400">
        <v>1</v>
      </c>
      <c r="AB400">
        <f t="shared" si="68"/>
        <v>0</v>
      </c>
      <c r="AC400">
        <v>1</v>
      </c>
      <c r="AF400">
        <v>1</v>
      </c>
      <c r="AG400" s="8"/>
      <c r="AH400" s="8"/>
      <c r="AK400" cm="1">
        <f t="array" ref="AK400">_xlfn.IFS(B400="","",LEFT(G400,1)="L",1,LEFT(G400,1)="W",1,AND(LEFT(B400,1)="H",G400=""),0)</f>
        <v>1</v>
      </c>
      <c r="AS400" t="str">
        <f t="shared" si="69"/>
        <v/>
      </c>
      <c r="AT400" t="s">
        <v>115</v>
      </c>
      <c r="AU400" t="str">
        <f t="shared" si="70"/>
        <v>0</v>
      </c>
      <c r="BD400" t="str">
        <f t="shared" si="71"/>
        <v>0</v>
      </c>
      <c r="BK400" t="str">
        <f>IFERROR(VLOOKUP(B400,'[1]model_S-フレーム'!$F$5:$R$7000,13,1),"")</f>
        <v>E353770_01</v>
      </c>
      <c r="BL400" s="7" t="str">
        <f>IFERROR(VLOOKUP(B400,'[1]model_S-フレーム'!$F$5:$V$7000,17,1),"")</f>
        <v>RX-10F</v>
      </c>
      <c r="BM400" t="str" cm="1">
        <f t="array" ref="BM400">_xlfn.IFS(LEFT(G400,1)="L","外注品",LEFT(G400,1)="W","内製品",G400="","購買品")</f>
        <v>内製品</v>
      </c>
    </row>
    <row r="401" spans="1:65">
      <c r="A401" t="str">
        <f t="shared" si="63"/>
        <v>WG01</v>
      </c>
      <c r="B401" t="s">
        <v>520</v>
      </c>
      <c r="C401" t="s">
        <v>899</v>
      </c>
      <c r="D401" s="7"/>
      <c r="E401" s="7"/>
      <c r="G401" t="s">
        <v>1938</v>
      </c>
      <c r="H401" t="str" cm="1">
        <f t="array" ref="H401">IFERROR(_xlfn.IFS(B401="","",AND(B401="",G401=""),"",G401="","記載要"),"")</f>
        <v/>
      </c>
      <c r="K401" t="str">
        <f t="shared" si="64"/>
        <v>11WP00902627</v>
      </c>
      <c r="L401" s="3" t="str">
        <f t="shared" si="65"/>
        <v>2001/01/01</v>
      </c>
      <c r="M401" s="3" t="str">
        <f t="shared" si="66"/>
        <v>2199/12/31</v>
      </c>
      <c r="N401" t="str">
        <f t="shared" si="67"/>
        <v>11WP00902627</v>
      </c>
      <c r="O401">
        <v>5</v>
      </c>
      <c r="Q401" t="str" cm="1">
        <f t="array" ref="Q401">_xlfn.IFS(AND(C401="",G401=""),"",LEFT(G401,1)="L","記載要",LEFT(G401,1)="W","",AND(C401,G401=""),"記載要")</f>
        <v/>
      </c>
      <c r="R401" s="21" t="str">
        <f t="shared" si="72"/>
        <v/>
      </c>
      <c r="S401" s="21"/>
      <c r="Z401" s="8"/>
      <c r="AA401">
        <v>1</v>
      </c>
      <c r="AB401">
        <f t="shared" si="68"/>
        <v>0</v>
      </c>
      <c r="AC401">
        <v>1</v>
      </c>
      <c r="AF401">
        <v>1</v>
      </c>
      <c r="AG401" s="8"/>
      <c r="AH401" s="8"/>
      <c r="AK401" cm="1">
        <f t="array" ref="AK401">_xlfn.IFS(B401="","",LEFT(G401,1)="L",1,LEFT(G401,1)="W",1,AND(LEFT(B401,1)="H",G401=""),0)</f>
        <v>1</v>
      </c>
      <c r="AS401" t="str">
        <f t="shared" si="69"/>
        <v/>
      </c>
      <c r="AT401" t="s">
        <v>115</v>
      </c>
      <c r="AU401" t="str">
        <f t="shared" si="70"/>
        <v>0</v>
      </c>
      <c r="BD401" t="str">
        <f t="shared" si="71"/>
        <v>0</v>
      </c>
      <c r="BK401" t="str">
        <f>IFERROR(VLOOKUP(B401,'[1]model_S-フレーム'!$F$5:$R$7000,13,1),"")</f>
        <v>E353770_01</v>
      </c>
      <c r="BL401" s="7" t="str">
        <f>IFERROR(VLOOKUP(B401,'[1]model_S-フレーム'!$F$5:$V$7000,17,1),"")</f>
        <v>RX-10F</v>
      </c>
      <c r="BM401" t="str" cm="1">
        <f t="array" ref="BM401">_xlfn.IFS(LEFT(G401,1)="L","外注品",LEFT(G401,1)="W","内製品",G401="","購買品")</f>
        <v>内製品</v>
      </c>
    </row>
    <row r="402" spans="1:65">
      <c r="A402" t="str">
        <f t="shared" si="63"/>
        <v>WG01</v>
      </c>
      <c r="B402" t="s">
        <v>521</v>
      </c>
      <c r="C402" t="s">
        <v>899</v>
      </c>
      <c r="D402" s="7"/>
      <c r="E402" s="7"/>
      <c r="G402" t="s">
        <v>1938</v>
      </c>
      <c r="H402" t="str" cm="1">
        <f t="array" ref="H402">IFERROR(_xlfn.IFS(B402="","",AND(B402="",G402=""),"",G402="","記載要"),"")</f>
        <v/>
      </c>
      <c r="K402" t="str">
        <f t="shared" si="64"/>
        <v>11WP00902628</v>
      </c>
      <c r="L402" s="3" t="str">
        <f t="shared" si="65"/>
        <v>2001/01/01</v>
      </c>
      <c r="M402" s="3" t="str">
        <f t="shared" si="66"/>
        <v>2199/12/31</v>
      </c>
      <c r="N402" t="str">
        <f t="shared" si="67"/>
        <v>11WP00902628</v>
      </c>
      <c r="O402">
        <v>5</v>
      </c>
      <c r="Q402" t="str" cm="1">
        <f t="array" ref="Q402">_xlfn.IFS(AND(C402="",G402=""),"",LEFT(G402,1)="L","記載要",LEFT(G402,1)="W","",AND(C402,G402=""),"記載要")</f>
        <v/>
      </c>
      <c r="R402" s="21" t="str">
        <f t="shared" si="72"/>
        <v/>
      </c>
      <c r="S402" s="21"/>
      <c r="Z402" s="8"/>
      <c r="AA402">
        <v>1</v>
      </c>
      <c r="AB402">
        <f t="shared" si="68"/>
        <v>0</v>
      </c>
      <c r="AC402">
        <v>1</v>
      </c>
      <c r="AF402">
        <v>1</v>
      </c>
      <c r="AG402" s="8"/>
      <c r="AH402" s="8"/>
      <c r="AK402" cm="1">
        <f t="array" ref="AK402">_xlfn.IFS(B402="","",LEFT(G402,1)="L",1,LEFT(G402,1)="W",1,AND(LEFT(B402,1)="H",G402=""),0)</f>
        <v>1</v>
      </c>
      <c r="AS402" t="str">
        <f t="shared" si="69"/>
        <v/>
      </c>
      <c r="AT402" t="s">
        <v>115</v>
      </c>
      <c r="AU402" t="str">
        <f t="shared" si="70"/>
        <v>0</v>
      </c>
      <c r="BD402" t="str">
        <f t="shared" si="71"/>
        <v>0</v>
      </c>
      <c r="BK402" t="str">
        <f>IFERROR(VLOOKUP(B402,'[1]model_S-フレーム'!$F$5:$R$7000,13,1),"")</f>
        <v>E353770_01</v>
      </c>
      <c r="BL402" s="7" t="str">
        <f>IFERROR(VLOOKUP(B402,'[1]model_S-フレーム'!$F$5:$V$7000,17,1),"")</f>
        <v>RX-10F</v>
      </c>
      <c r="BM402" t="str" cm="1">
        <f t="array" ref="BM402">_xlfn.IFS(LEFT(G402,1)="L","外注品",LEFT(G402,1)="W","内製品",G402="","購買品")</f>
        <v>内製品</v>
      </c>
    </row>
    <row r="403" spans="1:65">
      <c r="A403" t="str">
        <f t="shared" si="63"/>
        <v>WG01</v>
      </c>
      <c r="B403" t="s">
        <v>522</v>
      </c>
      <c r="C403" t="s">
        <v>899</v>
      </c>
      <c r="D403" s="7"/>
      <c r="E403" s="7"/>
      <c r="G403" t="s">
        <v>1938</v>
      </c>
      <c r="H403" t="str" cm="1">
        <f t="array" ref="H403">IFERROR(_xlfn.IFS(B403="","",AND(B403="",G403=""),"",G403="","記載要"),"")</f>
        <v/>
      </c>
      <c r="K403" t="str">
        <f t="shared" si="64"/>
        <v>11WP00902629</v>
      </c>
      <c r="L403" s="3" t="str">
        <f t="shared" si="65"/>
        <v>2001/01/01</v>
      </c>
      <c r="M403" s="3" t="str">
        <f t="shared" si="66"/>
        <v>2199/12/31</v>
      </c>
      <c r="N403" t="str">
        <f t="shared" si="67"/>
        <v>11WP00902629</v>
      </c>
      <c r="O403">
        <v>5</v>
      </c>
      <c r="Q403" t="str" cm="1">
        <f t="array" ref="Q403">_xlfn.IFS(AND(C403="",G403=""),"",LEFT(G403,1)="L","記載要",LEFT(G403,1)="W","",AND(C403,G403=""),"記載要")</f>
        <v/>
      </c>
      <c r="R403" s="21" t="str">
        <f t="shared" si="72"/>
        <v/>
      </c>
      <c r="S403" s="21"/>
      <c r="Z403" s="8"/>
      <c r="AA403">
        <v>1</v>
      </c>
      <c r="AB403">
        <f t="shared" si="68"/>
        <v>0</v>
      </c>
      <c r="AC403">
        <v>1</v>
      </c>
      <c r="AF403">
        <v>1</v>
      </c>
      <c r="AG403" s="8"/>
      <c r="AH403" s="8"/>
      <c r="AK403" cm="1">
        <f t="array" ref="AK403">_xlfn.IFS(B403="","",LEFT(G403,1)="L",1,LEFT(G403,1)="W",1,AND(LEFT(B403,1)="H",G403=""),0)</f>
        <v>1</v>
      </c>
      <c r="AS403" t="str">
        <f t="shared" si="69"/>
        <v/>
      </c>
      <c r="AT403" t="s">
        <v>115</v>
      </c>
      <c r="AU403" t="str">
        <f t="shared" si="70"/>
        <v>0</v>
      </c>
      <c r="BD403" t="str">
        <f t="shared" si="71"/>
        <v>0</v>
      </c>
      <c r="BK403" t="str">
        <f>IFERROR(VLOOKUP(B403,'[1]model_S-フレーム'!$F$5:$R$7000,13,1),"")</f>
        <v>E353770_01</v>
      </c>
      <c r="BL403" s="7" t="str">
        <f>IFERROR(VLOOKUP(B403,'[1]model_S-フレーム'!$F$5:$V$7000,17,1),"")</f>
        <v>RX-10F</v>
      </c>
      <c r="BM403" t="str" cm="1">
        <f t="array" ref="BM403">_xlfn.IFS(LEFT(G403,1)="L","外注品",LEFT(G403,1)="W","内製品",G403="","購買品")</f>
        <v>内製品</v>
      </c>
    </row>
    <row r="404" spans="1:65">
      <c r="A404" t="str">
        <f t="shared" si="63"/>
        <v>WG01</v>
      </c>
      <c r="B404" t="s">
        <v>523</v>
      </c>
      <c r="C404" t="s">
        <v>899</v>
      </c>
      <c r="D404" s="7"/>
      <c r="E404" s="7"/>
      <c r="G404" t="s">
        <v>1938</v>
      </c>
      <c r="H404" t="str" cm="1">
        <f t="array" ref="H404">IFERROR(_xlfn.IFS(B404="","",AND(B404="",G404=""),"",G404="","記載要"),"")</f>
        <v/>
      </c>
      <c r="K404" t="str">
        <f t="shared" si="64"/>
        <v>11WP00902630</v>
      </c>
      <c r="L404" s="3" t="str">
        <f t="shared" si="65"/>
        <v>2001/01/01</v>
      </c>
      <c r="M404" s="3" t="str">
        <f t="shared" si="66"/>
        <v>2199/12/31</v>
      </c>
      <c r="N404" t="str">
        <f t="shared" si="67"/>
        <v>11WP00902630</v>
      </c>
      <c r="O404">
        <v>5</v>
      </c>
      <c r="Q404" t="str" cm="1">
        <f t="array" ref="Q404">_xlfn.IFS(AND(C404="",G404=""),"",LEFT(G404,1)="L","記載要",LEFT(G404,1)="W","",AND(C404,G404=""),"記載要")</f>
        <v/>
      </c>
      <c r="R404" s="21" t="str">
        <f t="shared" si="72"/>
        <v/>
      </c>
      <c r="S404" s="21"/>
      <c r="Z404" s="8"/>
      <c r="AA404">
        <v>1</v>
      </c>
      <c r="AB404">
        <f t="shared" si="68"/>
        <v>0</v>
      </c>
      <c r="AC404">
        <v>1</v>
      </c>
      <c r="AF404">
        <v>1</v>
      </c>
      <c r="AG404" s="8"/>
      <c r="AH404" s="8"/>
      <c r="AK404" cm="1">
        <f t="array" ref="AK404">_xlfn.IFS(B404="","",LEFT(G404,1)="L",1,LEFT(G404,1)="W",1,AND(LEFT(B404,1)="H",G404=""),0)</f>
        <v>1</v>
      </c>
      <c r="AS404" t="str">
        <f t="shared" si="69"/>
        <v/>
      </c>
      <c r="AT404" t="s">
        <v>115</v>
      </c>
      <c r="AU404" t="str">
        <f t="shared" si="70"/>
        <v>0</v>
      </c>
      <c r="BD404" t="str">
        <f t="shared" si="71"/>
        <v>0</v>
      </c>
      <c r="BK404" t="str">
        <f>IFERROR(VLOOKUP(B404,'[1]model_S-フレーム'!$F$5:$R$7000,13,1),"")</f>
        <v>E353770_01</v>
      </c>
      <c r="BL404" s="7" t="str">
        <f>IFERROR(VLOOKUP(B404,'[1]model_S-フレーム'!$F$5:$V$7000,17,1),"")</f>
        <v>RX-10F</v>
      </c>
      <c r="BM404" t="str" cm="1">
        <f t="array" ref="BM404">_xlfn.IFS(LEFT(G404,1)="L","外注品",LEFT(G404,1)="W","内製品",G404="","購買品")</f>
        <v>内製品</v>
      </c>
    </row>
    <row r="405" spans="1:65">
      <c r="A405" t="str">
        <f t="shared" si="63"/>
        <v>WG01</v>
      </c>
      <c r="B405" t="s">
        <v>524</v>
      </c>
      <c r="C405" t="s">
        <v>899</v>
      </c>
      <c r="D405" s="7"/>
      <c r="E405" s="7"/>
      <c r="G405" t="s">
        <v>1938</v>
      </c>
      <c r="H405" t="str" cm="1">
        <f t="array" ref="H405">IFERROR(_xlfn.IFS(B405="","",AND(B405="",G405=""),"",G405="","記載要"),"")</f>
        <v/>
      </c>
      <c r="K405" t="str">
        <f t="shared" si="64"/>
        <v>11WP00902631</v>
      </c>
      <c r="L405" s="3" t="str">
        <f t="shared" si="65"/>
        <v>2001/01/01</v>
      </c>
      <c r="M405" s="3" t="str">
        <f t="shared" si="66"/>
        <v>2199/12/31</v>
      </c>
      <c r="N405" t="str">
        <f t="shared" si="67"/>
        <v>11WP00902631</v>
      </c>
      <c r="O405">
        <v>5</v>
      </c>
      <c r="Q405" t="str" cm="1">
        <f t="array" ref="Q405">_xlfn.IFS(AND(C405="",G405=""),"",LEFT(G405,1)="L","記載要",LEFT(G405,1)="W","",AND(C405,G405=""),"記載要")</f>
        <v/>
      </c>
      <c r="R405" s="21" t="str">
        <f t="shared" si="72"/>
        <v/>
      </c>
      <c r="S405" s="21"/>
      <c r="Z405" s="8"/>
      <c r="AA405">
        <v>1</v>
      </c>
      <c r="AB405">
        <f t="shared" si="68"/>
        <v>0</v>
      </c>
      <c r="AC405">
        <v>1</v>
      </c>
      <c r="AF405">
        <v>1</v>
      </c>
      <c r="AG405" s="8"/>
      <c r="AH405" s="8"/>
      <c r="AK405" cm="1">
        <f t="array" ref="AK405">_xlfn.IFS(B405="","",LEFT(G405,1)="L",1,LEFT(G405,1)="W",1,AND(LEFT(B405,1)="H",G405=""),0)</f>
        <v>1</v>
      </c>
      <c r="AS405" t="str">
        <f t="shared" si="69"/>
        <v/>
      </c>
      <c r="AT405" t="s">
        <v>115</v>
      </c>
      <c r="AU405" t="str">
        <f t="shared" si="70"/>
        <v>0</v>
      </c>
      <c r="BD405" t="str">
        <f t="shared" si="71"/>
        <v>0</v>
      </c>
      <c r="BK405" t="str">
        <f>IFERROR(VLOOKUP(B405,'[1]model_S-フレーム'!$F$5:$R$7000,13,1),"")</f>
        <v>E353770_01</v>
      </c>
      <c r="BL405" s="7" t="str">
        <f>IFERROR(VLOOKUP(B405,'[1]model_S-フレーム'!$F$5:$V$7000,17,1),"")</f>
        <v>RX-10F</v>
      </c>
      <c r="BM405" t="str" cm="1">
        <f t="array" ref="BM405">_xlfn.IFS(LEFT(G405,1)="L","外注品",LEFT(G405,1)="W","内製品",G405="","購買品")</f>
        <v>内製品</v>
      </c>
    </row>
    <row r="406" spans="1:65">
      <c r="A406" t="str">
        <f t="shared" si="63"/>
        <v>WG01</v>
      </c>
      <c r="B406" t="s">
        <v>525</v>
      </c>
      <c r="C406" t="s">
        <v>899</v>
      </c>
      <c r="D406" s="7"/>
      <c r="E406" s="7"/>
      <c r="G406" t="s">
        <v>1938</v>
      </c>
      <c r="H406" t="str" cm="1">
        <f t="array" ref="H406">IFERROR(_xlfn.IFS(B406="","",AND(B406="",G406=""),"",G406="","記載要"),"")</f>
        <v/>
      </c>
      <c r="K406" t="str">
        <f t="shared" si="64"/>
        <v>11WP00902632</v>
      </c>
      <c r="L406" s="3" t="str">
        <f t="shared" si="65"/>
        <v>2001/01/01</v>
      </c>
      <c r="M406" s="3" t="str">
        <f t="shared" si="66"/>
        <v>2199/12/31</v>
      </c>
      <c r="N406" t="str">
        <f t="shared" si="67"/>
        <v>11WP00902632</v>
      </c>
      <c r="O406">
        <v>5</v>
      </c>
      <c r="Q406" t="str" cm="1">
        <f t="array" ref="Q406">_xlfn.IFS(AND(C406="",G406=""),"",LEFT(G406,1)="L","記載要",LEFT(G406,1)="W","",AND(C406,G406=""),"記載要")</f>
        <v/>
      </c>
      <c r="R406" s="21" t="str">
        <f t="shared" si="72"/>
        <v/>
      </c>
      <c r="S406" s="21"/>
      <c r="Z406" s="8"/>
      <c r="AA406">
        <v>1</v>
      </c>
      <c r="AB406">
        <f t="shared" si="68"/>
        <v>0</v>
      </c>
      <c r="AC406">
        <v>1</v>
      </c>
      <c r="AF406">
        <v>1</v>
      </c>
      <c r="AG406" s="8"/>
      <c r="AH406" s="8"/>
      <c r="AK406" cm="1">
        <f t="array" ref="AK406">_xlfn.IFS(B406="","",LEFT(G406,1)="L",1,LEFT(G406,1)="W",1,AND(LEFT(B406,1)="H",G406=""),0)</f>
        <v>1</v>
      </c>
      <c r="AS406" t="str">
        <f t="shared" si="69"/>
        <v/>
      </c>
      <c r="AT406" t="s">
        <v>115</v>
      </c>
      <c r="AU406" t="str">
        <f t="shared" si="70"/>
        <v>0</v>
      </c>
      <c r="BD406" t="str">
        <f t="shared" si="71"/>
        <v>0</v>
      </c>
      <c r="BK406" t="str">
        <f>IFERROR(VLOOKUP(B406,'[1]model_S-フレーム'!$F$5:$R$7000,13,1),"")</f>
        <v>E353770_01</v>
      </c>
      <c r="BL406" s="7" t="str">
        <f>IFERROR(VLOOKUP(B406,'[1]model_S-フレーム'!$F$5:$V$7000,17,1),"")</f>
        <v>RX-10F</v>
      </c>
      <c r="BM406" t="str" cm="1">
        <f t="array" ref="BM406">_xlfn.IFS(LEFT(G406,1)="L","外注品",LEFT(G406,1)="W","内製品",G406="","購買品")</f>
        <v>内製品</v>
      </c>
    </row>
    <row r="407" spans="1:65">
      <c r="A407" t="str">
        <f t="shared" si="63"/>
        <v>WG01</v>
      </c>
      <c r="B407" t="s">
        <v>526</v>
      </c>
      <c r="C407" t="s">
        <v>900</v>
      </c>
      <c r="D407" s="7"/>
      <c r="E407" s="7"/>
      <c r="G407" t="s">
        <v>1938</v>
      </c>
      <c r="H407" t="str" cm="1">
        <f t="array" ref="H407">IFERROR(_xlfn.IFS(B407="","",AND(B407="",G407=""),"",G407="","記載要"),"")</f>
        <v/>
      </c>
      <c r="K407" t="str">
        <f t="shared" si="64"/>
        <v>11WP00902633</v>
      </c>
      <c r="L407" s="3" t="str">
        <f t="shared" si="65"/>
        <v>2001/01/01</v>
      </c>
      <c r="M407" s="3" t="str">
        <f t="shared" si="66"/>
        <v>2199/12/31</v>
      </c>
      <c r="N407" t="str">
        <f t="shared" si="67"/>
        <v>11WP00902633</v>
      </c>
      <c r="O407">
        <v>5</v>
      </c>
      <c r="Q407" t="str" cm="1">
        <f t="array" ref="Q407">_xlfn.IFS(AND(C407="",G407=""),"",LEFT(G407,1)="L","記載要",LEFT(G407,1)="W","",AND(C407,G407=""),"記載要")</f>
        <v/>
      </c>
      <c r="R407" s="21" t="str">
        <f t="shared" si="72"/>
        <v/>
      </c>
      <c r="S407" s="21"/>
      <c r="Z407" s="8"/>
      <c r="AA407">
        <v>1</v>
      </c>
      <c r="AB407">
        <f t="shared" si="68"/>
        <v>0</v>
      </c>
      <c r="AC407">
        <v>1</v>
      </c>
      <c r="AF407">
        <v>1</v>
      </c>
      <c r="AG407" s="8"/>
      <c r="AH407" s="8"/>
      <c r="AK407" cm="1">
        <f t="array" ref="AK407">_xlfn.IFS(B407="","",LEFT(G407,1)="L",1,LEFT(G407,1)="W",1,AND(LEFT(B407,1)="H",G407=""),0)</f>
        <v>1</v>
      </c>
      <c r="AS407" t="str">
        <f t="shared" si="69"/>
        <v/>
      </c>
      <c r="AT407" t="s">
        <v>115</v>
      </c>
      <c r="AU407" t="str">
        <f t="shared" si="70"/>
        <v>0</v>
      </c>
      <c r="BD407" t="str">
        <f t="shared" si="71"/>
        <v>0</v>
      </c>
      <c r="BK407" t="str">
        <f>IFERROR(VLOOKUP(B407,'[1]model_S-フレーム'!$F$5:$R$7000,13,1),"")</f>
        <v>E353770_01</v>
      </c>
      <c r="BL407" s="7" t="str">
        <f>IFERROR(VLOOKUP(B407,'[1]model_S-フレーム'!$F$5:$V$7000,17,1),"")</f>
        <v>RX-10F</v>
      </c>
      <c r="BM407" t="str" cm="1">
        <f t="array" ref="BM407">_xlfn.IFS(LEFT(G407,1)="L","外注品",LEFT(G407,1)="W","内製品",G407="","購買品")</f>
        <v>内製品</v>
      </c>
    </row>
    <row r="408" spans="1:65">
      <c r="A408" t="str">
        <f t="shared" si="63"/>
        <v>WG01</v>
      </c>
      <c r="B408" t="s">
        <v>527</v>
      </c>
      <c r="C408" t="s">
        <v>900</v>
      </c>
      <c r="D408" s="7"/>
      <c r="E408" s="7"/>
      <c r="G408" t="s">
        <v>1938</v>
      </c>
      <c r="H408" t="str" cm="1">
        <f t="array" ref="H408">IFERROR(_xlfn.IFS(B408="","",AND(B408="",G408=""),"",G408="","記載要"),"")</f>
        <v/>
      </c>
      <c r="K408" t="str">
        <f t="shared" si="64"/>
        <v>11WP00902634</v>
      </c>
      <c r="L408" s="3" t="str">
        <f t="shared" si="65"/>
        <v>2001/01/01</v>
      </c>
      <c r="M408" s="3" t="str">
        <f t="shared" si="66"/>
        <v>2199/12/31</v>
      </c>
      <c r="N408" t="str">
        <f t="shared" si="67"/>
        <v>11WP00902634</v>
      </c>
      <c r="O408">
        <v>5</v>
      </c>
      <c r="Q408" t="str" cm="1">
        <f t="array" ref="Q408">_xlfn.IFS(AND(C408="",G408=""),"",LEFT(G408,1)="L","記載要",LEFT(G408,1)="W","",AND(C408,G408=""),"記載要")</f>
        <v/>
      </c>
      <c r="R408" s="21" t="str">
        <f t="shared" si="72"/>
        <v/>
      </c>
      <c r="S408" s="21"/>
      <c r="Z408" s="8"/>
      <c r="AA408">
        <v>1</v>
      </c>
      <c r="AB408">
        <f t="shared" si="68"/>
        <v>0</v>
      </c>
      <c r="AC408">
        <v>1</v>
      </c>
      <c r="AF408">
        <v>1</v>
      </c>
      <c r="AG408" s="8"/>
      <c r="AH408" s="8"/>
      <c r="AK408" cm="1">
        <f t="array" ref="AK408">_xlfn.IFS(B408="","",LEFT(G408,1)="L",1,LEFT(G408,1)="W",1,AND(LEFT(B408,1)="H",G408=""),0)</f>
        <v>1</v>
      </c>
      <c r="AS408" t="str">
        <f t="shared" si="69"/>
        <v/>
      </c>
      <c r="AT408" t="s">
        <v>115</v>
      </c>
      <c r="AU408" t="str">
        <f t="shared" si="70"/>
        <v>0</v>
      </c>
      <c r="BD408" t="str">
        <f t="shared" si="71"/>
        <v>0</v>
      </c>
      <c r="BK408" t="str">
        <f>IFERROR(VLOOKUP(B408,'[1]model_S-フレーム'!$F$5:$R$7000,13,1),"")</f>
        <v>E353770_01</v>
      </c>
      <c r="BL408" s="7" t="str">
        <f>IFERROR(VLOOKUP(B408,'[1]model_S-フレーム'!$F$5:$V$7000,17,1),"")</f>
        <v>RX-10F</v>
      </c>
      <c r="BM408" t="str" cm="1">
        <f t="array" ref="BM408">_xlfn.IFS(LEFT(G408,1)="L","外注品",LEFT(G408,1)="W","内製品",G408="","購買品")</f>
        <v>内製品</v>
      </c>
    </row>
    <row r="409" spans="1:65">
      <c r="A409" t="str">
        <f t="shared" si="63"/>
        <v>WG01</v>
      </c>
      <c r="B409" t="s">
        <v>528</v>
      </c>
      <c r="C409" t="s">
        <v>900</v>
      </c>
      <c r="D409" s="7"/>
      <c r="E409" s="7"/>
      <c r="G409" t="s">
        <v>1938</v>
      </c>
      <c r="H409" t="str" cm="1">
        <f t="array" ref="H409">IFERROR(_xlfn.IFS(B409="","",AND(B409="",G409=""),"",G409="","記載要"),"")</f>
        <v/>
      </c>
      <c r="K409" t="str">
        <f t="shared" si="64"/>
        <v>11WP00902635</v>
      </c>
      <c r="L409" s="3" t="str">
        <f t="shared" si="65"/>
        <v>2001/01/01</v>
      </c>
      <c r="M409" s="3" t="str">
        <f t="shared" si="66"/>
        <v>2199/12/31</v>
      </c>
      <c r="N409" t="str">
        <f t="shared" si="67"/>
        <v>11WP00902635</v>
      </c>
      <c r="O409">
        <v>5</v>
      </c>
      <c r="Q409" t="str" cm="1">
        <f t="array" ref="Q409">_xlfn.IFS(AND(C409="",G409=""),"",LEFT(G409,1)="L","記載要",LEFT(G409,1)="W","",AND(C409,G409=""),"記載要")</f>
        <v/>
      </c>
      <c r="R409" s="21" t="str">
        <f t="shared" si="72"/>
        <v/>
      </c>
      <c r="S409" s="21"/>
      <c r="Z409" s="8"/>
      <c r="AA409">
        <v>1</v>
      </c>
      <c r="AB409">
        <f t="shared" si="68"/>
        <v>0</v>
      </c>
      <c r="AC409">
        <v>1</v>
      </c>
      <c r="AF409">
        <v>1</v>
      </c>
      <c r="AG409" s="8"/>
      <c r="AH409" s="8"/>
      <c r="AK409" cm="1">
        <f t="array" ref="AK409">_xlfn.IFS(B409="","",LEFT(G409,1)="L",1,LEFT(G409,1)="W",1,AND(LEFT(B409,1)="H",G409=""),0)</f>
        <v>1</v>
      </c>
      <c r="AS409" t="str">
        <f t="shared" si="69"/>
        <v/>
      </c>
      <c r="AT409" t="s">
        <v>115</v>
      </c>
      <c r="AU409" t="str">
        <f t="shared" si="70"/>
        <v>0</v>
      </c>
      <c r="BD409" t="str">
        <f t="shared" si="71"/>
        <v>0</v>
      </c>
      <c r="BK409" t="str">
        <f>IFERROR(VLOOKUP(B409,'[1]model_S-フレーム'!$F$5:$R$7000,13,1),"")</f>
        <v>E353770_01</v>
      </c>
      <c r="BL409" s="7" t="str">
        <f>IFERROR(VLOOKUP(B409,'[1]model_S-フレーム'!$F$5:$V$7000,17,1),"")</f>
        <v>RX-10F</v>
      </c>
      <c r="BM409" t="str" cm="1">
        <f t="array" ref="BM409">_xlfn.IFS(LEFT(G409,1)="L","外注品",LEFT(G409,1)="W","内製品",G409="","購買品")</f>
        <v>内製品</v>
      </c>
    </row>
    <row r="410" spans="1:65">
      <c r="A410" t="str">
        <f t="shared" si="63"/>
        <v>WG01</v>
      </c>
      <c r="B410" t="s">
        <v>529</v>
      </c>
      <c r="C410" t="s">
        <v>900</v>
      </c>
      <c r="D410" s="7"/>
      <c r="E410" s="7"/>
      <c r="G410" t="s">
        <v>1938</v>
      </c>
      <c r="H410" t="str" cm="1">
        <f t="array" ref="H410">IFERROR(_xlfn.IFS(B410="","",AND(B410="",G410=""),"",G410="","記載要"),"")</f>
        <v/>
      </c>
      <c r="K410" t="str">
        <f t="shared" si="64"/>
        <v>11WP00902636</v>
      </c>
      <c r="L410" s="3" t="str">
        <f t="shared" si="65"/>
        <v>2001/01/01</v>
      </c>
      <c r="M410" s="3" t="str">
        <f t="shared" si="66"/>
        <v>2199/12/31</v>
      </c>
      <c r="N410" t="str">
        <f t="shared" si="67"/>
        <v>11WP00902636</v>
      </c>
      <c r="O410">
        <v>5</v>
      </c>
      <c r="Q410" t="str" cm="1">
        <f t="array" ref="Q410">_xlfn.IFS(AND(C410="",G410=""),"",LEFT(G410,1)="L","記載要",LEFT(G410,1)="W","",AND(C410,G410=""),"記載要")</f>
        <v/>
      </c>
      <c r="R410" s="21" t="str">
        <f t="shared" si="72"/>
        <v/>
      </c>
      <c r="S410" s="21"/>
      <c r="Z410" s="8"/>
      <c r="AA410">
        <v>1</v>
      </c>
      <c r="AB410">
        <f t="shared" si="68"/>
        <v>0</v>
      </c>
      <c r="AC410">
        <v>1</v>
      </c>
      <c r="AF410">
        <v>1</v>
      </c>
      <c r="AG410" s="8"/>
      <c r="AH410" s="8"/>
      <c r="AK410" cm="1">
        <f t="array" ref="AK410">_xlfn.IFS(B410="","",LEFT(G410,1)="L",1,LEFT(G410,1)="W",1,AND(LEFT(B410,1)="H",G410=""),0)</f>
        <v>1</v>
      </c>
      <c r="AS410" t="str">
        <f t="shared" si="69"/>
        <v/>
      </c>
      <c r="AT410" t="s">
        <v>115</v>
      </c>
      <c r="AU410" t="str">
        <f t="shared" si="70"/>
        <v>0</v>
      </c>
      <c r="BD410" t="str">
        <f t="shared" si="71"/>
        <v>0</v>
      </c>
      <c r="BK410" t="str">
        <f>IFERROR(VLOOKUP(B410,'[1]model_S-フレーム'!$F$5:$R$7000,13,1),"")</f>
        <v>E353770_01</v>
      </c>
      <c r="BL410" s="7" t="str">
        <f>IFERROR(VLOOKUP(B410,'[1]model_S-フレーム'!$F$5:$V$7000,17,1),"")</f>
        <v>RX-10F</v>
      </c>
      <c r="BM410" t="str" cm="1">
        <f t="array" ref="BM410">_xlfn.IFS(LEFT(G410,1)="L","外注品",LEFT(G410,1)="W","内製品",G410="","購買品")</f>
        <v>内製品</v>
      </c>
    </row>
    <row r="411" spans="1:65">
      <c r="A411" t="str">
        <f t="shared" si="63"/>
        <v>WG01</v>
      </c>
      <c r="B411" t="s">
        <v>530</v>
      </c>
      <c r="C411" t="s">
        <v>900</v>
      </c>
      <c r="D411" s="7"/>
      <c r="E411" s="7"/>
      <c r="G411" t="s">
        <v>1938</v>
      </c>
      <c r="H411" t="str" cm="1">
        <f t="array" ref="H411">IFERROR(_xlfn.IFS(B411="","",AND(B411="",G411=""),"",G411="","記載要"),"")</f>
        <v/>
      </c>
      <c r="K411" t="str">
        <f t="shared" si="64"/>
        <v>11WP00902637</v>
      </c>
      <c r="L411" s="3" t="str">
        <f t="shared" si="65"/>
        <v>2001/01/01</v>
      </c>
      <c r="M411" s="3" t="str">
        <f t="shared" si="66"/>
        <v>2199/12/31</v>
      </c>
      <c r="N411" t="str">
        <f t="shared" si="67"/>
        <v>11WP00902637</v>
      </c>
      <c r="O411">
        <v>5</v>
      </c>
      <c r="Q411" t="str" cm="1">
        <f t="array" ref="Q411">_xlfn.IFS(AND(C411="",G411=""),"",LEFT(G411,1)="L","記載要",LEFT(G411,1)="W","",AND(C411,G411=""),"記載要")</f>
        <v/>
      </c>
      <c r="R411" s="21" t="str">
        <f t="shared" si="72"/>
        <v/>
      </c>
      <c r="S411" s="21"/>
      <c r="Z411" s="8"/>
      <c r="AA411">
        <v>1</v>
      </c>
      <c r="AB411">
        <f t="shared" si="68"/>
        <v>0</v>
      </c>
      <c r="AC411">
        <v>1</v>
      </c>
      <c r="AF411">
        <v>1</v>
      </c>
      <c r="AG411" s="8"/>
      <c r="AH411" s="8"/>
      <c r="AK411" cm="1">
        <f t="array" ref="AK411">_xlfn.IFS(B411="","",LEFT(G411,1)="L",1,LEFT(G411,1)="W",1,AND(LEFT(B411,1)="H",G411=""),0)</f>
        <v>1</v>
      </c>
      <c r="AS411" t="str">
        <f t="shared" si="69"/>
        <v/>
      </c>
      <c r="AT411" t="s">
        <v>115</v>
      </c>
      <c r="AU411" t="str">
        <f t="shared" si="70"/>
        <v>0</v>
      </c>
      <c r="BD411" t="str">
        <f t="shared" si="71"/>
        <v>0</v>
      </c>
      <c r="BK411" t="str">
        <f>IFERROR(VLOOKUP(B411,'[1]model_S-フレーム'!$F$5:$R$7000,13,1),"")</f>
        <v>E353770_01</v>
      </c>
      <c r="BL411" s="7" t="str">
        <f>IFERROR(VLOOKUP(B411,'[1]model_S-フレーム'!$F$5:$V$7000,17,1),"")</f>
        <v>RX-10F</v>
      </c>
      <c r="BM411" t="str" cm="1">
        <f t="array" ref="BM411">_xlfn.IFS(LEFT(G411,1)="L","外注品",LEFT(G411,1)="W","内製品",G411="","購買品")</f>
        <v>内製品</v>
      </c>
    </row>
    <row r="412" spans="1:65">
      <c r="A412" t="str">
        <f t="shared" si="63"/>
        <v>WG01</v>
      </c>
      <c r="B412" t="s">
        <v>531</v>
      </c>
      <c r="C412" t="s">
        <v>900</v>
      </c>
      <c r="D412" s="7"/>
      <c r="E412" s="7"/>
      <c r="G412" t="s">
        <v>1938</v>
      </c>
      <c r="H412" t="str" cm="1">
        <f t="array" ref="H412">IFERROR(_xlfn.IFS(B412="","",AND(B412="",G412=""),"",G412="","記載要"),"")</f>
        <v/>
      </c>
      <c r="K412" t="str">
        <f t="shared" si="64"/>
        <v>11WP00902638</v>
      </c>
      <c r="L412" s="3" t="str">
        <f t="shared" si="65"/>
        <v>2001/01/01</v>
      </c>
      <c r="M412" s="3" t="str">
        <f t="shared" si="66"/>
        <v>2199/12/31</v>
      </c>
      <c r="N412" t="str">
        <f t="shared" si="67"/>
        <v>11WP00902638</v>
      </c>
      <c r="O412">
        <v>5</v>
      </c>
      <c r="Q412" t="str" cm="1">
        <f t="array" ref="Q412">_xlfn.IFS(AND(C412="",G412=""),"",LEFT(G412,1)="L","記載要",LEFT(G412,1)="W","",AND(C412,G412=""),"記載要")</f>
        <v/>
      </c>
      <c r="R412" s="21" t="str">
        <f t="shared" si="72"/>
        <v/>
      </c>
      <c r="S412" s="21"/>
      <c r="Z412" s="8"/>
      <c r="AA412">
        <v>1</v>
      </c>
      <c r="AB412">
        <f t="shared" si="68"/>
        <v>0</v>
      </c>
      <c r="AC412">
        <v>1</v>
      </c>
      <c r="AF412">
        <v>1</v>
      </c>
      <c r="AG412" s="8"/>
      <c r="AH412" s="8"/>
      <c r="AK412" cm="1">
        <f t="array" ref="AK412">_xlfn.IFS(B412="","",LEFT(G412,1)="L",1,LEFT(G412,1)="W",1,AND(LEFT(B412,1)="H",G412=""),0)</f>
        <v>1</v>
      </c>
      <c r="AS412" t="str">
        <f t="shared" si="69"/>
        <v/>
      </c>
      <c r="AT412" t="s">
        <v>115</v>
      </c>
      <c r="AU412" t="str">
        <f t="shared" si="70"/>
        <v>0</v>
      </c>
      <c r="BD412" t="str">
        <f t="shared" si="71"/>
        <v>0</v>
      </c>
      <c r="BK412" t="str">
        <f>IFERROR(VLOOKUP(B412,'[1]model_S-フレーム'!$F$5:$R$7000,13,1),"")</f>
        <v>E353770_01</v>
      </c>
      <c r="BL412" s="7" t="str">
        <f>IFERROR(VLOOKUP(B412,'[1]model_S-フレーム'!$F$5:$V$7000,17,1),"")</f>
        <v>RX-10F</v>
      </c>
      <c r="BM412" t="str" cm="1">
        <f t="array" ref="BM412">_xlfn.IFS(LEFT(G412,1)="L","外注品",LEFT(G412,1)="W","内製品",G412="","購買品")</f>
        <v>内製品</v>
      </c>
    </row>
    <row r="413" spans="1:65">
      <c r="A413" t="str">
        <f t="shared" si="63"/>
        <v>WG01</v>
      </c>
      <c r="B413" t="s">
        <v>532</v>
      </c>
      <c r="C413" t="s">
        <v>900</v>
      </c>
      <c r="D413" s="7"/>
      <c r="E413" s="7"/>
      <c r="G413" t="s">
        <v>1938</v>
      </c>
      <c r="H413" t="str" cm="1">
        <f t="array" ref="H413">IFERROR(_xlfn.IFS(B413="","",AND(B413="",G413=""),"",G413="","記載要"),"")</f>
        <v/>
      </c>
      <c r="K413" t="str">
        <f t="shared" si="64"/>
        <v>11WP00902639</v>
      </c>
      <c r="L413" s="3" t="str">
        <f t="shared" si="65"/>
        <v>2001/01/01</v>
      </c>
      <c r="M413" s="3" t="str">
        <f t="shared" si="66"/>
        <v>2199/12/31</v>
      </c>
      <c r="N413" t="str">
        <f t="shared" si="67"/>
        <v>11WP00902639</v>
      </c>
      <c r="O413">
        <v>5</v>
      </c>
      <c r="Q413" t="str" cm="1">
        <f t="array" ref="Q413">_xlfn.IFS(AND(C413="",G413=""),"",LEFT(G413,1)="L","記載要",LEFT(G413,1)="W","",AND(C413,G413=""),"記載要")</f>
        <v/>
      </c>
      <c r="R413" s="21" t="str">
        <f t="shared" si="72"/>
        <v/>
      </c>
      <c r="S413" s="21"/>
      <c r="Z413" s="8"/>
      <c r="AA413">
        <v>1</v>
      </c>
      <c r="AB413">
        <f t="shared" si="68"/>
        <v>0</v>
      </c>
      <c r="AC413">
        <v>1</v>
      </c>
      <c r="AF413">
        <v>1</v>
      </c>
      <c r="AG413" s="8"/>
      <c r="AH413" s="8"/>
      <c r="AK413" cm="1">
        <f t="array" ref="AK413">_xlfn.IFS(B413="","",LEFT(G413,1)="L",1,LEFT(G413,1)="W",1,AND(LEFT(B413,1)="H",G413=""),0)</f>
        <v>1</v>
      </c>
      <c r="AS413" t="str">
        <f t="shared" si="69"/>
        <v/>
      </c>
      <c r="AT413" t="s">
        <v>115</v>
      </c>
      <c r="AU413" t="str">
        <f t="shared" si="70"/>
        <v>0</v>
      </c>
      <c r="BD413" t="str">
        <f t="shared" si="71"/>
        <v>0</v>
      </c>
      <c r="BK413" t="str">
        <f>IFERROR(VLOOKUP(B413,'[1]model_S-フレーム'!$F$5:$R$7000,13,1),"")</f>
        <v>E353770_01</v>
      </c>
      <c r="BL413" s="7" t="str">
        <f>IFERROR(VLOOKUP(B413,'[1]model_S-フレーム'!$F$5:$V$7000,17,1),"")</f>
        <v>RX-10F</v>
      </c>
      <c r="BM413" t="str" cm="1">
        <f t="array" ref="BM413">_xlfn.IFS(LEFT(G413,1)="L","外注品",LEFT(G413,1)="W","内製品",G413="","購買品")</f>
        <v>内製品</v>
      </c>
    </row>
    <row r="414" spans="1:65">
      <c r="A414" t="str">
        <f t="shared" si="63"/>
        <v>WG01</v>
      </c>
      <c r="B414" t="s">
        <v>533</v>
      </c>
      <c r="C414" t="s">
        <v>900</v>
      </c>
      <c r="D414" s="7"/>
      <c r="E414" s="7"/>
      <c r="G414" t="s">
        <v>1938</v>
      </c>
      <c r="H414" t="str" cm="1">
        <f t="array" ref="H414">IFERROR(_xlfn.IFS(B414="","",AND(B414="",G414=""),"",G414="","記載要"),"")</f>
        <v/>
      </c>
      <c r="K414" t="str">
        <f t="shared" si="64"/>
        <v>11WP00902640</v>
      </c>
      <c r="L414" s="3" t="str">
        <f t="shared" si="65"/>
        <v>2001/01/01</v>
      </c>
      <c r="M414" s="3" t="str">
        <f t="shared" si="66"/>
        <v>2199/12/31</v>
      </c>
      <c r="N414" t="str">
        <f t="shared" si="67"/>
        <v>11WP00902640</v>
      </c>
      <c r="O414">
        <v>5</v>
      </c>
      <c r="Q414" t="str" cm="1">
        <f t="array" ref="Q414">_xlfn.IFS(AND(C414="",G414=""),"",LEFT(G414,1)="L","記載要",LEFT(G414,1)="W","",AND(C414,G414=""),"記載要")</f>
        <v/>
      </c>
      <c r="R414" s="21" t="str">
        <f t="shared" si="72"/>
        <v/>
      </c>
      <c r="S414" s="21"/>
      <c r="Z414" s="8"/>
      <c r="AA414">
        <v>1</v>
      </c>
      <c r="AB414">
        <f t="shared" si="68"/>
        <v>0</v>
      </c>
      <c r="AC414">
        <v>1</v>
      </c>
      <c r="AF414">
        <v>1</v>
      </c>
      <c r="AG414" s="8"/>
      <c r="AH414" s="8"/>
      <c r="AK414" cm="1">
        <f t="array" ref="AK414">_xlfn.IFS(B414="","",LEFT(G414,1)="L",1,LEFT(G414,1)="W",1,AND(LEFT(B414,1)="H",G414=""),0)</f>
        <v>1</v>
      </c>
      <c r="AS414" t="str">
        <f t="shared" si="69"/>
        <v/>
      </c>
      <c r="AT414" t="s">
        <v>115</v>
      </c>
      <c r="AU414" t="str">
        <f t="shared" si="70"/>
        <v>0</v>
      </c>
      <c r="BD414" t="str">
        <f t="shared" si="71"/>
        <v>0</v>
      </c>
      <c r="BK414" t="str">
        <f>IFERROR(VLOOKUP(B414,'[1]model_S-フレーム'!$F$5:$R$7000,13,1),"")</f>
        <v>E353770_01</v>
      </c>
      <c r="BL414" s="7" t="str">
        <f>IFERROR(VLOOKUP(B414,'[1]model_S-フレーム'!$F$5:$V$7000,17,1),"")</f>
        <v>RX-10F</v>
      </c>
      <c r="BM414" t="str" cm="1">
        <f t="array" ref="BM414">_xlfn.IFS(LEFT(G414,1)="L","外注品",LEFT(G414,1)="W","内製品",G414="","購買品")</f>
        <v>内製品</v>
      </c>
    </row>
    <row r="415" spans="1:65">
      <c r="A415" t="str">
        <f t="shared" si="63"/>
        <v>WG01</v>
      </c>
      <c r="B415" t="s">
        <v>534</v>
      </c>
      <c r="C415" t="s">
        <v>900</v>
      </c>
      <c r="D415" s="7"/>
      <c r="E415" s="7"/>
      <c r="G415" t="s">
        <v>1938</v>
      </c>
      <c r="H415" t="str" cm="1">
        <f t="array" ref="H415">IFERROR(_xlfn.IFS(B415="","",AND(B415="",G415=""),"",G415="","記載要"),"")</f>
        <v/>
      </c>
      <c r="K415" t="str">
        <f t="shared" si="64"/>
        <v>11WP00902641</v>
      </c>
      <c r="L415" s="3" t="str">
        <f t="shared" si="65"/>
        <v>2001/01/01</v>
      </c>
      <c r="M415" s="3" t="str">
        <f t="shared" si="66"/>
        <v>2199/12/31</v>
      </c>
      <c r="N415" t="str">
        <f t="shared" si="67"/>
        <v>11WP00902641</v>
      </c>
      <c r="O415">
        <v>5</v>
      </c>
      <c r="Q415" t="str" cm="1">
        <f t="array" ref="Q415">_xlfn.IFS(AND(C415="",G415=""),"",LEFT(G415,1)="L","記載要",LEFT(G415,1)="W","",AND(C415,G415=""),"記載要")</f>
        <v/>
      </c>
      <c r="R415" s="21" t="str">
        <f t="shared" si="72"/>
        <v/>
      </c>
      <c r="S415" s="21"/>
      <c r="Z415" s="8"/>
      <c r="AA415">
        <v>1</v>
      </c>
      <c r="AB415">
        <f t="shared" si="68"/>
        <v>0</v>
      </c>
      <c r="AC415">
        <v>1</v>
      </c>
      <c r="AF415">
        <v>1</v>
      </c>
      <c r="AG415" s="8"/>
      <c r="AH415" s="8"/>
      <c r="AK415" cm="1">
        <f t="array" ref="AK415">_xlfn.IFS(B415="","",LEFT(G415,1)="L",1,LEFT(G415,1)="W",1,AND(LEFT(B415,1)="H",G415=""),0)</f>
        <v>1</v>
      </c>
      <c r="AS415" t="str">
        <f t="shared" si="69"/>
        <v/>
      </c>
      <c r="AT415" t="s">
        <v>115</v>
      </c>
      <c r="AU415" t="str">
        <f t="shared" si="70"/>
        <v>0</v>
      </c>
      <c r="BD415" t="str">
        <f t="shared" si="71"/>
        <v>0</v>
      </c>
      <c r="BK415" t="str">
        <f>IFERROR(VLOOKUP(B415,'[1]model_S-フレーム'!$F$5:$R$7000,13,1),"")</f>
        <v>E353770_01</v>
      </c>
      <c r="BL415" s="7" t="str">
        <f>IFERROR(VLOOKUP(B415,'[1]model_S-フレーム'!$F$5:$V$7000,17,1),"")</f>
        <v>RX-10F</v>
      </c>
      <c r="BM415" t="str" cm="1">
        <f t="array" ref="BM415">_xlfn.IFS(LEFT(G415,1)="L","外注品",LEFT(G415,1)="W","内製品",G415="","購買品")</f>
        <v>内製品</v>
      </c>
    </row>
    <row r="416" spans="1:65" s="11" customFormat="1">
      <c r="A416" t="str">
        <f t="shared" si="63"/>
        <v>WG01</v>
      </c>
      <c r="B416" t="s">
        <v>535</v>
      </c>
      <c r="C416" t="s">
        <v>901</v>
      </c>
      <c r="D416" s="7"/>
      <c r="E416" s="7"/>
      <c r="F416"/>
      <c r="G416"/>
      <c r="H416">
        <v>27616</v>
      </c>
      <c r="I416"/>
      <c r="J416"/>
      <c r="K416" t="str">
        <f t="shared" si="64"/>
        <v/>
      </c>
      <c r="L416" s="3" t="str">
        <f t="shared" si="65"/>
        <v>2001/01/01</v>
      </c>
      <c r="M416" s="3" t="str">
        <f t="shared" si="66"/>
        <v>2199/12/31</v>
      </c>
      <c r="N416" t="str">
        <f t="shared" si="67"/>
        <v/>
      </c>
      <c r="O416" t="str">
        <f>IF(G416="","","記載要")</f>
        <v/>
      </c>
      <c r="P416"/>
      <c r="Q416">
        <v>15</v>
      </c>
      <c r="R416" s="21">
        <v>100000000</v>
      </c>
      <c r="S416" s="21" t="str" cm="1">
        <f t="array" ref="S416">_xlfn.IFS(LEFT(G416,1)="L","記載要",LEFT(G416,1)="W","記載要",G416="","")</f>
        <v/>
      </c>
      <c r="T416"/>
      <c r="U416"/>
      <c r="V416"/>
      <c r="W416"/>
      <c r="X416"/>
      <c r="Y416"/>
      <c r="Z416" s="8"/>
      <c r="AA416" s="8">
        <v>1</v>
      </c>
      <c r="AB416">
        <f t="shared" si="68"/>
        <v>0</v>
      </c>
      <c r="AC416" s="8">
        <v>1</v>
      </c>
      <c r="AD416"/>
      <c r="AE416"/>
      <c r="AF416">
        <v>1</v>
      </c>
      <c r="AG416" s="8"/>
      <c r="AH416" s="8"/>
      <c r="AI416"/>
      <c r="AJ416"/>
      <c r="AK416" cm="1">
        <f t="array" ref="AK416">_xlfn.IFS(B416="","",LEFT(G416,1)="L",1,LEFT(G416,1)="W",1,AND(LEFT(B416,1)="H",G416=""),0)</f>
        <v>0</v>
      </c>
      <c r="AL416"/>
      <c r="AM416"/>
      <c r="AN416"/>
      <c r="AO416"/>
      <c r="AP416"/>
      <c r="AQ416"/>
      <c r="AR416"/>
      <c r="AS416">
        <f t="shared" si="69"/>
        <v>1</v>
      </c>
      <c r="AT416" t="s">
        <v>115</v>
      </c>
      <c r="AU416" t="str">
        <f t="shared" si="70"/>
        <v>0</v>
      </c>
      <c r="AV416"/>
      <c r="AW416"/>
      <c r="AX416"/>
      <c r="AY416"/>
      <c r="AZ416"/>
      <c r="BA416"/>
      <c r="BB416"/>
      <c r="BC416"/>
      <c r="BD416" t="str">
        <f t="shared" si="71"/>
        <v>0</v>
      </c>
      <c r="BE416"/>
      <c r="BF416"/>
      <c r="BG416"/>
      <c r="BH416"/>
      <c r="BI416"/>
      <c r="BJ416"/>
      <c r="BK416" s="11" t="str">
        <f>IFERROR(VLOOKUP(B416,'[1]model_S-フレーム'!$F$5:$R$7000,13,1),"")</f>
        <v>E353770_01</v>
      </c>
      <c r="BL416" s="12" t="str">
        <f>IFERROR(VLOOKUP(B416,'[1]model_S-フレーム'!$F$5:$V$7000,17,1),"")</f>
        <v>RX-10F</v>
      </c>
      <c r="BM416" s="11" t="str" cm="1">
        <f t="array" ref="BM416">_xlfn.IFS(LEFT(G416,1)="L","外注品",LEFT(G416,1)="W","内製品",G416="","購買品")</f>
        <v>購買品</v>
      </c>
    </row>
    <row r="417" spans="1:65" s="11" customFormat="1">
      <c r="A417" t="str">
        <f t="shared" si="63"/>
        <v>WG01</v>
      </c>
      <c r="B417" t="s">
        <v>535</v>
      </c>
      <c r="C417" t="s">
        <v>901</v>
      </c>
      <c r="D417" s="7"/>
      <c r="E417" s="7"/>
      <c r="F417"/>
      <c r="G417"/>
      <c r="H417">
        <v>43453</v>
      </c>
      <c r="I417"/>
      <c r="J417"/>
      <c r="K417" t="str">
        <f t="shared" si="64"/>
        <v/>
      </c>
      <c r="L417" s="3" t="str">
        <f t="shared" si="65"/>
        <v>2001/01/01</v>
      </c>
      <c r="M417" s="3" t="str">
        <f t="shared" si="66"/>
        <v>2199/12/31</v>
      </c>
      <c r="N417" t="str">
        <f t="shared" si="67"/>
        <v/>
      </c>
      <c r="O417" t="str">
        <f>IF(G417="","","記載要")</f>
        <v/>
      </c>
      <c r="P417"/>
      <c r="Q417">
        <v>15</v>
      </c>
      <c r="R417" s="21">
        <v>100000000</v>
      </c>
      <c r="S417" s="21" t="str" cm="1">
        <f t="array" ref="S417">_xlfn.IFS(LEFT(G417,1)="L","記載要",LEFT(G417,1)="W","記載要",G417="","")</f>
        <v/>
      </c>
      <c r="T417"/>
      <c r="U417"/>
      <c r="V417"/>
      <c r="W417"/>
      <c r="X417"/>
      <c r="Y417"/>
      <c r="Z417" s="8"/>
      <c r="AA417" s="8">
        <v>1</v>
      </c>
      <c r="AB417">
        <f t="shared" si="68"/>
        <v>0</v>
      </c>
      <c r="AC417" s="8">
        <v>1</v>
      </c>
      <c r="AD417"/>
      <c r="AE417"/>
      <c r="AF417">
        <v>0</v>
      </c>
      <c r="AG417" s="8"/>
      <c r="AH417" s="8"/>
      <c r="AI417"/>
      <c r="AJ417"/>
      <c r="AK417" cm="1">
        <f t="array" ref="AK417">_xlfn.IFS(B417="","",LEFT(G417,1)="L",1,LEFT(G417,1)="W",1,AND(LEFT(B417,1)="H",G417=""),0)</f>
        <v>0</v>
      </c>
      <c r="AL417"/>
      <c r="AM417"/>
      <c r="AN417"/>
      <c r="AO417"/>
      <c r="AP417"/>
      <c r="AQ417"/>
      <c r="AR417"/>
      <c r="AS417">
        <f t="shared" si="69"/>
        <v>1</v>
      </c>
      <c r="AT417" t="s">
        <v>115</v>
      </c>
      <c r="AU417" t="str">
        <f t="shared" si="70"/>
        <v>0</v>
      </c>
      <c r="AV417"/>
      <c r="AW417"/>
      <c r="AX417"/>
      <c r="AY417"/>
      <c r="AZ417"/>
      <c r="BA417"/>
      <c r="BB417"/>
      <c r="BC417"/>
      <c r="BD417" t="str">
        <f t="shared" si="71"/>
        <v>0</v>
      </c>
      <c r="BE417"/>
      <c r="BF417"/>
      <c r="BG417"/>
      <c r="BH417"/>
      <c r="BI417"/>
      <c r="BJ417"/>
      <c r="BK417" s="11" t="str">
        <f>IFERROR(VLOOKUP(B417,'[1]model_S-フレーム'!$F$5:$R$7000,13,1),"")</f>
        <v>E353770_01</v>
      </c>
      <c r="BL417" s="12" t="str">
        <f>IFERROR(VLOOKUP(B417,'[1]model_S-フレーム'!$F$5:$V$7000,17,1),"")</f>
        <v>RX-10F</v>
      </c>
      <c r="BM417" s="11" t="str" cm="1">
        <f t="array" ref="BM417">_xlfn.IFS(LEFT(G417,1)="L","外注品",LEFT(G417,1)="W","内製品",G417="","購買品")</f>
        <v>購買品</v>
      </c>
    </row>
    <row r="418" spans="1:65" s="11" customFormat="1">
      <c r="A418" t="str">
        <f t="shared" si="63"/>
        <v>WG01</v>
      </c>
      <c r="B418" t="s">
        <v>535</v>
      </c>
      <c r="C418" t="s">
        <v>901</v>
      </c>
      <c r="D418" s="7"/>
      <c r="E418" s="7"/>
      <c r="F418"/>
      <c r="G418"/>
      <c r="H418">
        <v>47081</v>
      </c>
      <c r="I418"/>
      <c r="J418"/>
      <c r="K418" t="str">
        <f t="shared" si="64"/>
        <v/>
      </c>
      <c r="L418" s="3" t="str">
        <f t="shared" si="65"/>
        <v>2001/01/01</v>
      </c>
      <c r="M418" s="3" t="str">
        <f t="shared" si="66"/>
        <v>2199/12/31</v>
      </c>
      <c r="N418" t="str">
        <f t="shared" si="67"/>
        <v/>
      </c>
      <c r="O418" t="str">
        <f>IF(G418="","","記載要")</f>
        <v/>
      </c>
      <c r="P418"/>
      <c r="Q418">
        <v>15</v>
      </c>
      <c r="R418" s="21">
        <v>100000000</v>
      </c>
      <c r="S418" s="21" t="str" cm="1">
        <f t="array" ref="S418">_xlfn.IFS(LEFT(G418,1)="L","記載要",LEFT(G418,1)="W","記載要",G418="","")</f>
        <v/>
      </c>
      <c r="T418"/>
      <c r="U418"/>
      <c r="V418"/>
      <c r="W418"/>
      <c r="X418"/>
      <c r="Y418"/>
      <c r="Z418" s="8"/>
      <c r="AA418" s="8">
        <v>1</v>
      </c>
      <c r="AB418">
        <f t="shared" si="68"/>
        <v>0</v>
      </c>
      <c r="AC418" s="8">
        <v>1</v>
      </c>
      <c r="AD418"/>
      <c r="AE418"/>
      <c r="AF418">
        <v>0</v>
      </c>
      <c r="AG418" s="8"/>
      <c r="AH418" s="8"/>
      <c r="AI418"/>
      <c r="AJ418"/>
      <c r="AK418" cm="1">
        <f t="array" ref="AK418">_xlfn.IFS(B418="","",LEFT(G418,1)="L",1,LEFT(G418,1)="W",1,AND(LEFT(B418,1)="H",G418=""),0)</f>
        <v>0</v>
      </c>
      <c r="AL418"/>
      <c r="AM418"/>
      <c r="AN418"/>
      <c r="AO418"/>
      <c r="AP418"/>
      <c r="AQ418"/>
      <c r="AR418"/>
      <c r="AS418">
        <f t="shared" si="69"/>
        <v>1</v>
      </c>
      <c r="AT418" t="s">
        <v>115</v>
      </c>
      <c r="AU418" t="str">
        <f t="shared" si="70"/>
        <v>0</v>
      </c>
      <c r="AV418"/>
      <c r="AW418"/>
      <c r="AX418"/>
      <c r="AY418"/>
      <c r="AZ418"/>
      <c r="BA418"/>
      <c r="BB418"/>
      <c r="BC418"/>
      <c r="BD418" t="str">
        <f t="shared" si="71"/>
        <v>0</v>
      </c>
      <c r="BE418"/>
      <c r="BF418"/>
      <c r="BG418"/>
      <c r="BH418"/>
      <c r="BI418"/>
      <c r="BJ418"/>
      <c r="BK418" s="11" t="str">
        <f>IFERROR(VLOOKUP(B418,'[1]model_S-フレーム'!$F$5:$R$7000,13,1),"")</f>
        <v>E353770_01</v>
      </c>
      <c r="BL418" s="12" t="str">
        <f>IFERROR(VLOOKUP(B418,'[1]model_S-フレーム'!$F$5:$V$7000,17,1),"")</f>
        <v>RX-10F</v>
      </c>
      <c r="BM418" s="11" t="str" cm="1">
        <f t="array" ref="BM418">_xlfn.IFS(LEFT(G418,1)="L","外注品",LEFT(G418,1)="W","内製品",G418="","購買品")</f>
        <v>購買品</v>
      </c>
    </row>
    <row r="419" spans="1:65">
      <c r="A419" t="str">
        <f t="shared" si="63"/>
        <v>WG01</v>
      </c>
      <c r="B419" t="s">
        <v>535</v>
      </c>
      <c r="C419" t="s">
        <v>901</v>
      </c>
      <c r="D419" s="7"/>
      <c r="E419" s="7"/>
      <c r="H419" s="19" t="s">
        <v>1937</v>
      </c>
      <c r="K419" t="str">
        <f t="shared" si="64"/>
        <v/>
      </c>
      <c r="L419" s="3" t="str">
        <f t="shared" si="65"/>
        <v>2001/01/01</v>
      </c>
      <c r="M419" s="3" t="str">
        <f t="shared" si="66"/>
        <v>2199/12/31</v>
      </c>
      <c r="N419" t="str">
        <f t="shared" si="67"/>
        <v/>
      </c>
      <c r="O419" t="str">
        <f>IF(G419="","","記載要")</f>
        <v/>
      </c>
      <c r="Q419">
        <v>15</v>
      </c>
      <c r="R419" s="21">
        <v>100000000</v>
      </c>
      <c r="S419" s="21" t="str" cm="1">
        <f t="array" ref="S419">_xlfn.IFS(LEFT(G419,1)="L","記載要",LEFT(G419,1)="W","記載要",G419="","")</f>
        <v/>
      </c>
      <c r="Z419" s="8"/>
      <c r="AA419" s="8">
        <v>1</v>
      </c>
      <c r="AB419">
        <f t="shared" si="68"/>
        <v>0</v>
      </c>
      <c r="AC419" s="8">
        <v>1</v>
      </c>
      <c r="AF419">
        <v>0</v>
      </c>
      <c r="AG419" s="8"/>
      <c r="AH419" s="8"/>
      <c r="AK419" cm="1">
        <f t="array" ref="AK419">_xlfn.IFS(B419="","",LEFT(G419,1)="L",1,LEFT(G419,1)="W",1,AND(LEFT(B419,1)="H",G419=""),0)</f>
        <v>0</v>
      </c>
      <c r="AS419">
        <f t="shared" si="69"/>
        <v>1</v>
      </c>
      <c r="AT419" t="s">
        <v>115</v>
      </c>
      <c r="AU419" t="str">
        <f t="shared" si="70"/>
        <v>0</v>
      </c>
      <c r="BD419" t="str">
        <f t="shared" si="71"/>
        <v>0</v>
      </c>
      <c r="BK419" t="str">
        <f>IFERROR(VLOOKUP(B419,'[1]model_S-フレーム'!$F$5:$R$7000,13,1),"")</f>
        <v>E353770_01</v>
      </c>
      <c r="BL419" s="7" t="str">
        <f>IFERROR(VLOOKUP(B419,'[1]model_S-フレーム'!$F$5:$V$7000,17,1),"")</f>
        <v>RX-10F</v>
      </c>
      <c r="BM419" t="str" cm="1">
        <f t="array" ref="BM419">_xlfn.IFS(LEFT(G419,1)="L","外注品",LEFT(G419,1)="W","内製品",G419="","購買品")</f>
        <v>購買品</v>
      </c>
    </row>
    <row r="420" spans="1:65">
      <c r="A420" t="str">
        <f t="shared" si="63"/>
        <v>WG01</v>
      </c>
      <c r="B420" t="s">
        <v>536</v>
      </c>
      <c r="C420" t="s">
        <v>902</v>
      </c>
      <c r="D420" s="7"/>
      <c r="E420" s="7"/>
      <c r="G420" t="s">
        <v>1938</v>
      </c>
      <c r="H420" t="str" cm="1">
        <f t="array" ref="H420">IFERROR(_xlfn.IFS(B420="","",AND(B420="",G420=""),"",G420="","記載要"),"")</f>
        <v/>
      </c>
      <c r="K420" t="str">
        <f t="shared" si="64"/>
        <v>11WP00902643</v>
      </c>
      <c r="L420" s="3" t="str">
        <f t="shared" si="65"/>
        <v>2001/01/01</v>
      </c>
      <c r="M420" s="3" t="str">
        <f t="shared" si="66"/>
        <v>2199/12/31</v>
      </c>
      <c r="N420" t="str">
        <f t="shared" si="67"/>
        <v>11WP00902643</v>
      </c>
      <c r="O420">
        <v>5</v>
      </c>
      <c r="Q420" t="str" cm="1">
        <f t="array" ref="Q420">_xlfn.IFS(AND(C420="",G420=""),"",LEFT(G420,1)="L","記載要",LEFT(G420,1)="W","",AND(C420,G420=""),"記載要")</f>
        <v/>
      </c>
      <c r="R420" s="21" t="str">
        <f t="shared" si="72"/>
        <v/>
      </c>
      <c r="S420" s="21"/>
      <c r="Z420" s="8"/>
      <c r="AA420">
        <v>1</v>
      </c>
      <c r="AB420">
        <f t="shared" si="68"/>
        <v>0</v>
      </c>
      <c r="AC420">
        <v>1</v>
      </c>
      <c r="AF420">
        <v>1</v>
      </c>
      <c r="AG420" s="8"/>
      <c r="AH420" s="8"/>
      <c r="AK420" cm="1">
        <f t="array" ref="AK420">_xlfn.IFS(B420="","",LEFT(G420,1)="L",1,LEFT(G420,1)="W",1,AND(LEFT(B420,1)="H",G420=""),0)</f>
        <v>1</v>
      </c>
      <c r="AS420" t="str">
        <f t="shared" si="69"/>
        <v/>
      </c>
      <c r="AT420" t="s">
        <v>115</v>
      </c>
      <c r="AU420" t="str">
        <f t="shared" si="70"/>
        <v>0</v>
      </c>
      <c r="BD420" t="str">
        <f t="shared" si="71"/>
        <v>0</v>
      </c>
      <c r="BK420" t="str">
        <f>IFERROR(VLOOKUP(B420,'[1]model_S-フレーム'!$F$5:$R$7000,13,1),"")</f>
        <v>E359254_01</v>
      </c>
      <c r="BL420" s="7" t="str">
        <f>IFERROR(VLOOKUP(B420,'[1]model_S-フレーム'!$F$5:$V$7000,17,1),"")</f>
        <v>RX-10F</v>
      </c>
      <c r="BM420" t="str" cm="1">
        <f t="array" ref="BM420">_xlfn.IFS(LEFT(G420,1)="L","外注品",LEFT(G420,1)="W","内製品",G420="","購買品")</f>
        <v>内製品</v>
      </c>
    </row>
    <row r="421" spans="1:65">
      <c r="A421" t="str">
        <f t="shared" si="63"/>
        <v>WG01</v>
      </c>
      <c r="B421" t="s">
        <v>537</v>
      </c>
      <c r="C421" t="s">
        <v>902</v>
      </c>
      <c r="D421" s="7"/>
      <c r="E421" s="7"/>
      <c r="G421" t="s">
        <v>1938</v>
      </c>
      <c r="H421" t="str" cm="1">
        <f t="array" ref="H421">IFERROR(_xlfn.IFS(B421="","",AND(B421="",G421=""),"",G421="","記載要"),"")</f>
        <v/>
      </c>
      <c r="K421" t="str">
        <f t="shared" si="64"/>
        <v>11WP00902644</v>
      </c>
      <c r="L421" s="3" t="str">
        <f t="shared" si="65"/>
        <v>2001/01/01</v>
      </c>
      <c r="M421" s="3" t="str">
        <f t="shared" si="66"/>
        <v>2199/12/31</v>
      </c>
      <c r="N421" t="str">
        <f t="shared" si="67"/>
        <v>11WP00902644</v>
      </c>
      <c r="O421">
        <v>5</v>
      </c>
      <c r="Q421" t="str" cm="1">
        <f t="array" ref="Q421">_xlfn.IFS(AND(C421="",G421=""),"",LEFT(G421,1)="L","記載要",LEFT(G421,1)="W","",AND(C421,G421=""),"記載要")</f>
        <v/>
      </c>
      <c r="R421" s="21" t="str">
        <f t="shared" si="72"/>
        <v/>
      </c>
      <c r="S421" s="21"/>
      <c r="Z421" s="8"/>
      <c r="AA421">
        <v>1</v>
      </c>
      <c r="AB421">
        <f t="shared" si="68"/>
        <v>0</v>
      </c>
      <c r="AC421">
        <v>1</v>
      </c>
      <c r="AF421">
        <v>1</v>
      </c>
      <c r="AG421" s="8"/>
      <c r="AH421" s="8"/>
      <c r="AK421" cm="1">
        <f t="array" ref="AK421">_xlfn.IFS(B421="","",LEFT(G421,1)="L",1,LEFT(G421,1)="W",1,AND(LEFT(B421,1)="H",G421=""),0)</f>
        <v>1</v>
      </c>
      <c r="AS421" t="str">
        <f t="shared" si="69"/>
        <v/>
      </c>
      <c r="AT421" t="s">
        <v>115</v>
      </c>
      <c r="AU421" t="str">
        <f t="shared" si="70"/>
        <v>0</v>
      </c>
      <c r="BD421" t="str">
        <f t="shared" si="71"/>
        <v>0</v>
      </c>
      <c r="BK421" t="str">
        <f>IFERROR(VLOOKUP(B421,'[1]model_S-フレーム'!$F$5:$R$7000,13,1),"")</f>
        <v>E359254_01</v>
      </c>
      <c r="BL421" s="7" t="str">
        <f>IFERROR(VLOOKUP(B421,'[1]model_S-フレーム'!$F$5:$V$7000,17,1),"")</f>
        <v>RX-10F</v>
      </c>
      <c r="BM421" t="str" cm="1">
        <f t="array" ref="BM421">_xlfn.IFS(LEFT(G421,1)="L","外注品",LEFT(G421,1)="W","内製品",G421="","購買品")</f>
        <v>内製品</v>
      </c>
    </row>
    <row r="422" spans="1:65">
      <c r="A422" t="str">
        <f t="shared" si="63"/>
        <v>WG01</v>
      </c>
      <c r="B422" t="s">
        <v>538</v>
      </c>
      <c r="C422" t="s">
        <v>902</v>
      </c>
      <c r="D422" s="7"/>
      <c r="E422" s="7"/>
      <c r="G422" t="s">
        <v>1938</v>
      </c>
      <c r="H422" t="str" cm="1">
        <f t="array" ref="H422">IFERROR(_xlfn.IFS(B422="","",AND(B422="",G422=""),"",G422="","記載要"),"")</f>
        <v/>
      </c>
      <c r="K422" t="str">
        <f t="shared" si="64"/>
        <v>11WP00902645</v>
      </c>
      <c r="L422" s="3" t="str">
        <f t="shared" si="65"/>
        <v>2001/01/01</v>
      </c>
      <c r="M422" s="3" t="str">
        <f t="shared" si="66"/>
        <v>2199/12/31</v>
      </c>
      <c r="N422" t="str">
        <f t="shared" si="67"/>
        <v>11WP00902645</v>
      </c>
      <c r="O422">
        <v>5</v>
      </c>
      <c r="Q422" t="str" cm="1">
        <f t="array" ref="Q422">_xlfn.IFS(AND(C422="",G422=""),"",LEFT(G422,1)="L","記載要",LEFT(G422,1)="W","",AND(C422,G422=""),"記載要")</f>
        <v/>
      </c>
      <c r="R422" s="21" t="str">
        <f t="shared" si="72"/>
        <v/>
      </c>
      <c r="S422" s="21"/>
      <c r="Z422" s="8"/>
      <c r="AA422">
        <v>1</v>
      </c>
      <c r="AB422">
        <f t="shared" si="68"/>
        <v>0</v>
      </c>
      <c r="AC422">
        <v>1</v>
      </c>
      <c r="AF422">
        <v>1</v>
      </c>
      <c r="AG422" s="8"/>
      <c r="AH422" s="8"/>
      <c r="AK422" cm="1">
        <f t="array" ref="AK422">_xlfn.IFS(B422="","",LEFT(G422,1)="L",1,LEFT(G422,1)="W",1,AND(LEFT(B422,1)="H",G422=""),0)</f>
        <v>1</v>
      </c>
      <c r="AS422" t="str">
        <f t="shared" si="69"/>
        <v/>
      </c>
      <c r="AT422" t="s">
        <v>115</v>
      </c>
      <c r="AU422" t="str">
        <f t="shared" si="70"/>
        <v>0</v>
      </c>
      <c r="BD422" t="str">
        <f t="shared" si="71"/>
        <v>0</v>
      </c>
      <c r="BK422" t="str">
        <f>IFERROR(VLOOKUP(B422,'[1]model_S-フレーム'!$F$5:$R$7000,13,1),"")</f>
        <v>E359254_01</v>
      </c>
      <c r="BL422" s="7" t="str">
        <f>IFERROR(VLOOKUP(B422,'[1]model_S-フレーム'!$F$5:$V$7000,17,1),"")</f>
        <v>RX-10F</v>
      </c>
      <c r="BM422" t="str" cm="1">
        <f t="array" ref="BM422">_xlfn.IFS(LEFT(G422,1)="L","外注品",LEFT(G422,1)="W","内製品",G422="","購買品")</f>
        <v>内製品</v>
      </c>
    </row>
    <row r="423" spans="1:65">
      <c r="A423" t="str">
        <f t="shared" si="63"/>
        <v>WG01</v>
      </c>
      <c r="B423" t="s">
        <v>539</v>
      </c>
      <c r="C423" t="s">
        <v>902</v>
      </c>
      <c r="D423" s="7"/>
      <c r="E423" s="7"/>
      <c r="G423" t="s">
        <v>1938</v>
      </c>
      <c r="H423" t="str" cm="1">
        <f t="array" ref="H423">IFERROR(_xlfn.IFS(B423="","",AND(B423="",G423=""),"",G423="","記載要"),"")</f>
        <v/>
      </c>
      <c r="K423" t="str">
        <f t="shared" si="64"/>
        <v>11WP00902646</v>
      </c>
      <c r="L423" s="3" t="str">
        <f t="shared" si="65"/>
        <v>2001/01/01</v>
      </c>
      <c r="M423" s="3" t="str">
        <f t="shared" si="66"/>
        <v>2199/12/31</v>
      </c>
      <c r="N423" t="str">
        <f t="shared" si="67"/>
        <v>11WP00902646</v>
      </c>
      <c r="O423">
        <v>5</v>
      </c>
      <c r="Q423" t="str" cm="1">
        <f t="array" ref="Q423">_xlfn.IFS(AND(C423="",G423=""),"",LEFT(G423,1)="L","記載要",LEFT(G423,1)="W","",AND(C423,G423=""),"記載要")</f>
        <v/>
      </c>
      <c r="R423" s="21" t="str">
        <f t="shared" si="72"/>
        <v/>
      </c>
      <c r="S423" s="21"/>
      <c r="Z423" s="8"/>
      <c r="AA423">
        <v>1</v>
      </c>
      <c r="AB423">
        <f t="shared" si="68"/>
        <v>0</v>
      </c>
      <c r="AC423">
        <v>1</v>
      </c>
      <c r="AF423">
        <v>1</v>
      </c>
      <c r="AG423" s="8"/>
      <c r="AH423" s="8"/>
      <c r="AK423" cm="1">
        <f t="array" ref="AK423">_xlfn.IFS(B423="","",LEFT(G423,1)="L",1,LEFT(G423,1)="W",1,AND(LEFT(B423,1)="H",G423=""),0)</f>
        <v>1</v>
      </c>
      <c r="AS423" t="str">
        <f t="shared" si="69"/>
        <v/>
      </c>
      <c r="AT423" t="s">
        <v>115</v>
      </c>
      <c r="AU423" t="str">
        <f t="shared" si="70"/>
        <v>0</v>
      </c>
      <c r="BD423" t="str">
        <f t="shared" si="71"/>
        <v>0</v>
      </c>
      <c r="BK423" t="str">
        <f>IFERROR(VLOOKUP(B423,'[1]model_S-フレーム'!$F$5:$R$7000,13,1),"")</f>
        <v>E359254_01</v>
      </c>
      <c r="BL423" s="7" t="str">
        <f>IFERROR(VLOOKUP(B423,'[1]model_S-フレーム'!$F$5:$V$7000,17,1),"")</f>
        <v>RX-10F</v>
      </c>
      <c r="BM423" t="str" cm="1">
        <f t="array" ref="BM423">_xlfn.IFS(LEFT(G423,1)="L","外注品",LEFT(G423,1)="W","内製品",G423="","購買品")</f>
        <v>内製品</v>
      </c>
    </row>
    <row r="424" spans="1:65">
      <c r="A424" t="str">
        <f t="shared" si="63"/>
        <v>WG01</v>
      </c>
      <c r="B424" t="s">
        <v>540</v>
      </c>
      <c r="C424" t="s">
        <v>902</v>
      </c>
      <c r="D424" s="7"/>
      <c r="E424" s="7"/>
      <c r="G424" t="s">
        <v>1938</v>
      </c>
      <c r="H424" t="str" cm="1">
        <f t="array" ref="H424">IFERROR(_xlfn.IFS(B424="","",AND(B424="",G424=""),"",G424="","記載要"),"")</f>
        <v/>
      </c>
      <c r="K424" t="str">
        <f t="shared" si="64"/>
        <v>11WP00902647</v>
      </c>
      <c r="L424" s="3" t="str">
        <f t="shared" si="65"/>
        <v>2001/01/01</v>
      </c>
      <c r="M424" s="3" t="str">
        <f t="shared" si="66"/>
        <v>2199/12/31</v>
      </c>
      <c r="N424" t="str">
        <f t="shared" si="67"/>
        <v>11WP00902647</v>
      </c>
      <c r="O424">
        <v>5</v>
      </c>
      <c r="Q424" t="str" cm="1">
        <f t="array" ref="Q424">_xlfn.IFS(AND(C424="",G424=""),"",LEFT(G424,1)="L","記載要",LEFT(G424,1)="W","",AND(C424,G424=""),"記載要")</f>
        <v/>
      </c>
      <c r="R424" s="21" t="str">
        <f t="shared" si="72"/>
        <v/>
      </c>
      <c r="S424" s="21"/>
      <c r="Z424" s="8"/>
      <c r="AA424">
        <v>1</v>
      </c>
      <c r="AB424">
        <f t="shared" si="68"/>
        <v>0</v>
      </c>
      <c r="AC424">
        <v>1</v>
      </c>
      <c r="AF424">
        <v>1</v>
      </c>
      <c r="AG424" s="8"/>
      <c r="AH424" s="8"/>
      <c r="AK424" cm="1">
        <f t="array" ref="AK424">_xlfn.IFS(B424="","",LEFT(G424,1)="L",1,LEFT(G424,1)="W",1,AND(LEFT(B424,1)="H",G424=""),0)</f>
        <v>1</v>
      </c>
      <c r="AS424" t="str">
        <f t="shared" si="69"/>
        <v/>
      </c>
      <c r="AT424" t="s">
        <v>115</v>
      </c>
      <c r="AU424" t="str">
        <f t="shared" si="70"/>
        <v>0</v>
      </c>
      <c r="BD424" t="str">
        <f t="shared" si="71"/>
        <v>0</v>
      </c>
      <c r="BK424" t="str">
        <f>IFERROR(VLOOKUP(B424,'[1]model_S-フレーム'!$F$5:$R$7000,13,1),"")</f>
        <v>E359254_01</v>
      </c>
      <c r="BL424" s="7" t="str">
        <f>IFERROR(VLOOKUP(B424,'[1]model_S-フレーム'!$F$5:$V$7000,17,1),"")</f>
        <v>RX-10F</v>
      </c>
      <c r="BM424" t="str" cm="1">
        <f t="array" ref="BM424">_xlfn.IFS(LEFT(G424,1)="L","外注品",LEFT(G424,1)="W","内製品",G424="","購買品")</f>
        <v>内製品</v>
      </c>
    </row>
    <row r="425" spans="1:65">
      <c r="A425" t="str">
        <f t="shared" si="63"/>
        <v>WG01</v>
      </c>
      <c r="B425" t="s">
        <v>541</v>
      </c>
      <c r="C425" t="s">
        <v>902</v>
      </c>
      <c r="D425" s="7"/>
      <c r="E425" s="7"/>
      <c r="G425" t="s">
        <v>1938</v>
      </c>
      <c r="H425" t="str" cm="1">
        <f t="array" ref="H425">IFERROR(_xlfn.IFS(B425="","",AND(B425="",G425=""),"",G425="","記載要"),"")</f>
        <v/>
      </c>
      <c r="K425" t="str">
        <f t="shared" si="64"/>
        <v>11WP00902648</v>
      </c>
      <c r="L425" s="3" t="str">
        <f t="shared" si="65"/>
        <v>2001/01/01</v>
      </c>
      <c r="M425" s="3" t="str">
        <f t="shared" si="66"/>
        <v>2199/12/31</v>
      </c>
      <c r="N425" t="str">
        <f t="shared" si="67"/>
        <v>11WP00902648</v>
      </c>
      <c r="O425">
        <v>5</v>
      </c>
      <c r="Q425" t="str" cm="1">
        <f t="array" ref="Q425">_xlfn.IFS(AND(C425="",G425=""),"",LEFT(G425,1)="L","記載要",LEFT(G425,1)="W","",AND(C425,G425=""),"記載要")</f>
        <v/>
      </c>
      <c r="R425" s="21" t="str">
        <f t="shared" si="72"/>
        <v/>
      </c>
      <c r="S425" s="21"/>
      <c r="Z425" s="8"/>
      <c r="AA425">
        <v>1</v>
      </c>
      <c r="AB425">
        <f t="shared" si="68"/>
        <v>0</v>
      </c>
      <c r="AC425">
        <v>1</v>
      </c>
      <c r="AF425">
        <v>1</v>
      </c>
      <c r="AG425" s="8"/>
      <c r="AH425" s="8"/>
      <c r="AK425" cm="1">
        <f t="array" ref="AK425">_xlfn.IFS(B425="","",LEFT(G425,1)="L",1,LEFT(G425,1)="W",1,AND(LEFT(B425,1)="H",G425=""),0)</f>
        <v>1</v>
      </c>
      <c r="AS425" t="str">
        <f t="shared" si="69"/>
        <v/>
      </c>
      <c r="AT425" t="s">
        <v>115</v>
      </c>
      <c r="AU425" t="str">
        <f t="shared" si="70"/>
        <v>0</v>
      </c>
      <c r="BD425" t="str">
        <f t="shared" si="71"/>
        <v>0</v>
      </c>
      <c r="BK425" t="str">
        <f>IFERROR(VLOOKUP(B425,'[1]model_S-フレーム'!$F$5:$R$7000,13,1),"")</f>
        <v>E359254_01</v>
      </c>
      <c r="BL425" s="7" t="str">
        <f>IFERROR(VLOOKUP(B425,'[1]model_S-フレーム'!$F$5:$V$7000,17,1),"")</f>
        <v>RX-10F</v>
      </c>
      <c r="BM425" t="str" cm="1">
        <f t="array" ref="BM425">_xlfn.IFS(LEFT(G425,1)="L","外注品",LEFT(G425,1)="W","内製品",G425="","購買品")</f>
        <v>内製品</v>
      </c>
    </row>
    <row r="426" spans="1:65">
      <c r="A426" t="str">
        <f t="shared" si="63"/>
        <v>WG01</v>
      </c>
      <c r="B426" t="s">
        <v>542</v>
      </c>
      <c r="C426" t="s">
        <v>902</v>
      </c>
      <c r="D426" s="7"/>
      <c r="E426" s="7"/>
      <c r="G426" t="s">
        <v>1938</v>
      </c>
      <c r="H426" t="str" cm="1">
        <f t="array" ref="H426">IFERROR(_xlfn.IFS(B426="","",AND(B426="",G426=""),"",G426="","記載要"),"")</f>
        <v/>
      </c>
      <c r="K426" t="str">
        <f t="shared" si="64"/>
        <v>11WP00902649</v>
      </c>
      <c r="L426" s="3" t="str">
        <f t="shared" si="65"/>
        <v>2001/01/01</v>
      </c>
      <c r="M426" s="3" t="str">
        <f t="shared" si="66"/>
        <v>2199/12/31</v>
      </c>
      <c r="N426" t="str">
        <f t="shared" si="67"/>
        <v>11WP00902649</v>
      </c>
      <c r="O426">
        <v>5</v>
      </c>
      <c r="Q426" t="str" cm="1">
        <f t="array" ref="Q426">_xlfn.IFS(AND(C426="",G426=""),"",LEFT(G426,1)="L","記載要",LEFT(G426,1)="W","",AND(C426,G426=""),"記載要")</f>
        <v/>
      </c>
      <c r="R426" s="21" t="str">
        <f t="shared" si="72"/>
        <v/>
      </c>
      <c r="S426" s="21"/>
      <c r="Z426" s="8"/>
      <c r="AA426">
        <v>1</v>
      </c>
      <c r="AB426">
        <f t="shared" si="68"/>
        <v>0</v>
      </c>
      <c r="AC426">
        <v>1</v>
      </c>
      <c r="AF426">
        <v>1</v>
      </c>
      <c r="AG426" s="8"/>
      <c r="AH426" s="8"/>
      <c r="AK426" cm="1">
        <f t="array" ref="AK426">_xlfn.IFS(B426="","",LEFT(G426,1)="L",1,LEFT(G426,1)="W",1,AND(LEFT(B426,1)="H",G426=""),0)</f>
        <v>1</v>
      </c>
      <c r="AS426" t="str">
        <f t="shared" si="69"/>
        <v/>
      </c>
      <c r="AT426" t="s">
        <v>115</v>
      </c>
      <c r="AU426" t="str">
        <f t="shared" si="70"/>
        <v>0</v>
      </c>
      <c r="BD426" t="str">
        <f t="shared" si="71"/>
        <v>0</v>
      </c>
      <c r="BK426" t="str">
        <f>IFERROR(VLOOKUP(B426,'[1]model_S-フレーム'!$F$5:$R$7000,13,1),"")</f>
        <v>E359254_01</v>
      </c>
      <c r="BL426" s="7" t="str">
        <f>IFERROR(VLOOKUP(B426,'[1]model_S-フレーム'!$F$5:$V$7000,17,1),"")</f>
        <v>RX-10F</v>
      </c>
      <c r="BM426" t="str" cm="1">
        <f t="array" ref="BM426">_xlfn.IFS(LEFT(G426,1)="L","外注品",LEFT(G426,1)="W","内製品",G426="","購買品")</f>
        <v>内製品</v>
      </c>
    </row>
    <row r="427" spans="1:65">
      <c r="A427" t="str">
        <f t="shared" si="63"/>
        <v>WG01</v>
      </c>
      <c r="B427" t="s">
        <v>543</v>
      </c>
      <c r="C427" t="s">
        <v>902</v>
      </c>
      <c r="D427" s="7"/>
      <c r="E427" s="7"/>
      <c r="G427" t="s">
        <v>1938</v>
      </c>
      <c r="H427" t="str" cm="1">
        <f t="array" ref="H427">IFERROR(_xlfn.IFS(B427="","",AND(B427="",G427=""),"",G427="","記載要"),"")</f>
        <v/>
      </c>
      <c r="K427" t="str">
        <f t="shared" si="64"/>
        <v>11WP00902650</v>
      </c>
      <c r="L427" s="3" t="str">
        <f t="shared" si="65"/>
        <v>2001/01/01</v>
      </c>
      <c r="M427" s="3" t="str">
        <f t="shared" si="66"/>
        <v>2199/12/31</v>
      </c>
      <c r="N427" t="str">
        <f t="shared" si="67"/>
        <v>11WP00902650</v>
      </c>
      <c r="O427">
        <v>5</v>
      </c>
      <c r="Q427" t="str" cm="1">
        <f t="array" ref="Q427">_xlfn.IFS(AND(C427="",G427=""),"",LEFT(G427,1)="L","記載要",LEFT(G427,1)="W","",AND(C427,G427=""),"記載要")</f>
        <v/>
      </c>
      <c r="R427" s="21" t="str">
        <f t="shared" si="72"/>
        <v/>
      </c>
      <c r="S427" s="21"/>
      <c r="Z427" s="8"/>
      <c r="AA427">
        <v>1</v>
      </c>
      <c r="AB427">
        <f t="shared" si="68"/>
        <v>0</v>
      </c>
      <c r="AC427">
        <v>1</v>
      </c>
      <c r="AF427">
        <v>1</v>
      </c>
      <c r="AG427" s="8"/>
      <c r="AH427" s="8"/>
      <c r="AK427" cm="1">
        <f t="array" ref="AK427">_xlfn.IFS(B427="","",LEFT(G427,1)="L",1,LEFT(G427,1)="W",1,AND(LEFT(B427,1)="H",G427=""),0)</f>
        <v>1</v>
      </c>
      <c r="AS427" t="str">
        <f t="shared" si="69"/>
        <v/>
      </c>
      <c r="AT427" t="s">
        <v>115</v>
      </c>
      <c r="AU427" t="str">
        <f t="shared" si="70"/>
        <v>0</v>
      </c>
      <c r="BD427" t="str">
        <f t="shared" si="71"/>
        <v>0</v>
      </c>
      <c r="BK427" t="str">
        <f>IFERROR(VLOOKUP(B427,'[1]model_S-フレーム'!$F$5:$R$7000,13,1),"")</f>
        <v>E359254_01</v>
      </c>
      <c r="BL427" s="7" t="str">
        <f>IFERROR(VLOOKUP(B427,'[1]model_S-フレーム'!$F$5:$V$7000,17,1),"")</f>
        <v>RX-10F</v>
      </c>
      <c r="BM427" t="str" cm="1">
        <f t="array" ref="BM427">_xlfn.IFS(LEFT(G427,1)="L","外注品",LEFT(G427,1)="W","内製品",G427="","購買品")</f>
        <v>内製品</v>
      </c>
    </row>
    <row r="428" spans="1:65">
      <c r="A428" t="str">
        <f t="shared" si="63"/>
        <v>WG01</v>
      </c>
      <c r="B428" t="s">
        <v>544</v>
      </c>
      <c r="C428" t="s">
        <v>902</v>
      </c>
      <c r="D428" s="7"/>
      <c r="E428" s="7"/>
      <c r="G428" t="s">
        <v>1938</v>
      </c>
      <c r="H428" t="str" cm="1">
        <f t="array" ref="H428">IFERROR(_xlfn.IFS(B428="","",AND(B428="",G428=""),"",G428="","記載要"),"")</f>
        <v/>
      </c>
      <c r="K428" t="str">
        <f t="shared" si="64"/>
        <v>11WP00902651</v>
      </c>
      <c r="L428" s="3" t="str">
        <f t="shared" si="65"/>
        <v>2001/01/01</v>
      </c>
      <c r="M428" s="3" t="str">
        <f t="shared" si="66"/>
        <v>2199/12/31</v>
      </c>
      <c r="N428" t="str">
        <f t="shared" si="67"/>
        <v>11WP00902651</v>
      </c>
      <c r="O428">
        <v>5</v>
      </c>
      <c r="Q428" t="str" cm="1">
        <f t="array" ref="Q428">_xlfn.IFS(AND(C428="",G428=""),"",LEFT(G428,1)="L","記載要",LEFT(G428,1)="W","",AND(C428,G428=""),"記載要")</f>
        <v/>
      </c>
      <c r="R428" s="21" t="str">
        <f t="shared" si="72"/>
        <v/>
      </c>
      <c r="S428" s="21"/>
      <c r="Z428" s="8"/>
      <c r="AA428">
        <v>1</v>
      </c>
      <c r="AB428">
        <f t="shared" si="68"/>
        <v>0</v>
      </c>
      <c r="AC428">
        <v>1</v>
      </c>
      <c r="AF428">
        <v>1</v>
      </c>
      <c r="AG428" s="8"/>
      <c r="AH428" s="8"/>
      <c r="AK428" cm="1">
        <f t="array" ref="AK428">_xlfn.IFS(B428="","",LEFT(G428,1)="L",1,LEFT(G428,1)="W",1,AND(LEFT(B428,1)="H",G428=""),0)</f>
        <v>1</v>
      </c>
      <c r="AS428" t="str">
        <f t="shared" si="69"/>
        <v/>
      </c>
      <c r="AT428" t="s">
        <v>115</v>
      </c>
      <c r="AU428" t="str">
        <f t="shared" si="70"/>
        <v>0</v>
      </c>
      <c r="BD428" t="str">
        <f t="shared" si="71"/>
        <v>0</v>
      </c>
      <c r="BK428" t="str">
        <f>IFERROR(VLOOKUP(B428,'[1]model_S-フレーム'!$F$5:$R$7000,13,1),"")</f>
        <v>E359254_01</v>
      </c>
      <c r="BL428" s="7" t="str">
        <f>IFERROR(VLOOKUP(B428,'[1]model_S-フレーム'!$F$5:$V$7000,17,1),"")</f>
        <v>RX-10F</v>
      </c>
      <c r="BM428" t="str" cm="1">
        <f t="array" ref="BM428">_xlfn.IFS(LEFT(G428,1)="L","外注品",LEFT(G428,1)="W","内製品",G428="","購買品")</f>
        <v>内製品</v>
      </c>
    </row>
    <row r="429" spans="1:65">
      <c r="A429" t="str">
        <f t="shared" si="63"/>
        <v>WG01</v>
      </c>
      <c r="B429" t="s">
        <v>545</v>
      </c>
      <c r="C429" t="s">
        <v>903</v>
      </c>
      <c r="D429" s="7"/>
      <c r="E429" s="7"/>
      <c r="G429" t="s">
        <v>1938</v>
      </c>
      <c r="H429" t="str" cm="1">
        <f t="array" ref="H429">IFERROR(_xlfn.IFS(B429="","",AND(B429="",G429=""),"",G429="","記載要"),"")</f>
        <v/>
      </c>
      <c r="K429" t="str">
        <f t="shared" si="64"/>
        <v>11WP00902652</v>
      </c>
      <c r="L429" s="3" t="str">
        <f t="shared" si="65"/>
        <v>2001/01/01</v>
      </c>
      <c r="M429" s="3" t="str">
        <f t="shared" si="66"/>
        <v>2199/12/31</v>
      </c>
      <c r="N429" t="str">
        <f t="shared" si="67"/>
        <v>11WP00902652</v>
      </c>
      <c r="O429">
        <v>5</v>
      </c>
      <c r="Q429" t="str" cm="1">
        <f t="array" ref="Q429">_xlfn.IFS(AND(C429="",G429=""),"",LEFT(G429,1)="L","記載要",LEFT(G429,1)="W","",AND(C429,G429=""),"記載要")</f>
        <v/>
      </c>
      <c r="R429" s="21" t="str">
        <f t="shared" si="72"/>
        <v/>
      </c>
      <c r="S429" s="21"/>
      <c r="Z429" s="8"/>
      <c r="AA429">
        <v>1</v>
      </c>
      <c r="AB429">
        <f t="shared" si="68"/>
        <v>0</v>
      </c>
      <c r="AC429">
        <v>1</v>
      </c>
      <c r="AF429">
        <v>1</v>
      </c>
      <c r="AG429" s="8"/>
      <c r="AH429" s="8"/>
      <c r="AK429" cm="1">
        <f t="array" ref="AK429">_xlfn.IFS(B429="","",LEFT(G429,1)="L",1,LEFT(G429,1)="W",1,AND(LEFT(B429,1)="H",G429=""),0)</f>
        <v>1</v>
      </c>
      <c r="AS429" t="str">
        <f t="shared" si="69"/>
        <v/>
      </c>
      <c r="AT429" t="s">
        <v>115</v>
      </c>
      <c r="AU429" t="str">
        <f t="shared" si="70"/>
        <v>0</v>
      </c>
      <c r="BD429" t="str">
        <f t="shared" si="71"/>
        <v>0</v>
      </c>
      <c r="BK429" t="str">
        <f>IFERROR(VLOOKUP(B429,'[1]model_S-フレーム'!$F$5:$R$7000,13,1),"")</f>
        <v>E359254_01</v>
      </c>
      <c r="BL429" s="7" t="str">
        <f>IFERROR(VLOOKUP(B429,'[1]model_S-フレーム'!$F$5:$V$7000,17,1),"")</f>
        <v>RX-10F</v>
      </c>
      <c r="BM429" t="str" cm="1">
        <f t="array" ref="BM429">_xlfn.IFS(LEFT(G429,1)="L","外注品",LEFT(G429,1)="W","内製品",G429="","購買品")</f>
        <v>内製品</v>
      </c>
    </row>
    <row r="430" spans="1:65">
      <c r="A430" t="str">
        <f t="shared" si="63"/>
        <v>WG01</v>
      </c>
      <c r="B430" t="s">
        <v>546</v>
      </c>
      <c r="C430" t="s">
        <v>903</v>
      </c>
      <c r="D430" s="7"/>
      <c r="E430" s="7"/>
      <c r="G430" t="s">
        <v>1938</v>
      </c>
      <c r="H430" t="str" cm="1">
        <f t="array" ref="H430">IFERROR(_xlfn.IFS(B430="","",AND(B430="",G430=""),"",G430="","記載要"),"")</f>
        <v/>
      </c>
      <c r="K430" t="str">
        <f t="shared" si="64"/>
        <v>11WP00902653</v>
      </c>
      <c r="L430" s="3" t="str">
        <f t="shared" si="65"/>
        <v>2001/01/01</v>
      </c>
      <c r="M430" s="3" t="str">
        <f t="shared" si="66"/>
        <v>2199/12/31</v>
      </c>
      <c r="N430" t="str">
        <f t="shared" si="67"/>
        <v>11WP00902653</v>
      </c>
      <c r="O430">
        <v>5</v>
      </c>
      <c r="Q430" t="str" cm="1">
        <f t="array" ref="Q430">_xlfn.IFS(AND(C430="",G430=""),"",LEFT(G430,1)="L","記載要",LEFT(G430,1)="W","",AND(C430,G430=""),"記載要")</f>
        <v/>
      </c>
      <c r="R430" s="21" t="str">
        <f t="shared" si="72"/>
        <v/>
      </c>
      <c r="S430" s="21"/>
      <c r="Z430" s="8"/>
      <c r="AA430">
        <v>1</v>
      </c>
      <c r="AB430">
        <f t="shared" si="68"/>
        <v>0</v>
      </c>
      <c r="AC430">
        <v>1</v>
      </c>
      <c r="AF430">
        <v>1</v>
      </c>
      <c r="AG430" s="8"/>
      <c r="AH430" s="8"/>
      <c r="AK430" cm="1">
        <f t="array" ref="AK430">_xlfn.IFS(B430="","",LEFT(G430,1)="L",1,LEFT(G430,1)="W",1,AND(LEFT(B430,1)="H",G430=""),0)</f>
        <v>1</v>
      </c>
      <c r="AS430" t="str">
        <f t="shared" si="69"/>
        <v/>
      </c>
      <c r="AT430" t="s">
        <v>115</v>
      </c>
      <c r="AU430" t="str">
        <f t="shared" si="70"/>
        <v>0</v>
      </c>
      <c r="BD430" t="str">
        <f t="shared" si="71"/>
        <v>0</v>
      </c>
      <c r="BK430" t="str">
        <f>IFERROR(VLOOKUP(B430,'[1]model_S-フレーム'!$F$5:$R$7000,13,1),"")</f>
        <v>E359254_01</v>
      </c>
      <c r="BL430" s="7" t="str">
        <f>IFERROR(VLOOKUP(B430,'[1]model_S-フレーム'!$F$5:$V$7000,17,1),"")</f>
        <v>RX-10F</v>
      </c>
      <c r="BM430" t="str" cm="1">
        <f t="array" ref="BM430">_xlfn.IFS(LEFT(G430,1)="L","外注品",LEFT(G430,1)="W","内製品",G430="","購買品")</f>
        <v>内製品</v>
      </c>
    </row>
    <row r="431" spans="1:65">
      <c r="A431" t="str">
        <f t="shared" si="63"/>
        <v>WG01</v>
      </c>
      <c r="B431" t="s">
        <v>547</v>
      </c>
      <c r="C431" t="s">
        <v>903</v>
      </c>
      <c r="D431" s="7"/>
      <c r="E431" s="7"/>
      <c r="G431" t="s">
        <v>1938</v>
      </c>
      <c r="H431" t="str" cm="1">
        <f t="array" ref="H431">IFERROR(_xlfn.IFS(B431="","",AND(B431="",G431=""),"",G431="","記載要"),"")</f>
        <v/>
      </c>
      <c r="K431" t="str">
        <f t="shared" si="64"/>
        <v>11WP00902654</v>
      </c>
      <c r="L431" s="3" t="str">
        <f t="shared" si="65"/>
        <v>2001/01/01</v>
      </c>
      <c r="M431" s="3" t="str">
        <f t="shared" si="66"/>
        <v>2199/12/31</v>
      </c>
      <c r="N431" t="str">
        <f t="shared" si="67"/>
        <v>11WP00902654</v>
      </c>
      <c r="O431">
        <v>5</v>
      </c>
      <c r="Q431" t="str" cm="1">
        <f t="array" ref="Q431">_xlfn.IFS(AND(C431="",G431=""),"",LEFT(G431,1)="L","記載要",LEFT(G431,1)="W","",AND(C431,G431=""),"記載要")</f>
        <v/>
      </c>
      <c r="R431" s="21" t="str">
        <f t="shared" si="72"/>
        <v/>
      </c>
      <c r="S431" s="21"/>
      <c r="Z431" s="8"/>
      <c r="AA431">
        <v>1</v>
      </c>
      <c r="AB431">
        <f t="shared" si="68"/>
        <v>0</v>
      </c>
      <c r="AC431">
        <v>1</v>
      </c>
      <c r="AF431">
        <v>1</v>
      </c>
      <c r="AG431" s="8"/>
      <c r="AH431" s="8"/>
      <c r="AK431" cm="1">
        <f t="array" ref="AK431">_xlfn.IFS(B431="","",LEFT(G431,1)="L",1,LEFT(G431,1)="W",1,AND(LEFT(B431,1)="H",G431=""),0)</f>
        <v>1</v>
      </c>
      <c r="AS431" t="str">
        <f t="shared" si="69"/>
        <v/>
      </c>
      <c r="AT431" t="s">
        <v>115</v>
      </c>
      <c r="AU431" t="str">
        <f t="shared" si="70"/>
        <v>0</v>
      </c>
      <c r="BD431" t="str">
        <f t="shared" si="71"/>
        <v>0</v>
      </c>
      <c r="BK431" t="str">
        <f>IFERROR(VLOOKUP(B431,'[1]model_S-フレーム'!$F$5:$R$7000,13,1),"")</f>
        <v>E359254_01</v>
      </c>
      <c r="BL431" s="7" t="str">
        <f>IFERROR(VLOOKUP(B431,'[1]model_S-フレーム'!$F$5:$V$7000,17,1),"")</f>
        <v>RX-10F</v>
      </c>
      <c r="BM431" t="str" cm="1">
        <f t="array" ref="BM431">_xlfn.IFS(LEFT(G431,1)="L","外注品",LEFT(G431,1)="W","内製品",G431="","購買品")</f>
        <v>内製品</v>
      </c>
    </row>
    <row r="432" spans="1:65">
      <c r="A432" t="str">
        <f t="shared" si="63"/>
        <v>WG01</v>
      </c>
      <c r="B432" t="s">
        <v>548</v>
      </c>
      <c r="C432" t="s">
        <v>903</v>
      </c>
      <c r="D432" s="7"/>
      <c r="E432" s="7"/>
      <c r="G432" t="s">
        <v>1938</v>
      </c>
      <c r="H432" t="str" cm="1">
        <f t="array" ref="H432">IFERROR(_xlfn.IFS(B432="","",AND(B432="",G432=""),"",G432="","記載要"),"")</f>
        <v/>
      </c>
      <c r="K432" t="str">
        <f t="shared" si="64"/>
        <v>11WP00902655</v>
      </c>
      <c r="L432" s="3" t="str">
        <f t="shared" si="65"/>
        <v>2001/01/01</v>
      </c>
      <c r="M432" s="3" t="str">
        <f t="shared" si="66"/>
        <v>2199/12/31</v>
      </c>
      <c r="N432" t="str">
        <f t="shared" si="67"/>
        <v>11WP00902655</v>
      </c>
      <c r="O432">
        <v>5</v>
      </c>
      <c r="Q432" t="str" cm="1">
        <f t="array" ref="Q432">_xlfn.IFS(AND(C432="",G432=""),"",LEFT(G432,1)="L","記載要",LEFT(G432,1)="W","",AND(C432,G432=""),"記載要")</f>
        <v/>
      </c>
      <c r="R432" s="21" t="str">
        <f t="shared" si="72"/>
        <v/>
      </c>
      <c r="S432" s="21"/>
      <c r="Z432" s="8"/>
      <c r="AA432">
        <v>1</v>
      </c>
      <c r="AB432">
        <f t="shared" si="68"/>
        <v>0</v>
      </c>
      <c r="AC432">
        <v>1</v>
      </c>
      <c r="AF432">
        <v>1</v>
      </c>
      <c r="AG432" s="8"/>
      <c r="AH432" s="8"/>
      <c r="AK432" cm="1">
        <f t="array" ref="AK432">_xlfn.IFS(B432="","",LEFT(G432,1)="L",1,LEFT(G432,1)="W",1,AND(LEFT(B432,1)="H",G432=""),0)</f>
        <v>1</v>
      </c>
      <c r="AS432" t="str">
        <f t="shared" si="69"/>
        <v/>
      </c>
      <c r="AT432" t="s">
        <v>115</v>
      </c>
      <c r="AU432" t="str">
        <f t="shared" si="70"/>
        <v>0</v>
      </c>
      <c r="BD432" t="str">
        <f t="shared" si="71"/>
        <v>0</v>
      </c>
      <c r="BK432" t="str">
        <f>IFERROR(VLOOKUP(B432,'[1]model_S-フレーム'!$F$5:$R$7000,13,1),"")</f>
        <v>E359254_01</v>
      </c>
      <c r="BL432" s="7" t="str">
        <f>IFERROR(VLOOKUP(B432,'[1]model_S-フレーム'!$F$5:$V$7000,17,1),"")</f>
        <v>RX-10F</v>
      </c>
      <c r="BM432" t="str" cm="1">
        <f t="array" ref="BM432">_xlfn.IFS(LEFT(G432,1)="L","外注品",LEFT(G432,1)="W","内製品",G432="","購買品")</f>
        <v>内製品</v>
      </c>
    </row>
    <row r="433" spans="1:65">
      <c r="A433" t="str">
        <f t="shared" si="63"/>
        <v>WG01</v>
      </c>
      <c r="B433" t="s">
        <v>549</v>
      </c>
      <c r="C433" t="s">
        <v>903</v>
      </c>
      <c r="D433" s="7"/>
      <c r="E433" s="7"/>
      <c r="G433" t="s">
        <v>1938</v>
      </c>
      <c r="H433" t="str" cm="1">
        <f t="array" ref="H433">IFERROR(_xlfn.IFS(B433="","",AND(B433="",G433=""),"",G433="","記載要"),"")</f>
        <v/>
      </c>
      <c r="K433" t="str">
        <f t="shared" si="64"/>
        <v>11WP00902656</v>
      </c>
      <c r="L433" s="3" t="str">
        <f t="shared" si="65"/>
        <v>2001/01/01</v>
      </c>
      <c r="M433" s="3" t="str">
        <f t="shared" si="66"/>
        <v>2199/12/31</v>
      </c>
      <c r="N433" t="str">
        <f t="shared" si="67"/>
        <v>11WP00902656</v>
      </c>
      <c r="O433">
        <v>5</v>
      </c>
      <c r="Q433" t="str" cm="1">
        <f t="array" ref="Q433">_xlfn.IFS(AND(C433="",G433=""),"",LEFT(G433,1)="L","記載要",LEFT(G433,1)="W","",AND(C433,G433=""),"記載要")</f>
        <v/>
      </c>
      <c r="R433" s="21" t="str">
        <f t="shared" si="72"/>
        <v/>
      </c>
      <c r="S433" s="21"/>
      <c r="Z433" s="8"/>
      <c r="AA433">
        <v>1</v>
      </c>
      <c r="AB433">
        <f t="shared" si="68"/>
        <v>0</v>
      </c>
      <c r="AC433">
        <v>1</v>
      </c>
      <c r="AF433">
        <v>1</v>
      </c>
      <c r="AG433" s="8"/>
      <c r="AH433" s="8"/>
      <c r="AK433" cm="1">
        <f t="array" ref="AK433">_xlfn.IFS(B433="","",LEFT(G433,1)="L",1,LEFT(G433,1)="W",1,AND(LEFT(B433,1)="H",G433=""),0)</f>
        <v>1</v>
      </c>
      <c r="AS433" t="str">
        <f t="shared" si="69"/>
        <v/>
      </c>
      <c r="AT433" t="s">
        <v>115</v>
      </c>
      <c r="AU433" t="str">
        <f t="shared" si="70"/>
        <v>0</v>
      </c>
      <c r="BD433" t="str">
        <f t="shared" si="71"/>
        <v>0</v>
      </c>
      <c r="BK433" t="str">
        <f>IFERROR(VLOOKUP(B433,'[1]model_S-フレーム'!$F$5:$R$7000,13,1),"")</f>
        <v>E359254_01</v>
      </c>
      <c r="BL433" s="7" t="str">
        <f>IFERROR(VLOOKUP(B433,'[1]model_S-フレーム'!$F$5:$V$7000,17,1),"")</f>
        <v>RX-10F</v>
      </c>
      <c r="BM433" t="str" cm="1">
        <f t="array" ref="BM433">_xlfn.IFS(LEFT(G433,1)="L","外注品",LEFT(G433,1)="W","内製品",G433="","購買品")</f>
        <v>内製品</v>
      </c>
    </row>
    <row r="434" spans="1:65">
      <c r="A434" t="str">
        <f t="shared" si="63"/>
        <v>WG01</v>
      </c>
      <c r="B434" t="s">
        <v>550</v>
      </c>
      <c r="C434" t="s">
        <v>903</v>
      </c>
      <c r="D434" s="7"/>
      <c r="E434" s="7"/>
      <c r="G434" t="s">
        <v>1938</v>
      </c>
      <c r="H434" t="str" cm="1">
        <f t="array" ref="H434">IFERROR(_xlfn.IFS(B434="","",AND(B434="",G434=""),"",G434="","記載要"),"")</f>
        <v/>
      </c>
      <c r="K434" t="str">
        <f t="shared" si="64"/>
        <v>11WP00902657</v>
      </c>
      <c r="L434" s="3" t="str">
        <f t="shared" si="65"/>
        <v>2001/01/01</v>
      </c>
      <c r="M434" s="3" t="str">
        <f t="shared" si="66"/>
        <v>2199/12/31</v>
      </c>
      <c r="N434" t="str">
        <f t="shared" si="67"/>
        <v>11WP00902657</v>
      </c>
      <c r="O434">
        <v>5</v>
      </c>
      <c r="Q434" t="str" cm="1">
        <f t="array" ref="Q434">_xlfn.IFS(AND(C434="",G434=""),"",LEFT(G434,1)="L","記載要",LEFT(G434,1)="W","",AND(C434,G434=""),"記載要")</f>
        <v/>
      </c>
      <c r="R434" s="21" t="str">
        <f t="shared" si="72"/>
        <v/>
      </c>
      <c r="S434" s="21"/>
      <c r="Z434" s="8"/>
      <c r="AA434">
        <v>1</v>
      </c>
      <c r="AB434">
        <f t="shared" si="68"/>
        <v>0</v>
      </c>
      <c r="AC434">
        <v>1</v>
      </c>
      <c r="AF434">
        <v>1</v>
      </c>
      <c r="AG434" s="8"/>
      <c r="AH434" s="8"/>
      <c r="AK434" cm="1">
        <f t="array" ref="AK434">_xlfn.IFS(B434="","",LEFT(G434,1)="L",1,LEFT(G434,1)="W",1,AND(LEFT(B434,1)="H",G434=""),0)</f>
        <v>1</v>
      </c>
      <c r="AS434" t="str">
        <f t="shared" si="69"/>
        <v/>
      </c>
      <c r="AT434" t="s">
        <v>115</v>
      </c>
      <c r="AU434" t="str">
        <f t="shared" si="70"/>
        <v>0</v>
      </c>
      <c r="BD434" t="str">
        <f t="shared" si="71"/>
        <v>0</v>
      </c>
      <c r="BK434" t="str">
        <f>IFERROR(VLOOKUP(B434,'[1]model_S-フレーム'!$F$5:$R$7000,13,1),"")</f>
        <v>E359254_01</v>
      </c>
      <c r="BL434" s="7" t="str">
        <f>IFERROR(VLOOKUP(B434,'[1]model_S-フレーム'!$F$5:$V$7000,17,1),"")</f>
        <v>RX-10F</v>
      </c>
      <c r="BM434" t="str" cm="1">
        <f t="array" ref="BM434">_xlfn.IFS(LEFT(G434,1)="L","外注品",LEFT(G434,1)="W","内製品",G434="","購買品")</f>
        <v>内製品</v>
      </c>
    </row>
    <row r="435" spans="1:65">
      <c r="A435" t="str">
        <f t="shared" si="63"/>
        <v>WG01</v>
      </c>
      <c r="B435" t="s">
        <v>551</v>
      </c>
      <c r="C435" t="s">
        <v>903</v>
      </c>
      <c r="D435" s="7"/>
      <c r="E435" s="7"/>
      <c r="G435" t="s">
        <v>1938</v>
      </c>
      <c r="H435" t="str" cm="1">
        <f t="array" ref="H435">IFERROR(_xlfn.IFS(B435="","",AND(B435="",G435=""),"",G435="","記載要"),"")</f>
        <v/>
      </c>
      <c r="K435" t="str">
        <f t="shared" si="64"/>
        <v>11WP00902658</v>
      </c>
      <c r="L435" s="3" t="str">
        <f t="shared" si="65"/>
        <v>2001/01/01</v>
      </c>
      <c r="M435" s="3" t="str">
        <f t="shared" si="66"/>
        <v>2199/12/31</v>
      </c>
      <c r="N435" t="str">
        <f t="shared" si="67"/>
        <v>11WP00902658</v>
      </c>
      <c r="O435">
        <v>5</v>
      </c>
      <c r="Q435" t="str" cm="1">
        <f t="array" ref="Q435">_xlfn.IFS(AND(C435="",G435=""),"",LEFT(G435,1)="L","記載要",LEFT(G435,1)="W","",AND(C435,G435=""),"記載要")</f>
        <v/>
      </c>
      <c r="R435" s="21" t="str">
        <f t="shared" si="72"/>
        <v/>
      </c>
      <c r="S435" s="21"/>
      <c r="Z435" s="8"/>
      <c r="AA435">
        <v>1</v>
      </c>
      <c r="AB435">
        <f t="shared" si="68"/>
        <v>0</v>
      </c>
      <c r="AC435">
        <v>1</v>
      </c>
      <c r="AF435">
        <v>1</v>
      </c>
      <c r="AG435" s="8"/>
      <c r="AH435" s="8"/>
      <c r="AK435" cm="1">
        <f t="array" ref="AK435">_xlfn.IFS(B435="","",LEFT(G435,1)="L",1,LEFT(G435,1)="W",1,AND(LEFT(B435,1)="H",G435=""),0)</f>
        <v>1</v>
      </c>
      <c r="AS435" t="str">
        <f t="shared" si="69"/>
        <v/>
      </c>
      <c r="AT435" t="s">
        <v>115</v>
      </c>
      <c r="AU435" t="str">
        <f t="shared" si="70"/>
        <v>0</v>
      </c>
      <c r="BD435" t="str">
        <f t="shared" si="71"/>
        <v>0</v>
      </c>
      <c r="BK435" t="str">
        <f>IFERROR(VLOOKUP(B435,'[1]model_S-フレーム'!$F$5:$R$7000,13,1),"")</f>
        <v>E359254_01</v>
      </c>
      <c r="BL435" s="7" t="str">
        <f>IFERROR(VLOOKUP(B435,'[1]model_S-フレーム'!$F$5:$V$7000,17,1),"")</f>
        <v>RX-10F</v>
      </c>
      <c r="BM435" t="str" cm="1">
        <f t="array" ref="BM435">_xlfn.IFS(LEFT(G435,1)="L","外注品",LEFT(G435,1)="W","内製品",G435="","購買品")</f>
        <v>内製品</v>
      </c>
    </row>
    <row r="436" spans="1:65">
      <c r="A436" t="str">
        <f t="shared" si="63"/>
        <v>WG01</v>
      </c>
      <c r="B436" t="s">
        <v>552</v>
      </c>
      <c r="C436" t="s">
        <v>903</v>
      </c>
      <c r="D436" s="7"/>
      <c r="E436" s="7"/>
      <c r="G436" t="s">
        <v>1938</v>
      </c>
      <c r="H436" t="str" cm="1">
        <f t="array" ref="H436">IFERROR(_xlfn.IFS(B436="","",AND(B436="",G436=""),"",G436="","記載要"),"")</f>
        <v/>
      </c>
      <c r="K436" t="str">
        <f t="shared" si="64"/>
        <v>11WP00902659</v>
      </c>
      <c r="L436" s="3" t="str">
        <f t="shared" si="65"/>
        <v>2001/01/01</v>
      </c>
      <c r="M436" s="3" t="str">
        <f t="shared" si="66"/>
        <v>2199/12/31</v>
      </c>
      <c r="N436" t="str">
        <f t="shared" si="67"/>
        <v>11WP00902659</v>
      </c>
      <c r="O436">
        <v>5</v>
      </c>
      <c r="Q436" t="str" cm="1">
        <f t="array" ref="Q436">_xlfn.IFS(AND(C436="",G436=""),"",LEFT(G436,1)="L","記載要",LEFT(G436,1)="W","",AND(C436,G436=""),"記載要")</f>
        <v/>
      </c>
      <c r="R436" s="21" t="str">
        <f t="shared" si="72"/>
        <v/>
      </c>
      <c r="S436" s="21"/>
      <c r="Z436" s="8"/>
      <c r="AA436">
        <v>1</v>
      </c>
      <c r="AB436">
        <f t="shared" si="68"/>
        <v>0</v>
      </c>
      <c r="AC436">
        <v>1</v>
      </c>
      <c r="AF436">
        <v>1</v>
      </c>
      <c r="AG436" s="8"/>
      <c r="AH436" s="8"/>
      <c r="AK436" cm="1">
        <f t="array" ref="AK436">_xlfn.IFS(B436="","",LEFT(G436,1)="L",1,LEFT(G436,1)="W",1,AND(LEFT(B436,1)="H",G436=""),0)</f>
        <v>1</v>
      </c>
      <c r="AS436" t="str">
        <f t="shared" si="69"/>
        <v/>
      </c>
      <c r="AT436" t="s">
        <v>115</v>
      </c>
      <c r="AU436" t="str">
        <f t="shared" si="70"/>
        <v>0</v>
      </c>
      <c r="BD436" t="str">
        <f t="shared" si="71"/>
        <v>0</v>
      </c>
      <c r="BK436" t="str">
        <f>IFERROR(VLOOKUP(B436,'[1]model_S-フレーム'!$F$5:$R$7000,13,1),"")</f>
        <v>E359254_01</v>
      </c>
      <c r="BL436" s="7" t="str">
        <f>IFERROR(VLOOKUP(B436,'[1]model_S-フレーム'!$F$5:$V$7000,17,1),"")</f>
        <v>RX-10F</v>
      </c>
      <c r="BM436" t="str" cm="1">
        <f t="array" ref="BM436">_xlfn.IFS(LEFT(G436,1)="L","外注品",LEFT(G436,1)="W","内製品",G436="","購買品")</f>
        <v>内製品</v>
      </c>
    </row>
    <row r="437" spans="1:65">
      <c r="A437" t="str">
        <f t="shared" si="63"/>
        <v>WG01</v>
      </c>
      <c r="B437" t="s">
        <v>553</v>
      </c>
      <c r="C437" t="s">
        <v>903</v>
      </c>
      <c r="D437" s="7"/>
      <c r="E437" s="7"/>
      <c r="G437" t="s">
        <v>1938</v>
      </c>
      <c r="H437" t="str" cm="1">
        <f t="array" ref="H437">IFERROR(_xlfn.IFS(B437="","",AND(B437="",G437=""),"",G437="","記載要"),"")</f>
        <v/>
      </c>
      <c r="K437" t="str">
        <f t="shared" si="64"/>
        <v>11WP00902660</v>
      </c>
      <c r="L437" s="3" t="str">
        <f t="shared" si="65"/>
        <v>2001/01/01</v>
      </c>
      <c r="M437" s="3" t="str">
        <f t="shared" si="66"/>
        <v>2199/12/31</v>
      </c>
      <c r="N437" t="str">
        <f t="shared" si="67"/>
        <v>11WP00902660</v>
      </c>
      <c r="O437">
        <v>5</v>
      </c>
      <c r="Q437" t="str" cm="1">
        <f t="array" ref="Q437">_xlfn.IFS(AND(C437="",G437=""),"",LEFT(G437,1)="L","記載要",LEFT(G437,1)="W","",AND(C437,G437=""),"記載要")</f>
        <v/>
      </c>
      <c r="R437" s="21" t="str">
        <f t="shared" si="72"/>
        <v/>
      </c>
      <c r="S437" s="21"/>
      <c r="Z437" s="8"/>
      <c r="AA437">
        <v>1</v>
      </c>
      <c r="AB437">
        <f t="shared" si="68"/>
        <v>0</v>
      </c>
      <c r="AC437">
        <v>1</v>
      </c>
      <c r="AF437">
        <v>1</v>
      </c>
      <c r="AG437" s="8"/>
      <c r="AH437" s="8"/>
      <c r="AK437" cm="1">
        <f t="array" ref="AK437">_xlfn.IFS(B437="","",LEFT(G437,1)="L",1,LEFT(G437,1)="W",1,AND(LEFT(B437,1)="H",G437=""),0)</f>
        <v>1</v>
      </c>
      <c r="AS437" t="str">
        <f t="shared" si="69"/>
        <v/>
      </c>
      <c r="AT437" t="s">
        <v>115</v>
      </c>
      <c r="AU437" t="str">
        <f t="shared" si="70"/>
        <v>0</v>
      </c>
      <c r="BD437" t="str">
        <f t="shared" si="71"/>
        <v>0</v>
      </c>
      <c r="BK437" t="str">
        <f>IFERROR(VLOOKUP(B437,'[1]model_S-フレーム'!$F$5:$R$7000,13,1),"")</f>
        <v>E359254_01</v>
      </c>
      <c r="BL437" s="7" t="str">
        <f>IFERROR(VLOOKUP(B437,'[1]model_S-フレーム'!$F$5:$V$7000,17,1),"")</f>
        <v>RX-10F</v>
      </c>
      <c r="BM437" t="str" cm="1">
        <f t="array" ref="BM437">_xlfn.IFS(LEFT(G437,1)="L","外注品",LEFT(G437,1)="W","内製品",G437="","購買品")</f>
        <v>内製品</v>
      </c>
    </row>
    <row r="438" spans="1:65">
      <c r="A438" t="str">
        <f t="shared" si="63"/>
        <v>WG01</v>
      </c>
      <c r="B438" t="s">
        <v>554</v>
      </c>
      <c r="C438" t="s">
        <v>904</v>
      </c>
      <c r="D438" s="7"/>
      <c r="E438" s="7"/>
      <c r="G438" t="s">
        <v>1938</v>
      </c>
      <c r="H438" t="str" cm="1">
        <f t="array" ref="H438">IFERROR(_xlfn.IFS(B438="","",AND(B438="",G438=""),"",G438="","記載要"),"")</f>
        <v/>
      </c>
      <c r="K438" t="str">
        <f t="shared" si="64"/>
        <v>11WP00902661</v>
      </c>
      <c r="L438" s="3" t="str">
        <f t="shared" si="65"/>
        <v>2001/01/01</v>
      </c>
      <c r="M438" s="3" t="str">
        <f t="shared" si="66"/>
        <v>2199/12/31</v>
      </c>
      <c r="N438" t="str">
        <f t="shared" si="67"/>
        <v>11WP00902661</v>
      </c>
      <c r="O438">
        <v>5</v>
      </c>
      <c r="Q438" t="str" cm="1">
        <f t="array" ref="Q438">_xlfn.IFS(AND(C438="",G438=""),"",LEFT(G438,1)="L","記載要",LEFT(G438,1)="W","",AND(C438,G438=""),"記載要")</f>
        <v/>
      </c>
      <c r="R438" s="21" t="str">
        <f t="shared" si="72"/>
        <v/>
      </c>
      <c r="S438" s="21"/>
      <c r="Z438" s="8"/>
      <c r="AA438">
        <v>1</v>
      </c>
      <c r="AB438">
        <f t="shared" si="68"/>
        <v>0</v>
      </c>
      <c r="AC438">
        <v>1</v>
      </c>
      <c r="AF438">
        <v>1</v>
      </c>
      <c r="AG438" s="8"/>
      <c r="AH438" s="8"/>
      <c r="AK438" cm="1">
        <f t="array" ref="AK438">_xlfn.IFS(B438="","",LEFT(G438,1)="L",1,LEFT(G438,1)="W",1,AND(LEFT(B438,1)="H",G438=""),0)</f>
        <v>1</v>
      </c>
      <c r="AS438" t="str">
        <f t="shared" si="69"/>
        <v/>
      </c>
      <c r="AT438" t="s">
        <v>115</v>
      </c>
      <c r="AU438" t="str">
        <f t="shared" si="70"/>
        <v>0</v>
      </c>
      <c r="BD438" t="str">
        <f t="shared" si="71"/>
        <v>0</v>
      </c>
      <c r="BK438" t="str">
        <f>IFERROR(VLOOKUP(B438,'[1]model_S-フレーム'!$F$5:$R$7000,13,1),"")</f>
        <v>E359254_01</v>
      </c>
      <c r="BL438" s="7" t="str">
        <f>IFERROR(VLOOKUP(B438,'[1]model_S-フレーム'!$F$5:$V$7000,17,1),"")</f>
        <v>RX-10F</v>
      </c>
      <c r="BM438" t="str" cm="1">
        <f t="array" ref="BM438">_xlfn.IFS(LEFT(G438,1)="L","外注品",LEFT(G438,1)="W","内製品",G438="","購買品")</f>
        <v>内製品</v>
      </c>
    </row>
    <row r="439" spans="1:65">
      <c r="A439" t="str">
        <f t="shared" si="63"/>
        <v>WG01</v>
      </c>
      <c r="B439" t="s">
        <v>555</v>
      </c>
      <c r="C439" t="s">
        <v>904</v>
      </c>
      <c r="D439" s="7"/>
      <c r="E439" s="7"/>
      <c r="G439" t="s">
        <v>1938</v>
      </c>
      <c r="H439" t="str" cm="1">
        <f t="array" ref="H439">IFERROR(_xlfn.IFS(B439="","",AND(B439="",G439=""),"",G439="","記載要"),"")</f>
        <v/>
      </c>
      <c r="K439" t="str">
        <f t="shared" si="64"/>
        <v>11WP00902662</v>
      </c>
      <c r="L439" s="3" t="str">
        <f t="shared" si="65"/>
        <v>2001/01/01</v>
      </c>
      <c r="M439" s="3" t="str">
        <f t="shared" si="66"/>
        <v>2199/12/31</v>
      </c>
      <c r="N439" t="str">
        <f t="shared" si="67"/>
        <v>11WP00902662</v>
      </c>
      <c r="O439">
        <v>5</v>
      </c>
      <c r="Q439" t="str" cm="1">
        <f t="array" ref="Q439">_xlfn.IFS(AND(C439="",G439=""),"",LEFT(G439,1)="L","記載要",LEFT(G439,1)="W","",AND(C439,G439=""),"記載要")</f>
        <v/>
      </c>
      <c r="R439" s="21" t="str">
        <f t="shared" si="72"/>
        <v/>
      </c>
      <c r="S439" s="21"/>
      <c r="Z439" s="8"/>
      <c r="AA439">
        <v>1</v>
      </c>
      <c r="AB439">
        <f t="shared" si="68"/>
        <v>0</v>
      </c>
      <c r="AC439">
        <v>1</v>
      </c>
      <c r="AF439">
        <v>1</v>
      </c>
      <c r="AG439" s="8"/>
      <c r="AH439" s="8"/>
      <c r="AK439" cm="1">
        <f t="array" ref="AK439">_xlfn.IFS(B439="","",LEFT(G439,1)="L",1,LEFT(G439,1)="W",1,AND(LEFT(B439,1)="H",G439=""),0)</f>
        <v>1</v>
      </c>
      <c r="AS439" t="str">
        <f t="shared" si="69"/>
        <v/>
      </c>
      <c r="AT439" t="s">
        <v>115</v>
      </c>
      <c r="AU439" t="str">
        <f t="shared" si="70"/>
        <v>0</v>
      </c>
      <c r="BD439" t="str">
        <f t="shared" si="71"/>
        <v>0</v>
      </c>
      <c r="BK439" t="str">
        <f>IFERROR(VLOOKUP(B439,'[1]model_S-フレーム'!$F$5:$R$7000,13,1),"")</f>
        <v>E359254_01</v>
      </c>
      <c r="BL439" s="7" t="str">
        <f>IFERROR(VLOOKUP(B439,'[1]model_S-フレーム'!$F$5:$V$7000,17,1),"")</f>
        <v>RX-10F</v>
      </c>
      <c r="BM439" t="str" cm="1">
        <f t="array" ref="BM439">_xlfn.IFS(LEFT(G439,1)="L","外注品",LEFT(G439,1)="W","内製品",G439="","購買品")</f>
        <v>内製品</v>
      </c>
    </row>
    <row r="440" spans="1:65">
      <c r="A440" t="str">
        <f t="shared" si="63"/>
        <v>WG01</v>
      </c>
      <c r="B440" t="s">
        <v>556</v>
      </c>
      <c r="C440" t="s">
        <v>904</v>
      </c>
      <c r="D440" s="7"/>
      <c r="E440" s="7"/>
      <c r="G440" t="s">
        <v>1938</v>
      </c>
      <c r="H440" t="str" cm="1">
        <f t="array" ref="H440">IFERROR(_xlfn.IFS(B440="","",AND(B440="",G440=""),"",G440="","記載要"),"")</f>
        <v/>
      </c>
      <c r="K440" t="str">
        <f t="shared" si="64"/>
        <v>11WP00902663</v>
      </c>
      <c r="L440" s="3" t="str">
        <f t="shared" si="65"/>
        <v>2001/01/01</v>
      </c>
      <c r="M440" s="3" t="str">
        <f t="shared" si="66"/>
        <v>2199/12/31</v>
      </c>
      <c r="N440" t="str">
        <f t="shared" si="67"/>
        <v>11WP00902663</v>
      </c>
      <c r="O440">
        <v>5</v>
      </c>
      <c r="Q440" t="str" cm="1">
        <f t="array" ref="Q440">_xlfn.IFS(AND(C440="",G440=""),"",LEFT(G440,1)="L","記載要",LEFT(G440,1)="W","",AND(C440,G440=""),"記載要")</f>
        <v/>
      </c>
      <c r="R440" s="21" t="str">
        <f t="shared" si="72"/>
        <v/>
      </c>
      <c r="S440" s="21"/>
      <c r="Z440" s="8"/>
      <c r="AA440">
        <v>1</v>
      </c>
      <c r="AB440">
        <f t="shared" si="68"/>
        <v>0</v>
      </c>
      <c r="AC440">
        <v>1</v>
      </c>
      <c r="AF440">
        <v>1</v>
      </c>
      <c r="AG440" s="8"/>
      <c r="AH440" s="8"/>
      <c r="AK440" cm="1">
        <f t="array" ref="AK440">_xlfn.IFS(B440="","",LEFT(G440,1)="L",1,LEFT(G440,1)="W",1,AND(LEFT(B440,1)="H",G440=""),0)</f>
        <v>1</v>
      </c>
      <c r="AS440" t="str">
        <f t="shared" si="69"/>
        <v/>
      </c>
      <c r="AT440" t="s">
        <v>115</v>
      </c>
      <c r="AU440" t="str">
        <f t="shared" si="70"/>
        <v>0</v>
      </c>
      <c r="BD440" t="str">
        <f t="shared" si="71"/>
        <v>0</v>
      </c>
      <c r="BK440" t="str">
        <f>IFERROR(VLOOKUP(B440,'[1]model_S-フレーム'!$F$5:$R$7000,13,1),"")</f>
        <v>E359254_01</v>
      </c>
      <c r="BL440" s="7" t="str">
        <f>IFERROR(VLOOKUP(B440,'[1]model_S-フレーム'!$F$5:$V$7000,17,1),"")</f>
        <v>RX-10F</v>
      </c>
      <c r="BM440" t="str" cm="1">
        <f t="array" ref="BM440">_xlfn.IFS(LEFT(G440,1)="L","外注品",LEFT(G440,1)="W","内製品",G440="","購買品")</f>
        <v>内製品</v>
      </c>
    </row>
    <row r="441" spans="1:65">
      <c r="A441" t="str">
        <f t="shared" si="63"/>
        <v>WG01</v>
      </c>
      <c r="B441" t="s">
        <v>557</v>
      </c>
      <c r="C441" t="s">
        <v>904</v>
      </c>
      <c r="D441" s="7"/>
      <c r="E441" s="7"/>
      <c r="G441" t="s">
        <v>1938</v>
      </c>
      <c r="H441" t="str" cm="1">
        <f t="array" ref="H441">IFERROR(_xlfn.IFS(B441="","",AND(B441="",G441=""),"",G441="","記載要"),"")</f>
        <v/>
      </c>
      <c r="K441" t="str">
        <f t="shared" si="64"/>
        <v>11WP00902664</v>
      </c>
      <c r="L441" s="3" t="str">
        <f t="shared" si="65"/>
        <v>2001/01/01</v>
      </c>
      <c r="M441" s="3" t="str">
        <f t="shared" si="66"/>
        <v>2199/12/31</v>
      </c>
      <c r="N441" t="str">
        <f t="shared" si="67"/>
        <v>11WP00902664</v>
      </c>
      <c r="O441">
        <v>5</v>
      </c>
      <c r="Q441" t="str" cm="1">
        <f t="array" ref="Q441">_xlfn.IFS(AND(C441="",G441=""),"",LEFT(G441,1)="L","記載要",LEFT(G441,1)="W","",AND(C441,G441=""),"記載要")</f>
        <v/>
      </c>
      <c r="R441" s="21" t="str">
        <f t="shared" si="72"/>
        <v/>
      </c>
      <c r="S441" s="21"/>
      <c r="Z441" s="8"/>
      <c r="AA441">
        <v>1</v>
      </c>
      <c r="AB441">
        <f t="shared" si="68"/>
        <v>0</v>
      </c>
      <c r="AC441">
        <v>1</v>
      </c>
      <c r="AF441">
        <v>1</v>
      </c>
      <c r="AG441" s="8"/>
      <c r="AH441" s="8"/>
      <c r="AK441" cm="1">
        <f t="array" ref="AK441">_xlfn.IFS(B441="","",LEFT(G441,1)="L",1,LEFT(G441,1)="W",1,AND(LEFT(B441,1)="H",G441=""),0)</f>
        <v>1</v>
      </c>
      <c r="AS441" t="str">
        <f t="shared" si="69"/>
        <v/>
      </c>
      <c r="AT441" t="s">
        <v>115</v>
      </c>
      <c r="AU441" t="str">
        <f t="shared" si="70"/>
        <v>0</v>
      </c>
      <c r="BD441" t="str">
        <f t="shared" si="71"/>
        <v>0</v>
      </c>
      <c r="BK441" t="str">
        <f>IFERROR(VLOOKUP(B441,'[1]model_S-フレーム'!$F$5:$R$7000,13,1),"")</f>
        <v>E359254_01</v>
      </c>
      <c r="BL441" s="7" t="str">
        <f>IFERROR(VLOOKUP(B441,'[1]model_S-フレーム'!$F$5:$V$7000,17,1),"")</f>
        <v>RX-10F</v>
      </c>
      <c r="BM441" t="str" cm="1">
        <f t="array" ref="BM441">_xlfn.IFS(LEFT(G441,1)="L","外注品",LEFT(G441,1)="W","内製品",G441="","購買品")</f>
        <v>内製品</v>
      </c>
    </row>
    <row r="442" spans="1:65">
      <c r="A442" t="str">
        <f t="shared" si="63"/>
        <v>WG01</v>
      </c>
      <c r="B442" t="s">
        <v>558</v>
      </c>
      <c r="C442" t="s">
        <v>904</v>
      </c>
      <c r="D442" s="7"/>
      <c r="E442" s="7"/>
      <c r="G442" t="s">
        <v>1938</v>
      </c>
      <c r="H442" t="str" cm="1">
        <f t="array" ref="H442">IFERROR(_xlfn.IFS(B442="","",AND(B442="",G442=""),"",G442="","記載要"),"")</f>
        <v/>
      </c>
      <c r="K442" t="str">
        <f t="shared" si="64"/>
        <v>11WP00902665</v>
      </c>
      <c r="L442" s="3" t="str">
        <f t="shared" si="65"/>
        <v>2001/01/01</v>
      </c>
      <c r="M442" s="3" t="str">
        <f t="shared" si="66"/>
        <v>2199/12/31</v>
      </c>
      <c r="N442" t="str">
        <f t="shared" si="67"/>
        <v>11WP00902665</v>
      </c>
      <c r="O442">
        <v>5</v>
      </c>
      <c r="Q442" t="str" cm="1">
        <f t="array" ref="Q442">_xlfn.IFS(AND(C442="",G442=""),"",LEFT(G442,1)="L","記載要",LEFT(G442,1)="W","",AND(C442,G442=""),"記載要")</f>
        <v/>
      </c>
      <c r="R442" s="21" t="str">
        <f t="shared" si="72"/>
        <v/>
      </c>
      <c r="S442" s="21"/>
      <c r="Z442" s="8"/>
      <c r="AA442">
        <v>1</v>
      </c>
      <c r="AB442">
        <f t="shared" si="68"/>
        <v>0</v>
      </c>
      <c r="AC442">
        <v>1</v>
      </c>
      <c r="AF442">
        <v>1</v>
      </c>
      <c r="AG442" s="8"/>
      <c r="AH442" s="8"/>
      <c r="AK442" cm="1">
        <f t="array" ref="AK442">_xlfn.IFS(B442="","",LEFT(G442,1)="L",1,LEFT(G442,1)="W",1,AND(LEFT(B442,1)="H",G442=""),0)</f>
        <v>1</v>
      </c>
      <c r="AS442" t="str">
        <f t="shared" si="69"/>
        <v/>
      </c>
      <c r="AT442" t="s">
        <v>115</v>
      </c>
      <c r="AU442" t="str">
        <f t="shared" si="70"/>
        <v>0</v>
      </c>
      <c r="BD442" t="str">
        <f t="shared" si="71"/>
        <v>0</v>
      </c>
      <c r="BK442" t="str">
        <f>IFERROR(VLOOKUP(B442,'[1]model_S-フレーム'!$F$5:$R$7000,13,1),"")</f>
        <v>E359254_01</v>
      </c>
      <c r="BL442" s="7" t="str">
        <f>IFERROR(VLOOKUP(B442,'[1]model_S-フレーム'!$F$5:$V$7000,17,1),"")</f>
        <v>RX-10F</v>
      </c>
      <c r="BM442" t="str" cm="1">
        <f t="array" ref="BM442">_xlfn.IFS(LEFT(G442,1)="L","外注品",LEFT(G442,1)="W","内製品",G442="","購買品")</f>
        <v>内製品</v>
      </c>
    </row>
    <row r="443" spans="1:65">
      <c r="A443" t="str">
        <f t="shared" si="63"/>
        <v>WG01</v>
      </c>
      <c r="B443" t="s">
        <v>559</v>
      </c>
      <c r="C443" t="s">
        <v>904</v>
      </c>
      <c r="D443" s="7"/>
      <c r="E443" s="7"/>
      <c r="G443" t="s">
        <v>1938</v>
      </c>
      <c r="H443" t="str" cm="1">
        <f t="array" ref="H443">IFERROR(_xlfn.IFS(B443="","",AND(B443="",G443=""),"",G443="","記載要"),"")</f>
        <v/>
      </c>
      <c r="K443" t="str">
        <f t="shared" si="64"/>
        <v>11WP00902666</v>
      </c>
      <c r="L443" s="3" t="str">
        <f t="shared" si="65"/>
        <v>2001/01/01</v>
      </c>
      <c r="M443" s="3" t="str">
        <f t="shared" si="66"/>
        <v>2199/12/31</v>
      </c>
      <c r="N443" t="str">
        <f t="shared" si="67"/>
        <v>11WP00902666</v>
      </c>
      <c r="O443">
        <v>5</v>
      </c>
      <c r="Q443" t="str" cm="1">
        <f t="array" ref="Q443">_xlfn.IFS(AND(C443="",G443=""),"",LEFT(G443,1)="L","記載要",LEFT(G443,1)="W","",AND(C443,G443=""),"記載要")</f>
        <v/>
      </c>
      <c r="R443" s="21" t="str">
        <f t="shared" si="72"/>
        <v/>
      </c>
      <c r="S443" s="21"/>
      <c r="Z443" s="8"/>
      <c r="AA443">
        <v>1</v>
      </c>
      <c r="AB443">
        <f t="shared" si="68"/>
        <v>0</v>
      </c>
      <c r="AC443">
        <v>1</v>
      </c>
      <c r="AF443">
        <v>1</v>
      </c>
      <c r="AG443" s="8"/>
      <c r="AH443" s="8"/>
      <c r="AK443" cm="1">
        <f t="array" ref="AK443">_xlfn.IFS(B443="","",LEFT(G443,1)="L",1,LEFT(G443,1)="W",1,AND(LEFT(B443,1)="H",G443=""),0)</f>
        <v>1</v>
      </c>
      <c r="AS443" t="str">
        <f t="shared" si="69"/>
        <v/>
      </c>
      <c r="AT443" t="s">
        <v>115</v>
      </c>
      <c r="AU443" t="str">
        <f t="shared" si="70"/>
        <v>0</v>
      </c>
      <c r="BD443" t="str">
        <f t="shared" si="71"/>
        <v>0</v>
      </c>
      <c r="BK443" t="str">
        <f>IFERROR(VLOOKUP(B443,'[1]model_S-フレーム'!$F$5:$R$7000,13,1),"")</f>
        <v>E359254_01</v>
      </c>
      <c r="BL443" s="7" t="str">
        <f>IFERROR(VLOOKUP(B443,'[1]model_S-フレーム'!$F$5:$V$7000,17,1),"")</f>
        <v>RX-10F</v>
      </c>
      <c r="BM443" t="str" cm="1">
        <f t="array" ref="BM443">_xlfn.IFS(LEFT(G443,1)="L","外注品",LEFT(G443,1)="W","内製品",G443="","購買品")</f>
        <v>内製品</v>
      </c>
    </row>
    <row r="444" spans="1:65">
      <c r="A444" t="str">
        <f t="shared" si="63"/>
        <v>WG01</v>
      </c>
      <c r="B444" t="s">
        <v>560</v>
      </c>
      <c r="C444" t="s">
        <v>904</v>
      </c>
      <c r="D444" s="7"/>
      <c r="E444" s="7"/>
      <c r="G444" t="s">
        <v>1938</v>
      </c>
      <c r="H444" t="str" cm="1">
        <f t="array" ref="H444">IFERROR(_xlfn.IFS(B444="","",AND(B444="",G444=""),"",G444="","記載要"),"")</f>
        <v/>
      </c>
      <c r="K444" t="str">
        <f t="shared" si="64"/>
        <v>11WP00902667</v>
      </c>
      <c r="L444" s="3" t="str">
        <f t="shared" si="65"/>
        <v>2001/01/01</v>
      </c>
      <c r="M444" s="3" t="str">
        <f t="shared" si="66"/>
        <v>2199/12/31</v>
      </c>
      <c r="N444" t="str">
        <f t="shared" si="67"/>
        <v>11WP00902667</v>
      </c>
      <c r="O444">
        <v>5</v>
      </c>
      <c r="Q444" t="str" cm="1">
        <f t="array" ref="Q444">_xlfn.IFS(AND(C444="",G444=""),"",LEFT(G444,1)="L","記載要",LEFT(G444,1)="W","",AND(C444,G444=""),"記載要")</f>
        <v/>
      </c>
      <c r="R444" s="21" t="str">
        <f t="shared" si="72"/>
        <v/>
      </c>
      <c r="S444" s="21"/>
      <c r="Z444" s="8"/>
      <c r="AA444">
        <v>1</v>
      </c>
      <c r="AB444">
        <f t="shared" si="68"/>
        <v>0</v>
      </c>
      <c r="AC444">
        <v>1</v>
      </c>
      <c r="AF444">
        <v>1</v>
      </c>
      <c r="AG444" s="8"/>
      <c r="AH444" s="8"/>
      <c r="AK444" cm="1">
        <f t="array" ref="AK444">_xlfn.IFS(B444="","",LEFT(G444,1)="L",1,LEFT(G444,1)="W",1,AND(LEFT(B444,1)="H",G444=""),0)</f>
        <v>1</v>
      </c>
      <c r="AS444" t="str">
        <f t="shared" si="69"/>
        <v/>
      </c>
      <c r="AT444" t="s">
        <v>115</v>
      </c>
      <c r="AU444" t="str">
        <f t="shared" si="70"/>
        <v>0</v>
      </c>
      <c r="BD444" t="str">
        <f t="shared" si="71"/>
        <v>0</v>
      </c>
      <c r="BK444" t="str">
        <f>IFERROR(VLOOKUP(B444,'[1]model_S-フレーム'!$F$5:$R$7000,13,1),"")</f>
        <v>E359254_01</v>
      </c>
      <c r="BL444" s="7" t="str">
        <f>IFERROR(VLOOKUP(B444,'[1]model_S-フレーム'!$F$5:$V$7000,17,1),"")</f>
        <v>RX-10F</v>
      </c>
      <c r="BM444" t="str" cm="1">
        <f t="array" ref="BM444">_xlfn.IFS(LEFT(G444,1)="L","外注品",LEFT(G444,1)="W","内製品",G444="","購買品")</f>
        <v>内製品</v>
      </c>
    </row>
    <row r="445" spans="1:65">
      <c r="A445" t="str">
        <f t="shared" si="63"/>
        <v>WG01</v>
      </c>
      <c r="B445" t="s">
        <v>561</v>
      </c>
      <c r="C445" t="s">
        <v>904</v>
      </c>
      <c r="D445" s="7"/>
      <c r="E445" s="7"/>
      <c r="G445" t="s">
        <v>1938</v>
      </c>
      <c r="H445" t="str" cm="1">
        <f t="array" ref="H445">IFERROR(_xlfn.IFS(B445="","",AND(B445="",G445=""),"",G445="","記載要"),"")</f>
        <v/>
      </c>
      <c r="K445" t="str">
        <f t="shared" si="64"/>
        <v>11WP00902668</v>
      </c>
      <c r="L445" s="3" t="str">
        <f t="shared" si="65"/>
        <v>2001/01/01</v>
      </c>
      <c r="M445" s="3" t="str">
        <f t="shared" si="66"/>
        <v>2199/12/31</v>
      </c>
      <c r="N445" t="str">
        <f t="shared" si="67"/>
        <v>11WP00902668</v>
      </c>
      <c r="O445">
        <v>5</v>
      </c>
      <c r="Q445" t="str" cm="1">
        <f t="array" ref="Q445">_xlfn.IFS(AND(C445="",G445=""),"",LEFT(G445,1)="L","記載要",LEFT(G445,1)="W","",AND(C445,G445=""),"記載要")</f>
        <v/>
      </c>
      <c r="R445" s="21" t="str">
        <f t="shared" si="72"/>
        <v/>
      </c>
      <c r="S445" s="21"/>
      <c r="Z445" s="8"/>
      <c r="AA445">
        <v>1</v>
      </c>
      <c r="AB445">
        <f t="shared" si="68"/>
        <v>0</v>
      </c>
      <c r="AC445">
        <v>1</v>
      </c>
      <c r="AF445">
        <v>1</v>
      </c>
      <c r="AG445" s="8"/>
      <c r="AH445" s="8"/>
      <c r="AK445" cm="1">
        <f t="array" ref="AK445">_xlfn.IFS(B445="","",LEFT(G445,1)="L",1,LEFT(G445,1)="W",1,AND(LEFT(B445,1)="H",G445=""),0)</f>
        <v>1</v>
      </c>
      <c r="AS445" t="str">
        <f t="shared" si="69"/>
        <v/>
      </c>
      <c r="AT445" t="s">
        <v>115</v>
      </c>
      <c r="AU445" t="str">
        <f t="shared" si="70"/>
        <v>0</v>
      </c>
      <c r="BD445" t="str">
        <f t="shared" si="71"/>
        <v>0</v>
      </c>
      <c r="BK445" t="str">
        <f>IFERROR(VLOOKUP(B445,'[1]model_S-フレーム'!$F$5:$R$7000,13,1),"")</f>
        <v>E359254_01</v>
      </c>
      <c r="BL445" s="7" t="str">
        <f>IFERROR(VLOOKUP(B445,'[1]model_S-フレーム'!$F$5:$V$7000,17,1),"")</f>
        <v>RX-10F</v>
      </c>
      <c r="BM445" t="str" cm="1">
        <f t="array" ref="BM445">_xlfn.IFS(LEFT(G445,1)="L","外注品",LEFT(G445,1)="W","内製品",G445="","購買品")</f>
        <v>内製品</v>
      </c>
    </row>
    <row r="446" spans="1:65">
      <c r="A446" t="str">
        <f t="shared" si="63"/>
        <v>WG01</v>
      </c>
      <c r="B446" t="s">
        <v>562</v>
      </c>
      <c r="C446" t="s">
        <v>904</v>
      </c>
      <c r="D446" s="7"/>
      <c r="E446" s="7"/>
      <c r="G446" t="s">
        <v>1938</v>
      </c>
      <c r="H446" t="str" cm="1">
        <f t="array" ref="H446">IFERROR(_xlfn.IFS(B446="","",AND(B446="",G446=""),"",G446="","記載要"),"")</f>
        <v/>
      </c>
      <c r="K446" t="str">
        <f t="shared" si="64"/>
        <v>11WP00902669</v>
      </c>
      <c r="L446" s="3" t="str">
        <f t="shared" si="65"/>
        <v>2001/01/01</v>
      </c>
      <c r="M446" s="3" t="str">
        <f t="shared" si="66"/>
        <v>2199/12/31</v>
      </c>
      <c r="N446" t="str">
        <f t="shared" si="67"/>
        <v>11WP00902669</v>
      </c>
      <c r="O446">
        <v>5</v>
      </c>
      <c r="Q446" t="str" cm="1">
        <f t="array" ref="Q446">_xlfn.IFS(AND(C446="",G446=""),"",LEFT(G446,1)="L","記載要",LEFT(G446,1)="W","",AND(C446,G446=""),"記載要")</f>
        <v/>
      </c>
      <c r="R446" s="21" t="str">
        <f t="shared" si="72"/>
        <v/>
      </c>
      <c r="S446" s="21"/>
      <c r="Z446" s="8"/>
      <c r="AA446">
        <v>1</v>
      </c>
      <c r="AB446">
        <f t="shared" si="68"/>
        <v>0</v>
      </c>
      <c r="AC446">
        <v>1</v>
      </c>
      <c r="AF446">
        <v>1</v>
      </c>
      <c r="AG446" s="8"/>
      <c r="AH446" s="8"/>
      <c r="AK446" cm="1">
        <f t="array" ref="AK446">_xlfn.IFS(B446="","",LEFT(G446,1)="L",1,LEFT(G446,1)="W",1,AND(LEFT(B446,1)="H",G446=""),0)</f>
        <v>1</v>
      </c>
      <c r="AS446" t="str">
        <f t="shared" si="69"/>
        <v/>
      </c>
      <c r="AT446" t="s">
        <v>115</v>
      </c>
      <c r="AU446" t="str">
        <f t="shared" si="70"/>
        <v>0</v>
      </c>
      <c r="BD446" t="str">
        <f t="shared" si="71"/>
        <v>0</v>
      </c>
      <c r="BK446" t="str">
        <f>IFERROR(VLOOKUP(B446,'[1]model_S-フレーム'!$F$5:$R$7000,13,1),"")</f>
        <v>E359254_01</v>
      </c>
      <c r="BL446" s="7" t="str">
        <f>IFERROR(VLOOKUP(B446,'[1]model_S-フレーム'!$F$5:$V$7000,17,1),"")</f>
        <v>RX-10F</v>
      </c>
      <c r="BM446" t="str" cm="1">
        <f t="array" ref="BM446">_xlfn.IFS(LEFT(G446,1)="L","外注品",LEFT(G446,1)="W","内製品",G446="","購買品")</f>
        <v>内製品</v>
      </c>
    </row>
    <row r="447" spans="1:65">
      <c r="A447" t="str">
        <f t="shared" si="63"/>
        <v>WG01</v>
      </c>
      <c r="B447" t="s">
        <v>563</v>
      </c>
      <c r="C447" t="s">
        <v>905</v>
      </c>
      <c r="D447" s="7"/>
      <c r="E447" s="7"/>
      <c r="G447" t="s">
        <v>1938</v>
      </c>
      <c r="H447" t="str" cm="1">
        <f t="array" ref="H447">IFERROR(_xlfn.IFS(B447="","",AND(B447="",G447=""),"",G447="","記載要"),"")</f>
        <v/>
      </c>
      <c r="K447" t="str">
        <f t="shared" si="64"/>
        <v>11WP00902670</v>
      </c>
      <c r="L447" s="3" t="str">
        <f t="shared" si="65"/>
        <v>2001/01/01</v>
      </c>
      <c r="M447" s="3" t="str">
        <f t="shared" si="66"/>
        <v>2199/12/31</v>
      </c>
      <c r="N447" t="str">
        <f t="shared" si="67"/>
        <v>11WP00902670</v>
      </c>
      <c r="O447">
        <v>5</v>
      </c>
      <c r="Q447" t="str" cm="1">
        <f t="array" ref="Q447">_xlfn.IFS(AND(C447="",G447=""),"",LEFT(G447,1)="L","記載要",LEFT(G447,1)="W","",AND(C447,G447=""),"記載要")</f>
        <v/>
      </c>
      <c r="R447" s="21" t="str">
        <f t="shared" si="72"/>
        <v/>
      </c>
      <c r="S447" s="21"/>
      <c r="Z447" s="8"/>
      <c r="AA447">
        <v>1</v>
      </c>
      <c r="AB447">
        <f t="shared" si="68"/>
        <v>0</v>
      </c>
      <c r="AC447">
        <v>1</v>
      </c>
      <c r="AF447">
        <v>1</v>
      </c>
      <c r="AG447" s="8"/>
      <c r="AH447" s="8"/>
      <c r="AK447" cm="1">
        <f t="array" ref="AK447">_xlfn.IFS(B447="","",LEFT(G447,1)="L",1,LEFT(G447,1)="W",1,AND(LEFT(B447,1)="H",G447=""),0)</f>
        <v>1</v>
      </c>
      <c r="AS447" t="str">
        <f t="shared" si="69"/>
        <v/>
      </c>
      <c r="AT447" t="s">
        <v>115</v>
      </c>
      <c r="AU447" t="str">
        <f t="shared" si="70"/>
        <v>0</v>
      </c>
      <c r="BD447" t="str">
        <f t="shared" si="71"/>
        <v>0</v>
      </c>
      <c r="BK447" t="str">
        <f>IFERROR(VLOOKUP(B447,'[1]model_S-フレーム'!$F$5:$R$7000,13,1),"")</f>
        <v>E359254_01</v>
      </c>
      <c r="BL447" s="7" t="str">
        <f>IFERROR(VLOOKUP(B447,'[1]model_S-フレーム'!$F$5:$V$7000,17,1),"")</f>
        <v>RX-10F</v>
      </c>
      <c r="BM447" t="str" cm="1">
        <f t="array" ref="BM447">_xlfn.IFS(LEFT(G447,1)="L","外注品",LEFT(G447,1)="W","内製品",G447="","購買品")</f>
        <v>内製品</v>
      </c>
    </row>
    <row r="448" spans="1:65">
      <c r="A448" t="str">
        <f t="shared" si="63"/>
        <v>WG01</v>
      </c>
      <c r="B448" t="s">
        <v>564</v>
      </c>
      <c r="C448" t="s">
        <v>905</v>
      </c>
      <c r="D448" s="7"/>
      <c r="E448" s="7"/>
      <c r="G448" t="s">
        <v>1938</v>
      </c>
      <c r="H448" t="str" cm="1">
        <f t="array" ref="H448">IFERROR(_xlfn.IFS(B448="","",AND(B448="",G448=""),"",G448="","記載要"),"")</f>
        <v/>
      </c>
      <c r="K448" t="str">
        <f t="shared" si="64"/>
        <v>11WP00902671</v>
      </c>
      <c r="L448" s="3" t="str">
        <f t="shared" si="65"/>
        <v>2001/01/01</v>
      </c>
      <c r="M448" s="3" t="str">
        <f t="shared" si="66"/>
        <v>2199/12/31</v>
      </c>
      <c r="N448" t="str">
        <f t="shared" si="67"/>
        <v>11WP00902671</v>
      </c>
      <c r="O448">
        <v>5</v>
      </c>
      <c r="Q448" t="str" cm="1">
        <f t="array" ref="Q448">_xlfn.IFS(AND(C448="",G448=""),"",LEFT(G448,1)="L","記載要",LEFT(G448,1)="W","",AND(C448,G448=""),"記載要")</f>
        <v/>
      </c>
      <c r="R448" s="21" t="str">
        <f t="shared" si="72"/>
        <v/>
      </c>
      <c r="S448" s="21"/>
      <c r="Z448" s="8"/>
      <c r="AA448">
        <v>1</v>
      </c>
      <c r="AB448">
        <f t="shared" si="68"/>
        <v>0</v>
      </c>
      <c r="AC448">
        <v>1</v>
      </c>
      <c r="AF448">
        <v>1</v>
      </c>
      <c r="AG448" s="8"/>
      <c r="AH448" s="8"/>
      <c r="AK448" cm="1">
        <f t="array" ref="AK448">_xlfn.IFS(B448="","",LEFT(G448,1)="L",1,LEFT(G448,1)="W",1,AND(LEFT(B448,1)="H",G448=""),0)</f>
        <v>1</v>
      </c>
      <c r="AS448" t="str">
        <f t="shared" si="69"/>
        <v/>
      </c>
      <c r="AT448" t="s">
        <v>115</v>
      </c>
      <c r="AU448" t="str">
        <f t="shared" si="70"/>
        <v>0</v>
      </c>
      <c r="BD448" t="str">
        <f t="shared" si="71"/>
        <v>0</v>
      </c>
      <c r="BK448" t="str">
        <f>IFERROR(VLOOKUP(B448,'[1]model_S-フレーム'!$F$5:$R$7000,13,1),"")</f>
        <v>E359254_01</v>
      </c>
      <c r="BL448" s="7" t="str">
        <f>IFERROR(VLOOKUP(B448,'[1]model_S-フレーム'!$F$5:$V$7000,17,1),"")</f>
        <v>RX-10F</v>
      </c>
      <c r="BM448" t="str" cm="1">
        <f t="array" ref="BM448">_xlfn.IFS(LEFT(G448,1)="L","外注品",LEFT(G448,1)="W","内製品",G448="","購買品")</f>
        <v>内製品</v>
      </c>
    </row>
    <row r="449" spans="1:65">
      <c r="A449" t="str">
        <f t="shared" si="63"/>
        <v>WG01</v>
      </c>
      <c r="B449" t="s">
        <v>565</v>
      </c>
      <c r="C449" t="s">
        <v>905</v>
      </c>
      <c r="D449" s="7"/>
      <c r="E449" s="7"/>
      <c r="G449" t="s">
        <v>1938</v>
      </c>
      <c r="H449" t="str" cm="1">
        <f t="array" ref="H449">IFERROR(_xlfn.IFS(B449="","",AND(B449="",G449=""),"",G449="","記載要"),"")</f>
        <v/>
      </c>
      <c r="K449" t="str">
        <f t="shared" si="64"/>
        <v>11WP00902672</v>
      </c>
      <c r="L449" s="3" t="str">
        <f t="shared" si="65"/>
        <v>2001/01/01</v>
      </c>
      <c r="M449" s="3" t="str">
        <f t="shared" si="66"/>
        <v>2199/12/31</v>
      </c>
      <c r="N449" t="str">
        <f t="shared" si="67"/>
        <v>11WP00902672</v>
      </c>
      <c r="O449">
        <v>5</v>
      </c>
      <c r="Q449" t="str" cm="1">
        <f t="array" ref="Q449">_xlfn.IFS(AND(C449="",G449=""),"",LEFT(G449,1)="L","記載要",LEFT(G449,1)="W","",AND(C449,G449=""),"記載要")</f>
        <v/>
      </c>
      <c r="R449" s="21" t="str">
        <f t="shared" si="72"/>
        <v/>
      </c>
      <c r="S449" s="21"/>
      <c r="Z449" s="8"/>
      <c r="AA449">
        <v>1</v>
      </c>
      <c r="AB449">
        <f t="shared" si="68"/>
        <v>0</v>
      </c>
      <c r="AC449">
        <v>1</v>
      </c>
      <c r="AF449">
        <v>1</v>
      </c>
      <c r="AG449" s="8"/>
      <c r="AH449" s="8"/>
      <c r="AK449" cm="1">
        <f t="array" ref="AK449">_xlfn.IFS(B449="","",LEFT(G449,1)="L",1,LEFT(G449,1)="W",1,AND(LEFT(B449,1)="H",G449=""),0)</f>
        <v>1</v>
      </c>
      <c r="AS449" t="str">
        <f t="shared" si="69"/>
        <v/>
      </c>
      <c r="AT449" t="s">
        <v>115</v>
      </c>
      <c r="AU449" t="str">
        <f t="shared" si="70"/>
        <v>0</v>
      </c>
      <c r="BD449" t="str">
        <f t="shared" si="71"/>
        <v>0</v>
      </c>
      <c r="BK449" t="str">
        <f>IFERROR(VLOOKUP(B449,'[1]model_S-フレーム'!$F$5:$R$7000,13,1),"")</f>
        <v>E359254_01</v>
      </c>
      <c r="BL449" s="7" t="str">
        <f>IFERROR(VLOOKUP(B449,'[1]model_S-フレーム'!$F$5:$V$7000,17,1),"")</f>
        <v>RX-10F</v>
      </c>
      <c r="BM449" t="str" cm="1">
        <f t="array" ref="BM449">_xlfn.IFS(LEFT(G449,1)="L","外注品",LEFT(G449,1)="W","内製品",G449="","購買品")</f>
        <v>内製品</v>
      </c>
    </row>
    <row r="450" spans="1:65">
      <c r="A450" t="str">
        <f t="shared" si="63"/>
        <v>WG01</v>
      </c>
      <c r="B450" t="s">
        <v>566</v>
      </c>
      <c r="C450" t="s">
        <v>905</v>
      </c>
      <c r="D450" s="7"/>
      <c r="E450" s="7"/>
      <c r="G450" t="s">
        <v>1938</v>
      </c>
      <c r="H450" t="str" cm="1">
        <f t="array" ref="H450">IFERROR(_xlfn.IFS(B450="","",AND(B450="",G450=""),"",G450="","記載要"),"")</f>
        <v/>
      </c>
      <c r="K450" t="str">
        <f t="shared" si="64"/>
        <v>11WP00902673</v>
      </c>
      <c r="L450" s="3" t="str">
        <f t="shared" si="65"/>
        <v>2001/01/01</v>
      </c>
      <c r="M450" s="3" t="str">
        <f t="shared" si="66"/>
        <v>2199/12/31</v>
      </c>
      <c r="N450" t="str">
        <f t="shared" si="67"/>
        <v>11WP00902673</v>
      </c>
      <c r="O450">
        <v>5</v>
      </c>
      <c r="Q450" t="str" cm="1">
        <f t="array" ref="Q450">_xlfn.IFS(AND(C450="",G450=""),"",LEFT(G450,1)="L","記載要",LEFT(G450,1)="W","",AND(C450,G450=""),"記載要")</f>
        <v/>
      </c>
      <c r="R450" s="21" t="str">
        <f t="shared" si="72"/>
        <v/>
      </c>
      <c r="S450" s="21"/>
      <c r="Z450" s="8"/>
      <c r="AA450">
        <v>1</v>
      </c>
      <c r="AB450">
        <f t="shared" si="68"/>
        <v>0</v>
      </c>
      <c r="AC450">
        <v>1</v>
      </c>
      <c r="AF450">
        <v>1</v>
      </c>
      <c r="AG450" s="8"/>
      <c r="AH450" s="8"/>
      <c r="AK450" cm="1">
        <f t="array" ref="AK450">_xlfn.IFS(B450="","",LEFT(G450,1)="L",1,LEFT(G450,1)="W",1,AND(LEFT(B450,1)="H",G450=""),0)</f>
        <v>1</v>
      </c>
      <c r="AS450" t="str">
        <f t="shared" si="69"/>
        <v/>
      </c>
      <c r="AT450" t="s">
        <v>115</v>
      </c>
      <c r="AU450" t="str">
        <f t="shared" si="70"/>
        <v>0</v>
      </c>
      <c r="BD450" t="str">
        <f t="shared" si="71"/>
        <v>0</v>
      </c>
      <c r="BK450" t="str">
        <f>IFERROR(VLOOKUP(B450,'[1]model_S-フレーム'!$F$5:$R$7000,13,1),"")</f>
        <v>E359254_01</v>
      </c>
      <c r="BL450" s="7" t="str">
        <f>IFERROR(VLOOKUP(B450,'[1]model_S-フレーム'!$F$5:$V$7000,17,1),"")</f>
        <v>RX-10F</v>
      </c>
      <c r="BM450" t="str" cm="1">
        <f t="array" ref="BM450">_xlfn.IFS(LEFT(G450,1)="L","外注品",LEFT(G450,1)="W","内製品",G450="","購買品")</f>
        <v>内製品</v>
      </c>
    </row>
    <row r="451" spans="1:65">
      <c r="A451" t="str">
        <f t="shared" ref="A451:A514" si="73">IF(B451="","","WG01")</f>
        <v>WG01</v>
      </c>
      <c r="B451" t="s">
        <v>567</v>
      </c>
      <c r="C451" t="s">
        <v>905</v>
      </c>
      <c r="D451" s="7"/>
      <c r="E451" s="7"/>
      <c r="G451" t="s">
        <v>1938</v>
      </c>
      <c r="H451" t="str" cm="1">
        <f t="array" ref="H451">IFERROR(_xlfn.IFS(B451="","",AND(B451="",G451=""),"",G451="","記載要"),"")</f>
        <v/>
      </c>
      <c r="K451" t="str">
        <f t="shared" ref="K451:K514" si="74">IF(G451="","","11"&amp;G451&amp;RIGHT(B451,5))</f>
        <v>11WP00902674</v>
      </c>
      <c r="L451" s="3" t="str">
        <f t="shared" ref="L451:L514" si="75">IF(B451="","","2001/01/01")</f>
        <v>2001/01/01</v>
      </c>
      <c r="M451" s="3" t="str">
        <f t="shared" ref="M451:M514" si="76">IF(C451="","","2199/12/31")</f>
        <v>2199/12/31</v>
      </c>
      <c r="N451" t="str">
        <f t="shared" ref="N451:N514" si="77">IF(LEFT(G451,1)="W",K451,"")</f>
        <v>11WP00902674</v>
      </c>
      <c r="O451">
        <v>5</v>
      </c>
      <c r="Q451" t="str" cm="1">
        <f t="array" ref="Q451">_xlfn.IFS(AND(C451="",G451=""),"",LEFT(G451,1)="L","記載要",LEFT(G451,1)="W","",AND(C451,G451=""),"記載要")</f>
        <v/>
      </c>
      <c r="R451" s="21" t="str">
        <f t="shared" si="72"/>
        <v/>
      </c>
      <c r="S451" s="21"/>
      <c r="Z451" s="8"/>
      <c r="AA451">
        <v>1</v>
      </c>
      <c r="AB451">
        <f t="shared" ref="AB451:AB514" si="78">IF(B451="","",0)</f>
        <v>0</v>
      </c>
      <c r="AC451">
        <v>1</v>
      </c>
      <c r="AF451">
        <v>1</v>
      </c>
      <c r="AG451" s="8"/>
      <c r="AH451" s="8"/>
      <c r="AK451" cm="1">
        <f t="array" ref="AK451">_xlfn.IFS(B451="","",LEFT(G451,1)="L",1,LEFT(G451,1)="W",1,AND(LEFT(B451,1)="H",G451=""),0)</f>
        <v>1</v>
      </c>
      <c r="AS451" t="str">
        <f t="shared" ref="AS451:AS514" si="79">IF(Q451="","",1)</f>
        <v/>
      </c>
      <c r="AT451" t="s">
        <v>115</v>
      </c>
      <c r="AU451" t="str">
        <f t="shared" ref="AU451:AU514" si="80">IF(B451="","","0")</f>
        <v>0</v>
      </c>
      <c r="BD451" t="str">
        <f t="shared" ref="BD451:BD514" si="81">IF(B451="","","0")</f>
        <v>0</v>
      </c>
      <c r="BK451" t="str">
        <f>IFERROR(VLOOKUP(B451,'[1]model_S-フレーム'!$F$5:$R$7000,13,1),"")</f>
        <v>E359254_01</v>
      </c>
      <c r="BL451" s="7" t="str">
        <f>IFERROR(VLOOKUP(B451,'[1]model_S-フレーム'!$F$5:$V$7000,17,1),"")</f>
        <v>RX-10F</v>
      </c>
      <c r="BM451" t="str" cm="1">
        <f t="array" ref="BM451">_xlfn.IFS(LEFT(G451,1)="L","外注品",LEFT(G451,1)="W","内製品",G451="","購買品")</f>
        <v>内製品</v>
      </c>
    </row>
    <row r="452" spans="1:65">
      <c r="A452" t="str">
        <f t="shared" si="73"/>
        <v>WG01</v>
      </c>
      <c r="B452" t="s">
        <v>568</v>
      </c>
      <c r="C452" t="s">
        <v>905</v>
      </c>
      <c r="D452" s="7"/>
      <c r="E452" s="7"/>
      <c r="G452" t="s">
        <v>1938</v>
      </c>
      <c r="H452" t="str" cm="1">
        <f t="array" ref="H452">IFERROR(_xlfn.IFS(B452="","",AND(B452="",G452=""),"",G452="","記載要"),"")</f>
        <v/>
      </c>
      <c r="K452" t="str">
        <f t="shared" si="74"/>
        <v>11WP00902675</v>
      </c>
      <c r="L452" s="3" t="str">
        <f t="shared" si="75"/>
        <v>2001/01/01</v>
      </c>
      <c r="M452" s="3" t="str">
        <f t="shared" si="76"/>
        <v>2199/12/31</v>
      </c>
      <c r="N452" t="str">
        <f t="shared" si="77"/>
        <v>11WP00902675</v>
      </c>
      <c r="O452">
        <v>5</v>
      </c>
      <c r="Q452" t="str" cm="1">
        <f t="array" ref="Q452">_xlfn.IFS(AND(C452="",G452=""),"",LEFT(G452,1)="L","記載要",LEFT(G452,1)="W","",AND(C452,G452=""),"記載要")</f>
        <v/>
      </c>
      <c r="R452" s="21" t="str">
        <f t="shared" ref="R452:R515" si="82">IF(H452="","","記載要")</f>
        <v/>
      </c>
      <c r="S452" s="21"/>
      <c r="Z452" s="8"/>
      <c r="AA452">
        <v>1</v>
      </c>
      <c r="AB452">
        <f t="shared" si="78"/>
        <v>0</v>
      </c>
      <c r="AC452">
        <v>1</v>
      </c>
      <c r="AF452">
        <v>1</v>
      </c>
      <c r="AG452" s="8"/>
      <c r="AH452" s="8"/>
      <c r="AK452" cm="1">
        <f t="array" ref="AK452">_xlfn.IFS(B452="","",LEFT(G452,1)="L",1,LEFT(G452,1)="W",1,AND(LEFT(B452,1)="H",G452=""),0)</f>
        <v>1</v>
      </c>
      <c r="AS452" t="str">
        <f t="shared" si="79"/>
        <v/>
      </c>
      <c r="AT452" t="s">
        <v>115</v>
      </c>
      <c r="AU452" t="str">
        <f t="shared" si="80"/>
        <v>0</v>
      </c>
      <c r="BD452" t="str">
        <f t="shared" si="81"/>
        <v>0</v>
      </c>
      <c r="BK452" t="str">
        <f>IFERROR(VLOOKUP(B452,'[1]model_S-フレーム'!$F$5:$R$7000,13,1),"")</f>
        <v>E359254_01</v>
      </c>
      <c r="BL452" s="7" t="str">
        <f>IFERROR(VLOOKUP(B452,'[1]model_S-フレーム'!$F$5:$V$7000,17,1),"")</f>
        <v>RX-10F</v>
      </c>
      <c r="BM452" t="str" cm="1">
        <f t="array" ref="BM452">_xlfn.IFS(LEFT(G452,1)="L","外注品",LEFT(G452,1)="W","内製品",G452="","購買品")</f>
        <v>内製品</v>
      </c>
    </row>
    <row r="453" spans="1:65">
      <c r="A453" t="str">
        <f t="shared" si="73"/>
        <v>WG01</v>
      </c>
      <c r="B453" t="s">
        <v>569</v>
      </c>
      <c r="C453" t="s">
        <v>905</v>
      </c>
      <c r="D453" s="7"/>
      <c r="E453" s="7"/>
      <c r="G453" t="s">
        <v>1938</v>
      </c>
      <c r="H453" t="str" cm="1">
        <f t="array" ref="H453">IFERROR(_xlfn.IFS(B453="","",AND(B453="",G453=""),"",G453="","記載要"),"")</f>
        <v/>
      </c>
      <c r="K453" t="str">
        <f t="shared" si="74"/>
        <v>11WP00902676</v>
      </c>
      <c r="L453" s="3" t="str">
        <f t="shared" si="75"/>
        <v>2001/01/01</v>
      </c>
      <c r="M453" s="3" t="str">
        <f t="shared" si="76"/>
        <v>2199/12/31</v>
      </c>
      <c r="N453" t="str">
        <f t="shared" si="77"/>
        <v>11WP00902676</v>
      </c>
      <c r="O453">
        <v>5</v>
      </c>
      <c r="Q453" t="str" cm="1">
        <f t="array" ref="Q453">_xlfn.IFS(AND(C453="",G453=""),"",LEFT(G453,1)="L","記載要",LEFT(G453,1)="W","",AND(C453,G453=""),"記載要")</f>
        <v/>
      </c>
      <c r="R453" s="21" t="str">
        <f t="shared" si="82"/>
        <v/>
      </c>
      <c r="S453" s="21"/>
      <c r="Z453" s="8"/>
      <c r="AA453">
        <v>1</v>
      </c>
      <c r="AB453">
        <f t="shared" si="78"/>
        <v>0</v>
      </c>
      <c r="AC453">
        <v>1</v>
      </c>
      <c r="AF453">
        <v>1</v>
      </c>
      <c r="AG453" s="8"/>
      <c r="AH453" s="8"/>
      <c r="AK453" cm="1">
        <f t="array" ref="AK453">_xlfn.IFS(B453="","",LEFT(G453,1)="L",1,LEFT(G453,1)="W",1,AND(LEFT(B453,1)="H",G453=""),0)</f>
        <v>1</v>
      </c>
      <c r="AS453" t="str">
        <f t="shared" si="79"/>
        <v/>
      </c>
      <c r="AT453" t="s">
        <v>115</v>
      </c>
      <c r="AU453" t="str">
        <f t="shared" si="80"/>
        <v>0</v>
      </c>
      <c r="BD453" t="str">
        <f t="shared" si="81"/>
        <v>0</v>
      </c>
      <c r="BK453" t="str">
        <f>IFERROR(VLOOKUP(B453,'[1]model_S-フレーム'!$F$5:$R$7000,13,1),"")</f>
        <v>E359254_01</v>
      </c>
      <c r="BL453" s="7" t="str">
        <f>IFERROR(VLOOKUP(B453,'[1]model_S-フレーム'!$F$5:$V$7000,17,1),"")</f>
        <v>RX-10F</v>
      </c>
      <c r="BM453" t="str" cm="1">
        <f t="array" ref="BM453">_xlfn.IFS(LEFT(G453,1)="L","外注品",LEFT(G453,1)="W","内製品",G453="","購買品")</f>
        <v>内製品</v>
      </c>
    </row>
    <row r="454" spans="1:65">
      <c r="A454" t="str">
        <f t="shared" si="73"/>
        <v>WG01</v>
      </c>
      <c r="B454" t="s">
        <v>570</v>
      </c>
      <c r="C454" t="s">
        <v>905</v>
      </c>
      <c r="D454" s="7"/>
      <c r="E454" s="7"/>
      <c r="G454" t="s">
        <v>1938</v>
      </c>
      <c r="H454" t="str" cm="1">
        <f t="array" ref="H454">IFERROR(_xlfn.IFS(B454="","",AND(B454="",G454=""),"",G454="","記載要"),"")</f>
        <v/>
      </c>
      <c r="K454" t="str">
        <f t="shared" si="74"/>
        <v>11WP00902677</v>
      </c>
      <c r="L454" s="3" t="str">
        <f t="shared" si="75"/>
        <v>2001/01/01</v>
      </c>
      <c r="M454" s="3" t="str">
        <f t="shared" si="76"/>
        <v>2199/12/31</v>
      </c>
      <c r="N454" t="str">
        <f t="shared" si="77"/>
        <v>11WP00902677</v>
      </c>
      <c r="O454">
        <v>5</v>
      </c>
      <c r="Q454" t="str" cm="1">
        <f t="array" ref="Q454">_xlfn.IFS(AND(C454="",G454=""),"",LEFT(G454,1)="L","記載要",LEFT(G454,1)="W","",AND(C454,G454=""),"記載要")</f>
        <v/>
      </c>
      <c r="R454" s="21" t="str">
        <f t="shared" si="82"/>
        <v/>
      </c>
      <c r="S454" s="21"/>
      <c r="Z454" s="8"/>
      <c r="AA454">
        <v>1</v>
      </c>
      <c r="AB454">
        <f t="shared" si="78"/>
        <v>0</v>
      </c>
      <c r="AC454">
        <v>1</v>
      </c>
      <c r="AF454">
        <v>1</v>
      </c>
      <c r="AG454" s="8"/>
      <c r="AH454" s="8"/>
      <c r="AK454" cm="1">
        <f t="array" ref="AK454">_xlfn.IFS(B454="","",LEFT(G454,1)="L",1,LEFT(G454,1)="W",1,AND(LEFT(B454,1)="H",G454=""),0)</f>
        <v>1</v>
      </c>
      <c r="AS454" t="str">
        <f t="shared" si="79"/>
        <v/>
      </c>
      <c r="AT454" t="s">
        <v>115</v>
      </c>
      <c r="AU454" t="str">
        <f t="shared" si="80"/>
        <v>0</v>
      </c>
      <c r="BD454" t="str">
        <f t="shared" si="81"/>
        <v>0</v>
      </c>
      <c r="BK454" t="str">
        <f>IFERROR(VLOOKUP(B454,'[1]model_S-フレーム'!$F$5:$R$7000,13,1),"")</f>
        <v>E359254_01</v>
      </c>
      <c r="BL454" s="7" t="str">
        <f>IFERROR(VLOOKUP(B454,'[1]model_S-フレーム'!$F$5:$V$7000,17,1),"")</f>
        <v>RX-10F</v>
      </c>
      <c r="BM454" t="str" cm="1">
        <f t="array" ref="BM454">_xlfn.IFS(LEFT(G454,1)="L","外注品",LEFT(G454,1)="W","内製品",G454="","購買品")</f>
        <v>内製品</v>
      </c>
    </row>
    <row r="455" spans="1:65">
      <c r="A455" t="str">
        <f t="shared" si="73"/>
        <v>WG01</v>
      </c>
      <c r="B455" t="s">
        <v>571</v>
      </c>
      <c r="C455" t="s">
        <v>905</v>
      </c>
      <c r="D455" s="7"/>
      <c r="E455" s="7"/>
      <c r="G455" t="s">
        <v>1938</v>
      </c>
      <c r="H455" t="str" cm="1">
        <f t="array" ref="H455">IFERROR(_xlfn.IFS(B455="","",AND(B455="",G455=""),"",G455="","記載要"),"")</f>
        <v/>
      </c>
      <c r="K455" t="str">
        <f t="shared" si="74"/>
        <v>11WP00902678</v>
      </c>
      <c r="L455" s="3" t="str">
        <f t="shared" si="75"/>
        <v>2001/01/01</v>
      </c>
      <c r="M455" s="3" t="str">
        <f t="shared" si="76"/>
        <v>2199/12/31</v>
      </c>
      <c r="N455" t="str">
        <f t="shared" si="77"/>
        <v>11WP00902678</v>
      </c>
      <c r="O455">
        <v>5</v>
      </c>
      <c r="Q455" t="str" cm="1">
        <f t="array" ref="Q455">_xlfn.IFS(AND(C455="",G455=""),"",LEFT(G455,1)="L","記載要",LEFT(G455,1)="W","",AND(C455,G455=""),"記載要")</f>
        <v/>
      </c>
      <c r="R455" s="21" t="str">
        <f t="shared" si="82"/>
        <v/>
      </c>
      <c r="S455" s="21"/>
      <c r="Z455" s="8"/>
      <c r="AA455">
        <v>1</v>
      </c>
      <c r="AB455">
        <f t="shared" si="78"/>
        <v>0</v>
      </c>
      <c r="AC455">
        <v>1</v>
      </c>
      <c r="AF455">
        <v>1</v>
      </c>
      <c r="AG455" s="8"/>
      <c r="AH455" s="8"/>
      <c r="AK455" cm="1">
        <f t="array" ref="AK455">_xlfn.IFS(B455="","",LEFT(G455,1)="L",1,LEFT(G455,1)="W",1,AND(LEFT(B455,1)="H",G455=""),0)</f>
        <v>1</v>
      </c>
      <c r="AS455" t="str">
        <f t="shared" si="79"/>
        <v/>
      </c>
      <c r="AT455" t="s">
        <v>115</v>
      </c>
      <c r="AU455" t="str">
        <f t="shared" si="80"/>
        <v>0</v>
      </c>
      <c r="BD455" t="str">
        <f t="shared" si="81"/>
        <v>0</v>
      </c>
      <c r="BK455" t="str">
        <f>IFERROR(VLOOKUP(B455,'[1]model_S-フレーム'!$F$5:$R$7000,13,1),"")</f>
        <v>E359254_01</v>
      </c>
      <c r="BL455" s="7" t="str">
        <f>IFERROR(VLOOKUP(B455,'[1]model_S-フレーム'!$F$5:$V$7000,17,1),"")</f>
        <v>RX-10F</v>
      </c>
      <c r="BM455" t="str" cm="1">
        <f t="array" ref="BM455">_xlfn.IFS(LEFT(G455,1)="L","外注品",LEFT(G455,1)="W","内製品",G455="","購買品")</f>
        <v>内製品</v>
      </c>
    </row>
    <row r="456" spans="1:65" s="11" customFormat="1">
      <c r="A456" t="str">
        <f t="shared" si="73"/>
        <v>WG01</v>
      </c>
      <c r="B456" t="s">
        <v>572</v>
      </c>
      <c r="C456" t="s">
        <v>906</v>
      </c>
      <c r="D456" s="7"/>
      <c r="E456" s="7"/>
      <c r="F456"/>
      <c r="G456"/>
      <c r="H456">
        <v>27616</v>
      </c>
      <c r="I456"/>
      <c r="J456"/>
      <c r="K456" t="str">
        <f t="shared" si="74"/>
        <v/>
      </c>
      <c r="L456" s="3" t="str">
        <f t="shared" si="75"/>
        <v>2001/01/01</v>
      </c>
      <c r="M456" s="3" t="str">
        <f t="shared" si="76"/>
        <v>2199/12/31</v>
      </c>
      <c r="N456" t="str">
        <f t="shared" si="77"/>
        <v/>
      </c>
      <c r="O456" t="str">
        <f>IF(G456="","","記載要")</f>
        <v/>
      </c>
      <c r="P456"/>
      <c r="Q456">
        <v>15</v>
      </c>
      <c r="R456" s="21">
        <v>100000000</v>
      </c>
      <c r="S456" s="21" t="str" cm="1">
        <f t="array" ref="S456">_xlfn.IFS(LEFT(G456,1)="L","記載要",LEFT(G456,1)="W","記載要",G456="","")</f>
        <v/>
      </c>
      <c r="T456"/>
      <c r="U456"/>
      <c r="V456"/>
      <c r="W456"/>
      <c r="X456"/>
      <c r="Y456"/>
      <c r="Z456" s="8"/>
      <c r="AA456" s="8">
        <v>1</v>
      </c>
      <c r="AB456">
        <f t="shared" si="78"/>
        <v>0</v>
      </c>
      <c r="AC456" s="8">
        <v>1</v>
      </c>
      <c r="AD456"/>
      <c r="AE456"/>
      <c r="AF456">
        <v>1</v>
      </c>
      <c r="AG456" s="8"/>
      <c r="AH456" s="8"/>
      <c r="AI456"/>
      <c r="AJ456"/>
      <c r="AK456" cm="1">
        <f t="array" ref="AK456">_xlfn.IFS(B456="","",LEFT(G456,1)="L",1,LEFT(G456,1)="W",1,AND(LEFT(B456,1)="H",G456=""),0)</f>
        <v>0</v>
      </c>
      <c r="AL456"/>
      <c r="AM456"/>
      <c r="AN456"/>
      <c r="AO456"/>
      <c r="AP456"/>
      <c r="AQ456"/>
      <c r="AR456"/>
      <c r="AS456">
        <f t="shared" si="79"/>
        <v>1</v>
      </c>
      <c r="AT456" t="s">
        <v>115</v>
      </c>
      <c r="AU456" t="str">
        <f t="shared" si="80"/>
        <v>0</v>
      </c>
      <c r="AV456"/>
      <c r="AW456"/>
      <c r="AX456"/>
      <c r="AY456"/>
      <c r="AZ456"/>
      <c r="BA456"/>
      <c r="BB456"/>
      <c r="BC456"/>
      <c r="BD456" t="str">
        <f t="shared" si="81"/>
        <v>0</v>
      </c>
      <c r="BE456"/>
      <c r="BF456"/>
      <c r="BG456"/>
      <c r="BH456"/>
      <c r="BI456"/>
      <c r="BJ456"/>
      <c r="BK456" s="11" t="str">
        <f>IFERROR(VLOOKUP(B456,'[1]model_S-フレーム'!$F$5:$R$7000,13,1),"")</f>
        <v>E359254_01</v>
      </c>
      <c r="BL456" s="12" t="str">
        <f>IFERROR(VLOOKUP(B456,'[1]model_S-フレーム'!$F$5:$V$7000,17,1),"")</f>
        <v>RX-10F</v>
      </c>
      <c r="BM456" s="11" t="str" cm="1">
        <f t="array" ref="BM456">_xlfn.IFS(LEFT(G456,1)="L","外注品",LEFT(G456,1)="W","内製品",G456="","購買品")</f>
        <v>購買品</v>
      </c>
    </row>
    <row r="457" spans="1:65" s="11" customFormat="1">
      <c r="A457" t="str">
        <f t="shared" si="73"/>
        <v>WG01</v>
      </c>
      <c r="B457" t="s">
        <v>572</v>
      </c>
      <c r="C457" t="s">
        <v>906</v>
      </c>
      <c r="D457" s="7"/>
      <c r="E457" s="7"/>
      <c r="F457"/>
      <c r="G457"/>
      <c r="H457">
        <v>43453</v>
      </c>
      <c r="I457"/>
      <c r="J457"/>
      <c r="K457" t="str">
        <f t="shared" si="74"/>
        <v/>
      </c>
      <c r="L457" s="3" t="str">
        <f t="shared" si="75"/>
        <v>2001/01/01</v>
      </c>
      <c r="M457" s="3" t="str">
        <f t="shared" si="76"/>
        <v>2199/12/31</v>
      </c>
      <c r="N457" t="str">
        <f t="shared" si="77"/>
        <v/>
      </c>
      <c r="O457" t="str">
        <f>IF(G457="","","記載要")</f>
        <v/>
      </c>
      <c r="P457"/>
      <c r="Q457">
        <v>15</v>
      </c>
      <c r="R457" s="21">
        <v>100000000</v>
      </c>
      <c r="S457" s="21" t="str" cm="1">
        <f t="array" ref="S457">_xlfn.IFS(LEFT(G457,1)="L","記載要",LEFT(G457,1)="W","記載要",G457="","")</f>
        <v/>
      </c>
      <c r="T457"/>
      <c r="U457"/>
      <c r="V457"/>
      <c r="W457"/>
      <c r="X457"/>
      <c r="Y457"/>
      <c r="Z457" s="8"/>
      <c r="AA457" s="8">
        <v>1</v>
      </c>
      <c r="AB457">
        <f t="shared" si="78"/>
        <v>0</v>
      </c>
      <c r="AC457" s="8">
        <v>1</v>
      </c>
      <c r="AD457"/>
      <c r="AE457"/>
      <c r="AF457">
        <v>0</v>
      </c>
      <c r="AG457" s="8"/>
      <c r="AH457" s="8"/>
      <c r="AI457"/>
      <c r="AJ457"/>
      <c r="AK457" cm="1">
        <f t="array" ref="AK457">_xlfn.IFS(B457="","",LEFT(G457,1)="L",1,LEFT(G457,1)="W",1,AND(LEFT(B457,1)="H",G457=""),0)</f>
        <v>0</v>
      </c>
      <c r="AL457"/>
      <c r="AM457"/>
      <c r="AN457"/>
      <c r="AO457"/>
      <c r="AP457"/>
      <c r="AQ457"/>
      <c r="AR457"/>
      <c r="AS457">
        <f t="shared" si="79"/>
        <v>1</v>
      </c>
      <c r="AT457" t="s">
        <v>115</v>
      </c>
      <c r="AU457" t="str">
        <f t="shared" si="80"/>
        <v>0</v>
      </c>
      <c r="AV457"/>
      <c r="AW457"/>
      <c r="AX457"/>
      <c r="AY457"/>
      <c r="AZ457"/>
      <c r="BA457"/>
      <c r="BB457"/>
      <c r="BC457"/>
      <c r="BD457" t="str">
        <f t="shared" si="81"/>
        <v>0</v>
      </c>
      <c r="BE457"/>
      <c r="BF457"/>
      <c r="BG457"/>
      <c r="BH457"/>
      <c r="BI457"/>
      <c r="BJ457"/>
      <c r="BK457" s="11" t="str">
        <f>IFERROR(VLOOKUP(B457,'[1]model_S-フレーム'!$F$5:$R$7000,13,1),"")</f>
        <v>E359254_01</v>
      </c>
      <c r="BL457" s="12" t="str">
        <f>IFERROR(VLOOKUP(B457,'[1]model_S-フレーム'!$F$5:$V$7000,17,1),"")</f>
        <v>RX-10F</v>
      </c>
      <c r="BM457" s="11" t="str" cm="1">
        <f t="array" ref="BM457">_xlfn.IFS(LEFT(G457,1)="L","外注品",LEFT(G457,1)="W","内製品",G457="","購買品")</f>
        <v>購買品</v>
      </c>
    </row>
    <row r="458" spans="1:65" s="11" customFormat="1">
      <c r="A458" t="str">
        <f t="shared" si="73"/>
        <v>WG01</v>
      </c>
      <c r="B458" t="s">
        <v>572</v>
      </c>
      <c r="C458" t="s">
        <v>906</v>
      </c>
      <c r="D458" s="7"/>
      <c r="E458" s="7"/>
      <c r="F458"/>
      <c r="G458"/>
      <c r="H458">
        <v>47081</v>
      </c>
      <c r="I458"/>
      <c r="J458"/>
      <c r="K458" t="str">
        <f t="shared" si="74"/>
        <v/>
      </c>
      <c r="L458" s="3" t="str">
        <f t="shared" si="75"/>
        <v>2001/01/01</v>
      </c>
      <c r="M458" s="3" t="str">
        <f t="shared" si="76"/>
        <v>2199/12/31</v>
      </c>
      <c r="N458" t="str">
        <f t="shared" si="77"/>
        <v/>
      </c>
      <c r="O458" t="str">
        <f>IF(G458="","","記載要")</f>
        <v/>
      </c>
      <c r="P458"/>
      <c r="Q458">
        <v>15</v>
      </c>
      <c r="R458" s="21">
        <v>100000000</v>
      </c>
      <c r="S458" s="21" t="str" cm="1">
        <f t="array" ref="S458">_xlfn.IFS(LEFT(G458,1)="L","記載要",LEFT(G458,1)="W","記載要",G458="","")</f>
        <v/>
      </c>
      <c r="T458"/>
      <c r="U458"/>
      <c r="V458"/>
      <c r="W458"/>
      <c r="X458"/>
      <c r="Y458"/>
      <c r="Z458" s="8"/>
      <c r="AA458" s="8">
        <v>1</v>
      </c>
      <c r="AB458">
        <f t="shared" si="78"/>
        <v>0</v>
      </c>
      <c r="AC458" s="8">
        <v>1</v>
      </c>
      <c r="AD458"/>
      <c r="AE458"/>
      <c r="AF458">
        <v>0</v>
      </c>
      <c r="AG458" s="8"/>
      <c r="AH458" s="8"/>
      <c r="AI458"/>
      <c r="AJ458"/>
      <c r="AK458" cm="1">
        <f t="array" ref="AK458">_xlfn.IFS(B458="","",LEFT(G458,1)="L",1,LEFT(G458,1)="W",1,AND(LEFT(B458,1)="H",G458=""),0)</f>
        <v>0</v>
      </c>
      <c r="AL458"/>
      <c r="AM458"/>
      <c r="AN458"/>
      <c r="AO458"/>
      <c r="AP458"/>
      <c r="AQ458"/>
      <c r="AR458"/>
      <c r="AS458">
        <f t="shared" si="79"/>
        <v>1</v>
      </c>
      <c r="AT458" t="s">
        <v>115</v>
      </c>
      <c r="AU458" t="str">
        <f t="shared" si="80"/>
        <v>0</v>
      </c>
      <c r="AV458"/>
      <c r="AW458"/>
      <c r="AX458"/>
      <c r="AY458"/>
      <c r="AZ458"/>
      <c r="BA458"/>
      <c r="BB458"/>
      <c r="BC458"/>
      <c r="BD458" t="str">
        <f t="shared" si="81"/>
        <v>0</v>
      </c>
      <c r="BE458"/>
      <c r="BF458"/>
      <c r="BG458"/>
      <c r="BH458"/>
      <c r="BI458"/>
      <c r="BJ458"/>
      <c r="BK458" s="11" t="str">
        <f>IFERROR(VLOOKUP(B458,'[1]model_S-フレーム'!$F$5:$R$7000,13,1),"")</f>
        <v>E359254_01</v>
      </c>
      <c r="BL458" s="12" t="str">
        <f>IFERROR(VLOOKUP(B458,'[1]model_S-フレーム'!$F$5:$V$7000,17,1),"")</f>
        <v>RX-10F</v>
      </c>
      <c r="BM458" s="11" t="str" cm="1">
        <f t="array" ref="BM458">_xlfn.IFS(LEFT(G458,1)="L","外注品",LEFT(G458,1)="W","内製品",G458="","購買品")</f>
        <v>購買品</v>
      </c>
    </row>
    <row r="459" spans="1:65">
      <c r="A459" t="str">
        <f t="shared" si="73"/>
        <v>WG01</v>
      </c>
      <c r="B459" t="s">
        <v>572</v>
      </c>
      <c r="C459" t="s">
        <v>906</v>
      </c>
      <c r="D459" s="7"/>
      <c r="E459" s="7"/>
      <c r="H459" s="19" t="s">
        <v>1937</v>
      </c>
      <c r="K459" t="str">
        <f t="shared" si="74"/>
        <v/>
      </c>
      <c r="L459" s="3" t="str">
        <f t="shared" si="75"/>
        <v>2001/01/01</v>
      </c>
      <c r="M459" s="3" t="str">
        <f t="shared" si="76"/>
        <v>2199/12/31</v>
      </c>
      <c r="N459" t="str">
        <f t="shared" si="77"/>
        <v/>
      </c>
      <c r="O459" t="str">
        <f>IF(G459="","","記載要")</f>
        <v/>
      </c>
      <c r="Q459">
        <v>15</v>
      </c>
      <c r="R459" s="21">
        <v>100000000</v>
      </c>
      <c r="S459" s="21" t="str" cm="1">
        <f t="array" ref="S459">_xlfn.IFS(LEFT(G459,1)="L","記載要",LEFT(G459,1)="W","記載要",G459="","")</f>
        <v/>
      </c>
      <c r="Z459" s="8"/>
      <c r="AA459" s="8">
        <v>1</v>
      </c>
      <c r="AB459">
        <f t="shared" si="78"/>
        <v>0</v>
      </c>
      <c r="AC459" s="8">
        <v>1</v>
      </c>
      <c r="AF459">
        <v>0</v>
      </c>
      <c r="AG459" s="8"/>
      <c r="AH459" s="8"/>
      <c r="AK459" cm="1">
        <f t="array" ref="AK459">_xlfn.IFS(B459="","",LEFT(G459,1)="L",1,LEFT(G459,1)="W",1,AND(LEFT(B459,1)="H",G459=""),0)</f>
        <v>0</v>
      </c>
      <c r="AS459">
        <f t="shared" si="79"/>
        <v>1</v>
      </c>
      <c r="AT459" t="s">
        <v>115</v>
      </c>
      <c r="AU459" t="str">
        <f t="shared" si="80"/>
        <v>0</v>
      </c>
      <c r="BD459" t="str">
        <f t="shared" si="81"/>
        <v>0</v>
      </c>
      <c r="BK459" t="str">
        <f>IFERROR(VLOOKUP(B459,'[1]model_S-フレーム'!$F$5:$R$7000,13,1),"")</f>
        <v>E359254_01</v>
      </c>
      <c r="BL459" s="7" t="str">
        <f>IFERROR(VLOOKUP(B459,'[1]model_S-フレーム'!$F$5:$V$7000,17,1),"")</f>
        <v>RX-10F</v>
      </c>
      <c r="BM459" t="str" cm="1">
        <f t="array" ref="BM459">_xlfn.IFS(LEFT(G459,1)="L","外注品",LEFT(G459,1)="W","内製品",G459="","購買品")</f>
        <v>購買品</v>
      </c>
    </row>
    <row r="460" spans="1:65">
      <c r="A460" t="str">
        <f t="shared" si="73"/>
        <v>WG01</v>
      </c>
      <c r="B460" t="s">
        <v>573</v>
      </c>
      <c r="C460" t="s">
        <v>907</v>
      </c>
      <c r="D460" s="7"/>
      <c r="E460" s="7"/>
      <c r="G460" t="s">
        <v>1939</v>
      </c>
      <c r="H460" t="str" cm="1">
        <f t="array" ref="H460">IFERROR(_xlfn.IFS(B460="","",AND(B460="",G460=""),"",G460="","記載要"),"")</f>
        <v/>
      </c>
      <c r="K460" t="str">
        <f t="shared" si="74"/>
        <v>11WP01002702</v>
      </c>
      <c r="L460" s="3" t="str">
        <f t="shared" si="75"/>
        <v>2001/01/01</v>
      </c>
      <c r="M460" s="3" t="str">
        <f t="shared" si="76"/>
        <v>2199/12/31</v>
      </c>
      <c r="N460" t="str">
        <f t="shared" si="77"/>
        <v>11WP01002702</v>
      </c>
      <c r="O460">
        <v>15</v>
      </c>
      <c r="Q460" t="str" cm="1">
        <f t="array" ref="Q460">_xlfn.IFS(AND(C460="",G460=""),"",LEFT(G460,1)="L","記載要",LEFT(G460,1)="W","",AND(C460,G460=""),"記載要")</f>
        <v/>
      </c>
      <c r="R460" s="21" t="str">
        <f t="shared" si="82"/>
        <v/>
      </c>
      <c r="S460" s="21"/>
      <c r="Z460" s="8"/>
      <c r="AA460">
        <v>1</v>
      </c>
      <c r="AB460">
        <f t="shared" si="78"/>
        <v>0</v>
      </c>
      <c r="AC460">
        <v>1</v>
      </c>
      <c r="AF460">
        <v>1</v>
      </c>
      <c r="AG460" s="8"/>
      <c r="AH460" s="8"/>
      <c r="AK460" cm="1">
        <f t="array" ref="AK460">_xlfn.IFS(B460="","",LEFT(G460,1)="L",1,LEFT(G460,1)="W",1,AND(LEFT(B460,1)="H",G460=""),0)</f>
        <v>1</v>
      </c>
      <c r="AS460" t="str">
        <f t="shared" si="79"/>
        <v/>
      </c>
      <c r="AT460" t="s">
        <v>115</v>
      </c>
      <c r="AU460" t="str">
        <f t="shared" si="80"/>
        <v>0</v>
      </c>
      <c r="BD460" t="str">
        <f t="shared" si="81"/>
        <v>0</v>
      </c>
      <c r="BK460" t="str">
        <f>IFERROR(VLOOKUP(B460,'[1]model_S-フレーム'!$F$5:$R$7000,13,1),"")</f>
        <v>E389566_01</v>
      </c>
      <c r="BL460" s="7">
        <f>IFERROR(VLOOKUP(B460,'[1]model_S-フレーム'!$F$5:$V$7000,17,1),"")</f>
        <v>0</v>
      </c>
      <c r="BM460" t="str" cm="1">
        <f t="array" ref="BM460">_xlfn.IFS(LEFT(G460,1)="L","外注品",LEFT(G460,1)="W","内製品",G460="","購買品")</f>
        <v>内製品</v>
      </c>
    </row>
    <row r="461" spans="1:65">
      <c r="A461" t="str">
        <f t="shared" si="73"/>
        <v>WG01</v>
      </c>
      <c r="B461" t="s">
        <v>574</v>
      </c>
      <c r="C461" t="s">
        <v>907</v>
      </c>
      <c r="D461" s="7"/>
      <c r="E461" s="7"/>
      <c r="G461" t="s">
        <v>1939</v>
      </c>
      <c r="H461" t="str" cm="1">
        <f t="array" ref="H461">IFERROR(_xlfn.IFS(B461="","",AND(B461="",G461=""),"",G461="","記載要"),"")</f>
        <v/>
      </c>
      <c r="K461" t="str">
        <f t="shared" si="74"/>
        <v>11WP01002703</v>
      </c>
      <c r="L461" s="3" t="str">
        <f t="shared" si="75"/>
        <v>2001/01/01</v>
      </c>
      <c r="M461" s="3" t="str">
        <f t="shared" si="76"/>
        <v>2199/12/31</v>
      </c>
      <c r="N461" t="str">
        <f t="shared" si="77"/>
        <v>11WP01002703</v>
      </c>
      <c r="O461">
        <v>15</v>
      </c>
      <c r="Q461" t="str" cm="1">
        <f t="array" ref="Q461">_xlfn.IFS(AND(C461="",G461=""),"",LEFT(G461,1)="L","記載要",LEFT(G461,1)="W","",AND(C461,G461=""),"記載要")</f>
        <v/>
      </c>
      <c r="R461" s="21" t="str">
        <f t="shared" si="82"/>
        <v/>
      </c>
      <c r="S461" s="21"/>
      <c r="Z461" s="8"/>
      <c r="AA461">
        <v>1</v>
      </c>
      <c r="AB461">
        <f t="shared" si="78"/>
        <v>0</v>
      </c>
      <c r="AC461">
        <v>1</v>
      </c>
      <c r="AF461">
        <v>1</v>
      </c>
      <c r="AG461" s="8"/>
      <c r="AH461" s="8"/>
      <c r="AK461" cm="1">
        <f t="array" ref="AK461">_xlfn.IFS(B461="","",LEFT(G461,1)="L",1,LEFT(G461,1)="W",1,AND(LEFT(B461,1)="H",G461=""),0)</f>
        <v>1</v>
      </c>
      <c r="AS461" t="str">
        <f t="shared" si="79"/>
        <v/>
      </c>
      <c r="AT461" t="s">
        <v>115</v>
      </c>
      <c r="AU461" t="str">
        <f t="shared" si="80"/>
        <v>0</v>
      </c>
      <c r="BD461" t="str">
        <f t="shared" si="81"/>
        <v>0</v>
      </c>
      <c r="BK461" t="str">
        <f>IFERROR(VLOOKUP(B461,'[1]model_S-フレーム'!$F$5:$R$7000,13,1),"")</f>
        <v>E389566_01</v>
      </c>
      <c r="BL461" s="7">
        <f>IFERROR(VLOOKUP(B461,'[1]model_S-フレーム'!$F$5:$V$7000,17,1),"")</f>
        <v>0</v>
      </c>
      <c r="BM461" t="str" cm="1">
        <f t="array" ref="BM461">_xlfn.IFS(LEFT(G461,1)="L","外注品",LEFT(G461,1)="W","内製品",G461="","購買品")</f>
        <v>内製品</v>
      </c>
    </row>
    <row r="462" spans="1:65">
      <c r="A462" t="str">
        <f t="shared" si="73"/>
        <v>WG01</v>
      </c>
      <c r="B462" t="s">
        <v>575</v>
      </c>
      <c r="C462" t="s">
        <v>907</v>
      </c>
      <c r="D462" s="7"/>
      <c r="E462" s="7"/>
      <c r="G462" t="s">
        <v>1939</v>
      </c>
      <c r="H462" t="str" cm="1">
        <f t="array" ref="H462">IFERROR(_xlfn.IFS(B462="","",AND(B462="",G462=""),"",G462="","記載要"),"")</f>
        <v/>
      </c>
      <c r="K462" t="str">
        <f t="shared" si="74"/>
        <v>11WP01002704</v>
      </c>
      <c r="L462" s="3" t="str">
        <f t="shared" si="75"/>
        <v>2001/01/01</v>
      </c>
      <c r="M462" s="3" t="str">
        <f t="shared" si="76"/>
        <v>2199/12/31</v>
      </c>
      <c r="N462" t="str">
        <f t="shared" si="77"/>
        <v>11WP01002704</v>
      </c>
      <c r="O462">
        <v>15</v>
      </c>
      <c r="Q462" t="str" cm="1">
        <f t="array" ref="Q462">_xlfn.IFS(AND(C462="",G462=""),"",LEFT(G462,1)="L","記載要",LEFT(G462,1)="W","",AND(C462,G462=""),"記載要")</f>
        <v/>
      </c>
      <c r="R462" s="21" t="str">
        <f t="shared" si="82"/>
        <v/>
      </c>
      <c r="S462" s="21"/>
      <c r="Z462" s="8"/>
      <c r="AA462">
        <v>1</v>
      </c>
      <c r="AB462">
        <f t="shared" si="78"/>
        <v>0</v>
      </c>
      <c r="AC462">
        <v>1</v>
      </c>
      <c r="AF462">
        <v>1</v>
      </c>
      <c r="AG462" s="8"/>
      <c r="AH462" s="8"/>
      <c r="AK462" cm="1">
        <f t="array" ref="AK462">_xlfn.IFS(B462="","",LEFT(G462,1)="L",1,LEFT(G462,1)="W",1,AND(LEFT(B462,1)="H",G462=""),0)</f>
        <v>1</v>
      </c>
      <c r="AS462" t="str">
        <f t="shared" si="79"/>
        <v/>
      </c>
      <c r="AT462" t="s">
        <v>115</v>
      </c>
      <c r="AU462" t="str">
        <f t="shared" si="80"/>
        <v>0</v>
      </c>
      <c r="BD462" t="str">
        <f t="shared" si="81"/>
        <v>0</v>
      </c>
      <c r="BK462" t="str">
        <f>IFERROR(VLOOKUP(B462,'[1]model_S-フレーム'!$F$5:$R$7000,13,1),"")</f>
        <v>E389566_01</v>
      </c>
      <c r="BL462" s="7">
        <f>IFERROR(VLOOKUP(B462,'[1]model_S-フレーム'!$F$5:$V$7000,17,1),"")</f>
        <v>0</v>
      </c>
      <c r="BM462" t="str" cm="1">
        <f t="array" ref="BM462">_xlfn.IFS(LEFT(G462,1)="L","外注品",LEFT(G462,1)="W","内製品",G462="","購買品")</f>
        <v>内製品</v>
      </c>
    </row>
    <row r="463" spans="1:65">
      <c r="A463" t="str">
        <f t="shared" si="73"/>
        <v>WG01</v>
      </c>
      <c r="B463" t="s">
        <v>576</v>
      </c>
      <c r="C463" t="s">
        <v>907</v>
      </c>
      <c r="D463" s="7"/>
      <c r="E463" s="7"/>
      <c r="G463" t="s">
        <v>1939</v>
      </c>
      <c r="H463" t="str" cm="1">
        <f t="array" ref="H463">IFERROR(_xlfn.IFS(B463="","",AND(B463="",G463=""),"",G463="","記載要"),"")</f>
        <v/>
      </c>
      <c r="K463" t="str">
        <f t="shared" si="74"/>
        <v>11WP01002705</v>
      </c>
      <c r="L463" s="3" t="str">
        <f t="shared" si="75"/>
        <v>2001/01/01</v>
      </c>
      <c r="M463" s="3" t="str">
        <f t="shared" si="76"/>
        <v>2199/12/31</v>
      </c>
      <c r="N463" t="str">
        <f t="shared" si="77"/>
        <v>11WP01002705</v>
      </c>
      <c r="O463">
        <v>15</v>
      </c>
      <c r="Q463" t="str" cm="1">
        <f t="array" ref="Q463">_xlfn.IFS(AND(C463="",G463=""),"",LEFT(G463,1)="L","記載要",LEFT(G463,1)="W","",AND(C463,G463=""),"記載要")</f>
        <v/>
      </c>
      <c r="R463" s="21" t="str">
        <f t="shared" si="82"/>
        <v/>
      </c>
      <c r="S463" s="21"/>
      <c r="Z463" s="8"/>
      <c r="AA463">
        <v>1</v>
      </c>
      <c r="AB463">
        <f t="shared" si="78"/>
        <v>0</v>
      </c>
      <c r="AC463">
        <v>1</v>
      </c>
      <c r="AF463">
        <v>1</v>
      </c>
      <c r="AG463" s="8"/>
      <c r="AH463" s="8"/>
      <c r="AK463" cm="1">
        <f t="array" ref="AK463">_xlfn.IFS(B463="","",LEFT(G463,1)="L",1,LEFT(G463,1)="W",1,AND(LEFT(B463,1)="H",G463=""),0)</f>
        <v>1</v>
      </c>
      <c r="AS463" t="str">
        <f t="shared" si="79"/>
        <v/>
      </c>
      <c r="AT463" t="s">
        <v>115</v>
      </c>
      <c r="AU463" t="str">
        <f t="shared" si="80"/>
        <v>0</v>
      </c>
      <c r="BD463" t="str">
        <f t="shared" si="81"/>
        <v>0</v>
      </c>
      <c r="BK463" t="str">
        <f>IFERROR(VLOOKUP(B463,'[1]model_S-フレーム'!$F$5:$R$7000,13,1),"")</f>
        <v>E389566_01</v>
      </c>
      <c r="BL463" s="7">
        <f>IFERROR(VLOOKUP(B463,'[1]model_S-フレーム'!$F$5:$V$7000,17,1),"")</f>
        <v>0</v>
      </c>
      <c r="BM463" t="str" cm="1">
        <f t="array" ref="BM463">_xlfn.IFS(LEFT(G463,1)="L","外注品",LEFT(G463,1)="W","内製品",G463="","購買品")</f>
        <v>内製品</v>
      </c>
    </row>
    <row r="464" spans="1:65">
      <c r="A464" t="str">
        <f t="shared" si="73"/>
        <v>WG01</v>
      </c>
      <c r="B464" t="s">
        <v>577</v>
      </c>
      <c r="C464" t="s">
        <v>907</v>
      </c>
      <c r="D464" s="7"/>
      <c r="E464" s="7"/>
      <c r="G464" t="s">
        <v>1939</v>
      </c>
      <c r="H464" t="str" cm="1">
        <f t="array" ref="H464">IFERROR(_xlfn.IFS(B464="","",AND(B464="",G464=""),"",G464="","記載要"),"")</f>
        <v/>
      </c>
      <c r="K464" t="str">
        <f t="shared" si="74"/>
        <v>11WP01002706</v>
      </c>
      <c r="L464" s="3" t="str">
        <f t="shared" si="75"/>
        <v>2001/01/01</v>
      </c>
      <c r="M464" s="3" t="str">
        <f t="shared" si="76"/>
        <v>2199/12/31</v>
      </c>
      <c r="N464" t="str">
        <f t="shared" si="77"/>
        <v>11WP01002706</v>
      </c>
      <c r="O464">
        <v>15</v>
      </c>
      <c r="Q464" t="str" cm="1">
        <f t="array" ref="Q464">_xlfn.IFS(AND(C464="",G464=""),"",LEFT(G464,1)="L","記載要",LEFT(G464,1)="W","",AND(C464,G464=""),"記載要")</f>
        <v/>
      </c>
      <c r="R464" s="21" t="str">
        <f t="shared" si="82"/>
        <v/>
      </c>
      <c r="S464" s="21"/>
      <c r="Z464" s="8"/>
      <c r="AA464">
        <v>1</v>
      </c>
      <c r="AB464">
        <f t="shared" si="78"/>
        <v>0</v>
      </c>
      <c r="AC464">
        <v>1</v>
      </c>
      <c r="AF464">
        <v>1</v>
      </c>
      <c r="AG464" s="8"/>
      <c r="AH464" s="8"/>
      <c r="AK464" cm="1">
        <f t="array" ref="AK464">_xlfn.IFS(B464="","",LEFT(G464,1)="L",1,LEFT(G464,1)="W",1,AND(LEFT(B464,1)="H",G464=""),0)</f>
        <v>1</v>
      </c>
      <c r="AS464" t="str">
        <f t="shared" si="79"/>
        <v/>
      </c>
      <c r="AT464" t="s">
        <v>115</v>
      </c>
      <c r="AU464" t="str">
        <f t="shared" si="80"/>
        <v>0</v>
      </c>
      <c r="BD464" t="str">
        <f t="shared" si="81"/>
        <v>0</v>
      </c>
      <c r="BK464" t="str">
        <f>IFERROR(VLOOKUP(B464,'[1]model_S-フレーム'!$F$5:$R$7000,13,1),"")</f>
        <v>E389566_01</v>
      </c>
      <c r="BL464" s="7">
        <f>IFERROR(VLOOKUP(B464,'[1]model_S-フレーム'!$F$5:$V$7000,17,1),"")</f>
        <v>0</v>
      </c>
      <c r="BM464" t="str" cm="1">
        <f t="array" ref="BM464">_xlfn.IFS(LEFT(G464,1)="L","外注品",LEFT(G464,1)="W","内製品",G464="","購買品")</f>
        <v>内製品</v>
      </c>
    </row>
    <row r="465" spans="1:65">
      <c r="A465" t="str">
        <f t="shared" si="73"/>
        <v>WG01</v>
      </c>
      <c r="B465" t="s">
        <v>578</v>
      </c>
      <c r="C465" t="s">
        <v>907</v>
      </c>
      <c r="D465" s="7"/>
      <c r="E465" s="7"/>
      <c r="G465" t="s">
        <v>1939</v>
      </c>
      <c r="H465" t="str" cm="1">
        <f t="array" ref="H465">IFERROR(_xlfn.IFS(B465="","",AND(B465="",G465=""),"",G465="","記載要"),"")</f>
        <v/>
      </c>
      <c r="K465" t="str">
        <f t="shared" si="74"/>
        <v>11WP01002707</v>
      </c>
      <c r="L465" s="3" t="str">
        <f t="shared" si="75"/>
        <v>2001/01/01</v>
      </c>
      <c r="M465" s="3" t="str">
        <f t="shared" si="76"/>
        <v>2199/12/31</v>
      </c>
      <c r="N465" t="str">
        <f t="shared" si="77"/>
        <v>11WP01002707</v>
      </c>
      <c r="O465">
        <v>15</v>
      </c>
      <c r="Q465" t="str" cm="1">
        <f t="array" ref="Q465">_xlfn.IFS(AND(C465="",G465=""),"",LEFT(G465,1)="L","記載要",LEFT(G465,1)="W","",AND(C465,G465=""),"記載要")</f>
        <v/>
      </c>
      <c r="R465" s="21" t="str">
        <f t="shared" si="82"/>
        <v/>
      </c>
      <c r="S465" s="21"/>
      <c r="Z465" s="8"/>
      <c r="AA465">
        <v>1</v>
      </c>
      <c r="AB465">
        <f t="shared" si="78"/>
        <v>0</v>
      </c>
      <c r="AC465">
        <v>1</v>
      </c>
      <c r="AF465">
        <v>1</v>
      </c>
      <c r="AG465" s="8"/>
      <c r="AH465" s="8"/>
      <c r="AK465" cm="1">
        <f t="array" ref="AK465">_xlfn.IFS(B465="","",LEFT(G465,1)="L",1,LEFT(G465,1)="W",1,AND(LEFT(B465,1)="H",G465=""),0)</f>
        <v>1</v>
      </c>
      <c r="AS465" t="str">
        <f t="shared" si="79"/>
        <v/>
      </c>
      <c r="AT465" t="s">
        <v>115</v>
      </c>
      <c r="AU465" t="str">
        <f t="shared" si="80"/>
        <v>0</v>
      </c>
      <c r="BD465" t="str">
        <f t="shared" si="81"/>
        <v>0</v>
      </c>
      <c r="BK465" t="str">
        <f>IFERROR(VLOOKUP(B465,'[1]model_S-フレーム'!$F$5:$R$7000,13,1),"")</f>
        <v>E389566_01</v>
      </c>
      <c r="BL465" s="7">
        <f>IFERROR(VLOOKUP(B465,'[1]model_S-フレーム'!$F$5:$V$7000,17,1),"")</f>
        <v>0</v>
      </c>
      <c r="BM465" t="str" cm="1">
        <f t="array" ref="BM465">_xlfn.IFS(LEFT(G465,1)="L","外注品",LEFT(G465,1)="W","内製品",G465="","購買品")</f>
        <v>内製品</v>
      </c>
    </row>
    <row r="466" spans="1:65">
      <c r="A466" t="str">
        <f t="shared" si="73"/>
        <v>WG01</v>
      </c>
      <c r="B466" t="s">
        <v>579</v>
      </c>
      <c r="C466" t="s">
        <v>907</v>
      </c>
      <c r="D466" s="7"/>
      <c r="E466" s="7"/>
      <c r="G466" t="s">
        <v>1939</v>
      </c>
      <c r="H466" t="str" cm="1">
        <f t="array" ref="H466">IFERROR(_xlfn.IFS(B466="","",AND(B466="",G466=""),"",G466="","記載要"),"")</f>
        <v/>
      </c>
      <c r="K466" t="str">
        <f t="shared" si="74"/>
        <v>11WP01002708</v>
      </c>
      <c r="L466" s="3" t="str">
        <f t="shared" si="75"/>
        <v>2001/01/01</v>
      </c>
      <c r="M466" s="3" t="str">
        <f t="shared" si="76"/>
        <v>2199/12/31</v>
      </c>
      <c r="N466" t="str">
        <f t="shared" si="77"/>
        <v>11WP01002708</v>
      </c>
      <c r="O466">
        <v>15</v>
      </c>
      <c r="Q466" t="str" cm="1">
        <f t="array" ref="Q466">_xlfn.IFS(AND(C466="",G466=""),"",LEFT(G466,1)="L","記載要",LEFT(G466,1)="W","",AND(C466,G466=""),"記載要")</f>
        <v/>
      </c>
      <c r="R466" s="21" t="str">
        <f t="shared" si="82"/>
        <v/>
      </c>
      <c r="S466" s="21"/>
      <c r="Z466" s="8"/>
      <c r="AA466">
        <v>1</v>
      </c>
      <c r="AB466">
        <f t="shared" si="78"/>
        <v>0</v>
      </c>
      <c r="AC466">
        <v>1</v>
      </c>
      <c r="AF466">
        <v>1</v>
      </c>
      <c r="AG466" s="8"/>
      <c r="AH466" s="8"/>
      <c r="AK466" cm="1">
        <f t="array" ref="AK466">_xlfn.IFS(B466="","",LEFT(G466,1)="L",1,LEFT(G466,1)="W",1,AND(LEFT(B466,1)="H",G466=""),0)</f>
        <v>1</v>
      </c>
      <c r="AS466" t="str">
        <f t="shared" si="79"/>
        <v/>
      </c>
      <c r="AT466" t="s">
        <v>115</v>
      </c>
      <c r="AU466" t="str">
        <f t="shared" si="80"/>
        <v>0</v>
      </c>
      <c r="BD466" t="str">
        <f t="shared" si="81"/>
        <v>0</v>
      </c>
      <c r="BK466" t="str">
        <f>IFERROR(VLOOKUP(B466,'[1]model_S-フレーム'!$F$5:$R$7000,13,1),"")</f>
        <v>E389566_01</v>
      </c>
      <c r="BL466" s="7">
        <f>IFERROR(VLOOKUP(B466,'[1]model_S-フレーム'!$F$5:$V$7000,17,1),"")</f>
        <v>0</v>
      </c>
      <c r="BM466" t="str" cm="1">
        <f t="array" ref="BM466">_xlfn.IFS(LEFT(G466,1)="L","外注品",LEFT(G466,1)="W","内製品",G466="","購買品")</f>
        <v>内製品</v>
      </c>
    </row>
    <row r="467" spans="1:65">
      <c r="A467" t="str">
        <f t="shared" si="73"/>
        <v>WG01</v>
      </c>
      <c r="B467" t="s">
        <v>580</v>
      </c>
      <c r="C467" t="s">
        <v>907</v>
      </c>
      <c r="D467" s="7"/>
      <c r="E467" s="7"/>
      <c r="G467" t="s">
        <v>1939</v>
      </c>
      <c r="H467" t="str" cm="1">
        <f t="array" ref="H467">IFERROR(_xlfn.IFS(B467="","",AND(B467="",G467=""),"",G467="","記載要"),"")</f>
        <v/>
      </c>
      <c r="K467" t="str">
        <f t="shared" si="74"/>
        <v>11WP01002709</v>
      </c>
      <c r="L467" s="3" t="str">
        <f t="shared" si="75"/>
        <v>2001/01/01</v>
      </c>
      <c r="M467" s="3" t="str">
        <f t="shared" si="76"/>
        <v>2199/12/31</v>
      </c>
      <c r="N467" t="str">
        <f t="shared" si="77"/>
        <v>11WP01002709</v>
      </c>
      <c r="O467">
        <v>15</v>
      </c>
      <c r="Q467" t="str" cm="1">
        <f t="array" ref="Q467">_xlfn.IFS(AND(C467="",G467=""),"",LEFT(G467,1)="L","記載要",LEFT(G467,1)="W","",AND(C467,G467=""),"記載要")</f>
        <v/>
      </c>
      <c r="R467" s="21" t="str">
        <f t="shared" si="82"/>
        <v/>
      </c>
      <c r="S467" s="21"/>
      <c r="Z467" s="8"/>
      <c r="AA467">
        <v>1</v>
      </c>
      <c r="AB467">
        <f t="shared" si="78"/>
        <v>0</v>
      </c>
      <c r="AC467">
        <v>1</v>
      </c>
      <c r="AF467">
        <v>1</v>
      </c>
      <c r="AG467" s="8"/>
      <c r="AH467" s="8"/>
      <c r="AK467" cm="1">
        <f t="array" ref="AK467">_xlfn.IFS(B467="","",LEFT(G467,1)="L",1,LEFT(G467,1)="W",1,AND(LEFT(B467,1)="H",G467=""),0)</f>
        <v>1</v>
      </c>
      <c r="AS467" t="str">
        <f t="shared" si="79"/>
        <v/>
      </c>
      <c r="AT467" t="s">
        <v>115</v>
      </c>
      <c r="AU467" t="str">
        <f t="shared" si="80"/>
        <v>0</v>
      </c>
      <c r="BD467" t="str">
        <f t="shared" si="81"/>
        <v>0</v>
      </c>
      <c r="BK467" t="str">
        <f>IFERROR(VLOOKUP(B467,'[1]model_S-フレーム'!$F$5:$R$7000,13,1),"")</f>
        <v>E389566_01</v>
      </c>
      <c r="BL467" s="7">
        <f>IFERROR(VLOOKUP(B467,'[1]model_S-フレーム'!$F$5:$V$7000,17,1),"")</f>
        <v>0</v>
      </c>
      <c r="BM467" t="str" cm="1">
        <f t="array" ref="BM467">_xlfn.IFS(LEFT(G467,1)="L","外注品",LEFT(G467,1)="W","内製品",G467="","購買品")</f>
        <v>内製品</v>
      </c>
    </row>
    <row r="468" spans="1:65">
      <c r="A468" t="str">
        <f t="shared" si="73"/>
        <v>WG01</v>
      </c>
      <c r="B468" t="s">
        <v>581</v>
      </c>
      <c r="C468" t="s">
        <v>907</v>
      </c>
      <c r="D468" s="7"/>
      <c r="E468" s="7"/>
      <c r="G468" t="s">
        <v>1939</v>
      </c>
      <c r="H468" t="str" cm="1">
        <f t="array" ref="H468">IFERROR(_xlfn.IFS(B468="","",AND(B468="",G468=""),"",G468="","記載要"),"")</f>
        <v/>
      </c>
      <c r="K468" t="str">
        <f t="shared" si="74"/>
        <v>11WP01002710</v>
      </c>
      <c r="L468" s="3" t="str">
        <f t="shared" si="75"/>
        <v>2001/01/01</v>
      </c>
      <c r="M468" s="3" t="str">
        <f t="shared" si="76"/>
        <v>2199/12/31</v>
      </c>
      <c r="N468" t="str">
        <f t="shared" si="77"/>
        <v>11WP01002710</v>
      </c>
      <c r="O468">
        <v>15</v>
      </c>
      <c r="Q468" t="str" cm="1">
        <f t="array" ref="Q468">_xlfn.IFS(AND(C468="",G468=""),"",LEFT(G468,1)="L","記載要",LEFT(G468,1)="W","",AND(C468,G468=""),"記載要")</f>
        <v/>
      </c>
      <c r="R468" s="21" t="str">
        <f t="shared" si="82"/>
        <v/>
      </c>
      <c r="S468" s="21"/>
      <c r="Z468" s="8"/>
      <c r="AA468">
        <v>1</v>
      </c>
      <c r="AB468">
        <f t="shared" si="78"/>
        <v>0</v>
      </c>
      <c r="AC468">
        <v>1</v>
      </c>
      <c r="AF468">
        <v>1</v>
      </c>
      <c r="AG468" s="8"/>
      <c r="AH468" s="8"/>
      <c r="AK468" cm="1">
        <f t="array" ref="AK468">_xlfn.IFS(B468="","",LEFT(G468,1)="L",1,LEFT(G468,1)="W",1,AND(LEFT(B468,1)="H",G468=""),0)</f>
        <v>1</v>
      </c>
      <c r="AS468" t="str">
        <f t="shared" si="79"/>
        <v/>
      </c>
      <c r="AT468" t="s">
        <v>115</v>
      </c>
      <c r="AU468" t="str">
        <f t="shared" si="80"/>
        <v>0</v>
      </c>
      <c r="BD468" t="str">
        <f t="shared" si="81"/>
        <v>0</v>
      </c>
      <c r="BK468" t="str">
        <f>IFERROR(VLOOKUP(B468,'[1]model_S-フレーム'!$F$5:$R$7000,13,1),"")</f>
        <v>E389566_01</v>
      </c>
      <c r="BL468" s="7">
        <f>IFERROR(VLOOKUP(B468,'[1]model_S-フレーム'!$F$5:$V$7000,17,1),"")</f>
        <v>0</v>
      </c>
      <c r="BM468" t="str" cm="1">
        <f t="array" ref="BM468">_xlfn.IFS(LEFT(G468,1)="L","外注品",LEFT(G468,1)="W","内製品",G468="","購買品")</f>
        <v>内製品</v>
      </c>
    </row>
    <row r="469" spans="1:65">
      <c r="A469" t="str">
        <f t="shared" si="73"/>
        <v>WG01</v>
      </c>
      <c r="B469" t="s">
        <v>582</v>
      </c>
      <c r="C469" t="s">
        <v>908</v>
      </c>
      <c r="D469" s="7"/>
      <c r="E469" s="7"/>
      <c r="G469" t="s">
        <v>1939</v>
      </c>
      <c r="H469" t="str" cm="1">
        <f t="array" ref="H469">IFERROR(_xlfn.IFS(B469="","",AND(B469="",G469=""),"",G469="","記載要"),"")</f>
        <v/>
      </c>
      <c r="K469" t="str">
        <f t="shared" si="74"/>
        <v>11WP01002711</v>
      </c>
      <c r="L469" s="3" t="str">
        <f t="shared" si="75"/>
        <v>2001/01/01</v>
      </c>
      <c r="M469" s="3" t="str">
        <f t="shared" si="76"/>
        <v>2199/12/31</v>
      </c>
      <c r="N469" t="str">
        <f t="shared" si="77"/>
        <v>11WP01002711</v>
      </c>
      <c r="O469">
        <v>15</v>
      </c>
      <c r="Q469" t="str" cm="1">
        <f t="array" ref="Q469">_xlfn.IFS(AND(C469="",G469=""),"",LEFT(G469,1)="L","記載要",LEFT(G469,1)="W","",AND(C469,G469=""),"記載要")</f>
        <v/>
      </c>
      <c r="R469" s="21" t="str">
        <f t="shared" si="82"/>
        <v/>
      </c>
      <c r="S469" s="21"/>
      <c r="Z469" s="8"/>
      <c r="AA469">
        <v>1</v>
      </c>
      <c r="AB469">
        <f t="shared" si="78"/>
        <v>0</v>
      </c>
      <c r="AC469">
        <v>1</v>
      </c>
      <c r="AF469">
        <v>1</v>
      </c>
      <c r="AG469" s="8"/>
      <c r="AH469" s="8"/>
      <c r="AK469" cm="1">
        <f t="array" ref="AK469">_xlfn.IFS(B469="","",LEFT(G469,1)="L",1,LEFT(G469,1)="W",1,AND(LEFT(B469,1)="H",G469=""),0)</f>
        <v>1</v>
      </c>
      <c r="AS469" t="str">
        <f t="shared" si="79"/>
        <v/>
      </c>
      <c r="AT469" t="s">
        <v>115</v>
      </c>
      <c r="AU469" t="str">
        <f t="shared" si="80"/>
        <v>0</v>
      </c>
      <c r="BD469" t="str">
        <f t="shared" si="81"/>
        <v>0</v>
      </c>
      <c r="BK469" t="str">
        <f>IFERROR(VLOOKUP(B469,'[1]model_S-フレーム'!$F$5:$R$7000,13,1),"")</f>
        <v>E389566_01</v>
      </c>
      <c r="BL469" s="7">
        <f>IFERROR(VLOOKUP(B469,'[1]model_S-フレーム'!$F$5:$V$7000,17,1),"")</f>
        <v>0</v>
      </c>
      <c r="BM469" t="str" cm="1">
        <f t="array" ref="BM469">_xlfn.IFS(LEFT(G469,1)="L","外注品",LEFT(G469,1)="W","内製品",G469="","購買品")</f>
        <v>内製品</v>
      </c>
    </row>
    <row r="470" spans="1:65">
      <c r="A470" t="str">
        <f t="shared" si="73"/>
        <v>WG01</v>
      </c>
      <c r="B470" t="s">
        <v>583</v>
      </c>
      <c r="C470" t="s">
        <v>908</v>
      </c>
      <c r="D470" s="7"/>
      <c r="E470" s="7"/>
      <c r="G470" t="s">
        <v>1939</v>
      </c>
      <c r="H470" t="str" cm="1">
        <f t="array" ref="H470">IFERROR(_xlfn.IFS(B470="","",AND(B470="",G470=""),"",G470="","記載要"),"")</f>
        <v/>
      </c>
      <c r="K470" t="str">
        <f t="shared" si="74"/>
        <v>11WP01002712</v>
      </c>
      <c r="L470" s="3" t="str">
        <f t="shared" si="75"/>
        <v>2001/01/01</v>
      </c>
      <c r="M470" s="3" t="str">
        <f t="shared" si="76"/>
        <v>2199/12/31</v>
      </c>
      <c r="N470" t="str">
        <f t="shared" si="77"/>
        <v>11WP01002712</v>
      </c>
      <c r="O470">
        <v>15</v>
      </c>
      <c r="Q470" t="str" cm="1">
        <f t="array" ref="Q470">_xlfn.IFS(AND(C470="",G470=""),"",LEFT(G470,1)="L","記載要",LEFT(G470,1)="W","",AND(C470,G470=""),"記載要")</f>
        <v/>
      </c>
      <c r="R470" s="21" t="str">
        <f t="shared" si="82"/>
        <v/>
      </c>
      <c r="S470" s="21"/>
      <c r="Z470" s="8"/>
      <c r="AA470">
        <v>1</v>
      </c>
      <c r="AB470">
        <f t="shared" si="78"/>
        <v>0</v>
      </c>
      <c r="AC470">
        <v>1</v>
      </c>
      <c r="AF470">
        <v>1</v>
      </c>
      <c r="AG470" s="8"/>
      <c r="AH470" s="8"/>
      <c r="AK470" cm="1">
        <f t="array" ref="AK470">_xlfn.IFS(B470="","",LEFT(G470,1)="L",1,LEFT(G470,1)="W",1,AND(LEFT(B470,1)="H",G470=""),0)</f>
        <v>1</v>
      </c>
      <c r="AS470" t="str">
        <f t="shared" si="79"/>
        <v/>
      </c>
      <c r="AT470" t="s">
        <v>115</v>
      </c>
      <c r="AU470" t="str">
        <f t="shared" si="80"/>
        <v>0</v>
      </c>
      <c r="BD470" t="str">
        <f t="shared" si="81"/>
        <v>0</v>
      </c>
      <c r="BK470" t="str">
        <f>IFERROR(VLOOKUP(B470,'[1]model_S-フレーム'!$F$5:$R$7000,13,1),"")</f>
        <v>E389566_01</v>
      </c>
      <c r="BL470" s="7">
        <f>IFERROR(VLOOKUP(B470,'[1]model_S-フレーム'!$F$5:$V$7000,17,1),"")</f>
        <v>0</v>
      </c>
      <c r="BM470" t="str" cm="1">
        <f t="array" ref="BM470">_xlfn.IFS(LEFT(G470,1)="L","外注品",LEFT(G470,1)="W","内製品",G470="","購買品")</f>
        <v>内製品</v>
      </c>
    </row>
    <row r="471" spans="1:65">
      <c r="A471" t="str">
        <f t="shared" si="73"/>
        <v>WG01</v>
      </c>
      <c r="B471" t="s">
        <v>584</v>
      </c>
      <c r="C471" t="s">
        <v>908</v>
      </c>
      <c r="D471" s="7"/>
      <c r="E471" s="7"/>
      <c r="G471" t="s">
        <v>1939</v>
      </c>
      <c r="H471" t="str" cm="1">
        <f t="array" ref="H471">IFERROR(_xlfn.IFS(B471="","",AND(B471="",G471=""),"",G471="","記載要"),"")</f>
        <v/>
      </c>
      <c r="K471" t="str">
        <f t="shared" si="74"/>
        <v>11WP01002713</v>
      </c>
      <c r="L471" s="3" t="str">
        <f t="shared" si="75"/>
        <v>2001/01/01</v>
      </c>
      <c r="M471" s="3" t="str">
        <f t="shared" si="76"/>
        <v>2199/12/31</v>
      </c>
      <c r="N471" t="str">
        <f t="shared" si="77"/>
        <v>11WP01002713</v>
      </c>
      <c r="O471">
        <v>15</v>
      </c>
      <c r="Q471" t="str" cm="1">
        <f t="array" ref="Q471">_xlfn.IFS(AND(C471="",G471=""),"",LEFT(G471,1)="L","記載要",LEFT(G471,1)="W","",AND(C471,G471=""),"記載要")</f>
        <v/>
      </c>
      <c r="R471" s="21" t="str">
        <f t="shared" si="82"/>
        <v/>
      </c>
      <c r="S471" s="21"/>
      <c r="Z471" s="8"/>
      <c r="AA471">
        <v>1</v>
      </c>
      <c r="AB471">
        <f t="shared" si="78"/>
        <v>0</v>
      </c>
      <c r="AC471">
        <v>1</v>
      </c>
      <c r="AF471">
        <v>1</v>
      </c>
      <c r="AG471" s="8"/>
      <c r="AH471" s="8"/>
      <c r="AK471" cm="1">
        <f t="array" ref="AK471">_xlfn.IFS(B471="","",LEFT(G471,1)="L",1,LEFT(G471,1)="W",1,AND(LEFT(B471,1)="H",G471=""),0)</f>
        <v>1</v>
      </c>
      <c r="AS471" t="str">
        <f t="shared" si="79"/>
        <v/>
      </c>
      <c r="AT471" t="s">
        <v>115</v>
      </c>
      <c r="AU471" t="str">
        <f t="shared" si="80"/>
        <v>0</v>
      </c>
      <c r="BD471" t="str">
        <f t="shared" si="81"/>
        <v>0</v>
      </c>
      <c r="BK471" t="str">
        <f>IFERROR(VLOOKUP(B471,'[1]model_S-フレーム'!$F$5:$R$7000,13,1),"")</f>
        <v>E389566_01</v>
      </c>
      <c r="BL471" s="7">
        <f>IFERROR(VLOOKUP(B471,'[1]model_S-フレーム'!$F$5:$V$7000,17,1),"")</f>
        <v>0</v>
      </c>
      <c r="BM471" t="str" cm="1">
        <f t="array" ref="BM471">_xlfn.IFS(LEFT(G471,1)="L","外注品",LEFT(G471,1)="W","内製品",G471="","購買品")</f>
        <v>内製品</v>
      </c>
    </row>
    <row r="472" spans="1:65">
      <c r="A472" t="str">
        <f t="shared" si="73"/>
        <v>WG01</v>
      </c>
      <c r="B472" t="s">
        <v>585</v>
      </c>
      <c r="C472" t="s">
        <v>908</v>
      </c>
      <c r="D472" s="7"/>
      <c r="E472" s="7"/>
      <c r="G472" t="s">
        <v>1939</v>
      </c>
      <c r="H472" t="str" cm="1">
        <f t="array" ref="H472">IFERROR(_xlfn.IFS(B472="","",AND(B472="",G472=""),"",G472="","記載要"),"")</f>
        <v/>
      </c>
      <c r="K472" t="str">
        <f t="shared" si="74"/>
        <v>11WP01002714</v>
      </c>
      <c r="L472" s="3" t="str">
        <f t="shared" si="75"/>
        <v>2001/01/01</v>
      </c>
      <c r="M472" s="3" t="str">
        <f t="shared" si="76"/>
        <v>2199/12/31</v>
      </c>
      <c r="N472" t="str">
        <f t="shared" si="77"/>
        <v>11WP01002714</v>
      </c>
      <c r="O472">
        <v>15</v>
      </c>
      <c r="Q472" t="str" cm="1">
        <f t="array" ref="Q472">_xlfn.IFS(AND(C472="",G472=""),"",LEFT(G472,1)="L","記載要",LEFT(G472,1)="W","",AND(C472,G472=""),"記載要")</f>
        <v/>
      </c>
      <c r="R472" s="21" t="str">
        <f t="shared" si="82"/>
        <v/>
      </c>
      <c r="S472" s="21"/>
      <c r="Z472" s="8"/>
      <c r="AA472">
        <v>1</v>
      </c>
      <c r="AB472">
        <f t="shared" si="78"/>
        <v>0</v>
      </c>
      <c r="AC472">
        <v>1</v>
      </c>
      <c r="AF472">
        <v>1</v>
      </c>
      <c r="AG472" s="8"/>
      <c r="AH472" s="8"/>
      <c r="AK472" cm="1">
        <f t="array" ref="AK472">_xlfn.IFS(B472="","",LEFT(G472,1)="L",1,LEFT(G472,1)="W",1,AND(LEFT(B472,1)="H",G472=""),0)</f>
        <v>1</v>
      </c>
      <c r="AS472" t="str">
        <f t="shared" si="79"/>
        <v/>
      </c>
      <c r="AT472" t="s">
        <v>115</v>
      </c>
      <c r="AU472" t="str">
        <f t="shared" si="80"/>
        <v>0</v>
      </c>
      <c r="BD472" t="str">
        <f t="shared" si="81"/>
        <v>0</v>
      </c>
      <c r="BK472" t="str">
        <f>IFERROR(VLOOKUP(B472,'[1]model_S-フレーム'!$F$5:$R$7000,13,1),"")</f>
        <v>E389566_01</v>
      </c>
      <c r="BL472" s="7">
        <f>IFERROR(VLOOKUP(B472,'[1]model_S-フレーム'!$F$5:$V$7000,17,1),"")</f>
        <v>0</v>
      </c>
      <c r="BM472" t="str" cm="1">
        <f t="array" ref="BM472">_xlfn.IFS(LEFT(G472,1)="L","外注品",LEFT(G472,1)="W","内製品",G472="","購買品")</f>
        <v>内製品</v>
      </c>
    </row>
    <row r="473" spans="1:65">
      <c r="A473" t="str">
        <f t="shared" si="73"/>
        <v>WG01</v>
      </c>
      <c r="B473" t="s">
        <v>586</v>
      </c>
      <c r="C473" t="s">
        <v>908</v>
      </c>
      <c r="D473" s="7"/>
      <c r="E473" s="7"/>
      <c r="G473" t="s">
        <v>1939</v>
      </c>
      <c r="H473" t="str" cm="1">
        <f t="array" ref="H473">IFERROR(_xlfn.IFS(B473="","",AND(B473="",G473=""),"",G473="","記載要"),"")</f>
        <v/>
      </c>
      <c r="K473" t="str">
        <f t="shared" si="74"/>
        <v>11WP01002715</v>
      </c>
      <c r="L473" s="3" t="str">
        <f t="shared" si="75"/>
        <v>2001/01/01</v>
      </c>
      <c r="M473" s="3" t="str">
        <f t="shared" si="76"/>
        <v>2199/12/31</v>
      </c>
      <c r="N473" t="str">
        <f t="shared" si="77"/>
        <v>11WP01002715</v>
      </c>
      <c r="O473">
        <v>15</v>
      </c>
      <c r="Q473" t="str" cm="1">
        <f t="array" ref="Q473">_xlfn.IFS(AND(C473="",G473=""),"",LEFT(G473,1)="L","記載要",LEFT(G473,1)="W","",AND(C473,G473=""),"記載要")</f>
        <v/>
      </c>
      <c r="R473" s="21" t="str">
        <f t="shared" si="82"/>
        <v/>
      </c>
      <c r="S473" s="21"/>
      <c r="Z473" s="8"/>
      <c r="AA473">
        <v>1</v>
      </c>
      <c r="AB473">
        <f t="shared" si="78"/>
        <v>0</v>
      </c>
      <c r="AC473">
        <v>1</v>
      </c>
      <c r="AF473">
        <v>1</v>
      </c>
      <c r="AG473" s="8"/>
      <c r="AH473" s="8"/>
      <c r="AK473" cm="1">
        <f t="array" ref="AK473">_xlfn.IFS(B473="","",LEFT(G473,1)="L",1,LEFT(G473,1)="W",1,AND(LEFT(B473,1)="H",G473=""),0)</f>
        <v>1</v>
      </c>
      <c r="AS473" t="str">
        <f t="shared" si="79"/>
        <v/>
      </c>
      <c r="AT473" t="s">
        <v>115</v>
      </c>
      <c r="AU473" t="str">
        <f t="shared" si="80"/>
        <v>0</v>
      </c>
      <c r="BD473" t="str">
        <f t="shared" si="81"/>
        <v>0</v>
      </c>
      <c r="BK473" t="str">
        <f>IFERROR(VLOOKUP(B473,'[1]model_S-フレーム'!$F$5:$R$7000,13,1),"")</f>
        <v>E389566_01</v>
      </c>
      <c r="BL473" s="7">
        <f>IFERROR(VLOOKUP(B473,'[1]model_S-フレーム'!$F$5:$V$7000,17,1),"")</f>
        <v>0</v>
      </c>
      <c r="BM473" t="str" cm="1">
        <f t="array" ref="BM473">_xlfn.IFS(LEFT(G473,1)="L","外注品",LEFT(G473,1)="W","内製品",G473="","購買品")</f>
        <v>内製品</v>
      </c>
    </row>
    <row r="474" spans="1:65">
      <c r="A474" t="str">
        <f t="shared" si="73"/>
        <v>WG01</v>
      </c>
      <c r="B474" t="s">
        <v>587</v>
      </c>
      <c r="C474" t="s">
        <v>908</v>
      </c>
      <c r="D474" s="7"/>
      <c r="E474" s="7"/>
      <c r="G474" t="s">
        <v>1939</v>
      </c>
      <c r="H474" t="str" cm="1">
        <f t="array" ref="H474">IFERROR(_xlfn.IFS(B474="","",AND(B474="",G474=""),"",G474="","記載要"),"")</f>
        <v/>
      </c>
      <c r="K474" t="str">
        <f t="shared" si="74"/>
        <v>11WP01002716</v>
      </c>
      <c r="L474" s="3" t="str">
        <f t="shared" si="75"/>
        <v>2001/01/01</v>
      </c>
      <c r="M474" s="3" t="str">
        <f t="shared" si="76"/>
        <v>2199/12/31</v>
      </c>
      <c r="N474" t="str">
        <f t="shared" si="77"/>
        <v>11WP01002716</v>
      </c>
      <c r="O474">
        <v>15</v>
      </c>
      <c r="Q474" t="str" cm="1">
        <f t="array" ref="Q474">_xlfn.IFS(AND(C474="",G474=""),"",LEFT(G474,1)="L","記載要",LEFT(G474,1)="W","",AND(C474,G474=""),"記載要")</f>
        <v/>
      </c>
      <c r="R474" s="21" t="str">
        <f t="shared" si="82"/>
        <v/>
      </c>
      <c r="S474" s="21"/>
      <c r="Z474" s="8"/>
      <c r="AA474">
        <v>1</v>
      </c>
      <c r="AB474">
        <f t="shared" si="78"/>
        <v>0</v>
      </c>
      <c r="AC474">
        <v>1</v>
      </c>
      <c r="AF474">
        <v>1</v>
      </c>
      <c r="AG474" s="8"/>
      <c r="AH474" s="8"/>
      <c r="AK474" cm="1">
        <f t="array" ref="AK474">_xlfn.IFS(B474="","",LEFT(G474,1)="L",1,LEFT(G474,1)="W",1,AND(LEFT(B474,1)="H",G474=""),0)</f>
        <v>1</v>
      </c>
      <c r="AS474" t="str">
        <f t="shared" si="79"/>
        <v/>
      </c>
      <c r="AT474" t="s">
        <v>115</v>
      </c>
      <c r="AU474" t="str">
        <f t="shared" si="80"/>
        <v>0</v>
      </c>
      <c r="BD474" t="str">
        <f t="shared" si="81"/>
        <v>0</v>
      </c>
      <c r="BK474" t="str">
        <f>IFERROR(VLOOKUP(B474,'[1]model_S-フレーム'!$F$5:$R$7000,13,1),"")</f>
        <v>E389566_01</v>
      </c>
      <c r="BL474" s="7">
        <f>IFERROR(VLOOKUP(B474,'[1]model_S-フレーム'!$F$5:$V$7000,17,1),"")</f>
        <v>0</v>
      </c>
      <c r="BM474" t="str" cm="1">
        <f t="array" ref="BM474">_xlfn.IFS(LEFT(G474,1)="L","外注品",LEFT(G474,1)="W","内製品",G474="","購買品")</f>
        <v>内製品</v>
      </c>
    </row>
    <row r="475" spans="1:65">
      <c r="A475" t="str">
        <f t="shared" si="73"/>
        <v>WG01</v>
      </c>
      <c r="B475" t="s">
        <v>588</v>
      </c>
      <c r="C475" t="s">
        <v>908</v>
      </c>
      <c r="D475" s="7"/>
      <c r="E475" s="7"/>
      <c r="G475" t="s">
        <v>1939</v>
      </c>
      <c r="H475" t="str" cm="1">
        <f t="array" ref="H475">IFERROR(_xlfn.IFS(B475="","",AND(B475="",G475=""),"",G475="","記載要"),"")</f>
        <v/>
      </c>
      <c r="K475" t="str">
        <f t="shared" si="74"/>
        <v>11WP01002717</v>
      </c>
      <c r="L475" s="3" t="str">
        <f t="shared" si="75"/>
        <v>2001/01/01</v>
      </c>
      <c r="M475" s="3" t="str">
        <f t="shared" si="76"/>
        <v>2199/12/31</v>
      </c>
      <c r="N475" t="str">
        <f t="shared" si="77"/>
        <v>11WP01002717</v>
      </c>
      <c r="O475">
        <v>15</v>
      </c>
      <c r="Q475" t="str" cm="1">
        <f t="array" ref="Q475">_xlfn.IFS(AND(C475="",G475=""),"",LEFT(G475,1)="L","記載要",LEFT(G475,1)="W","",AND(C475,G475=""),"記載要")</f>
        <v/>
      </c>
      <c r="R475" s="21" t="str">
        <f t="shared" si="82"/>
        <v/>
      </c>
      <c r="S475" s="21"/>
      <c r="Z475" s="8"/>
      <c r="AA475">
        <v>1</v>
      </c>
      <c r="AB475">
        <f t="shared" si="78"/>
        <v>0</v>
      </c>
      <c r="AC475">
        <v>1</v>
      </c>
      <c r="AF475">
        <v>1</v>
      </c>
      <c r="AG475" s="8"/>
      <c r="AH475" s="8"/>
      <c r="AK475" cm="1">
        <f t="array" ref="AK475">_xlfn.IFS(B475="","",LEFT(G475,1)="L",1,LEFT(G475,1)="W",1,AND(LEFT(B475,1)="H",G475=""),0)</f>
        <v>1</v>
      </c>
      <c r="AS475" t="str">
        <f t="shared" si="79"/>
        <v/>
      </c>
      <c r="AT475" t="s">
        <v>115</v>
      </c>
      <c r="AU475" t="str">
        <f t="shared" si="80"/>
        <v>0</v>
      </c>
      <c r="BD475" t="str">
        <f t="shared" si="81"/>
        <v>0</v>
      </c>
      <c r="BK475" t="str">
        <f>IFERROR(VLOOKUP(B475,'[1]model_S-フレーム'!$F$5:$R$7000,13,1),"")</f>
        <v>E389566_01</v>
      </c>
      <c r="BL475" s="7">
        <f>IFERROR(VLOOKUP(B475,'[1]model_S-フレーム'!$F$5:$V$7000,17,1),"")</f>
        <v>0</v>
      </c>
      <c r="BM475" t="str" cm="1">
        <f t="array" ref="BM475">_xlfn.IFS(LEFT(G475,1)="L","外注品",LEFT(G475,1)="W","内製品",G475="","購買品")</f>
        <v>内製品</v>
      </c>
    </row>
    <row r="476" spans="1:65">
      <c r="A476" t="str">
        <f t="shared" si="73"/>
        <v>WG01</v>
      </c>
      <c r="B476" t="s">
        <v>589</v>
      </c>
      <c r="C476" t="s">
        <v>908</v>
      </c>
      <c r="D476" s="7"/>
      <c r="E476" s="7"/>
      <c r="G476" t="s">
        <v>1939</v>
      </c>
      <c r="H476" t="str" cm="1">
        <f t="array" ref="H476">IFERROR(_xlfn.IFS(B476="","",AND(B476="",G476=""),"",G476="","記載要"),"")</f>
        <v/>
      </c>
      <c r="K476" t="str">
        <f t="shared" si="74"/>
        <v>11WP01002718</v>
      </c>
      <c r="L476" s="3" t="str">
        <f t="shared" si="75"/>
        <v>2001/01/01</v>
      </c>
      <c r="M476" s="3" t="str">
        <f t="shared" si="76"/>
        <v>2199/12/31</v>
      </c>
      <c r="N476" t="str">
        <f t="shared" si="77"/>
        <v>11WP01002718</v>
      </c>
      <c r="O476">
        <v>15</v>
      </c>
      <c r="Q476" t="str" cm="1">
        <f t="array" ref="Q476">_xlfn.IFS(AND(C476="",G476=""),"",LEFT(G476,1)="L","記載要",LEFT(G476,1)="W","",AND(C476,G476=""),"記載要")</f>
        <v/>
      </c>
      <c r="R476" s="21" t="str">
        <f t="shared" si="82"/>
        <v/>
      </c>
      <c r="S476" s="21"/>
      <c r="Z476" s="8"/>
      <c r="AA476">
        <v>1</v>
      </c>
      <c r="AB476">
        <f t="shared" si="78"/>
        <v>0</v>
      </c>
      <c r="AC476">
        <v>1</v>
      </c>
      <c r="AF476">
        <v>1</v>
      </c>
      <c r="AG476" s="8"/>
      <c r="AH476" s="8"/>
      <c r="AK476" cm="1">
        <f t="array" ref="AK476">_xlfn.IFS(B476="","",LEFT(G476,1)="L",1,LEFT(G476,1)="W",1,AND(LEFT(B476,1)="H",G476=""),0)</f>
        <v>1</v>
      </c>
      <c r="AS476" t="str">
        <f t="shared" si="79"/>
        <v/>
      </c>
      <c r="AT476" t="s">
        <v>115</v>
      </c>
      <c r="AU476" t="str">
        <f t="shared" si="80"/>
        <v>0</v>
      </c>
      <c r="BD476" t="str">
        <f t="shared" si="81"/>
        <v>0</v>
      </c>
      <c r="BK476" t="str">
        <f>IFERROR(VLOOKUP(B476,'[1]model_S-フレーム'!$F$5:$R$7000,13,1),"")</f>
        <v>E389566_01</v>
      </c>
      <c r="BL476" s="7">
        <f>IFERROR(VLOOKUP(B476,'[1]model_S-フレーム'!$F$5:$V$7000,17,1),"")</f>
        <v>0</v>
      </c>
      <c r="BM476" t="str" cm="1">
        <f t="array" ref="BM476">_xlfn.IFS(LEFT(G476,1)="L","外注品",LEFT(G476,1)="W","内製品",G476="","購買品")</f>
        <v>内製品</v>
      </c>
    </row>
    <row r="477" spans="1:65">
      <c r="A477" t="str">
        <f t="shared" si="73"/>
        <v>WG01</v>
      </c>
      <c r="B477" t="s">
        <v>590</v>
      </c>
      <c r="C477" t="s">
        <v>908</v>
      </c>
      <c r="D477" s="7"/>
      <c r="E477" s="7"/>
      <c r="G477" t="s">
        <v>1939</v>
      </c>
      <c r="H477" t="str" cm="1">
        <f t="array" ref="H477">IFERROR(_xlfn.IFS(B477="","",AND(B477="",G477=""),"",G477="","記載要"),"")</f>
        <v/>
      </c>
      <c r="K477" t="str">
        <f t="shared" si="74"/>
        <v>11WP01002719</v>
      </c>
      <c r="L477" s="3" t="str">
        <f t="shared" si="75"/>
        <v>2001/01/01</v>
      </c>
      <c r="M477" s="3" t="str">
        <f t="shared" si="76"/>
        <v>2199/12/31</v>
      </c>
      <c r="N477" t="str">
        <f t="shared" si="77"/>
        <v>11WP01002719</v>
      </c>
      <c r="O477">
        <v>15</v>
      </c>
      <c r="Q477" t="str" cm="1">
        <f t="array" ref="Q477">_xlfn.IFS(AND(C477="",G477=""),"",LEFT(G477,1)="L","記載要",LEFT(G477,1)="W","",AND(C477,G477=""),"記載要")</f>
        <v/>
      </c>
      <c r="R477" s="21" t="str">
        <f t="shared" si="82"/>
        <v/>
      </c>
      <c r="S477" s="21"/>
      <c r="Z477" s="8"/>
      <c r="AA477">
        <v>1</v>
      </c>
      <c r="AB477">
        <f t="shared" si="78"/>
        <v>0</v>
      </c>
      <c r="AC477">
        <v>1</v>
      </c>
      <c r="AF477">
        <v>1</v>
      </c>
      <c r="AG477" s="8"/>
      <c r="AH477" s="8"/>
      <c r="AK477" cm="1">
        <f t="array" ref="AK477">_xlfn.IFS(B477="","",LEFT(G477,1)="L",1,LEFT(G477,1)="W",1,AND(LEFT(B477,1)="H",G477=""),0)</f>
        <v>1</v>
      </c>
      <c r="AS477" t="str">
        <f t="shared" si="79"/>
        <v/>
      </c>
      <c r="AT477" t="s">
        <v>115</v>
      </c>
      <c r="AU477" t="str">
        <f t="shared" si="80"/>
        <v>0</v>
      </c>
      <c r="BD477" t="str">
        <f t="shared" si="81"/>
        <v>0</v>
      </c>
      <c r="BK477" t="str">
        <f>IFERROR(VLOOKUP(B477,'[1]model_S-フレーム'!$F$5:$R$7000,13,1),"")</f>
        <v>E389566_01</v>
      </c>
      <c r="BL477" s="7">
        <f>IFERROR(VLOOKUP(B477,'[1]model_S-フレーム'!$F$5:$V$7000,17,1),"")</f>
        <v>0</v>
      </c>
      <c r="BM477" t="str" cm="1">
        <f t="array" ref="BM477">_xlfn.IFS(LEFT(G477,1)="L","外注品",LEFT(G477,1)="W","内製品",G477="","購買品")</f>
        <v>内製品</v>
      </c>
    </row>
    <row r="478" spans="1:65">
      <c r="A478" t="str">
        <f t="shared" si="73"/>
        <v>WG01</v>
      </c>
      <c r="B478" t="s">
        <v>591</v>
      </c>
      <c r="C478" t="s">
        <v>909</v>
      </c>
      <c r="D478" s="7"/>
      <c r="E478" s="7"/>
      <c r="G478" t="s">
        <v>1939</v>
      </c>
      <c r="H478" t="str" cm="1">
        <f t="array" ref="H478">IFERROR(_xlfn.IFS(B478="","",AND(B478="",G478=""),"",G478="","記載要"),"")</f>
        <v/>
      </c>
      <c r="K478" t="str">
        <f t="shared" si="74"/>
        <v>11WP01002720</v>
      </c>
      <c r="L478" s="3" t="str">
        <f t="shared" si="75"/>
        <v>2001/01/01</v>
      </c>
      <c r="M478" s="3" t="str">
        <f t="shared" si="76"/>
        <v>2199/12/31</v>
      </c>
      <c r="N478" t="str">
        <f t="shared" si="77"/>
        <v>11WP01002720</v>
      </c>
      <c r="O478">
        <v>15</v>
      </c>
      <c r="Q478" t="str" cm="1">
        <f t="array" ref="Q478">_xlfn.IFS(AND(C478="",G478=""),"",LEFT(G478,1)="L","記載要",LEFT(G478,1)="W","",AND(C478,G478=""),"記載要")</f>
        <v/>
      </c>
      <c r="R478" s="21" t="str">
        <f t="shared" si="82"/>
        <v/>
      </c>
      <c r="S478" s="21"/>
      <c r="Z478" s="8"/>
      <c r="AA478">
        <v>1</v>
      </c>
      <c r="AB478">
        <f t="shared" si="78"/>
        <v>0</v>
      </c>
      <c r="AC478">
        <v>1</v>
      </c>
      <c r="AF478">
        <v>1</v>
      </c>
      <c r="AG478" s="8"/>
      <c r="AH478" s="8"/>
      <c r="AK478" cm="1">
        <f t="array" ref="AK478">_xlfn.IFS(B478="","",LEFT(G478,1)="L",1,LEFT(G478,1)="W",1,AND(LEFT(B478,1)="H",G478=""),0)</f>
        <v>1</v>
      </c>
      <c r="AS478" t="str">
        <f t="shared" si="79"/>
        <v/>
      </c>
      <c r="AT478" t="s">
        <v>115</v>
      </c>
      <c r="AU478" t="str">
        <f t="shared" si="80"/>
        <v>0</v>
      </c>
      <c r="BD478" t="str">
        <f t="shared" si="81"/>
        <v>0</v>
      </c>
      <c r="BK478" t="str">
        <f>IFERROR(VLOOKUP(B478,'[1]model_S-フレーム'!$F$5:$R$7000,13,1),"")</f>
        <v>E389566_01</v>
      </c>
      <c r="BL478" s="7">
        <f>IFERROR(VLOOKUP(B478,'[1]model_S-フレーム'!$F$5:$V$7000,17,1),"")</f>
        <v>0</v>
      </c>
      <c r="BM478" t="str" cm="1">
        <f t="array" ref="BM478">_xlfn.IFS(LEFT(G478,1)="L","外注品",LEFT(G478,1)="W","内製品",G478="","購買品")</f>
        <v>内製品</v>
      </c>
    </row>
    <row r="479" spans="1:65">
      <c r="A479" t="str">
        <f t="shared" si="73"/>
        <v>WG01</v>
      </c>
      <c r="B479" t="s">
        <v>592</v>
      </c>
      <c r="C479" t="s">
        <v>909</v>
      </c>
      <c r="D479" s="7"/>
      <c r="E479" s="7"/>
      <c r="G479" t="s">
        <v>1939</v>
      </c>
      <c r="H479" t="str" cm="1">
        <f t="array" ref="H479">IFERROR(_xlfn.IFS(B479="","",AND(B479="",G479=""),"",G479="","記載要"),"")</f>
        <v/>
      </c>
      <c r="K479" t="str">
        <f t="shared" si="74"/>
        <v>11WP01002721</v>
      </c>
      <c r="L479" s="3" t="str">
        <f t="shared" si="75"/>
        <v>2001/01/01</v>
      </c>
      <c r="M479" s="3" t="str">
        <f t="shared" si="76"/>
        <v>2199/12/31</v>
      </c>
      <c r="N479" t="str">
        <f t="shared" si="77"/>
        <v>11WP01002721</v>
      </c>
      <c r="O479">
        <v>15</v>
      </c>
      <c r="Q479" t="str" cm="1">
        <f t="array" ref="Q479">_xlfn.IFS(AND(C479="",G479=""),"",LEFT(G479,1)="L","記載要",LEFT(G479,1)="W","",AND(C479,G479=""),"記載要")</f>
        <v/>
      </c>
      <c r="R479" s="21" t="str">
        <f t="shared" si="82"/>
        <v/>
      </c>
      <c r="S479" s="21"/>
      <c r="Z479" s="8"/>
      <c r="AA479">
        <v>1</v>
      </c>
      <c r="AB479">
        <f t="shared" si="78"/>
        <v>0</v>
      </c>
      <c r="AC479">
        <v>1</v>
      </c>
      <c r="AF479">
        <v>1</v>
      </c>
      <c r="AG479" s="8"/>
      <c r="AH479" s="8"/>
      <c r="AK479" cm="1">
        <f t="array" ref="AK479">_xlfn.IFS(B479="","",LEFT(G479,1)="L",1,LEFT(G479,1)="W",1,AND(LEFT(B479,1)="H",G479=""),0)</f>
        <v>1</v>
      </c>
      <c r="AS479" t="str">
        <f t="shared" si="79"/>
        <v/>
      </c>
      <c r="AT479" t="s">
        <v>115</v>
      </c>
      <c r="AU479" t="str">
        <f t="shared" si="80"/>
        <v>0</v>
      </c>
      <c r="BD479" t="str">
        <f t="shared" si="81"/>
        <v>0</v>
      </c>
      <c r="BK479" t="str">
        <f>IFERROR(VLOOKUP(B479,'[1]model_S-フレーム'!$F$5:$R$7000,13,1),"")</f>
        <v>E389566_01</v>
      </c>
      <c r="BL479" s="7">
        <f>IFERROR(VLOOKUP(B479,'[1]model_S-フレーム'!$F$5:$V$7000,17,1),"")</f>
        <v>0</v>
      </c>
      <c r="BM479" t="str" cm="1">
        <f t="array" ref="BM479">_xlfn.IFS(LEFT(G479,1)="L","外注品",LEFT(G479,1)="W","内製品",G479="","購買品")</f>
        <v>内製品</v>
      </c>
    </row>
    <row r="480" spans="1:65">
      <c r="A480" t="str">
        <f t="shared" si="73"/>
        <v>WG01</v>
      </c>
      <c r="B480" t="s">
        <v>593</v>
      </c>
      <c r="C480" t="s">
        <v>909</v>
      </c>
      <c r="D480" s="7"/>
      <c r="E480" s="7"/>
      <c r="G480" t="s">
        <v>1939</v>
      </c>
      <c r="H480" t="str" cm="1">
        <f t="array" ref="H480">IFERROR(_xlfn.IFS(B480="","",AND(B480="",G480=""),"",G480="","記載要"),"")</f>
        <v/>
      </c>
      <c r="K480" t="str">
        <f t="shared" si="74"/>
        <v>11WP01002722</v>
      </c>
      <c r="L480" s="3" t="str">
        <f t="shared" si="75"/>
        <v>2001/01/01</v>
      </c>
      <c r="M480" s="3" t="str">
        <f t="shared" si="76"/>
        <v>2199/12/31</v>
      </c>
      <c r="N480" t="str">
        <f t="shared" si="77"/>
        <v>11WP01002722</v>
      </c>
      <c r="O480">
        <v>15</v>
      </c>
      <c r="Q480" t="str" cm="1">
        <f t="array" ref="Q480">_xlfn.IFS(AND(C480="",G480=""),"",LEFT(G480,1)="L","記載要",LEFT(G480,1)="W","",AND(C480,G480=""),"記載要")</f>
        <v/>
      </c>
      <c r="R480" s="21" t="str">
        <f t="shared" si="82"/>
        <v/>
      </c>
      <c r="S480" s="21"/>
      <c r="Z480" s="8"/>
      <c r="AA480">
        <v>1</v>
      </c>
      <c r="AB480">
        <f t="shared" si="78"/>
        <v>0</v>
      </c>
      <c r="AC480">
        <v>1</v>
      </c>
      <c r="AF480">
        <v>1</v>
      </c>
      <c r="AG480" s="8"/>
      <c r="AH480" s="8"/>
      <c r="AK480" cm="1">
        <f t="array" ref="AK480">_xlfn.IFS(B480="","",LEFT(G480,1)="L",1,LEFT(G480,1)="W",1,AND(LEFT(B480,1)="H",G480=""),0)</f>
        <v>1</v>
      </c>
      <c r="AS480" t="str">
        <f t="shared" si="79"/>
        <v/>
      </c>
      <c r="AT480" t="s">
        <v>115</v>
      </c>
      <c r="AU480" t="str">
        <f t="shared" si="80"/>
        <v>0</v>
      </c>
      <c r="BD480" t="str">
        <f t="shared" si="81"/>
        <v>0</v>
      </c>
      <c r="BK480" t="str">
        <f>IFERROR(VLOOKUP(B480,'[1]model_S-フレーム'!$F$5:$R$7000,13,1),"")</f>
        <v>E389566_01</v>
      </c>
      <c r="BL480" s="7">
        <f>IFERROR(VLOOKUP(B480,'[1]model_S-フレーム'!$F$5:$V$7000,17,1),"")</f>
        <v>0</v>
      </c>
      <c r="BM480" t="str" cm="1">
        <f t="array" ref="BM480">_xlfn.IFS(LEFT(G480,1)="L","外注品",LEFT(G480,1)="W","内製品",G480="","購買品")</f>
        <v>内製品</v>
      </c>
    </row>
    <row r="481" spans="1:65">
      <c r="A481" t="str">
        <f t="shared" si="73"/>
        <v>WG01</v>
      </c>
      <c r="B481" t="s">
        <v>594</v>
      </c>
      <c r="C481" t="s">
        <v>909</v>
      </c>
      <c r="D481" s="7"/>
      <c r="E481" s="7"/>
      <c r="G481" t="s">
        <v>1939</v>
      </c>
      <c r="H481" t="str" cm="1">
        <f t="array" ref="H481">IFERROR(_xlfn.IFS(B481="","",AND(B481="",G481=""),"",G481="","記載要"),"")</f>
        <v/>
      </c>
      <c r="K481" t="str">
        <f t="shared" si="74"/>
        <v>11WP01002723</v>
      </c>
      <c r="L481" s="3" t="str">
        <f t="shared" si="75"/>
        <v>2001/01/01</v>
      </c>
      <c r="M481" s="3" t="str">
        <f t="shared" si="76"/>
        <v>2199/12/31</v>
      </c>
      <c r="N481" t="str">
        <f t="shared" si="77"/>
        <v>11WP01002723</v>
      </c>
      <c r="O481">
        <v>15</v>
      </c>
      <c r="Q481" t="str" cm="1">
        <f t="array" ref="Q481">_xlfn.IFS(AND(C481="",G481=""),"",LEFT(G481,1)="L","記載要",LEFT(G481,1)="W","",AND(C481,G481=""),"記載要")</f>
        <v/>
      </c>
      <c r="R481" s="21" t="str">
        <f t="shared" si="82"/>
        <v/>
      </c>
      <c r="S481" s="21"/>
      <c r="Z481" s="8"/>
      <c r="AA481">
        <v>1</v>
      </c>
      <c r="AB481">
        <f t="shared" si="78"/>
        <v>0</v>
      </c>
      <c r="AC481">
        <v>1</v>
      </c>
      <c r="AF481">
        <v>1</v>
      </c>
      <c r="AG481" s="8"/>
      <c r="AH481" s="8"/>
      <c r="AK481" cm="1">
        <f t="array" ref="AK481">_xlfn.IFS(B481="","",LEFT(G481,1)="L",1,LEFT(G481,1)="W",1,AND(LEFT(B481,1)="H",G481=""),0)</f>
        <v>1</v>
      </c>
      <c r="AS481" t="str">
        <f t="shared" si="79"/>
        <v/>
      </c>
      <c r="AT481" t="s">
        <v>115</v>
      </c>
      <c r="AU481" t="str">
        <f t="shared" si="80"/>
        <v>0</v>
      </c>
      <c r="BD481" t="str">
        <f t="shared" si="81"/>
        <v>0</v>
      </c>
      <c r="BK481" t="str">
        <f>IFERROR(VLOOKUP(B481,'[1]model_S-フレーム'!$F$5:$R$7000,13,1),"")</f>
        <v>E389566_01</v>
      </c>
      <c r="BL481" s="7">
        <f>IFERROR(VLOOKUP(B481,'[1]model_S-フレーム'!$F$5:$V$7000,17,1),"")</f>
        <v>0</v>
      </c>
      <c r="BM481" t="str" cm="1">
        <f t="array" ref="BM481">_xlfn.IFS(LEFT(G481,1)="L","外注品",LEFT(G481,1)="W","内製品",G481="","購買品")</f>
        <v>内製品</v>
      </c>
    </row>
    <row r="482" spans="1:65">
      <c r="A482" t="str">
        <f t="shared" si="73"/>
        <v>WG01</v>
      </c>
      <c r="B482" t="s">
        <v>595</v>
      </c>
      <c r="C482" t="s">
        <v>909</v>
      </c>
      <c r="D482" s="7"/>
      <c r="E482" s="7"/>
      <c r="G482" t="s">
        <v>1939</v>
      </c>
      <c r="H482" t="str" cm="1">
        <f t="array" ref="H482">IFERROR(_xlfn.IFS(B482="","",AND(B482="",G482=""),"",G482="","記載要"),"")</f>
        <v/>
      </c>
      <c r="K482" t="str">
        <f t="shared" si="74"/>
        <v>11WP01002724</v>
      </c>
      <c r="L482" s="3" t="str">
        <f t="shared" si="75"/>
        <v>2001/01/01</v>
      </c>
      <c r="M482" s="3" t="str">
        <f t="shared" si="76"/>
        <v>2199/12/31</v>
      </c>
      <c r="N482" t="str">
        <f t="shared" si="77"/>
        <v>11WP01002724</v>
      </c>
      <c r="O482">
        <v>15</v>
      </c>
      <c r="Q482" t="str" cm="1">
        <f t="array" ref="Q482">_xlfn.IFS(AND(C482="",G482=""),"",LEFT(G482,1)="L","記載要",LEFT(G482,1)="W","",AND(C482,G482=""),"記載要")</f>
        <v/>
      </c>
      <c r="R482" s="21" t="str">
        <f t="shared" si="82"/>
        <v/>
      </c>
      <c r="S482" s="21"/>
      <c r="Z482" s="8"/>
      <c r="AA482">
        <v>1</v>
      </c>
      <c r="AB482">
        <f t="shared" si="78"/>
        <v>0</v>
      </c>
      <c r="AC482">
        <v>1</v>
      </c>
      <c r="AF482">
        <v>1</v>
      </c>
      <c r="AG482" s="8"/>
      <c r="AH482" s="8"/>
      <c r="AK482" cm="1">
        <f t="array" ref="AK482">_xlfn.IFS(B482="","",LEFT(G482,1)="L",1,LEFT(G482,1)="W",1,AND(LEFT(B482,1)="H",G482=""),0)</f>
        <v>1</v>
      </c>
      <c r="AS482" t="str">
        <f t="shared" si="79"/>
        <v/>
      </c>
      <c r="AT482" t="s">
        <v>115</v>
      </c>
      <c r="AU482" t="str">
        <f t="shared" si="80"/>
        <v>0</v>
      </c>
      <c r="BD482" t="str">
        <f t="shared" si="81"/>
        <v>0</v>
      </c>
      <c r="BK482" t="str">
        <f>IFERROR(VLOOKUP(B482,'[1]model_S-フレーム'!$F$5:$R$7000,13,1),"")</f>
        <v>E389566_01</v>
      </c>
      <c r="BL482" s="7">
        <f>IFERROR(VLOOKUP(B482,'[1]model_S-フレーム'!$F$5:$V$7000,17,1),"")</f>
        <v>0</v>
      </c>
      <c r="BM482" t="str" cm="1">
        <f t="array" ref="BM482">_xlfn.IFS(LEFT(G482,1)="L","外注品",LEFT(G482,1)="W","内製品",G482="","購買品")</f>
        <v>内製品</v>
      </c>
    </row>
    <row r="483" spans="1:65">
      <c r="A483" t="str">
        <f t="shared" si="73"/>
        <v>WG01</v>
      </c>
      <c r="B483" t="s">
        <v>596</v>
      </c>
      <c r="C483" t="s">
        <v>909</v>
      </c>
      <c r="D483" s="7"/>
      <c r="E483" s="7"/>
      <c r="G483" t="s">
        <v>1939</v>
      </c>
      <c r="H483" t="str" cm="1">
        <f t="array" ref="H483">IFERROR(_xlfn.IFS(B483="","",AND(B483="",G483=""),"",G483="","記載要"),"")</f>
        <v/>
      </c>
      <c r="K483" t="str">
        <f t="shared" si="74"/>
        <v>11WP01002725</v>
      </c>
      <c r="L483" s="3" t="str">
        <f t="shared" si="75"/>
        <v>2001/01/01</v>
      </c>
      <c r="M483" s="3" t="str">
        <f t="shared" si="76"/>
        <v>2199/12/31</v>
      </c>
      <c r="N483" t="str">
        <f t="shared" si="77"/>
        <v>11WP01002725</v>
      </c>
      <c r="O483">
        <v>15</v>
      </c>
      <c r="Q483" t="str" cm="1">
        <f t="array" ref="Q483">_xlfn.IFS(AND(C483="",G483=""),"",LEFT(G483,1)="L","記載要",LEFT(G483,1)="W","",AND(C483,G483=""),"記載要")</f>
        <v/>
      </c>
      <c r="R483" s="21" t="str">
        <f t="shared" si="82"/>
        <v/>
      </c>
      <c r="S483" s="21"/>
      <c r="Z483" s="8"/>
      <c r="AA483">
        <v>1</v>
      </c>
      <c r="AB483">
        <f t="shared" si="78"/>
        <v>0</v>
      </c>
      <c r="AC483">
        <v>1</v>
      </c>
      <c r="AF483">
        <v>1</v>
      </c>
      <c r="AG483" s="8"/>
      <c r="AH483" s="8"/>
      <c r="AK483" cm="1">
        <f t="array" ref="AK483">_xlfn.IFS(B483="","",LEFT(G483,1)="L",1,LEFT(G483,1)="W",1,AND(LEFT(B483,1)="H",G483=""),0)</f>
        <v>1</v>
      </c>
      <c r="AS483" t="str">
        <f t="shared" si="79"/>
        <v/>
      </c>
      <c r="AT483" t="s">
        <v>115</v>
      </c>
      <c r="AU483" t="str">
        <f t="shared" si="80"/>
        <v>0</v>
      </c>
      <c r="BD483" t="str">
        <f t="shared" si="81"/>
        <v>0</v>
      </c>
      <c r="BK483" t="str">
        <f>IFERROR(VLOOKUP(B483,'[1]model_S-フレーム'!$F$5:$R$7000,13,1),"")</f>
        <v>E389566_01</v>
      </c>
      <c r="BL483" s="7">
        <f>IFERROR(VLOOKUP(B483,'[1]model_S-フレーム'!$F$5:$V$7000,17,1),"")</f>
        <v>0</v>
      </c>
      <c r="BM483" t="str" cm="1">
        <f t="array" ref="BM483">_xlfn.IFS(LEFT(G483,1)="L","外注品",LEFT(G483,1)="W","内製品",G483="","購買品")</f>
        <v>内製品</v>
      </c>
    </row>
    <row r="484" spans="1:65">
      <c r="A484" t="str">
        <f t="shared" si="73"/>
        <v>WG01</v>
      </c>
      <c r="B484" t="s">
        <v>597</v>
      </c>
      <c r="C484" t="s">
        <v>909</v>
      </c>
      <c r="D484" s="7"/>
      <c r="E484" s="7"/>
      <c r="G484" t="s">
        <v>1939</v>
      </c>
      <c r="H484" t="str" cm="1">
        <f t="array" ref="H484">IFERROR(_xlfn.IFS(B484="","",AND(B484="",G484=""),"",G484="","記載要"),"")</f>
        <v/>
      </c>
      <c r="K484" t="str">
        <f t="shared" si="74"/>
        <v>11WP01002726</v>
      </c>
      <c r="L484" s="3" t="str">
        <f t="shared" si="75"/>
        <v>2001/01/01</v>
      </c>
      <c r="M484" s="3" t="str">
        <f t="shared" si="76"/>
        <v>2199/12/31</v>
      </c>
      <c r="N484" t="str">
        <f t="shared" si="77"/>
        <v>11WP01002726</v>
      </c>
      <c r="O484">
        <v>15</v>
      </c>
      <c r="Q484" t="str" cm="1">
        <f t="array" ref="Q484">_xlfn.IFS(AND(C484="",G484=""),"",LEFT(G484,1)="L","記載要",LEFT(G484,1)="W","",AND(C484,G484=""),"記載要")</f>
        <v/>
      </c>
      <c r="R484" s="21" t="str">
        <f t="shared" si="82"/>
        <v/>
      </c>
      <c r="S484" s="21"/>
      <c r="Z484" s="8"/>
      <c r="AA484">
        <v>1</v>
      </c>
      <c r="AB484">
        <f t="shared" si="78"/>
        <v>0</v>
      </c>
      <c r="AC484">
        <v>1</v>
      </c>
      <c r="AF484">
        <v>1</v>
      </c>
      <c r="AG484" s="8"/>
      <c r="AH484" s="8"/>
      <c r="AK484" cm="1">
        <f t="array" ref="AK484">_xlfn.IFS(B484="","",LEFT(G484,1)="L",1,LEFT(G484,1)="W",1,AND(LEFT(B484,1)="H",G484=""),0)</f>
        <v>1</v>
      </c>
      <c r="AS484" t="str">
        <f t="shared" si="79"/>
        <v/>
      </c>
      <c r="AT484" t="s">
        <v>115</v>
      </c>
      <c r="AU484" t="str">
        <f t="shared" si="80"/>
        <v>0</v>
      </c>
      <c r="BD484" t="str">
        <f t="shared" si="81"/>
        <v>0</v>
      </c>
      <c r="BK484" t="str">
        <f>IFERROR(VLOOKUP(B484,'[1]model_S-フレーム'!$F$5:$R$7000,13,1),"")</f>
        <v>E389566_01</v>
      </c>
      <c r="BL484" s="7">
        <f>IFERROR(VLOOKUP(B484,'[1]model_S-フレーム'!$F$5:$V$7000,17,1),"")</f>
        <v>0</v>
      </c>
      <c r="BM484" t="str" cm="1">
        <f t="array" ref="BM484">_xlfn.IFS(LEFT(G484,1)="L","外注品",LEFT(G484,1)="W","内製品",G484="","購買品")</f>
        <v>内製品</v>
      </c>
    </row>
    <row r="485" spans="1:65">
      <c r="A485" t="str">
        <f t="shared" si="73"/>
        <v>WG01</v>
      </c>
      <c r="B485" t="s">
        <v>598</v>
      </c>
      <c r="C485" t="s">
        <v>909</v>
      </c>
      <c r="D485" s="7"/>
      <c r="E485" s="7"/>
      <c r="G485" t="s">
        <v>1939</v>
      </c>
      <c r="H485" t="str" cm="1">
        <f t="array" ref="H485">IFERROR(_xlfn.IFS(B485="","",AND(B485="",G485=""),"",G485="","記載要"),"")</f>
        <v/>
      </c>
      <c r="K485" t="str">
        <f t="shared" si="74"/>
        <v>11WP01002727</v>
      </c>
      <c r="L485" s="3" t="str">
        <f t="shared" si="75"/>
        <v>2001/01/01</v>
      </c>
      <c r="M485" s="3" t="str">
        <f t="shared" si="76"/>
        <v>2199/12/31</v>
      </c>
      <c r="N485" t="str">
        <f t="shared" si="77"/>
        <v>11WP01002727</v>
      </c>
      <c r="O485">
        <v>15</v>
      </c>
      <c r="Q485" t="str" cm="1">
        <f t="array" ref="Q485">_xlfn.IFS(AND(C485="",G485=""),"",LEFT(G485,1)="L","記載要",LEFT(G485,1)="W","",AND(C485,G485=""),"記載要")</f>
        <v/>
      </c>
      <c r="R485" s="21" t="str">
        <f t="shared" si="82"/>
        <v/>
      </c>
      <c r="S485" s="21"/>
      <c r="Z485" s="8"/>
      <c r="AA485">
        <v>1</v>
      </c>
      <c r="AB485">
        <f t="shared" si="78"/>
        <v>0</v>
      </c>
      <c r="AC485">
        <v>1</v>
      </c>
      <c r="AF485">
        <v>1</v>
      </c>
      <c r="AG485" s="8"/>
      <c r="AH485" s="8"/>
      <c r="AK485" cm="1">
        <f t="array" ref="AK485">_xlfn.IFS(B485="","",LEFT(G485,1)="L",1,LEFT(G485,1)="W",1,AND(LEFT(B485,1)="H",G485=""),0)</f>
        <v>1</v>
      </c>
      <c r="AS485" t="str">
        <f t="shared" si="79"/>
        <v/>
      </c>
      <c r="AT485" t="s">
        <v>115</v>
      </c>
      <c r="AU485" t="str">
        <f t="shared" si="80"/>
        <v>0</v>
      </c>
      <c r="BD485" t="str">
        <f t="shared" si="81"/>
        <v>0</v>
      </c>
      <c r="BK485" t="str">
        <f>IFERROR(VLOOKUP(B485,'[1]model_S-フレーム'!$F$5:$R$7000,13,1),"")</f>
        <v>E389566_01</v>
      </c>
      <c r="BL485" s="7">
        <f>IFERROR(VLOOKUP(B485,'[1]model_S-フレーム'!$F$5:$V$7000,17,1),"")</f>
        <v>0</v>
      </c>
      <c r="BM485" t="str" cm="1">
        <f t="array" ref="BM485">_xlfn.IFS(LEFT(G485,1)="L","外注品",LEFT(G485,1)="W","内製品",G485="","購買品")</f>
        <v>内製品</v>
      </c>
    </row>
    <row r="486" spans="1:65">
      <c r="A486" t="str">
        <f t="shared" si="73"/>
        <v>WG01</v>
      </c>
      <c r="B486" t="s">
        <v>599</v>
      </c>
      <c r="C486" t="s">
        <v>909</v>
      </c>
      <c r="D486" s="7"/>
      <c r="E486" s="7"/>
      <c r="G486" t="s">
        <v>1939</v>
      </c>
      <c r="H486" t="str" cm="1">
        <f t="array" ref="H486">IFERROR(_xlfn.IFS(B486="","",AND(B486="",G486=""),"",G486="","記載要"),"")</f>
        <v/>
      </c>
      <c r="K486" t="str">
        <f t="shared" si="74"/>
        <v>11WP01002728</v>
      </c>
      <c r="L486" s="3" t="str">
        <f t="shared" si="75"/>
        <v>2001/01/01</v>
      </c>
      <c r="M486" s="3" t="str">
        <f t="shared" si="76"/>
        <v>2199/12/31</v>
      </c>
      <c r="N486" t="str">
        <f t="shared" si="77"/>
        <v>11WP01002728</v>
      </c>
      <c r="O486">
        <v>15</v>
      </c>
      <c r="Q486" t="str" cm="1">
        <f t="array" ref="Q486">_xlfn.IFS(AND(C486="",G486=""),"",LEFT(G486,1)="L","記載要",LEFT(G486,1)="W","",AND(C486,G486=""),"記載要")</f>
        <v/>
      </c>
      <c r="R486" s="21" t="str">
        <f t="shared" si="82"/>
        <v/>
      </c>
      <c r="S486" s="21"/>
      <c r="Z486" s="8"/>
      <c r="AA486">
        <v>1</v>
      </c>
      <c r="AB486">
        <f t="shared" si="78"/>
        <v>0</v>
      </c>
      <c r="AC486">
        <v>1</v>
      </c>
      <c r="AF486">
        <v>1</v>
      </c>
      <c r="AG486" s="8"/>
      <c r="AH486" s="8"/>
      <c r="AK486" cm="1">
        <f t="array" ref="AK486">_xlfn.IFS(B486="","",LEFT(G486,1)="L",1,LEFT(G486,1)="W",1,AND(LEFT(B486,1)="H",G486=""),0)</f>
        <v>1</v>
      </c>
      <c r="AS486" t="str">
        <f t="shared" si="79"/>
        <v/>
      </c>
      <c r="AT486" t="s">
        <v>115</v>
      </c>
      <c r="AU486" t="str">
        <f t="shared" si="80"/>
        <v>0</v>
      </c>
      <c r="BD486" t="str">
        <f t="shared" si="81"/>
        <v>0</v>
      </c>
      <c r="BK486" t="str">
        <f>IFERROR(VLOOKUP(B486,'[1]model_S-フレーム'!$F$5:$R$7000,13,1),"")</f>
        <v>E389566_01</v>
      </c>
      <c r="BL486" s="7">
        <f>IFERROR(VLOOKUP(B486,'[1]model_S-フレーム'!$F$5:$V$7000,17,1),"")</f>
        <v>0</v>
      </c>
      <c r="BM486" t="str" cm="1">
        <f t="array" ref="BM486">_xlfn.IFS(LEFT(G486,1)="L","外注品",LEFT(G486,1)="W","内製品",G486="","購買品")</f>
        <v>内製品</v>
      </c>
    </row>
    <row r="487" spans="1:65">
      <c r="A487" t="str">
        <f t="shared" si="73"/>
        <v>WG01</v>
      </c>
      <c r="B487" t="s">
        <v>600</v>
      </c>
      <c r="C487" t="s">
        <v>910</v>
      </c>
      <c r="D487" s="7"/>
      <c r="E487" s="7"/>
      <c r="G487" t="s">
        <v>1939</v>
      </c>
      <c r="H487" t="str" cm="1">
        <f t="array" ref="H487">IFERROR(_xlfn.IFS(B487="","",AND(B487="",G487=""),"",G487="","記載要"),"")</f>
        <v/>
      </c>
      <c r="K487" t="str">
        <f t="shared" si="74"/>
        <v>11WP01002729</v>
      </c>
      <c r="L487" s="3" t="str">
        <f t="shared" si="75"/>
        <v>2001/01/01</v>
      </c>
      <c r="M487" s="3" t="str">
        <f t="shared" si="76"/>
        <v>2199/12/31</v>
      </c>
      <c r="N487" t="str">
        <f t="shared" si="77"/>
        <v>11WP01002729</v>
      </c>
      <c r="O487">
        <v>15</v>
      </c>
      <c r="Q487" t="str" cm="1">
        <f t="array" ref="Q487">_xlfn.IFS(AND(C487="",G487=""),"",LEFT(G487,1)="L","記載要",LEFT(G487,1)="W","",AND(C487,G487=""),"記載要")</f>
        <v/>
      </c>
      <c r="R487" s="21" t="str">
        <f t="shared" si="82"/>
        <v/>
      </c>
      <c r="S487" s="21"/>
      <c r="Z487" s="8"/>
      <c r="AA487">
        <v>1</v>
      </c>
      <c r="AB487">
        <f t="shared" si="78"/>
        <v>0</v>
      </c>
      <c r="AC487">
        <v>1</v>
      </c>
      <c r="AF487">
        <v>1</v>
      </c>
      <c r="AG487" s="8"/>
      <c r="AH487" s="8"/>
      <c r="AK487" cm="1">
        <f t="array" ref="AK487">_xlfn.IFS(B487="","",LEFT(G487,1)="L",1,LEFT(G487,1)="W",1,AND(LEFT(B487,1)="H",G487=""),0)</f>
        <v>1</v>
      </c>
      <c r="AS487" t="str">
        <f t="shared" si="79"/>
        <v/>
      </c>
      <c r="AT487" t="s">
        <v>115</v>
      </c>
      <c r="AU487" t="str">
        <f t="shared" si="80"/>
        <v>0</v>
      </c>
      <c r="BD487" t="str">
        <f t="shared" si="81"/>
        <v>0</v>
      </c>
      <c r="BK487" t="str">
        <f>IFERROR(VLOOKUP(B487,'[1]model_S-フレーム'!$F$5:$R$7000,13,1),"")</f>
        <v>E389566_01</v>
      </c>
      <c r="BL487" s="7">
        <f>IFERROR(VLOOKUP(B487,'[1]model_S-フレーム'!$F$5:$V$7000,17,1),"")</f>
        <v>0</v>
      </c>
      <c r="BM487" t="str" cm="1">
        <f t="array" ref="BM487">_xlfn.IFS(LEFT(G487,1)="L","外注品",LEFT(G487,1)="W","内製品",G487="","購買品")</f>
        <v>内製品</v>
      </c>
    </row>
    <row r="488" spans="1:65">
      <c r="A488" t="str">
        <f t="shared" si="73"/>
        <v>WG01</v>
      </c>
      <c r="B488" t="s">
        <v>601</v>
      </c>
      <c r="C488" t="s">
        <v>910</v>
      </c>
      <c r="D488" s="7"/>
      <c r="E488" s="7"/>
      <c r="G488" t="s">
        <v>1939</v>
      </c>
      <c r="H488" t="str" cm="1">
        <f t="array" ref="H488">IFERROR(_xlfn.IFS(B488="","",AND(B488="",G488=""),"",G488="","記載要"),"")</f>
        <v/>
      </c>
      <c r="K488" t="str">
        <f t="shared" si="74"/>
        <v>11WP01002730</v>
      </c>
      <c r="L488" s="3" t="str">
        <f t="shared" si="75"/>
        <v>2001/01/01</v>
      </c>
      <c r="M488" s="3" t="str">
        <f t="shared" si="76"/>
        <v>2199/12/31</v>
      </c>
      <c r="N488" t="str">
        <f t="shared" si="77"/>
        <v>11WP01002730</v>
      </c>
      <c r="O488">
        <v>15</v>
      </c>
      <c r="Q488" t="str" cm="1">
        <f t="array" ref="Q488">_xlfn.IFS(AND(C488="",G488=""),"",LEFT(G488,1)="L","記載要",LEFT(G488,1)="W","",AND(C488,G488=""),"記載要")</f>
        <v/>
      </c>
      <c r="R488" s="21" t="str">
        <f t="shared" si="82"/>
        <v/>
      </c>
      <c r="S488" s="21"/>
      <c r="Z488" s="8"/>
      <c r="AA488">
        <v>1</v>
      </c>
      <c r="AB488">
        <f t="shared" si="78"/>
        <v>0</v>
      </c>
      <c r="AC488">
        <v>1</v>
      </c>
      <c r="AF488">
        <v>1</v>
      </c>
      <c r="AG488" s="8"/>
      <c r="AH488" s="8"/>
      <c r="AK488" cm="1">
        <f t="array" ref="AK488">_xlfn.IFS(B488="","",LEFT(G488,1)="L",1,LEFT(G488,1)="W",1,AND(LEFT(B488,1)="H",G488=""),0)</f>
        <v>1</v>
      </c>
      <c r="AS488" t="str">
        <f t="shared" si="79"/>
        <v/>
      </c>
      <c r="AT488" t="s">
        <v>115</v>
      </c>
      <c r="AU488" t="str">
        <f t="shared" si="80"/>
        <v>0</v>
      </c>
      <c r="BD488" t="str">
        <f t="shared" si="81"/>
        <v>0</v>
      </c>
      <c r="BK488" t="str">
        <f>IFERROR(VLOOKUP(B488,'[1]model_S-フレーム'!$F$5:$R$7000,13,1),"")</f>
        <v>E389566_01</v>
      </c>
      <c r="BL488" s="7">
        <f>IFERROR(VLOOKUP(B488,'[1]model_S-フレーム'!$F$5:$V$7000,17,1),"")</f>
        <v>0</v>
      </c>
      <c r="BM488" t="str" cm="1">
        <f t="array" ref="BM488">_xlfn.IFS(LEFT(G488,1)="L","外注品",LEFT(G488,1)="W","内製品",G488="","購買品")</f>
        <v>内製品</v>
      </c>
    </row>
    <row r="489" spans="1:65">
      <c r="A489" t="str">
        <f t="shared" si="73"/>
        <v>WG01</v>
      </c>
      <c r="B489" t="s">
        <v>602</v>
      </c>
      <c r="C489" t="s">
        <v>910</v>
      </c>
      <c r="D489" s="7"/>
      <c r="E489" s="7"/>
      <c r="G489" t="s">
        <v>1939</v>
      </c>
      <c r="H489" t="str" cm="1">
        <f t="array" ref="H489">IFERROR(_xlfn.IFS(B489="","",AND(B489="",G489=""),"",G489="","記載要"),"")</f>
        <v/>
      </c>
      <c r="K489" t="str">
        <f t="shared" si="74"/>
        <v>11WP01002731</v>
      </c>
      <c r="L489" s="3" t="str">
        <f t="shared" si="75"/>
        <v>2001/01/01</v>
      </c>
      <c r="M489" s="3" t="str">
        <f t="shared" si="76"/>
        <v>2199/12/31</v>
      </c>
      <c r="N489" t="str">
        <f t="shared" si="77"/>
        <v>11WP01002731</v>
      </c>
      <c r="O489">
        <v>15</v>
      </c>
      <c r="Q489" t="str" cm="1">
        <f t="array" ref="Q489">_xlfn.IFS(AND(C489="",G489=""),"",LEFT(G489,1)="L","記載要",LEFT(G489,1)="W","",AND(C489,G489=""),"記載要")</f>
        <v/>
      </c>
      <c r="R489" s="21" t="str">
        <f t="shared" si="82"/>
        <v/>
      </c>
      <c r="S489" s="21"/>
      <c r="Z489" s="8"/>
      <c r="AA489">
        <v>1</v>
      </c>
      <c r="AB489">
        <f t="shared" si="78"/>
        <v>0</v>
      </c>
      <c r="AC489">
        <v>1</v>
      </c>
      <c r="AF489">
        <v>1</v>
      </c>
      <c r="AG489" s="8"/>
      <c r="AH489" s="8"/>
      <c r="AK489" cm="1">
        <f t="array" ref="AK489">_xlfn.IFS(B489="","",LEFT(G489,1)="L",1,LEFT(G489,1)="W",1,AND(LEFT(B489,1)="H",G489=""),0)</f>
        <v>1</v>
      </c>
      <c r="AS489" t="str">
        <f t="shared" si="79"/>
        <v/>
      </c>
      <c r="AT489" t="s">
        <v>115</v>
      </c>
      <c r="AU489" t="str">
        <f t="shared" si="80"/>
        <v>0</v>
      </c>
      <c r="BD489" t="str">
        <f t="shared" si="81"/>
        <v>0</v>
      </c>
      <c r="BK489" t="str">
        <f>IFERROR(VLOOKUP(B489,'[1]model_S-フレーム'!$F$5:$R$7000,13,1),"")</f>
        <v>E389566_01</v>
      </c>
      <c r="BL489" s="7">
        <f>IFERROR(VLOOKUP(B489,'[1]model_S-フレーム'!$F$5:$V$7000,17,1),"")</f>
        <v>0</v>
      </c>
      <c r="BM489" t="str" cm="1">
        <f t="array" ref="BM489">_xlfn.IFS(LEFT(G489,1)="L","外注品",LEFT(G489,1)="W","内製品",G489="","購買品")</f>
        <v>内製品</v>
      </c>
    </row>
    <row r="490" spans="1:65">
      <c r="A490" t="str">
        <f t="shared" si="73"/>
        <v>WG01</v>
      </c>
      <c r="B490" t="s">
        <v>603</v>
      </c>
      <c r="C490" t="s">
        <v>910</v>
      </c>
      <c r="D490" s="7"/>
      <c r="E490" s="7"/>
      <c r="G490" t="s">
        <v>1939</v>
      </c>
      <c r="H490" t="str" cm="1">
        <f t="array" ref="H490">IFERROR(_xlfn.IFS(B490="","",AND(B490="",G490=""),"",G490="","記載要"),"")</f>
        <v/>
      </c>
      <c r="K490" t="str">
        <f t="shared" si="74"/>
        <v>11WP01002732</v>
      </c>
      <c r="L490" s="3" t="str">
        <f t="shared" si="75"/>
        <v>2001/01/01</v>
      </c>
      <c r="M490" s="3" t="str">
        <f t="shared" si="76"/>
        <v>2199/12/31</v>
      </c>
      <c r="N490" t="str">
        <f t="shared" si="77"/>
        <v>11WP01002732</v>
      </c>
      <c r="O490">
        <v>15</v>
      </c>
      <c r="Q490" t="str" cm="1">
        <f t="array" ref="Q490">_xlfn.IFS(AND(C490="",G490=""),"",LEFT(G490,1)="L","記載要",LEFT(G490,1)="W","",AND(C490,G490=""),"記載要")</f>
        <v/>
      </c>
      <c r="R490" s="21" t="str">
        <f t="shared" si="82"/>
        <v/>
      </c>
      <c r="S490" s="21"/>
      <c r="Z490" s="8"/>
      <c r="AA490">
        <v>1</v>
      </c>
      <c r="AB490">
        <f t="shared" si="78"/>
        <v>0</v>
      </c>
      <c r="AC490">
        <v>1</v>
      </c>
      <c r="AF490">
        <v>1</v>
      </c>
      <c r="AG490" s="8"/>
      <c r="AH490" s="8"/>
      <c r="AK490" cm="1">
        <f t="array" ref="AK490">_xlfn.IFS(B490="","",LEFT(G490,1)="L",1,LEFT(G490,1)="W",1,AND(LEFT(B490,1)="H",G490=""),0)</f>
        <v>1</v>
      </c>
      <c r="AS490" t="str">
        <f t="shared" si="79"/>
        <v/>
      </c>
      <c r="AT490" t="s">
        <v>115</v>
      </c>
      <c r="AU490" t="str">
        <f t="shared" si="80"/>
        <v>0</v>
      </c>
      <c r="BD490" t="str">
        <f t="shared" si="81"/>
        <v>0</v>
      </c>
      <c r="BK490" t="str">
        <f>IFERROR(VLOOKUP(B490,'[1]model_S-フレーム'!$F$5:$R$7000,13,1),"")</f>
        <v>E389566_01</v>
      </c>
      <c r="BL490" s="7">
        <f>IFERROR(VLOOKUP(B490,'[1]model_S-フレーム'!$F$5:$V$7000,17,1),"")</f>
        <v>0</v>
      </c>
      <c r="BM490" t="str" cm="1">
        <f t="array" ref="BM490">_xlfn.IFS(LEFT(G490,1)="L","外注品",LEFT(G490,1)="W","内製品",G490="","購買品")</f>
        <v>内製品</v>
      </c>
    </row>
    <row r="491" spans="1:65">
      <c r="A491" t="str">
        <f t="shared" si="73"/>
        <v>WG01</v>
      </c>
      <c r="B491" t="s">
        <v>604</v>
      </c>
      <c r="C491" t="s">
        <v>910</v>
      </c>
      <c r="D491" s="7"/>
      <c r="E491" s="7"/>
      <c r="G491" t="s">
        <v>1939</v>
      </c>
      <c r="H491" t="str" cm="1">
        <f t="array" ref="H491">IFERROR(_xlfn.IFS(B491="","",AND(B491="",G491=""),"",G491="","記載要"),"")</f>
        <v/>
      </c>
      <c r="K491" t="str">
        <f t="shared" si="74"/>
        <v>11WP01002733</v>
      </c>
      <c r="L491" s="3" t="str">
        <f t="shared" si="75"/>
        <v>2001/01/01</v>
      </c>
      <c r="M491" s="3" t="str">
        <f t="shared" si="76"/>
        <v>2199/12/31</v>
      </c>
      <c r="N491" t="str">
        <f t="shared" si="77"/>
        <v>11WP01002733</v>
      </c>
      <c r="O491">
        <v>15</v>
      </c>
      <c r="Q491" t="str" cm="1">
        <f t="array" ref="Q491">_xlfn.IFS(AND(C491="",G491=""),"",LEFT(G491,1)="L","記載要",LEFT(G491,1)="W","",AND(C491,G491=""),"記載要")</f>
        <v/>
      </c>
      <c r="R491" s="21" t="str">
        <f t="shared" si="82"/>
        <v/>
      </c>
      <c r="S491" s="21"/>
      <c r="Z491" s="8"/>
      <c r="AA491">
        <v>1</v>
      </c>
      <c r="AB491">
        <f t="shared" si="78"/>
        <v>0</v>
      </c>
      <c r="AC491">
        <v>1</v>
      </c>
      <c r="AF491">
        <v>1</v>
      </c>
      <c r="AG491" s="8"/>
      <c r="AH491" s="8"/>
      <c r="AK491" cm="1">
        <f t="array" ref="AK491">_xlfn.IFS(B491="","",LEFT(G491,1)="L",1,LEFT(G491,1)="W",1,AND(LEFT(B491,1)="H",G491=""),0)</f>
        <v>1</v>
      </c>
      <c r="AS491" t="str">
        <f t="shared" si="79"/>
        <v/>
      </c>
      <c r="AT491" t="s">
        <v>115</v>
      </c>
      <c r="AU491" t="str">
        <f t="shared" si="80"/>
        <v>0</v>
      </c>
      <c r="BD491" t="str">
        <f t="shared" si="81"/>
        <v>0</v>
      </c>
      <c r="BK491" t="str">
        <f>IFERROR(VLOOKUP(B491,'[1]model_S-フレーム'!$F$5:$R$7000,13,1),"")</f>
        <v>E389566_01</v>
      </c>
      <c r="BL491" s="7">
        <f>IFERROR(VLOOKUP(B491,'[1]model_S-フレーム'!$F$5:$V$7000,17,1),"")</f>
        <v>0</v>
      </c>
      <c r="BM491" t="str" cm="1">
        <f t="array" ref="BM491">_xlfn.IFS(LEFT(G491,1)="L","外注品",LEFT(G491,1)="W","内製品",G491="","購買品")</f>
        <v>内製品</v>
      </c>
    </row>
    <row r="492" spans="1:65">
      <c r="A492" t="str">
        <f t="shared" si="73"/>
        <v>WG01</v>
      </c>
      <c r="B492" t="s">
        <v>605</v>
      </c>
      <c r="C492" t="s">
        <v>910</v>
      </c>
      <c r="D492" s="7"/>
      <c r="E492" s="7"/>
      <c r="G492" t="s">
        <v>1939</v>
      </c>
      <c r="H492" t="str" cm="1">
        <f t="array" ref="H492">IFERROR(_xlfn.IFS(B492="","",AND(B492="",G492=""),"",G492="","記載要"),"")</f>
        <v/>
      </c>
      <c r="K492" t="str">
        <f t="shared" si="74"/>
        <v>11WP01002734</v>
      </c>
      <c r="L492" s="3" t="str">
        <f t="shared" si="75"/>
        <v>2001/01/01</v>
      </c>
      <c r="M492" s="3" t="str">
        <f t="shared" si="76"/>
        <v>2199/12/31</v>
      </c>
      <c r="N492" t="str">
        <f t="shared" si="77"/>
        <v>11WP01002734</v>
      </c>
      <c r="O492">
        <v>15</v>
      </c>
      <c r="Q492" t="str" cm="1">
        <f t="array" ref="Q492">_xlfn.IFS(AND(C492="",G492=""),"",LEFT(G492,1)="L","記載要",LEFT(G492,1)="W","",AND(C492,G492=""),"記載要")</f>
        <v/>
      </c>
      <c r="R492" s="21" t="str">
        <f t="shared" si="82"/>
        <v/>
      </c>
      <c r="S492" s="21"/>
      <c r="Z492" s="8"/>
      <c r="AA492">
        <v>1</v>
      </c>
      <c r="AB492">
        <f t="shared" si="78"/>
        <v>0</v>
      </c>
      <c r="AC492">
        <v>1</v>
      </c>
      <c r="AF492">
        <v>1</v>
      </c>
      <c r="AG492" s="8"/>
      <c r="AH492" s="8"/>
      <c r="AK492" cm="1">
        <f t="array" ref="AK492">_xlfn.IFS(B492="","",LEFT(G492,1)="L",1,LEFT(G492,1)="W",1,AND(LEFT(B492,1)="H",G492=""),0)</f>
        <v>1</v>
      </c>
      <c r="AS492" t="str">
        <f t="shared" si="79"/>
        <v/>
      </c>
      <c r="AT492" t="s">
        <v>115</v>
      </c>
      <c r="AU492" t="str">
        <f t="shared" si="80"/>
        <v>0</v>
      </c>
      <c r="BD492" t="str">
        <f t="shared" si="81"/>
        <v>0</v>
      </c>
      <c r="BK492" t="str">
        <f>IFERROR(VLOOKUP(B492,'[1]model_S-フレーム'!$F$5:$R$7000,13,1),"")</f>
        <v>E389566_01</v>
      </c>
      <c r="BL492" s="7">
        <f>IFERROR(VLOOKUP(B492,'[1]model_S-フレーム'!$F$5:$V$7000,17,1),"")</f>
        <v>0</v>
      </c>
      <c r="BM492" t="str" cm="1">
        <f t="array" ref="BM492">_xlfn.IFS(LEFT(G492,1)="L","外注品",LEFT(G492,1)="W","内製品",G492="","購買品")</f>
        <v>内製品</v>
      </c>
    </row>
    <row r="493" spans="1:65">
      <c r="A493" t="str">
        <f t="shared" si="73"/>
        <v>WG01</v>
      </c>
      <c r="B493" t="s">
        <v>606</v>
      </c>
      <c r="C493" t="s">
        <v>910</v>
      </c>
      <c r="D493" s="7"/>
      <c r="E493" s="7"/>
      <c r="G493" t="s">
        <v>1939</v>
      </c>
      <c r="H493" t="str" cm="1">
        <f t="array" ref="H493">IFERROR(_xlfn.IFS(B493="","",AND(B493="",G493=""),"",G493="","記載要"),"")</f>
        <v/>
      </c>
      <c r="K493" t="str">
        <f t="shared" si="74"/>
        <v>11WP01002735</v>
      </c>
      <c r="L493" s="3" t="str">
        <f t="shared" si="75"/>
        <v>2001/01/01</v>
      </c>
      <c r="M493" s="3" t="str">
        <f t="shared" si="76"/>
        <v>2199/12/31</v>
      </c>
      <c r="N493" t="str">
        <f t="shared" si="77"/>
        <v>11WP01002735</v>
      </c>
      <c r="O493">
        <v>15</v>
      </c>
      <c r="Q493" t="str" cm="1">
        <f t="array" ref="Q493">_xlfn.IFS(AND(C493="",G493=""),"",LEFT(G493,1)="L","記載要",LEFT(G493,1)="W","",AND(C493,G493=""),"記載要")</f>
        <v/>
      </c>
      <c r="R493" s="21" t="str">
        <f t="shared" si="82"/>
        <v/>
      </c>
      <c r="S493" s="21"/>
      <c r="Z493" s="8"/>
      <c r="AA493">
        <v>1</v>
      </c>
      <c r="AB493">
        <f t="shared" si="78"/>
        <v>0</v>
      </c>
      <c r="AC493">
        <v>1</v>
      </c>
      <c r="AF493">
        <v>1</v>
      </c>
      <c r="AG493" s="8"/>
      <c r="AH493" s="8"/>
      <c r="AK493" cm="1">
        <f t="array" ref="AK493">_xlfn.IFS(B493="","",LEFT(G493,1)="L",1,LEFT(G493,1)="W",1,AND(LEFT(B493,1)="H",G493=""),0)</f>
        <v>1</v>
      </c>
      <c r="AS493" t="str">
        <f t="shared" si="79"/>
        <v/>
      </c>
      <c r="AT493" t="s">
        <v>115</v>
      </c>
      <c r="AU493" t="str">
        <f t="shared" si="80"/>
        <v>0</v>
      </c>
      <c r="BD493" t="str">
        <f t="shared" si="81"/>
        <v>0</v>
      </c>
      <c r="BK493" t="str">
        <f>IFERROR(VLOOKUP(B493,'[1]model_S-フレーム'!$F$5:$R$7000,13,1),"")</f>
        <v>E389566_01</v>
      </c>
      <c r="BL493" s="7">
        <f>IFERROR(VLOOKUP(B493,'[1]model_S-フレーム'!$F$5:$V$7000,17,1),"")</f>
        <v>0</v>
      </c>
      <c r="BM493" t="str" cm="1">
        <f t="array" ref="BM493">_xlfn.IFS(LEFT(G493,1)="L","外注品",LEFT(G493,1)="W","内製品",G493="","購買品")</f>
        <v>内製品</v>
      </c>
    </row>
    <row r="494" spans="1:65">
      <c r="A494" t="str">
        <f t="shared" si="73"/>
        <v>WG01</v>
      </c>
      <c r="B494" t="s">
        <v>607</v>
      </c>
      <c r="C494" t="s">
        <v>910</v>
      </c>
      <c r="D494" s="7"/>
      <c r="E494" s="7"/>
      <c r="G494" t="s">
        <v>1939</v>
      </c>
      <c r="H494" t="str" cm="1">
        <f t="array" ref="H494">IFERROR(_xlfn.IFS(B494="","",AND(B494="",G494=""),"",G494="","記載要"),"")</f>
        <v/>
      </c>
      <c r="K494" t="str">
        <f t="shared" si="74"/>
        <v>11WP01002736</v>
      </c>
      <c r="L494" s="3" t="str">
        <f t="shared" si="75"/>
        <v>2001/01/01</v>
      </c>
      <c r="M494" s="3" t="str">
        <f t="shared" si="76"/>
        <v>2199/12/31</v>
      </c>
      <c r="N494" t="str">
        <f t="shared" si="77"/>
        <v>11WP01002736</v>
      </c>
      <c r="O494">
        <v>15</v>
      </c>
      <c r="Q494" t="str" cm="1">
        <f t="array" ref="Q494">_xlfn.IFS(AND(C494="",G494=""),"",LEFT(G494,1)="L","記載要",LEFT(G494,1)="W","",AND(C494,G494=""),"記載要")</f>
        <v/>
      </c>
      <c r="R494" s="21" t="str">
        <f t="shared" si="82"/>
        <v/>
      </c>
      <c r="S494" s="21"/>
      <c r="Z494" s="8"/>
      <c r="AA494">
        <v>1</v>
      </c>
      <c r="AB494">
        <f t="shared" si="78"/>
        <v>0</v>
      </c>
      <c r="AC494">
        <v>1</v>
      </c>
      <c r="AF494">
        <v>1</v>
      </c>
      <c r="AG494" s="8"/>
      <c r="AH494" s="8"/>
      <c r="AK494" cm="1">
        <f t="array" ref="AK494">_xlfn.IFS(B494="","",LEFT(G494,1)="L",1,LEFT(G494,1)="W",1,AND(LEFT(B494,1)="H",G494=""),0)</f>
        <v>1</v>
      </c>
      <c r="AS494" t="str">
        <f t="shared" si="79"/>
        <v/>
      </c>
      <c r="AT494" t="s">
        <v>115</v>
      </c>
      <c r="AU494" t="str">
        <f t="shared" si="80"/>
        <v>0</v>
      </c>
      <c r="BD494" t="str">
        <f t="shared" si="81"/>
        <v>0</v>
      </c>
      <c r="BK494" t="str">
        <f>IFERROR(VLOOKUP(B494,'[1]model_S-フレーム'!$F$5:$R$7000,13,1),"")</f>
        <v>E389566_01</v>
      </c>
      <c r="BL494" s="7">
        <f>IFERROR(VLOOKUP(B494,'[1]model_S-フレーム'!$F$5:$V$7000,17,1),"")</f>
        <v>0</v>
      </c>
      <c r="BM494" t="str" cm="1">
        <f t="array" ref="BM494">_xlfn.IFS(LEFT(G494,1)="L","外注品",LEFT(G494,1)="W","内製品",G494="","購買品")</f>
        <v>内製品</v>
      </c>
    </row>
    <row r="495" spans="1:65">
      <c r="A495" t="str">
        <f t="shared" si="73"/>
        <v>WG01</v>
      </c>
      <c r="B495" t="s">
        <v>608</v>
      </c>
      <c r="C495" t="s">
        <v>910</v>
      </c>
      <c r="D495" s="7"/>
      <c r="E495" s="7"/>
      <c r="G495" t="s">
        <v>1939</v>
      </c>
      <c r="H495" t="str" cm="1">
        <f t="array" ref="H495">IFERROR(_xlfn.IFS(B495="","",AND(B495="",G495=""),"",G495="","記載要"),"")</f>
        <v/>
      </c>
      <c r="K495" t="str">
        <f t="shared" si="74"/>
        <v>11WP01002737</v>
      </c>
      <c r="L495" s="3" t="str">
        <f t="shared" si="75"/>
        <v>2001/01/01</v>
      </c>
      <c r="M495" s="3" t="str">
        <f t="shared" si="76"/>
        <v>2199/12/31</v>
      </c>
      <c r="N495" t="str">
        <f t="shared" si="77"/>
        <v>11WP01002737</v>
      </c>
      <c r="O495">
        <v>15</v>
      </c>
      <c r="Q495" t="str" cm="1">
        <f t="array" ref="Q495">_xlfn.IFS(AND(C495="",G495=""),"",LEFT(G495,1)="L","記載要",LEFT(G495,1)="W","",AND(C495,G495=""),"記載要")</f>
        <v/>
      </c>
      <c r="R495" s="21" t="str">
        <f t="shared" si="82"/>
        <v/>
      </c>
      <c r="S495" s="21"/>
      <c r="Z495" s="8"/>
      <c r="AA495">
        <v>1</v>
      </c>
      <c r="AB495">
        <f t="shared" si="78"/>
        <v>0</v>
      </c>
      <c r="AC495">
        <v>1</v>
      </c>
      <c r="AF495">
        <v>1</v>
      </c>
      <c r="AG495" s="8"/>
      <c r="AH495" s="8"/>
      <c r="AK495" cm="1">
        <f t="array" ref="AK495">_xlfn.IFS(B495="","",LEFT(G495,1)="L",1,LEFT(G495,1)="W",1,AND(LEFT(B495,1)="H",G495=""),0)</f>
        <v>1</v>
      </c>
      <c r="AS495" t="str">
        <f t="shared" si="79"/>
        <v/>
      </c>
      <c r="AT495" t="s">
        <v>115</v>
      </c>
      <c r="AU495" t="str">
        <f t="shared" si="80"/>
        <v>0</v>
      </c>
      <c r="BD495" t="str">
        <f t="shared" si="81"/>
        <v>0</v>
      </c>
      <c r="BK495" t="str">
        <f>IFERROR(VLOOKUP(B495,'[1]model_S-フレーム'!$F$5:$R$7000,13,1),"")</f>
        <v>E389566_01</v>
      </c>
      <c r="BL495" s="7">
        <f>IFERROR(VLOOKUP(B495,'[1]model_S-フレーム'!$F$5:$V$7000,17,1),"")</f>
        <v>0</v>
      </c>
      <c r="BM495" t="str" cm="1">
        <f t="array" ref="BM495">_xlfn.IFS(LEFT(G495,1)="L","外注品",LEFT(G495,1)="W","内製品",G495="","購買品")</f>
        <v>内製品</v>
      </c>
    </row>
    <row r="496" spans="1:65">
      <c r="A496" t="str">
        <f t="shared" si="73"/>
        <v>WG01</v>
      </c>
      <c r="B496" t="s">
        <v>609</v>
      </c>
      <c r="C496" t="s">
        <v>911</v>
      </c>
      <c r="D496" s="7"/>
      <c r="E496" s="7"/>
      <c r="G496" t="s">
        <v>1939</v>
      </c>
      <c r="H496" t="str" cm="1">
        <f t="array" ref="H496">IFERROR(_xlfn.IFS(B496="","",AND(B496="",G496=""),"",G496="","記載要"),"")</f>
        <v/>
      </c>
      <c r="K496" t="str">
        <f t="shared" si="74"/>
        <v>11WP01002738</v>
      </c>
      <c r="L496" s="3" t="str">
        <f t="shared" si="75"/>
        <v>2001/01/01</v>
      </c>
      <c r="M496" s="3" t="str">
        <f t="shared" si="76"/>
        <v>2199/12/31</v>
      </c>
      <c r="N496" t="str">
        <f t="shared" si="77"/>
        <v>11WP01002738</v>
      </c>
      <c r="O496">
        <v>15</v>
      </c>
      <c r="Q496" t="str" cm="1">
        <f t="array" ref="Q496">_xlfn.IFS(AND(C496="",G496=""),"",LEFT(G496,1)="L","記載要",LEFT(G496,1)="W","",AND(C496,G496=""),"記載要")</f>
        <v/>
      </c>
      <c r="R496" s="21" t="str">
        <f t="shared" si="82"/>
        <v/>
      </c>
      <c r="S496" s="21"/>
      <c r="Z496" s="8"/>
      <c r="AA496">
        <v>1</v>
      </c>
      <c r="AB496">
        <f t="shared" si="78"/>
        <v>0</v>
      </c>
      <c r="AC496">
        <v>1</v>
      </c>
      <c r="AF496">
        <v>1</v>
      </c>
      <c r="AG496" s="8"/>
      <c r="AH496" s="8"/>
      <c r="AK496" cm="1">
        <f t="array" ref="AK496">_xlfn.IFS(B496="","",LEFT(G496,1)="L",1,LEFT(G496,1)="W",1,AND(LEFT(B496,1)="H",G496=""),0)</f>
        <v>1</v>
      </c>
      <c r="AS496" t="str">
        <f t="shared" si="79"/>
        <v/>
      </c>
      <c r="AT496" t="s">
        <v>115</v>
      </c>
      <c r="AU496" t="str">
        <f t="shared" si="80"/>
        <v>0</v>
      </c>
      <c r="BD496" t="str">
        <f t="shared" si="81"/>
        <v>0</v>
      </c>
      <c r="BK496" t="str">
        <f>IFERROR(VLOOKUP(B496,'[1]model_S-フレーム'!$F$5:$R$7000,13,1),"")</f>
        <v>E389566_01</v>
      </c>
      <c r="BL496" s="7">
        <f>IFERROR(VLOOKUP(B496,'[1]model_S-フレーム'!$F$5:$V$7000,17,1),"")</f>
        <v>0</v>
      </c>
      <c r="BM496" t="str" cm="1">
        <f t="array" ref="BM496">_xlfn.IFS(LEFT(G496,1)="L","外注品",LEFT(G496,1)="W","内製品",G496="","購買品")</f>
        <v>内製品</v>
      </c>
    </row>
    <row r="497" spans="1:65">
      <c r="A497" t="str">
        <f t="shared" si="73"/>
        <v>WG01</v>
      </c>
      <c r="B497" t="s">
        <v>610</v>
      </c>
      <c r="C497" t="s">
        <v>911</v>
      </c>
      <c r="D497" s="7"/>
      <c r="E497" s="7"/>
      <c r="G497" t="s">
        <v>1939</v>
      </c>
      <c r="H497" t="str" cm="1">
        <f t="array" ref="H497">IFERROR(_xlfn.IFS(B497="","",AND(B497="",G497=""),"",G497="","記載要"),"")</f>
        <v/>
      </c>
      <c r="K497" t="str">
        <f t="shared" si="74"/>
        <v>11WP01002739</v>
      </c>
      <c r="L497" s="3" t="str">
        <f t="shared" si="75"/>
        <v>2001/01/01</v>
      </c>
      <c r="M497" s="3" t="str">
        <f t="shared" si="76"/>
        <v>2199/12/31</v>
      </c>
      <c r="N497" t="str">
        <f t="shared" si="77"/>
        <v>11WP01002739</v>
      </c>
      <c r="O497">
        <v>15</v>
      </c>
      <c r="Q497" t="str" cm="1">
        <f t="array" ref="Q497">_xlfn.IFS(AND(C497="",G497=""),"",LEFT(G497,1)="L","記載要",LEFT(G497,1)="W","",AND(C497,G497=""),"記載要")</f>
        <v/>
      </c>
      <c r="R497" s="21" t="str">
        <f t="shared" si="82"/>
        <v/>
      </c>
      <c r="S497" s="21"/>
      <c r="Z497" s="8"/>
      <c r="AA497">
        <v>1</v>
      </c>
      <c r="AB497">
        <f t="shared" si="78"/>
        <v>0</v>
      </c>
      <c r="AC497">
        <v>1</v>
      </c>
      <c r="AF497">
        <v>1</v>
      </c>
      <c r="AG497" s="8"/>
      <c r="AH497" s="8"/>
      <c r="AK497" cm="1">
        <f t="array" ref="AK497">_xlfn.IFS(B497="","",LEFT(G497,1)="L",1,LEFT(G497,1)="W",1,AND(LEFT(B497,1)="H",G497=""),0)</f>
        <v>1</v>
      </c>
      <c r="AS497" t="str">
        <f t="shared" si="79"/>
        <v/>
      </c>
      <c r="AT497" t="s">
        <v>115</v>
      </c>
      <c r="AU497" t="str">
        <f t="shared" si="80"/>
        <v>0</v>
      </c>
      <c r="BD497" t="str">
        <f t="shared" si="81"/>
        <v>0</v>
      </c>
      <c r="BK497" t="str">
        <f>IFERROR(VLOOKUP(B497,'[1]model_S-フレーム'!$F$5:$R$7000,13,1),"")</f>
        <v>E389566_01</v>
      </c>
      <c r="BL497" s="7">
        <f>IFERROR(VLOOKUP(B497,'[1]model_S-フレーム'!$F$5:$V$7000,17,1),"")</f>
        <v>0</v>
      </c>
      <c r="BM497" t="str" cm="1">
        <f t="array" ref="BM497">_xlfn.IFS(LEFT(G497,1)="L","外注品",LEFT(G497,1)="W","内製品",G497="","購買品")</f>
        <v>内製品</v>
      </c>
    </row>
    <row r="498" spans="1:65">
      <c r="A498" t="str">
        <f t="shared" si="73"/>
        <v>WG01</v>
      </c>
      <c r="B498" t="s">
        <v>611</v>
      </c>
      <c r="C498" t="s">
        <v>911</v>
      </c>
      <c r="D498" s="7"/>
      <c r="E498" s="7"/>
      <c r="G498" t="s">
        <v>1939</v>
      </c>
      <c r="H498" t="str" cm="1">
        <f t="array" ref="H498">IFERROR(_xlfn.IFS(B498="","",AND(B498="",G498=""),"",G498="","記載要"),"")</f>
        <v/>
      </c>
      <c r="K498" t="str">
        <f t="shared" si="74"/>
        <v>11WP01002740</v>
      </c>
      <c r="L498" s="3" t="str">
        <f t="shared" si="75"/>
        <v>2001/01/01</v>
      </c>
      <c r="M498" s="3" t="str">
        <f t="shared" si="76"/>
        <v>2199/12/31</v>
      </c>
      <c r="N498" t="str">
        <f t="shared" si="77"/>
        <v>11WP01002740</v>
      </c>
      <c r="O498">
        <v>15</v>
      </c>
      <c r="Q498" t="str" cm="1">
        <f t="array" ref="Q498">_xlfn.IFS(AND(C498="",G498=""),"",LEFT(G498,1)="L","記載要",LEFT(G498,1)="W","",AND(C498,G498=""),"記載要")</f>
        <v/>
      </c>
      <c r="R498" s="21" t="str">
        <f t="shared" si="82"/>
        <v/>
      </c>
      <c r="S498" s="21"/>
      <c r="Z498" s="8"/>
      <c r="AA498">
        <v>1</v>
      </c>
      <c r="AB498">
        <f t="shared" si="78"/>
        <v>0</v>
      </c>
      <c r="AC498">
        <v>1</v>
      </c>
      <c r="AF498">
        <v>1</v>
      </c>
      <c r="AG498" s="8"/>
      <c r="AH498" s="8"/>
      <c r="AK498" cm="1">
        <f t="array" ref="AK498">_xlfn.IFS(B498="","",LEFT(G498,1)="L",1,LEFT(G498,1)="W",1,AND(LEFT(B498,1)="H",G498=""),0)</f>
        <v>1</v>
      </c>
      <c r="AS498" t="str">
        <f t="shared" si="79"/>
        <v/>
      </c>
      <c r="AT498" t="s">
        <v>115</v>
      </c>
      <c r="AU498" t="str">
        <f t="shared" si="80"/>
        <v>0</v>
      </c>
      <c r="BD498" t="str">
        <f t="shared" si="81"/>
        <v>0</v>
      </c>
      <c r="BK498" t="str">
        <f>IFERROR(VLOOKUP(B498,'[1]model_S-フレーム'!$F$5:$R$7000,13,1),"")</f>
        <v>E389566_01</v>
      </c>
      <c r="BL498" s="7">
        <f>IFERROR(VLOOKUP(B498,'[1]model_S-フレーム'!$F$5:$V$7000,17,1),"")</f>
        <v>0</v>
      </c>
      <c r="BM498" t="str" cm="1">
        <f t="array" ref="BM498">_xlfn.IFS(LEFT(G498,1)="L","外注品",LEFT(G498,1)="W","内製品",G498="","購買品")</f>
        <v>内製品</v>
      </c>
    </row>
    <row r="499" spans="1:65">
      <c r="A499" t="str">
        <f t="shared" si="73"/>
        <v>WG01</v>
      </c>
      <c r="B499" t="s">
        <v>612</v>
      </c>
      <c r="C499" t="s">
        <v>911</v>
      </c>
      <c r="D499" s="7"/>
      <c r="E499" s="7"/>
      <c r="G499" t="s">
        <v>1939</v>
      </c>
      <c r="H499" t="str" cm="1">
        <f t="array" ref="H499">IFERROR(_xlfn.IFS(B499="","",AND(B499="",G499=""),"",G499="","記載要"),"")</f>
        <v/>
      </c>
      <c r="K499" t="str">
        <f t="shared" si="74"/>
        <v>11WP01002741</v>
      </c>
      <c r="L499" s="3" t="str">
        <f t="shared" si="75"/>
        <v>2001/01/01</v>
      </c>
      <c r="M499" s="3" t="str">
        <f t="shared" si="76"/>
        <v>2199/12/31</v>
      </c>
      <c r="N499" t="str">
        <f t="shared" si="77"/>
        <v>11WP01002741</v>
      </c>
      <c r="O499">
        <v>15</v>
      </c>
      <c r="Q499" t="str" cm="1">
        <f t="array" ref="Q499">_xlfn.IFS(AND(C499="",G499=""),"",LEFT(G499,1)="L","記載要",LEFT(G499,1)="W","",AND(C499,G499=""),"記載要")</f>
        <v/>
      </c>
      <c r="R499" s="21" t="str">
        <f t="shared" si="82"/>
        <v/>
      </c>
      <c r="S499" s="21"/>
      <c r="Z499" s="8"/>
      <c r="AA499">
        <v>1</v>
      </c>
      <c r="AB499">
        <f t="shared" si="78"/>
        <v>0</v>
      </c>
      <c r="AC499">
        <v>1</v>
      </c>
      <c r="AF499">
        <v>1</v>
      </c>
      <c r="AG499" s="8"/>
      <c r="AH499" s="8"/>
      <c r="AK499" cm="1">
        <f t="array" ref="AK499">_xlfn.IFS(B499="","",LEFT(G499,1)="L",1,LEFT(G499,1)="W",1,AND(LEFT(B499,1)="H",G499=""),0)</f>
        <v>1</v>
      </c>
      <c r="AS499" t="str">
        <f t="shared" si="79"/>
        <v/>
      </c>
      <c r="AT499" t="s">
        <v>115</v>
      </c>
      <c r="AU499" t="str">
        <f t="shared" si="80"/>
        <v>0</v>
      </c>
      <c r="BD499" t="str">
        <f t="shared" si="81"/>
        <v>0</v>
      </c>
      <c r="BK499" t="str">
        <f>IFERROR(VLOOKUP(B499,'[1]model_S-フレーム'!$F$5:$R$7000,13,1),"")</f>
        <v>E389566_01</v>
      </c>
      <c r="BL499" s="7">
        <f>IFERROR(VLOOKUP(B499,'[1]model_S-フレーム'!$F$5:$V$7000,17,1),"")</f>
        <v>0</v>
      </c>
      <c r="BM499" t="str" cm="1">
        <f t="array" ref="BM499">_xlfn.IFS(LEFT(G499,1)="L","外注品",LEFT(G499,1)="W","内製品",G499="","購買品")</f>
        <v>内製品</v>
      </c>
    </row>
    <row r="500" spans="1:65">
      <c r="A500" t="str">
        <f t="shared" si="73"/>
        <v>WG01</v>
      </c>
      <c r="B500" t="s">
        <v>613</v>
      </c>
      <c r="C500" t="s">
        <v>911</v>
      </c>
      <c r="D500" s="7"/>
      <c r="E500" s="7"/>
      <c r="G500" t="s">
        <v>1939</v>
      </c>
      <c r="H500" t="str" cm="1">
        <f t="array" ref="H500">IFERROR(_xlfn.IFS(B500="","",AND(B500="",G500=""),"",G500="","記載要"),"")</f>
        <v/>
      </c>
      <c r="K500" t="str">
        <f t="shared" si="74"/>
        <v>11WP01002742</v>
      </c>
      <c r="L500" s="3" t="str">
        <f t="shared" si="75"/>
        <v>2001/01/01</v>
      </c>
      <c r="M500" s="3" t="str">
        <f t="shared" si="76"/>
        <v>2199/12/31</v>
      </c>
      <c r="N500" t="str">
        <f t="shared" si="77"/>
        <v>11WP01002742</v>
      </c>
      <c r="O500">
        <v>15</v>
      </c>
      <c r="Q500" t="str" cm="1">
        <f t="array" ref="Q500">_xlfn.IFS(AND(C500="",G500=""),"",LEFT(G500,1)="L","記載要",LEFT(G500,1)="W","",AND(C500,G500=""),"記載要")</f>
        <v/>
      </c>
      <c r="R500" s="21" t="str">
        <f t="shared" si="82"/>
        <v/>
      </c>
      <c r="S500" s="21"/>
      <c r="Z500" s="8"/>
      <c r="AA500">
        <v>1</v>
      </c>
      <c r="AB500">
        <f t="shared" si="78"/>
        <v>0</v>
      </c>
      <c r="AC500">
        <v>1</v>
      </c>
      <c r="AF500">
        <v>1</v>
      </c>
      <c r="AG500" s="8"/>
      <c r="AH500" s="8"/>
      <c r="AK500" cm="1">
        <f t="array" ref="AK500">_xlfn.IFS(B500="","",LEFT(G500,1)="L",1,LEFT(G500,1)="W",1,AND(LEFT(B500,1)="H",G500=""),0)</f>
        <v>1</v>
      </c>
      <c r="AS500" t="str">
        <f t="shared" si="79"/>
        <v/>
      </c>
      <c r="AT500" t="s">
        <v>115</v>
      </c>
      <c r="AU500" t="str">
        <f t="shared" si="80"/>
        <v>0</v>
      </c>
      <c r="BD500" t="str">
        <f t="shared" si="81"/>
        <v>0</v>
      </c>
      <c r="BK500" t="str">
        <f>IFERROR(VLOOKUP(B500,'[1]model_S-フレーム'!$F$5:$R$7000,13,1),"")</f>
        <v>E389566_01</v>
      </c>
      <c r="BL500" s="7">
        <f>IFERROR(VLOOKUP(B500,'[1]model_S-フレーム'!$F$5:$V$7000,17,1),"")</f>
        <v>0</v>
      </c>
      <c r="BM500" t="str" cm="1">
        <f t="array" ref="BM500">_xlfn.IFS(LEFT(G500,1)="L","外注品",LEFT(G500,1)="W","内製品",G500="","購買品")</f>
        <v>内製品</v>
      </c>
    </row>
    <row r="501" spans="1:65">
      <c r="A501" t="str">
        <f t="shared" si="73"/>
        <v>WG01</v>
      </c>
      <c r="B501" t="s">
        <v>614</v>
      </c>
      <c r="C501" t="s">
        <v>911</v>
      </c>
      <c r="D501" s="7"/>
      <c r="E501" s="7"/>
      <c r="G501" t="s">
        <v>1939</v>
      </c>
      <c r="H501" t="str" cm="1">
        <f t="array" ref="H501">IFERROR(_xlfn.IFS(B501="","",AND(B501="",G501=""),"",G501="","記載要"),"")</f>
        <v/>
      </c>
      <c r="K501" t="str">
        <f t="shared" si="74"/>
        <v>11WP01002743</v>
      </c>
      <c r="L501" s="3" t="str">
        <f t="shared" si="75"/>
        <v>2001/01/01</v>
      </c>
      <c r="M501" s="3" t="str">
        <f t="shared" si="76"/>
        <v>2199/12/31</v>
      </c>
      <c r="N501" t="str">
        <f t="shared" si="77"/>
        <v>11WP01002743</v>
      </c>
      <c r="O501">
        <v>15</v>
      </c>
      <c r="Q501" t="str" cm="1">
        <f t="array" ref="Q501">_xlfn.IFS(AND(C501="",G501=""),"",LEFT(G501,1)="L","記載要",LEFT(G501,1)="W","",AND(C501,G501=""),"記載要")</f>
        <v/>
      </c>
      <c r="R501" s="21" t="str">
        <f t="shared" si="82"/>
        <v/>
      </c>
      <c r="S501" s="21"/>
      <c r="Z501" s="8"/>
      <c r="AA501">
        <v>1</v>
      </c>
      <c r="AB501">
        <f t="shared" si="78"/>
        <v>0</v>
      </c>
      <c r="AC501">
        <v>1</v>
      </c>
      <c r="AF501">
        <v>1</v>
      </c>
      <c r="AG501" s="8"/>
      <c r="AH501" s="8"/>
      <c r="AK501" cm="1">
        <f t="array" ref="AK501">_xlfn.IFS(B501="","",LEFT(G501,1)="L",1,LEFT(G501,1)="W",1,AND(LEFT(B501,1)="H",G501=""),0)</f>
        <v>1</v>
      </c>
      <c r="AS501" t="str">
        <f t="shared" si="79"/>
        <v/>
      </c>
      <c r="AT501" t="s">
        <v>115</v>
      </c>
      <c r="AU501" t="str">
        <f t="shared" si="80"/>
        <v>0</v>
      </c>
      <c r="BD501" t="str">
        <f t="shared" si="81"/>
        <v>0</v>
      </c>
      <c r="BK501" t="str">
        <f>IFERROR(VLOOKUP(B501,'[1]model_S-フレーム'!$F$5:$R$7000,13,1),"")</f>
        <v>E389566_01</v>
      </c>
      <c r="BL501" s="7">
        <f>IFERROR(VLOOKUP(B501,'[1]model_S-フレーム'!$F$5:$V$7000,17,1),"")</f>
        <v>0</v>
      </c>
      <c r="BM501" t="str" cm="1">
        <f t="array" ref="BM501">_xlfn.IFS(LEFT(G501,1)="L","外注品",LEFT(G501,1)="W","内製品",G501="","購買品")</f>
        <v>内製品</v>
      </c>
    </row>
    <row r="502" spans="1:65">
      <c r="A502" t="str">
        <f t="shared" si="73"/>
        <v>WG01</v>
      </c>
      <c r="B502" t="s">
        <v>615</v>
      </c>
      <c r="C502" t="s">
        <v>911</v>
      </c>
      <c r="D502" s="7"/>
      <c r="E502" s="7"/>
      <c r="G502" t="s">
        <v>1939</v>
      </c>
      <c r="H502" t="str" cm="1">
        <f t="array" ref="H502">IFERROR(_xlfn.IFS(B502="","",AND(B502="",G502=""),"",G502="","記載要"),"")</f>
        <v/>
      </c>
      <c r="K502" t="str">
        <f t="shared" si="74"/>
        <v>11WP01002744</v>
      </c>
      <c r="L502" s="3" t="str">
        <f t="shared" si="75"/>
        <v>2001/01/01</v>
      </c>
      <c r="M502" s="3" t="str">
        <f t="shared" si="76"/>
        <v>2199/12/31</v>
      </c>
      <c r="N502" t="str">
        <f t="shared" si="77"/>
        <v>11WP01002744</v>
      </c>
      <c r="O502">
        <v>15</v>
      </c>
      <c r="Q502" t="str" cm="1">
        <f t="array" ref="Q502">_xlfn.IFS(AND(C502="",G502=""),"",LEFT(G502,1)="L","記載要",LEFT(G502,1)="W","",AND(C502,G502=""),"記載要")</f>
        <v/>
      </c>
      <c r="R502" s="21" t="str">
        <f t="shared" si="82"/>
        <v/>
      </c>
      <c r="S502" s="21"/>
      <c r="Z502" s="8"/>
      <c r="AA502">
        <v>1</v>
      </c>
      <c r="AB502">
        <f t="shared" si="78"/>
        <v>0</v>
      </c>
      <c r="AC502">
        <v>1</v>
      </c>
      <c r="AF502">
        <v>1</v>
      </c>
      <c r="AG502" s="8"/>
      <c r="AH502" s="8"/>
      <c r="AK502" cm="1">
        <f t="array" ref="AK502">_xlfn.IFS(B502="","",LEFT(G502,1)="L",1,LEFT(G502,1)="W",1,AND(LEFT(B502,1)="H",G502=""),0)</f>
        <v>1</v>
      </c>
      <c r="AS502" t="str">
        <f t="shared" si="79"/>
        <v/>
      </c>
      <c r="AT502" t="s">
        <v>115</v>
      </c>
      <c r="AU502" t="str">
        <f t="shared" si="80"/>
        <v>0</v>
      </c>
      <c r="BD502" t="str">
        <f t="shared" si="81"/>
        <v>0</v>
      </c>
      <c r="BK502" t="str">
        <f>IFERROR(VLOOKUP(B502,'[1]model_S-フレーム'!$F$5:$R$7000,13,1),"")</f>
        <v>E389566_01</v>
      </c>
      <c r="BL502" s="7">
        <f>IFERROR(VLOOKUP(B502,'[1]model_S-フレーム'!$F$5:$V$7000,17,1),"")</f>
        <v>0</v>
      </c>
      <c r="BM502" t="str" cm="1">
        <f t="array" ref="BM502">_xlfn.IFS(LEFT(G502,1)="L","外注品",LEFT(G502,1)="W","内製品",G502="","購買品")</f>
        <v>内製品</v>
      </c>
    </row>
    <row r="503" spans="1:65">
      <c r="A503" t="str">
        <f t="shared" si="73"/>
        <v>WG01</v>
      </c>
      <c r="B503" t="s">
        <v>616</v>
      </c>
      <c r="C503" t="s">
        <v>911</v>
      </c>
      <c r="D503" s="7"/>
      <c r="E503" s="7"/>
      <c r="G503" t="s">
        <v>1939</v>
      </c>
      <c r="H503" t="str" cm="1">
        <f t="array" ref="H503">IFERROR(_xlfn.IFS(B503="","",AND(B503="",G503=""),"",G503="","記載要"),"")</f>
        <v/>
      </c>
      <c r="K503" t="str">
        <f t="shared" si="74"/>
        <v>11WP01002745</v>
      </c>
      <c r="L503" s="3" t="str">
        <f t="shared" si="75"/>
        <v>2001/01/01</v>
      </c>
      <c r="M503" s="3" t="str">
        <f t="shared" si="76"/>
        <v>2199/12/31</v>
      </c>
      <c r="N503" t="str">
        <f t="shared" si="77"/>
        <v>11WP01002745</v>
      </c>
      <c r="O503">
        <v>15</v>
      </c>
      <c r="Q503" t="str" cm="1">
        <f t="array" ref="Q503">_xlfn.IFS(AND(C503="",G503=""),"",LEFT(G503,1)="L","記載要",LEFT(G503,1)="W","",AND(C503,G503=""),"記載要")</f>
        <v/>
      </c>
      <c r="R503" s="21" t="str">
        <f t="shared" si="82"/>
        <v/>
      </c>
      <c r="S503" s="21"/>
      <c r="Z503" s="8"/>
      <c r="AA503">
        <v>1</v>
      </c>
      <c r="AB503">
        <f t="shared" si="78"/>
        <v>0</v>
      </c>
      <c r="AC503">
        <v>1</v>
      </c>
      <c r="AF503">
        <v>1</v>
      </c>
      <c r="AG503" s="8"/>
      <c r="AH503" s="8"/>
      <c r="AK503" cm="1">
        <f t="array" ref="AK503">_xlfn.IFS(B503="","",LEFT(G503,1)="L",1,LEFT(G503,1)="W",1,AND(LEFT(B503,1)="H",G503=""),0)</f>
        <v>1</v>
      </c>
      <c r="AS503" t="str">
        <f t="shared" si="79"/>
        <v/>
      </c>
      <c r="AT503" t="s">
        <v>115</v>
      </c>
      <c r="AU503" t="str">
        <f t="shared" si="80"/>
        <v>0</v>
      </c>
      <c r="BD503" t="str">
        <f t="shared" si="81"/>
        <v>0</v>
      </c>
      <c r="BK503" t="str">
        <f>IFERROR(VLOOKUP(B503,'[1]model_S-フレーム'!$F$5:$R$7000,13,1),"")</f>
        <v>E389566_01</v>
      </c>
      <c r="BL503" s="7">
        <f>IFERROR(VLOOKUP(B503,'[1]model_S-フレーム'!$F$5:$V$7000,17,1),"")</f>
        <v>0</v>
      </c>
      <c r="BM503" t="str" cm="1">
        <f t="array" ref="BM503">_xlfn.IFS(LEFT(G503,1)="L","外注品",LEFT(G503,1)="W","内製品",G503="","購買品")</f>
        <v>内製品</v>
      </c>
    </row>
    <row r="504" spans="1:65">
      <c r="A504" t="str">
        <f t="shared" si="73"/>
        <v>WG01</v>
      </c>
      <c r="B504" t="s">
        <v>617</v>
      </c>
      <c r="C504" t="s">
        <v>911</v>
      </c>
      <c r="D504" s="7"/>
      <c r="E504" s="7"/>
      <c r="G504" t="s">
        <v>1939</v>
      </c>
      <c r="H504" t="str" cm="1">
        <f t="array" ref="H504">IFERROR(_xlfn.IFS(B504="","",AND(B504="",G504=""),"",G504="","記載要"),"")</f>
        <v/>
      </c>
      <c r="K504" t="str">
        <f t="shared" si="74"/>
        <v>11WP01002746</v>
      </c>
      <c r="L504" s="3" t="str">
        <f t="shared" si="75"/>
        <v>2001/01/01</v>
      </c>
      <c r="M504" s="3" t="str">
        <f t="shared" si="76"/>
        <v>2199/12/31</v>
      </c>
      <c r="N504" t="str">
        <f t="shared" si="77"/>
        <v>11WP01002746</v>
      </c>
      <c r="O504">
        <v>15</v>
      </c>
      <c r="Q504" t="str" cm="1">
        <f t="array" ref="Q504">_xlfn.IFS(AND(C504="",G504=""),"",LEFT(G504,1)="L","記載要",LEFT(G504,1)="W","",AND(C504,G504=""),"記載要")</f>
        <v/>
      </c>
      <c r="R504" s="21" t="str">
        <f t="shared" si="82"/>
        <v/>
      </c>
      <c r="S504" s="21"/>
      <c r="Z504" s="8"/>
      <c r="AA504">
        <v>1</v>
      </c>
      <c r="AB504">
        <f t="shared" si="78"/>
        <v>0</v>
      </c>
      <c r="AC504">
        <v>1</v>
      </c>
      <c r="AF504">
        <v>1</v>
      </c>
      <c r="AG504" s="8"/>
      <c r="AH504" s="8"/>
      <c r="AK504" cm="1">
        <f t="array" ref="AK504">_xlfn.IFS(B504="","",LEFT(G504,1)="L",1,LEFT(G504,1)="W",1,AND(LEFT(B504,1)="H",G504=""),0)</f>
        <v>1</v>
      </c>
      <c r="AS504" t="str">
        <f t="shared" si="79"/>
        <v/>
      </c>
      <c r="AT504" t="s">
        <v>115</v>
      </c>
      <c r="AU504" t="str">
        <f t="shared" si="80"/>
        <v>0</v>
      </c>
      <c r="BD504" t="str">
        <f t="shared" si="81"/>
        <v>0</v>
      </c>
      <c r="BK504" t="str">
        <f>IFERROR(VLOOKUP(B504,'[1]model_S-フレーム'!$F$5:$R$7000,13,1),"")</f>
        <v>E389566_01</v>
      </c>
      <c r="BL504" s="7">
        <f>IFERROR(VLOOKUP(B504,'[1]model_S-フレーム'!$F$5:$V$7000,17,1),"")</f>
        <v>0</v>
      </c>
      <c r="BM504" t="str" cm="1">
        <f t="array" ref="BM504">_xlfn.IFS(LEFT(G504,1)="L","外注品",LEFT(G504,1)="W","内製品",G504="","購買品")</f>
        <v>内製品</v>
      </c>
    </row>
    <row r="505" spans="1:65" s="11" customFormat="1">
      <c r="A505" t="str">
        <f t="shared" si="73"/>
        <v>WG01</v>
      </c>
      <c r="B505" t="s">
        <v>618</v>
      </c>
      <c r="C505" t="s">
        <v>912</v>
      </c>
      <c r="D505" s="7"/>
      <c r="E505" s="7"/>
      <c r="F505"/>
      <c r="G505"/>
      <c r="H505">
        <v>27616</v>
      </c>
      <c r="I505"/>
      <c r="J505"/>
      <c r="K505" t="str">
        <f t="shared" si="74"/>
        <v/>
      </c>
      <c r="L505" s="3" t="str">
        <f t="shared" si="75"/>
        <v>2001/01/01</v>
      </c>
      <c r="M505" s="3" t="str">
        <f t="shared" si="76"/>
        <v>2199/12/31</v>
      </c>
      <c r="N505" t="str">
        <f t="shared" si="77"/>
        <v/>
      </c>
      <c r="O505" t="str">
        <f>IF(G505="","","記載要")</f>
        <v/>
      </c>
      <c r="P505"/>
      <c r="Q505">
        <v>15</v>
      </c>
      <c r="R505" s="21">
        <v>100000000</v>
      </c>
      <c r="S505" s="21" t="str" cm="1">
        <f t="array" ref="S505">_xlfn.IFS(LEFT(G505,1)="L","記載要",LEFT(G505,1)="W","記載要",G505="","")</f>
        <v/>
      </c>
      <c r="T505"/>
      <c r="U505"/>
      <c r="V505"/>
      <c r="W505"/>
      <c r="X505"/>
      <c r="Y505"/>
      <c r="Z505" s="8"/>
      <c r="AA505" s="8">
        <v>1</v>
      </c>
      <c r="AB505">
        <f t="shared" si="78"/>
        <v>0</v>
      </c>
      <c r="AC505" s="8">
        <v>1</v>
      </c>
      <c r="AD505"/>
      <c r="AE505"/>
      <c r="AF505">
        <v>1</v>
      </c>
      <c r="AG505" s="8"/>
      <c r="AH505" s="8"/>
      <c r="AI505"/>
      <c r="AJ505"/>
      <c r="AK505" cm="1">
        <f t="array" ref="AK505">_xlfn.IFS(B505="","",LEFT(G505,1)="L",1,LEFT(G505,1)="W",1,AND(LEFT(B505,1)="H",G505=""),0)</f>
        <v>0</v>
      </c>
      <c r="AL505"/>
      <c r="AM505"/>
      <c r="AN505"/>
      <c r="AO505"/>
      <c r="AP505"/>
      <c r="AQ505"/>
      <c r="AR505"/>
      <c r="AS505">
        <f t="shared" si="79"/>
        <v>1</v>
      </c>
      <c r="AT505" t="s">
        <v>115</v>
      </c>
      <c r="AU505" t="str">
        <f t="shared" si="80"/>
        <v>0</v>
      </c>
      <c r="AV505"/>
      <c r="AW505"/>
      <c r="AX505"/>
      <c r="AY505"/>
      <c r="AZ505"/>
      <c r="BA505"/>
      <c r="BB505"/>
      <c r="BC505"/>
      <c r="BD505" t="str">
        <f t="shared" si="81"/>
        <v>0</v>
      </c>
      <c r="BE505"/>
      <c r="BF505"/>
      <c r="BG505"/>
      <c r="BH505"/>
      <c r="BI505"/>
      <c r="BJ505"/>
      <c r="BK505" s="11" t="str">
        <f>IFERROR(VLOOKUP(B505,'[1]model_S-フレーム'!$F$5:$R$7000,13,1),"")</f>
        <v>E389566_01</v>
      </c>
      <c r="BL505" s="12">
        <f>IFERROR(VLOOKUP(B505,'[1]model_S-フレーム'!$F$5:$V$7000,17,1),"")</f>
        <v>0</v>
      </c>
      <c r="BM505" s="11" t="str" cm="1">
        <f t="array" ref="BM505">_xlfn.IFS(LEFT(G505,1)="L","外注品",LEFT(G505,1)="W","内製品",G505="","購買品")</f>
        <v>購買品</v>
      </c>
    </row>
    <row r="506" spans="1:65" s="11" customFormat="1">
      <c r="A506" t="str">
        <f t="shared" si="73"/>
        <v>WG01</v>
      </c>
      <c r="B506" t="s">
        <v>618</v>
      </c>
      <c r="C506" t="s">
        <v>912</v>
      </c>
      <c r="D506" s="7"/>
      <c r="E506" s="7"/>
      <c r="F506"/>
      <c r="G506"/>
      <c r="H506">
        <v>43453</v>
      </c>
      <c r="I506"/>
      <c r="J506"/>
      <c r="K506" t="str">
        <f t="shared" si="74"/>
        <v/>
      </c>
      <c r="L506" s="3" t="str">
        <f t="shared" si="75"/>
        <v>2001/01/01</v>
      </c>
      <c r="M506" s="3" t="str">
        <f t="shared" si="76"/>
        <v>2199/12/31</v>
      </c>
      <c r="N506" t="str">
        <f t="shared" si="77"/>
        <v/>
      </c>
      <c r="O506" t="str">
        <f>IF(G506="","","記載要")</f>
        <v/>
      </c>
      <c r="P506"/>
      <c r="Q506">
        <v>15</v>
      </c>
      <c r="R506" s="21">
        <v>100000000</v>
      </c>
      <c r="S506" s="21" t="str" cm="1">
        <f t="array" ref="S506">_xlfn.IFS(LEFT(G506,1)="L","記載要",LEFT(G506,1)="W","記載要",G506="","")</f>
        <v/>
      </c>
      <c r="T506"/>
      <c r="U506"/>
      <c r="V506"/>
      <c r="W506"/>
      <c r="X506"/>
      <c r="Y506"/>
      <c r="Z506" s="8"/>
      <c r="AA506" s="8">
        <v>1</v>
      </c>
      <c r="AB506">
        <f t="shared" si="78"/>
        <v>0</v>
      </c>
      <c r="AC506" s="8">
        <v>1</v>
      </c>
      <c r="AD506"/>
      <c r="AE506"/>
      <c r="AF506">
        <v>0</v>
      </c>
      <c r="AG506" s="8"/>
      <c r="AH506" s="8"/>
      <c r="AI506"/>
      <c r="AJ506"/>
      <c r="AK506" cm="1">
        <f t="array" ref="AK506">_xlfn.IFS(B506="","",LEFT(G506,1)="L",1,LEFT(G506,1)="W",1,AND(LEFT(B506,1)="H",G506=""),0)</f>
        <v>0</v>
      </c>
      <c r="AL506"/>
      <c r="AM506"/>
      <c r="AN506"/>
      <c r="AO506"/>
      <c r="AP506"/>
      <c r="AQ506"/>
      <c r="AR506"/>
      <c r="AS506">
        <f t="shared" si="79"/>
        <v>1</v>
      </c>
      <c r="AT506" t="s">
        <v>115</v>
      </c>
      <c r="AU506" t="str">
        <f t="shared" si="80"/>
        <v>0</v>
      </c>
      <c r="AV506"/>
      <c r="AW506"/>
      <c r="AX506"/>
      <c r="AY506"/>
      <c r="AZ506"/>
      <c r="BA506"/>
      <c r="BB506"/>
      <c r="BC506"/>
      <c r="BD506" t="str">
        <f t="shared" si="81"/>
        <v>0</v>
      </c>
      <c r="BE506"/>
      <c r="BF506"/>
      <c r="BG506"/>
      <c r="BH506"/>
      <c r="BI506"/>
      <c r="BJ506"/>
      <c r="BK506" s="11" t="str">
        <f>IFERROR(VLOOKUP(B506,'[1]model_S-フレーム'!$F$5:$R$7000,13,1),"")</f>
        <v>E389566_01</v>
      </c>
      <c r="BL506" s="12">
        <f>IFERROR(VLOOKUP(B506,'[1]model_S-フレーム'!$F$5:$V$7000,17,1),"")</f>
        <v>0</v>
      </c>
      <c r="BM506" s="11" t="str" cm="1">
        <f t="array" ref="BM506">_xlfn.IFS(LEFT(G506,1)="L","外注品",LEFT(G506,1)="W","内製品",G506="","購買品")</f>
        <v>購買品</v>
      </c>
    </row>
    <row r="507" spans="1:65" s="11" customFormat="1">
      <c r="A507" t="str">
        <f t="shared" si="73"/>
        <v>WG01</v>
      </c>
      <c r="B507" t="s">
        <v>618</v>
      </c>
      <c r="C507" t="s">
        <v>912</v>
      </c>
      <c r="D507" s="7"/>
      <c r="E507" s="7"/>
      <c r="F507"/>
      <c r="G507"/>
      <c r="H507">
        <v>47081</v>
      </c>
      <c r="I507"/>
      <c r="J507"/>
      <c r="K507" t="str">
        <f t="shared" si="74"/>
        <v/>
      </c>
      <c r="L507" s="3" t="str">
        <f t="shared" si="75"/>
        <v>2001/01/01</v>
      </c>
      <c r="M507" s="3" t="str">
        <f t="shared" si="76"/>
        <v>2199/12/31</v>
      </c>
      <c r="N507" t="str">
        <f t="shared" si="77"/>
        <v/>
      </c>
      <c r="O507" t="str">
        <f>IF(G507="","","記載要")</f>
        <v/>
      </c>
      <c r="P507"/>
      <c r="Q507">
        <v>15</v>
      </c>
      <c r="R507" s="21">
        <v>100000000</v>
      </c>
      <c r="S507" s="21" t="str" cm="1">
        <f t="array" ref="S507">_xlfn.IFS(LEFT(G507,1)="L","記載要",LEFT(G507,1)="W","記載要",G507="","")</f>
        <v/>
      </c>
      <c r="T507"/>
      <c r="U507"/>
      <c r="V507"/>
      <c r="W507"/>
      <c r="X507"/>
      <c r="Y507"/>
      <c r="Z507" s="8"/>
      <c r="AA507" s="8">
        <v>1</v>
      </c>
      <c r="AB507">
        <f t="shared" si="78"/>
        <v>0</v>
      </c>
      <c r="AC507" s="8">
        <v>1</v>
      </c>
      <c r="AD507"/>
      <c r="AE507"/>
      <c r="AF507">
        <v>1</v>
      </c>
      <c r="AG507" s="8"/>
      <c r="AH507" s="8"/>
      <c r="AI507"/>
      <c r="AJ507"/>
      <c r="AK507" cm="1">
        <f t="array" ref="AK507">_xlfn.IFS(B507="","",LEFT(G507,1)="L",1,LEFT(G507,1)="W",1,AND(LEFT(B507,1)="H",G507=""),0)</f>
        <v>0</v>
      </c>
      <c r="AL507"/>
      <c r="AM507"/>
      <c r="AN507"/>
      <c r="AO507"/>
      <c r="AP507"/>
      <c r="AQ507"/>
      <c r="AR507"/>
      <c r="AS507">
        <f t="shared" si="79"/>
        <v>1</v>
      </c>
      <c r="AT507" t="s">
        <v>115</v>
      </c>
      <c r="AU507" t="str">
        <f t="shared" si="80"/>
        <v>0</v>
      </c>
      <c r="AV507"/>
      <c r="AW507"/>
      <c r="AX507"/>
      <c r="AY507"/>
      <c r="AZ507"/>
      <c r="BA507"/>
      <c r="BB507"/>
      <c r="BC507"/>
      <c r="BD507" t="str">
        <f t="shared" si="81"/>
        <v>0</v>
      </c>
      <c r="BE507"/>
      <c r="BF507"/>
      <c r="BG507"/>
      <c r="BH507"/>
      <c r="BI507"/>
      <c r="BJ507"/>
      <c r="BK507" s="11" t="str">
        <f>IFERROR(VLOOKUP(B507,'[1]model_S-フレーム'!$F$5:$R$7000,13,1),"")</f>
        <v>E389566_01</v>
      </c>
      <c r="BL507" s="12">
        <f>IFERROR(VLOOKUP(B507,'[1]model_S-フレーム'!$F$5:$V$7000,17,1),"")</f>
        <v>0</v>
      </c>
      <c r="BM507" s="11" t="str" cm="1">
        <f t="array" ref="BM507">_xlfn.IFS(LEFT(G507,1)="L","外注品",LEFT(G507,1)="W","内製品",G507="","購買品")</f>
        <v>購買品</v>
      </c>
    </row>
    <row r="508" spans="1:65">
      <c r="A508" t="str">
        <f t="shared" si="73"/>
        <v>WG01</v>
      </c>
      <c r="B508" t="s">
        <v>618</v>
      </c>
      <c r="C508" t="s">
        <v>912</v>
      </c>
      <c r="D508" s="7"/>
      <c r="E508" s="7"/>
      <c r="H508" s="19" t="s">
        <v>1937</v>
      </c>
      <c r="K508" t="str">
        <f t="shared" si="74"/>
        <v/>
      </c>
      <c r="L508" s="3" t="str">
        <f t="shared" si="75"/>
        <v>2001/01/01</v>
      </c>
      <c r="M508" s="3" t="str">
        <f t="shared" si="76"/>
        <v>2199/12/31</v>
      </c>
      <c r="N508" t="str">
        <f t="shared" si="77"/>
        <v/>
      </c>
      <c r="O508" t="str">
        <f>IF(G508="","","記載要")</f>
        <v/>
      </c>
      <c r="Q508">
        <v>15</v>
      </c>
      <c r="R508" s="21">
        <v>100000000</v>
      </c>
      <c r="S508" s="21" t="str" cm="1">
        <f t="array" ref="S508">_xlfn.IFS(LEFT(G508,1)="L","記載要",LEFT(G508,1)="W","記載要",G508="","")</f>
        <v/>
      </c>
      <c r="Z508" s="8"/>
      <c r="AA508" s="8">
        <v>1</v>
      </c>
      <c r="AB508">
        <f t="shared" si="78"/>
        <v>0</v>
      </c>
      <c r="AC508" s="8">
        <v>1</v>
      </c>
      <c r="AF508">
        <v>1</v>
      </c>
      <c r="AG508" s="8"/>
      <c r="AH508" s="8"/>
      <c r="AK508" cm="1">
        <f t="array" ref="AK508">_xlfn.IFS(B508="","",LEFT(G508,1)="L",1,LEFT(G508,1)="W",1,AND(LEFT(B508,1)="H",G508=""),0)</f>
        <v>0</v>
      </c>
      <c r="AS508">
        <f t="shared" si="79"/>
        <v>1</v>
      </c>
      <c r="AT508" t="s">
        <v>115</v>
      </c>
      <c r="AU508" t="str">
        <f t="shared" si="80"/>
        <v>0</v>
      </c>
      <c r="BD508" t="str">
        <f t="shared" si="81"/>
        <v>0</v>
      </c>
      <c r="BK508" t="str">
        <f>IFERROR(VLOOKUP(B508,'[1]model_S-フレーム'!$F$5:$R$7000,13,1),"")</f>
        <v>E389566_01</v>
      </c>
      <c r="BL508" s="7">
        <f>IFERROR(VLOOKUP(B508,'[1]model_S-フレーム'!$F$5:$V$7000,17,1),"")</f>
        <v>0</v>
      </c>
      <c r="BM508" t="str" cm="1">
        <f t="array" ref="BM508">_xlfn.IFS(LEFT(G508,1)="L","外注品",LEFT(G508,1)="W","内製品",G508="","購買品")</f>
        <v>購買品</v>
      </c>
    </row>
    <row r="509" spans="1:65">
      <c r="A509" t="str">
        <f t="shared" si="73"/>
        <v>WG01</v>
      </c>
      <c r="B509" t="s">
        <v>619</v>
      </c>
      <c r="C509" t="s">
        <v>913</v>
      </c>
      <c r="D509" s="7"/>
      <c r="E509" s="7"/>
      <c r="G509" t="s">
        <v>1939</v>
      </c>
      <c r="H509" t="str" cm="1">
        <f t="array" ref="H509">IFERROR(_xlfn.IFS(B509="","",AND(B509="",G509=""),"",G509="","記載要"),"")</f>
        <v/>
      </c>
      <c r="K509" t="str">
        <f t="shared" si="74"/>
        <v>11WP01002748</v>
      </c>
      <c r="L509" s="3" t="str">
        <f t="shared" si="75"/>
        <v>2001/01/01</v>
      </c>
      <c r="M509" s="3" t="str">
        <f t="shared" si="76"/>
        <v>2199/12/31</v>
      </c>
      <c r="N509" t="str">
        <f t="shared" si="77"/>
        <v>11WP01002748</v>
      </c>
      <c r="O509">
        <v>15</v>
      </c>
      <c r="Q509" t="str" cm="1">
        <f t="array" ref="Q509">_xlfn.IFS(AND(C509="",G509=""),"",LEFT(G509,1)="L","記載要",LEFT(G509,1)="W","",AND(C509,G509=""),"記載要")</f>
        <v/>
      </c>
      <c r="R509" s="21" t="str">
        <f t="shared" si="82"/>
        <v/>
      </c>
      <c r="S509" s="21"/>
      <c r="Z509" s="8"/>
      <c r="AA509">
        <v>1</v>
      </c>
      <c r="AB509">
        <f t="shared" si="78"/>
        <v>0</v>
      </c>
      <c r="AC509">
        <v>1</v>
      </c>
      <c r="AF509">
        <v>1</v>
      </c>
      <c r="AG509" s="8"/>
      <c r="AH509" s="8"/>
      <c r="AK509" cm="1">
        <f t="array" ref="AK509">_xlfn.IFS(B509="","",LEFT(G509,1)="L",1,LEFT(G509,1)="W",1,AND(LEFT(B509,1)="H",G509=""),0)</f>
        <v>1</v>
      </c>
      <c r="AS509" t="str">
        <f t="shared" si="79"/>
        <v/>
      </c>
      <c r="AT509" t="s">
        <v>115</v>
      </c>
      <c r="AU509" t="str">
        <f t="shared" si="80"/>
        <v>0</v>
      </c>
      <c r="BD509" t="str">
        <f t="shared" si="81"/>
        <v>0</v>
      </c>
      <c r="BK509" t="str">
        <f>IFERROR(VLOOKUP(B509,'[1]model_S-フレーム'!$F$5:$R$7000,13,1),"")</f>
        <v>E389568_01</v>
      </c>
      <c r="BL509" s="7">
        <f>IFERROR(VLOOKUP(B509,'[1]model_S-フレーム'!$F$5:$V$7000,17,1),"")</f>
        <v>0</v>
      </c>
      <c r="BM509" t="str" cm="1">
        <f t="array" ref="BM509">_xlfn.IFS(LEFT(G509,1)="L","外注品",LEFT(G509,1)="W","内製品",G509="","購買品")</f>
        <v>内製品</v>
      </c>
    </row>
    <row r="510" spans="1:65">
      <c r="A510" t="str">
        <f t="shared" si="73"/>
        <v>WG01</v>
      </c>
      <c r="B510" t="s">
        <v>620</v>
      </c>
      <c r="C510" t="s">
        <v>913</v>
      </c>
      <c r="D510" s="7"/>
      <c r="E510" s="7"/>
      <c r="G510" t="s">
        <v>1939</v>
      </c>
      <c r="H510" t="str" cm="1">
        <f t="array" ref="H510">IFERROR(_xlfn.IFS(B510="","",AND(B510="",G510=""),"",G510="","記載要"),"")</f>
        <v/>
      </c>
      <c r="K510" t="str">
        <f t="shared" si="74"/>
        <v>11WP01002749</v>
      </c>
      <c r="L510" s="3" t="str">
        <f t="shared" si="75"/>
        <v>2001/01/01</v>
      </c>
      <c r="M510" s="3" t="str">
        <f t="shared" si="76"/>
        <v>2199/12/31</v>
      </c>
      <c r="N510" t="str">
        <f t="shared" si="77"/>
        <v>11WP01002749</v>
      </c>
      <c r="O510">
        <v>15</v>
      </c>
      <c r="Q510" t="str" cm="1">
        <f t="array" ref="Q510">_xlfn.IFS(AND(C510="",G510=""),"",LEFT(G510,1)="L","記載要",LEFT(G510,1)="W","",AND(C510,G510=""),"記載要")</f>
        <v/>
      </c>
      <c r="R510" s="21" t="str">
        <f t="shared" si="82"/>
        <v/>
      </c>
      <c r="S510" s="21"/>
      <c r="Z510" s="8"/>
      <c r="AA510">
        <v>1</v>
      </c>
      <c r="AB510">
        <f t="shared" si="78"/>
        <v>0</v>
      </c>
      <c r="AC510">
        <v>1</v>
      </c>
      <c r="AF510">
        <v>1</v>
      </c>
      <c r="AG510" s="8"/>
      <c r="AH510" s="8"/>
      <c r="AK510" cm="1">
        <f t="array" ref="AK510">_xlfn.IFS(B510="","",LEFT(G510,1)="L",1,LEFT(G510,1)="W",1,AND(LEFT(B510,1)="H",G510=""),0)</f>
        <v>1</v>
      </c>
      <c r="AS510" t="str">
        <f t="shared" si="79"/>
        <v/>
      </c>
      <c r="AT510" t="s">
        <v>115</v>
      </c>
      <c r="AU510" t="str">
        <f t="shared" si="80"/>
        <v>0</v>
      </c>
      <c r="BD510" t="str">
        <f t="shared" si="81"/>
        <v>0</v>
      </c>
      <c r="BK510" t="str">
        <f>IFERROR(VLOOKUP(B510,'[1]model_S-フレーム'!$F$5:$R$7000,13,1),"")</f>
        <v>E389568_01</v>
      </c>
      <c r="BL510" s="7">
        <f>IFERROR(VLOOKUP(B510,'[1]model_S-フレーム'!$F$5:$V$7000,17,1),"")</f>
        <v>0</v>
      </c>
      <c r="BM510" t="str" cm="1">
        <f t="array" ref="BM510">_xlfn.IFS(LEFT(G510,1)="L","外注品",LEFT(G510,1)="W","内製品",G510="","購買品")</f>
        <v>内製品</v>
      </c>
    </row>
    <row r="511" spans="1:65">
      <c r="A511" t="str">
        <f t="shared" si="73"/>
        <v>WG01</v>
      </c>
      <c r="B511" t="s">
        <v>621</v>
      </c>
      <c r="C511" t="s">
        <v>913</v>
      </c>
      <c r="D511" s="7"/>
      <c r="E511" s="7"/>
      <c r="G511" t="s">
        <v>1939</v>
      </c>
      <c r="H511" t="str" cm="1">
        <f t="array" ref="H511">IFERROR(_xlfn.IFS(B511="","",AND(B511="",G511=""),"",G511="","記載要"),"")</f>
        <v/>
      </c>
      <c r="K511" t="str">
        <f t="shared" si="74"/>
        <v>11WP01002750</v>
      </c>
      <c r="L511" s="3" t="str">
        <f t="shared" si="75"/>
        <v>2001/01/01</v>
      </c>
      <c r="M511" s="3" t="str">
        <f t="shared" si="76"/>
        <v>2199/12/31</v>
      </c>
      <c r="N511" t="str">
        <f t="shared" si="77"/>
        <v>11WP01002750</v>
      </c>
      <c r="O511">
        <v>15</v>
      </c>
      <c r="Q511" t="str" cm="1">
        <f t="array" ref="Q511">_xlfn.IFS(AND(C511="",G511=""),"",LEFT(G511,1)="L","記載要",LEFT(G511,1)="W","",AND(C511,G511=""),"記載要")</f>
        <v/>
      </c>
      <c r="R511" s="21" t="str">
        <f t="shared" si="82"/>
        <v/>
      </c>
      <c r="S511" s="21"/>
      <c r="Z511" s="8"/>
      <c r="AA511">
        <v>1</v>
      </c>
      <c r="AB511">
        <f t="shared" si="78"/>
        <v>0</v>
      </c>
      <c r="AC511">
        <v>1</v>
      </c>
      <c r="AF511">
        <v>1</v>
      </c>
      <c r="AG511" s="8"/>
      <c r="AH511" s="8"/>
      <c r="AK511" cm="1">
        <f t="array" ref="AK511">_xlfn.IFS(B511="","",LEFT(G511,1)="L",1,LEFT(G511,1)="W",1,AND(LEFT(B511,1)="H",G511=""),0)</f>
        <v>1</v>
      </c>
      <c r="AS511" t="str">
        <f t="shared" si="79"/>
        <v/>
      </c>
      <c r="AT511" t="s">
        <v>115</v>
      </c>
      <c r="AU511" t="str">
        <f t="shared" si="80"/>
        <v>0</v>
      </c>
      <c r="BD511" t="str">
        <f t="shared" si="81"/>
        <v>0</v>
      </c>
      <c r="BK511" t="str">
        <f>IFERROR(VLOOKUP(B511,'[1]model_S-フレーム'!$F$5:$R$7000,13,1),"")</f>
        <v>E389568_01</v>
      </c>
      <c r="BL511" s="7">
        <f>IFERROR(VLOOKUP(B511,'[1]model_S-フレーム'!$F$5:$V$7000,17,1),"")</f>
        <v>0</v>
      </c>
      <c r="BM511" t="str" cm="1">
        <f t="array" ref="BM511">_xlfn.IFS(LEFT(G511,1)="L","外注品",LEFT(G511,1)="W","内製品",G511="","購買品")</f>
        <v>内製品</v>
      </c>
    </row>
    <row r="512" spans="1:65">
      <c r="A512" t="str">
        <f t="shared" si="73"/>
        <v>WG01</v>
      </c>
      <c r="B512" t="s">
        <v>622</v>
      </c>
      <c r="C512" t="s">
        <v>913</v>
      </c>
      <c r="D512" s="7"/>
      <c r="E512" s="7"/>
      <c r="G512" t="s">
        <v>1939</v>
      </c>
      <c r="H512" t="str" cm="1">
        <f t="array" ref="H512">IFERROR(_xlfn.IFS(B512="","",AND(B512="",G512=""),"",G512="","記載要"),"")</f>
        <v/>
      </c>
      <c r="K512" t="str">
        <f t="shared" si="74"/>
        <v>11WP01002751</v>
      </c>
      <c r="L512" s="3" t="str">
        <f t="shared" si="75"/>
        <v>2001/01/01</v>
      </c>
      <c r="M512" s="3" t="str">
        <f t="shared" si="76"/>
        <v>2199/12/31</v>
      </c>
      <c r="N512" t="str">
        <f t="shared" si="77"/>
        <v>11WP01002751</v>
      </c>
      <c r="O512">
        <v>15</v>
      </c>
      <c r="Q512" t="str" cm="1">
        <f t="array" ref="Q512">_xlfn.IFS(AND(C512="",G512=""),"",LEFT(G512,1)="L","記載要",LEFT(G512,1)="W","",AND(C512,G512=""),"記載要")</f>
        <v/>
      </c>
      <c r="R512" s="21" t="str">
        <f t="shared" si="82"/>
        <v/>
      </c>
      <c r="S512" s="21"/>
      <c r="Z512" s="8"/>
      <c r="AA512">
        <v>1</v>
      </c>
      <c r="AB512">
        <f t="shared" si="78"/>
        <v>0</v>
      </c>
      <c r="AC512">
        <v>1</v>
      </c>
      <c r="AF512">
        <v>1</v>
      </c>
      <c r="AG512" s="8"/>
      <c r="AH512" s="8"/>
      <c r="AK512" cm="1">
        <f t="array" ref="AK512">_xlfn.IFS(B512="","",LEFT(G512,1)="L",1,LEFT(G512,1)="W",1,AND(LEFT(B512,1)="H",G512=""),0)</f>
        <v>1</v>
      </c>
      <c r="AS512" t="str">
        <f t="shared" si="79"/>
        <v/>
      </c>
      <c r="AT512" t="s">
        <v>115</v>
      </c>
      <c r="AU512" t="str">
        <f t="shared" si="80"/>
        <v>0</v>
      </c>
      <c r="BD512" t="str">
        <f t="shared" si="81"/>
        <v>0</v>
      </c>
      <c r="BK512" t="str">
        <f>IFERROR(VLOOKUP(B512,'[1]model_S-フレーム'!$F$5:$R$7000,13,1),"")</f>
        <v>E389568_01</v>
      </c>
      <c r="BL512" s="7">
        <f>IFERROR(VLOOKUP(B512,'[1]model_S-フレーム'!$F$5:$V$7000,17,1),"")</f>
        <v>0</v>
      </c>
      <c r="BM512" t="str" cm="1">
        <f t="array" ref="BM512">_xlfn.IFS(LEFT(G512,1)="L","外注品",LEFT(G512,1)="W","内製品",G512="","購買品")</f>
        <v>内製品</v>
      </c>
    </row>
    <row r="513" spans="1:65">
      <c r="A513" t="str">
        <f t="shared" si="73"/>
        <v>WG01</v>
      </c>
      <c r="B513" t="s">
        <v>623</v>
      </c>
      <c r="C513" t="s">
        <v>913</v>
      </c>
      <c r="D513" s="7"/>
      <c r="E513" s="7"/>
      <c r="G513" t="s">
        <v>1939</v>
      </c>
      <c r="H513" t="str" cm="1">
        <f t="array" ref="H513">IFERROR(_xlfn.IFS(B513="","",AND(B513="",G513=""),"",G513="","記載要"),"")</f>
        <v/>
      </c>
      <c r="K513" t="str">
        <f t="shared" si="74"/>
        <v>11WP01002752</v>
      </c>
      <c r="L513" s="3" t="str">
        <f t="shared" si="75"/>
        <v>2001/01/01</v>
      </c>
      <c r="M513" s="3" t="str">
        <f t="shared" si="76"/>
        <v>2199/12/31</v>
      </c>
      <c r="N513" t="str">
        <f t="shared" si="77"/>
        <v>11WP01002752</v>
      </c>
      <c r="O513">
        <v>15</v>
      </c>
      <c r="Q513" t="str" cm="1">
        <f t="array" ref="Q513">_xlfn.IFS(AND(C513="",G513=""),"",LEFT(G513,1)="L","記載要",LEFT(G513,1)="W","",AND(C513,G513=""),"記載要")</f>
        <v/>
      </c>
      <c r="R513" s="21" t="str">
        <f t="shared" si="82"/>
        <v/>
      </c>
      <c r="S513" s="21"/>
      <c r="Z513" s="8"/>
      <c r="AA513">
        <v>1</v>
      </c>
      <c r="AB513">
        <f t="shared" si="78"/>
        <v>0</v>
      </c>
      <c r="AC513">
        <v>1</v>
      </c>
      <c r="AF513">
        <v>1</v>
      </c>
      <c r="AG513" s="8"/>
      <c r="AH513" s="8"/>
      <c r="AK513" cm="1">
        <f t="array" ref="AK513">_xlfn.IFS(B513="","",LEFT(G513,1)="L",1,LEFT(G513,1)="W",1,AND(LEFT(B513,1)="H",G513=""),0)</f>
        <v>1</v>
      </c>
      <c r="AS513" t="str">
        <f t="shared" si="79"/>
        <v/>
      </c>
      <c r="AT513" t="s">
        <v>115</v>
      </c>
      <c r="AU513" t="str">
        <f t="shared" si="80"/>
        <v>0</v>
      </c>
      <c r="BD513" t="str">
        <f t="shared" si="81"/>
        <v>0</v>
      </c>
      <c r="BK513" t="str">
        <f>IFERROR(VLOOKUP(B513,'[1]model_S-フレーム'!$F$5:$R$7000,13,1),"")</f>
        <v>E389568_01</v>
      </c>
      <c r="BL513" s="7">
        <f>IFERROR(VLOOKUP(B513,'[1]model_S-フレーム'!$F$5:$V$7000,17,1),"")</f>
        <v>0</v>
      </c>
      <c r="BM513" t="str" cm="1">
        <f t="array" ref="BM513">_xlfn.IFS(LEFT(G513,1)="L","外注品",LEFT(G513,1)="W","内製品",G513="","購買品")</f>
        <v>内製品</v>
      </c>
    </row>
    <row r="514" spans="1:65">
      <c r="A514" t="str">
        <f t="shared" si="73"/>
        <v>WG01</v>
      </c>
      <c r="B514" t="s">
        <v>624</v>
      </c>
      <c r="C514" t="s">
        <v>913</v>
      </c>
      <c r="D514" s="7"/>
      <c r="E514" s="7"/>
      <c r="G514" t="s">
        <v>1939</v>
      </c>
      <c r="H514" t="str" cm="1">
        <f t="array" ref="H514">IFERROR(_xlfn.IFS(B514="","",AND(B514="",G514=""),"",G514="","記載要"),"")</f>
        <v/>
      </c>
      <c r="K514" t="str">
        <f t="shared" si="74"/>
        <v>11WP01002753</v>
      </c>
      <c r="L514" s="3" t="str">
        <f t="shared" si="75"/>
        <v>2001/01/01</v>
      </c>
      <c r="M514" s="3" t="str">
        <f t="shared" si="76"/>
        <v>2199/12/31</v>
      </c>
      <c r="N514" t="str">
        <f t="shared" si="77"/>
        <v>11WP01002753</v>
      </c>
      <c r="O514">
        <v>15</v>
      </c>
      <c r="Q514" t="str" cm="1">
        <f t="array" ref="Q514">_xlfn.IFS(AND(C514="",G514=""),"",LEFT(G514,1)="L","記載要",LEFT(G514,1)="W","",AND(C514,G514=""),"記載要")</f>
        <v/>
      </c>
      <c r="R514" s="21" t="str">
        <f t="shared" si="82"/>
        <v/>
      </c>
      <c r="S514" s="21"/>
      <c r="Z514" s="8"/>
      <c r="AA514">
        <v>1</v>
      </c>
      <c r="AB514">
        <f t="shared" si="78"/>
        <v>0</v>
      </c>
      <c r="AC514">
        <v>1</v>
      </c>
      <c r="AF514">
        <v>1</v>
      </c>
      <c r="AG514" s="8"/>
      <c r="AH514" s="8"/>
      <c r="AK514" cm="1">
        <f t="array" ref="AK514">_xlfn.IFS(B514="","",LEFT(G514,1)="L",1,LEFT(G514,1)="W",1,AND(LEFT(B514,1)="H",G514=""),0)</f>
        <v>1</v>
      </c>
      <c r="AS514" t="str">
        <f t="shared" si="79"/>
        <v/>
      </c>
      <c r="AT514" t="s">
        <v>115</v>
      </c>
      <c r="AU514" t="str">
        <f t="shared" si="80"/>
        <v>0</v>
      </c>
      <c r="BD514" t="str">
        <f t="shared" si="81"/>
        <v>0</v>
      </c>
      <c r="BK514" t="str">
        <f>IFERROR(VLOOKUP(B514,'[1]model_S-フレーム'!$F$5:$R$7000,13,1),"")</f>
        <v>E389568_01</v>
      </c>
      <c r="BL514" s="7">
        <f>IFERROR(VLOOKUP(B514,'[1]model_S-フレーム'!$F$5:$V$7000,17,1),"")</f>
        <v>0</v>
      </c>
      <c r="BM514" t="str" cm="1">
        <f t="array" ref="BM514">_xlfn.IFS(LEFT(G514,1)="L","外注品",LEFT(G514,1)="W","内製品",G514="","購買品")</f>
        <v>内製品</v>
      </c>
    </row>
    <row r="515" spans="1:65">
      <c r="A515" t="str">
        <f t="shared" ref="A515:A578" si="83">IF(B515="","","WG01")</f>
        <v>WG01</v>
      </c>
      <c r="B515" t="s">
        <v>625</v>
      </c>
      <c r="C515" t="s">
        <v>913</v>
      </c>
      <c r="D515" s="7"/>
      <c r="E515" s="7"/>
      <c r="G515" t="s">
        <v>1939</v>
      </c>
      <c r="H515" t="str" cm="1">
        <f t="array" ref="H515">IFERROR(_xlfn.IFS(B515="","",AND(B515="",G515=""),"",G515="","記載要"),"")</f>
        <v/>
      </c>
      <c r="K515" t="str">
        <f t="shared" ref="K515:K578" si="84">IF(G515="","","11"&amp;G515&amp;RIGHT(B515,5))</f>
        <v>11WP01002754</v>
      </c>
      <c r="L515" s="3" t="str">
        <f t="shared" ref="L515:L578" si="85">IF(B515="","","2001/01/01")</f>
        <v>2001/01/01</v>
      </c>
      <c r="M515" s="3" t="str">
        <f t="shared" ref="M515:M578" si="86">IF(C515="","","2199/12/31")</f>
        <v>2199/12/31</v>
      </c>
      <c r="N515" t="str">
        <f t="shared" ref="N515:N578" si="87">IF(LEFT(G515,1)="W",K515,"")</f>
        <v>11WP01002754</v>
      </c>
      <c r="O515">
        <v>15</v>
      </c>
      <c r="Q515" t="str" cm="1">
        <f t="array" ref="Q515">_xlfn.IFS(AND(C515="",G515=""),"",LEFT(G515,1)="L","記載要",LEFT(G515,1)="W","",AND(C515,G515=""),"記載要")</f>
        <v/>
      </c>
      <c r="R515" s="21" t="str">
        <f t="shared" si="82"/>
        <v/>
      </c>
      <c r="S515" s="21"/>
      <c r="Z515" s="8"/>
      <c r="AA515">
        <v>1</v>
      </c>
      <c r="AB515">
        <f t="shared" ref="AB515:AB578" si="88">IF(B515="","",0)</f>
        <v>0</v>
      </c>
      <c r="AC515">
        <v>1</v>
      </c>
      <c r="AF515">
        <v>1</v>
      </c>
      <c r="AG515" s="8"/>
      <c r="AH515" s="8"/>
      <c r="AK515" cm="1">
        <f t="array" ref="AK515">_xlfn.IFS(B515="","",LEFT(G515,1)="L",1,LEFT(G515,1)="W",1,AND(LEFT(B515,1)="H",G515=""),0)</f>
        <v>1</v>
      </c>
      <c r="AS515" t="str">
        <f t="shared" ref="AS515:AS578" si="89">IF(Q515="","",1)</f>
        <v/>
      </c>
      <c r="AT515" t="s">
        <v>115</v>
      </c>
      <c r="AU515" t="str">
        <f t="shared" ref="AU515:AU578" si="90">IF(B515="","","0")</f>
        <v>0</v>
      </c>
      <c r="BD515" t="str">
        <f t="shared" ref="BD515:BD578" si="91">IF(B515="","","0")</f>
        <v>0</v>
      </c>
      <c r="BK515" t="str">
        <f>IFERROR(VLOOKUP(B515,'[1]model_S-フレーム'!$F$5:$R$7000,13,1),"")</f>
        <v>E389568_01</v>
      </c>
      <c r="BL515" s="7">
        <f>IFERROR(VLOOKUP(B515,'[1]model_S-フレーム'!$F$5:$V$7000,17,1),"")</f>
        <v>0</v>
      </c>
      <c r="BM515" t="str" cm="1">
        <f t="array" ref="BM515">_xlfn.IFS(LEFT(G515,1)="L","外注品",LEFT(G515,1)="W","内製品",G515="","購買品")</f>
        <v>内製品</v>
      </c>
    </row>
    <row r="516" spans="1:65">
      <c r="A516" t="str">
        <f t="shared" si="83"/>
        <v>WG01</v>
      </c>
      <c r="B516" t="s">
        <v>626</v>
      </c>
      <c r="C516" t="s">
        <v>913</v>
      </c>
      <c r="D516" s="7"/>
      <c r="E516" s="7"/>
      <c r="G516" t="s">
        <v>1939</v>
      </c>
      <c r="H516" t="str" cm="1">
        <f t="array" ref="H516">IFERROR(_xlfn.IFS(B516="","",AND(B516="",G516=""),"",G516="","記載要"),"")</f>
        <v/>
      </c>
      <c r="K516" t="str">
        <f t="shared" si="84"/>
        <v>11WP01002755</v>
      </c>
      <c r="L516" s="3" t="str">
        <f t="shared" si="85"/>
        <v>2001/01/01</v>
      </c>
      <c r="M516" s="3" t="str">
        <f t="shared" si="86"/>
        <v>2199/12/31</v>
      </c>
      <c r="N516" t="str">
        <f t="shared" si="87"/>
        <v>11WP01002755</v>
      </c>
      <c r="O516">
        <v>15</v>
      </c>
      <c r="Q516" t="str" cm="1">
        <f t="array" ref="Q516">_xlfn.IFS(AND(C516="",G516=""),"",LEFT(G516,1)="L","記載要",LEFT(G516,1)="W","",AND(C516,G516=""),"記載要")</f>
        <v/>
      </c>
      <c r="R516" s="21" t="str">
        <f t="shared" ref="R516:R579" si="92">IF(H516="","","記載要")</f>
        <v/>
      </c>
      <c r="S516" s="21"/>
      <c r="Z516" s="8"/>
      <c r="AA516">
        <v>1</v>
      </c>
      <c r="AB516">
        <f t="shared" si="88"/>
        <v>0</v>
      </c>
      <c r="AC516">
        <v>1</v>
      </c>
      <c r="AF516">
        <v>1</v>
      </c>
      <c r="AG516" s="8"/>
      <c r="AH516" s="8"/>
      <c r="AK516" cm="1">
        <f t="array" ref="AK516">_xlfn.IFS(B516="","",LEFT(G516,1)="L",1,LEFT(G516,1)="W",1,AND(LEFT(B516,1)="H",G516=""),0)</f>
        <v>1</v>
      </c>
      <c r="AS516" t="str">
        <f t="shared" si="89"/>
        <v/>
      </c>
      <c r="AT516" t="s">
        <v>115</v>
      </c>
      <c r="AU516" t="str">
        <f t="shared" si="90"/>
        <v>0</v>
      </c>
      <c r="BD516" t="str">
        <f t="shared" si="91"/>
        <v>0</v>
      </c>
      <c r="BK516" t="str">
        <f>IFERROR(VLOOKUP(B516,'[1]model_S-フレーム'!$F$5:$R$7000,13,1),"")</f>
        <v>E389568_01</v>
      </c>
      <c r="BL516" s="7">
        <f>IFERROR(VLOOKUP(B516,'[1]model_S-フレーム'!$F$5:$V$7000,17,1),"")</f>
        <v>0</v>
      </c>
      <c r="BM516" t="str" cm="1">
        <f t="array" ref="BM516">_xlfn.IFS(LEFT(G516,1)="L","外注品",LEFT(G516,1)="W","内製品",G516="","購買品")</f>
        <v>内製品</v>
      </c>
    </row>
    <row r="517" spans="1:65">
      <c r="A517" t="str">
        <f t="shared" si="83"/>
        <v>WG01</v>
      </c>
      <c r="B517" t="s">
        <v>627</v>
      </c>
      <c r="C517" t="s">
        <v>913</v>
      </c>
      <c r="D517" s="7"/>
      <c r="E517" s="7"/>
      <c r="G517" t="s">
        <v>1939</v>
      </c>
      <c r="H517" t="str" cm="1">
        <f t="array" ref="H517">IFERROR(_xlfn.IFS(B517="","",AND(B517="",G517=""),"",G517="","記載要"),"")</f>
        <v/>
      </c>
      <c r="K517" t="str">
        <f t="shared" si="84"/>
        <v>11WP01002756</v>
      </c>
      <c r="L517" s="3" t="str">
        <f t="shared" si="85"/>
        <v>2001/01/01</v>
      </c>
      <c r="M517" s="3" t="str">
        <f t="shared" si="86"/>
        <v>2199/12/31</v>
      </c>
      <c r="N517" t="str">
        <f t="shared" si="87"/>
        <v>11WP01002756</v>
      </c>
      <c r="O517">
        <v>15</v>
      </c>
      <c r="Q517" t="str" cm="1">
        <f t="array" ref="Q517">_xlfn.IFS(AND(C517="",G517=""),"",LEFT(G517,1)="L","記載要",LEFT(G517,1)="W","",AND(C517,G517=""),"記載要")</f>
        <v/>
      </c>
      <c r="R517" s="21" t="str">
        <f t="shared" si="92"/>
        <v/>
      </c>
      <c r="S517" s="21"/>
      <c r="Z517" s="8"/>
      <c r="AA517">
        <v>1</v>
      </c>
      <c r="AB517">
        <f t="shared" si="88"/>
        <v>0</v>
      </c>
      <c r="AC517">
        <v>1</v>
      </c>
      <c r="AF517">
        <v>1</v>
      </c>
      <c r="AG517" s="8"/>
      <c r="AH517" s="8"/>
      <c r="AK517" cm="1">
        <f t="array" ref="AK517">_xlfn.IFS(B517="","",LEFT(G517,1)="L",1,LEFT(G517,1)="W",1,AND(LEFT(B517,1)="H",G517=""),0)</f>
        <v>1</v>
      </c>
      <c r="AS517" t="str">
        <f t="shared" si="89"/>
        <v/>
      </c>
      <c r="AT517" t="s">
        <v>115</v>
      </c>
      <c r="AU517" t="str">
        <f t="shared" si="90"/>
        <v>0</v>
      </c>
      <c r="BD517" t="str">
        <f t="shared" si="91"/>
        <v>0</v>
      </c>
      <c r="BK517" t="str">
        <f>IFERROR(VLOOKUP(B517,'[1]model_S-フレーム'!$F$5:$R$7000,13,1),"")</f>
        <v>E389568_01</v>
      </c>
      <c r="BL517" s="7">
        <f>IFERROR(VLOOKUP(B517,'[1]model_S-フレーム'!$F$5:$V$7000,17,1),"")</f>
        <v>0</v>
      </c>
      <c r="BM517" t="str" cm="1">
        <f t="array" ref="BM517">_xlfn.IFS(LEFT(G517,1)="L","外注品",LEFT(G517,1)="W","内製品",G517="","購買品")</f>
        <v>内製品</v>
      </c>
    </row>
    <row r="518" spans="1:65">
      <c r="A518" t="str">
        <f t="shared" si="83"/>
        <v>WG01</v>
      </c>
      <c r="B518" t="s">
        <v>628</v>
      </c>
      <c r="C518" t="s">
        <v>914</v>
      </c>
      <c r="D518" s="7"/>
      <c r="E518" s="7"/>
      <c r="G518" t="s">
        <v>1939</v>
      </c>
      <c r="H518" t="str" cm="1">
        <f t="array" ref="H518">IFERROR(_xlfn.IFS(B518="","",AND(B518="",G518=""),"",G518="","記載要"),"")</f>
        <v/>
      </c>
      <c r="K518" t="str">
        <f t="shared" si="84"/>
        <v>11WP01002757</v>
      </c>
      <c r="L518" s="3" t="str">
        <f t="shared" si="85"/>
        <v>2001/01/01</v>
      </c>
      <c r="M518" s="3" t="str">
        <f t="shared" si="86"/>
        <v>2199/12/31</v>
      </c>
      <c r="N518" t="str">
        <f t="shared" si="87"/>
        <v>11WP01002757</v>
      </c>
      <c r="O518">
        <v>15</v>
      </c>
      <c r="Q518" t="str" cm="1">
        <f t="array" ref="Q518">_xlfn.IFS(AND(C518="",G518=""),"",LEFT(G518,1)="L","記載要",LEFT(G518,1)="W","",AND(C518,G518=""),"記載要")</f>
        <v/>
      </c>
      <c r="R518" s="21" t="str">
        <f t="shared" si="92"/>
        <v/>
      </c>
      <c r="S518" s="21"/>
      <c r="Z518" s="8"/>
      <c r="AA518">
        <v>1</v>
      </c>
      <c r="AB518">
        <f t="shared" si="88"/>
        <v>0</v>
      </c>
      <c r="AC518">
        <v>1</v>
      </c>
      <c r="AF518">
        <v>1</v>
      </c>
      <c r="AG518" s="8"/>
      <c r="AH518" s="8"/>
      <c r="AK518" cm="1">
        <f t="array" ref="AK518">_xlfn.IFS(B518="","",LEFT(G518,1)="L",1,LEFT(G518,1)="W",1,AND(LEFT(B518,1)="H",G518=""),0)</f>
        <v>1</v>
      </c>
      <c r="AS518" t="str">
        <f t="shared" si="89"/>
        <v/>
      </c>
      <c r="AT518" t="s">
        <v>115</v>
      </c>
      <c r="AU518" t="str">
        <f t="shared" si="90"/>
        <v>0</v>
      </c>
      <c r="BD518" t="str">
        <f t="shared" si="91"/>
        <v>0</v>
      </c>
      <c r="BK518" t="str">
        <f>IFERROR(VLOOKUP(B518,'[1]model_S-フレーム'!$F$5:$R$7000,13,1),"")</f>
        <v>E389568_01</v>
      </c>
      <c r="BL518" s="7">
        <f>IFERROR(VLOOKUP(B518,'[1]model_S-フレーム'!$F$5:$V$7000,17,1),"")</f>
        <v>0</v>
      </c>
      <c r="BM518" t="str" cm="1">
        <f t="array" ref="BM518">_xlfn.IFS(LEFT(G518,1)="L","外注品",LEFT(G518,1)="W","内製品",G518="","購買品")</f>
        <v>内製品</v>
      </c>
    </row>
    <row r="519" spans="1:65">
      <c r="A519" t="str">
        <f t="shared" si="83"/>
        <v>WG01</v>
      </c>
      <c r="B519" t="s">
        <v>629</v>
      </c>
      <c r="C519" t="s">
        <v>914</v>
      </c>
      <c r="D519" s="7"/>
      <c r="E519" s="7"/>
      <c r="G519" t="s">
        <v>1939</v>
      </c>
      <c r="H519" t="str" cm="1">
        <f t="array" ref="H519">IFERROR(_xlfn.IFS(B519="","",AND(B519="",G519=""),"",G519="","記載要"),"")</f>
        <v/>
      </c>
      <c r="K519" t="str">
        <f t="shared" si="84"/>
        <v>11WP01002758</v>
      </c>
      <c r="L519" s="3" t="str">
        <f t="shared" si="85"/>
        <v>2001/01/01</v>
      </c>
      <c r="M519" s="3" t="str">
        <f t="shared" si="86"/>
        <v>2199/12/31</v>
      </c>
      <c r="N519" t="str">
        <f t="shared" si="87"/>
        <v>11WP01002758</v>
      </c>
      <c r="O519">
        <v>15</v>
      </c>
      <c r="Q519" t="str" cm="1">
        <f t="array" ref="Q519">_xlfn.IFS(AND(C519="",G519=""),"",LEFT(G519,1)="L","記載要",LEFT(G519,1)="W","",AND(C519,G519=""),"記載要")</f>
        <v/>
      </c>
      <c r="R519" s="21" t="str">
        <f t="shared" si="92"/>
        <v/>
      </c>
      <c r="S519" s="21"/>
      <c r="Z519" s="8"/>
      <c r="AA519">
        <v>1</v>
      </c>
      <c r="AB519">
        <f t="shared" si="88"/>
        <v>0</v>
      </c>
      <c r="AC519">
        <v>1</v>
      </c>
      <c r="AF519">
        <v>1</v>
      </c>
      <c r="AG519" s="8"/>
      <c r="AH519" s="8"/>
      <c r="AK519" cm="1">
        <f t="array" ref="AK519">_xlfn.IFS(B519="","",LEFT(G519,1)="L",1,LEFT(G519,1)="W",1,AND(LEFT(B519,1)="H",G519=""),0)</f>
        <v>1</v>
      </c>
      <c r="AS519" t="str">
        <f t="shared" si="89"/>
        <v/>
      </c>
      <c r="AT519" t="s">
        <v>115</v>
      </c>
      <c r="AU519" t="str">
        <f t="shared" si="90"/>
        <v>0</v>
      </c>
      <c r="BD519" t="str">
        <f t="shared" si="91"/>
        <v>0</v>
      </c>
      <c r="BK519" t="str">
        <f>IFERROR(VLOOKUP(B519,'[1]model_S-フレーム'!$F$5:$R$7000,13,1),"")</f>
        <v>E389568_01</v>
      </c>
      <c r="BL519" s="7">
        <f>IFERROR(VLOOKUP(B519,'[1]model_S-フレーム'!$F$5:$V$7000,17,1),"")</f>
        <v>0</v>
      </c>
      <c r="BM519" t="str" cm="1">
        <f t="array" ref="BM519">_xlfn.IFS(LEFT(G519,1)="L","外注品",LEFT(G519,1)="W","内製品",G519="","購買品")</f>
        <v>内製品</v>
      </c>
    </row>
    <row r="520" spans="1:65">
      <c r="A520" t="str">
        <f t="shared" si="83"/>
        <v>WG01</v>
      </c>
      <c r="B520" t="s">
        <v>630</v>
      </c>
      <c r="C520" t="s">
        <v>914</v>
      </c>
      <c r="D520" s="7"/>
      <c r="E520" s="7"/>
      <c r="G520" t="s">
        <v>1939</v>
      </c>
      <c r="H520" t="str" cm="1">
        <f t="array" ref="H520">IFERROR(_xlfn.IFS(B520="","",AND(B520="",G520=""),"",G520="","記載要"),"")</f>
        <v/>
      </c>
      <c r="K520" t="str">
        <f t="shared" si="84"/>
        <v>11WP01002759</v>
      </c>
      <c r="L520" s="3" t="str">
        <f t="shared" si="85"/>
        <v>2001/01/01</v>
      </c>
      <c r="M520" s="3" t="str">
        <f t="shared" si="86"/>
        <v>2199/12/31</v>
      </c>
      <c r="N520" t="str">
        <f t="shared" si="87"/>
        <v>11WP01002759</v>
      </c>
      <c r="O520">
        <v>15</v>
      </c>
      <c r="Q520" t="str" cm="1">
        <f t="array" ref="Q520">_xlfn.IFS(AND(C520="",G520=""),"",LEFT(G520,1)="L","記載要",LEFT(G520,1)="W","",AND(C520,G520=""),"記載要")</f>
        <v/>
      </c>
      <c r="R520" s="21" t="str">
        <f t="shared" si="92"/>
        <v/>
      </c>
      <c r="S520" s="21"/>
      <c r="Z520" s="8"/>
      <c r="AA520">
        <v>1</v>
      </c>
      <c r="AB520">
        <f t="shared" si="88"/>
        <v>0</v>
      </c>
      <c r="AC520">
        <v>1</v>
      </c>
      <c r="AF520">
        <v>1</v>
      </c>
      <c r="AG520" s="8"/>
      <c r="AH520" s="8"/>
      <c r="AK520" cm="1">
        <f t="array" ref="AK520">_xlfn.IFS(B520="","",LEFT(G520,1)="L",1,LEFT(G520,1)="W",1,AND(LEFT(B520,1)="H",G520=""),0)</f>
        <v>1</v>
      </c>
      <c r="AS520" t="str">
        <f t="shared" si="89"/>
        <v/>
      </c>
      <c r="AT520" t="s">
        <v>115</v>
      </c>
      <c r="AU520" t="str">
        <f t="shared" si="90"/>
        <v>0</v>
      </c>
      <c r="BD520" t="str">
        <f t="shared" si="91"/>
        <v>0</v>
      </c>
      <c r="BK520" t="str">
        <f>IFERROR(VLOOKUP(B520,'[1]model_S-フレーム'!$F$5:$R$7000,13,1),"")</f>
        <v>E389568_01</v>
      </c>
      <c r="BL520" s="7">
        <f>IFERROR(VLOOKUP(B520,'[1]model_S-フレーム'!$F$5:$V$7000,17,1),"")</f>
        <v>0</v>
      </c>
      <c r="BM520" t="str" cm="1">
        <f t="array" ref="BM520">_xlfn.IFS(LEFT(G520,1)="L","外注品",LEFT(G520,1)="W","内製品",G520="","購買品")</f>
        <v>内製品</v>
      </c>
    </row>
    <row r="521" spans="1:65">
      <c r="A521" t="str">
        <f t="shared" si="83"/>
        <v>WG01</v>
      </c>
      <c r="B521" t="s">
        <v>631</v>
      </c>
      <c r="C521" t="s">
        <v>914</v>
      </c>
      <c r="D521" s="7"/>
      <c r="E521" s="7"/>
      <c r="G521" t="s">
        <v>1939</v>
      </c>
      <c r="H521" t="str" cm="1">
        <f t="array" ref="H521">IFERROR(_xlfn.IFS(B521="","",AND(B521="",G521=""),"",G521="","記載要"),"")</f>
        <v/>
      </c>
      <c r="K521" t="str">
        <f t="shared" si="84"/>
        <v>11WP01002760</v>
      </c>
      <c r="L521" s="3" t="str">
        <f t="shared" si="85"/>
        <v>2001/01/01</v>
      </c>
      <c r="M521" s="3" t="str">
        <f t="shared" si="86"/>
        <v>2199/12/31</v>
      </c>
      <c r="N521" t="str">
        <f t="shared" si="87"/>
        <v>11WP01002760</v>
      </c>
      <c r="O521">
        <v>15</v>
      </c>
      <c r="Q521" t="str" cm="1">
        <f t="array" ref="Q521">_xlfn.IFS(AND(C521="",G521=""),"",LEFT(G521,1)="L","記載要",LEFT(G521,1)="W","",AND(C521,G521=""),"記載要")</f>
        <v/>
      </c>
      <c r="R521" s="21" t="str">
        <f t="shared" si="92"/>
        <v/>
      </c>
      <c r="S521" s="21"/>
      <c r="Z521" s="8"/>
      <c r="AA521">
        <v>1</v>
      </c>
      <c r="AB521">
        <f t="shared" si="88"/>
        <v>0</v>
      </c>
      <c r="AC521">
        <v>1</v>
      </c>
      <c r="AF521">
        <v>1</v>
      </c>
      <c r="AG521" s="8"/>
      <c r="AH521" s="8"/>
      <c r="AK521" cm="1">
        <f t="array" ref="AK521">_xlfn.IFS(B521="","",LEFT(G521,1)="L",1,LEFT(G521,1)="W",1,AND(LEFT(B521,1)="H",G521=""),0)</f>
        <v>1</v>
      </c>
      <c r="AS521" t="str">
        <f t="shared" si="89"/>
        <v/>
      </c>
      <c r="AT521" t="s">
        <v>115</v>
      </c>
      <c r="AU521" t="str">
        <f t="shared" si="90"/>
        <v>0</v>
      </c>
      <c r="BD521" t="str">
        <f t="shared" si="91"/>
        <v>0</v>
      </c>
      <c r="BK521" t="str">
        <f>IFERROR(VLOOKUP(B521,'[1]model_S-フレーム'!$F$5:$R$7000,13,1),"")</f>
        <v>E389568_01</v>
      </c>
      <c r="BL521" s="7">
        <f>IFERROR(VLOOKUP(B521,'[1]model_S-フレーム'!$F$5:$V$7000,17,1),"")</f>
        <v>0</v>
      </c>
      <c r="BM521" t="str" cm="1">
        <f t="array" ref="BM521">_xlfn.IFS(LEFT(G521,1)="L","外注品",LEFT(G521,1)="W","内製品",G521="","購買品")</f>
        <v>内製品</v>
      </c>
    </row>
    <row r="522" spans="1:65">
      <c r="A522" t="str">
        <f t="shared" si="83"/>
        <v>WG01</v>
      </c>
      <c r="B522" t="s">
        <v>632</v>
      </c>
      <c r="C522" t="s">
        <v>914</v>
      </c>
      <c r="D522" s="7"/>
      <c r="E522" s="7"/>
      <c r="G522" t="s">
        <v>1939</v>
      </c>
      <c r="H522" t="str" cm="1">
        <f t="array" ref="H522">IFERROR(_xlfn.IFS(B522="","",AND(B522="",G522=""),"",G522="","記載要"),"")</f>
        <v/>
      </c>
      <c r="K522" t="str">
        <f t="shared" si="84"/>
        <v>11WP01002761</v>
      </c>
      <c r="L522" s="3" t="str">
        <f t="shared" si="85"/>
        <v>2001/01/01</v>
      </c>
      <c r="M522" s="3" t="str">
        <f t="shared" si="86"/>
        <v>2199/12/31</v>
      </c>
      <c r="N522" t="str">
        <f t="shared" si="87"/>
        <v>11WP01002761</v>
      </c>
      <c r="O522">
        <v>15</v>
      </c>
      <c r="Q522" t="str" cm="1">
        <f t="array" ref="Q522">_xlfn.IFS(AND(C522="",G522=""),"",LEFT(G522,1)="L","記載要",LEFT(G522,1)="W","",AND(C522,G522=""),"記載要")</f>
        <v/>
      </c>
      <c r="R522" s="21" t="str">
        <f t="shared" si="92"/>
        <v/>
      </c>
      <c r="S522" s="21"/>
      <c r="Z522" s="8"/>
      <c r="AA522">
        <v>1</v>
      </c>
      <c r="AB522">
        <f t="shared" si="88"/>
        <v>0</v>
      </c>
      <c r="AC522">
        <v>1</v>
      </c>
      <c r="AF522">
        <v>1</v>
      </c>
      <c r="AG522" s="8"/>
      <c r="AH522" s="8"/>
      <c r="AK522" cm="1">
        <f t="array" ref="AK522">_xlfn.IFS(B522="","",LEFT(G522,1)="L",1,LEFT(G522,1)="W",1,AND(LEFT(B522,1)="H",G522=""),0)</f>
        <v>1</v>
      </c>
      <c r="AS522" t="str">
        <f t="shared" si="89"/>
        <v/>
      </c>
      <c r="AT522" t="s">
        <v>115</v>
      </c>
      <c r="AU522" t="str">
        <f t="shared" si="90"/>
        <v>0</v>
      </c>
      <c r="BD522" t="str">
        <f t="shared" si="91"/>
        <v>0</v>
      </c>
      <c r="BK522" t="str">
        <f>IFERROR(VLOOKUP(B522,'[1]model_S-フレーム'!$F$5:$R$7000,13,1),"")</f>
        <v>E389568_01</v>
      </c>
      <c r="BL522" s="7">
        <f>IFERROR(VLOOKUP(B522,'[1]model_S-フレーム'!$F$5:$V$7000,17,1),"")</f>
        <v>0</v>
      </c>
      <c r="BM522" t="str" cm="1">
        <f t="array" ref="BM522">_xlfn.IFS(LEFT(G522,1)="L","外注品",LEFT(G522,1)="W","内製品",G522="","購買品")</f>
        <v>内製品</v>
      </c>
    </row>
    <row r="523" spans="1:65">
      <c r="A523" t="str">
        <f t="shared" si="83"/>
        <v>WG01</v>
      </c>
      <c r="B523" t="s">
        <v>633</v>
      </c>
      <c r="C523" t="s">
        <v>914</v>
      </c>
      <c r="D523" s="7"/>
      <c r="E523" s="7"/>
      <c r="G523" t="s">
        <v>1939</v>
      </c>
      <c r="H523" t="str" cm="1">
        <f t="array" ref="H523">IFERROR(_xlfn.IFS(B523="","",AND(B523="",G523=""),"",G523="","記載要"),"")</f>
        <v/>
      </c>
      <c r="K523" t="str">
        <f t="shared" si="84"/>
        <v>11WP01002762</v>
      </c>
      <c r="L523" s="3" t="str">
        <f t="shared" si="85"/>
        <v>2001/01/01</v>
      </c>
      <c r="M523" s="3" t="str">
        <f t="shared" si="86"/>
        <v>2199/12/31</v>
      </c>
      <c r="N523" t="str">
        <f t="shared" si="87"/>
        <v>11WP01002762</v>
      </c>
      <c r="O523">
        <v>15</v>
      </c>
      <c r="Q523" t="str" cm="1">
        <f t="array" ref="Q523">_xlfn.IFS(AND(C523="",G523=""),"",LEFT(G523,1)="L","記載要",LEFT(G523,1)="W","",AND(C523,G523=""),"記載要")</f>
        <v/>
      </c>
      <c r="R523" s="21" t="str">
        <f t="shared" si="92"/>
        <v/>
      </c>
      <c r="S523" s="21"/>
      <c r="Z523" s="8"/>
      <c r="AA523">
        <v>1</v>
      </c>
      <c r="AB523">
        <f t="shared" si="88"/>
        <v>0</v>
      </c>
      <c r="AC523">
        <v>1</v>
      </c>
      <c r="AF523">
        <v>1</v>
      </c>
      <c r="AG523" s="8"/>
      <c r="AH523" s="8"/>
      <c r="AK523" cm="1">
        <f t="array" ref="AK523">_xlfn.IFS(B523="","",LEFT(G523,1)="L",1,LEFT(G523,1)="W",1,AND(LEFT(B523,1)="H",G523=""),0)</f>
        <v>1</v>
      </c>
      <c r="AS523" t="str">
        <f t="shared" si="89"/>
        <v/>
      </c>
      <c r="AT523" t="s">
        <v>115</v>
      </c>
      <c r="AU523" t="str">
        <f t="shared" si="90"/>
        <v>0</v>
      </c>
      <c r="BD523" t="str">
        <f t="shared" si="91"/>
        <v>0</v>
      </c>
      <c r="BK523" t="str">
        <f>IFERROR(VLOOKUP(B523,'[1]model_S-フレーム'!$F$5:$R$7000,13,1),"")</f>
        <v>E389568_01</v>
      </c>
      <c r="BL523" s="7">
        <f>IFERROR(VLOOKUP(B523,'[1]model_S-フレーム'!$F$5:$V$7000,17,1),"")</f>
        <v>0</v>
      </c>
      <c r="BM523" t="str" cm="1">
        <f t="array" ref="BM523">_xlfn.IFS(LEFT(G523,1)="L","外注品",LEFT(G523,1)="W","内製品",G523="","購買品")</f>
        <v>内製品</v>
      </c>
    </row>
    <row r="524" spans="1:65">
      <c r="A524" t="str">
        <f t="shared" si="83"/>
        <v>WG01</v>
      </c>
      <c r="B524" t="s">
        <v>634</v>
      </c>
      <c r="C524" t="s">
        <v>914</v>
      </c>
      <c r="D524" s="7"/>
      <c r="E524" s="7"/>
      <c r="G524" t="s">
        <v>1939</v>
      </c>
      <c r="H524" t="str" cm="1">
        <f t="array" ref="H524">IFERROR(_xlfn.IFS(B524="","",AND(B524="",G524=""),"",G524="","記載要"),"")</f>
        <v/>
      </c>
      <c r="K524" t="str">
        <f t="shared" si="84"/>
        <v>11WP01002763</v>
      </c>
      <c r="L524" s="3" t="str">
        <f t="shared" si="85"/>
        <v>2001/01/01</v>
      </c>
      <c r="M524" s="3" t="str">
        <f t="shared" si="86"/>
        <v>2199/12/31</v>
      </c>
      <c r="N524" t="str">
        <f t="shared" si="87"/>
        <v>11WP01002763</v>
      </c>
      <c r="O524">
        <v>15</v>
      </c>
      <c r="Q524" t="str" cm="1">
        <f t="array" ref="Q524">_xlfn.IFS(AND(C524="",G524=""),"",LEFT(G524,1)="L","記載要",LEFT(G524,1)="W","",AND(C524,G524=""),"記載要")</f>
        <v/>
      </c>
      <c r="R524" s="21" t="str">
        <f t="shared" si="92"/>
        <v/>
      </c>
      <c r="S524" s="21"/>
      <c r="Z524" s="8"/>
      <c r="AA524">
        <v>1</v>
      </c>
      <c r="AB524">
        <f t="shared" si="88"/>
        <v>0</v>
      </c>
      <c r="AC524">
        <v>1</v>
      </c>
      <c r="AF524">
        <v>1</v>
      </c>
      <c r="AG524" s="8"/>
      <c r="AH524" s="8"/>
      <c r="AK524" cm="1">
        <f t="array" ref="AK524">_xlfn.IFS(B524="","",LEFT(G524,1)="L",1,LEFT(G524,1)="W",1,AND(LEFT(B524,1)="H",G524=""),0)</f>
        <v>1</v>
      </c>
      <c r="AS524" t="str">
        <f t="shared" si="89"/>
        <v/>
      </c>
      <c r="AT524" t="s">
        <v>115</v>
      </c>
      <c r="AU524" t="str">
        <f t="shared" si="90"/>
        <v>0</v>
      </c>
      <c r="BD524" t="str">
        <f t="shared" si="91"/>
        <v>0</v>
      </c>
      <c r="BK524" t="str">
        <f>IFERROR(VLOOKUP(B524,'[1]model_S-フレーム'!$F$5:$R$7000,13,1),"")</f>
        <v>E389568_01</v>
      </c>
      <c r="BL524" s="7">
        <f>IFERROR(VLOOKUP(B524,'[1]model_S-フレーム'!$F$5:$V$7000,17,1),"")</f>
        <v>0</v>
      </c>
      <c r="BM524" t="str" cm="1">
        <f t="array" ref="BM524">_xlfn.IFS(LEFT(G524,1)="L","外注品",LEFT(G524,1)="W","内製品",G524="","購買品")</f>
        <v>内製品</v>
      </c>
    </row>
    <row r="525" spans="1:65">
      <c r="A525" t="str">
        <f t="shared" si="83"/>
        <v>WG01</v>
      </c>
      <c r="B525" t="s">
        <v>635</v>
      </c>
      <c r="C525" t="s">
        <v>914</v>
      </c>
      <c r="D525" s="7"/>
      <c r="E525" s="7"/>
      <c r="G525" t="s">
        <v>1939</v>
      </c>
      <c r="H525" t="str" cm="1">
        <f t="array" ref="H525">IFERROR(_xlfn.IFS(B525="","",AND(B525="",G525=""),"",G525="","記載要"),"")</f>
        <v/>
      </c>
      <c r="K525" t="str">
        <f t="shared" si="84"/>
        <v>11WP01002764</v>
      </c>
      <c r="L525" s="3" t="str">
        <f t="shared" si="85"/>
        <v>2001/01/01</v>
      </c>
      <c r="M525" s="3" t="str">
        <f t="shared" si="86"/>
        <v>2199/12/31</v>
      </c>
      <c r="N525" t="str">
        <f t="shared" si="87"/>
        <v>11WP01002764</v>
      </c>
      <c r="O525">
        <v>15</v>
      </c>
      <c r="Q525" t="str" cm="1">
        <f t="array" ref="Q525">_xlfn.IFS(AND(C525="",G525=""),"",LEFT(G525,1)="L","記載要",LEFT(G525,1)="W","",AND(C525,G525=""),"記載要")</f>
        <v/>
      </c>
      <c r="R525" s="21" t="str">
        <f t="shared" si="92"/>
        <v/>
      </c>
      <c r="S525" s="21"/>
      <c r="Z525" s="8"/>
      <c r="AA525">
        <v>1</v>
      </c>
      <c r="AB525">
        <f t="shared" si="88"/>
        <v>0</v>
      </c>
      <c r="AC525">
        <v>1</v>
      </c>
      <c r="AF525">
        <v>1</v>
      </c>
      <c r="AG525" s="8"/>
      <c r="AH525" s="8"/>
      <c r="AK525" cm="1">
        <f t="array" ref="AK525">_xlfn.IFS(B525="","",LEFT(G525,1)="L",1,LEFT(G525,1)="W",1,AND(LEFT(B525,1)="H",G525=""),0)</f>
        <v>1</v>
      </c>
      <c r="AS525" t="str">
        <f t="shared" si="89"/>
        <v/>
      </c>
      <c r="AT525" t="s">
        <v>115</v>
      </c>
      <c r="AU525" t="str">
        <f t="shared" si="90"/>
        <v>0</v>
      </c>
      <c r="BD525" t="str">
        <f t="shared" si="91"/>
        <v>0</v>
      </c>
      <c r="BK525" t="str">
        <f>IFERROR(VLOOKUP(B525,'[1]model_S-フレーム'!$F$5:$R$7000,13,1),"")</f>
        <v>E389568_01</v>
      </c>
      <c r="BL525" s="7">
        <f>IFERROR(VLOOKUP(B525,'[1]model_S-フレーム'!$F$5:$V$7000,17,1),"")</f>
        <v>0</v>
      </c>
      <c r="BM525" t="str" cm="1">
        <f t="array" ref="BM525">_xlfn.IFS(LEFT(G525,1)="L","外注品",LEFT(G525,1)="W","内製品",G525="","購買品")</f>
        <v>内製品</v>
      </c>
    </row>
    <row r="526" spans="1:65">
      <c r="A526" t="str">
        <f t="shared" si="83"/>
        <v>WG01</v>
      </c>
      <c r="B526" t="s">
        <v>636</v>
      </c>
      <c r="C526" t="s">
        <v>914</v>
      </c>
      <c r="D526" s="7"/>
      <c r="E526" s="7"/>
      <c r="G526" t="s">
        <v>1939</v>
      </c>
      <c r="H526" t="str" cm="1">
        <f t="array" ref="H526">IFERROR(_xlfn.IFS(B526="","",AND(B526="",G526=""),"",G526="","記載要"),"")</f>
        <v/>
      </c>
      <c r="K526" t="str">
        <f t="shared" si="84"/>
        <v>11WP01002765</v>
      </c>
      <c r="L526" s="3" t="str">
        <f t="shared" si="85"/>
        <v>2001/01/01</v>
      </c>
      <c r="M526" s="3" t="str">
        <f t="shared" si="86"/>
        <v>2199/12/31</v>
      </c>
      <c r="N526" t="str">
        <f t="shared" si="87"/>
        <v>11WP01002765</v>
      </c>
      <c r="O526">
        <v>15</v>
      </c>
      <c r="Q526" t="str" cm="1">
        <f t="array" ref="Q526">_xlfn.IFS(AND(C526="",G526=""),"",LEFT(G526,1)="L","記載要",LEFT(G526,1)="W","",AND(C526,G526=""),"記載要")</f>
        <v/>
      </c>
      <c r="R526" s="21" t="str">
        <f t="shared" si="92"/>
        <v/>
      </c>
      <c r="S526" s="21"/>
      <c r="Z526" s="8"/>
      <c r="AA526">
        <v>1</v>
      </c>
      <c r="AB526">
        <f t="shared" si="88"/>
        <v>0</v>
      </c>
      <c r="AC526">
        <v>1</v>
      </c>
      <c r="AF526">
        <v>1</v>
      </c>
      <c r="AG526" s="8"/>
      <c r="AH526" s="8"/>
      <c r="AK526" cm="1">
        <f t="array" ref="AK526">_xlfn.IFS(B526="","",LEFT(G526,1)="L",1,LEFT(G526,1)="W",1,AND(LEFT(B526,1)="H",G526=""),0)</f>
        <v>1</v>
      </c>
      <c r="AS526" t="str">
        <f t="shared" si="89"/>
        <v/>
      </c>
      <c r="AT526" t="s">
        <v>115</v>
      </c>
      <c r="AU526" t="str">
        <f t="shared" si="90"/>
        <v>0</v>
      </c>
      <c r="BD526" t="str">
        <f t="shared" si="91"/>
        <v>0</v>
      </c>
      <c r="BK526" t="str">
        <f>IFERROR(VLOOKUP(B526,'[1]model_S-フレーム'!$F$5:$R$7000,13,1),"")</f>
        <v>E389568_01</v>
      </c>
      <c r="BL526" s="7">
        <f>IFERROR(VLOOKUP(B526,'[1]model_S-フレーム'!$F$5:$V$7000,17,1),"")</f>
        <v>0</v>
      </c>
      <c r="BM526" t="str" cm="1">
        <f t="array" ref="BM526">_xlfn.IFS(LEFT(G526,1)="L","外注品",LEFT(G526,1)="W","内製品",G526="","購買品")</f>
        <v>内製品</v>
      </c>
    </row>
    <row r="527" spans="1:65">
      <c r="A527" t="str">
        <f t="shared" si="83"/>
        <v>WG01</v>
      </c>
      <c r="B527" t="s">
        <v>637</v>
      </c>
      <c r="C527" t="s">
        <v>915</v>
      </c>
      <c r="D527" s="7"/>
      <c r="E527" s="7"/>
      <c r="G527" t="s">
        <v>1939</v>
      </c>
      <c r="H527" t="str" cm="1">
        <f t="array" ref="H527">IFERROR(_xlfn.IFS(B527="","",AND(B527="",G527=""),"",G527="","記載要"),"")</f>
        <v/>
      </c>
      <c r="K527" t="str">
        <f t="shared" si="84"/>
        <v>11WP01002766</v>
      </c>
      <c r="L527" s="3" t="str">
        <f t="shared" si="85"/>
        <v>2001/01/01</v>
      </c>
      <c r="M527" s="3" t="str">
        <f t="shared" si="86"/>
        <v>2199/12/31</v>
      </c>
      <c r="N527" t="str">
        <f t="shared" si="87"/>
        <v>11WP01002766</v>
      </c>
      <c r="O527">
        <v>15</v>
      </c>
      <c r="Q527" t="str" cm="1">
        <f t="array" ref="Q527">_xlfn.IFS(AND(C527="",G527=""),"",LEFT(G527,1)="L","記載要",LEFT(G527,1)="W","",AND(C527,G527=""),"記載要")</f>
        <v/>
      </c>
      <c r="R527" s="21" t="str">
        <f t="shared" si="92"/>
        <v/>
      </c>
      <c r="S527" s="21"/>
      <c r="Z527" s="8"/>
      <c r="AA527">
        <v>1</v>
      </c>
      <c r="AB527">
        <f t="shared" si="88"/>
        <v>0</v>
      </c>
      <c r="AC527">
        <v>1</v>
      </c>
      <c r="AF527">
        <v>1</v>
      </c>
      <c r="AG527" s="8"/>
      <c r="AH527" s="8"/>
      <c r="AK527" cm="1">
        <f t="array" ref="AK527">_xlfn.IFS(B527="","",LEFT(G527,1)="L",1,LEFT(G527,1)="W",1,AND(LEFT(B527,1)="H",G527=""),0)</f>
        <v>1</v>
      </c>
      <c r="AS527" t="str">
        <f t="shared" si="89"/>
        <v/>
      </c>
      <c r="AT527" t="s">
        <v>115</v>
      </c>
      <c r="AU527" t="str">
        <f t="shared" si="90"/>
        <v>0</v>
      </c>
      <c r="BD527" t="str">
        <f t="shared" si="91"/>
        <v>0</v>
      </c>
      <c r="BK527" t="str">
        <f>IFERROR(VLOOKUP(B527,'[1]model_S-フレーム'!$F$5:$R$7000,13,1),"")</f>
        <v>E389568_01</v>
      </c>
      <c r="BL527" s="7">
        <f>IFERROR(VLOOKUP(B527,'[1]model_S-フレーム'!$F$5:$V$7000,17,1),"")</f>
        <v>0</v>
      </c>
      <c r="BM527" t="str" cm="1">
        <f t="array" ref="BM527">_xlfn.IFS(LEFT(G527,1)="L","外注品",LEFT(G527,1)="W","内製品",G527="","購買品")</f>
        <v>内製品</v>
      </c>
    </row>
    <row r="528" spans="1:65">
      <c r="A528" t="str">
        <f t="shared" si="83"/>
        <v>WG01</v>
      </c>
      <c r="B528" t="s">
        <v>638</v>
      </c>
      <c r="C528" t="s">
        <v>915</v>
      </c>
      <c r="D528" s="7"/>
      <c r="E528" s="7"/>
      <c r="G528" t="s">
        <v>1939</v>
      </c>
      <c r="H528" t="str" cm="1">
        <f t="array" ref="H528">IFERROR(_xlfn.IFS(B528="","",AND(B528="",G528=""),"",G528="","記載要"),"")</f>
        <v/>
      </c>
      <c r="K528" t="str">
        <f t="shared" si="84"/>
        <v>11WP01002767</v>
      </c>
      <c r="L528" s="3" t="str">
        <f t="shared" si="85"/>
        <v>2001/01/01</v>
      </c>
      <c r="M528" s="3" t="str">
        <f t="shared" si="86"/>
        <v>2199/12/31</v>
      </c>
      <c r="N528" t="str">
        <f t="shared" si="87"/>
        <v>11WP01002767</v>
      </c>
      <c r="O528">
        <v>15</v>
      </c>
      <c r="Q528" t="str" cm="1">
        <f t="array" ref="Q528">_xlfn.IFS(AND(C528="",G528=""),"",LEFT(G528,1)="L","記載要",LEFT(G528,1)="W","",AND(C528,G528=""),"記載要")</f>
        <v/>
      </c>
      <c r="R528" s="21" t="str">
        <f t="shared" si="92"/>
        <v/>
      </c>
      <c r="S528" s="21"/>
      <c r="Z528" s="8"/>
      <c r="AA528">
        <v>1</v>
      </c>
      <c r="AB528">
        <f t="shared" si="88"/>
        <v>0</v>
      </c>
      <c r="AC528">
        <v>1</v>
      </c>
      <c r="AF528">
        <v>1</v>
      </c>
      <c r="AG528" s="8"/>
      <c r="AH528" s="8"/>
      <c r="AK528" cm="1">
        <f t="array" ref="AK528">_xlfn.IFS(B528="","",LEFT(G528,1)="L",1,LEFT(G528,1)="W",1,AND(LEFT(B528,1)="H",G528=""),0)</f>
        <v>1</v>
      </c>
      <c r="AS528" t="str">
        <f t="shared" si="89"/>
        <v/>
      </c>
      <c r="AT528" t="s">
        <v>115</v>
      </c>
      <c r="AU528" t="str">
        <f t="shared" si="90"/>
        <v>0</v>
      </c>
      <c r="BD528" t="str">
        <f t="shared" si="91"/>
        <v>0</v>
      </c>
      <c r="BK528" t="str">
        <f>IFERROR(VLOOKUP(B528,'[1]model_S-フレーム'!$F$5:$R$7000,13,1),"")</f>
        <v>E389568_01</v>
      </c>
      <c r="BL528" s="7">
        <f>IFERROR(VLOOKUP(B528,'[1]model_S-フレーム'!$F$5:$V$7000,17,1),"")</f>
        <v>0</v>
      </c>
      <c r="BM528" t="str" cm="1">
        <f t="array" ref="BM528">_xlfn.IFS(LEFT(G528,1)="L","外注品",LEFT(G528,1)="W","内製品",G528="","購買品")</f>
        <v>内製品</v>
      </c>
    </row>
    <row r="529" spans="1:65">
      <c r="A529" t="str">
        <f t="shared" si="83"/>
        <v>WG01</v>
      </c>
      <c r="B529" t="s">
        <v>639</v>
      </c>
      <c r="C529" t="s">
        <v>915</v>
      </c>
      <c r="D529" s="7"/>
      <c r="E529" s="7"/>
      <c r="G529" t="s">
        <v>1939</v>
      </c>
      <c r="H529" t="str" cm="1">
        <f t="array" ref="H529">IFERROR(_xlfn.IFS(B529="","",AND(B529="",G529=""),"",G529="","記載要"),"")</f>
        <v/>
      </c>
      <c r="K529" t="str">
        <f t="shared" si="84"/>
        <v>11WP01002768</v>
      </c>
      <c r="L529" s="3" t="str">
        <f t="shared" si="85"/>
        <v>2001/01/01</v>
      </c>
      <c r="M529" s="3" t="str">
        <f t="shared" si="86"/>
        <v>2199/12/31</v>
      </c>
      <c r="N529" t="str">
        <f t="shared" si="87"/>
        <v>11WP01002768</v>
      </c>
      <c r="O529">
        <v>15</v>
      </c>
      <c r="Q529" t="str" cm="1">
        <f t="array" ref="Q529">_xlfn.IFS(AND(C529="",G529=""),"",LEFT(G529,1)="L","記載要",LEFT(G529,1)="W","",AND(C529,G529=""),"記載要")</f>
        <v/>
      </c>
      <c r="R529" s="21" t="str">
        <f t="shared" si="92"/>
        <v/>
      </c>
      <c r="S529" s="21"/>
      <c r="Z529" s="8"/>
      <c r="AA529">
        <v>1</v>
      </c>
      <c r="AB529">
        <f t="shared" si="88"/>
        <v>0</v>
      </c>
      <c r="AC529">
        <v>1</v>
      </c>
      <c r="AF529">
        <v>1</v>
      </c>
      <c r="AG529" s="8"/>
      <c r="AH529" s="8"/>
      <c r="AK529" cm="1">
        <f t="array" ref="AK529">_xlfn.IFS(B529="","",LEFT(G529,1)="L",1,LEFT(G529,1)="W",1,AND(LEFT(B529,1)="H",G529=""),0)</f>
        <v>1</v>
      </c>
      <c r="AS529" t="str">
        <f t="shared" si="89"/>
        <v/>
      </c>
      <c r="AT529" t="s">
        <v>115</v>
      </c>
      <c r="AU529" t="str">
        <f t="shared" si="90"/>
        <v>0</v>
      </c>
      <c r="BD529" t="str">
        <f t="shared" si="91"/>
        <v>0</v>
      </c>
      <c r="BK529" t="str">
        <f>IFERROR(VLOOKUP(B529,'[1]model_S-フレーム'!$F$5:$R$7000,13,1),"")</f>
        <v>E389568_01</v>
      </c>
      <c r="BL529" s="7">
        <f>IFERROR(VLOOKUP(B529,'[1]model_S-フレーム'!$F$5:$V$7000,17,1),"")</f>
        <v>0</v>
      </c>
      <c r="BM529" t="str" cm="1">
        <f t="array" ref="BM529">_xlfn.IFS(LEFT(G529,1)="L","外注品",LEFT(G529,1)="W","内製品",G529="","購買品")</f>
        <v>内製品</v>
      </c>
    </row>
    <row r="530" spans="1:65">
      <c r="A530" t="str">
        <f t="shared" si="83"/>
        <v>WG01</v>
      </c>
      <c r="B530" t="s">
        <v>640</v>
      </c>
      <c r="C530" t="s">
        <v>915</v>
      </c>
      <c r="D530" s="7"/>
      <c r="E530" s="7"/>
      <c r="G530" t="s">
        <v>1939</v>
      </c>
      <c r="H530" t="str" cm="1">
        <f t="array" ref="H530">IFERROR(_xlfn.IFS(B530="","",AND(B530="",G530=""),"",G530="","記載要"),"")</f>
        <v/>
      </c>
      <c r="K530" t="str">
        <f t="shared" si="84"/>
        <v>11WP01002769</v>
      </c>
      <c r="L530" s="3" t="str">
        <f t="shared" si="85"/>
        <v>2001/01/01</v>
      </c>
      <c r="M530" s="3" t="str">
        <f t="shared" si="86"/>
        <v>2199/12/31</v>
      </c>
      <c r="N530" t="str">
        <f t="shared" si="87"/>
        <v>11WP01002769</v>
      </c>
      <c r="O530">
        <v>15</v>
      </c>
      <c r="Q530" t="str" cm="1">
        <f t="array" ref="Q530">_xlfn.IFS(AND(C530="",G530=""),"",LEFT(G530,1)="L","記載要",LEFT(G530,1)="W","",AND(C530,G530=""),"記載要")</f>
        <v/>
      </c>
      <c r="R530" s="21" t="str">
        <f t="shared" si="92"/>
        <v/>
      </c>
      <c r="S530" s="21"/>
      <c r="Z530" s="8"/>
      <c r="AA530">
        <v>1</v>
      </c>
      <c r="AB530">
        <f t="shared" si="88"/>
        <v>0</v>
      </c>
      <c r="AC530">
        <v>1</v>
      </c>
      <c r="AF530">
        <v>1</v>
      </c>
      <c r="AG530" s="8"/>
      <c r="AH530" s="8"/>
      <c r="AK530" cm="1">
        <f t="array" ref="AK530">_xlfn.IFS(B530="","",LEFT(G530,1)="L",1,LEFT(G530,1)="W",1,AND(LEFT(B530,1)="H",G530=""),0)</f>
        <v>1</v>
      </c>
      <c r="AS530" t="str">
        <f t="shared" si="89"/>
        <v/>
      </c>
      <c r="AT530" t="s">
        <v>115</v>
      </c>
      <c r="AU530" t="str">
        <f t="shared" si="90"/>
        <v>0</v>
      </c>
      <c r="BD530" t="str">
        <f t="shared" si="91"/>
        <v>0</v>
      </c>
      <c r="BK530" t="str">
        <f>IFERROR(VLOOKUP(B530,'[1]model_S-フレーム'!$F$5:$R$7000,13,1),"")</f>
        <v>E389568_01</v>
      </c>
      <c r="BL530" s="7">
        <f>IFERROR(VLOOKUP(B530,'[1]model_S-フレーム'!$F$5:$V$7000,17,1),"")</f>
        <v>0</v>
      </c>
      <c r="BM530" t="str" cm="1">
        <f t="array" ref="BM530">_xlfn.IFS(LEFT(G530,1)="L","外注品",LEFT(G530,1)="W","内製品",G530="","購買品")</f>
        <v>内製品</v>
      </c>
    </row>
    <row r="531" spans="1:65">
      <c r="A531" t="str">
        <f t="shared" si="83"/>
        <v>WG01</v>
      </c>
      <c r="B531" t="s">
        <v>641</v>
      </c>
      <c r="C531" t="s">
        <v>915</v>
      </c>
      <c r="D531" s="7"/>
      <c r="E531" s="7"/>
      <c r="G531" t="s">
        <v>1939</v>
      </c>
      <c r="H531" t="str" cm="1">
        <f t="array" ref="H531">IFERROR(_xlfn.IFS(B531="","",AND(B531="",G531=""),"",G531="","記載要"),"")</f>
        <v/>
      </c>
      <c r="K531" t="str">
        <f t="shared" si="84"/>
        <v>11WP01002770</v>
      </c>
      <c r="L531" s="3" t="str">
        <f t="shared" si="85"/>
        <v>2001/01/01</v>
      </c>
      <c r="M531" s="3" t="str">
        <f t="shared" si="86"/>
        <v>2199/12/31</v>
      </c>
      <c r="N531" t="str">
        <f t="shared" si="87"/>
        <v>11WP01002770</v>
      </c>
      <c r="O531">
        <v>15</v>
      </c>
      <c r="Q531" t="str" cm="1">
        <f t="array" ref="Q531">_xlfn.IFS(AND(C531="",G531=""),"",LEFT(G531,1)="L","記載要",LEFT(G531,1)="W","",AND(C531,G531=""),"記載要")</f>
        <v/>
      </c>
      <c r="R531" s="21" t="str">
        <f t="shared" si="92"/>
        <v/>
      </c>
      <c r="S531" s="21"/>
      <c r="Z531" s="8"/>
      <c r="AA531">
        <v>1</v>
      </c>
      <c r="AB531">
        <f t="shared" si="88"/>
        <v>0</v>
      </c>
      <c r="AC531">
        <v>1</v>
      </c>
      <c r="AF531">
        <v>1</v>
      </c>
      <c r="AG531" s="8"/>
      <c r="AH531" s="8"/>
      <c r="AK531" cm="1">
        <f t="array" ref="AK531">_xlfn.IFS(B531="","",LEFT(G531,1)="L",1,LEFT(G531,1)="W",1,AND(LEFT(B531,1)="H",G531=""),0)</f>
        <v>1</v>
      </c>
      <c r="AS531" t="str">
        <f t="shared" si="89"/>
        <v/>
      </c>
      <c r="AT531" t="s">
        <v>115</v>
      </c>
      <c r="AU531" t="str">
        <f t="shared" si="90"/>
        <v>0</v>
      </c>
      <c r="BD531" t="str">
        <f t="shared" si="91"/>
        <v>0</v>
      </c>
      <c r="BK531" t="str">
        <f>IFERROR(VLOOKUP(B531,'[1]model_S-フレーム'!$F$5:$R$7000,13,1),"")</f>
        <v>E389568_01</v>
      </c>
      <c r="BL531" s="7">
        <f>IFERROR(VLOOKUP(B531,'[1]model_S-フレーム'!$F$5:$V$7000,17,1),"")</f>
        <v>0</v>
      </c>
      <c r="BM531" t="str" cm="1">
        <f t="array" ref="BM531">_xlfn.IFS(LEFT(G531,1)="L","外注品",LEFT(G531,1)="W","内製品",G531="","購買品")</f>
        <v>内製品</v>
      </c>
    </row>
    <row r="532" spans="1:65">
      <c r="A532" t="str">
        <f t="shared" si="83"/>
        <v>WG01</v>
      </c>
      <c r="B532" t="s">
        <v>642</v>
      </c>
      <c r="C532" t="s">
        <v>915</v>
      </c>
      <c r="D532" s="7"/>
      <c r="E532" s="7"/>
      <c r="G532" t="s">
        <v>1939</v>
      </c>
      <c r="H532" t="str" cm="1">
        <f t="array" ref="H532">IFERROR(_xlfn.IFS(B532="","",AND(B532="",G532=""),"",G532="","記載要"),"")</f>
        <v/>
      </c>
      <c r="K532" t="str">
        <f t="shared" si="84"/>
        <v>11WP01002771</v>
      </c>
      <c r="L532" s="3" t="str">
        <f t="shared" si="85"/>
        <v>2001/01/01</v>
      </c>
      <c r="M532" s="3" t="str">
        <f t="shared" si="86"/>
        <v>2199/12/31</v>
      </c>
      <c r="N532" t="str">
        <f t="shared" si="87"/>
        <v>11WP01002771</v>
      </c>
      <c r="O532">
        <v>15</v>
      </c>
      <c r="Q532" t="str" cm="1">
        <f t="array" ref="Q532">_xlfn.IFS(AND(C532="",G532=""),"",LEFT(G532,1)="L","記載要",LEFT(G532,1)="W","",AND(C532,G532=""),"記載要")</f>
        <v/>
      </c>
      <c r="R532" s="21" t="str">
        <f t="shared" si="92"/>
        <v/>
      </c>
      <c r="S532" s="21"/>
      <c r="Z532" s="8"/>
      <c r="AA532">
        <v>1</v>
      </c>
      <c r="AB532">
        <f t="shared" si="88"/>
        <v>0</v>
      </c>
      <c r="AC532">
        <v>1</v>
      </c>
      <c r="AF532">
        <v>1</v>
      </c>
      <c r="AG532" s="8"/>
      <c r="AH532" s="8"/>
      <c r="AK532" cm="1">
        <f t="array" ref="AK532">_xlfn.IFS(B532="","",LEFT(G532,1)="L",1,LEFT(G532,1)="W",1,AND(LEFT(B532,1)="H",G532=""),0)</f>
        <v>1</v>
      </c>
      <c r="AS532" t="str">
        <f t="shared" si="89"/>
        <v/>
      </c>
      <c r="AT532" t="s">
        <v>115</v>
      </c>
      <c r="AU532" t="str">
        <f t="shared" si="90"/>
        <v>0</v>
      </c>
      <c r="BD532" t="str">
        <f t="shared" si="91"/>
        <v>0</v>
      </c>
      <c r="BK532" t="str">
        <f>IFERROR(VLOOKUP(B532,'[1]model_S-フレーム'!$F$5:$R$7000,13,1),"")</f>
        <v>E389568_01</v>
      </c>
      <c r="BL532" s="7">
        <f>IFERROR(VLOOKUP(B532,'[1]model_S-フレーム'!$F$5:$V$7000,17,1),"")</f>
        <v>0</v>
      </c>
      <c r="BM532" t="str" cm="1">
        <f t="array" ref="BM532">_xlfn.IFS(LEFT(G532,1)="L","外注品",LEFT(G532,1)="W","内製品",G532="","購買品")</f>
        <v>内製品</v>
      </c>
    </row>
    <row r="533" spans="1:65">
      <c r="A533" t="str">
        <f t="shared" si="83"/>
        <v>WG01</v>
      </c>
      <c r="B533" t="s">
        <v>643</v>
      </c>
      <c r="C533" t="s">
        <v>915</v>
      </c>
      <c r="D533" s="7"/>
      <c r="E533" s="7"/>
      <c r="G533" t="s">
        <v>1939</v>
      </c>
      <c r="H533" t="str" cm="1">
        <f t="array" ref="H533">IFERROR(_xlfn.IFS(B533="","",AND(B533="",G533=""),"",G533="","記載要"),"")</f>
        <v/>
      </c>
      <c r="K533" t="str">
        <f t="shared" si="84"/>
        <v>11WP01002772</v>
      </c>
      <c r="L533" s="3" t="str">
        <f t="shared" si="85"/>
        <v>2001/01/01</v>
      </c>
      <c r="M533" s="3" t="str">
        <f t="shared" si="86"/>
        <v>2199/12/31</v>
      </c>
      <c r="N533" t="str">
        <f t="shared" si="87"/>
        <v>11WP01002772</v>
      </c>
      <c r="O533">
        <v>15</v>
      </c>
      <c r="Q533" t="str" cm="1">
        <f t="array" ref="Q533">_xlfn.IFS(AND(C533="",G533=""),"",LEFT(G533,1)="L","記載要",LEFT(G533,1)="W","",AND(C533,G533=""),"記載要")</f>
        <v/>
      </c>
      <c r="R533" s="21" t="str">
        <f t="shared" si="92"/>
        <v/>
      </c>
      <c r="S533" s="21"/>
      <c r="Z533" s="8"/>
      <c r="AA533">
        <v>1</v>
      </c>
      <c r="AB533">
        <f t="shared" si="88"/>
        <v>0</v>
      </c>
      <c r="AC533">
        <v>1</v>
      </c>
      <c r="AF533">
        <v>1</v>
      </c>
      <c r="AG533" s="8"/>
      <c r="AH533" s="8"/>
      <c r="AK533" cm="1">
        <f t="array" ref="AK533">_xlfn.IFS(B533="","",LEFT(G533,1)="L",1,LEFT(G533,1)="W",1,AND(LEFT(B533,1)="H",G533=""),0)</f>
        <v>1</v>
      </c>
      <c r="AS533" t="str">
        <f t="shared" si="89"/>
        <v/>
      </c>
      <c r="AT533" t="s">
        <v>115</v>
      </c>
      <c r="AU533" t="str">
        <f t="shared" si="90"/>
        <v>0</v>
      </c>
      <c r="BD533" t="str">
        <f t="shared" si="91"/>
        <v>0</v>
      </c>
      <c r="BK533" t="str">
        <f>IFERROR(VLOOKUP(B533,'[1]model_S-フレーム'!$F$5:$R$7000,13,1),"")</f>
        <v>E389568_01</v>
      </c>
      <c r="BL533" s="7">
        <f>IFERROR(VLOOKUP(B533,'[1]model_S-フレーム'!$F$5:$V$7000,17,1),"")</f>
        <v>0</v>
      </c>
      <c r="BM533" t="str" cm="1">
        <f t="array" ref="BM533">_xlfn.IFS(LEFT(G533,1)="L","外注品",LEFT(G533,1)="W","内製品",G533="","購買品")</f>
        <v>内製品</v>
      </c>
    </row>
    <row r="534" spans="1:65">
      <c r="A534" t="str">
        <f t="shared" si="83"/>
        <v>WG01</v>
      </c>
      <c r="B534" t="s">
        <v>644</v>
      </c>
      <c r="C534" t="s">
        <v>915</v>
      </c>
      <c r="D534" s="7"/>
      <c r="E534" s="7"/>
      <c r="G534" t="s">
        <v>1939</v>
      </c>
      <c r="H534" t="str" cm="1">
        <f t="array" ref="H534">IFERROR(_xlfn.IFS(B534="","",AND(B534="",G534=""),"",G534="","記載要"),"")</f>
        <v/>
      </c>
      <c r="K534" t="str">
        <f t="shared" si="84"/>
        <v>11WP01002773</v>
      </c>
      <c r="L534" s="3" t="str">
        <f t="shared" si="85"/>
        <v>2001/01/01</v>
      </c>
      <c r="M534" s="3" t="str">
        <f t="shared" si="86"/>
        <v>2199/12/31</v>
      </c>
      <c r="N534" t="str">
        <f t="shared" si="87"/>
        <v>11WP01002773</v>
      </c>
      <c r="O534">
        <v>15</v>
      </c>
      <c r="Q534" t="str" cm="1">
        <f t="array" ref="Q534">_xlfn.IFS(AND(C534="",G534=""),"",LEFT(G534,1)="L","記載要",LEFT(G534,1)="W","",AND(C534,G534=""),"記載要")</f>
        <v/>
      </c>
      <c r="R534" s="21" t="str">
        <f t="shared" si="92"/>
        <v/>
      </c>
      <c r="S534" s="21"/>
      <c r="Z534" s="8"/>
      <c r="AA534">
        <v>1</v>
      </c>
      <c r="AB534">
        <f t="shared" si="88"/>
        <v>0</v>
      </c>
      <c r="AC534">
        <v>1</v>
      </c>
      <c r="AF534">
        <v>1</v>
      </c>
      <c r="AG534" s="8"/>
      <c r="AH534" s="8"/>
      <c r="AK534" cm="1">
        <f t="array" ref="AK534">_xlfn.IFS(B534="","",LEFT(G534,1)="L",1,LEFT(G534,1)="W",1,AND(LEFT(B534,1)="H",G534=""),0)</f>
        <v>1</v>
      </c>
      <c r="AS534" t="str">
        <f t="shared" si="89"/>
        <v/>
      </c>
      <c r="AT534" t="s">
        <v>115</v>
      </c>
      <c r="AU534" t="str">
        <f t="shared" si="90"/>
        <v>0</v>
      </c>
      <c r="BD534" t="str">
        <f t="shared" si="91"/>
        <v>0</v>
      </c>
      <c r="BK534" t="str">
        <f>IFERROR(VLOOKUP(B534,'[1]model_S-フレーム'!$F$5:$R$7000,13,1),"")</f>
        <v>E389568_01</v>
      </c>
      <c r="BL534" s="7">
        <f>IFERROR(VLOOKUP(B534,'[1]model_S-フレーム'!$F$5:$V$7000,17,1),"")</f>
        <v>0</v>
      </c>
      <c r="BM534" t="str" cm="1">
        <f t="array" ref="BM534">_xlfn.IFS(LEFT(G534,1)="L","外注品",LEFT(G534,1)="W","内製品",G534="","購買品")</f>
        <v>内製品</v>
      </c>
    </row>
    <row r="535" spans="1:65">
      <c r="A535" t="str">
        <f t="shared" si="83"/>
        <v>WG01</v>
      </c>
      <c r="B535" t="s">
        <v>645</v>
      </c>
      <c r="C535" t="s">
        <v>915</v>
      </c>
      <c r="D535" s="7"/>
      <c r="E535" s="7"/>
      <c r="G535" t="s">
        <v>1939</v>
      </c>
      <c r="H535" t="str" cm="1">
        <f t="array" ref="H535">IFERROR(_xlfn.IFS(B535="","",AND(B535="",G535=""),"",G535="","記載要"),"")</f>
        <v/>
      </c>
      <c r="K535" t="str">
        <f t="shared" si="84"/>
        <v>11WP01002774</v>
      </c>
      <c r="L535" s="3" t="str">
        <f t="shared" si="85"/>
        <v>2001/01/01</v>
      </c>
      <c r="M535" s="3" t="str">
        <f t="shared" si="86"/>
        <v>2199/12/31</v>
      </c>
      <c r="N535" t="str">
        <f t="shared" si="87"/>
        <v>11WP01002774</v>
      </c>
      <c r="O535">
        <v>15</v>
      </c>
      <c r="Q535" t="str" cm="1">
        <f t="array" ref="Q535">_xlfn.IFS(AND(C535="",G535=""),"",LEFT(G535,1)="L","記載要",LEFT(G535,1)="W","",AND(C535,G535=""),"記載要")</f>
        <v/>
      </c>
      <c r="R535" s="21" t="str">
        <f t="shared" si="92"/>
        <v/>
      </c>
      <c r="S535" s="21"/>
      <c r="Z535" s="8"/>
      <c r="AA535">
        <v>1</v>
      </c>
      <c r="AB535">
        <f t="shared" si="88"/>
        <v>0</v>
      </c>
      <c r="AC535">
        <v>1</v>
      </c>
      <c r="AF535">
        <v>1</v>
      </c>
      <c r="AG535" s="8"/>
      <c r="AH535" s="8"/>
      <c r="AK535" cm="1">
        <f t="array" ref="AK535">_xlfn.IFS(B535="","",LEFT(G535,1)="L",1,LEFT(G535,1)="W",1,AND(LEFT(B535,1)="H",G535=""),0)</f>
        <v>1</v>
      </c>
      <c r="AS535" t="str">
        <f t="shared" si="89"/>
        <v/>
      </c>
      <c r="AT535" t="s">
        <v>115</v>
      </c>
      <c r="AU535" t="str">
        <f t="shared" si="90"/>
        <v>0</v>
      </c>
      <c r="BD535" t="str">
        <f t="shared" si="91"/>
        <v>0</v>
      </c>
      <c r="BK535" t="str">
        <f>IFERROR(VLOOKUP(B535,'[1]model_S-フレーム'!$F$5:$R$7000,13,1),"")</f>
        <v>E389568_01</v>
      </c>
      <c r="BL535" s="7">
        <f>IFERROR(VLOOKUP(B535,'[1]model_S-フレーム'!$F$5:$V$7000,17,1),"")</f>
        <v>0</v>
      </c>
      <c r="BM535" t="str" cm="1">
        <f t="array" ref="BM535">_xlfn.IFS(LEFT(G535,1)="L","外注品",LEFT(G535,1)="W","内製品",G535="","購買品")</f>
        <v>内製品</v>
      </c>
    </row>
    <row r="536" spans="1:65">
      <c r="A536" t="str">
        <f t="shared" si="83"/>
        <v>WG01</v>
      </c>
      <c r="B536" t="s">
        <v>646</v>
      </c>
      <c r="C536" t="s">
        <v>916</v>
      </c>
      <c r="D536" s="7"/>
      <c r="E536" s="7"/>
      <c r="G536" t="s">
        <v>1939</v>
      </c>
      <c r="H536" t="str" cm="1">
        <f t="array" ref="H536">IFERROR(_xlfn.IFS(B536="","",AND(B536="",G536=""),"",G536="","記載要"),"")</f>
        <v/>
      </c>
      <c r="K536" t="str">
        <f t="shared" si="84"/>
        <v>11WP01002775</v>
      </c>
      <c r="L536" s="3" t="str">
        <f t="shared" si="85"/>
        <v>2001/01/01</v>
      </c>
      <c r="M536" s="3" t="str">
        <f t="shared" si="86"/>
        <v>2199/12/31</v>
      </c>
      <c r="N536" t="str">
        <f t="shared" si="87"/>
        <v>11WP01002775</v>
      </c>
      <c r="O536">
        <v>15</v>
      </c>
      <c r="Q536" t="str" cm="1">
        <f t="array" ref="Q536">_xlfn.IFS(AND(C536="",G536=""),"",LEFT(G536,1)="L","記載要",LEFT(G536,1)="W","",AND(C536,G536=""),"記載要")</f>
        <v/>
      </c>
      <c r="R536" s="21" t="str">
        <f t="shared" si="92"/>
        <v/>
      </c>
      <c r="S536" s="21"/>
      <c r="Z536" s="8"/>
      <c r="AA536">
        <v>1</v>
      </c>
      <c r="AB536">
        <f t="shared" si="88"/>
        <v>0</v>
      </c>
      <c r="AC536">
        <v>1</v>
      </c>
      <c r="AF536">
        <v>1</v>
      </c>
      <c r="AG536" s="8"/>
      <c r="AH536" s="8"/>
      <c r="AK536" cm="1">
        <f t="array" ref="AK536">_xlfn.IFS(B536="","",LEFT(G536,1)="L",1,LEFT(G536,1)="W",1,AND(LEFT(B536,1)="H",G536=""),0)</f>
        <v>1</v>
      </c>
      <c r="AS536" t="str">
        <f t="shared" si="89"/>
        <v/>
      </c>
      <c r="AT536" t="s">
        <v>115</v>
      </c>
      <c r="AU536" t="str">
        <f t="shared" si="90"/>
        <v>0</v>
      </c>
      <c r="BD536" t="str">
        <f t="shared" si="91"/>
        <v>0</v>
      </c>
      <c r="BK536" t="str">
        <f>IFERROR(VLOOKUP(B536,'[1]model_S-フレーム'!$F$5:$R$7000,13,1),"")</f>
        <v>E389568_01</v>
      </c>
      <c r="BL536" s="7">
        <f>IFERROR(VLOOKUP(B536,'[1]model_S-フレーム'!$F$5:$V$7000,17,1),"")</f>
        <v>0</v>
      </c>
      <c r="BM536" t="str" cm="1">
        <f t="array" ref="BM536">_xlfn.IFS(LEFT(G536,1)="L","外注品",LEFT(G536,1)="W","内製品",G536="","購買品")</f>
        <v>内製品</v>
      </c>
    </row>
    <row r="537" spans="1:65">
      <c r="A537" t="str">
        <f t="shared" si="83"/>
        <v>WG01</v>
      </c>
      <c r="B537" t="s">
        <v>647</v>
      </c>
      <c r="C537" t="s">
        <v>916</v>
      </c>
      <c r="D537" s="7"/>
      <c r="E537" s="7"/>
      <c r="G537" t="s">
        <v>1939</v>
      </c>
      <c r="H537" t="str" cm="1">
        <f t="array" ref="H537">IFERROR(_xlfn.IFS(B537="","",AND(B537="",G537=""),"",G537="","記載要"),"")</f>
        <v/>
      </c>
      <c r="K537" t="str">
        <f t="shared" si="84"/>
        <v>11WP01002776</v>
      </c>
      <c r="L537" s="3" t="str">
        <f t="shared" si="85"/>
        <v>2001/01/01</v>
      </c>
      <c r="M537" s="3" t="str">
        <f t="shared" si="86"/>
        <v>2199/12/31</v>
      </c>
      <c r="N537" t="str">
        <f t="shared" si="87"/>
        <v>11WP01002776</v>
      </c>
      <c r="O537">
        <v>15</v>
      </c>
      <c r="Q537" t="str" cm="1">
        <f t="array" ref="Q537">_xlfn.IFS(AND(C537="",G537=""),"",LEFT(G537,1)="L","記載要",LEFT(G537,1)="W","",AND(C537,G537=""),"記載要")</f>
        <v/>
      </c>
      <c r="R537" s="21" t="str">
        <f t="shared" si="92"/>
        <v/>
      </c>
      <c r="S537" s="21"/>
      <c r="Z537" s="8"/>
      <c r="AA537">
        <v>1</v>
      </c>
      <c r="AB537">
        <f t="shared" si="88"/>
        <v>0</v>
      </c>
      <c r="AC537">
        <v>1</v>
      </c>
      <c r="AF537">
        <v>1</v>
      </c>
      <c r="AG537" s="8"/>
      <c r="AH537" s="8"/>
      <c r="AK537" cm="1">
        <f t="array" ref="AK537">_xlfn.IFS(B537="","",LEFT(G537,1)="L",1,LEFT(G537,1)="W",1,AND(LEFT(B537,1)="H",G537=""),0)</f>
        <v>1</v>
      </c>
      <c r="AS537" t="str">
        <f t="shared" si="89"/>
        <v/>
      </c>
      <c r="AT537" t="s">
        <v>115</v>
      </c>
      <c r="AU537" t="str">
        <f t="shared" si="90"/>
        <v>0</v>
      </c>
      <c r="BD537" t="str">
        <f t="shared" si="91"/>
        <v>0</v>
      </c>
      <c r="BK537" t="str">
        <f>IFERROR(VLOOKUP(B537,'[1]model_S-フレーム'!$F$5:$R$7000,13,1),"")</f>
        <v>E389568_01</v>
      </c>
      <c r="BL537" s="7">
        <f>IFERROR(VLOOKUP(B537,'[1]model_S-フレーム'!$F$5:$V$7000,17,1),"")</f>
        <v>0</v>
      </c>
      <c r="BM537" t="str" cm="1">
        <f t="array" ref="BM537">_xlfn.IFS(LEFT(G537,1)="L","外注品",LEFT(G537,1)="W","内製品",G537="","購買品")</f>
        <v>内製品</v>
      </c>
    </row>
    <row r="538" spans="1:65">
      <c r="A538" t="str">
        <f t="shared" si="83"/>
        <v>WG01</v>
      </c>
      <c r="B538" t="s">
        <v>648</v>
      </c>
      <c r="C538" t="s">
        <v>916</v>
      </c>
      <c r="D538" s="7"/>
      <c r="E538" s="7"/>
      <c r="G538" t="s">
        <v>1939</v>
      </c>
      <c r="H538" t="str" cm="1">
        <f t="array" ref="H538">IFERROR(_xlfn.IFS(B538="","",AND(B538="",G538=""),"",G538="","記載要"),"")</f>
        <v/>
      </c>
      <c r="K538" t="str">
        <f t="shared" si="84"/>
        <v>11WP01002777</v>
      </c>
      <c r="L538" s="3" t="str">
        <f t="shared" si="85"/>
        <v>2001/01/01</v>
      </c>
      <c r="M538" s="3" t="str">
        <f t="shared" si="86"/>
        <v>2199/12/31</v>
      </c>
      <c r="N538" t="str">
        <f t="shared" si="87"/>
        <v>11WP01002777</v>
      </c>
      <c r="O538">
        <v>15</v>
      </c>
      <c r="Q538" t="str" cm="1">
        <f t="array" ref="Q538">_xlfn.IFS(AND(C538="",G538=""),"",LEFT(G538,1)="L","記載要",LEFT(G538,1)="W","",AND(C538,G538=""),"記載要")</f>
        <v/>
      </c>
      <c r="R538" s="21" t="str">
        <f t="shared" si="92"/>
        <v/>
      </c>
      <c r="S538" s="21"/>
      <c r="Z538" s="8"/>
      <c r="AA538">
        <v>1</v>
      </c>
      <c r="AB538">
        <f t="shared" si="88"/>
        <v>0</v>
      </c>
      <c r="AC538">
        <v>1</v>
      </c>
      <c r="AF538">
        <v>1</v>
      </c>
      <c r="AG538" s="8"/>
      <c r="AH538" s="8"/>
      <c r="AK538" cm="1">
        <f t="array" ref="AK538">_xlfn.IFS(B538="","",LEFT(G538,1)="L",1,LEFT(G538,1)="W",1,AND(LEFT(B538,1)="H",G538=""),0)</f>
        <v>1</v>
      </c>
      <c r="AS538" t="str">
        <f t="shared" si="89"/>
        <v/>
      </c>
      <c r="AT538" t="s">
        <v>115</v>
      </c>
      <c r="AU538" t="str">
        <f t="shared" si="90"/>
        <v>0</v>
      </c>
      <c r="BD538" t="str">
        <f t="shared" si="91"/>
        <v>0</v>
      </c>
      <c r="BK538" t="str">
        <f>IFERROR(VLOOKUP(B538,'[1]model_S-フレーム'!$F$5:$R$7000,13,1),"")</f>
        <v>E389568_01</v>
      </c>
      <c r="BL538" s="7">
        <f>IFERROR(VLOOKUP(B538,'[1]model_S-フレーム'!$F$5:$V$7000,17,1),"")</f>
        <v>0</v>
      </c>
      <c r="BM538" t="str" cm="1">
        <f t="array" ref="BM538">_xlfn.IFS(LEFT(G538,1)="L","外注品",LEFT(G538,1)="W","内製品",G538="","購買品")</f>
        <v>内製品</v>
      </c>
    </row>
    <row r="539" spans="1:65">
      <c r="A539" t="str">
        <f t="shared" si="83"/>
        <v>WG01</v>
      </c>
      <c r="B539" t="s">
        <v>649</v>
      </c>
      <c r="C539" t="s">
        <v>916</v>
      </c>
      <c r="D539" s="7"/>
      <c r="E539" s="7"/>
      <c r="G539" t="s">
        <v>1939</v>
      </c>
      <c r="H539" t="str" cm="1">
        <f t="array" ref="H539">IFERROR(_xlfn.IFS(B539="","",AND(B539="",G539=""),"",G539="","記載要"),"")</f>
        <v/>
      </c>
      <c r="K539" t="str">
        <f t="shared" si="84"/>
        <v>11WP01002778</v>
      </c>
      <c r="L539" s="3" t="str">
        <f t="shared" si="85"/>
        <v>2001/01/01</v>
      </c>
      <c r="M539" s="3" t="str">
        <f t="shared" si="86"/>
        <v>2199/12/31</v>
      </c>
      <c r="N539" t="str">
        <f t="shared" si="87"/>
        <v>11WP01002778</v>
      </c>
      <c r="O539">
        <v>15</v>
      </c>
      <c r="Q539" t="str" cm="1">
        <f t="array" ref="Q539">_xlfn.IFS(AND(C539="",G539=""),"",LEFT(G539,1)="L","記載要",LEFT(G539,1)="W","",AND(C539,G539=""),"記載要")</f>
        <v/>
      </c>
      <c r="R539" s="21" t="str">
        <f t="shared" si="92"/>
        <v/>
      </c>
      <c r="S539" s="21"/>
      <c r="Z539" s="8"/>
      <c r="AA539">
        <v>1</v>
      </c>
      <c r="AB539">
        <f t="shared" si="88"/>
        <v>0</v>
      </c>
      <c r="AC539">
        <v>1</v>
      </c>
      <c r="AF539">
        <v>1</v>
      </c>
      <c r="AG539" s="8"/>
      <c r="AH539" s="8"/>
      <c r="AK539" cm="1">
        <f t="array" ref="AK539">_xlfn.IFS(B539="","",LEFT(G539,1)="L",1,LEFT(G539,1)="W",1,AND(LEFT(B539,1)="H",G539=""),0)</f>
        <v>1</v>
      </c>
      <c r="AS539" t="str">
        <f t="shared" si="89"/>
        <v/>
      </c>
      <c r="AT539" t="s">
        <v>115</v>
      </c>
      <c r="AU539" t="str">
        <f t="shared" si="90"/>
        <v>0</v>
      </c>
      <c r="BD539" t="str">
        <f t="shared" si="91"/>
        <v>0</v>
      </c>
      <c r="BK539" t="str">
        <f>IFERROR(VLOOKUP(B539,'[1]model_S-フレーム'!$F$5:$R$7000,13,1),"")</f>
        <v>E389568_01</v>
      </c>
      <c r="BL539" s="7">
        <f>IFERROR(VLOOKUP(B539,'[1]model_S-フレーム'!$F$5:$V$7000,17,1),"")</f>
        <v>0</v>
      </c>
      <c r="BM539" t="str" cm="1">
        <f t="array" ref="BM539">_xlfn.IFS(LEFT(G539,1)="L","外注品",LEFT(G539,1)="W","内製品",G539="","購買品")</f>
        <v>内製品</v>
      </c>
    </row>
    <row r="540" spans="1:65">
      <c r="A540" t="str">
        <f t="shared" si="83"/>
        <v>WG01</v>
      </c>
      <c r="B540" t="s">
        <v>650</v>
      </c>
      <c r="C540" t="s">
        <v>916</v>
      </c>
      <c r="D540" s="7"/>
      <c r="E540" s="7"/>
      <c r="G540" t="s">
        <v>1939</v>
      </c>
      <c r="H540" t="str" cm="1">
        <f t="array" ref="H540">IFERROR(_xlfn.IFS(B540="","",AND(B540="",G540=""),"",G540="","記載要"),"")</f>
        <v/>
      </c>
      <c r="K540" t="str">
        <f t="shared" si="84"/>
        <v>11WP01002779</v>
      </c>
      <c r="L540" s="3" t="str">
        <f t="shared" si="85"/>
        <v>2001/01/01</v>
      </c>
      <c r="M540" s="3" t="str">
        <f t="shared" si="86"/>
        <v>2199/12/31</v>
      </c>
      <c r="N540" t="str">
        <f t="shared" si="87"/>
        <v>11WP01002779</v>
      </c>
      <c r="O540">
        <v>15</v>
      </c>
      <c r="Q540" t="str" cm="1">
        <f t="array" ref="Q540">_xlfn.IFS(AND(C540="",G540=""),"",LEFT(G540,1)="L","記載要",LEFT(G540,1)="W","",AND(C540,G540=""),"記載要")</f>
        <v/>
      </c>
      <c r="R540" s="21" t="str">
        <f t="shared" si="92"/>
        <v/>
      </c>
      <c r="S540" s="21"/>
      <c r="Z540" s="8"/>
      <c r="AA540">
        <v>1</v>
      </c>
      <c r="AB540">
        <f t="shared" si="88"/>
        <v>0</v>
      </c>
      <c r="AC540">
        <v>1</v>
      </c>
      <c r="AF540">
        <v>1</v>
      </c>
      <c r="AG540" s="8"/>
      <c r="AH540" s="8"/>
      <c r="AK540" cm="1">
        <f t="array" ref="AK540">_xlfn.IFS(B540="","",LEFT(G540,1)="L",1,LEFT(G540,1)="W",1,AND(LEFT(B540,1)="H",G540=""),0)</f>
        <v>1</v>
      </c>
      <c r="AS540" t="str">
        <f t="shared" si="89"/>
        <v/>
      </c>
      <c r="AT540" t="s">
        <v>115</v>
      </c>
      <c r="AU540" t="str">
        <f t="shared" si="90"/>
        <v>0</v>
      </c>
      <c r="BD540" t="str">
        <f t="shared" si="91"/>
        <v>0</v>
      </c>
      <c r="BK540" t="str">
        <f>IFERROR(VLOOKUP(B540,'[1]model_S-フレーム'!$F$5:$R$7000,13,1),"")</f>
        <v>E389568_01</v>
      </c>
      <c r="BL540" s="7">
        <f>IFERROR(VLOOKUP(B540,'[1]model_S-フレーム'!$F$5:$V$7000,17,1),"")</f>
        <v>0</v>
      </c>
      <c r="BM540" t="str" cm="1">
        <f t="array" ref="BM540">_xlfn.IFS(LEFT(G540,1)="L","外注品",LEFT(G540,1)="W","内製品",G540="","購買品")</f>
        <v>内製品</v>
      </c>
    </row>
    <row r="541" spans="1:65">
      <c r="A541" t="str">
        <f t="shared" si="83"/>
        <v>WG01</v>
      </c>
      <c r="B541" t="s">
        <v>651</v>
      </c>
      <c r="C541" t="s">
        <v>916</v>
      </c>
      <c r="D541" s="7"/>
      <c r="E541" s="7"/>
      <c r="G541" t="s">
        <v>1939</v>
      </c>
      <c r="H541" t="str" cm="1">
        <f t="array" ref="H541">IFERROR(_xlfn.IFS(B541="","",AND(B541="",G541=""),"",G541="","記載要"),"")</f>
        <v/>
      </c>
      <c r="K541" t="str">
        <f t="shared" si="84"/>
        <v>11WP01002780</v>
      </c>
      <c r="L541" s="3" t="str">
        <f t="shared" si="85"/>
        <v>2001/01/01</v>
      </c>
      <c r="M541" s="3" t="str">
        <f t="shared" si="86"/>
        <v>2199/12/31</v>
      </c>
      <c r="N541" t="str">
        <f t="shared" si="87"/>
        <v>11WP01002780</v>
      </c>
      <c r="O541">
        <v>15</v>
      </c>
      <c r="Q541" t="str" cm="1">
        <f t="array" ref="Q541">_xlfn.IFS(AND(C541="",G541=""),"",LEFT(G541,1)="L","記載要",LEFT(G541,1)="W","",AND(C541,G541=""),"記載要")</f>
        <v/>
      </c>
      <c r="R541" s="21" t="str">
        <f t="shared" si="92"/>
        <v/>
      </c>
      <c r="S541" s="21"/>
      <c r="Z541" s="8"/>
      <c r="AA541">
        <v>1</v>
      </c>
      <c r="AB541">
        <f t="shared" si="88"/>
        <v>0</v>
      </c>
      <c r="AC541">
        <v>1</v>
      </c>
      <c r="AF541">
        <v>1</v>
      </c>
      <c r="AG541" s="8"/>
      <c r="AH541" s="8"/>
      <c r="AK541" cm="1">
        <f t="array" ref="AK541">_xlfn.IFS(B541="","",LEFT(G541,1)="L",1,LEFT(G541,1)="W",1,AND(LEFT(B541,1)="H",G541=""),0)</f>
        <v>1</v>
      </c>
      <c r="AS541" t="str">
        <f t="shared" si="89"/>
        <v/>
      </c>
      <c r="AT541" t="s">
        <v>115</v>
      </c>
      <c r="AU541" t="str">
        <f t="shared" si="90"/>
        <v>0</v>
      </c>
      <c r="BD541" t="str">
        <f t="shared" si="91"/>
        <v>0</v>
      </c>
      <c r="BK541" t="str">
        <f>IFERROR(VLOOKUP(B541,'[1]model_S-フレーム'!$F$5:$R$7000,13,1),"")</f>
        <v>E389568_01</v>
      </c>
      <c r="BL541" s="7">
        <f>IFERROR(VLOOKUP(B541,'[1]model_S-フレーム'!$F$5:$V$7000,17,1),"")</f>
        <v>0</v>
      </c>
      <c r="BM541" t="str" cm="1">
        <f t="array" ref="BM541">_xlfn.IFS(LEFT(G541,1)="L","外注品",LEFT(G541,1)="W","内製品",G541="","購買品")</f>
        <v>内製品</v>
      </c>
    </row>
    <row r="542" spans="1:65">
      <c r="A542" t="str">
        <f t="shared" si="83"/>
        <v>WG01</v>
      </c>
      <c r="B542" t="s">
        <v>652</v>
      </c>
      <c r="C542" t="s">
        <v>916</v>
      </c>
      <c r="D542" s="7"/>
      <c r="E542" s="7"/>
      <c r="G542" t="s">
        <v>1939</v>
      </c>
      <c r="H542" t="str" cm="1">
        <f t="array" ref="H542">IFERROR(_xlfn.IFS(B542="","",AND(B542="",G542=""),"",G542="","記載要"),"")</f>
        <v/>
      </c>
      <c r="K542" t="str">
        <f t="shared" si="84"/>
        <v>11WP01002781</v>
      </c>
      <c r="L542" s="3" t="str">
        <f t="shared" si="85"/>
        <v>2001/01/01</v>
      </c>
      <c r="M542" s="3" t="str">
        <f t="shared" si="86"/>
        <v>2199/12/31</v>
      </c>
      <c r="N542" t="str">
        <f t="shared" si="87"/>
        <v>11WP01002781</v>
      </c>
      <c r="O542">
        <v>15</v>
      </c>
      <c r="Q542" t="str" cm="1">
        <f t="array" ref="Q542">_xlfn.IFS(AND(C542="",G542=""),"",LEFT(G542,1)="L","記載要",LEFT(G542,1)="W","",AND(C542,G542=""),"記載要")</f>
        <v/>
      </c>
      <c r="R542" s="21" t="str">
        <f t="shared" si="92"/>
        <v/>
      </c>
      <c r="S542" s="21"/>
      <c r="Z542" s="8"/>
      <c r="AA542">
        <v>1</v>
      </c>
      <c r="AB542">
        <f t="shared" si="88"/>
        <v>0</v>
      </c>
      <c r="AC542">
        <v>1</v>
      </c>
      <c r="AF542">
        <v>1</v>
      </c>
      <c r="AG542" s="8"/>
      <c r="AH542" s="8"/>
      <c r="AK542" cm="1">
        <f t="array" ref="AK542">_xlfn.IFS(B542="","",LEFT(G542,1)="L",1,LEFT(G542,1)="W",1,AND(LEFT(B542,1)="H",G542=""),0)</f>
        <v>1</v>
      </c>
      <c r="AS542" t="str">
        <f t="shared" si="89"/>
        <v/>
      </c>
      <c r="AT542" t="s">
        <v>115</v>
      </c>
      <c r="AU542" t="str">
        <f t="shared" si="90"/>
        <v>0</v>
      </c>
      <c r="BD542" t="str">
        <f t="shared" si="91"/>
        <v>0</v>
      </c>
      <c r="BK542" t="str">
        <f>IFERROR(VLOOKUP(B542,'[1]model_S-フレーム'!$F$5:$R$7000,13,1),"")</f>
        <v>E389568_01</v>
      </c>
      <c r="BL542" s="7">
        <f>IFERROR(VLOOKUP(B542,'[1]model_S-フレーム'!$F$5:$V$7000,17,1),"")</f>
        <v>0</v>
      </c>
      <c r="BM542" t="str" cm="1">
        <f t="array" ref="BM542">_xlfn.IFS(LEFT(G542,1)="L","外注品",LEFT(G542,1)="W","内製品",G542="","購買品")</f>
        <v>内製品</v>
      </c>
    </row>
    <row r="543" spans="1:65">
      <c r="A543" t="str">
        <f t="shared" si="83"/>
        <v>WG01</v>
      </c>
      <c r="B543" t="s">
        <v>653</v>
      </c>
      <c r="C543" t="s">
        <v>916</v>
      </c>
      <c r="D543" s="7"/>
      <c r="E543" s="7"/>
      <c r="G543" t="s">
        <v>1939</v>
      </c>
      <c r="H543" t="str" cm="1">
        <f t="array" ref="H543">IFERROR(_xlfn.IFS(B543="","",AND(B543="",G543=""),"",G543="","記載要"),"")</f>
        <v/>
      </c>
      <c r="K543" t="str">
        <f t="shared" si="84"/>
        <v>11WP01002782</v>
      </c>
      <c r="L543" s="3" t="str">
        <f t="shared" si="85"/>
        <v>2001/01/01</v>
      </c>
      <c r="M543" s="3" t="str">
        <f t="shared" si="86"/>
        <v>2199/12/31</v>
      </c>
      <c r="N543" t="str">
        <f t="shared" si="87"/>
        <v>11WP01002782</v>
      </c>
      <c r="O543">
        <v>15</v>
      </c>
      <c r="Q543" t="str" cm="1">
        <f t="array" ref="Q543">_xlfn.IFS(AND(C543="",G543=""),"",LEFT(G543,1)="L","記載要",LEFT(G543,1)="W","",AND(C543,G543=""),"記載要")</f>
        <v/>
      </c>
      <c r="R543" s="21" t="str">
        <f t="shared" si="92"/>
        <v/>
      </c>
      <c r="S543" s="21"/>
      <c r="Z543" s="8"/>
      <c r="AA543">
        <v>1</v>
      </c>
      <c r="AB543">
        <f t="shared" si="88"/>
        <v>0</v>
      </c>
      <c r="AC543">
        <v>1</v>
      </c>
      <c r="AF543">
        <v>1</v>
      </c>
      <c r="AG543" s="8"/>
      <c r="AH543" s="8"/>
      <c r="AK543" cm="1">
        <f t="array" ref="AK543">_xlfn.IFS(B543="","",LEFT(G543,1)="L",1,LEFT(G543,1)="W",1,AND(LEFT(B543,1)="H",G543=""),0)</f>
        <v>1</v>
      </c>
      <c r="AS543" t="str">
        <f t="shared" si="89"/>
        <v/>
      </c>
      <c r="AT543" t="s">
        <v>115</v>
      </c>
      <c r="AU543" t="str">
        <f t="shared" si="90"/>
        <v>0</v>
      </c>
      <c r="BD543" t="str">
        <f t="shared" si="91"/>
        <v>0</v>
      </c>
      <c r="BK543" t="str">
        <f>IFERROR(VLOOKUP(B543,'[1]model_S-フレーム'!$F$5:$R$7000,13,1),"")</f>
        <v>E389568_01</v>
      </c>
      <c r="BL543" s="7">
        <f>IFERROR(VLOOKUP(B543,'[1]model_S-フレーム'!$F$5:$V$7000,17,1),"")</f>
        <v>0</v>
      </c>
      <c r="BM543" t="str" cm="1">
        <f t="array" ref="BM543">_xlfn.IFS(LEFT(G543,1)="L","外注品",LEFT(G543,1)="W","内製品",G543="","購買品")</f>
        <v>内製品</v>
      </c>
    </row>
    <row r="544" spans="1:65">
      <c r="A544" t="str">
        <f t="shared" si="83"/>
        <v>WG01</v>
      </c>
      <c r="B544" t="s">
        <v>654</v>
      </c>
      <c r="C544" t="s">
        <v>916</v>
      </c>
      <c r="D544" s="7"/>
      <c r="E544" s="7"/>
      <c r="G544" t="s">
        <v>1939</v>
      </c>
      <c r="H544" t="str" cm="1">
        <f t="array" ref="H544">IFERROR(_xlfn.IFS(B544="","",AND(B544="",G544=""),"",G544="","記載要"),"")</f>
        <v/>
      </c>
      <c r="K544" t="str">
        <f t="shared" si="84"/>
        <v>11WP01002783</v>
      </c>
      <c r="L544" s="3" t="str">
        <f t="shared" si="85"/>
        <v>2001/01/01</v>
      </c>
      <c r="M544" s="3" t="str">
        <f t="shared" si="86"/>
        <v>2199/12/31</v>
      </c>
      <c r="N544" t="str">
        <f t="shared" si="87"/>
        <v>11WP01002783</v>
      </c>
      <c r="O544">
        <v>15</v>
      </c>
      <c r="Q544" t="str" cm="1">
        <f t="array" ref="Q544">_xlfn.IFS(AND(C544="",G544=""),"",LEFT(G544,1)="L","記載要",LEFT(G544,1)="W","",AND(C544,G544=""),"記載要")</f>
        <v/>
      </c>
      <c r="R544" s="21" t="str">
        <f t="shared" si="92"/>
        <v/>
      </c>
      <c r="S544" s="21"/>
      <c r="Z544" s="8"/>
      <c r="AA544">
        <v>1</v>
      </c>
      <c r="AB544">
        <f t="shared" si="88"/>
        <v>0</v>
      </c>
      <c r="AC544">
        <v>1</v>
      </c>
      <c r="AF544">
        <v>1</v>
      </c>
      <c r="AG544" s="8"/>
      <c r="AH544" s="8"/>
      <c r="AK544" cm="1">
        <f t="array" ref="AK544">_xlfn.IFS(B544="","",LEFT(G544,1)="L",1,LEFT(G544,1)="W",1,AND(LEFT(B544,1)="H",G544=""),0)</f>
        <v>1</v>
      </c>
      <c r="AS544" t="str">
        <f t="shared" si="89"/>
        <v/>
      </c>
      <c r="AT544" t="s">
        <v>115</v>
      </c>
      <c r="AU544" t="str">
        <f t="shared" si="90"/>
        <v>0</v>
      </c>
      <c r="BD544" t="str">
        <f t="shared" si="91"/>
        <v>0</v>
      </c>
      <c r="BK544" t="str">
        <f>IFERROR(VLOOKUP(B544,'[1]model_S-フレーム'!$F$5:$R$7000,13,1),"")</f>
        <v>E389568_01</v>
      </c>
      <c r="BL544" s="7">
        <f>IFERROR(VLOOKUP(B544,'[1]model_S-フレーム'!$F$5:$V$7000,17,1),"")</f>
        <v>0</v>
      </c>
      <c r="BM544" t="str" cm="1">
        <f t="array" ref="BM544">_xlfn.IFS(LEFT(G544,1)="L","外注品",LEFT(G544,1)="W","内製品",G544="","購買品")</f>
        <v>内製品</v>
      </c>
    </row>
    <row r="545" spans="1:65">
      <c r="A545" t="str">
        <f t="shared" si="83"/>
        <v>WG01</v>
      </c>
      <c r="B545" t="s">
        <v>655</v>
      </c>
      <c r="C545" t="s">
        <v>917</v>
      </c>
      <c r="D545" s="7"/>
      <c r="E545" s="7"/>
      <c r="G545" t="s">
        <v>1939</v>
      </c>
      <c r="H545" t="str" cm="1">
        <f t="array" ref="H545">IFERROR(_xlfn.IFS(B545="","",AND(B545="",G545=""),"",G545="","記載要"),"")</f>
        <v/>
      </c>
      <c r="K545" t="str">
        <f t="shared" si="84"/>
        <v>11WP01002784</v>
      </c>
      <c r="L545" s="3" t="str">
        <f t="shared" si="85"/>
        <v>2001/01/01</v>
      </c>
      <c r="M545" s="3" t="str">
        <f t="shared" si="86"/>
        <v>2199/12/31</v>
      </c>
      <c r="N545" t="str">
        <f t="shared" si="87"/>
        <v>11WP01002784</v>
      </c>
      <c r="O545">
        <v>15</v>
      </c>
      <c r="Q545" t="str" cm="1">
        <f t="array" ref="Q545">_xlfn.IFS(AND(C545="",G545=""),"",LEFT(G545,1)="L","記載要",LEFT(G545,1)="W","",AND(C545,G545=""),"記載要")</f>
        <v/>
      </c>
      <c r="R545" s="21" t="str">
        <f t="shared" si="92"/>
        <v/>
      </c>
      <c r="S545" s="21"/>
      <c r="Z545" s="8"/>
      <c r="AA545">
        <v>1</v>
      </c>
      <c r="AB545">
        <f t="shared" si="88"/>
        <v>0</v>
      </c>
      <c r="AC545">
        <v>1</v>
      </c>
      <c r="AF545">
        <v>1</v>
      </c>
      <c r="AG545" s="8"/>
      <c r="AH545" s="8"/>
      <c r="AK545" cm="1">
        <f t="array" ref="AK545">_xlfn.IFS(B545="","",LEFT(G545,1)="L",1,LEFT(G545,1)="W",1,AND(LEFT(B545,1)="H",G545=""),0)</f>
        <v>1</v>
      </c>
      <c r="AS545" t="str">
        <f t="shared" si="89"/>
        <v/>
      </c>
      <c r="AT545" t="s">
        <v>115</v>
      </c>
      <c r="AU545" t="str">
        <f t="shared" si="90"/>
        <v>0</v>
      </c>
      <c r="BD545" t="str">
        <f t="shared" si="91"/>
        <v>0</v>
      </c>
      <c r="BK545" t="str">
        <f>IFERROR(VLOOKUP(B545,'[1]model_S-フレーム'!$F$5:$R$7000,13,1),"")</f>
        <v>E389568_01</v>
      </c>
      <c r="BL545" s="7">
        <f>IFERROR(VLOOKUP(B545,'[1]model_S-フレーム'!$F$5:$V$7000,17,1),"")</f>
        <v>0</v>
      </c>
      <c r="BM545" t="str" cm="1">
        <f t="array" ref="BM545">_xlfn.IFS(LEFT(G545,1)="L","外注品",LEFT(G545,1)="W","内製品",G545="","購買品")</f>
        <v>内製品</v>
      </c>
    </row>
    <row r="546" spans="1:65">
      <c r="A546" t="str">
        <f t="shared" si="83"/>
        <v>WG01</v>
      </c>
      <c r="B546" t="s">
        <v>656</v>
      </c>
      <c r="C546" t="s">
        <v>917</v>
      </c>
      <c r="D546" s="7"/>
      <c r="E546" s="7"/>
      <c r="G546" t="s">
        <v>1939</v>
      </c>
      <c r="H546" t="str" cm="1">
        <f t="array" ref="H546">IFERROR(_xlfn.IFS(B546="","",AND(B546="",G546=""),"",G546="","記載要"),"")</f>
        <v/>
      </c>
      <c r="K546" t="str">
        <f t="shared" si="84"/>
        <v>11WP01002785</v>
      </c>
      <c r="L546" s="3" t="str">
        <f t="shared" si="85"/>
        <v>2001/01/01</v>
      </c>
      <c r="M546" s="3" t="str">
        <f t="shared" si="86"/>
        <v>2199/12/31</v>
      </c>
      <c r="N546" t="str">
        <f t="shared" si="87"/>
        <v>11WP01002785</v>
      </c>
      <c r="O546">
        <v>15</v>
      </c>
      <c r="Q546" t="str" cm="1">
        <f t="array" ref="Q546">_xlfn.IFS(AND(C546="",G546=""),"",LEFT(G546,1)="L","記載要",LEFT(G546,1)="W","",AND(C546,G546=""),"記載要")</f>
        <v/>
      </c>
      <c r="R546" s="21" t="str">
        <f t="shared" si="92"/>
        <v/>
      </c>
      <c r="S546" s="21"/>
      <c r="Z546" s="8"/>
      <c r="AA546">
        <v>1</v>
      </c>
      <c r="AB546">
        <f t="shared" si="88"/>
        <v>0</v>
      </c>
      <c r="AC546">
        <v>1</v>
      </c>
      <c r="AF546">
        <v>1</v>
      </c>
      <c r="AG546" s="8"/>
      <c r="AH546" s="8"/>
      <c r="AK546" cm="1">
        <f t="array" ref="AK546">_xlfn.IFS(B546="","",LEFT(G546,1)="L",1,LEFT(G546,1)="W",1,AND(LEFT(B546,1)="H",G546=""),0)</f>
        <v>1</v>
      </c>
      <c r="AS546" t="str">
        <f t="shared" si="89"/>
        <v/>
      </c>
      <c r="AT546" t="s">
        <v>115</v>
      </c>
      <c r="AU546" t="str">
        <f t="shared" si="90"/>
        <v>0</v>
      </c>
      <c r="BD546" t="str">
        <f t="shared" si="91"/>
        <v>0</v>
      </c>
      <c r="BK546" t="str">
        <f>IFERROR(VLOOKUP(B546,'[1]model_S-フレーム'!$F$5:$R$7000,13,1),"")</f>
        <v>E389568_01</v>
      </c>
      <c r="BL546" s="7">
        <f>IFERROR(VLOOKUP(B546,'[1]model_S-フレーム'!$F$5:$V$7000,17,1),"")</f>
        <v>0</v>
      </c>
      <c r="BM546" t="str" cm="1">
        <f t="array" ref="BM546">_xlfn.IFS(LEFT(G546,1)="L","外注品",LEFT(G546,1)="W","内製品",G546="","購買品")</f>
        <v>内製品</v>
      </c>
    </row>
    <row r="547" spans="1:65">
      <c r="A547" t="str">
        <f t="shared" si="83"/>
        <v>WG01</v>
      </c>
      <c r="B547" t="s">
        <v>657</v>
      </c>
      <c r="C547" t="s">
        <v>917</v>
      </c>
      <c r="D547" s="7"/>
      <c r="E547" s="7"/>
      <c r="G547" t="s">
        <v>1939</v>
      </c>
      <c r="H547" t="str" cm="1">
        <f t="array" ref="H547">IFERROR(_xlfn.IFS(B547="","",AND(B547="",G547=""),"",G547="","記載要"),"")</f>
        <v/>
      </c>
      <c r="K547" t="str">
        <f t="shared" si="84"/>
        <v>11WP01002786</v>
      </c>
      <c r="L547" s="3" t="str">
        <f t="shared" si="85"/>
        <v>2001/01/01</v>
      </c>
      <c r="M547" s="3" t="str">
        <f t="shared" si="86"/>
        <v>2199/12/31</v>
      </c>
      <c r="N547" t="str">
        <f t="shared" si="87"/>
        <v>11WP01002786</v>
      </c>
      <c r="O547">
        <v>15</v>
      </c>
      <c r="Q547" t="str" cm="1">
        <f t="array" ref="Q547">_xlfn.IFS(AND(C547="",G547=""),"",LEFT(G547,1)="L","記載要",LEFT(G547,1)="W","",AND(C547,G547=""),"記載要")</f>
        <v/>
      </c>
      <c r="R547" s="21" t="str">
        <f t="shared" si="92"/>
        <v/>
      </c>
      <c r="S547" s="21"/>
      <c r="Z547" s="8"/>
      <c r="AA547">
        <v>1</v>
      </c>
      <c r="AB547">
        <f t="shared" si="88"/>
        <v>0</v>
      </c>
      <c r="AC547">
        <v>1</v>
      </c>
      <c r="AF547">
        <v>1</v>
      </c>
      <c r="AG547" s="8"/>
      <c r="AH547" s="8"/>
      <c r="AK547" cm="1">
        <f t="array" ref="AK547">_xlfn.IFS(B547="","",LEFT(G547,1)="L",1,LEFT(G547,1)="W",1,AND(LEFT(B547,1)="H",G547=""),0)</f>
        <v>1</v>
      </c>
      <c r="AS547" t="str">
        <f t="shared" si="89"/>
        <v/>
      </c>
      <c r="AT547" t="s">
        <v>115</v>
      </c>
      <c r="AU547" t="str">
        <f t="shared" si="90"/>
        <v>0</v>
      </c>
      <c r="BD547" t="str">
        <f t="shared" si="91"/>
        <v>0</v>
      </c>
      <c r="BK547" t="str">
        <f>IFERROR(VLOOKUP(B547,'[1]model_S-フレーム'!$F$5:$R$7000,13,1),"")</f>
        <v>E389568_01</v>
      </c>
      <c r="BL547" s="7">
        <f>IFERROR(VLOOKUP(B547,'[1]model_S-フレーム'!$F$5:$V$7000,17,1),"")</f>
        <v>0</v>
      </c>
      <c r="BM547" t="str" cm="1">
        <f t="array" ref="BM547">_xlfn.IFS(LEFT(G547,1)="L","外注品",LEFT(G547,1)="W","内製品",G547="","購買品")</f>
        <v>内製品</v>
      </c>
    </row>
    <row r="548" spans="1:65">
      <c r="A548" t="str">
        <f t="shared" si="83"/>
        <v>WG01</v>
      </c>
      <c r="B548" t="s">
        <v>658</v>
      </c>
      <c r="C548" t="s">
        <v>917</v>
      </c>
      <c r="D548" s="7"/>
      <c r="E548" s="7"/>
      <c r="G548" t="s">
        <v>1939</v>
      </c>
      <c r="H548" t="str" cm="1">
        <f t="array" ref="H548">IFERROR(_xlfn.IFS(B548="","",AND(B548="",G548=""),"",G548="","記載要"),"")</f>
        <v/>
      </c>
      <c r="K548" t="str">
        <f t="shared" si="84"/>
        <v>11WP01002787</v>
      </c>
      <c r="L548" s="3" t="str">
        <f t="shared" si="85"/>
        <v>2001/01/01</v>
      </c>
      <c r="M548" s="3" t="str">
        <f t="shared" si="86"/>
        <v>2199/12/31</v>
      </c>
      <c r="N548" t="str">
        <f t="shared" si="87"/>
        <v>11WP01002787</v>
      </c>
      <c r="O548">
        <v>15</v>
      </c>
      <c r="Q548" t="str" cm="1">
        <f t="array" ref="Q548">_xlfn.IFS(AND(C548="",G548=""),"",LEFT(G548,1)="L","記載要",LEFT(G548,1)="W","",AND(C548,G548=""),"記載要")</f>
        <v/>
      </c>
      <c r="R548" s="21" t="str">
        <f t="shared" si="92"/>
        <v/>
      </c>
      <c r="S548" s="21"/>
      <c r="Z548" s="8"/>
      <c r="AA548">
        <v>1</v>
      </c>
      <c r="AB548">
        <f t="shared" si="88"/>
        <v>0</v>
      </c>
      <c r="AC548">
        <v>1</v>
      </c>
      <c r="AF548">
        <v>1</v>
      </c>
      <c r="AG548" s="8"/>
      <c r="AH548" s="8"/>
      <c r="AK548" cm="1">
        <f t="array" ref="AK548">_xlfn.IFS(B548="","",LEFT(G548,1)="L",1,LEFT(G548,1)="W",1,AND(LEFT(B548,1)="H",G548=""),0)</f>
        <v>1</v>
      </c>
      <c r="AS548" t="str">
        <f t="shared" si="89"/>
        <v/>
      </c>
      <c r="AT548" t="s">
        <v>115</v>
      </c>
      <c r="AU548" t="str">
        <f t="shared" si="90"/>
        <v>0</v>
      </c>
      <c r="BD548" t="str">
        <f t="shared" si="91"/>
        <v>0</v>
      </c>
      <c r="BK548" t="str">
        <f>IFERROR(VLOOKUP(B548,'[1]model_S-フレーム'!$F$5:$R$7000,13,1),"")</f>
        <v>E389568_01</v>
      </c>
      <c r="BL548" s="7">
        <f>IFERROR(VLOOKUP(B548,'[1]model_S-フレーム'!$F$5:$V$7000,17,1),"")</f>
        <v>0</v>
      </c>
      <c r="BM548" t="str" cm="1">
        <f t="array" ref="BM548">_xlfn.IFS(LEFT(G548,1)="L","外注品",LEFT(G548,1)="W","内製品",G548="","購買品")</f>
        <v>内製品</v>
      </c>
    </row>
    <row r="549" spans="1:65">
      <c r="A549" t="str">
        <f t="shared" si="83"/>
        <v>WG01</v>
      </c>
      <c r="B549" t="s">
        <v>659</v>
      </c>
      <c r="C549" t="s">
        <v>917</v>
      </c>
      <c r="D549" s="7"/>
      <c r="E549" s="7"/>
      <c r="G549" t="s">
        <v>1939</v>
      </c>
      <c r="H549" t="str" cm="1">
        <f t="array" ref="H549">IFERROR(_xlfn.IFS(B549="","",AND(B549="",G549=""),"",G549="","記載要"),"")</f>
        <v/>
      </c>
      <c r="K549" t="str">
        <f t="shared" si="84"/>
        <v>11WP01002788</v>
      </c>
      <c r="L549" s="3" t="str">
        <f t="shared" si="85"/>
        <v>2001/01/01</v>
      </c>
      <c r="M549" s="3" t="str">
        <f t="shared" si="86"/>
        <v>2199/12/31</v>
      </c>
      <c r="N549" t="str">
        <f t="shared" si="87"/>
        <v>11WP01002788</v>
      </c>
      <c r="O549">
        <v>15</v>
      </c>
      <c r="Q549" t="str" cm="1">
        <f t="array" ref="Q549">_xlfn.IFS(AND(C549="",G549=""),"",LEFT(G549,1)="L","記載要",LEFT(G549,1)="W","",AND(C549,G549=""),"記載要")</f>
        <v/>
      </c>
      <c r="R549" s="21" t="str">
        <f t="shared" si="92"/>
        <v/>
      </c>
      <c r="S549" s="21"/>
      <c r="Z549" s="8"/>
      <c r="AA549">
        <v>1</v>
      </c>
      <c r="AB549">
        <f t="shared" si="88"/>
        <v>0</v>
      </c>
      <c r="AC549">
        <v>1</v>
      </c>
      <c r="AF549">
        <v>1</v>
      </c>
      <c r="AG549" s="8"/>
      <c r="AH549" s="8"/>
      <c r="AK549" cm="1">
        <f t="array" ref="AK549">_xlfn.IFS(B549="","",LEFT(G549,1)="L",1,LEFT(G549,1)="W",1,AND(LEFT(B549,1)="H",G549=""),0)</f>
        <v>1</v>
      </c>
      <c r="AS549" t="str">
        <f t="shared" si="89"/>
        <v/>
      </c>
      <c r="AT549" t="s">
        <v>115</v>
      </c>
      <c r="AU549" t="str">
        <f t="shared" si="90"/>
        <v>0</v>
      </c>
      <c r="BD549" t="str">
        <f t="shared" si="91"/>
        <v>0</v>
      </c>
      <c r="BK549" t="str">
        <f>IFERROR(VLOOKUP(B549,'[1]model_S-フレーム'!$F$5:$R$7000,13,1),"")</f>
        <v>E389568_01</v>
      </c>
      <c r="BL549" s="7">
        <f>IFERROR(VLOOKUP(B549,'[1]model_S-フレーム'!$F$5:$V$7000,17,1),"")</f>
        <v>0</v>
      </c>
      <c r="BM549" t="str" cm="1">
        <f t="array" ref="BM549">_xlfn.IFS(LEFT(G549,1)="L","外注品",LEFT(G549,1)="W","内製品",G549="","購買品")</f>
        <v>内製品</v>
      </c>
    </row>
    <row r="550" spans="1:65">
      <c r="A550" t="str">
        <f t="shared" si="83"/>
        <v>WG01</v>
      </c>
      <c r="B550" t="s">
        <v>660</v>
      </c>
      <c r="C550" t="s">
        <v>917</v>
      </c>
      <c r="D550" s="7"/>
      <c r="E550" s="7"/>
      <c r="G550" t="s">
        <v>1939</v>
      </c>
      <c r="H550" t="str" cm="1">
        <f t="array" ref="H550">IFERROR(_xlfn.IFS(B550="","",AND(B550="",G550=""),"",G550="","記載要"),"")</f>
        <v/>
      </c>
      <c r="K550" t="str">
        <f t="shared" si="84"/>
        <v>11WP01002789</v>
      </c>
      <c r="L550" s="3" t="str">
        <f t="shared" si="85"/>
        <v>2001/01/01</v>
      </c>
      <c r="M550" s="3" t="str">
        <f t="shared" si="86"/>
        <v>2199/12/31</v>
      </c>
      <c r="N550" t="str">
        <f t="shared" si="87"/>
        <v>11WP01002789</v>
      </c>
      <c r="O550">
        <v>15</v>
      </c>
      <c r="Q550" t="str" cm="1">
        <f t="array" ref="Q550">_xlfn.IFS(AND(C550="",G550=""),"",LEFT(G550,1)="L","記載要",LEFT(G550,1)="W","",AND(C550,G550=""),"記載要")</f>
        <v/>
      </c>
      <c r="R550" s="21" t="str">
        <f t="shared" si="92"/>
        <v/>
      </c>
      <c r="S550" s="21"/>
      <c r="Z550" s="8"/>
      <c r="AA550">
        <v>1</v>
      </c>
      <c r="AB550">
        <f t="shared" si="88"/>
        <v>0</v>
      </c>
      <c r="AC550">
        <v>1</v>
      </c>
      <c r="AF550">
        <v>1</v>
      </c>
      <c r="AG550" s="8"/>
      <c r="AH550" s="8"/>
      <c r="AK550" cm="1">
        <f t="array" ref="AK550">_xlfn.IFS(B550="","",LEFT(G550,1)="L",1,LEFT(G550,1)="W",1,AND(LEFT(B550,1)="H",G550=""),0)</f>
        <v>1</v>
      </c>
      <c r="AS550" t="str">
        <f t="shared" si="89"/>
        <v/>
      </c>
      <c r="AT550" t="s">
        <v>115</v>
      </c>
      <c r="AU550" t="str">
        <f t="shared" si="90"/>
        <v>0</v>
      </c>
      <c r="BD550" t="str">
        <f t="shared" si="91"/>
        <v>0</v>
      </c>
      <c r="BK550" t="str">
        <f>IFERROR(VLOOKUP(B550,'[1]model_S-フレーム'!$F$5:$R$7000,13,1),"")</f>
        <v>E389568_01</v>
      </c>
      <c r="BL550" s="7">
        <f>IFERROR(VLOOKUP(B550,'[1]model_S-フレーム'!$F$5:$V$7000,17,1),"")</f>
        <v>0</v>
      </c>
      <c r="BM550" t="str" cm="1">
        <f t="array" ref="BM550">_xlfn.IFS(LEFT(G550,1)="L","外注品",LEFT(G550,1)="W","内製品",G550="","購買品")</f>
        <v>内製品</v>
      </c>
    </row>
    <row r="551" spans="1:65">
      <c r="A551" t="str">
        <f t="shared" si="83"/>
        <v>WG01</v>
      </c>
      <c r="B551" t="s">
        <v>661</v>
      </c>
      <c r="C551" t="s">
        <v>917</v>
      </c>
      <c r="D551" s="7"/>
      <c r="E551" s="7"/>
      <c r="G551" t="s">
        <v>1939</v>
      </c>
      <c r="H551" t="str" cm="1">
        <f t="array" ref="H551">IFERROR(_xlfn.IFS(B551="","",AND(B551="",G551=""),"",G551="","記載要"),"")</f>
        <v/>
      </c>
      <c r="K551" t="str">
        <f t="shared" si="84"/>
        <v>11WP01002790</v>
      </c>
      <c r="L551" s="3" t="str">
        <f t="shared" si="85"/>
        <v>2001/01/01</v>
      </c>
      <c r="M551" s="3" t="str">
        <f t="shared" si="86"/>
        <v>2199/12/31</v>
      </c>
      <c r="N551" t="str">
        <f t="shared" si="87"/>
        <v>11WP01002790</v>
      </c>
      <c r="O551">
        <v>15</v>
      </c>
      <c r="Q551" t="str" cm="1">
        <f t="array" ref="Q551">_xlfn.IFS(AND(C551="",G551=""),"",LEFT(G551,1)="L","記載要",LEFT(G551,1)="W","",AND(C551,G551=""),"記載要")</f>
        <v/>
      </c>
      <c r="R551" s="21" t="str">
        <f t="shared" si="92"/>
        <v/>
      </c>
      <c r="S551" s="21"/>
      <c r="Z551" s="8"/>
      <c r="AA551">
        <v>1</v>
      </c>
      <c r="AB551">
        <f t="shared" si="88"/>
        <v>0</v>
      </c>
      <c r="AC551">
        <v>1</v>
      </c>
      <c r="AF551">
        <v>1</v>
      </c>
      <c r="AG551" s="8"/>
      <c r="AH551" s="8"/>
      <c r="AK551" cm="1">
        <f t="array" ref="AK551">_xlfn.IFS(B551="","",LEFT(G551,1)="L",1,LEFT(G551,1)="W",1,AND(LEFT(B551,1)="H",G551=""),0)</f>
        <v>1</v>
      </c>
      <c r="AS551" t="str">
        <f t="shared" si="89"/>
        <v/>
      </c>
      <c r="AT551" t="s">
        <v>115</v>
      </c>
      <c r="AU551" t="str">
        <f t="shared" si="90"/>
        <v>0</v>
      </c>
      <c r="BD551" t="str">
        <f t="shared" si="91"/>
        <v>0</v>
      </c>
      <c r="BK551" t="str">
        <f>IFERROR(VLOOKUP(B551,'[1]model_S-フレーム'!$F$5:$R$7000,13,1),"")</f>
        <v>E389568_01</v>
      </c>
      <c r="BL551" s="7">
        <f>IFERROR(VLOOKUP(B551,'[1]model_S-フレーム'!$F$5:$V$7000,17,1),"")</f>
        <v>0</v>
      </c>
      <c r="BM551" t="str" cm="1">
        <f t="array" ref="BM551">_xlfn.IFS(LEFT(G551,1)="L","外注品",LEFT(G551,1)="W","内製品",G551="","購買品")</f>
        <v>内製品</v>
      </c>
    </row>
    <row r="552" spans="1:65">
      <c r="A552" t="str">
        <f t="shared" si="83"/>
        <v>WG01</v>
      </c>
      <c r="B552" t="s">
        <v>662</v>
      </c>
      <c r="C552" t="s">
        <v>917</v>
      </c>
      <c r="D552" s="7"/>
      <c r="E552" s="7"/>
      <c r="G552" t="s">
        <v>1939</v>
      </c>
      <c r="H552" t="str" cm="1">
        <f t="array" ref="H552">IFERROR(_xlfn.IFS(B552="","",AND(B552="",G552=""),"",G552="","記載要"),"")</f>
        <v/>
      </c>
      <c r="K552" t="str">
        <f t="shared" si="84"/>
        <v>11WP01002791</v>
      </c>
      <c r="L552" s="3" t="str">
        <f t="shared" si="85"/>
        <v>2001/01/01</v>
      </c>
      <c r="M552" s="3" t="str">
        <f t="shared" si="86"/>
        <v>2199/12/31</v>
      </c>
      <c r="N552" t="str">
        <f t="shared" si="87"/>
        <v>11WP01002791</v>
      </c>
      <c r="O552">
        <v>15</v>
      </c>
      <c r="Q552" t="str" cm="1">
        <f t="array" ref="Q552">_xlfn.IFS(AND(C552="",G552=""),"",LEFT(G552,1)="L","記載要",LEFT(G552,1)="W","",AND(C552,G552=""),"記載要")</f>
        <v/>
      </c>
      <c r="R552" s="21" t="str">
        <f t="shared" si="92"/>
        <v/>
      </c>
      <c r="S552" s="21"/>
      <c r="Z552" s="8"/>
      <c r="AA552">
        <v>1</v>
      </c>
      <c r="AB552">
        <f t="shared" si="88"/>
        <v>0</v>
      </c>
      <c r="AC552">
        <v>1</v>
      </c>
      <c r="AF552">
        <v>1</v>
      </c>
      <c r="AG552" s="8"/>
      <c r="AH552" s="8"/>
      <c r="AK552" cm="1">
        <f t="array" ref="AK552">_xlfn.IFS(B552="","",LEFT(G552,1)="L",1,LEFT(G552,1)="W",1,AND(LEFT(B552,1)="H",G552=""),0)</f>
        <v>1</v>
      </c>
      <c r="AS552" t="str">
        <f t="shared" si="89"/>
        <v/>
      </c>
      <c r="AT552" t="s">
        <v>115</v>
      </c>
      <c r="AU552" t="str">
        <f t="shared" si="90"/>
        <v>0</v>
      </c>
      <c r="BD552" t="str">
        <f t="shared" si="91"/>
        <v>0</v>
      </c>
      <c r="BK552" t="str">
        <f>IFERROR(VLOOKUP(B552,'[1]model_S-フレーム'!$F$5:$R$7000,13,1),"")</f>
        <v>E389568_01</v>
      </c>
      <c r="BL552" s="7">
        <f>IFERROR(VLOOKUP(B552,'[1]model_S-フレーム'!$F$5:$V$7000,17,1),"")</f>
        <v>0</v>
      </c>
      <c r="BM552" t="str" cm="1">
        <f t="array" ref="BM552">_xlfn.IFS(LEFT(G552,1)="L","外注品",LEFT(G552,1)="W","内製品",G552="","購買品")</f>
        <v>内製品</v>
      </c>
    </row>
    <row r="553" spans="1:65">
      <c r="A553" t="str">
        <f t="shared" si="83"/>
        <v>WG01</v>
      </c>
      <c r="B553" t="s">
        <v>663</v>
      </c>
      <c r="C553" t="s">
        <v>917</v>
      </c>
      <c r="D553" s="7"/>
      <c r="E553" s="7"/>
      <c r="G553" t="s">
        <v>1939</v>
      </c>
      <c r="H553" t="str" cm="1">
        <f t="array" ref="H553">IFERROR(_xlfn.IFS(B553="","",AND(B553="",G553=""),"",G553="","記載要"),"")</f>
        <v/>
      </c>
      <c r="K553" t="str">
        <f t="shared" si="84"/>
        <v>11WP01002792</v>
      </c>
      <c r="L553" s="3" t="str">
        <f t="shared" si="85"/>
        <v>2001/01/01</v>
      </c>
      <c r="M553" s="3" t="str">
        <f t="shared" si="86"/>
        <v>2199/12/31</v>
      </c>
      <c r="N553" t="str">
        <f t="shared" si="87"/>
        <v>11WP01002792</v>
      </c>
      <c r="O553">
        <v>15</v>
      </c>
      <c r="Q553" t="str" cm="1">
        <f t="array" ref="Q553">_xlfn.IFS(AND(C553="",G553=""),"",LEFT(G553,1)="L","記載要",LEFT(G553,1)="W","",AND(C553,G553=""),"記載要")</f>
        <v/>
      </c>
      <c r="R553" s="21" t="str">
        <f t="shared" si="92"/>
        <v/>
      </c>
      <c r="S553" s="21"/>
      <c r="Z553" s="8"/>
      <c r="AA553">
        <v>1</v>
      </c>
      <c r="AB553">
        <f t="shared" si="88"/>
        <v>0</v>
      </c>
      <c r="AC553">
        <v>1</v>
      </c>
      <c r="AF553">
        <v>1</v>
      </c>
      <c r="AG553" s="8"/>
      <c r="AH553" s="8"/>
      <c r="AK553" cm="1">
        <f t="array" ref="AK553">_xlfn.IFS(B553="","",LEFT(G553,1)="L",1,LEFT(G553,1)="W",1,AND(LEFT(B553,1)="H",G553=""),0)</f>
        <v>1</v>
      </c>
      <c r="AS553" t="str">
        <f t="shared" si="89"/>
        <v/>
      </c>
      <c r="AT553" t="s">
        <v>115</v>
      </c>
      <c r="AU553" t="str">
        <f t="shared" si="90"/>
        <v>0</v>
      </c>
      <c r="BD553" t="str">
        <f t="shared" si="91"/>
        <v>0</v>
      </c>
      <c r="BK553" t="str">
        <f>IFERROR(VLOOKUP(B553,'[1]model_S-フレーム'!$F$5:$R$7000,13,1),"")</f>
        <v>E389568_01</v>
      </c>
      <c r="BL553" s="7">
        <f>IFERROR(VLOOKUP(B553,'[1]model_S-フレーム'!$F$5:$V$7000,17,1),"")</f>
        <v>0</v>
      </c>
      <c r="BM553" t="str" cm="1">
        <f t="array" ref="BM553">_xlfn.IFS(LEFT(G553,1)="L","外注品",LEFT(G553,1)="W","内製品",G553="","購買品")</f>
        <v>内製品</v>
      </c>
    </row>
    <row r="554" spans="1:65" s="11" customFormat="1">
      <c r="A554" t="str">
        <f t="shared" si="83"/>
        <v>WG01</v>
      </c>
      <c r="B554" t="s">
        <v>664</v>
      </c>
      <c r="C554" t="s">
        <v>918</v>
      </c>
      <c r="D554" s="7"/>
      <c r="E554" s="7"/>
      <c r="F554"/>
      <c r="G554"/>
      <c r="H554">
        <v>27616</v>
      </c>
      <c r="I554"/>
      <c r="J554"/>
      <c r="K554" t="str">
        <f t="shared" si="84"/>
        <v/>
      </c>
      <c r="L554" s="3" t="str">
        <f t="shared" si="85"/>
        <v>2001/01/01</v>
      </c>
      <c r="M554" s="3" t="str">
        <f t="shared" si="86"/>
        <v>2199/12/31</v>
      </c>
      <c r="N554" t="str">
        <f t="shared" si="87"/>
        <v/>
      </c>
      <c r="O554" t="str">
        <f>IF(G554="","","記載要")</f>
        <v/>
      </c>
      <c r="P554"/>
      <c r="Q554">
        <v>15</v>
      </c>
      <c r="R554" s="21">
        <v>100000000</v>
      </c>
      <c r="S554" s="21" t="str" cm="1">
        <f t="array" ref="S554">_xlfn.IFS(LEFT(G554,1)="L","記載要",LEFT(G554,1)="W","記載要",G554="","")</f>
        <v/>
      </c>
      <c r="T554"/>
      <c r="U554"/>
      <c r="V554"/>
      <c r="W554"/>
      <c r="X554"/>
      <c r="Y554"/>
      <c r="Z554" s="8"/>
      <c r="AA554" s="8">
        <v>1</v>
      </c>
      <c r="AB554">
        <f t="shared" si="88"/>
        <v>0</v>
      </c>
      <c r="AC554" s="8">
        <v>1</v>
      </c>
      <c r="AD554"/>
      <c r="AE554"/>
      <c r="AF554">
        <v>1</v>
      </c>
      <c r="AG554" s="8"/>
      <c r="AH554" s="8"/>
      <c r="AI554"/>
      <c r="AJ554"/>
      <c r="AK554" cm="1">
        <f t="array" ref="AK554">_xlfn.IFS(B554="","",LEFT(G554,1)="L",1,LEFT(G554,1)="W",1,AND(LEFT(B554,1)="H",G554=""),0)</f>
        <v>0</v>
      </c>
      <c r="AL554"/>
      <c r="AM554"/>
      <c r="AN554"/>
      <c r="AO554"/>
      <c r="AP554"/>
      <c r="AQ554"/>
      <c r="AR554"/>
      <c r="AS554">
        <f t="shared" si="89"/>
        <v>1</v>
      </c>
      <c r="AT554" t="s">
        <v>115</v>
      </c>
      <c r="AU554" t="str">
        <f t="shared" si="90"/>
        <v>0</v>
      </c>
      <c r="AV554"/>
      <c r="AW554"/>
      <c r="AX554"/>
      <c r="AY554"/>
      <c r="AZ554"/>
      <c r="BA554"/>
      <c r="BB554"/>
      <c r="BC554"/>
      <c r="BD554" t="str">
        <f t="shared" si="91"/>
        <v>0</v>
      </c>
      <c r="BE554"/>
      <c r="BF554"/>
      <c r="BG554"/>
      <c r="BH554"/>
      <c r="BI554"/>
      <c r="BJ554"/>
      <c r="BK554" s="11" t="str">
        <f>IFERROR(VLOOKUP(B554,'[1]model_S-フレーム'!$F$5:$R$7000,13,1),"")</f>
        <v>E389568_01</v>
      </c>
      <c r="BL554" s="12">
        <f>IFERROR(VLOOKUP(B554,'[1]model_S-フレーム'!$F$5:$V$7000,17,1),"")</f>
        <v>0</v>
      </c>
      <c r="BM554" s="11" t="str" cm="1">
        <f t="array" ref="BM554">_xlfn.IFS(LEFT(G554,1)="L","外注品",LEFT(G554,1)="W","内製品",G554="","購買品")</f>
        <v>購買品</v>
      </c>
    </row>
    <row r="555" spans="1:65" s="11" customFormat="1">
      <c r="A555" t="str">
        <f t="shared" si="83"/>
        <v>WG01</v>
      </c>
      <c r="B555" t="s">
        <v>664</v>
      </c>
      <c r="C555" t="s">
        <v>918</v>
      </c>
      <c r="D555" s="7"/>
      <c r="E555" s="7"/>
      <c r="F555"/>
      <c r="G555"/>
      <c r="H555">
        <v>43453</v>
      </c>
      <c r="I555"/>
      <c r="J555"/>
      <c r="K555" t="str">
        <f t="shared" si="84"/>
        <v/>
      </c>
      <c r="L555" s="3" t="str">
        <f t="shared" si="85"/>
        <v>2001/01/01</v>
      </c>
      <c r="M555" s="3" t="str">
        <f t="shared" si="86"/>
        <v>2199/12/31</v>
      </c>
      <c r="N555" t="str">
        <f t="shared" si="87"/>
        <v/>
      </c>
      <c r="O555" t="str">
        <f>IF(G555="","","記載要")</f>
        <v/>
      </c>
      <c r="P555"/>
      <c r="Q555">
        <v>15</v>
      </c>
      <c r="R555" s="21">
        <v>100000000</v>
      </c>
      <c r="S555" s="21" t="str" cm="1">
        <f t="array" ref="S555">_xlfn.IFS(LEFT(G555,1)="L","記載要",LEFT(G555,1)="W","記載要",G555="","")</f>
        <v/>
      </c>
      <c r="T555"/>
      <c r="U555"/>
      <c r="V555"/>
      <c r="W555"/>
      <c r="X555"/>
      <c r="Y555"/>
      <c r="Z555" s="8"/>
      <c r="AA555" s="8">
        <v>1</v>
      </c>
      <c r="AB555">
        <f t="shared" si="88"/>
        <v>0</v>
      </c>
      <c r="AC555" s="8">
        <v>1</v>
      </c>
      <c r="AD555"/>
      <c r="AE555"/>
      <c r="AF555">
        <v>0</v>
      </c>
      <c r="AG555" s="8"/>
      <c r="AH555" s="8"/>
      <c r="AI555"/>
      <c r="AJ555"/>
      <c r="AK555" cm="1">
        <f t="array" ref="AK555">_xlfn.IFS(B555="","",LEFT(G555,1)="L",1,LEFT(G555,1)="W",1,AND(LEFT(B555,1)="H",G555=""),0)</f>
        <v>0</v>
      </c>
      <c r="AL555"/>
      <c r="AM555"/>
      <c r="AN555"/>
      <c r="AO555"/>
      <c r="AP555"/>
      <c r="AQ555"/>
      <c r="AR555"/>
      <c r="AS555">
        <f t="shared" si="89"/>
        <v>1</v>
      </c>
      <c r="AT555" t="s">
        <v>115</v>
      </c>
      <c r="AU555" t="str">
        <f t="shared" si="90"/>
        <v>0</v>
      </c>
      <c r="AV555"/>
      <c r="AW555"/>
      <c r="AX555"/>
      <c r="AY555"/>
      <c r="AZ555"/>
      <c r="BA555"/>
      <c r="BB555"/>
      <c r="BC555"/>
      <c r="BD555" t="str">
        <f t="shared" si="91"/>
        <v>0</v>
      </c>
      <c r="BE555"/>
      <c r="BF555"/>
      <c r="BG555"/>
      <c r="BH555"/>
      <c r="BI555"/>
      <c r="BJ555"/>
      <c r="BK555" s="11" t="str">
        <f>IFERROR(VLOOKUP(B555,'[1]model_S-フレーム'!$F$5:$R$7000,13,1),"")</f>
        <v>E389568_01</v>
      </c>
      <c r="BL555" s="12">
        <f>IFERROR(VLOOKUP(B555,'[1]model_S-フレーム'!$F$5:$V$7000,17,1),"")</f>
        <v>0</v>
      </c>
      <c r="BM555" s="11" t="str" cm="1">
        <f t="array" ref="BM555">_xlfn.IFS(LEFT(G555,1)="L","外注品",LEFT(G555,1)="W","内製品",G555="","購買品")</f>
        <v>購買品</v>
      </c>
    </row>
    <row r="556" spans="1:65" s="11" customFormat="1">
      <c r="A556" t="str">
        <f t="shared" si="83"/>
        <v>WG01</v>
      </c>
      <c r="B556" t="s">
        <v>664</v>
      </c>
      <c r="C556" t="s">
        <v>918</v>
      </c>
      <c r="D556" s="7"/>
      <c r="E556" s="7"/>
      <c r="F556"/>
      <c r="G556"/>
      <c r="H556">
        <v>47081</v>
      </c>
      <c r="I556"/>
      <c r="J556"/>
      <c r="K556" t="str">
        <f t="shared" si="84"/>
        <v/>
      </c>
      <c r="L556" s="3" t="str">
        <f t="shared" si="85"/>
        <v>2001/01/01</v>
      </c>
      <c r="M556" s="3" t="str">
        <f t="shared" si="86"/>
        <v>2199/12/31</v>
      </c>
      <c r="N556" t="str">
        <f t="shared" si="87"/>
        <v/>
      </c>
      <c r="O556" t="str">
        <f>IF(G556="","","記載要")</f>
        <v/>
      </c>
      <c r="P556"/>
      <c r="Q556">
        <v>15</v>
      </c>
      <c r="R556" s="21">
        <v>100000000</v>
      </c>
      <c r="S556" s="21" t="str" cm="1">
        <f t="array" ref="S556">_xlfn.IFS(LEFT(G556,1)="L","記載要",LEFT(G556,1)="W","記載要",G556="","")</f>
        <v/>
      </c>
      <c r="T556"/>
      <c r="U556"/>
      <c r="V556"/>
      <c r="W556"/>
      <c r="X556"/>
      <c r="Y556"/>
      <c r="Z556" s="8"/>
      <c r="AA556" s="8">
        <v>1</v>
      </c>
      <c r="AB556">
        <f t="shared" si="88"/>
        <v>0</v>
      </c>
      <c r="AC556" s="8">
        <v>1</v>
      </c>
      <c r="AD556"/>
      <c r="AE556"/>
      <c r="AF556">
        <v>1</v>
      </c>
      <c r="AG556" s="8"/>
      <c r="AH556" s="8"/>
      <c r="AI556"/>
      <c r="AJ556"/>
      <c r="AK556" cm="1">
        <f t="array" ref="AK556">_xlfn.IFS(B556="","",LEFT(G556,1)="L",1,LEFT(G556,1)="W",1,AND(LEFT(B556,1)="H",G556=""),0)</f>
        <v>0</v>
      </c>
      <c r="AL556"/>
      <c r="AM556"/>
      <c r="AN556"/>
      <c r="AO556"/>
      <c r="AP556"/>
      <c r="AQ556"/>
      <c r="AR556"/>
      <c r="AS556">
        <f t="shared" si="89"/>
        <v>1</v>
      </c>
      <c r="AT556" t="s">
        <v>115</v>
      </c>
      <c r="AU556" t="str">
        <f t="shared" si="90"/>
        <v>0</v>
      </c>
      <c r="AV556"/>
      <c r="AW556"/>
      <c r="AX556"/>
      <c r="AY556"/>
      <c r="AZ556"/>
      <c r="BA556"/>
      <c r="BB556"/>
      <c r="BC556"/>
      <c r="BD556" t="str">
        <f t="shared" si="91"/>
        <v>0</v>
      </c>
      <c r="BE556"/>
      <c r="BF556"/>
      <c r="BG556"/>
      <c r="BH556"/>
      <c r="BI556"/>
      <c r="BJ556"/>
      <c r="BK556" s="11" t="str">
        <f>IFERROR(VLOOKUP(B556,'[1]model_S-フレーム'!$F$5:$R$7000,13,1),"")</f>
        <v>E389568_01</v>
      </c>
      <c r="BL556" s="12">
        <f>IFERROR(VLOOKUP(B556,'[1]model_S-フレーム'!$F$5:$V$7000,17,1),"")</f>
        <v>0</v>
      </c>
      <c r="BM556" s="11" t="str" cm="1">
        <f t="array" ref="BM556">_xlfn.IFS(LEFT(G556,1)="L","外注品",LEFT(G556,1)="W","内製品",G556="","購買品")</f>
        <v>購買品</v>
      </c>
    </row>
    <row r="557" spans="1:65">
      <c r="A557" t="str">
        <f t="shared" si="83"/>
        <v>WG01</v>
      </c>
      <c r="B557" t="s">
        <v>664</v>
      </c>
      <c r="C557" t="s">
        <v>918</v>
      </c>
      <c r="D557" s="7"/>
      <c r="E557" s="7"/>
      <c r="H557" s="19" t="s">
        <v>1937</v>
      </c>
      <c r="K557" t="str">
        <f t="shared" si="84"/>
        <v/>
      </c>
      <c r="L557" s="3" t="str">
        <f t="shared" si="85"/>
        <v>2001/01/01</v>
      </c>
      <c r="M557" s="3" t="str">
        <f t="shared" si="86"/>
        <v>2199/12/31</v>
      </c>
      <c r="N557" t="str">
        <f t="shared" si="87"/>
        <v/>
      </c>
      <c r="O557" t="str">
        <f>IF(G557="","","記載要")</f>
        <v/>
      </c>
      <c r="Q557">
        <v>15</v>
      </c>
      <c r="R557" s="21">
        <v>100000000</v>
      </c>
      <c r="S557" s="21" t="str" cm="1">
        <f t="array" ref="S557">_xlfn.IFS(LEFT(G557,1)="L","記載要",LEFT(G557,1)="W","記載要",G557="","")</f>
        <v/>
      </c>
      <c r="Z557" s="8"/>
      <c r="AA557" s="8">
        <v>1</v>
      </c>
      <c r="AB557">
        <f t="shared" si="88"/>
        <v>0</v>
      </c>
      <c r="AC557" s="8">
        <v>1</v>
      </c>
      <c r="AF557">
        <v>1</v>
      </c>
      <c r="AG557" s="8"/>
      <c r="AH557" s="8"/>
      <c r="AK557" cm="1">
        <f t="array" ref="AK557">_xlfn.IFS(B557="","",LEFT(G557,1)="L",1,LEFT(G557,1)="W",1,AND(LEFT(B557,1)="H",G557=""),0)</f>
        <v>0</v>
      </c>
      <c r="AS557">
        <f t="shared" si="89"/>
        <v>1</v>
      </c>
      <c r="AT557" t="s">
        <v>115</v>
      </c>
      <c r="AU557" t="str">
        <f t="shared" si="90"/>
        <v>0</v>
      </c>
      <c r="BD557" t="str">
        <f t="shared" si="91"/>
        <v>0</v>
      </c>
      <c r="BK557" t="str">
        <f>IFERROR(VLOOKUP(B557,'[1]model_S-フレーム'!$F$5:$R$7000,13,1),"")</f>
        <v>E389568_01</v>
      </c>
      <c r="BL557" s="7">
        <f>IFERROR(VLOOKUP(B557,'[1]model_S-フレーム'!$F$5:$V$7000,17,1),"")</f>
        <v>0</v>
      </c>
      <c r="BM557" t="str" cm="1">
        <f t="array" ref="BM557">_xlfn.IFS(LEFT(G557,1)="L","外注品",LEFT(G557,1)="W","内製品",G557="","購買品")</f>
        <v>購買品</v>
      </c>
    </row>
    <row r="558" spans="1:65">
      <c r="A558" t="str">
        <f t="shared" si="83"/>
        <v>WG01</v>
      </c>
      <c r="B558" t="s">
        <v>665</v>
      </c>
      <c r="C558" t="s">
        <v>919</v>
      </c>
      <c r="D558" s="7"/>
      <c r="E558" s="7"/>
      <c r="G558" t="s">
        <v>1939</v>
      </c>
      <c r="H558" t="str" cm="1">
        <f t="array" ref="H558">IFERROR(_xlfn.IFS(B558="","",AND(B558="",G558=""),"",G558="","記載要"),"")</f>
        <v/>
      </c>
      <c r="K558" t="str">
        <f t="shared" si="84"/>
        <v>11WP01002794</v>
      </c>
      <c r="L558" s="3" t="str">
        <f t="shared" si="85"/>
        <v>2001/01/01</v>
      </c>
      <c r="M558" s="3" t="str">
        <f t="shared" si="86"/>
        <v>2199/12/31</v>
      </c>
      <c r="N558" t="str">
        <f t="shared" si="87"/>
        <v>11WP01002794</v>
      </c>
      <c r="O558">
        <v>15</v>
      </c>
      <c r="Q558" t="str" cm="1">
        <f t="array" ref="Q558">_xlfn.IFS(AND(C558="",G558=""),"",LEFT(G558,1)="L","記載要",LEFT(G558,1)="W","",AND(C558,G558=""),"記載要")</f>
        <v/>
      </c>
      <c r="R558" s="21" t="str">
        <f t="shared" si="92"/>
        <v/>
      </c>
      <c r="S558" s="21"/>
      <c r="Z558" s="8"/>
      <c r="AA558">
        <v>1</v>
      </c>
      <c r="AB558">
        <f t="shared" si="88"/>
        <v>0</v>
      </c>
      <c r="AC558">
        <v>1</v>
      </c>
      <c r="AF558">
        <v>1</v>
      </c>
      <c r="AG558" s="8"/>
      <c r="AH558" s="8"/>
      <c r="AK558" cm="1">
        <f t="array" ref="AK558">_xlfn.IFS(B558="","",LEFT(G558,1)="L",1,LEFT(G558,1)="W",1,AND(LEFT(B558,1)="H",G558=""),0)</f>
        <v>1</v>
      </c>
      <c r="AS558" t="str">
        <f t="shared" si="89"/>
        <v/>
      </c>
      <c r="AT558" t="s">
        <v>115</v>
      </c>
      <c r="AU558" t="str">
        <f t="shared" si="90"/>
        <v>0</v>
      </c>
      <c r="BD558" t="str">
        <f t="shared" si="91"/>
        <v>0</v>
      </c>
      <c r="BK558" t="str">
        <f>IFERROR(VLOOKUP(B558,'[1]model_S-フレーム'!$F$5:$R$7000,13,1),"")</f>
        <v>E389570_01</v>
      </c>
      <c r="BL558" s="7">
        <f>IFERROR(VLOOKUP(B558,'[1]model_S-フレーム'!$F$5:$V$7000,17,1),"")</f>
        <v>0</v>
      </c>
      <c r="BM558" t="str" cm="1">
        <f t="array" ref="BM558">_xlfn.IFS(LEFT(G558,1)="L","外注品",LEFT(G558,1)="W","内製品",G558="","購買品")</f>
        <v>内製品</v>
      </c>
    </row>
    <row r="559" spans="1:65">
      <c r="A559" t="str">
        <f t="shared" si="83"/>
        <v>WG01</v>
      </c>
      <c r="B559" t="s">
        <v>666</v>
      </c>
      <c r="C559" t="s">
        <v>919</v>
      </c>
      <c r="D559" s="7"/>
      <c r="E559" s="7"/>
      <c r="G559" t="s">
        <v>1939</v>
      </c>
      <c r="H559" t="str" cm="1">
        <f t="array" ref="H559">IFERROR(_xlfn.IFS(B559="","",AND(B559="",G559=""),"",G559="","記載要"),"")</f>
        <v/>
      </c>
      <c r="K559" t="str">
        <f t="shared" si="84"/>
        <v>11WP01002795</v>
      </c>
      <c r="L559" s="3" t="str">
        <f t="shared" si="85"/>
        <v>2001/01/01</v>
      </c>
      <c r="M559" s="3" t="str">
        <f t="shared" si="86"/>
        <v>2199/12/31</v>
      </c>
      <c r="N559" t="str">
        <f t="shared" si="87"/>
        <v>11WP01002795</v>
      </c>
      <c r="O559">
        <v>15</v>
      </c>
      <c r="Q559" t="str" cm="1">
        <f t="array" ref="Q559">_xlfn.IFS(AND(C559="",G559=""),"",LEFT(G559,1)="L","記載要",LEFT(G559,1)="W","",AND(C559,G559=""),"記載要")</f>
        <v/>
      </c>
      <c r="R559" s="21" t="str">
        <f t="shared" si="92"/>
        <v/>
      </c>
      <c r="S559" s="21"/>
      <c r="Z559" s="8"/>
      <c r="AA559">
        <v>1</v>
      </c>
      <c r="AB559">
        <f t="shared" si="88"/>
        <v>0</v>
      </c>
      <c r="AC559">
        <v>1</v>
      </c>
      <c r="AF559">
        <v>1</v>
      </c>
      <c r="AG559" s="8"/>
      <c r="AH559" s="8"/>
      <c r="AK559" cm="1">
        <f t="array" ref="AK559">_xlfn.IFS(B559="","",LEFT(G559,1)="L",1,LEFT(G559,1)="W",1,AND(LEFT(B559,1)="H",G559=""),0)</f>
        <v>1</v>
      </c>
      <c r="AS559" t="str">
        <f t="shared" si="89"/>
        <v/>
      </c>
      <c r="AT559" t="s">
        <v>115</v>
      </c>
      <c r="AU559" t="str">
        <f t="shared" si="90"/>
        <v>0</v>
      </c>
      <c r="BD559" t="str">
        <f t="shared" si="91"/>
        <v>0</v>
      </c>
      <c r="BK559" t="str">
        <f>IFERROR(VLOOKUP(B559,'[1]model_S-フレーム'!$F$5:$R$7000,13,1),"")</f>
        <v>E389570_01</v>
      </c>
      <c r="BL559" s="7">
        <f>IFERROR(VLOOKUP(B559,'[1]model_S-フレーム'!$F$5:$V$7000,17,1),"")</f>
        <v>0</v>
      </c>
      <c r="BM559" t="str" cm="1">
        <f t="array" ref="BM559">_xlfn.IFS(LEFT(G559,1)="L","外注品",LEFT(G559,1)="W","内製品",G559="","購買品")</f>
        <v>内製品</v>
      </c>
    </row>
    <row r="560" spans="1:65">
      <c r="A560" t="str">
        <f t="shared" si="83"/>
        <v>WG01</v>
      </c>
      <c r="B560" t="s">
        <v>667</v>
      </c>
      <c r="C560" t="s">
        <v>919</v>
      </c>
      <c r="D560" s="7"/>
      <c r="E560" s="7"/>
      <c r="G560" t="s">
        <v>1939</v>
      </c>
      <c r="H560" t="str" cm="1">
        <f t="array" ref="H560">IFERROR(_xlfn.IFS(B560="","",AND(B560="",G560=""),"",G560="","記載要"),"")</f>
        <v/>
      </c>
      <c r="K560" t="str">
        <f t="shared" si="84"/>
        <v>11WP01002796</v>
      </c>
      <c r="L560" s="3" t="str">
        <f t="shared" si="85"/>
        <v>2001/01/01</v>
      </c>
      <c r="M560" s="3" t="str">
        <f t="shared" si="86"/>
        <v>2199/12/31</v>
      </c>
      <c r="N560" t="str">
        <f t="shared" si="87"/>
        <v>11WP01002796</v>
      </c>
      <c r="O560">
        <v>15</v>
      </c>
      <c r="Q560" t="str" cm="1">
        <f t="array" ref="Q560">_xlfn.IFS(AND(C560="",G560=""),"",LEFT(G560,1)="L","記載要",LEFT(G560,1)="W","",AND(C560,G560=""),"記載要")</f>
        <v/>
      </c>
      <c r="R560" s="21" t="str">
        <f t="shared" si="92"/>
        <v/>
      </c>
      <c r="S560" s="21"/>
      <c r="Z560" s="8"/>
      <c r="AA560">
        <v>1</v>
      </c>
      <c r="AB560">
        <f t="shared" si="88"/>
        <v>0</v>
      </c>
      <c r="AC560">
        <v>1</v>
      </c>
      <c r="AF560">
        <v>1</v>
      </c>
      <c r="AG560" s="8"/>
      <c r="AH560" s="8"/>
      <c r="AK560" cm="1">
        <f t="array" ref="AK560">_xlfn.IFS(B560="","",LEFT(G560,1)="L",1,LEFT(G560,1)="W",1,AND(LEFT(B560,1)="H",G560=""),0)</f>
        <v>1</v>
      </c>
      <c r="AS560" t="str">
        <f t="shared" si="89"/>
        <v/>
      </c>
      <c r="AT560" t="s">
        <v>115</v>
      </c>
      <c r="AU560" t="str">
        <f t="shared" si="90"/>
        <v>0</v>
      </c>
      <c r="BD560" t="str">
        <f t="shared" si="91"/>
        <v>0</v>
      </c>
      <c r="BK560" t="str">
        <f>IFERROR(VLOOKUP(B560,'[1]model_S-フレーム'!$F$5:$R$7000,13,1),"")</f>
        <v>E389570_01</v>
      </c>
      <c r="BL560" s="7">
        <f>IFERROR(VLOOKUP(B560,'[1]model_S-フレーム'!$F$5:$V$7000,17,1),"")</f>
        <v>0</v>
      </c>
      <c r="BM560" t="str" cm="1">
        <f t="array" ref="BM560">_xlfn.IFS(LEFT(G560,1)="L","外注品",LEFT(G560,1)="W","内製品",G560="","購買品")</f>
        <v>内製品</v>
      </c>
    </row>
    <row r="561" spans="1:65">
      <c r="A561" t="str">
        <f t="shared" si="83"/>
        <v>WG01</v>
      </c>
      <c r="B561" t="s">
        <v>668</v>
      </c>
      <c r="C561" t="s">
        <v>919</v>
      </c>
      <c r="D561" s="7"/>
      <c r="E561" s="7"/>
      <c r="G561" t="s">
        <v>1939</v>
      </c>
      <c r="H561" t="str" cm="1">
        <f t="array" ref="H561">IFERROR(_xlfn.IFS(B561="","",AND(B561="",G561=""),"",G561="","記載要"),"")</f>
        <v/>
      </c>
      <c r="K561" t="str">
        <f t="shared" si="84"/>
        <v>11WP01002797</v>
      </c>
      <c r="L561" s="3" t="str">
        <f t="shared" si="85"/>
        <v>2001/01/01</v>
      </c>
      <c r="M561" s="3" t="str">
        <f t="shared" si="86"/>
        <v>2199/12/31</v>
      </c>
      <c r="N561" t="str">
        <f t="shared" si="87"/>
        <v>11WP01002797</v>
      </c>
      <c r="O561">
        <v>15</v>
      </c>
      <c r="Q561" t="str" cm="1">
        <f t="array" ref="Q561">_xlfn.IFS(AND(C561="",G561=""),"",LEFT(G561,1)="L","記載要",LEFT(G561,1)="W","",AND(C561,G561=""),"記載要")</f>
        <v/>
      </c>
      <c r="R561" s="21" t="str">
        <f t="shared" si="92"/>
        <v/>
      </c>
      <c r="S561" s="21"/>
      <c r="Z561" s="8"/>
      <c r="AA561">
        <v>1</v>
      </c>
      <c r="AB561">
        <f t="shared" si="88"/>
        <v>0</v>
      </c>
      <c r="AC561">
        <v>1</v>
      </c>
      <c r="AF561">
        <v>1</v>
      </c>
      <c r="AG561" s="8"/>
      <c r="AH561" s="8"/>
      <c r="AK561" cm="1">
        <f t="array" ref="AK561">_xlfn.IFS(B561="","",LEFT(G561,1)="L",1,LEFT(G561,1)="W",1,AND(LEFT(B561,1)="H",G561=""),0)</f>
        <v>1</v>
      </c>
      <c r="AS561" t="str">
        <f t="shared" si="89"/>
        <v/>
      </c>
      <c r="AT561" t="s">
        <v>115</v>
      </c>
      <c r="AU561" t="str">
        <f t="shared" si="90"/>
        <v>0</v>
      </c>
      <c r="BD561" t="str">
        <f t="shared" si="91"/>
        <v>0</v>
      </c>
      <c r="BK561" t="str">
        <f>IFERROR(VLOOKUP(B561,'[1]model_S-フレーム'!$F$5:$R$7000,13,1),"")</f>
        <v>E389570_01</v>
      </c>
      <c r="BL561" s="7">
        <f>IFERROR(VLOOKUP(B561,'[1]model_S-フレーム'!$F$5:$V$7000,17,1),"")</f>
        <v>0</v>
      </c>
      <c r="BM561" t="str" cm="1">
        <f t="array" ref="BM561">_xlfn.IFS(LEFT(G561,1)="L","外注品",LEFT(G561,1)="W","内製品",G561="","購買品")</f>
        <v>内製品</v>
      </c>
    </row>
    <row r="562" spans="1:65">
      <c r="A562" t="str">
        <f t="shared" si="83"/>
        <v>WG01</v>
      </c>
      <c r="B562" t="s">
        <v>669</v>
      </c>
      <c r="C562" t="s">
        <v>919</v>
      </c>
      <c r="D562" s="7"/>
      <c r="E562" s="7"/>
      <c r="G562" t="s">
        <v>1939</v>
      </c>
      <c r="H562" t="str" cm="1">
        <f t="array" ref="H562">IFERROR(_xlfn.IFS(B562="","",AND(B562="",G562=""),"",G562="","記載要"),"")</f>
        <v/>
      </c>
      <c r="K562" t="str">
        <f t="shared" si="84"/>
        <v>11WP01002798</v>
      </c>
      <c r="L562" s="3" t="str">
        <f t="shared" si="85"/>
        <v>2001/01/01</v>
      </c>
      <c r="M562" s="3" t="str">
        <f t="shared" si="86"/>
        <v>2199/12/31</v>
      </c>
      <c r="N562" t="str">
        <f t="shared" si="87"/>
        <v>11WP01002798</v>
      </c>
      <c r="O562">
        <v>15</v>
      </c>
      <c r="Q562" t="str" cm="1">
        <f t="array" ref="Q562">_xlfn.IFS(AND(C562="",G562=""),"",LEFT(G562,1)="L","記載要",LEFT(G562,1)="W","",AND(C562,G562=""),"記載要")</f>
        <v/>
      </c>
      <c r="R562" s="21" t="str">
        <f t="shared" si="92"/>
        <v/>
      </c>
      <c r="S562" s="21"/>
      <c r="Z562" s="8"/>
      <c r="AA562">
        <v>1</v>
      </c>
      <c r="AB562">
        <f t="shared" si="88"/>
        <v>0</v>
      </c>
      <c r="AC562">
        <v>1</v>
      </c>
      <c r="AF562">
        <v>1</v>
      </c>
      <c r="AG562" s="8"/>
      <c r="AH562" s="8"/>
      <c r="AK562" cm="1">
        <f t="array" ref="AK562">_xlfn.IFS(B562="","",LEFT(G562,1)="L",1,LEFT(G562,1)="W",1,AND(LEFT(B562,1)="H",G562=""),0)</f>
        <v>1</v>
      </c>
      <c r="AS562" t="str">
        <f t="shared" si="89"/>
        <v/>
      </c>
      <c r="AT562" t="s">
        <v>115</v>
      </c>
      <c r="AU562" t="str">
        <f t="shared" si="90"/>
        <v>0</v>
      </c>
      <c r="BD562" t="str">
        <f t="shared" si="91"/>
        <v>0</v>
      </c>
      <c r="BK562" t="str">
        <f>IFERROR(VLOOKUP(B562,'[1]model_S-フレーム'!$F$5:$R$7000,13,1),"")</f>
        <v>E389570_01</v>
      </c>
      <c r="BL562" s="7">
        <f>IFERROR(VLOOKUP(B562,'[1]model_S-フレーム'!$F$5:$V$7000,17,1),"")</f>
        <v>0</v>
      </c>
      <c r="BM562" t="str" cm="1">
        <f t="array" ref="BM562">_xlfn.IFS(LEFT(G562,1)="L","外注品",LEFT(G562,1)="W","内製品",G562="","購買品")</f>
        <v>内製品</v>
      </c>
    </row>
    <row r="563" spans="1:65">
      <c r="A563" t="str">
        <f t="shared" si="83"/>
        <v>WG01</v>
      </c>
      <c r="B563" t="s">
        <v>670</v>
      </c>
      <c r="C563" t="s">
        <v>919</v>
      </c>
      <c r="D563" s="7"/>
      <c r="E563" s="7"/>
      <c r="G563" t="s">
        <v>1939</v>
      </c>
      <c r="H563" t="str" cm="1">
        <f t="array" ref="H563">IFERROR(_xlfn.IFS(B563="","",AND(B563="",G563=""),"",G563="","記載要"),"")</f>
        <v/>
      </c>
      <c r="K563" t="str">
        <f t="shared" si="84"/>
        <v>11WP01002799</v>
      </c>
      <c r="L563" s="3" t="str">
        <f t="shared" si="85"/>
        <v>2001/01/01</v>
      </c>
      <c r="M563" s="3" t="str">
        <f t="shared" si="86"/>
        <v>2199/12/31</v>
      </c>
      <c r="N563" t="str">
        <f t="shared" si="87"/>
        <v>11WP01002799</v>
      </c>
      <c r="O563">
        <v>15</v>
      </c>
      <c r="Q563" t="str" cm="1">
        <f t="array" ref="Q563">_xlfn.IFS(AND(C563="",G563=""),"",LEFT(G563,1)="L","記載要",LEFT(G563,1)="W","",AND(C563,G563=""),"記載要")</f>
        <v/>
      </c>
      <c r="R563" s="21" t="str">
        <f t="shared" si="92"/>
        <v/>
      </c>
      <c r="S563" s="21"/>
      <c r="Z563" s="8"/>
      <c r="AA563">
        <v>1</v>
      </c>
      <c r="AB563">
        <f t="shared" si="88"/>
        <v>0</v>
      </c>
      <c r="AC563">
        <v>1</v>
      </c>
      <c r="AF563">
        <v>1</v>
      </c>
      <c r="AG563" s="8"/>
      <c r="AH563" s="8"/>
      <c r="AK563" cm="1">
        <f t="array" ref="AK563">_xlfn.IFS(B563="","",LEFT(G563,1)="L",1,LEFT(G563,1)="W",1,AND(LEFT(B563,1)="H",G563=""),0)</f>
        <v>1</v>
      </c>
      <c r="AS563" t="str">
        <f t="shared" si="89"/>
        <v/>
      </c>
      <c r="AT563" t="s">
        <v>115</v>
      </c>
      <c r="AU563" t="str">
        <f t="shared" si="90"/>
        <v>0</v>
      </c>
      <c r="BD563" t="str">
        <f t="shared" si="91"/>
        <v>0</v>
      </c>
      <c r="BK563" t="str">
        <f>IFERROR(VLOOKUP(B563,'[1]model_S-フレーム'!$F$5:$R$7000,13,1),"")</f>
        <v>E389570_01</v>
      </c>
      <c r="BL563" s="7">
        <f>IFERROR(VLOOKUP(B563,'[1]model_S-フレーム'!$F$5:$V$7000,17,1),"")</f>
        <v>0</v>
      </c>
      <c r="BM563" t="str" cm="1">
        <f t="array" ref="BM563">_xlfn.IFS(LEFT(G563,1)="L","外注品",LEFT(G563,1)="W","内製品",G563="","購買品")</f>
        <v>内製品</v>
      </c>
    </row>
    <row r="564" spans="1:65">
      <c r="A564" t="str">
        <f t="shared" si="83"/>
        <v>WG01</v>
      </c>
      <c r="B564" t="s">
        <v>671</v>
      </c>
      <c r="C564" t="s">
        <v>919</v>
      </c>
      <c r="D564" s="7"/>
      <c r="E564" s="7"/>
      <c r="G564" t="s">
        <v>1939</v>
      </c>
      <c r="H564" t="str" cm="1">
        <f t="array" ref="H564">IFERROR(_xlfn.IFS(B564="","",AND(B564="",G564=""),"",G564="","記載要"),"")</f>
        <v/>
      </c>
      <c r="K564" t="str">
        <f t="shared" si="84"/>
        <v>11WP01002800</v>
      </c>
      <c r="L564" s="3" t="str">
        <f t="shared" si="85"/>
        <v>2001/01/01</v>
      </c>
      <c r="M564" s="3" t="str">
        <f t="shared" si="86"/>
        <v>2199/12/31</v>
      </c>
      <c r="N564" t="str">
        <f t="shared" si="87"/>
        <v>11WP01002800</v>
      </c>
      <c r="O564">
        <v>15</v>
      </c>
      <c r="Q564" t="str" cm="1">
        <f t="array" ref="Q564">_xlfn.IFS(AND(C564="",G564=""),"",LEFT(G564,1)="L","記載要",LEFT(G564,1)="W","",AND(C564,G564=""),"記載要")</f>
        <v/>
      </c>
      <c r="R564" s="21" t="str">
        <f t="shared" si="92"/>
        <v/>
      </c>
      <c r="S564" s="21"/>
      <c r="Z564" s="8"/>
      <c r="AA564">
        <v>1</v>
      </c>
      <c r="AB564">
        <f t="shared" si="88"/>
        <v>0</v>
      </c>
      <c r="AC564">
        <v>1</v>
      </c>
      <c r="AF564">
        <v>1</v>
      </c>
      <c r="AG564" s="8"/>
      <c r="AH564" s="8"/>
      <c r="AK564" cm="1">
        <f t="array" ref="AK564">_xlfn.IFS(B564="","",LEFT(G564,1)="L",1,LEFT(G564,1)="W",1,AND(LEFT(B564,1)="H",G564=""),0)</f>
        <v>1</v>
      </c>
      <c r="AS564" t="str">
        <f t="shared" si="89"/>
        <v/>
      </c>
      <c r="AT564" t="s">
        <v>115</v>
      </c>
      <c r="AU564" t="str">
        <f t="shared" si="90"/>
        <v>0</v>
      </c>
      <c r="BD564" t="str">
        <f t="shared" si="91"/>
        <v>0</v>
      </c>
      <c r="BK564" t="str">
        <f>IFERROR(VLOOKUP(B564,'[1]model_S-フレーム'!$F$5:$R$7000,13,1),"")</f>
        <v>E389570_01</v>
      </c>
      <c r="BL564" s="7">
        <f>IFERROR(VLOOKUP(B564,'[1]model_S-フレーム'!$F$5:$V$7000,17,1),"")</f>
        <v>0</v>
      </c>
      <c r="BM564" t="str" cm="1">
        <f t="array" ref="BM564">_xlfn.IFS(LEFT(G564,1)="L","外注品",LEFT(G564,1)="W","内製品",G564="","購買品")</f>
        <v>内製品</v>
      </c>
    </row>
    <row r="565" spans="1:65">
      <c r="A565" t="str">
        <f t="shared" si="83"/>
        <v>WG01</v>
      </c>
      <c r="B565" t="s">
        <v>672</v>
      </c>
      <c r="C565" t="s">
        <v>919</v>
      </c>
      <c r="D565" s="7"/>
      <c r="E565" s="7"/>
      <c r="G565" t="s">
        <v>1939</v>
      </c>
      <c r="H565" t="str" cm="1">
        <f t="array" ref="H565">IFERROR(_xlfn.IFS(B565="","",AND(B565="",G565=""),"",G565="","記載要"),"")</f>
        <v/>
      </c>
      <c r="K565" t="str">
        <f t="shared" si="84"/>
        <v>11WP01002801</v>
      </c>
      <c r="L565" s="3" t="str">
        <f t="shared" si="85"/>
        <v>2001/01/01</v>
      </c>
      <c r="M565" s="3" t="str">
        <f t="shared" si="86"/>
        <v>2199/12/31</v>
      </c>
      <c r="N565" t="str">
        <f t="shared" si="87"/>
        <v>11WP01002801</v>
      </c>
      <c r="O565">
        <v>15</v>
      </c>
      <c r="Q565" t="str" cm="1">
        <f t="array" ref="Q565">_xlfn.IFS(AND(C565="",G565=""),"",LEFT(G565,1)="L","記載要",LEFT(G565,1)="W","",AND(C565,G565=""),"記載要")</f>
        <v/>
      </c>
      <c r="R565" s="21" t="str">
        <f t="shared" si="92"/>
        <v/>
      </c>
      <c r="S565" s="21"/>
      <c r="Z565" s="8"/>
      <c r="AA565">
        <v>1</v>
      </c>
      <c r="AB565">
        <f t="shared" si="88"/>
        <v>0</v>
      </c>
      <c r="AC565">
        <v>1</v>
      </c>
      <c r="AF565">
        <v>1</v>
      </c>
      <c r="AG565" s="8"/>
      <c r="AH565" s="8"/>
      <c r="AK565" cm="1">
        <f t="array" ref="AK565">_xlfn.IFS(B565="","",LEFT(G565,1)="L",1,LEFT(G565,1)="W",1,AND(LEFT(B565,1)="H",G565=""),0)</f>
        <v>1</v>
      </c>
      <c r="AS565" t="str">
        <f t="shared" si="89"/>
        <v/>
      </c>
      <c r="AT565" t="s">
        <v>115</v>
      </c>
      <c r="AU565" t="str">
        <f t="shared" si="90"/>
        <v>0</v>
      </c>
      <c r="BD565" t="str">
        <f t="shared" si="91"/>
        <v>0</v>
      </c>
      <c r="BK565" t="str">
        <f>IFERROR(VLOOKUP(B565,'[1]model_S-フレーム'!$F$5:$R$7000,13,1),"")</f>
        <v>E389570_01</v>
      </c>
      <c r="BL565" s="7">
        <f>IFERROR(VLOOKUP(B565,'[1]model_S-フレーム'!$F$5:$V$7000,17,1),"")</f>
        <v>0</v>
      </c>
      <c r="BM565" t="str" cm="1">
        <f t="array" ref="BM565">_xlfn.IFS(LEFT(G565,1)="L","外注品",LEFT(G565,1)="W","内製品",G565="","購買品")</f>
        <v>内製品</v>
      </c>
    </row>
    <row r="566" spans="1:65">
      <c r="A566" t="str">
        <f t="shared" si="83"/>
        <v>WG01</v>
      </c>
      <c r="B566" t="s">
        <v>673</v>
      </c>
      <c r="C566" t="s">
        <v>919</v>
      </c>
      <c r="D566" s="7"/>
      <c r="E566" s="7"/>
      <c r="G566" t="s">
        <v>1939</v>
      </c>
      <c r="H566" t="str" cm="1">
        <f t="array" ref="H566">IFERROR(_xlfn.IFS(B566="","",AND(B566="",G566=""),"",G566="","記載要"),"")</f>
        <v/>
      </c>
      <c r="K566" t="str">
        <f t="shared" si="84"/>
        <v>11WP01002802</v>
      </c>
      <c r="L566" s="3" t="str">
        <f t="shared" si="85"/>
        <v>2001/01/01</v>
      </c>
      <c r="M566" s="3" t="str">
        <f t="shared" si="86"/>
        <v>2199/12/31</v>
      </c>
      <c r="N566" t="str">
        <f t="shared" si="87"/>
        <v>11WP01002802</v>
      </c>
      <c r="O566">
        <v>15</v>
      </c>
      <c r="Q566" t="str" cm="1">
        <f t="array" ref="Q566">_xlfn.IFS(AND(C566="",G566=""),"",LEFT(G566,1)="L","記載要",LEFT(G566,1)="W","",AND(C566,G566=""),"記載要")</f>
        <v/>
      </c>
      <c r="R566" s="21" t="str">
        <f t="shared" si="92"/>
        <v/>
      </c>
      <c r="S566" s="21"/>
      <c r="Z566" s="8"/>
      <c r="AA566">
        <v>1</v>
      </c>
      <c r="AB566">
        <f t="shared" si="88"/>
        <v>0</v>
      </c>
      <c r="AC566">
        <v>1</v>
      </c>
      <c r="AF566">
        <v>1</v>
      </c>
      <c r="AG566" s="8"/>
      <c r="AH566" s="8"/>
      <c r="AK566" cm="1">
        <f t="array" ref="AK566">_xlfn.IFS(B566="","",LEFT(G566,1)="L",1,LEFT(G566,1)="W",1,AND(LEFT(B566,1)="H",G566=""),0)</f>
        <v>1</v>
      </c>
      <c r="AS566" t="str">
        <f t="shared" si="89"/>
        <v/>
      </c>
      <c r="AT566" t="s">
        <v>115</v>
      </c>
      <c r="AU566" t="str">
        <f t="shared" si="90"/>
        <v>0</v>
      </c>
      <c r="BD566" t="str">
        <f t="shared" si="91"/>
        <v>0</v>
      </c>
      <c r="BK566" t="str">
        <f>IFERROR(VLOOKUP(B566,'[1]model_S-フレーム'!$F$5:$R$7000,13,1),"")</f>
        <v>E389570_01</v>
      </c>
      <c r="BL566" s="7">
        <f>IFERROR(VLOOKUP(B566,'[1]model_S-フレーム'!$F$5:$V$7000,17,1),"")</f>
        <v>0</v>
      </c>
      <c r="BM566" t="str" cm="1">
        <f t="array" ref="BM566">_xlfn.IFS(LEFT(G566,1)="L","外注品",LEFT(G566,1)="W","内製品",G566="","購買品")</f>
        <v>内製品</v>
      </c>
    </row>
    <row r="567" spans="1:65">
      <c r="A567" t="str">
        <f t="shared" si="83"/>
        <v>WG01</v>
      </c>
      <c r="B567" t="s">
        <v>674</v>
      </c>
      <c r="C567" t="s">
        <v>919</v>
      </c>
      <c r="D567" s="7"/>
      <c r="E567" s="7"/>
      <c r="G567" t="s">
        <v>1939</v>
      </c>
      <c r="H567" t="str" cm="1">
        <f t="array" ref="H567">IFERROR(_xlfn.IFS(B567="","",AND(B567="",G567=""),"",G567="","記載要"),"")</f>
        <v/>
      </c>
      <c r="K567" t="str">
        <f t="shared" si="84"/>
        <v>11WP01002803</v>
      </c>
      <c r="L567" s="3" t="str">
        <f t="shared" si="85"/>
        <v>2001/01/01</v>
      </c>
      <c r="M567" s="3" t="str">
        <f t="shared" si="86"/>
        <v>2199/12/31</v>
      </c>
      <c r="N567" t="str">
        <f t="shared" si="87"/>
        <v>11WP01002803</v>
      </c>
      <c r="O567">
        <v>15</v>
      </c>
      <c r="Q567" t="str" cm="1">
        <f t="array" ref="Q567">_xlfn.IFS(AND(C567="",G567=""),"",LEFT(G567,1)="L","記載要",LEFT(G567,1)="W","",AND(C567,G567=""),"記載要")</f>
        <v/>
      </c>
      <c r="R567" s="21" t="str">
        <f t="shared" si="92"/>
        <v/>
      </c>
      <c r="S567" s="21"/>
      <c r="Z567" s="8"/>
      <c r="AA567">
        <v>1</v>
      </c>
      <c r="AB567">
        <f t="shared" si="88"/>
        <v>0</v>
      </c>
      <c r="AC567">
        <v>1</v>
      </c>
      <c r="AF567">
        <v>1</v>
      </c>
      <c r="AG567" s="8"/>
      <c r="AH567" s="8"/>
      <c r="AK567" cm="1">
        <f t="array" ref="AK567">_xlfn.IFS(B567="","",LEFT(G567,1)="L",1,LEFT(G567,1)="W",1,AND(LEFT(B567,1)="H",G567=""),0)</f>
        <v>1</v>
      </c>
      <c r="AS567" t="str">
        <f t="shared" si="89"/>
        <v/>
      </c>
      <c r="AT567" t="s">
        <v>115</v>
      </c>
      <c r="AU567" t="str">
        <f t="shared" si="90"/>
        <v>0</v>
      </c>
      <c r="BD567" t="str">
        <f t="shared" si="91"/>
        <v>0</v>
      </c>
      <c r="BK567" t="str">
        <f>IFERROR(VLOOKUP(B567,'[1]model_S-フレーム'!$F$5:$R$7000,13,1),"")</f>
        <v>E389570_01</v>
      </c>
      <c r="BL567" s="7">
        <f>IFERROR(VLOOKUP(B567,'[1]model_S-フレーム'!$F$5:$V$7000,17,1),"")</f>
        <v>0</v>
      </c>
      <c r="BM567" t="str" cm="1">
        <f t="array" ref="BM567">_xlfn.IFS(LEFT(G567,1)="L","外注品",LEFT(G567,1)="W","内製品",G567="","購買品")</f>
        <v>内製品</v>
      </c>
    </row>
    <row r="568" spans="1:65">
      <c r="A568" t="str">
        <f t="shared" si="83"/>
        <v>WG01</v>
      </c>
      <c r="B568" t="s">
        <v>675</v>
      </c>
      <c r="C568" t="s">
        <v>919</v>
      </c>
      <c r="D568" s="7"/>
      <c r="E568" s="7"/>
      <c r="G568" t="s">
        <v>1939</v>
      </c>
      <c r="H568" t="str" cm="1">
        <f t="array" ref="H568">IFERROR(_xlfn.IFS(B568="","",AND(B568="",G568=""),"",G568="","記載要"),"")</f>
        <v/>
      </c>
      <c r="K568" t="str">
        <f t="shared" si="84"/>
        <v>11WP01002804</v>
      </c>
      <c r="L568" s="3" t="str">
        <f t="shared" si="85"/>
        <v>2001/01/01</v>
      </c>
      <c r="M568" s="3" t="str">
        <f t="shared" si="86"/>
        <v>2199/12/31</v>
      </c>
      <c r="N568" t="str">
        <f t="shared" si="87"/>
        <v>11WP01002804</v>
      </c>
      <c r="O568">
        <v>15</v>
      </c>
      <c r="Q568" t="str" cm="1">
        <f t="array" ref="Q568">_xlfn.IFS(AND(C568="",G568=""),"",LEFT(G568,1)="L","記載要",LEFT(G568,1)="W","",AND(C568,G568=""),"記載要")</f>
        <v/>
      </c>
      <c r="R568" s="21" t="str">
        <f t="shared" si="92"/>
        <v/>
      </c>
      <c r="S568" s="21"/>
      <c r="Z568" s="8"/>
      <c r="AA568">
        <v>1</v>
      </c>
      <c r="AB568">
        <f t="shared" si="88"/>
        <v>0</v>
      </c>
      <c r="AC568">
        <v>1</v>
      </c>
      <c r="AF568">
        <v>1</v>
      </c>
      <c r="AG568" s="8"/>
      <c r="AH568" s="8"/>
      <c r="AK568" cm="1">
        <f t="array" ref="AK568">_xlfn.IFS(B568="","",LEFT(G568,1)="L",1,LEFT(G568,1)="W",1,AND(LEFT(B568,1)="H",G568=""),0)</f>
        <v>1</v>
      </c>
      <c r="AS568" t="str">
        <f t="shared" si="89"/>
        <v/>
      </c>
      <c r="AT568" t="s">
        <v>115</v>
      </c>
      <c r="AU568" t="str">
        <f t="shared" si="90"/>
        <v>0</v>
      </c>
      <c r="BD568" t="str">
        <f t="shared" si="91"/>
        <v>0</v>
      </c>
      <c r="BK568" t="str">
        <f>IFERROR(VLOOKUP(B568,'[1]model_S-フレーム'!$F$5:$R$7000,13,1),"")</f>
        <v>E389570_01</v>
      </c>
      <c r="BL568" s="7">
        <f>IFERROR(VLOOKUP(B568,'[1]model_S-フレーム'!$F$5:$V$7000,17,1),"")</f>
        <v>0</v>
      </c>
      <c r="BM568" t="str" cm="1">
        <f t="array" ref="BM568">_xlfn.IFS(LEFT(G568,1)="L","外注品",LEFT(G568,1)="W","内製品",G568="","購買品")</f>
        <v>内製品</v>
      </c>
    </row>
    <row r="569" spans="1:65">
      <c r="A569" t="str">
        <f t="shared" si="83"/>
        <v>WG01</v>
      </c>
      <c r="B569" t="s">
        <v>676</v>
      </c>
      <c r="C569" t="s">
        <v>919</v>
      </c>
      <c r="D569" s="7"/>
      <c r="E569" s="7"/>
      <c r="G569" t="s">
        <v>1939</v>
      </c>
      <c r="H569" t="str" cm="1">
        <f t="array" ref="H569">IFERROR(_xlfn.IFS(B569="","",AND(B569="",G569=""),"",G569="","記載要"),"")</f>
        <v/>
      </c>
      <c r="K569" t="str">
        <f t="shared" si="84"/>
        <v>11WP01002805</v>
      </c>
      <c r="L569" s="3" t="str">
        <f t="shared" si="85"/>
        <v>2001/01/01</v>
      </c>
      <c r="M569" s="3" t="str">
        <f t="shared" si="86"/>
        <v>2199/12/31</v>
      </c>
      <c r="N569" t="str">
        <f t="shared" si="87"/>
        <v>11WP01002805</v>
      </c>
      <c r="O569">
        <v>15</v>
      </c>
      <c r="Q569" t="str" cm="1">
        <f t="array" ref="Q569">_xlfn.IFS(AND(C569="",G569=""),"",LEFT(G569,1)="L","記載要",LEFT(G569,1)="W","",AND(C569,G569=""),"記載要")</f>
        <v/>
      </c>
      <c r="R569" s="21" t="str">
        <f t="shared" si="92"/>
        <v/>
      </c>
      <c r="S569" s="21"/>
      <c r="Z569" s="8"/>
      <c r="AA569">
        <v>1</v>
      </c>
      <c r="AB569">
        <f t="shared" si="88"/>
        <v>0</v>
      </c>
      <c r="AC569">
        <v>1</v>
      </c>
      <c r="AF569">
        <v>1</v>
      </c>
      <c r="AG569" s="8"/>
      <c r="AH569" s="8"/>
      <c r="AK569" cm="1">
        <f t="array" ref="AK569">_xlfn.IFS(B569="","",LEFT(G569,1)="L",1,LEFT(G569,1)="W",1,AND(LEFT(B569,1)="H",G569=""),0)</f>
        <v>1</v>
      </c>
      <c r="AS569" t="str">
        <f t="shared" si="89"/>
        <v/>
      </c>
      <c r="AT569" t="s">
        <v>115</v>
      </c>
      <c r="AU569" t="str">
        <f t="shared" si="90"/>
        <v>0</v>
      </c>
      <c r="BD569" t="str">
        <f t="shared" si="91"/>
        <v>0</v>
      </c>
      <c r="BK569" t="str">
        <f>IFERROR(VLOOKUP(B569,'[1]model_S-フレーム'!$F$5:$R$7000,13,1),"")</f>
        <v>E389570_01</v>
      </c>
      <c r="BL569" s="7">
        <f>IFERROR(VLOOKUP(B569,'[1]model_S-フレーム'!$F$5:$V$7000,17,1),"")</f>
        <v>0</v>
      </c>
      <c r="BM569" t="str" cm="1">
        <f t="array" ref="BM569">_xlfn.IFS(LEFT(G569,1)="L","外注品",LEFT(G569,1)="W","内製品",G569="","購買品")</f>
        <v>内製品</v>
      </c>
    </row>
    <row r="570" spans="1:65">
      <c r="A570" t="str">
        <f t="shared" si="83"/>
        <v>WG01</v>
      </c>
      <c r="B570" t="s">
        <v>677</v>
      </c>
      <c r="C570" t="s">
        <v>919</v>
      </c>
      <c r="D570" s="7"/>
      <c r="E570" s="7"/>
      <c r="G570" t="s">
        <v>1939</v>
      </c>
      <c r="H570" t="str" cm="1">
        <f t="array" ref="H570">IFERROR(_xlfn.IFS(B570="","",AND(B570="",G570=""),"",G570="","記載要"),"")</f>
        <v/>
      </c>
      <c r="K570" t="str">
        <f t="shared" si="84"/>
        <v>11WP01002806</v>
      </c>
      <c r="L570" s="3" t="str">
        <f t="shared" si="85"/>
        <v>2001/01/01</v>
      </c>
      <c r="M570" s="3" t="str">
        <f t="shared" si="86"/>
        <v>2199/12/31</v>
      </c>
      <c r="N570" t="str">
        <f t="shared" si="87"/>
        <v>11WP01002806</v>
      </c>
      <c r="O570">
        <v>15</v>
      </c>
      <c r="Q570" t="str" cm="1">
        <f t="array" ref="Q570">_xlfn.IFS(AND(C570="",G570=""),"",LEFT(G570,1)="L","記載要",LEFT(G570,1)="W","",AND(C570,G570=""),"記載要")</f>
        <v/>
      </c>
      <c r="R570" s="21" t="str">
        <f t="shared" si="92"/>
        <v/>
      </c>
      <c r="S570" s="21"/>
      <c r="Z570" s="8"/>
      <c r="AA570">
        <v>1</v>
      </c>
      <c r="AB570">
        <f t="shared" si="88"/>
        <v>0</v>
      </c>
      <c r="AC570">
        <v>1</v>
      </c>
      <c r="AF570">
        <v>1</v>
      </c>
      <c r="AG570" s="8"/>
      <c r="AH570" s="8"/>
      <c r="AK570" cm="1">
        <f t="array" ref="AK570">_xlfn.IFS(B570="","",LEFT(G570,1)="L",1,LEFT(G570,1)="W",1,AND(LEFT(B570,1)="H",G570=""),0)</f>
        <v>1</v>
      </c>
      <c r="AS570" t="str">
        <f t="shared" si="89"/>
        <v/>
      </c>
      <c r="AT570" t="s">
        <v>115</v>
      </c>
      <c r="AU570" t="str">
        <f t="shared" si="90"/>
        <v>0</v>
      </c>
      <c r="BD570" t="str">
        <f t="shared" si="91"/>
        <v>0</v>
      </c>
      <c r="BK570" t="str">
        <f>IFERROR(VLOOKUP(B570,'[1]model_S-フレーム'!$F$5:$R$7000,13,1),"")</f>
        <v>E389570_01</v>
      </c>
      <c r="BL570" s="7">
        <f>IFERROR(VLOOKUP(B570,'[1]model_S-フレーム'!$F$5:$V$7000,17,1),"")</f>
        <v>0</v>
      </c>
      <c r="BM570" t="str" cm="1">
        <f t="array" ref="BM570">_xlfn.IFS(LEFT(G570,1)="L","外注品",LEFT(G570,1)="W","内製品",G570="","購買品")</f>
        <v>内製品</v>
      </c>
    </row>
    <row r="571" spans="1:65">
      <c r="A571" t="str">
        <f t="shared" si="83"/>
        <v>WG01</v>
      </c>
      <c r="B571" t="s">
        <v>678</v>
      </c>
      <c r="C571" t="s">
        <v>919</v>
      </c>
      <c r="D571" s="7"/>
      <c r="E571" s="7"/>
      <c r="G571" t="s">
        <v>1939</v>
      </c>
      <c r="H571" t="str" cm="1">
        <f t="array" ref="H571">IFERROR(_xlfn.IFS(B571="","",AND(B571="",G571=""),"",G571="","記載要"),"")</f>
        <v/>
      </c>
      <c r="K571" t="str">
        <f t="shared" si="84"/>
        <v>11WP01002807</v>
      </c>
      <c r="L571" s="3" t="str">
        <f t="shared" si="85"/>
        <v>2001/01/01</v>
      </c>
      <c r="M571" s="3" t="str">
        <f t="shared" si="86"/>
        <v>2199/12/31</v>
      </c>
      <c r="N571" t="str">
        <f t="shared" si="87"/>
        <v>11WP01002807</v>
      </c>
      <c r="O571">
        <v>15</v>
      </c>
      <c r="Q571" t="str" cm="1">
        <f t="array" ref="Q571">_xlfn.IFS(AND(C571="",G571=""),"",LEFT(G571,1)="L","記載要",LEFT(G571,1)="W","",AND(C571,G571=""),"記載要")</f>
        <v/>
      </c>
      <c r="R571" s="21" t="str">
        <f t="shared" si="92"/>
        <v/>
      </c>
      <c r="S571" s="21"/>
      <c r="Z571" s="8"/>
      <c r="AA571">
        <v>1</v>
      </c>
      <c r="AB571">
        <f t="shared" si="88"/>
        <v>0</v>
      </c>
      <c r="AC571">
        <v>1</v>
      </c>
      <c r="AF571">
        <v>1</v>
      </c>
      <c r="AG571" s="8"/>
      <c r="AH571" s="8"/>
      <c r="AK571" cm="1">
        <f t="array" ref="AK571">_xlfn.IFS(B571="","",LEFT(G571,1)="L",1,LEFT(G571,1)="W",1,AND(LEFT(B571,1)="H",G571=""),0)</f>
        <v>1</v>
      </c>
      <c r="AS571" t="str">
        <f t="shared" si="89"/>
        <v/>
      </c>
      <c r="AT571" t="s">
        <v>115</v>
      </c>
      <c r="AU571" t="str">
        <f t="shared" si="90"/>
        <v>0</v>
      </c>
      <c r="BD571" t="str">
        <f t="shared" si="91"/>
        <v>0</v>
      </c>
      <c r="BK571" t="str">
        <f>IFERROR(VLOOKUP(B571,'[1]model_S-フレーム'!$F$5:$R$7000,13,1),"")</f>
        <v>E389570_01</v>
      </c>
      <c r="BL571" s="7">
        <f>IFERROR(VLOOKUP(B571,'[1]model_S-フレーム'!$F$5:$V$7000,17,1),"")</f>
        <v>0</v>
      </c>
      <c r="BM571" t="str" cm="1">
        <f t="array" ref="BM571">_xlfn.IFS(LEFT(G571,1)="L","外注品",LEFT(G571,1)="W","内製品",G571="","購買品")</f>
        <v>内製品</v>
      </c>
    </row>
    <row r="572" spans="1:65">
      <c r="A572" t="str">
        <f t="shared" si="83"/>
        <v>WG01</v>
      </c>
      <c r="B572" t="s">
        <v>679</v>
      </c>
      <c r="C572" t="s">
        <v>919</v>
      </c>
      <c r="D572" s="7"/>
      <c r="E572" s="7"/>
      <c r="G572" t="s">
        <v>1939</v>
      </c>
      <c r="H572" t="str" cm="1">
        <f t="array" ref="H572">IFERROR(_xlfn.IFS(B572="","",AND(B572="",G572=""),"",G572="","記載要"),"")</f>
        <v/>
      </c>
      <c r="K572" t="str">
        <f t="shared" si="84"/>
        <v>11WP01002808</v>
      </c>
      <c r="L572" s="3" t="str">
        <f t="shared" si="85"/>
        <v>2001/01/01</v>
      </c>
      <c r="M572" s="3" t="str">
        <f t="shared" si="86"/>
        <v>2199/12/31</v>
      </c>
      <c r="N572" t="str">
        <f t="shared" si="87"/>
        <v>11WP01002808</v>
      </c>
      <c r="O572">
        <v>15</v>
      </c>
      <c r="Q572" t="str" cm="1">
        <f t="array" ref="Q572">_xlfn.IFS(AND(C572="",G572=""),"",LEFT(G572,1)="L","記載要",LEFT(G572,1)="W","",AND(C572,G572=""),"記載要")</f>
        <v/>
      </c>
      <c r="R572" s="21" t="str">
        <f t="shared" si="92"/>
        <v/>
      </c>
      <c r="S572" s="21"/>
      <c r="Z572" s="8"/>
      <c r="AA572">
        <v>1</v>
      </c>
      <c r="AB572">
        <f t="shared" si="88"/>
        <v>0</v>
      </c>
      <c r="AC572">
        <v>1</v>
      </c>
      <c r="AF572">
        <v>1</v>
      </c>
      <c r="AG572" s="8"/>
      <c r="AH572" s="8"/>
      <c r="AK572" cm="1">
        <f t="array" ref="AK572">_xlfn.IFS(B572="","",LEFT(G572,1)="L",1,LEFT(G572,1)="W",1,AND(LEFT(B572,1)="H",G572=""),0)</f>
        <v>1</v>
      </c>
      <c r="AS572" t="str">
        <f t="shared" si="89"/>
        <v/>
      </c>
      <c r="AT572" t="s">
        <v>115</v>
      </c>
      <c r="AU572" t="str">
        <f t="shared" si="90"/>
        <v>0</v>
      </c>
      <c r="BD572" t="str">
        <f t="shared" si="91"/>
        <v>0</v>
      </c>
      <c r="BK572" t="str">
        <f>IFERROR(VLOOKUP(B572,'[1]model_S-フレーム'!$F$5:$R$7000,13,1),"")</f>
        <v>E389570_01</v>
      </c>
      <c r="BL572" s="7">
        <f>IFERROR(VLOOKUP(B572,'[1]model_S-フレーム'!$F$5:$V$7000,17,1),"")</f>
        <v>0</v>
      </c>
      <c r="BM572" t="str" cm="1">
        <f t="array" ref="BM572">_xlfn.IFS(LEFT(G572,1)="L","外注品",LEFT(G572,1)="W","内製品",G572="","購買品")</f>
        <v>内製品</v>
      </c>
    </row>
    <row r="573" spans="1:65">
      <c r="A573" t="str">
        <f t="shared" si="83"/>
        <v>WG01</v>
      </c>
      <c r="B573" t="s">
        <v>680</v>
      </c>
      <c r="C573" t="s">
        <v>919</v>
      </c>
      <c r="D573" s="7"/>
      <c r="E573" s="7"/>
      <c r="G573" t="s">
        <v>1939</v>
      </c>
      <c r="H573" t="str" cm="1">
        <f t="array" ref="H573">IFERROR(_xlfn.IFS(B573="","",AND(B573="",G573=""),"",G573="","記載要"),"")</f>
        <v/>
      </c>
      <c r="K573" t="str">
        <f t="shared" si="84"/>
        <v>11WP01002809</v>
      </c>
      <c r="L573" s="3" t="str">
        <f t="shared" si="85"/>
        <v>2001/01/01</v>
      </c>
      <c r="M573" s="3" t="str">
        <f t="shared" si="86"/>
        <v>2199/12/31</v>
      </c>
      <c r="N573" t="str">
        <f t="shared" si="87"/>
        <v>11WP01002809</v>
      </c>
      <c r="O573">
        <v>15</v>
      </c>
      <c r="Q573" t="str" cm="1">
        <f t="array" ref="Q573">_xlfn.IFS(AND(C573="",G573=""),"",LEFT(G573,1)="L","記載要",LEFT(G573,1)="W","",AND(C573,G573=""),"記載要")</f>
        <v/>
      </c>
      <c r="R573" s="21" t="str">
        <f t="shared" si="92"/>
        <v/>
      </c>
      <c r="S573" s="21"/>
      <c r="Z573" s="8"/>
      <c r="AA573">
        <v>1</v>
      </c>
      <c r="AB573">
        <f t="shared" si="88"/>
        <v>0</v>
      </c>
      <c r="AC573">
        <v>1</v>
      </c>
      <c r="AF573">
        <v>1</v>
      </c>
      <c r="AG573" s="8"/>
      <c r="AH573" s="8"/>
      <c r="AK573" cm="1">
        <f t="array" ref="AK573">_xlfn.IFS(B573="","",LEFT(G573,1)="L",1,LEFT(G573,1)="W",1,AND(LEFT(B573,1)="H",G573=""),0)</f>
        <v>1</v>
      </c>
      <c r="AS573" t="str">
        <f t="shared" si="89"/>
        <v/>
      </c>
      <c r="AT573" t="s">
        <v>115</v>
      </c>
      <c r="AU573" t="str">
        <f t="shared" si="90"/>
        <v>0</v>
      </c>
      <c r="BD573" t="str">
        <f t="shared" si="91"/>
        <v>0</v>
      </c>
      <c r="BK573" t="str">
        <f>IFERROR(VLOOKUP(B573,'[1]model_S-フレーム'!$F$5:$R$7000,13,1),"")</f>
        <v>E389570_01</v>
      </c>
      <c r="BL573" s="7">
        <f>IFERROR(VLOOKUP(B573,'[1]model_S-フレーム'!$F$5:$V$7000,17,1),"")</f>
        <v>0</v>
      </c>
      <c r="BM573" t="str" cm="1">
        <f t="array" ref="BM573">_xlfn.IFS(LEFT(G573,1)="L","外注品",LEFT(G573,1)="W","内製品",G573="","購買品")</f>
        <v>内製品</v>
      </c>
    </row>
    <row r="574" spans="1:65">
      <c r="A574" t="str">
        <f t="shared" si="83"/>
        <v>WG01</v>
      </c>
      <c r="B574" t="s">
        <v>681</v>
      </c>
      <c r="C574" t="s">
        <v>919</v>
      </c>
      <c r="D574" s="7"/>
      <c r="E574" s="7"/>
      <c r="G574" t="s">
        <v>1939</v>
      </c>
      <c r="H574" t="str" cm="1">
        <f t="array" ref="H574">IFERROR(_xlfn.IFS(B574="","",AND(B574="",G574=""),"",G574="","記載要"),"")</f>
        <v/>
      </c>
      <c r="K574" t="str">
        <f t="shared" si="84"/>
        <v>11WP01002810</v>
      </c>
      <c r="L574" s="3" t="str">
        <f t="shared" si="85"/>
        <v>2001/01/01</v>
      </c>
      <c r="M574" s="3" t="str">
        <f t="shared" si="86"/>
        <v>2199/12/31</v>
      </c>
      <c r="N574" t="str">
        <f t="shared" si="87"/>
        <v>11WP01002810</v>
      </c>
      <c r="O574">
        <v>15</v>
      </c>
      <c r="Q574" t="str" cm="1">
        <f t="array" ref="Q574">_xlfn.IFS(AND(C574="",G574=""),"",LEFT(G574,1)="L","記載要",LEFT(G574,1)="W","",AND(C574,G574=""),"記載要")</f>
        <v/>
      </c>
      <c r="R574" s="21" t="str">
        <f t="shared" si="92"/>
        <v/>
      </c>
      <c r="S574" s="21"/>
      <c r="Z574" s="8"/>
      <c r="AA574">
        <v>1</v>
      </c>
      <c r="AB574">
        <f t="shared" si="88"/>
        <v>0</v>
      </c>
      <c r="AC574">
        <v>1</v>
      </c>
      <c r="AF574">
        <v>1</v>
      </c>
      <c r="AG574" s="8"/>
      <c r="AH574" s="8"/>
      <c r="AK574" cm="1">
        <f t="array" ref="AK574">_xlfn.IFS(B574="","",LEFT(G574,1)="L",1,LEFT(G574,1)="W",1,AND(LEFT(B574,1)="H",G574=""),0)</f>
        <v>1</v>
      </c>
      <c r="AS574" t="str">
        <f t="shared" si="89"/>
        <v/>
      </c>
      <c r="AT574" t="s">
        <v>115</v>
      </c>
      <c r="AU574" t="str">
        <f t="shared" si="90"/>
        <v>0</v>
      </c>
      <c r="BD574" t="str">
        <f t="shared" si="91"/>
        <v>0</v>
      </c>
      <c r="BK574" t="str">
        <f>IFERROR(VLOOKUP(B574,'[1]model_S-フレーム'!$F$5:$R$7000,13,1),"")</f>
        <v>E389570_01</v>
      </c>
      <c r="BL574" s="7">
        <f>IFERROR(VLOOKUP(B574,'[1]model_S-フレーム'!$F$5:$V$7000,17,1),"")</f>
        <v>0</v>
      </c>
      <c r="BM574" t="str" cm="1">
        <f t="array" ref="BM574">_xlfn.IFS(LEFT(G574,1)="L","外注品",LEFT(G574,1)="W","内製品",G574="","購買品")</f>
        <v>内製品</v>
      </c>
    </row>
    <row r="575" spans="1:65">
      <c r="A575" t="str">
        <f t="shared" si="83"/>
        <v>WG01</v>
      </c>
      <c r="B575" t="s">
        <v>682</v>
      </c>
      <c r="C575" t="s">
        <v>919</v>
      </c>
      <c r="D575" s="7"/>
      <c r="E575" s="7"/>
      <c r="G575" t="s">
        <v>1939</v>
      </c>
      <c r="H575" t="str" cm="1">
        <f t="array" ref="H575">IFERROR(_xlfn.IFS(B575="","",AND(B575="",G575=""),"",G575="","記載要"),"")</f>
        <v/>
      </c>
      <c r="K575" t="str">
        <f t="shared" si="84"/>
        <v>11WP01002811</v>
      </c>
      <c r="L575" s="3" t="str">
        <f t="shared" si="85"/>
        <v>2001/01/01</v>
      </c>
      <c r="M575" s="3" t="str">
        <f t="shared" si="86"/>
        <v>2199/12/31</v>
      </c>
      <c r="N575" t="str">
        <f t="shared" si="87"/>
        <v>11WP01002811</v>
      </c>
      <c r="O575">
        <v>15</v>
      </c>
      <c r="Q575" t="str" cm="1">
        <f t="array" ref="Q575">_xlfn.IFS(AND(C575="",G575=""),"",LEFT(G575,1)="L","記載要",LEFT(G575,1)="W","",AND(C575,G575=""),"記載要")</f>
        <v/>
      </c>
      <c r="R575" s="21" t="str">
        <f t="shared" si="92"/>
        <v/>
      </c>
      <c r="S575" s="21"/>
      <c r="Z575" s="8"/>
      <c r="AA575">
        <v>1</v>
      </c>
      <c r="AB575">
        <f t="shared" si="88"/>
        <v>0</v>
      </c>
      <c r="AC575">
        <v>1</v>
      </c>
      <c r="AF575">
        <v>1</v>
      </c>
      <c r="AG575" s="8"/>
      <c r="AH575" s="8"/>
      <c r="AK575" cm="1">
        <f t="array" ref="AK575">_xlfn.IFS(B575="","",LEFT(G575,1)="L",1,LEFT(G575,1)="W",1,AND(LEFT(B575,1)="H",G575=""),0)</f>
        <v>1</v>
      </c>
      <c r="AS575" t="str">
        <f t="shared" si="89"/>
        <v/>
      </c>
      <c r="AT575" t="s">
        <v>115</v>
      </c>
      <c r="AU575" t="str">
        <f t="shared" si="90"/>
        <v>0</v>
      </c>
      <c r="BD575" t="str">
        <f t="shared" si="91"/>
        <v>0</v>
      </c>
      <c r="BK575" t="str">
        <f>IFERROR(VLOOKUP(B575,'[1]model_S-フレーム'!$F$5:$R$7000,13,1),"")</f>
        <v>E389570_01</v>
      </c>
      <c r="BL575" s="7">
        <f>IFERROR(VLOOKUP(B575,'[1]model_S-フレーム'!$F$5:$V$7000,17,1),"")</f>
        <v>0</v>
      </c>
      <c r="BM575" t="str" cm="1">
        <f t="array" ref="BM575">_xlfn.IFS(LEFT(G575,1)="L","外注品",LEFT(G575,1)="W","内製品",G575="","購買品")</f>
        <v>内製品</v>
      </c>
    </row>
    <row r="576" spans="1:65">
      <c r="A576" t="str">
        <f t="shared" si="83"/>
        <v>WG01</v>
      </c>
      <c r="B576" t="s">
        <v>683</v>
      </c>
      <c r="C576" t="s">
        <v>919</v>
      </c>
      <c r="D576" s="7"/>
      <c r="E576" s="7"/>
      <c r="G576" t="s">
        <v>1939</v>
      </c>
      <c r="H576" t="str" cm="1">
        <f t="array" ref="H576">IFERROR(_xlfn.IFS(B576="","",AND(B576="",G576=""),"",G576="","記載要"),"")</f>
        <v/>
      </c>
      <c r="K576" t="str">
        <f t="shared" si="84"/>
        <v>11WP01002812</v>
      </c>
      <c r="L576" s="3" t="str">
        <f t="shared" si="85"/>
        <v>2001/01/01</v>
      </c>
      <c r="M576" s="3" t="str">
        <f t="shared" si="86"/>
        <v>2199/12/31</v>
      </c>
      <c r="N576" t="str">
        <f t="shared" si="87"/>
        <v>11WP01002812</v>
      </c>
      <c r="O576">
        <v>15</v>
      </c>
      <c r="Q576" t="str" cm="1">
        <f t="array" ref="Q576">_xlfn.IFS(AND(C576="",G576=""),"",LEFT(G576,1)="L","記載要",LEFT(G576,1)="W","",AND(C576,G576=""),"記載要")</f>
        <v/>
      </c>
      <c r="R576" s="21" t="str">
        <f t="shared" si="92"/>
        <v/>
      </c>
      <c r="S576" s="21"/>
      <c r="Z576" s="8"/>
      <c r="AA576">
        <v>1</v>
      </c>
      <c r="AB576">
        <f t="shared" si="88"/>
        <v>0</v>
      </c>
      <c r="AC576">
        <v>1</v>
      </c>
      <c r="AF576">
        <v>1</v>
      </c>
      <c r="AG576" s="8"/>
      <c r="AH576" s="8"/>
      <c r="AK576" cm="1">
        <f t="array" ref="AK576">_xlfn.IFS(B576="","",LEFT(G576,1)="L",1,LEFT(G576,1)="W",1,AND(LEFT(B576,1)="H",G576=""),0)</f>
        <v>1</v>
      </c>
      <c r="AS576" t="str">
        <f t="shared" si="89"/>
        <v/>
      </c>
      <c r="AT576" t="s">
        <v>115</v>
      </c>
      <c r="AU576" t="str">
        <f t="shared" si="90"/>
        <v>0</v>
      </c>
      <c r="BD576" t="str">
        <f t="shared" si="91"/>
        <v>0</v>
      </c>
      <c r="BK576" t="str">
        <f>IFERROR(VLOOKUP(B576,'[1]model_S-フレーム'!$F$5:$R$7000,13,1),"")</f>
        <v>E389570_01</v>
      </c>
      <c r="BL576" s="7">
        <f>IFERROR(VLOOKUP(B576,'[1]model_S-フレーム'!$F$5:$V$7000,17,1),"")</f>
        <v>0</v>
      </c>
      <c r="BM576" t="str" cm="1">
        <f t="array" ref="BM576">_xlfn.IFS(LEFT(G576,1)="L","外注品",LEFT(G576,1)="W","内製品",G576="","購買品")</f>
        <v>内製品</v>
      </c>
    </row>
    <row r="577" spans="1:65">
      <c r="A577" t="str">
        <f t="shared" si="83"/>
        <v>WG01</v>
      </c>
      <c r="B577" t="s">
        <v>684</v>
      </c>
      <c r="C577" t="s">
        <v>919</v>
      </c>
      <c r="D577" s="7"/>
      <c r="E577" s="7"/>
      <c r="G577" t="s">
        <v>1939</v>
      </c>
      <c r="H577" t="str" cm="1">
        <f t="array" ref="H577">IFERROR(_xlfn.IFS(B577="","",AND(B577="",G577=""),"",G577="","記載要"),"")</f>
        <v/>
      </c>
      <c r="K577" t="str">
        <f t="shared" si="84"/>
        <v>11WP01002813</v>
      </c>
      <c r="L577" s="3" t="str">
        <f t="shared" si="85"/>
        <v>2001/01/01</v>
      </c>
      <c r="M577" s="3" t="str">
        <f t="shared" si="86"/>
        <v>2199/12/31</v>
      </c>
      <c r="N577" t="str">
        <f t="shared" si="87"/>
        <v>11WP01002813</v>
      </c>
      <c r="O577">
        <v>15</v>
      </c>
      <c r="Q577" t="str" cm="1">
        <f t="array" ref="Q577">_xlfn.IFS(AND(C577="",G577=""),"",LEFT(G577,1)="L","記載要",LEFT(G577,1)="W","",AND(C577,G577=""),"記載要")</f>
        <v/>
      </c>
      <c r="R577" s="21" t="str">
        <f t="shared" si="92"/>
        <v/>
      </c>
      <c r="S577" s="21"/>
      <c r="Z577" s="8"/>
      <c r="AA577">
        <v>1</v>
      </c>
      <c r="AB577">
        <f t="shared" si="88"/>
        <v>0</v>
      </c>
      <c r="AC577">
        <v>1</v>
      </c>
      <c r="AF577">
        <v>1</v>
      </c>
      <c r="AG577" s="8"/>
      <c r="AH577" s="8"/>
      <c r="AK577" cm="1">
        <f t="array" ref="AK577">_xlfn.IFS(B577="","",LEFT(G577,1)="L",1,LEFT(G577,1)="W",1,AND(LEFT(B577,1)="H",G577=""),0)</f>
        <v>1</v>
      </c>
      <c r="AS577" t="str">
        <f t="shared" si="89"/>
        <v/>
      </c>
      <c r="AT577" t="s">
        <v>115</v>
      </c>
      <c r="AU577" t="str">
        <f t="shared" si="90"/>
        <v>0</v>
      </c>
      <c r="BD577" t="str">
        <f t="shared" si="91"/>
        <v>0</v>
      </c>
      <c r="BK577" t="str">
        <f>IFERROR(VLOOKUP(B577,'[1]model_S-フレーム'!$F$5:$R$7000,13,1),"")</f>
        <v>E389570_01</v>
      </c>
      <c r="BL577" s="7">
        <f>IFERROR(VLOOKUP(B577,'[1]model_S-フレーム'!$F$5:$V$7000,17,1),"")</f>
        <v>0</v>
      </c>
      <c r="BM577" t="str" cm="1">
        <f t="array" ref="BM577">_xlfn.IFS(LEFT(G577,1)="L","外注品",LEFT(G577,1)="W","内製品",G577="","購買品")</f>
        <v>内製品</v>
      </c>
    </row>
    <row r="578" spans="1:65">
      <c r="A578" t="str">
        <f t="shared" si="83"/>
        <v>WG01</v>
      </c>
      <c r="B578" t="s">
        <v>685</v>
      </c>
      <c r="C578" t="s">
        <v>919</v>
      </c>
      <c r="D578" s="7"/>
      <c r="E578" s="7"/>
      <c r="G578" t="s">
        <v>1939</v>
      </c>
      <c r="H578" t="str" cm="1">
        <f t="array" ref="H578">IFERROR(_xlfn.IFS(B578="","",AND(B578="",G578=""),"",G578="","記載要"),"")</f>
        <v/>
      </c>
      <c r="K578" t="str">
        <f t="shared" si="84"/>
        <v>11WP01002814</v>
      </c>
      <c r="L578" s="3" t="str">
        <f t="shared" si="85"/>
        <v>2001/01/01</v>
      </c>
      <c r="M578" s="3" t="str">
        <f t="shared" si="86"/>
        <v>2199/12/31</v>
      </c>
      <c r="N578" t="str">
        <f t="shared" si="87"/>
        <v>11WP01002814</v>
      </c>
      <c r="O578">
        <v>15</v>
      </c>
      <c r="Q578" t="str" cm="1">
        <f t="array" ref="Q578">_xlfn.IFS(AND(C578="",G578=""),"",LEFT(G578,1)="L","記載要",LEFT(G578,1)="W","",AND(C578,G578=""),"記載要")</f>
        <v/>
      </c>
      <c r="R578" s="21" t="str">
        <f t="shared" si="92"/>
        <v/>
      </c>
      <c r="S578" s="21"/>
      <c r="Z578" s="8"/>
      <c r="AA578">
        <v>1</v>
      </c>
      <c r="AB578">
        <f t="shared" si="88"/>
        <v>0</v>
      </c>
      <c r="AC578">
        <v>1</v>
      </c>
      <c r="AF578">
        <v>1</v>
      </c>
      <c r="AG578" s="8"/>
      <c r="AH578" s="8"/>
      <c r="AK578" cm="1">
        <f t="array" ref="AK578">_xlfn.IFS(B578="","",LEFT(G578,1)="L",1,LEFT(G578,1)="W",1,AND(LEFT(B578,1)="H",G578=""),0)</f>
        <v>1</v>
      </c>
      <c r="AS578" t="str">
        <f t="shared" si="89"/>
        <v/>
      </c>
      <c r="AT578" t="s">
        <v>115</v>
      </c>
      <c r="AU578" t="str">
        <f t="shared" si="90"/>
        <v>0</v>
      </c>
      <c r="BD578" t="str">
        <f t="shared" si="91"/>
        <v>0</v>
      </c>
      <c r="BK578" t="str">
        <f>IFERROR(VLOOKUP(B578,'[1]model_S-フレーム'!$F$5:$R$7000,13,1),"")</f>
        <v>E389570_01</v>
      </c>
      <c r="BL578" s="7">
        <f>IFERROR(VLOOKUP(B578,'[1]model_S-フレーム'!$F$5:$V$7000,17,1),"")</f>
        <v>0</v>
      </c>
      <c r="BM578" t="str" cm="1">
        <f t="array" ref="BM578">_xlfn.IFS(LEFT(G578,1)="L","外注品",LEFT(G578,1)="W","内製品",G578="","購買品")</f>
        <v>内製品</v>
      </c>
    </row>
    <row r="579" spans="1:65">
      <c r="A579" t="str">
        <f t="shared" ref="A579:A642" si="93">IF(B579="","","WG01")</f>
        <v>WG01</v>
      </c>
      <c r="B579" t="s">
        <v>686</v>
      </c>
      <c r="C579" t="s">
        <v>919</v>
      </c>
      <c r="D579" s="7"/>
      <c r="E579" s="7"/>
      <c r="G579" t="s">
        <v>1939</v>
      </c>
      <c r="H579" t="str" cm="1">
        <f t="array" ref="H579">IFERROR(_xlfn.IFS(B579="","",AND(B579="",G579=""),"",G579="","記載要"),"")</f>
        <v/>
      </c>
      <c r="K579" t="str">
        <f t="shared" ref="K579:K642" si="94">IF(G579="","","11"&amp;G579&amp;RIGHT(B579,5))</f>
        <v>11WP01002815</v>
      </c>
      <c r="L579" s="3" t="str">
        <f t="shared" ref="L579:L642" si="95">IF(B579="","","2001/01/01")</f>
        <v>2001/01/01</v>
      </c>
      <c r="M579" s="3" t="str">
        <f t="shared" ref="M579:M642" si="96">IF(C579="","","2199/12/31")</f>
        <v>2199/12/31</v>
      </c>
      <c r="N579" t="str">
        <f t="shared" ref="N579:N642" si="97">IF(LEFT(G579,1)="W",K579,"")</f>
        <v>11WP01002815</v>
      </c>
      <c r="O579">
        <v>15</v>
      </c>
      <c r="Q579" t="str" cm="1">
        <f t="array" ref="Q579">_xlfn.IFS(AND(C579="",G579=""),"",LEFT(G579,1)="L","記載要",LEFT(G579,1)="W","",AND(C579,G579=""),"記載要")</f>
        <v/>
      </c>
      <c r="R579" s="21" t="str">
        <f t="shared" si="92"/>
        <v/>
      </c>
      <c r="S579" s="21"/>
      <c r="Z579" s="8"/>
      <c r="AA579">
        <v>1</v>
      </c>
      <c r="AB579">
        <f t="shared" ref="AB579:AB642" si="98">IF(B579="","",0)</f>
        <v>0</v>
      </c>
      <c r="AC579">
        <v>1</v>
      </c>
      <c r="AF579">
        <v>1</v>
      </c>
      <c r="AG579" s="8"/>
      <c r="AH579" s="8"/>
      <c r="AK579" cm="1">
        <f t="array" ref="AK579">_xlfn.IFS(B579="","",LEFT(G579,1)="L",1,LEFT(G579,1)="W",1,AND(LEFT(B579,1)="H",G579=""),0)</f>
        <v>1</v>
      </c>
      <c r="AS579" t="str">
        <f t="shared" ref="AS579:AS642" si="99">IF(Q579="","",1)</f>
        <v/>
      </c>
      <c r="AT579" t="s">
        <v>115</v>
      </c>
      <c r="AU579" t="str">
        <f t="shared" ref="AU579:AU642" si="100">IF(B579="","","0")</f>
        <v>0</v>
      </c>
      <c r="BD579" t="str">
        <f t="shared" ref="BD579:BD642" si="101">IF(B579="","","0")</f>
        <v>0</v>
      </c>
      <c r="BK579" t="str">
        <f>IFERROR(VLOOKUP(B579,'[1]model_S-フレーム'!$F$5:$R$7000,13,1),"")</f>
        <v>E389570_01</v>
      </c>
      <c r="BL579" s="7">
        <f>IFERROR(VLOOKUP(B579,'[1]model_S-フレーム'!$F$5:$V$7000,17,1),"")</f>
        <v>0</v>
      </c>
      <c r="BM579" t="str" cm="1">
        <f t="array" ref="BM579">_xlfn.IFS(LEFT(G579,1)="L","外注品",LEFT(G579,1)="W","内製品",G579="","購買品")</f>
        <v>内製品</v>
      </c>
    </row>
    <row r="580" spans="1:65">
      <c r="A580" t="str">
        <f t="shared" si="93"/>
        <v>WG01</v>
      </c>
      <c r="B580" t="s">
        <v>687</v>
      </c>
      <c r="C580" t="s">
        <v>919</v>
      </c>
      <c r="D580" s="7"/>
      <c r="E580" s="7"/>
      <c r="G580" t="s">
        <v>1939</v>
      </c>
      <c r="H580" t="str" cm="1">
        <f t="array" ref="H580">IFERROR(_xlfn.IFS(B580="","",AND(B580="",G580=""),"",G580="","記載要"),"")</f>
        <v/>
      </c>
      <c r="K580" t="str">
        <f t="shared" si="94"/>
        <v>11WP01002816</v>
      </c>
      <c r="L580" s="3" t="str">
        <f t="shared" si="95"/>
        <v>2001/01/01</v>
      </c>
      <c r="M580" s="3" t="str">
        <f t="shared" si="96"/>
        <v>2199/12/31</v>
      </c>
      <c r="N580" t="str">
        <f t="shared" si="97"/>
        <v>11WP01002816</v>
      </c>
      <c r="O580">
        <v>15</v>
      </c>
      <c r="Q580" t="str" cm="1">
        <f t="array" ref="Q580">_xlfn.IFS(AND(C580="",G580=""),"",LEFT(G580,1)="L","記載要",LEFT(G580,1)="W","",AND(C580,G580=""),"記載要")</f>
        <v/>
      </c>
      <c r="R580" s="21" t="str">
        <f t="shared" ref="R580:R643" si="102">IF(H580="","","記載要")</f>
        <v/>
      </c>
      <c r="S580" s="21"/>
      <c r="Z580" s="8"/>
      <c r="AA580">
        <v>1</v>
      </c>
      <c r="AB580">
        <f t="shared" si="98"/>
        <v>0</v>
      </c>
      <c r="AC580">
        <v>1</v>
      </c>
      <c r="AF580">
        <v>1</v>
      </c>
      <c r="AG580" s="8"/>
      <c r="AH580" s="8"/>
      <c r="AK580" cm="1">
        <f t="array" ref="AK580">_xlfn.IFS(B580="","",LEFT(G580,1)="L",1,LEFT(G580,1)="W",1,AND(LEFT(B580,1)="H",G580=""),0)</f>
        <v>1</v>
      </c>
      <c r="AS580" t="str">
        <f t="shared" si="99"/>
        <v/>
      </c>
      <c r="AT580" t="s">
        <v>115</v>
      </c>
      <c r="AU580" t="str">
        <f t="shared" si="100"/>
        <v>0</v>
      </c>
      <c r="BD580" t="str">
        <f t="shared" si="101"/>
        <v>0</v>
      </c>
      <c r="BK580" t="str">
        <f>IFERROR(VLOOKUP(B580,'[1]model_S-フレーム'!$F$5:$R$7000,13,1),"")</f>
        <v>E389570_01</v>
      </c>
      <c r="BL580" s="7">
        <f>IFERROR(VLOOKUP(B580,'[1]model_S-フレーム'!$F$5:$V$7000,17,1),"")</f>
        <v>0</v>
      </c>
      <c r="BM580" t="str" cm="1">
        <f t="array" ref="BM580">_xlfn.IFS(LEFT(G580,1)="L","外注品",LEFT(G580,1)="W","内製品",G580="","購買品")</f>
        <v>内製品</v>
      </c>
    </row>
    <row r="581" spans="1:65">
      <c r="A581" t="str">
        <f t="shared" si="93"/>
        <v>WG01</v>
      </c>
      <c r="B581" t="s">
        <v>688</v>
      </c>
      <c r="C581" t="s">
        <v>919</v>
      </c>
      <c r="D581" s="7"/>
      <c r="E581" s="7"/>
      <c r="G581" t="s">
        <v>1939</v>
      </c>
      <c r="H581" t="str" cm="1">
        <f t="array" ref="H581">IFERROR(_xlfn.IFS(B581="","",AND(B581="",G581=""),"",G581="","記載要"),"")</f>
        <v/>
      </c>
      <c r="K581" t="str">
        <f t="shared" si="94"/>
        <v>11WP01002817</v>
      </c>
      <c r="L581" s="3" t="str">
        <f t="shared" si="95"/>
        <v>2001/01/01</v>
      </c>
      <c r="M581" s="3" t="str">
        <f t="shared" si="96"/>
        <v>2199/12/31</v>
      </c>
      <c r="N581" t="str">
        <f t="shared" si="97"/>
        <v>11WP01002817</v>
      </c>
      <c r="O581">
        <v>15</v>
      </c>
      <c r="Q581" t="str" cm="1">
        <f t="array" ref="Q581">_xlfn.IFS(AND(C581="",G581=""),"",LEFT(G581,1)="L","記載要",LEFT(G581,1)="W","",AND(C581,G581=""),"記載要")</f>
        <v/>
      </c>
      <c r="R581" s="21" t="str">
        <f t="shared" si="102"/>
        <v/>
      </c>
      <c r="S581" s="21"/>
      <c r="Z581" s="8"/>
      <c r="AA581">
        <v>1</v>
      </c>
      <c r="AB581">
        <f t="shared" si="98"/>
        <v>0</v>
      </c>
      <c r="AC581">
        <v>1</v>
      </c>
      <c r="AF581">
        <v>1</v>
      </c>
      <c r="AG581" s="8"/>
      <c r="AH581" s="8"/>
      <c r="AK581" cm="1">
        <f t="array" ref="AK581">_xlfn.IFS(B581="","",LEFT(G581,1)="L",1,LEFT(G581,1)="W",1,AND(LEFT(B581,1)="H",G581=""),0)</f>
        <v>1</v>
      </c>
      <c r="AS581" t="str">
        <f t="shared" si="99"/>
        <v/>
      </c>
      <c r="AT581" t="s">
        <v>115</v>
      </c>
      <c r="AU581" t="str">
        <f t="shared" si="100"/>
        <v>0</v>
      </c>
      <c r="BD581" t="str">
        <f t="shared" si="101"/>
        <v>0</v>
      </c>
      <c r="BK581" t="str">
        <f>IFERROR(VLOOKUP(B581,'[1]model_S-フレーム'!$F$5:$R$7000,13,1),"")</f>
        <v>E389570_01</v>
      </c>
      <c r="BL581" s="7">
        <f>IFERROR(VLOOKUP(B581,'[1]model_S-フレーム'!$F$5:$V$7000,17,1),"")</f>
        <v>0</v>
      </c>
      <c r="BM581" t="str" cm="1">
        <f t="array" ref="BM581">_xlfn.IFS(LEFT(G581,1)="L","外注品",LEFT(G581,1)="W","内製品",G581="","購買品")</f>
        <v>内製品</v>
      </c>
    </row>
    <row r="582" spans="1:65">
      <c r="A582" t="str">
        <f t="shared" si="93"/>
        <v>WG01</v>
      </c>
      <c r="B582" t="s">
        <v>689</v>
      </c>
      <c r="C582" t="s">
        <v>919</v>
      </c>
      <c r="D582" s="7"/>
      <c r="E582" s="7"/>
      <c r="G582" t="s">
        <v>1939</v>
      </c>
      <c r="H582" t="str" cm="1">
        <f t="array" ref="H582">IFERROR(_xlfn.IFS(B582="","",AND(B582="",G582=""),"",G582="","記載要"),"")</f>
        <v/>
      </c>
      <c r="K582" t="str">
        <f t="shared" si="94"/>
        <v>11WP01002818</v>
      </c>
      <c r="L582" s="3" t="str">
        <f t="shared" si="95"/>
        <v>2001/01/01</v>
      </c>
      <c r="M582" s="3" t="str">
        <f t="shared" si="96"/>
        <v>2199/12/31</v>
      </c>
      <c r="N582" t="str">
        <f t="shared" si="97"/>
        <v>11WP01002818</v>
      </c>
      <c r="O582">
        <v>15</v>
      </c>
      <c r="Q582" t="str" cm="1">
        <f t="array" ref="Q582">_xlfn.IFS(AND(C582="",G582=""),"",LEFT(G582,1)="L","記載要",LEFT(G582,1)="W","",AND(C582,G582=""),"記載要")</f>
        <v/>
      </c>
      <c r="R582" s="21" t="str">
        <f t="shared" si="102"/>
        <v/>
      </c>
      <c r="S582" s="21"/>
      <c r="Z582" s="8"/>
      <c r="AA582">
        <v>1</v>
      </c>
      <c r="AB582">
        <f t="shared" si="98"/>
        <v>0</v>
      </c>
      <c r="AC582">
        <v>1</v>
      </c>
      <c r="AF582">
        <v>1</v>
      </c>
      <c r="AG582" s="8"/>
      <c r="AH582" s="8"/>
      <c r="AK582" cm="1">
        <f t="array" ref="AK582">_xlfn.IFS(B582="","",LEFT(G582,1)="L",1,LEFT(G582,1)="W",1,AND(LEFT(B582,1)="H",G582=""),0)</f>
        <v>1</v>
      </c>
      <c r="AS582" t="str">
        <f t="shared" si="99"/>
        <v/>
      </c>
      <c r="AT582" t="s">
        <v>115</v>
      </c>
      <c r="AU582" t="str">
        <f t="shared" si="100"/>
        <v>0</v>
      </c>
      <c r="BD582" t="str">
        <f t="shared" si="101"/>
        <v>0</v>
      </c>
      <c r="BK582" t="str">
        <f>IFERROR(VLOOKUP(B582,'[1]model_S-フレーム'!$F$5:$R$7000,13,1),"")</f>
        <v>E389570_01</v>
      </c>
      <c r="BL582" s="7">
        <f>IFERROR(VLOOKUP(B582,'[1]model_S-フレーム'!$F$5:$V$7000,17,1),"")</f>
        <v>0</v>
      </c>
      <c r="BM582" t="str" cm="1">
        <f t="array" ref="BM582">_xlfn.IFS(LEFT(G582,1)="L","外注品",LEFT(G582,1)="W","内製品",G582="","購買品")</f>
        <v>内製品</v>
      </c>
    </row>
    <row r="583" spans="1:65">
      <c r="A583" t="str">
        <f t="shared" si="93"/>
        <v>WG01</v>
      </c>
      <c r="B583" t="s">
        <v>690</v>
      </c>
      <c r="C583" t="s">
        <v>920</v>
      </c>
      <c r="D583" s="7"/>
      <c r="E583" s="7"/>
      <c r="G583" t="s">
        <v>1939</v>
      </c>
      <c r="H583" t="str" cm="1">
        <f t="array" ref="H583">IFERROR(_xlfn.IFS(B583="","",AND(B583="",G583=""),"",G583="","記載要"),"")</f>
        <v/>
      </c>
      <c r="K583" t="str">
        <f t="shared" si="94"/>
        <v>11WP01002819</v>
      </c>
      <c r="L583" s="3" t="str">
        <f t="shared" si="95"/>
        <v>2001/01/01</v>
      </c>
      <c r="M583" s="3" t="str">
        <f t="shared" si="96"/>
        <v>2199/12/31</v>
      </c>
      <c r="N583" t="str">
        <f t="shared" si="97"/>
        <v>11WP01002819</v>
      </c>
      <c r="O583">
        <v>15</v>
      </c>
      <c r="Q583" t="str" cm="1">
        <f t="array" ref="Q583">_xlfn.IFS(AND(C583="",G583=""),"",LEFT(G583,1)="L","記載要",LEFT(G583,1)="W","",AND(C583,G583=""),"記載要")</f>
        <v/>
      </c>
      <c r="R583" s="21" t="str">
        <f t="shared" si="102"/>
        <v/>
      </c>
      <c r="S583" s="21"/>
      <c r="Z583" s="8"/>
      <c r="AA583">
        <v>1</v>
      </c>
      <c r="AB583">
        <f t="shared" si="98"/>
        <v>0</v>
      </c>
      <c r="AC583">
        <v>1</v>
      </c>
      <c r="AF583">
        <v>1</v>
      </c>
      <c r="AG583" s="8"/>
      <c r="AH583" s="8"/>
      <c r="AK583" cm="1">
        <f t="array" ref="AK583">_xlfn.IFS(B583="","",LEFT(G583,1)="L",1,LEFT(G583,1)="W",1,AND(LEFT(B583,1)="H",G583=""),0)</f>
        <v>1</v>
      </c>
      <c r="AS583" t="str">
        <f t="shared" si="99"/>
        <v/>
      </c>
      <c r="AT583" t="s">
        <v>115</v>
      </c>
      <c r="AU583" t="str">
        <f t="shared" si="100"/>
        <v>0</v>
      </c>
      <c r="BD583" t="str">
        <f t="shared" si="101"/>
        <v>0</v>
      </c>
      <c r="BK583" t="str">
        <f>IFERROR(VLOOKUP(B583,'[1]model_S-フレーム'!$F$5:$R$7000,13,1),"")</f>
        <v>E389570_01</v>
      </c>
      <c r="BL583" s="7">
        <f>IFERROR(VLOOKUP(B583,'[1]model_S-フレーム'!$F$5:$V$7000,17,1),"")</f>
        <v>0</v>
      </c>
      <c r="BM583" t="str" cm="1">
        <f t="array" ref="BM583">_xlfn.IFS(LEFT(G583,1)="L","外注品",LEFT(G583,1)="W","内製品",G583="","購買品")</f>
        <v>内製品</v>
      </c>
    </row>
    <row r="584" spans="1:65">
      <c r="A584" t="str">
        <f t="shared" si="93"/>
        <v>WG01</v>
      </c>
      <c r="B584" t="s">
        <v>691</v>
      </c>
      <c r="C584" t="s">
        <v>920</v>
      </c>
      <c r="D584" s="7"/>
      <c r="E584" s="7"/>
      <c r="G584" t="s">
        <v>1939</v>
      </c>
      <c r="H584" t="str" cm="1">
        <f t="array" ref="H584">IFERROR(_xlfn.IFS(B584="","",AND(B584="",G584=""),"",G584="","記載要"),"")</f>
        <v/>
      </c>
      <c r="K584" t="str">
        <f t="shared" si="94"/>
        <v>11WP01002820</v>
      </c>
      <c r="L584" s="3" t="str">
        <f t="shared" si="95"/>
        <v>2001/01/01</v>
      </c>
      <c r="M584" s="3" t="str">
        <f t="shared" si="96"/>
        <v>2199/12/31</v>
      </c>
      <c r="N584" t="str">
        <f t="shared" si="97"/>
        <v>11WP01002820</v>
      </c>
      <c r="O584">
        <v>15</v>
      </c>
      <c r="Q584" t="str" cm="1">
        <f t="array" ref="Q584">_xlfn.IFS(AND(C584="",G584=""),"",LEFT(G584,1)="L","記載要",LEFT(G584,1)="W","",AND(C584,G584=""),"記載要")</f>
        <v/>
      </c>
      <c r="R584" s="21" t="str">
        <f t="shared" si="102"/>
        <v/>
      </c>
      <c r="S584" s="21"/>
      <c r="Z584" s="8"/>
      <c r="AA584">
        <v>1</v>
      </c>
      <c r="AB584">
        <f t="shared" si="98"/>
        <v>0</v>
      </c>
      <c r="AC584">
        <v>1</v>
      </c>
      <c r="AF584">
        <v>1</v>
      </c>
      <c r="AG584" s="8"/>
      <c r="AH584" s="8"/>
      <c r="AK584" cm="1">
        <f t="array" ref="AK584">_xlfn.IFS(B584="","",LEFT(G584,1)="L",1,LEFT(G584,1)="W",1,AND(LEFT(B584,1)="H",G584=""),0)</f>
        <v>1</v>
      </c>
      <c r="AS584" t="str">
        <f t="shared" si="99"/>
        <v/>
      </c>
      <c r="AT584" t="s">
        <v>115</v>
      </c>
      <c r="AU584" t="str">
        <f t="shared" si="100"/>
        <v>0</v>
      </c>
      <c r="BD584" t="str">
        <f t="shared" si="101"/>
        <v>0</v>
      </c>
      <c r="BK584" t="str">
        <f>IFERROR(VLOOKUP(B584,'[1]model_S-フレーム'!$F$5:$R$7000,13,1),"")</f>
        <v>E389570_01</v>
      </c>
      <c r="BL584" s="7">
        <f>IFERROR(VLOOKUP(B584,'[1]model_S-フレーム'!$F$5:$V$7000,17,1),"")</f>
        <v>0</v>
      </c>
      <c r="BM584" t="str" cm="1">
        <f t="array" ref="BM584">_xlfn.IFS(LEFT(G584,1)="L","外注品",LEFT(G584,1)="W","内製品",G584="","購買品")</f>
        <v>内製品</v>
      </c>
    </row>
    <row r="585" spans="1:65">
      <c r="A585" t="str">
        <f t="shared" si="93"/>
        <v>WG01</v>
      </c>
      <c r="B585" t="s">
        <v>692</v>
      </c>
      <c r="C585" t="s">
        <v>920</v>
      </c>
      <c r="D585" s="7"/>
      <c r="E585" s="7"/>
      <c r="G585" t="s">
        <v>1939</v>
      </c>
      <c r="H585" t="str" cm="1">
        <f t="array" ref="H585">IFERROR(_xlfn.IFS(B585="","",AND(B585="",G585=""),"",G585="","記載要"),"")</f>
        <v/>
      </c>
      <c r="K585" t="str">
        <f t="shared" si="94"/>
        <v>11WP01002821</v>
      </c>
      <c r="L585" s="3" t="str">
        <f t="shared" si="95"/>
        <v>2001/01/01</v>
      </c>
      <c r="M585" s="3" t="str">
        <f t="shared" si="96"/>
        <v>2199/12/31</v>
      </c>
      <c r="N585" t="str">
        <f t="shared" si="97"/>
        <v>11WP01002821</v>
      </c>
      <c r="O585">
        <v>15</v>
      </c>
      <c r="Q585" t="str" cm="1">
        <f t="array" ref="Q585">_xlfn.IFS(AND(C585="",G585=""),"",LEFT(G585,1)="L","記載要",LEFT(G585,1)="W","",AND(C585,G585=""),"記載要")</f>
        <v/>
      </c>
      <c r="R585" s="21" t="str">
        <f t="shared" si="102"/>
        <v/>
      </c>
      <c r="S585" s="21"/>
      <c r="Z585" s="8"/>
      <c r="AA585">
        <v>1</v>
      </c>
      <c r="AB585">
        <f t="shared" si="98"/>
        <v>0</v>
      </c>
      <c r="AC585">
        <v>1</v>
      </c>
      <c r="AF585">
        <v>1</v>
      </c>
      <c r="AG585" s="8"/>
      <c r="AH585" s="8"/>
      <c r="AK585" cm="1">
        <f t="array" ref="AK585">_xlfn.IFS(B585="","",LEFT(G585,1)="L",1,LEFT(G585,1)="W",1,AND(LEFT(B585,1)="H",G585=""),0)</f>
        <v>1</v>
      </c>
      <c r="AS585" t="str">
        <f t="shared" si="99"/>
        <v/>
      </c>
      <c r="AT585" t="s">
        <v>115</v>
      </c>
      <c r="AU585" t="str">
        <f t="shared" si="100"/>
        <v>0</v>
      </c>
      <c r="BD585" t="str">
        <f t="shared" si="101"/>
        <v>0</v>
      </c>
      <c r="BK585" t="str">
        <f>IFERROR(VLOOKUP(B585,'[1]model_S-フレーム'!$F$5:$R$7000,13,1),"")</f>
        <v>E389570_01</v>
      </c>
      <c r="BL585" s="7">
        <f>IFERROR(VLOOKUP(B585,'[1]model_S-フレーム'!$F$5:$V$7000,17,1),"")</f>
        <v>0</v>
      </c>
      <c r="BM585" t="str" cm="1">
        <f t="array" ref="BM585">_xlfn.IFS(LEFT(G585,1)="L","外注品",LEFT(G585,1)="W","内製品",G585="","購買品")</f>
        <v>内製品</v>
      </c>
    </row>
    <row r="586" spans="1:65">
      <c r="A586" t="str">
        <f t="shared" si="93"/>
        <v>WG01</v>
      </c>
      <c r="B586" t="s">
        <v>693</v>
      </c>
      <c r="C586" t="s">
        <v>920</v>
      </c>
      <c r="D586" s="7"/>
      <c r="E586" s="7"/>
      <c r="G586" t="s">
        <v>1939</v>
      </c>
      <c r="H586" t="str" cm="1">
        <f t="array" ref="H586">IFERROR(_xlfn.IFS(B586="","",AND(B586="",G586=""),"",G586="","記載要"),"")</f>
        <v/>
      </c>
      <c r="K586" t="str">
        <f t="shared" si="94"/>
        <v>11WP01002822</v>
      </c>
      <c r="L586" s="3" t="str">
        <f t="shared" si="95"/>
        <v>2001/01/01</v>
      </c>
      <c r="M586" s="3" t="str">
        <f t="shared" si="96"/>
        <v>2199/12/31</v>
      </c>
      <c r="N586" t="str">
        <f t="shared" si="97"/>
        <v>11WP01002822</v>
      </c>
      <c r="O586">
        <v>15</v>
      </c>
      <c r="Q586" t="str" cm="1">
        <f t="array" ref="Q586">_xlfn.IFS(AND(C586="",G586=""),"",LEFT(G586,1)="L","記載要",LEFT(G586,1)="W","",AND(C586,G586=""),"記載要")</f>
        <v/>
      </c>
      <c r="R586" s="21" t="str">
        <f t="shared" si="102"/>
        <v/>
      </c>
      <c r="S586" s="21"/>
      <c r="Z586" s="8"/>
      <c r="AA586">
        <v>1</v>
      </c>
      <c r="AB586">
        <f t="shared" si="98"/>
        <v>0</v>
      </c>
      <c r="AC586">
        <v>1</v>
      </c>
      <c r="AF586">
        <v>1</v>
      </c>
      <c r="AG586" s="8"/>
      <c r="AH586" s="8"/>
      <c r="AK586" cm="1">
        <f t="array" ref="AK586">_xlfn.IFS(B586="","",LEFT(G586,1)="L",1,LEFT(G586,1)="W",1,AND(LEFT(B586,1)="H",G586=""),0)</f>
        <v>1</v>
      </c>
      <c r="AS586" t="str">
        <f t="shared" si="99"/>
        <v/>
      </c>
      <c r="AT586" t="s">
        <v>115</v>
      </c>
      <c r="AU586" t="str">
        <f t="shared" si="100"/>
        <v>0</v>
      </c>
      <c r="BD586" t="str">
        <f t="shared" si="101"/>
        <v>0</v>
      </c>
      <c r="BK586" t="str">
        <f>IFERROR(VLOOKUP(B586,'[1]model_S-フレーム'!$F$5:$R$7000,13,1),"")</f>
        <v>E389570_01</v>
      </c>
      <c r="BL586" s="7">
        <f>IFERROR(VLOOKUP(B586,'[1]model_S-フレーム'!$F$5:$V$7000,17,1),"")</f>
        <v>0</v>
      </c>
      <c r="BM586" t="str" cm="1">
        <f t="array" ref="BM586">_xlfn.IFS(LEFT(G586,1)="L","外注品",LEFT(G586,1)="W","内製品",G586="","購買品")</f>
        <v>内製品</v>
      </c>
    </row>
    <row r="587" spans="1:65">
      <c r="A587" t="str">
        <f t="shared" si="93"/>
        <v>WG01</v>
      </c>
      <c r="B587" t="s">
        <v>694</v>
      </c>
      <c r="C587" t="s">
        <v>920</v>
      </c>
      <c r="D587" s="7"/>
      <c r="E587" s="7"/>
      <c r="G587" t="s">
        <v>1939</v>
      </c>
      <c r="H587" t="str" cm="1">
        <f t="array" ref="H587">IFERROR(_xlfn.IFS(B587="","",AND(B587="",G587=""),"",G587="","記載要"),"")</f>
        <v/>
      </c>
      <c r="K587" t="str">
        <f t="shared" si="94"/>
        <v>11WP01002823</v>
      </c>
      <c r="L587" s="3" t="str">
        <f t="shared" si="95"/>
        <v>2001/01/01</v>
      </c>
      <c r="M587" s="3" t="str">
        <f t="shared" si="96"/>
        <v>2199/12/31</v>
      </c>
      <c r="N587" t="str">
        <f t="shared" si="97"/>
        <v>11WP01002823</v>
      </c>
      <c r="O587">
        <v>15</v>
      </c>
      <c r="Q587" t="str" cm="1">
        <f t="array" ref="Q587">_xlfn.IFS(AND(C587="",G587=""),"",LEFT(G587,1)="L","記載要",LEFT(G587,1)="W","",AND(C587,G587=""),"記載要")</f>
        <v/>
      </c>
      <c r="R587" s="21" t="str">
        <f t="shared" si="102"/>
        <v/>
      </c>
      <c r="S587" s="21"/>
      <c r="Z587" s="8"/>
      <c r="AA587">
        <v>1</v>
      </c>
      <c r="AB587">
        <f t="shared" si="98"/>
        <v>0</v>
      </c>
      <c r="AC587">
        <v>1</v>
      </c>
      <c r="AF587">
        <v>1</v>
      </c>
      <c r="AG587" s="8"/>
      <c r="AH587" s="8"/>
      <c r="AK587" cm="1">
        <f t="array" ref="AK587">_xlfn.IFS(B587="","",LEFT(G587,1)="L",1,LEFT(G587,1)="W",1,AND(LEFT(B587,1)="H",G587=""),0)</f>
        <v>1</v>
      </c>
      <c r="AS587" t="str">
        <f t="shared" si="99"/>
        <v/>
      </c>
      <c r="AT587" t="s">
        <v>115</v>
      </c>
      <c r="AU587" t="str">
        <f t="shared" si="100"/>
        <v>0</v>
      </c>
      <c r="BD587" t="str">
        <f t="shared" si="101"/>
        <v>0</v>
      </c>
      <c r="BK587" t="str">
        <f>IFERROR(VLOOKUP(B587,'[1]model_S-フレーム'!$F$5:$R$7000,13,1),"")</f>
        <v>E389570_01</v>
      </c>
      <c r="BL587" s="7">
        <f>IFERROR(VLOOKUP(B587,'[1]model_S-フレーム'!$F$5:$V$7000,17,1),"")</f>
        <v>0</v>
      </c>
      <c r="BM587" t="str" cm="1">
        <f t="array" ref="BM587">_xlfn.IFS(LEFT(G587,1)="L","外注品",LEFT(G587,1)="W","内製品",G587="","購買品")</f>
        <v>内製品</v>
      </c>
    </row>
    <row r="588" spans="1:65">
      <c r="A588" t="str">
        <f t="shared" si="93"/>
        <v>WG01</v>
      </c>
      <c r="B588" t="s">
        <v>695</v>
      </c>
      <c r="C588" t="s">
        <v>920</v>
      </c>
      <c r="D588" s="7"/>
      <c r="E588" s="7"/>
      <c r="G588" t="s">
        <v>1939</v>
      </c>
      <c r="H588" t="str" cm="1">
        <f t="array" ref="H588">IFERROR(_xlfn.IFS(B588="","",AND(B588="",G588=""),"",G588="","記載要"),"")</f>
        <v/>
      </c>
      <c r="K588" t="str">
        <f t="shared" si="94"/>
        <v>11WP01002824</v>
      </c>
      <c r="L588" s="3" t="str">
        <f t="shared" si="95"/>
        <v>2001/01/01</v>
      </c>
      <c r="M588" s="3" t="str">
        <f t="shared" si="96"/>
        <v>2199/12/31</v>
      </c>
      <c r="N588" t="str">
        <f t="shared" si="97"/>
        <v>11WP01002824</v>
      </c>
      <c r="O588">
        <v>15</v>
      </c>
      <c r="Q588" t="str" cm="1">
        <f t="array" ref="Q588">_xlfn.IFS(AND(C588="",G588=""),"",LEFT(G588,1)="L","記載要",LEFT(G588,1)="W","",AND(C588,G588=""),"記載要")</f>
        <v/>
      </c>
      <c r="R588" s="21" t="str">
        <f t="shared" si="102"/>
        <v/>
      </c>
      <c r="S588" s="21"/>
      <c r="Z588" s="8"/>
      <c r="AA588">
        <v>1</v>
      </c>
      <c r="AB588">
        <f t="shared" si="98"/>
        <v>0</v>
      </c>
      <c r="AC588">
        <v>1</v>
      </c>
      <c r="AF588">
        <v>1</v>
      </c>
      <c r="AG588" s="8"/>
      <c r="AH588" s="8"/>
      <c r="AK588" cm="1">
        <f t="array" ref="AK588">_xlfn.IFS(B588="","",LEFT(G588,1)="L",1,LEFT(G588,1)="W",1,AND(LEFT(B588,1)="H",G588=""),0)</f>
        <v>1</v>
      </c>
      <c r="AS588" t="str">
        <f t="shared" si="99"/>
        <v/>
      </c>
      <c r="AT588" t="s">
        <v>115</v>
      </c>
      <c r="AU588" t="str">
        <f t="shared" si="100"/>
        <v>0</v>
      </c>
      <c r="BD588" t="str">
        <f t="shared" si="101"/>
        <v>0</v>
      </c>
      <c r="BK588" t="str">
        <f>IFERROR(VLOOKUP(B588,'[1]model_S-フレーム'!$F$5:$R$7000,13,1),"")</f>
        <v>E389570_01</v>
      </c>
      <c r="BL588" s="7">
        <f>IFERROR(VLOOKUP(B588,'[1]model_S-フレーム'!$F$5:$V$7000,17,1),"")</f>
        <v>0</v>
      </c>
      <c r="BM588" t="str" cm="1">
        <f t="array" ref="BM588">_xlfn.IFS(LEFT(G588,1)="L","外注品",LEFT(G588,1)="W","内製品",G588="","購買品")</f>
        <v>内製品</v>
      </c>
    </row>
    <row r="589" spans="1:65">
      <c r="A589" t="str">
        <f t="shared" si="93"/>
        <v>WG01</v>
      </c>
      <c r="B589" t="s">
        <v>696</v>
      </c>
      <c r="C589" t="s">
        <v>920</v>
      </c>
      <c r="D589" s="7"/>
      <c r="E589" s="7"/>
      <c r="G589" t="s">
        <v>1939</v>
      </c>
      <c r="H589" t="str" cm="1">
        <f t="array" ref="H589">IFERROR(_xlfn.IFS(B589="","",AND(B589="",G589=""),"",G589="","記載要"),"")</f>
        <v/>
      </c>
      <c r="K589" t="str">
        <f t="shared" si="94"/>
        <v>11WP01002825</v>
      </c>
      <c r="L589" s="3" t="str">
        <f t="shared" si="95"/>
        <v>2001/01/01</v>
      </c>
      <c r="M589" s="3" t="str">
        <f t="shared" si="96"/>
        <v>2199/12/31</v>
      </c>
      <c r="N589" t="str">
        <f t="shared" si="97"/>
        <v>11WP01002825</v>
      </c>
      <c r="O589">
        <v>15</v>
      </c>
      <c r="Q589" t="str" cm="1">
        <f t="array" ref="Q589">_xlfn.IFS(AND(C589="",G589=""),"",LEFT(G589,1)="L","記載要",LEFT(G589,1)="W","",AND(C589,G589=""),"記載要")</f>
        <v/>
      </c>
      <c r="R589" s="21" t="str">
        <f t="shared" si="102"/>
        <v/>
      </c>
      <c r="S589" s="21"/>
      <c r="Z589" s="8"/>
      <c r="AA589">
        <v>1</v>
      </c>
      <c r="AB589">
        <f t="shared" si="98"/>
        <v>0</v>
      </c>
      <c r="AC589">
        <v>1</v>
      </c>
      <c r="AF589">
        <v>1</v>
      </c>
      <c r="AG589" s="8"/>
      <c r="AH589" s="8"/>
      <c r="AK589" cm="1">
        <f t="array" ref="AK589">_xlfn.IFS(B589="","",LEFT(G589,1)="L",1,LEFT(G589,1)="W",1,AND(LEFT(B589,1)="H",G589=""),0)</f>
        <v>1</v>
      </c>
      <c r="AS589" t="str">
        <f t="shared" si="99"/>
        <v/>
      </c>
      <c r="AT589" t="s">
        <v>115</v>
      </c>
      <c r="AU589" t="str">
        <f t="shared" si="100"/>
        <v>0</v>
      </c>
      <c r="BD589" t="str">
        <f t="shared" si="101"/>
        <v>0</v>
      </c>
      <c r="BK589" t="str">
        <f>IFERROR(VLOOKUP(B589,'[1]model_S-フレーム'!$F$5:$R$7000,13,1),"")</f>
        <v>E389570_01</v>
      </c>
      <c r="BL589" s="7">
        <f>IFERROR(VLOOKUP(B589,'[1]model_S-フレーム'!$F$5:$V$7000,17,1),"")</f>
        <v>0</v>
      </c>
      <c r="BM589" t="str" cm="1">
        <f t="array" ref="BM589">_xlfn.IFS(LEFT(G589,1)="L","外注品",LEFT(G589,1)="W","内製品",G589="","購買品")</f>
        <v>内製品</v>
      </c>
    </row>
    <row r="590" spans="1:65">
      <c r="A590" t="str">
        <f t="shared" si="93"/>
        <v>WG01</v>
      </c>
      <c r="B590" t="s">
        <v>697</v>
      </c>
      <c r="C590" t="s">
        <v>920</v>
      </c>
      <c r="D590" s="7"/>
      <c r="E590" s="7"/>
      <c r="G590" t="s">
        <v>1939</v>
      </c>
      <c r="H590" t="str" cm="1">
        <f t="array" ref="H590">IFERROR(_xlfn.IFS(B590="","",AND(B590="",G590=""),"",G590="","記載要"),"")</f>
        <v/>
      </c>
      <c r="K590" t="str">
        <f t="shared" si="94"/>
        <v>11WP01002826</v>
      </c>
      <c r="L590" s="3" t="str">
        <f t="shared" si="95"/>
        <v>2001/01/01</v>
      </c>
      <c r="M590" s="3" t="str">
        <f t="shared" si="96"/>
        <v>2199/12/31</v>
      </c>
      <c r="N590" t="str">
        <f t="shared" si="97"/>
        <v>11WP01002826</v>
      </c>
      <c r="O590">
        <v>15</v>
      </c>
      <c r="Q590" t="str" cm="1">
        <f t="array" ref="Q590">_xlfn.IFS(AND(C590="",G590=""),"",LEFT(G590,1)="L","記載要",LEFT(G590,1)="W","",AND(C590,G590=""),"記載要")</f>
        <v/>
      </c>
      <c r="R590" s="21" t="str">
        <f t="shared" si="102"/>
        <v/>
      </c>
      <c r="S590" s="21"/>
      <c r="Z590" s="8"/>
      <c r="AA590">
        <v>1</v>
      </c>
      <c r="AB590">
        <f t="shared" si="98"/>
        <v>0</v>
      </c>
      <c r="AC590">
        <v>1</v>
      </c>
      <c r="AF590">
        <v>1</v>
      </c>
      <c r="AG590" s="8"/>
      <c r="AH590" s="8"/>
      <c r="AK590" cm="1">
        <f t="array" ref="AK590">_xlfn.IFS(B590="","",LEFT(G590,1)="L",1,LEFT(G590,1)="W",1,AND(LEFT(B590,1)="H",G590=""),0)</f>
        <v>1</v>
      </c>
      <c r="AS590" t="str">
        <f t="shared" si="99"/>
        <v/>
      </c>
      <c r="AT590" t="s">
        <v>115</v>
      </c>
      <c r="AU590" t="str">
        <f t="shared" si="100"/>
        <v>0</v>
      </c>
      <c r="BD590" t="str">
        <f t="shared" si="101"/>
        <v>0</v>
      </c>
      <c r="BK590" t="str">
        <f>IFERROR(VLOOKUP(B590,'[1]model_S-フレーム'!$F$5:$R$7000,13,1),"")</f>
        <v>E389570_01</v>
      </c>
      <c r="BL590" s="7">
        <f>IFERROR(VLOOKUP(B590,'[1]model_S-フレーム'!$F$5:$V$7000,17,1),"")</f>
        <v>0</v>
      </c>
      <c r="BM590" t="str" cm="1">
        <f t="array" ref="BM590">_xlfn.IFS(LEFT(G590,1)="L","外注品",LEFT(G590,1)="W","内製品",G590="","購買品")</f>
        <v>内製品</v>
      </c>
    </row>
    <row r="591" spans="1:65">
      <c r="A591" t="str">
        <f t="shared" si="93"/>
        <v>WG01</v>
      </c>
      <c r="B591" t="s">
        <v>698</v>
      </c>
      <c r="C591" t="s">
        <v>920</v>
      </c>
      <c r="D591" s="7"/>
      <c r="E591" s="7"/>
      <c r="G591" t="s">
        <v>1939</v>
      </c>
      <c r="H591" t="str" cm="1">
        <f t="array" ref="H591">IFERROR(_xlfn.IFS(B591="","",AND(B591="",G591=""),"",G591="","記載要"),"")</f>
        <v/>
      </c>
      <c r="K591" t="str">
        <f t="shared" si="94"/>
        <v>11WP01002827</v>
      </c>
      <c r="L591" s="3" t="str">
        <f t="shared" si="95"/>
        <v>2001/01/01</v>
      </c>
      <c r="M591" s="3" t="str">
        <f t="shared" si="96"/>
        <v>2199/12/31</v>
      </c>
      <c r="N591" t="str">
        <f t="shared" si="97"/>
        <v>11WP01002827</v>
      </c>
      <c r="O591">
        <v>15</v>
      </c>
      <c r="Q591" t="str" cm="1">
        <f t="array" ref="Q591">_xlfn.IFS(AND(C591="",G591=""),"",LEFT(G591,1)="L","記載要",LEFT(G591,1)="W","",AND(C591,G591=""),"記載要")</f>
        <v/>
      </c>
      <c r="R591" s="21" t="str">
        <f t="shared" si="102"/>
        <v/>
      </c>
      <c r="S591" s="21"/>
      <c r="Z591" s="8"/>
      <c r="AA591">
        <v>1</v>
      </c>
      <c r="AB591">
        <f t="shared" si="98"/>
        <v>0</v>
      </c>
      <c r="AC591">
        <v>1</v>
      </c>
      <c r="AF591">
        <v>1</v>
      </c>
      <c r="AG591" s="8"/>
      <c r="AH591" s="8"/>
      <c r="AK591" cm="1">
        <f t="array" ref="AK591">_xlfn.IFS(B591="","",LEFT(G591,1)="L",1,LEFT(G591,1)="W",1,AND(LEFT(B591,1)="H",G591=""),0)</f>
        <v>1</v>
      </c>
      <c r="AS591" t="str">
        <f t="shared" si="99"/>
        <v/>
      </c>
      <c r="AT591" t="s">
        <v>115</v>
      </c>
      <c r="AU591" t="str">
        <f t="shared" si="100"/>
        <v>0</v>
      </c>
      <c r="BD591" t="str">
        <f t="shared" si="101"/>
        <v>0</v>
      </c>
      <c r="BK591" t="str">
        <f>IFERROR(VLOOKUP(B591,'[1]model_S-フレーム'!$F$5:$R$7000,13,1),"")</f>
        <v>E389570_01</v>
      </c>
      <c r="BL591" s="7">
        <f>IFERROR(VLOOKUP(B591,'[1]model_S-フレーム'!$F$5:$V$7000,17,1),"")</f>
        <v>0</v>
      </c>
      <c r="BM591" t="str" cm="1">
        <f t="array" ref="BM591">_xlfn.IFS(LEFT(G591,1)="L","外注品",LEFT(G591,1)="W","内製品",G591="","購買品")</f>
        <v>内製品</v>
      </c>
    </row>
    <row r="592" spans="1:65">
      <c r="A592" t="str">
        <f t="shared" si="93"/>
        <v>WG01</v>
      </c>
      <c r="B592" t="s">
        <v>699</v>
      </c>
      <c r="C592" t="s">
        <v>920</v>
      </c>
      <c r="D592" s="7"/>
      <c r="E592" s="7"/>
      <c r="G592" t="s">
        <v>1939</v>
      </c>
      <c r="H592" t="str" cm="1">
        <f t="array" ref="H592">IFERROR(_xlfn.IFS(B592="","",AND(B592="",G592=""),"",G592="","記載要"),"")</f>
        <v/>
      </c>
      <c r="K592" t="str">
        <f t="shared" si="94"/>
        <v>11WP01002828</v>
      </c>
      <c r="L592" s="3" t="str">
        <f t="shared" si="95"/>
        <v>2001/01/01</v>
      </c>
      <c r="M592" s="3" t="str">
        <f t="shared" si="96"/>
        <v>2199/12/31</v>
      </c>
      <c r="N592" t="str">
        <f t="shared" si="97"/>
        <v>11WP01002828</v>
      </c>
      <c r="O592">
        <v>15</v>
      </c>
      <c r="Q592" t="str" cm="1">
        <f t="array" ref="Q592">_xlfn.IFS(AND(C592="",G592=""),"",LEFT(G592,1)="L","記載要",LEFT(G592,1)="W","",AND(C592,G592=""),"記載要")</f>
        <v/>
      </c>
      <c r="R592" s="21" t="str">
        <f t="shared" si="102"/>
        <v/>
      </c>
      <c r="S592" s="21"/>
      <c r="Z592" s="8"/>
      <c r="AA592">
        <v>1</v>
      </c>
      <c r="AB592">
        <f t="shared" si="98"/>
        <v>0</v>
      </c>
      <c r="AC592">
        <v>1</v>
      </c>
      <c r="AF592">
        <v>1</v>
      </c>
      <c r="AG592" s="8"/>
      <c r="AH592" s="8"/>
      <c r="AK592" cm="1">
        <f t="array" ref="AK592">_xlfn.IFS(B592="","",LEFT(G592,1)="L",1,LEFT(G592,1)="W",1,AND(LEFT(B592,1)="H",G592=""),0)</f>
        <v>1</v>
      </c>
      <c r="AS592" t="str">
        <f t="shared" si="99"/>
        <v/>
      </c>
      <c r="AT592" t="s">
        <v>115</v>
      </c>
      <c r="AU592" t="str">
        <f t="shared" si="100"/>
        <v>0</v>
      </c>
      <c r="BD592" t="str">
        <f t="shared" si="101"/>
        <v>0</v>
      </c>
      <c r="BK592" t="str">
        <f>IFERROR(VLOOKUP(B592,'[1]model_S-フレーム'!$F$5:$R$7000,13,1),"")</f>
        <v>E389570_01</v>
      </c>
      <c r="BL592" s="7">
        <f>IFERROR(VLOOKUP(B592,'[1]model_S-フレーム'!$F$5:$V$7000,17,1),"")</f>
        <v>0</v>
      </c>
      <c r="BM592" t="str" cm="1">
        <f t="array" ref="BM592">_xlfn.IFS(LEFT(G592,1)="L","外注品",LEFT(G592,1)="W","内製品",G592="","購買品")</f>
        <v>内製品</v>
      </c>
    </row>
    <row r="593" spans="1:65">
      <c r="A593" t="str">
        <f t="shared" si="93"/>
        <v>WG01</v>
      </c>
      <c r="B593" t="s">
        <v>700</v>
      </c>
      <c r="C593" t="s">
        <v>920</v>
      </c>
      <c r="D593" s="7"/>
      <c r="E593" s="7"/>
      <c r="G593" t="s">
        <v>1939</v>
      </c>
      <c r="H593" t="str" cm="1">
        <f t="array" ref="H593">IFERROR(_xlfn.IFS(B593="","",AND(B593="",G593=""),"",G593="","記載要"),"")</f>
        <v/>
      </c>
      <c r="K593" t="str">
        <f t="shared" si="94"/>
        <v>11WP01002829</v>
      </c>
      <c r="L593" s="3" t="str">
        <f t="shared" si="95"/>
        <v>2001/01/01</v>
      </c>
      <c r="M593" s="3" t="str">
        <f t="shared" si="96"/>
        <v>2199/12/31</v>
      </c>
      <c r="N593" t="str">
        <f t="shared" si="97"/>
        <v>11WP01002829</v>
      </c>
      <c r="O593">
        <v>15</v>
      </c>
      <c r="Q593" t="str" cm="1">
        <f t="array" ref="Q593">_xlfn.IFS(AND(C593="",G593=""),"",LEFT(G593,1)="L","記載要",LEFT(G593,1)="W","",AND(C593,G593=""),"記載要")</f>
        <v/>
      </c>
      <c r="R593" s="21" t="str">
        <f t="shared" si="102"/>
        <v/>
      </c>
      <c r="S593" s="21"/>
      <c r="Z593" s="8"/>
      <c r="AA593">
        <v>1</v>
      </c>
      <c r="AB593">
        <f t="shared" si="98"/>
        <v>0</v>
      </c>
      <c r="AC593">
        <v>1</v>
      </c>
      <c r="AF593">
        <v>1</v>
      </c>
      <c r="AG593" s="8"/>
      <c r="AH593" s="8"/>
      <c r="AK593" cm="1">
        <f t="array" ref="AK593">_xlfn.IFS(B593="","",LEFT(G593,1)="L",1,LEFT(G593,1)="W",1,AND(LEFT(B593,1)="H",G593=""),0)</f>
        <v>1</v>
      </c>
      <c r="AS593" t="str">
        <f t="shared" si="99"/>
        <v/>
      </c>
      <c r="AT593" t="s">
        <v>115</v>
      </c>
      <c r="AU593" t="str">
        <f t="shared" si="100"/>
        <v>0</v>
      </c>
      <c r="BD593" t="str">
        <f t="shared" si="101"/>
        <v>0</v>
      </c>
      <c r="BK593" t="str">
        <f>IFERROR(VLOOKUP(B593,'[1]model_S-フレーム'!$F$5:$R$7000,13,1),"")</f>
        <v>E389570_01</v>
      </c>
      <c r="BL593" s="7">
        <f>IFERROR(VLOOKUP(B593,'[1]model_S-フレーム'!$F$5:$V$7000,17,1),"")</f>
        <v>0</v>
      </c>
      <c r="BM593" t="str" cm="1">
        <f t="array" ref="BM593">_xlfn.IFS(LEFT(G593,1)="L","外注品",LEFT(G593,1)="W","内製品",G593="","購買品")</f>
        <v>内製品</v>
      </c>
    </row>
    <row r="594" spans="1:65">
      <c r="A594" t="str">
        <f t="shared" si="93"/>
        <v>WG01</v>
      </c>
      <c r="B594" t="s">
        <v>701</v>
      </c>
      <c r="C594" t="s">
        <v>920</v>
      </c>
      <c r="D594" s="7"/>
      <c r="E594" s="7"/>
      <c r="G594" t="s">
        <v>1939</v>
      </c>
      <c r="H594" t="str" cm="1">
        <f t="array" ref="H594">IFERROR(_xlfn.IFS(B594="","",AND(B594="",G594=""),"",G594="","記載要"),"")</f>
        <v/>
      </c>
      <c r="K594" t="str">
        <f t="shared" si="94"/>
        <v>11WP01002830</v>
      </c>
      <c r="L594" s="3" t="str">
        <f t="shared" si="95"/>
        <v>2001/01/01</v>
      </c>
      <c r="M594" s="3" t="str">
        <f t="shared" si="96"/>
        <v>2199/12/31</v>
      </c>
      <c r="N594" t="str">
        <f t="shared" si="97"/>
        <v>11WP01002830</v>
      </c>
      <c r="O594">
        <v>15</v>
      </c>
      <c r="Q594" t="str" cm="1">
        <f t="array" ref="Q594">_xlfn.IFS(AND(C594="",G594=""),"",LEFT(G594,1)="L","記載要",LEFT(G594,1)="W","",AND(C594,G594=""),"記載要")</f>
        <v/>
      </c>
      <c r="R594" s="21" t="str">
        <f t="shared" si="102"/>
        <v/>
      </c>
      <c r="S594" s="21"/>
      <c r="Z594" s="8"/>
      <c r="AA594">
        <v>1</v>
      </c>
      <c r="AB594">
        <f t="shared" si="98"/>
        <v>0</v>
      </c>
      <c r="AC594">
        <v>1</v>
      </c>
      <c r="AF594">
        <v>1</v>
      </c>
      <c r="AG594" s="8"/>
      <c r="AH594" s="8"/>
      <c r="AK594" cm="1">
        <f t="array" ref="AK594">_xlfn.IFS(B594="","",LEFT(G594,1)="L",1,LEFT(G594,1)="W",1,AND(LEFT(B594,1)="H",G594=""),0)</f>
        <v>1</v>
      </c>
      <c r="AS594" t="str">
        <f t="shared" si="99"/>
        <v/>
      </c>
      <c r="AT594" t="s">
        <v>115</v>
      </c>
      <c r="AU594" t="str">
        <f t="shared" si="100"/>
        <v>0</v>
      </c>
      <c r="BD594" t="str">
        <f t="shared" si="101"/>
        <v>0</v>
      </c>
      <c r="BK594" t="str">
        <f>IFERROR(VLOOKUP(B594,'[1]model_S-フレーム'!$F$5:$R$7000,13,1),"")</f>
        <v>E389570_01</v>
      </c>
      <c r="BL594" s="7">
        <f>IFERROR(VLOOKUP(B594,'[1]model_S-フレーム'!$F$5:$V$7000,17,1),"")</f>
        <v>0</v>
      </c>
      <c r="BM594" t="str" cm="1">
        <f t="array" ref="BM594">_xlfn.IFS(LEFT(G594,1)="L","外注品",LEFT(G594,1)="W","内製品",G594="","購買品")</f>
        <v>内製品</v>
      </c>
    </row>
    <row r="595" spans="1:65">
      <c r="A595" t="str">
        <f t="shared" si="93"/>
        <v>WG01</v>
      </c>
      <c r="B595" t="s">
        <v>702</v>
      </c>
      <c r="C595" t="s">
        <v>920</v>
      </c>
      <c r="D595" s="7"/>
      <c r="E595" s="7"/>
      <c r="G595" t="s">
        <v>1939</v>
      </c>
      <c r="H595" t="str" cm="1">
        <f t="array" ref="H595">IFERROR(_xlfn.IFS(B595="","",AND(B595="",G595=""),"",G595="","記載要"),"")</f>
        <v/>
      </c>
      <c r="K595" t="str">
        <f t="shared" si="94"/>
        <v>11WP01002831</v>
      </c>
      <c r="L595" s="3" t="str">
        <f t="shared" si="95"/>
        <v>2001/01/01</v>
      </c>
      <c r="M595" s="3" t="str">
        <f t="shared" si="96"/>
        <v>2199/12/31</v>
      </c>
      <c r="N595" t="str">
        <f t="shared" si="97"/>
        <v>11WP01002831</v>
      </c>
      <c r="O595">
        <v>15</v>
      </c>
      <c r="Q595" t="str" cm="1">
        <f t="array" ref="Q595">_xlfn.IFS(AND(C595="",G595=""),"",LEFT(G595,1)="L","記載要",LEFT(G595,1)="W","",AND(C595,G595=""),"記載要")</f>
        <v/>
      </c>
      <c r="R595" s="21" t="str">
        <f t="shared" si="102"/>
        <v/>
      </c>
      <c r="S595" s="21"/>
      <c r="Z595" s="8"/>
      <c r="AA595">
        <v>1</v>
      </c>
      <c r="AB595">
        <f t="shared" si="98"/>
        <v>0</v>
      </c>
      <c r="AC595">
        <v>1</v>
      </c>
      <c r="AF595">
        <v>1</v>
      </c>
      <c r="AG595" s="8"/>
      <c r="AH595" s="8"/>
      <c r="AK595" cm="1">
        <f t="array" ref="AK595">_xlfn.IFS(B595="","",LEFT(G595,1)="L",1,LEFT(G595,1)="W",1,AND(LEFT(B595,1)="H",G595=""),0)</f>
        <v>1</v>
      </c>
      <c r="AS595" t="str">
        <f t="shared" si="99"/>
        <v/>
      </c>
      <c r="AT595" t="s">
        <v>115</v>
      </c>
      <c r="AU595" t="str">
        <f t="shared" si="100"/>
        <v>0</v>
      </c>
      <c r="BD595" t="str">
        <f t="shared" si="101"/>
        <v>0</v>
      </c>
      <c r="BK595" t="str">
        <f>IFERROR(VLOOKUP(B595,'[1]model_S-フレーム'!$F$5:$R$7000,13,1),"")</f>
        <v>E389570_01</v>
      </c>
      <c r="BL595" s="7">
        <f>IFERROR(VLOOKUP(B595,'[1]model_S-フレーム'!$F$5:$V$7000,17,1),"")</f>
        <v>0</v>
      </c>
      <c r="BM595" t="str" cm="1">
        <f t="array" ref="BM595">_xlfn.IFS(LEFT(G595,1)="L","外注品",LEFT(G595,1)="W","内製品",G595="","購買品")</f>
        <v>内製品</v>
      </c>
    </row>
    <row r="596" spans="1:65">
      <c r="A596" t="str">
        <f t="shared" si="93"/>
        <v>WG01</v>
      </c>
      <c r="B596" t="s">
        <v>703</v>
      </c>
      <c r="C596" t="s">
        <v>920</v>
      </c>
      <c r="D596" s="7"/>
      <c r="E596" s="7"/>
      <c r="G596" t="s">
        <v>1939</v>
      </c>
      <c r="H596" t="str" cm="1">
        <f t="array" ref="H596">IFERROR(_xlfn.IFS(B596="","",AND(B596="",G596=""),"",G596="","記載要"),"")</f>
        <v/>
      </c>
      <c r="K596" t="str">
        <f t="shared" si="94"/>
        <v>11WP01002832</v>
      </c>
      <c r="L596" s="3" t="str">
        <f t="shared" si="95"/>
        <v>2001/01/01</v>
      </c>
      <c r="M596" s="3" t="str">
        <f t="shared" si="96"/>
        <v>2199/12/31</v>
      </c>
      <c r="N596" t="str">
        <f t="shared" si="97"/>
        <v>11WP01002832</v>
      </c>
      <c r="O596">
        <v>15</v>
      </c>
      <c r="Q596" t="str" cm="1">
        <f t="array" ref="Q596">_xlfn.IFS(AND(C596="",G596=""),"",LEFT(G596,1)="L","記載要",LEFT(G596,1)="W","",AND(C596,G596=""),"記載要")</f>
        <v/>
      </c>
      <c r="R596" s="21" t="str">
        <f t="shared" si="102"/>
        <v/>
      </c>
      <c r="S596" s="21"/>
      <c r="Z596" s="8"/>
      <c r="AA596">
        <v>1</v>
      </c>
      <c r="AB596">
        <f t="shared" si="98"/>
        <v>0</v>
      </c>
      <c r="AC596">
        <v>1</v>
      </c>
      <c r="AF596">
        <v>1</v>
      </c>
      <c r="AG596" s="8"/>
      <c r="AH596" s="8"/>
      <c r="AK596" cm="1">
        <f t="array" ref="AK596">_xlfn.IFS(B596="","",LEFT(G596,1)="L",1,LEFT(G596,1)="W",1,AND(LEFT(B596,1)="H",G596=""),0)</f>
        <v>1</v>
      </c>
      <c r="AS596" t="str">
        <f t="shared" si="99"/>
        <v/>
      </c>
      <c r="AT596" t="s">
        <v>115</v>
      </c>
      <c r="AU596" t="str">
        <f t="shared" si="100"/>
        <v>0</v>
      </c>
      <c r="BD596" t="str">
        <f t="shared" si="101"/>
        <v>0</v>
      </c>
      <c r="BK596" t="str">
        <f>IFERROR(VLOOKUP(B596,'[1]model_S-フレーム'!$F$5:$R$7000,13,1),"")</f>
        <v>E389570_01</v>
      </c>
      <c r="BL596" s="7">
        <f>IFERROR(VLOOKUP(B596,'[1]model_S-フレーム'!$F$5:$V$7000,17,1),"")</f>
        <v>0</v>
      </c>
      <c r="BM596" t="str" cm="1">
        <f t="array" ref="BM596">_xlfn.IFS(LEFT(G596,1)="L","外注品",LEFT(G596,1)="W","内製品",G596="","購買品")</f>
        <v>内製品</v>
      </c>
    </row>
    <row r="597" spans="1:65">
      <c r="A597" t="str">
        <f t="shared" si="93"/>
        <v>WG01</v>
      </c>
      <c r="B597" t="s">
        <v>704</v>
      </c>
      <c r="C597" t="s">
        <v>920</v>
      </c>
      <c r="D597" s="7"/>
      <c r="E597" s="7"/>
      <c r="G597" t="s">
        <v>1939</v>
      </c>
      <c r="H597" t="str" cm="1">
        <f t="array" ref="H597">IFERROR(_xlfn.IFS(B597="","",AND(B597="",G597=""),"",G597="","記載要"),"")</f>
        <v/>
      </c>
      <c r="K597" t="str">
        <f t="shared" si="94"/>
        <v>11WP01002833</v>
      </c>
      <c r="L597" s="3" t="str">
        <f t="shared" si="95"/>
        <v>2001/01/01</v>
      </c>
      <c r="M597" s="3" t="str">
        <f t="shared" si="96"/>
        <v>2199/12/31</v>
      </c>
      <c r="N597" t="str">
        <f t="shared" si="97"/>
        <v>11WP01002833</v>
      </c>
      <c r="O597">
        <v>15</v>
      </c>
      <c r="Q597" t="str" cm="1">
        <f t="array" ref="Q597">_xlfn.IFS(AND(C597="",G597=""),"",LEFT(G597,1)="L","記載要",LEFT(G597,1)="W","",AND(C597,G597=""),"記載要")</f>
        <v/>
      </c>
      <c r="R597" s="21" t="str">
        <f t="shared" si="102"/>
        <v/>
      </c>
      <c r="S597" s="21"/>
      <c r="Z597" s="8"/>
      <c r="AA597">
        <v>1</v>
      </c>
      <c r="AB597">
        <f t="shared" si="98"/>
        <v>0</v>
      </c>
      <c r="AC597">
        <v>1</v>
      </c>
      <c r="AF597">
        <v>1</v>
      </c>
      <c r="AG597" s="8"/>
      <c r="AH597" s="8"/>
      <c r="AK597" cm="1">
        <f t="array" ref="AK597">_xlfn.IFS(B597="","",LEFT(G597,1)="L",1,LEFT(G597,1)="W",1,AND(LEFT(B597,1)="H",G597=""),0)</f>
        <v>1</v>
      </c>
      <c r="AS597" t="str">
        <f t="shared" si="99"/>
        <v/>
      </c>
      <c r="AT597" t="s">
        <v>115</v>
      </c>
      <c r="AU597" t="str">
        <f t="shared" si="100"/>
        <v>0</v>
      </c>
      <c r="BD597" t="str">
        <f t="shared" si="101"/>
        <v>0</v>
      </c>
      <c r="BK597" t="str">
        <f>IFERROR(VLOOKUP(B597,'[1]model_S-フレーム'!$F$5:$R$7000,13,1),"")</f>
        <v>E389570_01</v>
      </c>
      <c r="BL597" s="7">
        <f>IFERROR(VLOOKUP(B597,'[1]model_S-フレーム'!$F$5:$V$7000,17,1),"")</f>
        <v>0</v>
      </c>
      <c r="BM597" t="str" cm="1">
        <f t="array" ref="BM597">_xlfn.IFS(LEFT(G597,1)="L","外注品",LEFT(G597,1)="W","内製品",G597="","購買品")</f>
        <v>内製品</v>
      </c>
    </row>
    <row r="598" spans="1:65">
      <c r="A598" t="str">
        <f t="shared" si="93"/>
        <v>WG01</v>
      </c>
      <c r="B598" t="s">
        <v>705</v>
      </c>
      <c r="C598" t="s">
        <v>920</v>
      </c>
      <c r="D598" s="7"/>
      <c r="E598" s="7"/>
      <c r="G598" t="s">
        <v>1939</v>
      </c>
      <c r="H598" t="str" cm="1">
        <f t="array" ref="H598">IFERROR(_xlfn.IFS(B598="","",AND(B598="",G598=""),"",G598="","記載要"),"")</f>
        <v/>
      </c>
      <c r="K598" t="str">
        <f t="shared" si="94"/>
        <v>11WP01002834</v>
      </c>
      <c r="L598" s="3" t="str">
        <f t="shared" si="95"/>
        <v>2001/01/01</v>
      </c>
      <c r="M598" s="3" t="str">
        <f t="shared" si="96"/>
        <v>2199/12/31</v>
      </c>
      <c r="N598" t="str">
        <f t="shared" si="97"/>
        <v>11WP01002834</v>
      </c>
      <c r="O598">
        <v>15</v>
      </c>
      <c r="Q598" t="str" cm="1">
        <f t="array" ref="Q598">_xlfn.IFS(AND(C598="",G598=""),"",LEFT(G598,1)="L","記載要",LEFT(G598,1)="W","",AND(C598,G598=""),"記載要")</f>
        <v/>
      </c>
      <c r="R598" s="21" t="str">
        <f t="shared" si="102"/>
        <v/>
      </c>
      <c r="S598" s="21"/>
      <c r="Z598" s="8"/>
      <c r="AA598">
        <v>1</v>
      </c>
      <c r="AB598">
        <f t="shared" si="98"/>
        <v>0</v>
      </c>
      <c r="AC598">
        <v>1</v>
      </c>
      <c r="AF598">
        <v>1</v>
      </c>
      <c r="AG598" s="8"/>
      <c r="AH598" s="8"/>
      <c r="AK598" cm="1">
        <f t="array" ref="AK598">_xlfn.IFS(B598="","",LEFT(G598,1)="L",1,LEFT(G598,1)="W",1,AND(LEFT(B598,1)="H",G598=""),0)</f>
        <v>1</v>
      </c>
      <c r="AS598" t="str">
        <f t="shared" si="99"/>
        <v/>
      </c>
      <c r="AT598" t="s">
        <v>115</v>
      </c>
      <c r="AU598" t="str">
        <f t="shared" si="100"/>
        <v>0</v>
      </c>
      <c r="BD598" t="str">
        <f t="shared" si="101"/>
        <v>0</v>
      </c>
      <c r="BK598" t="str">
        <f>IFERROR(VLOOKUP(B598,'[1]model_S-フレーム'!$F$5:$R$7000,13,1),"")</f>
        <v>E389570_01</v>
      </c>
      <c r="BL598" s="7">
        <f>IFERROR(VLOOKUP(B598,'[1]model_S-フレーム'!$F$5:$V$7000,17,1),"")</f>
        <v>0</v>
      </c>
      <c r="BM598" t="str" cm="1">
        <f t="array" ref="BM598">_xlfn.IFS(LEFT(G598,1)="L","外注品",LEFT(G598,1)="W","内製品",G598="","購買品")</f>
        <v>内製品</v>
      </c>
    </row>
    <row r="599" spans="1:65">
      <c r="A599" t="str">
        <f t="shared" si="93"/>
        <v>WG01</v>
      </c>
      <c r="B599" t="s">
        <v>706</v>
      </c>
      <c r="C599" t="s">
        <v>920</v>
      </c>
      <c r="D599" s="7"/>
      <c r="E599" s="7"/>
      <c r="G599" t="s">
        <v>1939</v>
      </c>
      <c r="H599" t="str" cm="1">
        <f t="array" ref="H599">IFERROR(_xlfn.IFS(B599="","",AND(B599="",G599=""),"",G599="","記載要"),"")</f>
        <v/>
      </c>
      <c r="K599" t="str">
        <f t="shared" si="94"/>
        <v>11WP01002835</v>
      </c>
      <c r="L599" s="3" t="str">
        <f t="shared" si="95"/>
        <v>2001/01/01</v>
      </c>
      <c r="M599" s="3" t="str">
        <f t="shared" si="96"/>
        <v>2199/12/31</v>
      </c>
      <c r="N599" t="str">
        <f t="shared" si="97"/>
        <v>11WP01002835</v>
      </c>
      <c r="O599">
        <v>15</v>
      </c>
      <c r="Q599" t="str" cm="1">
        <f t="array" ref="Q599">_xlfn.IFS(AND(C599="",G599=""),"",LEFT(G599,1)="L","記載要",LEFT(G599,1)="W","",AND(C599,G599=""),"記載要")</f>
        <v/>
      </c>
      <c r="R599" s="21" t="str">
        <f t="shared" si="102"/>
        <v/>
      </c>
      <c r="S599" s="21"/>
      <c r="Z599" s="8"/>
      <c r="AA599">
        <v>1</v>
      </c>
      <c r="AB599">
        <f t="shared" si="98"/>
        <v>0</v>
      </c>
      <c r="AC599">
        <v>1</v>
      </c>
      <c r="AF599">
        <v>1</v>
      </c>
      <c r="AG599" s="8"/>
      <c r="AH599" s="8"/>
      <c r="AK599" cm="1">
        <f t="array" ref="AK599">_xlfn.IFS(B599="","",LEFT(G599,1)="L",1,LEFT(G599,1)="W",1,AND(LEFT(B599,1)="H",G599=""),0)</f>
        <v>1</v>
      </c>
      <c r="AS599" t="str">
        <f t="shared" si="99"/>
        <v/>
      </c>
      <c r="AT599" t="s">
        <v>115</v>
      </c>
      <c r="AU599" t="str">
        <f t="shared" si="100"/>
        <v>0</v>
      </c>
      <c r="BD599" t="str">
        <f t="shared" si="101"/>
        <v>0</v>
      </c>
      <c r="BK599" t="str">
        <f>IFERROR(VLOOKUP(B599,'[1]model_S-フレーム'!$F$5:$R$7000,13,1),"")</f>
        <v>E389570_01</v>
      </c>
      <c r="BL599" s="7">
        <f>IFERROR(VLOOKUP(B599,'[1]model_S-フレーム'!$F$5:$V$7000,17,1),"")</f>
        <v>0</v>
      </c>
      <c r="BM599" t="str" cm="1">
        <f t="array" ref="BM599">_xlfn.IFS(LEFT(G599,1)="L","外注品",LEFT(G599,1)="W","内製品",G599="","購買品")</f>
        <v>内製品</v>
      </c>
    </row>
    <row r="600" spans="1:65">
      <c r="A600" t="str">
        <f t="shared" si="93"/>
        <v>WG01</v>
      </c>
      <c r="B600" t="s">
        <v>707</v>
      </c>
      <c r="C600" t="s">
        <v>920</v>
      </c>
      <c r="D600" s="7"/>
      <c r="E600" s="7"/>
      <c r="G600" t="s">
        <v>1939</v>
      </c>
      <c r="H600" t="str" cm="1">
        <f t="array" ref="H600">IFERROR(_xlfn.IFS(B600="","",AND(B600="",G600=""),"",G600="","記載要"),"")</f>
        <v/>
      </c>
      <c r="K600" t="str">
        <f t="shared" si="94"/>
        <v>11WP01002836</v>
      </c>
      <c r="L600" s="3" t="str">
        <f t="shared" si="95"/>
        <v>2001/01/01</v>
      </c>
      <c r="M600" s="3" t="str">
        <f t="shared" si="96"/>
        <v>2199/12/31</v>
      </c>
      <c r="N600" t="str">
        <f t="shared" si="97"/>
        <v>11WP01002836</v>
      </c>
      <c r="O600">
        <v>15</v>
      </c>
      <c r="Q600" t="str" cm="1">
        <f t="array" ref="Q600">_xlfn.IFS(AND(C600="",G600=""),"",LEFT(G600,1)="L","記載要",LEFT(G600,1)="W","",AND(C600,G600=""),"記載要")</f>
        <v/>
      </c>
      <c r="R600" s="21" t="str">
        <f t="shared" si="102"/>
        <v/>
      </c>
      <c r="S600" s="21"/>
      <c r="Z600" s="8"/>
      <c r="AA600">
        <v>1</v>
      </c>
      <c r="AB600">
        <f t="shared" si="98"/>
        <v>0</v>
      </c>
      <c r="AC600">
        <v>1</v>
      </c>
      <c r="AF600">
        <v>1</v>
      </c>
      <c r="AG600" s="8"/>
      <c r="AH600" s="8"/>
      <c r="AK600" cm="1">
        <f t="array" ref="AK600">_xlfn.IFS(B600="","",LEFT(G600,1)="L",1,LEFT(G600,1)="W",1,AND(LEFT(B600,1)="H",G600=""),0)</f>
        <v>1</v>
      </c>
      <c r="AS600" t="str">
        <f t="shared" si="99"/>
        <v/>
      </c>
      <c r="AT600" t="s">
        <v>115</v>
      </c>
      <c r="AU600" t="str">
        <f t="shared" si="100"/>
        <v>0</v>
      </c>
      <c r="BD600" t="str">
        <f t="shared" si="101"/>
        <v>0</v>
      </c>
      <c r="BK600" t="str">
        <f>IFERROR(VLOOKUP(B600,'[1]model_S-フレーム'!$F$5:$R$7000,13,1),"")</f>
        <v>E389570_01</v>
      </c>
      <c r="BL600" s="7">
        <f>IFERROR(VLOOKUP(B600,'[1]model_S-フレーム'!$F$5:$V$7000,17,1),"")</f>
        <v>0</v>
      </c>
      <c r="BM600" t="str" cm="1">
        <f t="array" ref="BM600">_xlfn.IFS(LEFT(G600,1)="L","外注品",LEFT(G600,1)="W","内製品",G600="","購買品")</f>
        <v>内製品</v>
      </c>
    </row>
    <row r="601" spans="1:65">
      <c r="A601" t="str">
        <f t="shared" si="93"/>
        <v>WG01</v>
      </c>
      <c r="B601" t="s">
        <v>708</v>
      </c>
      <c r="C601" t="s">
        <v>920</v>
      </c>
      <c r="D601" s="7"/>
      <c r="E601" s="7"/>
      <c r="G601" t="s">
        <v>1939</v>
      </c>
      <c r="H601" t="str" cm="1">
        <f t="array" ref="H601">IFERROR(_xlfn.IFS(B601="","",AND(B601="",G601=""),"",G601="","記載要"),"")</f>
        <v/>
      </c>
      <c r="K601" t="str">
        <f t="shared" si="94"/>
        <v>11WP01002837</v>
      </c>
      <c r="L601" s="3" t="str">
        <f t="shared" si="95"/>
        <v>2001/01/01</v>
      </c>
      <c r="M601" s="3" t="str">
        <f t="shared" si="96"/>
        <v>2199/12/31</v>
      </c>
      <c r="N601" t="str">
        <f t="shared" si="97"/>
        <v>11WP01002837</v>
      </c>
      <c r="O601">
        <v>15</v>
      </c>
      <c r="Q601" t="str" cm="1">
        <f t="array" ref="Q601">_xlfn.IFS(AND(C601="",G601=""),"",LEFT(G601,1)="L","記載要",LEFT(G601,1)="W","",AND(C601,G601=""),"記載要")</f>
        <v/>
      </c>
      <c r="R601" s="21" t="str">
        <f t="shared" si="102"/>
        <v/>
      </c>
      <c r="S601" s="21"/>
      <c r="Z601" s="8"/>
      <c r="AA601">
        <v>1</v>
      </c>
      <c r="AB601">
        <f t="shared" si="98"/>
        <v>0</v>
      </c>
      <c r="AC601">
        <v>1</v>
      </c>
      <c r="AF601">
        <v>1</v>
      </c>
      <c r="AG601" s="8"/>
      <c r="AH601" s="8"/>
      <c r="AK601" cm="1">
        <f t="array" ref="AK601">_xlfn.IFS(B601="","",LEFT(G601,1)="L",1,LEFT(G601,1)="W",1,AND(LEFT(B601,1)="H",G601=""),0)</f>
        <v>1</v>
      </c>
      <c r="AS601" t="str">
        <f t="shared" si="99"/>
        <v/>
      </c>
      <c r="AT601" t="s">
        <v>115</v>
      </c>
      <c r="AU601" t="str">
        <f t="shared" si="100"/>
        <v>0</v>
      </c>
      <c r="BD601" t="str">
        <f t="shared" si="101"/>
        <v>0</v>
      </c>
      <c r="BK601" t="str">
        <f>IFERROR(VLOOKUP(B601,'[1]model_S-フレーム'!$F$5:$R$7000,13,1),"")</f>
        <v>E389570_01</v>
      </c>
      <c r="BL601" s="7">
        <f>IFERROR(VLOOKUP(B601,'[1]model_S-フレーム'!$F$5:$V$7000,17,1),"")</f>
        <v>0</v>
      </c>
      <c r="BM601" t="str" cm="1">
        <f t="array" ref="BM601">_xlfn.IFS(LEFT(G601,1)="L","外注品",LEFT(G601,1)="W","内製品",G601="","購買品")</f>
        <v>内製品</v>
      </c>
    </row>
    <row r="602" spans="1:65">
      <c r="A602" t="str">
        <f t="shared" si="93"/>
        <v>WG01</v>
      </c>
      <c r="B602" t="s">
        <v>709</v>
      </c>
      <c r="C602" t="s">
        <v>920</v>
      </c>
      <c r="D602" s="7"/>
      <c r="E602" s="7"/>
      <c r="G602" t="s">
        <v>1939</v>
      </c>
      <c r="H602" t="str" cm="1">
        <f t="array" ref="H602">IFERROR(_xlfn.IFS(B602="","",AND(B602="",G602=""),"",G602="","記載要"),"")</f>
        <v/>
      </c>
      <c r="K602" t="str">
        <f t="shared" si="94"/>
        <v>11WP01002838</v>
      </c>
      <c r="L602" s="3" t="str">
        <f t="shared" si="95"/>
        <v>2001/01/01</v>
      </c>
      <c r="M602" s="3" t="str">
        <f t="shared" si="96"/>
        <v>2199/12/31</v>
      </c>
      <c r="N602" t="str">
        <f t="shared" si="97"/>
        <v>11WP01002838</v>
      </c>
      <c r="O602">
        <v>15</v>
      </c>
      <c r="Q602" t="str" cm="1">
        <f t="array" ref="Q602">_xlfn.IFS(AND(C602="",G602=""),"",LEFT(G602,1)="L","記載要",LEFT(G602,1)="W","",AND(C602,G602=""),"記載要")</f>
        <v/>
      </c>
      <c r="R602" s="21" t="str">
        <f t="shared" si="102"/>
        <v/>
      </c>
      <c r="S602" s="21"/>
      <c r="Z602" s="8"/>
      <c r="AA602">
        <v>1</v>
      </c>
      <c r="AB602">
        <f t="shared" si="98"/>
        <v>0</v>
      </c>
      <c r="AC602">
        <v>1</v>
      </c>
      <c r="AF602">
        <v>1</v>
      </c>
      <c r="AG602" s="8"/>
      <c r="AH602" s="8"/>
      <c r="AK602" cm="1">
        <f t="array" ref="AK602">_xlfn.IFS(B602="","",LEFT(G602,1)="L",1,LEFT(G602,1)="W",1,AND(LEFT(B602,1)="H",G602=""),0)</f>
        <v>1</v>
      </c>
      <c r="AS602" t="str">
        <f t="shared" si="99"/>
        <v/>
      </c>
      <c r="AT602" t="s">
        <v>115</v>
      </c>
      <c r="AU602" t="str">
        <f t="shared" si="100"/>
        <v>0</v>
      </c>
      <c r="BD602" t="str">
        <f t="shared" si="101"/>
        <v>0</v>
      </c>
      <c r="BK602" t="str">
        <f>IFERROR(VLOOKUP(B602,'[1]model_S-フレーム'!$F$5:$R$7000,13,1),"")</f>
        <v>E389570_01</v>
      </c>
      <c r="BL602" s="7">
        <f>IFERROR(VLOOKUP(B602,'[1]model_S-フレーム'!$F$5:$V$7000,17,1),"")</f>
        <v>0</v>
      </c>
      <c r="BM602" t="str" cm="1">
        <f t="array" ref="BM602">_xlfn.IFS(LEFT(G602,1)="L","外注品",LEFT(G602,1)="W","内製品",G602="","購買品")</f>
        <v>内製品</v>
      </c>
    </row>
    <row r="603" spans="1:65">
      <c r="A603" t="str">
        <f t="shared" si="93"/>
        <v>WG01</v>
      </c>
      <c r="B603" t="s">
        <v>710</v>
      </c>
      <c r="C603" t="s">
        <v>920</v>
      </c>
      <c r="D603" s="7"/>
      <c r="E603" s="7"/>
      <c r="G603" t="s">
        <v>1939</v>
      </c>
      <c r="H603" t="str" cm="1">
        <f t="array" ref="H603">IFERROR(_xlfn.IFS(B603="","",AND(B603="",G603=""),"",G603="","記載要"),"")</f>
        <v/>
      </c>
      <c r="K603" t="str">
        <f t="shared" si="94"/>
        <v>11WP01002839</v>
      </c>
      <c r="L603" s="3" t="str">
        <f t="shared" si="95"/>
        <v>2001/01/01</v>
      </c>
      <c r="M603" s="3" t="str">
        <f t="shared" si="96"/>
        <v>2199/12/31</v>
      </c>
      <c r="N603" t="str">
        <f t="shared" si="97"/>
        <v>11WP01002839</v>
      </c>
      <c r="O603">
        <v>15</v>
      </c>
      <c r="Q603" t="str" cm="1">
        <f t="array" ref="Q603">_xlfn.IFS(AND(C603="",G603=""),"",LEFT(G603,1)="L","記載要",LEFT(G603,1)="W","",AND(C603,G603=""),"記載要")</f>
        <v/>
      </c>
      <c r="R603" s="21" t="str">
        <f t="shared" si="102"/>
        <v/>
      </c>
      <c r="S603" s="21"/>
      <c r="Z603" s="8"/>
      <c r="AA603">
        <v>1</v>
      </c>
      <c r="AB603">
        <f t="shared" si="98"/>
        <v>0</v>
      </c>
      <c r="AC603">
        <v>1</v>
      </c>
      <c r="AF603">
        <v>1</v>
      </c>
      <c r="AG603" s="8"/>
      <c r="AH603" s="8"/>
      <c r="AK603" cm="1">
        <f t="array" ref="AK603">_xlfn.IFS(B603="","",LEFT(G603,1)="L",1,LEFT(G603,1)="W",1,AND(LEFT(B603,1)="H",G603=""),0)</f>
        <v>1</v>
      </c>
      <c r="AS603" t="str">
        <f t="shared" si="99"/>
        <v/>
      </c>
      <c r="AT603" t="s">
        <v>115</v>
      </c>
      <c r="AU603" t="str">
        <f t="shared" si="100"/>
        <v>0</v>
      </c>
      <c r="BD603" t="str">
        <f t="shared" si="101"/>
        <v>0</v>
      </c>
      <c r="BK603" t="str">
        <f>IFERROR(VLOOKUP(B603,'[1]model_S-フレーム'!$F$5:$R$7000,13,1),"")</f>
        <v>E389570_01</v>
      </c>
      <c r="BL603" s="7">
        <f>IFERROR(VLOOKUP(B603,'[1]model_S-フレーム'!$F$5:$V$7000,17,1),"")</f>
        <v>0</v>
      </c>
      <c r="BM603" t="str" cm="1">
        <f t="array" ref="BM603">_xlfn.IFS(LEFT(G603,1)="L","外注品",LEFT(G603,1)="W","内製品",G603="","購買品")</f>
        <v>内製品</v>
      </c>
    </row>
    <row r="604" spans="1:65">
      <c r="A604" t="str">
        <f t="shared" si="93"/>
        <v>WG01</v>
      </c>
      <c r="B604" t="s">
        <v>711</v>
      </c>
      <c r="C604" t="s">
        <v>920</v>
      </c>
      <c r="D604" s="7"/>
      <c r="E604" s="7"/>
      <c r="G604" t="s">
        <v>1939</v>
      </c>
      <c r="H604" t="str" cm="1">
        <f t="array" ref="H604">IFERROR(_xlfn.IFS(B604="","",AND(B604="",G604=""),"",G604="","記載要"),"")</f>
        <v/>
      </c>
      <c r="K604" t="str">
        <f t="shared" si="94"/>
        <v>11WP01002840</v>
      </c>
      <c r="L604" s="3" t="str">
        <f t="shared" si="95"/>
        <v>2001/01/01</v>
      </c>
      <c r="M604" s="3" t="str">
        <f t="shared" si="96"/>
        <v>2199/12/31</v>
      </c>
      <c r="N604" t="str">
        <f t="shared" si="97"/>
        <v>11WP01002840</v>
      </c>
      <c r="O604">
        <v>15</v>
      </c>
      <c r="Q604" t="str" cm="1">
        <f t="array" ref="Q604">_xlfn.IFS(AND(C604="",G604=""),"",LEFT(G604,1)="L","記載要",LEFT(G604,1)="W","",AND(C604,G604=""),"記載要")</f>
        <v/>
      </c>
      <c r="R604" s="21" t="str">
        <f t="shared" si="102"/>
        <v/>
      </c>
      <c r="S604" s="21"/>
      <c r="Z604" s="8"/>
      <c r="AA604">
        <v>1</v>
      </c>
      <c r="AB604">
        <f t="shared" si="98"/>
        <v>0</v>
      </c>
      <c r="AC604">
        <v>1</v>
      </c>
      <c r="AF604">
        <v>1</v>
      </c>
      <c r="AG604" s="8"/>
      <c r="AH604" s="8"/>
      <c r="AK604" cm="1">
        <f t="array" ref="AK604">_xlfn.IFS(B604="","",LEFT(G604,1)="L",1,LEFT(G604,1)="W",1,AND(LEFT(B604,1)="H",G604=""),0)</f>
        <v>1</v>
      </c>
      <c r="AS604" t="str">
        <f t="shared" si="99"/>
        <v/>
      </c>
      <c r="AT604" t="s">
        <v>115</v>
      </c>
      <c r="AU604" t="str">
        <f t="shared" si="100"/>
        <v>0</v>
      </c>
      <c r="BD604" t="str">
        <f t="shared" si="101"/>
        <v>0</v>
      </c>
      <c r="BK604" t="str">
        <f>IFERROR(VLOOKUP(B604,'[1]model_S-フレーム'!$F$5:$R$7000,13,1),"")</f>
        <v>E389570_01</v>
      </c>
      <c r="BL604" s="7">
        <f>IFERROR(VLOOKUP(B604,'[1]model_S-フレーム'!$F$5:$V$7000,17,1),"")</f>
        <v>0</v>
      </c>
      <c r="BM604" t="str" cm="1">
        <f t="array" ref="BM604">_xlfn.IFS(LEFT(G604,1)="L","外注品",LEFT(G604,1)="W","内製品",G604="","購買品")</f>
        <v>内製品</v>
      </c>
    </row>
    <row r="605" spans="1:65">
      <c r="A605" t="str">
        <f t="shared" si="93"/>
        <v>WG01</v>
      </c>
      <c r="B605" t="s">
        <v>712</v>
      </c>
      <c r="C605" t="s">
        <v>920</v>
      </c>
      <c r="D605" s="7"/>
      <c r="E605" s="7"/>
      <c r="G605" t="s">
        <v>1939</v>
      </c>
      <c r="H605" t="str" cm="1">
        <f t="array" ref="H605">IFERROR(_xlfn.IFS(B605="","",AND(B605="",G605=""),"",G605="","記載要"),"")</f>
        <v/>
      </c>
      <c r="K605" t="str">
        <f t="shared" si="94"/>
        <v>11WP01002841</v>
      </c>
      <c r="L605" s="3" t="str">
        <f t="shared" si="95"/>
        <v>2001/01/01</v>
      </c>
      <c r="M605" s="3" t="str">
        <f t="shared" si="96"/>
        <v>2199/12/31</v>
      </c>
      <c r="N605" t="str">
        <f t="shared" si="97"/>
        <v>11WP01002841</v>
      </c>
      <c r="O605">
        <v>15</v>
      </c>
      <c r="Q605" t="str" cm="1">
        <f t="array" ref="Q605">_xlfn.IFS(AND(C605="",G605=""),"",LEFT(G605,1)="L","記載要",LEFT(G605,1)="W","",AND(C605,G605=""),"記載要")</f>
        <v/>
      </c>
      <c r="R605" s="21" t="str">
        <f t="shared" si="102"/>
        <v/>
      </c>
      <c r="S605" s="21"/>
      <c r="Z605" s="8"/>
      <c r="AA605">
        <v>1</v>
      </c>
      <c r="AB605">
        <f t="shared" si="98"/>
        <v>0</v>
      </c>
      <c r="AC605">
        <v>1</v>
      </c>
      <c r="AF605">
        <v>1</v>
      </c>
      <c r="AG605" s="8"/>
      <c r="AH605" s="8"/>
      <c r="AK605" cm="1">
        <f t="array" ref="AK605">_xlfn.IFS(B605="","",LEFT(G605,1)="L",1,LEFT(G605,1)="W",1,AND(LEFT(B605,1)="H",G605=""),0)</f>
        <v>1</v>
      </c>
      <c r="AS605" t="str">
        <f t="shared" si="99"/>
        <v/>
      </c>
      <c r="AT605" t="s">
        <v>115</v>
      </c>
      <c r="AU605" t="str">
        <f t="shared" si="100"/>
        <v>0</v>
      </c>
      <c r="BD605" t="str">
        <f t="shared" si="101"/>
        <v>0</v>
      </c>
      <c r="BK605" t="str">
        <f>IFERROR(VLOOKUP(B605,'[1]model_S-フレーム'!$F$5:$R$7000,13,1),"")</f>
        <v>E389570_01</v>
      </c>
      <c r="BL605" s="7">
        <f>IFERROR(VLOOKUP(B605,'[1]model_S-フレーム'!$F$5:$V$7000,17,1),"")</f>
        <v>0</v>
      </c>
      <c r="BM605" t="str" cm="1">
        <f t="array" ref="BM605">_xlfn.IFS(LEFT(G605,1)="L","外注品",LEFT(G605,1)="W","内製品",G605="","購買品")</f>
        <v>内製品</v>
      </c>
    </row>
    <row r="606" spans="1:65">
      <c r="A606" t="str">
        <f t="shared" si="93"/>
        <v>WG01</v>
      </c>
      <c r="B606" t="s">
        <v>713</v>
      </c>
      <c r="C606" t="s">
        <v>920</v>
      </c>
      <c r="D606" s="7"/>
      <c r="E606" s="7"/>
      <c r="G606" t="s">
        <v>1939</v>
      </c>
      <c r="H606" t="str" cm="1">
        <f t="array" ref="H606">IFERROR(_xlfn.IFS(B606="","",AND(B606="",G606=""),"",G606="","記載要"),"")</f>
        <v/>
      </c>
      <c r="K606" t="str">
        <f t="shared" si="94"/>
        <v>11WP01002842</v>
      </c>
      <c r="L606" s="3" t="str">
        <f t="shared" si="95"/>
        <v>2001/01/01</v>
      </c>
      <c r="M606" s="3" t="str">
        <f t="shared" si="96"/>
        <v>2199/12/31</v>
      </c>
      <c r="N606" t="str">
        <f t="shared" si="97"/>
        <v>11WP01002842</v>
      </c>
      <c r="O606">
        <v>15</v>
      </c>
      <c r="Q606" t="str" cm="1">
        <f t="array" ref="Q606">_xlfn.IFS(AND(C606="",G606=""),"",LEFT(G606,1)="L","記載要",LEFT(G606,1)="W","",AND(C606,G606=""),"記載要")</f>
        <v/>
      </c>
      <c r="R606" s="21" t="str">
        <f t="shared" si="102"/>
        <v/>
      </c>
      <c r="S606" s="21"/>
      <c r="Z606" s="8"/>
      <c r="AA606">
        <v>1</v>
      </c>
      <c r="AB606">
        <f t="shared" si="98"/>
        <v>0</v>
      </c>
      <c r="AC606">
        <v>1</v>
      </c>
      <c r="AF606">
        <v>1</v>
      </c>
      <c r="AG606" s="8"/>
      <c r="AH606" s="8"/>
      <c r="AK606" cm="1">
        <f t="array" ref="AK606">_xlfn.IFS(B606="","",LEFT(G606,1)="L",1,LEFT(G606,1)="W",1,AND(LEFT(B606,1)="H",G606=""),0)</f>
        <v>1</v>
      </c>
      <c r="AS606" t="str">
        <f t="shared" si="99"/>
        <v/>
      </c>
      <c r="AT606" t="s">
        <v>115</v>
      </c>
      <c r="AU606" t="str">
        <f t="shared" si="100"/>
        <v>0</v>
      </c>
      <c r="BD606" t="str">
        <f t="shared" si="101"/>
        <v>0</v>
      </c>
      <c r="BK606" t="str">
        <f>IFERROR(VLOOKUP(B606,'[1]model_S-フレーム'!$F$5:$R$7000,13,1),"")</f>
        <v>E389570_01</v>
      </c>
      <c r="BL606" s="7">
        <f>IFERROR(VLOOKUP(B606,'[1]model_S-フレーム'!$F$5:$V$7000,17,1),"")</f>
        <v>0</v>
      </c>
      <c r="BM606" t="str" cm="1">
        <f t="array" ref="BM606">_xlfn.IFS(LEFT(G606,1)="L","外注品",LEFT(G606,1)="W","内製品",G606="","購買品")</f>
        <v>内製品</v>
      </c>
    </row>
    <row r="607" spans="1:65">
      <c r="A607" t="str">
        <f t="shared" si="93"/>
        <v>WG01</v>
      </c>
      <c r="B607" t="s">
        <v>714</v>
      </c>
      <c r="C607" t="s">
        <v>920</v>
      </c>
      <c r="D607" s="7"/>
      <c r="E607" s="7"/>
      <c r="G607" t="s">
        <v>1939</v>
      </c>
      <c r="H607" t="str" cm="1">
        <f t="array" ref="H607">IFERROR(_xlfn.IFS(B607="","",AND(B607="",G607=""),"",G607="","記載要"),"")</f>
        <v/>
      </c>
      <c r="K607" t="str">
        <f t="shared" si="94"/>
        <v>11WP01002843</v>
      </c>
      <c r="L607" s="3" t="str">
        <f t="shared" si="95"/>
        <v>2001/01/01</v>
      </c>
      <c r="M607" s="3" t="str">
        <f t="shared" si="96"/>
        <v>2199/12/31</v>
      </c>
      <c r="N607" t="str">
        <f t="shared" si="97"/>
        <v>11WP01002843</v>
      </c>
      <c r="O607">
        <v>15</v>
      </c>
      <c r="Q607" t="str" cm="1">
        <f t="array" ref="Q607">_xlfn.IFS(AND(C607="",G607=""),"",LEFT(G607,1)="L","記載要",LEFT(G607,1)="W","",AND(C607,G607=""),"記載要")</f>
        <v/>
      </c>
      <c r="R607" s="21" t="str">
        <f t="shared" si="102"/>
        <v/>
      </c>
      <c r="S607" s="21"/>
      <c r="Z607" s="8"/>
      <c r="AA607">
        <v>1</v>
      </c>
      <c r="AB607">
        <f t="shared" si="98"/>
        <v>0</v>
      </c>
      <c r="AC607">
        <v>1</v>
      </c>
      <c r="AF607">
        <v>1</v>
      </c>
      <c r="AG607" s="8"/>
      <c r="AH607" s="8"/>
      <c r="AK607" cm="1">
        <f t="array" ref="AK607">_xlfn.IFS(B607="","",LEFT(G607,1)="L",1,LEFT(G607,1)="W",1,AND(LEFT(B607,1)="H",G607=""),0)</f>
        <v>1</v>
      </c>
      <c r="AS607" t="str">
        <f t="shared" si="99"/>
        <v/>
      </c>
      <c r="AT607" t="s">
        <v>115</v>
      </c>
      <c r="AU607" t="str">
        <f t="shared" si="100"/>
        <v>0</v>
      </c>
      <c r="BD607" t="str">
        <f t="shared" si="101"/>
        <v>0</v>
      </c>
      <c r="BK607" t="str">
        <f>IFERROR(VLOOKUP(B607,'[1]model_S-フレーム'!$F$5:$R$7000,13,1),"")</f>
        <v>E389570_01</v>
      </c>
      <c r="BL607" s="7">
        <f>IFERROR(VLOOKUP(B607,'[1]model_S-フレーム'!$F$5:$V$7000,17,1),"")</f>
        <v>0</v>
      </c>
      <c r="BM607" t="str" cm="1">
        <f t="array" ref="BM607">_xlfn.IFS(LEFT(G607,1)="L","外注品",LEFT(G607,1)="W","内製品",G607="","購買品")</f>
        <v>内製品</v>
      </c>
    </row>
    <row r="608" spans="1:65">
      <c r="A608" t="str">
        <f t="shared" si="93"/>
        <v>WG01</v>
      </c>
      <c r="B608" t="s">
        <v>715</v>
      </c>
      <c r="C608" t="s">
        <v>921</v>
      </c>
      <c r="D608" s="7"/>
      <c r="E608" s="7"/>
      <c r="G608" t="s">
        <v>1939</v>
      </c>
      <c r="H608" t="str" cm="1">
        <f t="array" ref="H608">IFERROR(_xlfn.IFS(B608="","",AND(B608="",G608=""),"",G608="","記載要"),"")</f>
        <v/>
      </c>
      <c r="K608" t="str">
        <f t="shared" si="94"/>
        <v>11WP01002844</v>
      </c>
      <c r="L608" s="3" t="str">
        <f t="shared" si="95"/>
        <v>2001/01/01</v>
      </c>
      <c r="M608" s="3" t="str">
        <f t="shared" si="96"/>
        <v>2199/12/31</v>
      </c>
      <c r="N608" t="str">
        <f t="shared" si="97"/>
        <v>11WP01002844</v>
      </c>
      <c r="O608">
        <v>15</v>
      </c>
      <c r="Q608" t="str" cm="1">
        <f t="array" ref="Q608">_xlfn.IFS(AND(C608="",G608=""),"",LEFT(G608,1)="L","記載要",LEFT(G608,1)="W","",AND(C608,G608=""),"記載要")</f>
        <v/>
      </c>
      <c r="R608" s="21" t="str">
        <f t="shared" si="102"/>
        <v/>
      </c>
      <c r="S608" s="21"/>
      <c r="Z608" s="8"/>
      <c r="AA608">
        <v>1</v>
      </c>
      <c r="AB608">
        <f t="shared" si="98"/>
        <v>0</v>
      </c>
      <c r="AC608">
        <v>1</v>
      </c>
      <c r="AF608">
        <v>1</v>
      </c>
      <c r="AG608" s="8"/>
      <c r="AH608" s="8"/>
      <c r="AK608" cm="1">
        <f t="array" ref="AK608">_xlfn.IFS(B608="","",LEFT(G608,1)="L",1,LEFT(G608,1)="W",1,AND(LEFT(B608,1)="H",G608=""),0)</f>
        <v>1</v>
      </c>
      <c r="AS608" t="str">
        <f t="shared" si="99"/>
        <v/>
      </c>
      <c r="AT608" t="s">
        <v>115</v>
      </c>
      <c r="AU608" t="str">
        <f t="shared" si="100"/>
        <v>0</v>
      </c>
      <c r="BD608" t="str">
        <f t="shared" si="101"/>
        <v>0</v>
      </c>
      <c r="BK608" t="str">
        <f>IFERROR(VLOOKUP(B608,'[1]model_S-フレーム'!$F$5:$R$7000,13,1),"")</f>
        <v>E389570_01</v>
      </c>
      <c r="BL608" s="7">
        <f>IFERROR(VLOOKUP(B608,'[1]model_S-フレーム'!$F$5:$V$7000,17,1),"")</f>
        <v>0</v>
      </c>
      <c r="BM608" t="str" cm="1">
        <f t="array" ref="BM608">_xlfn.IFS(LEFT(G608,1)="L","外注品",LEFT(G608,1)="W","内製品",G608="","購買品")</f>
        <v>内製品</v>
      </c>
    </row>
    <row r="609" spans="1:65">
      <c r="A609" t="str">
        <f t="shared" si="93"/>
        <v>WG01</v>
      </c>
      <c r="B609" t="s">
        <v>716</v>
      </c>
      <c r="C609" t="s">
        <v>921</v>
      </c>
      <c r="D609" s="7"/>
      <c r="E609" s="7"/>
      <c r="G609" t="s">
        <v>1939</v>
      </c>
      <c r="H609" t="str" cm="1">
        <f t="array" ref="H609">IFERROR(_xlfn.IFS(B609="","",AND(B609="",G609=""),"",G609="","記載要"),"")</f>
        <v/>
      </c>
      <c r="K609" t="str">
        <f t="shared" si="94"/>
        <v>11WP01002845</v>
      </c>
      <c r="L609" s="3" t="str">
        <f t="shared" si="95"/>
        <v>2001/01/01</v>
      </c>
      <c r="M609" s="3" t="str">
        <f t="shared" si="96"/>
        <v>2199/12/31</v>
      </c>
      <c r="N609" t="str">
        <f t="shared" si="97"/>
        <v>11WP01002845</v>
      </c>
      <c r="O609">
        <v>15</v>
      </c>
      <c r="Q609" t="str" cm="1">
        <f t="array" ref="Q609">_xlfn.IFS(AND(C609="",G609=""),"",LEFT(G609,1)="L","記載要",LEFT(G609,1)="W","",AND(C609,G609=""),"記載要")</f>
        <v/>
      </c>
      <c r="R609" s="21" t="str">
        <f t="shared" si="102"/>
        <v/>
      </c>
      <c r="S609" s="21"/>
      <c r="Z609" s="8"/>
      <c r="AA609">
        <v>1</v>
      </c>
      <c r="AB609">
        <f t="shared" si="98"/>
        <v>0</v>
      </c>
      <c r="AC609">
        <v>1</v>
      </c>
      <c r="AF609">
        <v>1</v>
      </c>
      <c r="AG609" s="8"/>
      <c r="AH609" s="8"/>
      <c r="AK609" cm="1">
        <f t="array" ref="AK609">_xlfn.IFS(B609="","",LEFT(G609,1)="L",1,LEFT(G609,1)="W",1,AND(LEFT(B609,1)="H",G609=""),0)</f>
        <v>1</v>
      </c>
      <c r="AS609" t="str">
        <f t="shared" si="99"/>
        <v/>
      </c>
      <c r="AT609" t="s">
        <v>115</v>
      </c>
      <c r="AU609" t="str">
        <f t="shared" si="100"/>
        <v>0</v>
      </c>
      <c r="BD609" t="str">
        <f t="shared" si="101"/>
        <v>0</v>
      </c>
      <c r="BK609" t="str">
        <f>IFERROR(VLOOKUP(B609,'[1]model_S-フレーム'!$F$5:$R$7000,13,1),"")</f>
        <v>E389570_01</v>
      </c>
      <c r="BL609" s="7">
        <f>IFERROR(VLOOKUP(B609,'[1]model_S-フレーム'!$F$5:$V$7000,17,1),"")</f>
        <v>0</v>
      </c>
      <c r="BM609" t="str" cm="1">
        <f t="array" ref="BM609">_xlfn.IFS(LEFT(G609,1)="L","外注品",LEFT(G609,1)="W","内製品",G609="","購買品")</f>
        <v>内製品</v>
      </c>
    </row>
    <row r="610" spans="1:65">
      <c r="A610" t="str">
        <f t="shared" si="93"/>
        <v>WG01</v>
      </c>
      <c r="B610" t="s">
        <v>717</v>
      </c>
      <c r="C610" t="s">
        <v>921</v>
      </c>
      <c r="D610" s="7"/>
      <c r="E610" s="7"/>
      <c r="G610" t="s">
        <v>1939</v>
      </c>
      <c r="H610" t="str" cm="1">
        <f t="array" ref="H610">IFERROR(_xlfn.IFS(B610="","",AND(B610="",G610=""),"",G610="","記載要"),"")</f>
        <v/>
      </c>
      <c r="K610" t="str">
        <f t="shared" si="94"/>
        <v>11WP01002846</v>
      </c>
      <c r="L610" s="3" t="str">
        <f t="shared" si="95"/>
        <v>2001/01/01</v>
      </c>
      <c r="M610" s="3" t="str">
        <f t="shared" si="96"/>
        <v>2199/12/31</v>
      </c>
      <c r="N610" t="str">
        <f t="shared" si="97"/>
        <v>11WP01002846</v>
      </c>
      <c r="O610">
        <v>15</v>
      </c>
      <c r="Q610" t="str" cm="1">
        <f t="array" ref="Q610">_xlfn.IFS(AND(C610="",G610=""),"",LEFT(G610,1)="L","記載要",LEFT(G610,1)="W","",AND(C610,G610=""),"記載要")</f>
        <v/>
      </c>
      <c r="R610" s="21" t="str">
        <f t="shared" si="102"/>
        <v/>
      </c>
      <c r="S610" s="21"/>
      <c r="Z610" s="8"/>
      <c r="AA610">
        <v>1</v>
      </c>
      <c r="AB610">
        <f t="shared" si="98"/>
        <v>0</v>
      </c>
      <c r="AC610">
        <v>1</v>
      </c>
      <c r="AF610">
        <v>1</v>
      </c>
      <c r="AG610" s="8"/>
      <c r="AH610" s="8"/>
      <c r="AK610" cm="1">
        <f t="array" ref="AK610">_xlfn.IFS(B610="","",LEFT(G610,1)="L",1,LEFT(G610,1)="W",1,AND(LEFT(B610,1)="H",G610=""),0)</f>
        <v>1</v>
      </c>
      <c r="AS610" t="str">
        <f t="shared" si="99"/>
        <v/>
      </c>
      <c r="AT610" t="s">
        <v>115</v>
      </c>
      <c r="AU610" t="str">
        <f t="shared" si="100"/>
        <v>0</v>
      </c>
      <c r="BD610" t="str">
        <f t="shared" si="101"/>
        <v>0</v>
      </c>
      <c r="BK610" t="str">
        <f>IFERROR(VLOOKUP(B610,'[1]model_S-フレーム'!$F$5:$R$7000,13,1),"")</f>
        <v>E389570_01</v>
      </c>
      <c r="BL610" s="7">
        <f>IFERROR(VLOOKUP(B610,'[1]model_S-フレーム'!$F$5:$V$7000,17,1),"")</f>
        <v>0</v>
      </c>
      <c r="BM610" t="str" cm="1">
        <f t="array" ref="BM610">_xlfn.IFS(LEFT(G610,1)="L","外注品",LEFT(G610,1)="W","内製品",G610="","購買品")</f>
        <v>内製品</v>
      </c>
    </row>
    <row r="611" spans="1:65">
      <c r="A611" t="str">
        <f t="shared" si="93"/>
        <v>WG01</v>
      </c>
      <c r="B611" t="s">
        <v>718</v>
      </c>
      <c r="C611" t="s">
        <v>921</v>
      </c>
      <c r="D611" s="7"/>
      <c r="E611" s="7"/>
      <c r="G611" t="s">
        <v>1939</v>
      </c>
      <c r="H611" t="str" cm="1">
        <f t="array" ref="H611">IFERROR(_xlfn.IFS(B611="","",AND(B611="",G611=""),"",G611="","記載要"),"")</f>
        <v/>
      </c>
      <c r="K611" t="str">
        <f t="shared" si="94"/>
        <v>11WP01002847</v>
      </c>
      <c r="L611" s="3" t="str">
        <f t="shared" si="95"/>
        <v>2001/01/01</v>
      </c>
      <c r="M611" s="3" t="str">
        <f t="shared" si="96"/>
        <v>2199/12/31</v>
      </c>
      <c r="N611" t="str">
        <f t="shared" si="97"/>
        <v>11WP01002847</v>
      </c>
      <c r="O611">
        <v>15</v>
      </c>
      <c r="Q611" t="str" cm="1">
        <f t="array" ref="Q611">_xlfn.IFS(AND(C611="",G611=""),"",LEFT(G611,1)="L","記載要",LEFT(G611,1)="W","",AND(C611,G611=""),"記載要")</f>
        <v/>
      </c>
      <c r="R611" s="21" t="str">
        <f t="shared" si="102"/>
        <v/>
      </c>
      <c r="S611" s="21"/>
      <c r="Z611" s="8"/>
      <c r="AA611">
        <v>1</v>
      </c>
      <c r="AB611">
        <f t="shared" si="98"/>
        <v>0</v>
      </c>
      <c r="AC611">
        <v>1</v>
      </c>
      <c r="AF611">
        <v>1</v>
      </c>
      <c r="AG611" s="8"/>
      <c r="AH611" s="8"/>
      <c r="AK611" cm="1">
        <f t="array" ref="AK611">_xlfn.IFS(B611="","",LEFT(G611,1)="L",1,LEFT(G611,1)="W",1,AND(LEFT(B611,1)="H",G611=""),0)</f>
        <v>1</v>
      </c>
      <c r="AS611" t="str">
        <f t="shared" si="99"/>
        <v/>
      </c>
      <c r="AT611" t="s">
        <v>115</v>
      </c>
      <c r="AU611" t="str">
        <f t="shared" si="100"/>
        <v>0</v>
      </c>
      <c r="BD611" t="str">
        <f t="shared" si="101"/>
        <v>0</v>
      </c>
      <c r="BK611" t="str">
        <f>IFERROR(VLOOKUP(B611,'[1]model_S-フレーム'!$F$5:$R$7000,13,1),"")</f>
        <v>E389570_01</v>
      </c>
      <c r="BL611" s="7">
        <f>IFERROR(VLOOKUP(B611,'[1]model_S-フレーム'!$F$5:$V$7000,17,1),"")</f>
        <v>0</v>
      </c>
      <c r="BM611" t="str" cm="1">
        <f t="array" ref="BM611">_xlfn.IFS(LEFT(G611,1)="L","外注品",LEFT(G611,1)="W","内製品",G611="","購買品")</f>
        <v>内製品</v>
      </c>
    </row>
    <row r="612" spans="1:65">
      <c r="A612" t="str">
        <f t="shared" si="93"/>
        <v>WG01</v>
      </c>
      <c r="B612" t="s">
        <v>719</v>
      </c>
      <c r="C612" t="s">
        <v>921</v>
      </c>
      <c r="D612" s="7"/>
      <c r="E612" s="7"/>
      <c r="G612" t="s">
        <v>1939</v>
      </c>
      <c r="H612" t="str" cm="1">
        <f t="array" ref="H612">IFERROR(_xlfn.IFS(B612="","",AND(B612="",G612=""),"",G612="","記載要"),"")</f>
        <v/>
      </c>
      <c r="K612" t="str">
        <f t="shared" si="94"/>
        <v>11WP01002848</v>
      </c>
      <c r="L612" s="3" t="str">
        <f t="shared" si="95"/>
        <v>2001/01/01</v>
      </c>
      <c r="M612" s="3" t="str">
        <f t="shared" si="96"/>
        <v>2199/12/31</v>
      </c>
      <c r="N612" t="str">
        <f t="shared" si="97"/>
        <v>11WP01002848</v>
      </c>
      <c r="O612">
        <v>15</v>
      </c>
      <c r="Q612" t="str" cm="1">
        <f t="array" ref="Q612">_xlfn.IFS(AND(C612="",G612=""),"",LEFT(G612,1)="L","記載要",LEFT(G612,1)="W","",AND(C612,G612=""),"記載要")</f>
        <v/>
      </c>
      <c r="R612" s="21" t="str">
        <f t="shared" si="102"/>
        <v/>
      </c>
      <c r="S612" s="21"/>
      <c r="Z612" s="8"/>
      <c r="AA612">
        <v>1</v>
      </c>
      <c r="AB612">
        <f t="shared" si="98"/>
        <v>0</v>
      </c>
      <c r="AC612">
        <v>1</v>
      </c>
      <c r="AF612">
        <v>1</v>
      </c>
      <c r="AG612" s="8"/>
      <c r="AH612" s="8"/>
      <c r="AK612" cm="1">
        <f t="array" ref="AK612">_xlfn.IFS(B612="","",LEFT(G612,1)="L",1,LEFT(G612,1)="W",1,AND(LEFT(B612,1)="H",G612=""),0)</f>
        <v>1</v>
      </c>
      <c r="AS612" t="str">
        <f t="shared" si="99"/>
        <v/>
      </c>
      <c r="AT612" t="s">
        <v>115</v>
      </c>
      <c r="AU612" t="str">
        <f t="shared" si="100"/>
        <v>0</v>
      </c>
      <c r="BD612" t="str">
        <f t="shared" si="101"/>
        <v>0</v>
      </c>
      <c r="BK612" t="str">
        <f>IFERROR(VLOOKUP(B612,'[1]model_S-フレーム'!$F$5:$R$7000,13,1),"")</f>
        <v>E389570_01</v>
      </c>
      <c r="BL612" s="7">
        <f>IFERROR(VLOOKUP(B612,'[1]model_S-フレーム'!$F$5:$V$7000,17,1),"")</f>
        <v>0</v>
      </c>
      <c r="BM612" t="str" cm="1">
        <f t="array" ref="BM612">_xlfn.IFS(LEFT(G612,1)="L","外注品",LEFT(G612,1)="W","内製品",G612="","購買品")</f>
        <v>内製品</v>
      </c>
    </row>
    <row r="613" spans="1:65">
      <c r="A613" t="str">
        <f t="shared" si="93"/>
        <v>WG01</v>
      </c>
      <c r="B613" t="s">
        <v>720</v>
      </c>
      <c r="C613" t="s">
        <v>921</v>
      </c>
      <c r="D613" s="7"/>
      <c r="E613" s="7"/>
      <c r="G613" t="s">
        <v>1939</v>
      </c>
      <c r="H613" t="str" cm="1">
        <f t="array" ref="H613">IFERROR(_xlfn.IFS(B613="","",AND(B613="",G613=""),"",G613="","記載要"),"")</f>
        <v/>
      </c>
      <c r="K613" t="str">
        <f t="shared" si="94"/>
        <v>11WP01002849</v>
      </c>
      <c r="L613" s="3" t="str">
        <f t="shared" si="95"/>
        <v>2001/01/01</v>
      </c>
      <c r="M613" s="3" t="str">
        <f t="shared" si="96"/>
        <v>2199/12/31</v>
      </c>
      <c r="N613" t="str">
        <f t="shared" si="97"/>
        <v>11WP01002849</v>
      </c>
      <c r="O613">
        <v>15</v>
      </c>
      <c r="Q613" t="str" cm="1">
        <f t="array" ref="Q613">_xlfn.IFS(AND(C613="",G613=""),"",LEFT(G613,1)="L","記載要",LEFT(G613,1)="W","",AND(C613,G613=""),"記載要")</f>
        <v/>
      </c>
      <c r="R613" s="21" t="str">
        <f t="shared" si="102"/>
        <v/>
      </c>
      <c r="S613" s="21"/>
      <c r="Z613" s="8"/>
      <c r="AA613">
        <v>1</v>
      </c>
      <c r="AB613">
        <f t="shared" si="98"/>
        <v>0</v>
      </c>
      <c r="AC613">
        <v>1</v>
      </c>
      <c r="AF613">
        <v>1</v>
      </c>
      <c r="AG613" s="8"/>
      <c r="AH613" s="8"/>
      <c r="AK613" cm="1">
        <f t="array" ref="AK613">_xlfn.IFS(B613="","",LEFT(G613,1)="L",1,LEFT(G613,1)="W",1,AND(LEFT(B613,1)="H",G613=""),0)</f>
        <v>1</v>
      </c>
      <c r="AS613" t="str">
        <f t="shared" si="99"/>
        <v/>
      </c>
      <c r="AT613" t="s">
        <v>115</v>
      </c>
      <c r="AU613" t="str">
        <f t="shared" si="100"/>
        <v>0</v>
      </c>
      <c r="BD613" t="str">
        <f t="shared" si="101"/>
        <v>0</v>
      </c>
      <c r="BK613" t="str">
        <f>IFERROR(VLOOKUP(B613,'[1]model_S-フレーム'!$F$5:$R$7000,13,1),"")</f>
        <v>E389570_01</v>
      </c>
      <c r="BL613" s="7">
        <f>IFERROR(VLOOKUP(B613,'[1]model_S-フレーム'!$F$5:$V$7000,17,1),"")</f>
        <v>0</v>
      </c>
      <c r="BM613" t="str" cm="1">
        <f t="array" ref="BM613">_xlfn.IFS(LEFT(G613,1)="L","外注品",LEFT(G613,1)="W","内製品",G613="","購買品")</f>
        <v>内製品</v>
      </c>
    </row>
    <row r="614" spans="1:65">
      <c r="A614" t="str">
        <f t="shared" si="93"/>
        <v>WG01</v>
      </c>
      <c r="B614" t="s">
        <v>721</v>
      </c>
      <c r="C614" t="s">
        <v>921</v>
      </c>
      <c r="D614" s="7"/>
      <c r="E614" s="7"/>
      <c r="G614" t="s">
        <v>1939</v>
      </c>
      <c r="H614" t="str" cm="1">
        <f t="array" ref="H614">IFERROR(_xlfn.IFS(B614="","",AND(B614="",G614=""),"",G614="","記載要"),"")</f>
        <v/>
      </c>
      <c r="K614" t="str">
        <f t="shared" si="94"/>
        <v>11WP01002850</v>
      </c>
      <c r="L614" s="3" t="str">
        <f t="shared" si="95"/>
        <v>2001/01/01</v>
      </c>
      <c r="M614" s="3" t="str">
        <f t="shared" si="96"/>
        <v>2199/12/31</v>
      </c>
      <c r="N614" t="str">
        <f t="shared" si="97"/>
        <v>11WP01002850</v>
      </c>
      <c r="O614">
        <v>15</v>
      </c>
      <c r="Q614" t="str" cm="1">
        <f t="array" ref="Q614">_xlfn.IFS(AND(C614="",G614=""),"",LEFT(G614,1)="L","記載要",LEFT(G614,1)="W","",AND(C614,G614=""),"記載要")</f>
        <v/>
      </c>
      <c r="R614" s="21" t="str">
        <f t="shared" si="102"/>
        <v/>
      </c>
      <c r="S614" s="21"/>
      <c r="Z614" s="8"/>
      <c r="AA614">
        <v>1</v>
      </c>
      <c r="AB614">
        <f t="shared" si="98"/>
        <v>0</v>
      </c>
      <c r="AC614">
        <v>1</v>
      </c>
      <c r="AF614">
        <v>1</v>
      </c>
      <c r="AG614" s="8"/>
      <c r="AH614" s="8"/>
      <c r="AK614" cm="1">
        <f t="array" ref="AK614">_xlfn.IFS(B614="","",LEFT(G614,1)="L",1,LEFT(G614,1)="W",1,AND(LEFT(B614,1)="H",G614=""),0)</f>
        <v>1</v>
      </c>
      <c r="AS614" t="str">
        <f t="shared" si="99"/>
        <v/>
      </c>
      <c r="AT614" t="s">
        <v>115</v>
      </c>
      <c r="AU614" t="str">
        <f t="shared" si="100"/>
        <v>0</v>
      </c>
      <c r="BD614" t="str">
        <f t="shared" si="101"/>
        <v>0</v>
      </c>
      <c r="BK614" t="str">
        <f>IFERROR(VLOOKUP(B614,'[1]model_S-フレーム'!$F$5:$R$7000,13,1),"")</f>
        <v>E389570_01</v>
      </c>
      <c r="BL614" s="7">
        <f>IFERROR(VLOOKUP(B614,'[1]model_S-フレーム'!$F$5:$V$7000,17,1),"")</f>
        <v>0</v>
      </c>
      <c r="BM614" t="str" cm="1">
        <f t="array" ref="BM614">_xlfn.IFS(LEFT(G614,1)="L","外注品",LEFT(G614,1)="W","内製品",G614="","購買品")</f>
        <v>内製品</v>
      </c>
    </row>
    <row r="615" spans="1:65">
      <c r="A615" t="str">
        <f t="shared" si="93"/>
        <v>WG01</v>
      </c>
      <c r="B615" t="s">
        <v>722</v>
      </c>
      <c r="C615" t="s">
        <v>921</v>
      </c>
      <c r="D615" s="7"/>
      <c r="E615" s="7"/>
      <c r="G615" t="s">
        <v>1939</v>
      </c>
      <c r="H615" t="str" cm="1">
        <f t="array" ref="H615">IFERROR(_xlfn.IFS(B615="","",AND(B615="",G615=""),"",G615="","記載要"),"")</f>
        <v/>
      </c>
      <c r="K615" t="str">
        <f t="shared" si="94"/>
        <v>11WP01002851</v>
      </c>
      <c r="L615" s="3" t="str">
        <f t="shared" si="95"/>
        <v>2001/01/01</v>
      </c>
      <c r="M615" s="3" t="str">
        <f t="shared" si="96"/>
        <v>2199/12/31</v>
      </c>
      <c r="N615" t="str">
        <f t="shared" si="97"/>
        <v>11WP01002851</v>
      </c>
      <c r="O615">
        <v>15</v>
      </c>
      <c r="Q615" t="str" cm="1">
        <f t="array" ref="Q615">_xlfn.IFS(AND(C615="",G615=""),"",LEFT(G615,1)="L","記載要",LEFT(G615,1)="W","",AND(C615,G615=""),"記載要")</f>
        <v/>
      </c>
      <c r="R615" s="21" t="str">
        <f t="shared" si="102"/>
        <v/>
      </c>
      <c r="S615" s="21"/>
      <c r="Z615" s="8"/>
      <c r="AA615">
        <v>1</v>
      </c>
      <c r="AB615">
        <f t="shared" si="98"/>
        <v>0</v>
      </c>
      <c r="AC615">
        <v>1</v>
      </c>
      <c r="AF615">
        <v>1</v>
      </c>
      <c r="AG615" s="8"/>
      <c r="AH615" s="8"/>
      <c r="AK615" cm="1">
        <f t="array" ref="AK615">_xlfn.IFS(B615="","",LEFT(G615,1)="L",1,LEFT(G615,1)="W",1,AND(LEFT(B615,1)="H",G615=""),0)</f>
        <v>1</v>
      </c>
      <c r="AS615" t="str">
        <f t="shared" si="99"/>
        <v/>
      </c>
      <c r="AT615" t="s">
        <v>115</v>
      </c>
      <c r="AU615" t="str">
        <f t="shared" si="100"/>
        <v>0</v>
      </c>
      <c r="BD615" t="str">
        <f t="shared" si="101"/>
        <v>0</v>
      </c>
      <c r="BK615" t="str">
        <f>IFERROR(VLOOKUP(B615,'[1]model_S-フレーム'!$F$5:$R$7000,13,1),"")</f>
        <v>E389570_01</v>
      </c>
      <c r="BL615" s="7">
        <f>IFERROR(VLOOKUP(B615,'[1]model_S-フレーム'!$F$5:$V$7000,17,1),"")</f>
        <v>0</v>
      </c>
      <c r="BM615" t="str" cm="1">
        <f t="array" ref="BM615">_xlfn.IFS(LEFT(G615,1)="L","外注品",LEFT(G615,1)="W","内製品",G615="","購買品")</f>
        <v>内製品</v>
      </c>
    </row>
    <row r="616" spans="1:65">
      <c r="A616" t="str">
        <f t="shared" si="93"/>
        <v>WG01</v>
      </c>
      <c r="B616" t="s">
        <v>723</v>
      </c>
      <c r="C616" t="s">
        <v>921</v>
      </c>
      <c r="D616" s="7"/>
      <c r="E616" s="7"/>
      <c r="G616" t="s">
        <v>1939</v>
      </c>
      <c r="H616" t="str" cm="1">
        <f t="array" ref="H616">IFERROR(_xlfn.IFS(B616="","",AND(B616="",G616=""),"",G616="","記載要"),"")</f>
        <v/>
      </c>
      <c r="K616" t="str">
        <f t="shared" si="94"/>
        <v>11WP01002852</v>
      </c>
      <c r="L616" s="3" t="str">
        <f t="shared" si="95"/>
        <v>2001/01/01</v>
      </c>
      <c r="M616" s="3" t="str">
        <f t="shared" si="96"/>
        <v>2199/12/31</v>
      </c>
      <c r="N616" t="str">
        <f t="shared" si="97"/>
        <v>11WP01002852</v>
      </c>
      <c r="O616">
        <v>15</v>
      </c>
      <c r="Q616" t="str" cm="1">
        <f t="array" ref="Q616">_xlfn.IFS(AND(C616="",G616=""),"",LEFT(G616,1)="L","記載要",LEFT(G616,1)="W","",AND(C616,G616=""),"記載要")</f>
        <v/>
      </c>
      <c r="R616" s="21" t="str">
        <f t="shared" si="102"/>
        <v/>
      </c>
      <c r="S616" s="21"/>
      <c r="Z616" s="8"/>
      <c r="AA616">
        <v>1</v>
      </c>
      <c r="AB616">
        <f t="shared" si="98"/>
        <v>0</v>
      </c>
      <c r="AC616">
        <v>1</v>
      </c>
      <c r="AF616">
        <v>1</v>
      </c>
      <c r="AG616" s="8"/>
      <c r="AH616" s="8"/>
      <c r="AK616" cm="1">
        <f t="array" ref="AK616">_xlfn.IFS(B616="","",LEFT(G616,1)="L",1,LEFT(G616,1)="W",1,AND(LEFT(B616,1)="H",G616=""),0)</f>
        <v>1</v>
      </c>
      <c r="AS616" t="str">
        <f t="shared" si="99"/>
        <v/>
      </c>
      <c r="AT616" t="s">
        <v>115</v>
      </c>
      <c r="AU616" t="str">
        <f t="shared" si="100"/>
        <v>0</v>
      </c>
      <c r="BD616" t="str">
        <f t="shared" si="101"/>
        <v>0</v>
      </c>
      <c r="BK616" t="str">
        <f>IFERROR(VLOOKUP(B616,'[1]model_S-フレーム'!$F$5:$R$7000,13,1),"")</f>
        <v>E389570_01</v>
      </c>
      <c r="BL616" s="7">
        <f>IFERROR(VLOOKUP(B616,'[1]model_S-フレーム'!$F$5:$V$7000,17,1),"")</f>
        <v>0</v>
      </c>
      <c r="BM616" t="str" cm="1">
        <f t="array" ref="BM616">_xlfn.IFS(LEFT(G616,1)="L","外注品",LEFT(G616,1)="W","内製品",G616="","購買品")</f>
        <v>内製品</v>
      </c>
    </row>
    <row r="617" spans="1:65">
      <c r="A617" t="str">
        <f t="shared" si="93"/>
        <v>WG01</v>
      </c>
      <c r="B617" t="s">
        <v>724</v>
      </c>
      <c r="C617" t="s">
        <v>921</v>
      </c>
      <c r="D617" s="7"/>
      <c r="E617" s="7"/>
      <c r="G617" t="s">
        <v>1939</v>
      </c>
      <c r="H617" t="str" cm="1">
        <f t="array" ref="H617">IFERROR(_xlfn.IFS(B617="","",AND(B617="",G617=""),"",G617="","記載要"),"")</f>
        <v/>
      </c>
      <c r="K617" t="str">
        <f t="shared" si="94"/>
        <v>11WP01002853</v>
      </c>
      <c r="L617" s="3" t="str">
        <f t="shared" si="95"/>
        <v>2001/01/01</v>
      </c>
      <c r="M617" s="3" t="str">
        <f t="shared" si="96"/>
        <v>2199/12/31</v>
      </c>
      <c r="N617" t="str">
        <f t="shared" si="97"/>
        <v>11WP01002853</v>
      </c>
      <c r="O617">
        <v>15</v>
      </c>
      <c r="Q617" t="str" cm="1">
        <f t="array" ref="Q617">_xlfn.IFS(AND(C617="",G617=""),"",LEFT(G617,1)="L","記載要",LEFT(G617,1)="W","",AND(C617,G617=""),"記載要")</f>
        <v/>
      </c>
      <c r="R617" s="21" t="str">
        <f t="shared" si="102"/>
        <v/>
      </c>
      <c r="S617" s="21"/>
      <c r="Z617" s="8"/>
      <c r="AA617">
        <v>1</v>
      </c>
      <c r="AB617">
        <f t="shared" si="98"/>
        <v>0</v>
      </c>
      <c r="AC617">
        <v>1</v>
      </c>
      <c r="AF617">
        <v>1</v>
      </c>
      <c r="AG617" s="8"/>
      <c r="AH617" s="8"/>
      <c r="AK617" cm="1">
        <f t="array" ref="AK617">_xlfn.IFS(B617="","",LEFT(G617,1)="L",1,LEFT(G617,1)="W",1,AND(LEFT(B617,1)="H",G617=""),0)</f>
        <v>1</v>
      </c>
      <c r="AS617" t="str">
        <f t="shared" si="99"/>
        <v/>
      </c>
      <c r="AT617" t="s">
        <v>115</v>
      </c>
      <c r="AU617" t="str">
        <f t="shared" si="100"/>
        <v>0</v>
      </c>
      <c r="BD617" t="str">
        <f t="shared" si="101"/>
        <v>0</v>
      </c>
      <c r="BK617" t="str">
        <f>IFERROR(VLOOKUP(B617,'[1]model_S-フレーム'!$F$5:$R$7000,13,1),"")</f>
        <v>E389570_01</v>
      </c>
      <c r="BL617" s="7">
        <f>IFERROR(VLOOKUP(B617,'[1]model_S-フレーム'!$F$5:$V$7000,17,1),"")</f>
        <v>0</v>
      </c>
      <c r="BM617" t="str" cm="1">
        <f t="array" ref="BM617">_xlfn.IFS(LEFT(G617,1)="L","外注品",LEFT(G617,1)="W","内製品",G617="","購買品")</f>
        <v>内製品</v>
      </c>
    </row>
    <row r="618" spans="1:65">
      <c r="A618" t="str">
        <f t="shared" si="93"/>
        <v>WG01</v>
      </c>
      <c r="B618" t="s">
        <v>725</v>
      </c>
      <c r="C618" t="s">
        <v>921</v>
      </c>
      <c r="D618" s="7"/>
      <c r="E618" s="7"/>
      <c r="G618" t="s">
        <v>1939</v>
      </c>
      <c r="H618" t="str" cm="1">
        <f t="array" ref="H618">IFERROR(_xlfn.IFS(B618="","",AND(B618="",G618=""),"",G618="","記載要"),"")</f>
        <v/>
      </c>
      <c r="K618" t="str">
        <f t="shared" si="94"/>
        <v>11WP01002854</v>
      </c>
      <c r="L618" s="3" t="str">
        <f t="shared" si="95"/>
        <v>2001/01/01</v>
      </c>
      <c r="M618" s="3" t="str">
        <f t="shared" si="96"/>
        <v>2199/12/31</v>
      </c>
      <c r="N618" t="str">
        <f t="shared" si="97"/>
        <v>11WP01002854</v>
      </c>
      <c r="O618">
        <v>15</v>
      </c>
      <c r="Q618" t="str" cm="1">
        <f t="array" ref="Q618">_xlfn.IFS(AND(C618="",G618=""),"",LEFT(G618,1)="L","記載要",LEFT(G618,1)="W","",AND(C618,G618=""),"記載要")</f>
        <v/>
      </c>
      <c r="R618" s="21" t="str">
        <f t="shared" si="102"/>
        <v/>
      </c>
      <c r="S618" s="21"/>
      <c r="Z618" s="8"/>
      <c r="AA618">
        <v>1</v>
      </c>
      <c r="AB618">
        <f t="shared" si="98"/>
        <v>0</v>
      </c>
      <c r="AC618">
        <v>1</v>
      </c>
      <c r="AF618">
        <v>1</v>
      </c>
      <c r="AG618" s="8"/>
      <c r="AH618" s="8"/>
      <c r="AK618" cm="1">
        <f t="array" ref="AK618">_xlfn.IFS(B618="","",LEFT(G618,1)="L",1,LEFT(G618,1)="W",1,AND(LEFT(B618,1)="H",G618=""),0)</f>
        <v>1</v>
      </c>
      <c r="AS618" t="str">
        <f t="shared" si="99"/>
        <v/>
      </c>
      <c r="AT618" t="s">
        <v>115</v>
      </c>
      <c r="AU618" t="str">
        <f t="shared" si="100"/>
        <v>0</v>
      </c>
      <c r="BD618" t="str">
        <f t="shared" si="101"/>
        <v>0</v>
      </c>
      <c r="BK618" t="str">
        <f>IFERROR(VLOOKUP(B618,'[1]model_S-フレーム'!$F$5:$R$7000,13,1),"")</f>
        <v>E389570_01</v>
      </c>
      <c r="BL618" s="7">
        <f>IFERROR(VLOOKUP(B618,'[1]model_S-フレーム'!$F$5:$V$7000,17,1),"")</f>
        <v>0</v>
      </c>
      <c r="BM618" t="str" cm="1">
        <f t="array" ref="BM618">_xlfn.IFS(LEFT(G618,1)="L","外注品",LEFT(G618,1)="W","内製品",G618="","購買品")</f>
        <v>内製品</v>
      </c>
    </row>
    <row r="619" spans="1:65">
      <c r="A619" t="str">
        <f t="shared" si="93"/>
        <v>WG01</v>
      </c>
      <c r="B619" t="s">
        <v>726</v>
      </c>
      <c r="C619" t="s">
        <v>921</v>
      </c>
      <c r="D619" s="7"/>
      <c r="E619" s="7"/>
      <c r="G619" t="s">
        <v>1939</v>
      </c>
      <c r="H619" t="str" cm="1">
        <f t="array" ref="H619">IFERROR(_xlfn.IFS(B619="","",AND(B619="",G619=""),"",G619="","記載要"),"")</f>
        <v/>
      </c>
      <c r="K619" t="str">
        <f t="shared" si="94"/>
        <v>11WP01002855</v>
      </c>
      <c r="L619" s="3" t="str">
        <f t="shared" si="95"/>
        <v>2001/01/01</v>
      </c>
      <c r="M619" s="3" t="str">
        <f t="shared" si="96"/>
        <v>2199/12/31</v>
      </c>
      <c r="N619" t="str">
        <f t="shared" si="97"/>
        <v>11WP01002855</v>
      </c>
      <c r="O619">
        <v>15</v>
      </c>
      <c r="Q619" t="str" cm="1">
        <f t="array" ref="Q619">_xlfn.IFS(AND(C619="",G619=""),"",LEFT(G619,1)="L","記載要",LEFT(G619,1)="W","",AND(C619,G619=""),"記載要")</f>
        <v/>
      </c>
      <c r="R619" s="21" t="str">
        <f t="shared" si="102"/>
        <v/>
      </c>
      <c r="S619" s="21"/>
      <c r="Z619" s="8"/>
      <c r="AA619">
        <v>1</v>
      </c>
      <c r="AB619">
        <f t="shared" si="98"/>
        <v>0</v>
      </c>
      <c r="AC619">
        <v>1</v>
      </c>
      <c r="AF619">
        <v>1</v>
      </c>
      <c r="AG619" s="8"/>
      <c r="AH619" s="8"/>
      <c r="AK619" cm="1">
        <f t="array" ref="AK619">_xlfn.IFS(B619="","",LEFT(G619,1)="L",1,LEFT(G619,1)="W",1,AND(LEFT(B619,1)="H",G619=""),0)</f>
        <v>1</v>
      </c>
      <c r="AS619" t="str">
        <f t="shared" si="99"/>
        <v/>
      </c>
      <c r="AT619" t="s">
        <v>115</v>
      </c>
      <c r="AU619" t="str">
        <f t="shared" si="100"/>
        <v>0</v>
      </c>
      <c r="BD619" t="str">
        <f t="shared" si="101"/>
        <v>0</v>
      </c>
      <c r="BK619" t="str">
        <f>IFERROR(VLOOKUP(B619,'[1]model_S-フレーム'!$F$5:$R$7000,13,1),"")</f>
        <v>E389570_01</v>
      </c>
      <c r="BL619" s="7">
        <f>IFERROR(VLOOKUP(B619,'[1]model_S-フレーム'!$F$5:$V$7000,17,1),"")</f>
        <v>0</v>
      </c>
      <c r="BM619" t="str" cm="1">
        <f t="array" ref="BM619">_xlfn.IFS(LEFT(G619,1)="L","外注品",LEFT(G619,1)="W","内製品",G619="","購買品")</f>
        <v>内製品</v>
      </c>
    </row>
    <row r="620" spans="1:65">
      <c r="A620" t="str">
        <f t="shared" si="93"/>
        <v>WG01</v>
      </c>
      <c r="B620" t="s">
        <v>727</v>
      </c>
      <c r="C620" t="s">
        <v>921</v>
      </c>
      <c r="D620" s="7"/>
      <c r="E620" s="7"/>
      <c r="G620" t="s">
        <v>1939</v>
      </c>
      <c r="H620" t="str" cm="1">
        <f t="array" ref="H620">IFERROR(_xlfn.IFS(B620="","",AND(B620="",G620=""),"",G620="","記載要"),"")</f>
        <v/>
      </c>
      <c r="K620" t="str">
        <f t="shared" si="94"/>
        <v>11WP01002856</v>
      </c>
      <c r="L620" s="3" t="str">
        <f t="shared" si="95"/>
        <v>2001/01/01</v>
      </c>
      <c r="M620" s="3" t="str">
        <f t="shared" si="96"/>
        <v>2199/12/31</v>
      </c>
      <c r="N620" t="str">
        <f t="shared" si="97"/>
        <v>11WP01002856</v>
      </c>
      <c r="O620">
        <v>15</v>
      </c>
      <c r="Q620" t="str" cm="1">
        <f t="array" ref="Q620">_xlfn.IFS(AND(C620="",G620=""),"",LEFT(G620,1)="L","記載要",LEFT(G620,1)="W","",AND(C620,G620=""),"記載要")</f>
        <v/>
      </c>
      <c r="R620" s="21" t="str">
        <f t="shared" si="102"/>
        <v/>
      </c>
      <c r="S620" s="21"/>
      <c r="Z620" s="8"/>
      <c r="AA620">
        <v>1</v>
      </c>
      <c r="AB620">
        <f t="shared" si="98"/>
        <v>0</v>
      </c>
      <c r="AC620">
        <v>1</v>
      </c>
      <c r="AF620">
        <v>1</v>
      </c>
      <c r="AG620" s="8"/>
      <c r="AH620" s="8"/>
      <c r="AK620" cm="1">
        <f t="array" ref="AK620">_xlfn.IFS(B620="","",LEFT(G620,1)="L",1,LEFT(G620,1)="W",1,AND(LEFT(B620,1)="H",G620=""),0)</f>
        <v>1</v>
      </c>
      <c r="AS620" t="str">
        <f t="shared" si="99"/>
        <v/>
      </c>
      <c r="AT620" t="s">
        <v>115</v>
      </c>
      <c r="AU620" t="str">
        <f t="shared" si="100"/>
        <v>0</v>
      </c>
      <c r="BD620" t="str">
        <f t="shared" si="101"/>
        <v>0</v>
      </c>
      <c r="BK620" t="str">
        <f>IFERROR(VLOOKUP(B620,'[1]model_S-フレーム'!$F$5:$R$7000,13,1),"")</f>
        <v>E389570_01</v>
      </c>
      <c r="BL620" s="7">
        <f>IFERROR(VLOOKUP(B620,'[1]model_S-フレーム'!$F$5:$V$7000,17,1),"")</f>
        <v>0</v>
      </c>
      <c r="BM620" t="str" cm="1">
        <f t="array" ref="BM620">_xlfn.IFS(LEFT(G620,1)="L","外注品",LEFT(G620,1)="W","内製品",G620="","購買品")</f>
        <v>内製品</v>
      </c>
    </row>
    <row r="621" spans="1:65">
      <c r="A621" t="str">
        <f t="shared" si="93"/>
        <v>WG01</v>
      </c>
      <c r="B621" t="s">
        <v>728</v>
      </c>
      <c r="C621" t="s">
        <v>921</v>
      </c>
      <c r="D621" s="7"/>
      <c r="E621" s="7"/>
      <c r="G621" t="s">
        <v>1939</v>
      </c>
      <c r="H621" t="str" cm="1">
        <f t="array" ref="H621">IFERROR(_xlfn.IFS(B621="","",AND(B621="",G621=""),"",G621="","記載要"),"")</f>
        <v/>
      </c>
      <c r="K621" t="str">
        <f t="shared" si="94"/>
        <v>11WP01002857</v>
      </c>
      <c r="L621" s="3" t="str">
        <f t="shared" si="95"/>
        <v>2001/01/01</v>
      </c>
      <c r="M621" s="3" t="str">
        <f t="shared" si="96"/>
        <v>2199/12/31</v>
      </c>
      <c r="N621" t="str">
        <f t="shared" si="97"/>
        <v>11WP01002857</v>
      </c>
      <c r="O621">
        <v>15</v>
      </c>
      <c r="Q621" t="str" cm="1">
        <f t="array" ref="Q621">_xlfn.IFS(AND(C621="",G621=""),"",LEFT(G621,1)="L","記載要",LEFT(G621,1)="W","",AND(C621,G621=""),"記載要")</f>
        <v/>
      </c>
      <c r="R621" s="21" t="str">
        <f t="shared" si="102"/>
        <v/>
      </c>
      <c r="S621" s="21"/>
      <c r="Z621" s="8"/>
      <c r="AA621">
        <v>1</v>
      </c>
      <c r="AB621">
        <f t="shared" si="98"/>
        <v>0</v>
      </c>
      <c r="AC621">
        <v>1</v>
      </c>
      <c r="AF621">
        <v>1</v>
      </c>
      <c r="AG621" s="8"/>
      <c r="AH621" s="8"/>
      <c r="AK621" cm="1">
        <f t="array" ref="AK621">_xlfn.IFS(B621="","",LEFT(G621,1)="L",1,LEFT(G621,1)="W",1,AND(LEFT(B621,1)="H",G621=""),0)</f>
        <v>1</v>
      </c>
      <c r="AS621" t="str">
        <f t="shared" si="99"/>
        <v/>
      </c>
      <c r="AT621" t="s">
        <v>115</v>
      </c>
      <c r="AU621" t="str">
        <f t="shared" si="100"/>
        <v>0</v>
      </c>
      <c r="BD621" t="str">
        <f t="shared" si="101"/>
        <v>0</v>
      </c>
      <c r="BK621" t="str">
        <f>IFERROR(VLOOKUP(B621,'[1]model_S-フレーム'!$F$5:$R$7000,13,1),"")</f>
        <v>E389570_01</v>
      </c>
      <c r="BL621" s="7">
        <f>IFERROR(VLOOKUP(B621,'[1]model_S-フレーム'!$F$5:$V$7000,17,1),"")</f>
        <v>0</v>
      </c>
      <c r="BM621" t="str" cm="1">
        <f t="array" ref="BM621">_xlfn.IFS(LEFT(G621,1)="L","外注品",LEFT(G621,1)="W","内製品",G621="","購買品")</f>
        <v>内製品</v>
      </c>
    </row>
    <row r="622" spans="1:65">
      <c r="A622" t="str">
        <f t="shared" si="93"/>
        <v>WG01</v>
      </c>
      <c r="B622" t="s">
        <v>729</v>
      </c>
      <c r="C622" t="s">
        <v>921</v>
      </c>
      <c r="D622" s="7"/>
      <c r="E622" s="7"/>
      <c r="G622" t="s">
        <v>1939</v>
      </c>
      <c r="H622" t="str" cm="1">
        <f t="array" ref="H622">IFERROR(_xlfn.IFS(B622="","",AND(B622="",G622=""),"",G622="","記載要"),"")</f>
        <v/>
      </c>
      <c r="K622" t="str">
        <f t="shared" si="94"/>
        <v>11WP01002858</v>
      </c>
      <c r="L622" s="3" t="str">
        <f t="shared" si="95"/>
        <v>2001/01/01</v>
      </c>
      <c r="M622" s="3" t="str">
        <f t="shared" si="96"/>
        <v>2199/12/31</v>
      </c>
      <c r="N622" t="str">
        <f t="shared" si="97"/>
        <v>11WP01002858</v>
      </c>
      <c r="O622">
        <v>15</v>
      </c>
      <c r="Q622" t="str" cm="1">
        <f t="array" ref="Q622">_xlfn.IFS(AND(C622="",G622=""),"",LEFT(G622,1)="L","記載要",LEFT(G622,1)="W","",AND(C622,G622=""),"記載要")</f>
        <v/>
      </c>
      <c r="R622" s="21" t="str">
        <f t="shared" si="102"/>
        <v/>
      </c>
      <c r="S622" s="21"/>
      <c r="Z622" s="8"/>
      <c r="AA622">
        <v>1</v>
      </c>
      <c r="AB622">
        <f t="shared" si="98"/>
        <v>0</v>
      </c>
      <c r="AC622">
        <v>1</v>
      </c>
      <c r="AF622">
        <v>1</v>
      </c>
      <c r="AG622" s="8"/>
      <c r="AH622" s="8"/>
      <c r="AK622" cm="1">
        <f t="array" ref="AK622">_xlfn.IFS(B622="","",LEFT(G622,1)="L",1,LEFT(G622,1)="W",1,AND(LEFT(B622,1)="H",G622=""),0)</f>
        <v>1</v>
      </c>
      <c r="AS622" t="str">
        <f t="shared" si="99"/>
        <v/>
      </c>
      <c r="AT622" t="s">
        <v>115</v>
      </c>
      <c r="AU622" t="str">
        <f t="shared" si="100"/>
        <v>0</v>
      </c>
      <c r="BD622" t="str">
        <f t="shared" si="101"/>
        <v>0</v>
      </c>
      <c r="BK622" t="str">
        <f>IFERROR(VLOOKUP(B622,'[1]model_S-フレーム'!$F$5:$R$7000,13,1),"")</f>
        <v>E389570_01</v>
      </c>
      <c r="BL622" s="7">
        <f>IFERROR(VLOOKUP(B622,'[1]model_S-フレーム'!$F$5:$V$7000,17,1),"")</f>
        <v>0</v>
      </c>
      <c r="BM622" t="str" cm="1">
        <f t="array" ref="BM622">_xlfn.IFS(LEFT(G622,1)="L","外注品",LEFT(G622,1)="W","内製品",G622="","購買品")</f>
        <v>内製品</v>
      </c>
    </row>
    <row r="623" spans="1:65">
      <c r="A623" t="str">
        <f t="shared" si="93"/>
        <v>WG01</v>
      </c>
      <c r="B623" t="s">
        <v>730</v>
      </c>
      <c r="C623" t="s">
        <v>921</v>
      </c>
      <c r="D623" s="7"/>
      <c r="E623" s="7"/>
      <c r="G623" t="s">
        <v>1939</v>
      </c>
      <c r="H623" t="str" cm="1">
        <f t="array" ref="H623">IFERROR(_xlfn.IFS(B623="","",AND(B623="",G623=""),"",G623="","記載要"),"")</f>
        <v/>
      </c>
      <c r="K623" t="str">
        <f t="shared" si="94"/>
        <v>11WP01002859</v>
      </c>
      <c r="L623" s="3" t="str">
        <f t="shared" si="95"/>
        <v>2001/01/01</v>
      </c>
      <c r="M623" s="3" t="str">
        <f t="shared" si="96"/>
        <v>2199/12/31</v>
      </c>
      <c r="N623" t="str">
        <f t="shared" si="97"/>
        <v>11WP01002859</v>
      </c>
      <c r="O623">
        <v>15</v>
      </c>
      <c r="Q623" t="str" cm="1">
        <f t="array" ref="Q623">_xlfn.IFS(AND(C623="",G623=""),"",LEFT(G623,1)="L","記載要",LEFT(G623,1)="W","",AND(C623,G623=""),"記載要")</f>
        <v/>
      </c>
      <c r="R623" s="21" t="str">
        <f t="shared" si="102"/>
        <v/>
      </c>
      <c r="S623" s="21"/>
      <c r="Z623" s="8"/>
      <c r="AA623">
        <v>1</v>
      </c>
      <c r="AB623">
        <f t="shared" si="98"/>
        <v>0</v>
      </c>
      <c r="AC623">
        <v>1</v>
      </c>
      <c r="AF623">
        <v>1</v>
      </c>
      <c r="AG623" s="8"/>
      <c r="AH623" s="8"/>
      <c r="AK623" cm="1">
        <f t="array" ref="AK623">_xlfn.IFS(B623="","",LEFT(G623,1)="L",1,LEFT(G623,1)="W",1,AND(LEFT(B623,1)="H",G623=""),0)</f>
        <v>1</v>
      </c>
      <c r="AS623" t="str">
        <f t="shared" si="99"/>
        <v/>
      </c>
      <c r="AT623" t="s">
        <v>115</v>
      </c>
      <c r="AU623" t="str">
        <f t="shared" si="100"/>
        <v>0</v>
      </c>
      <c r="BD623" t="str">
        <f t="shared" si="101"/>
        <v>0</v>
      </c>
      <c r="BK623" t="str">
        <f>IFERROR(VLOOKUP(B623,'[1]model_S-フレーム'!$F$5:$R$7000,13,1),"")</f>
        <v>E389570_01</v>
      </c>
      <c r="BL623" s="7">
        <f>IFERROR(VLOOKUP(B623,'[1]model_S-フレーム'!$F$5:$V$7000,17,1),"")</f>
        <v>0</v>
      </c>
      <c r="BM623" t="str" cm="1">
        <f t="array" ref="BM623">_xlfn.IFS(LEFT(G623,1)="L","外注品",LEFT(G623,1)="W","内製品",G623="","購買品")</f>
        <v>内製品</v>
      </c>
    </row>
    <row r="624" spans="1:65">
      <c r="A624" t="str">
        <f t="shared" si="93"/>
        <v>WG01</v>
      </c>
      <c r="B624" t="s">
        <v>731</v>
      </c>
      <c r="C624" t="s">
        <v>921</v>
      </c>
      <c r="D624" s="7"/>
      <c r="E624" s="7"/>
      <c r="G624" t="s">
        <v>1939</v>
      </c>
      <c r="H624" t="str" cm="1">
        <f t="array" ref="H624">IFERROR(_xlfn.IFS(B624="","",AND(B624="",G624=""),"",G624="","記載要"),"")</f>
        <v/>
      </c>
      <c r="K624" t="str">
        <f t="shared" si="94"/>
        <v>11WP01002860</v>
      </c>
      <c r="L624" s="3" t="str">
        <f t="shared" si="95"/>
        <v>2001/01/01</v>
      </c>
      <c r="M624" s="3" t="str">
        <f t="shared" si="96"/>
        <v>2199/12/31</v>
      </c>
      <c r="N624" t="str">
        <f t="shared" si="97"/>
        <v>11WP01002860</v>
      </c>
      <c r="O624">
        <v>15</v>
      </c>
      <c r="Q624" t="str" cm="1">
        <f t="array" ref="Q624">_xlfn.IFS(AND(C624="",G624=""),"",LEFT(G624,1)="L","記載要",LEFT(G624,1)="W","",AND(C624,G624=""),"記載要")</f>
        <v/>
      </c>
      <c r="R624" s="21" t="str">
        <f t="shared" si="102"/>
        <v/>
      </c>
      <c r="S624" s="21"/>
      <c r="Z624" s="8"/>
      <c r="AA624">
        <v>1</v>
      </c>
      <c r="AB624">
        <f t="shared" si="98"/>
        <v>0</v>
      </c>
      <c r="AC624">
        <v>1</v>
      </c>
      <c r="AF624">
        <v>1</v>
      </c>
      <c r="AG624" s="8"/>
      <c r="AH624" s="8"/>
      <c r="AK624" cm="1">
        <f t="array" ref="AK624">_xlfn.IFS(B624="","",LEFT(G624,1)="L",1,LEFT(G624,1)="W",1,AND(LEFT(B624,1)="H",G624=""),0)</f>
        <v>1</v>
      </c>
      <c r="AS624" t="str">
        <f t="shared" si="99"/>
        <v/>
      </c>
      <c r="AT624" t="s">
        <v>115</v>
      </c>
      <c r="AU624" t="str">
        <f t="shared" si="100"/>
        <v>0</v>
      </c>
      <c r="BD624" t="str">
        <f t="shared" si="101"/>
        <v>0</v>
      </c>
      <c r="BK624" t="str">
        <f>IFERROR(VLOOKUP(B624,'[1]model_S-フレーム'!$F$5:$R$7000,13,1),"")</f>
        <v>E389570_01</v>
      </c>
      <c r="BL624" s="7">
        <f>IFERROR(VLOOKUP(B624,'[1]model_S-フレーム'!$F$5:$V$7000,17,1),"")</f>
        <v>0</v>
      </c>
      <c r="BM624" t="str" cm="1">
        <f t="array" ref="BM624">_xlfn.IFS(LEFT(G624,1)="L","外注品",LEFT(G624,1)="W","内製品",G624="","購買品")</f>
        <v>内製品</v>
      </c>
    </row>
    <row r="625" spans="1:65">
      <c r="A625" t="str">
        <f t="shared" si="93"/>
        <v>WG01</v>
      </c>
      <c r="B625" t="s">
        <v>732</v>
      </c>
      <c r="C625" t="s">
        <v>921</v>
      </c>
      <c r="D625" s="7"/>
      <c r="E625" s="7"/>
      <c r="G625" t="s">
        <v>1939</v>
      </c>
      <c r="H625" t="str" cm="1">
        <f t="array" ref="H625">IFERROR(_xlfn.IFS(B625="","",AND(B625="",G625=""),"",G625="","記載要"),"")</f>
        <v/>
      </c>
      <c r="K625" t="str">
        <f t="shared" si="94"/>
        <v>11WP01002861</v>
      </c>
      <c r="L625" s="3" t="str">
        <f t="shared" si="95"/>
        <v>2001/01/01</v>
      </c>
      <c r="M625" s="3" t="str">
        <f t="shared" si="96"/>
        <v>2199/12/31</v>
      </c>
      <c r="N625" t="str">
        <f t="shared" si="97"/>
        <v>11WP01002861</v>
      </c>
      <c r="O625">
        <v>15</v>
      </c>
      <c r="Q625" t="str" cm="1">
        <f t="array" ref="Q625">_xlfn.IFS(AND(C625="",G625=""),"",LEFT(G625,1)="L","記載要",LEFT(G625,1)="W","",AND(C625,G625=""),"記載要")</f>
        <v/>
      </c>
      <c r="R625" s="21" t="str">
        <f t="shared" si="102"/>
        <v/>
      </c>
      <c r="S625" s="21"/>
      <c r="Z625" s="8"/>
      <c r="AA625">
        <v>1</v>
      </c>
      <c r="AB625">
        <f t="shared" si="98"/>
        <v>0</v>
      </c>
      <c r="AC625">
        <v>1</v>
      </c>
      <c r="AF625">
        <v>1</v>
      </c>
      <c r="AG625" s="8"/>
      <c r="AH625" s="8"/>
      <c r="AK625" cm="1">
        <f t="array" ref="AK625">_xlfn.IFS(B625="","",LEFT(G625,1)="L",1,LEFT(G625,1)="W",1,AND(LEFT(B625,1)="H",G625=""),0)</f>
        <v>1</v>
      </c>
      <c r="AS625" t="str">
        <f t="shared" si="99"/>
        <v/>
      </c>
      <c r="AT625" t="s">
        <v>115</v>
      </c>
      <c r="AU625" t="str">
        <f t="shared" si="100"/>
        <v>0</v>
      </c>
      <c r="BD625" t="str">
        <f t="shared" si="101"/>
        <v>0</v>
      </c>
      <c r="BK625" t="str">
        <f>IFERROR(VLOOKUP(B625,'[1]model_S-フレーム'!$F$5:$R$7000,13,1),"")</f>
        <v>E389570_01</v>
      </c>
      <c r="BL625" s="7">
        <f>IFERROR(VLOOKUP(B625,'[1]model_S-フレーム'!$F$5:$V$7000,17,1),"")</f>
        <v>0</v>
      </c>
      <c r="BM625" t="str" cm="1">
        <f t="array" ref="BM625">_xlfn.IFS(LEFT(G625,1)="L","外注品",LEFT(G625,1)="W","内製品",G625="","購買品")</f>
        <v>内製品</v>
      </c>
    </row>
    <row r="626" spans="1:65">
      <c r="A626" t="str">
        <f t="shared" si="93"/>
        <v>WG01</v>
      </c>
      <c r="B626" t="s">
        <v>733</v>
      </c>
      <c r="C626" t="s">
        <v>921</v>
      </c>
      <c r="D626" s="7"/>
      <c r="E626" s="7"/>
      <c r="G626" t="s">
        <v>1939</v>
      </c>
      <c r="H626" t="str" cm="1">
        <f t="array" ref="H626">IFERROR(_xlfn.IFS(B626="","",AND(B626="",G626=""),"",G626="","記載要"),"")</f>
        <v/>
      </c>
      <c r="K626" t="str">
        <f t="shared" si="94"/>
        <v>11WP01002862</v>
      </c>
      <c r="L626" s="3" t="str">
        <f t="shared" si="95"/>
        <v>2001/01/01</v>
      </c>
      <c r="M626" s="3" t="str">
        <f t="shared" si="96"/>
        <v>2199/12/31</v>
      </c>
      <c r="N626" t="str">
        <f t="shared" si="97"/>
        <v>11WP01002862</v>
      </c>
      <c r="O626">
        <v>15</v>
      </c>
      <c r="Q626" t="str" cm="1">
        <f t="array" ref="Q626">_xlfn.IFS(AND(C626="",G626=""),"",LEFT(G626,1)="L","記載要",LEFT(G626,1)="W","",AND(C626,G626=""),"記載要")</f>
        <v/>
      </c>
      <c r="R626" s="21" t="str">
        <f t="shared" si="102"/>
        <v/>
      </c>
      <c r="S626" s="21"/>
      <c r="Z626" s="8"/>
      <c r="AA626">
        <v>1</v>
      </c>
      <c r="AB626">
        <f t="shared" si="98"/>
        <v>0</v>
      </c>
      <c r="AC626">
        <v>1</v>
      </c>
      <c r="AF626">
        <v>1</v>
      </c>
      <c r="AG626" s="8"/>
      <c r="AH626" s="8"/>
      <c r="AK626" cm="1">
        <f t="array" ref="AK626">_xlfn.IFS(B626="","",LEFT(G626,1)="L",1,LEFT(G626,1)="W",1,AND(LEFT(B626,1)="H",G626=""),0)</f>
        <v>1</v>
      </c>
      <c r="AS626" t="str">
        <f t="shared" si="99"/>
        <v/>
      </c>
      <c r="AT626" t="s">
        <v>115</v>
      </c>
      <c r="AU626" t="str">
        <f t="shared" si="100"/>
        <v>0</v>
      </c>
      <c r="BD626" t="str">
        <f t="shared" si="101"/>
        <v>0</v>
      </c>
      <c r="BK626" t="str">
        <f>IFERROR(VLOOKUP(B626,'[1]model_S-フレーム'!$F$5:$R$7000,13,1),"")</f>
        <v>E389570_01</v>
      </c>
      <c r="BL626" s="7">
        <f>IFERROR(VLOOKUP(B626,'[1]model_S-フレーム'!$F$5:$V$7000,17,1),"")</f>
        <v>0</v>
      </c>
      <c r="BM626" t="str" cm="1">
        <f t="array" ref="BM626">_xlfn.IFS(LEFT(G626,1)="L","外注品",LEFT(G626,1)="W","内製品",G626="","購買品")</f>
        <v>内製品</v>
      </c>
    </row>
    <row r="627" spans="1:65">
      <c r="A627" t="str">
        <f t="shared" si="93"/>
        <v>WG01</v>
      </c>
      <c r="B627" t="s">
        <v>734</v>
      </c>
      <c r="C627" t="s">
        <v>921</v>
      </c>
      <c r="D627" s="7"/>
      <c r="E627" s="7"/>
      <c r="G627" t="s">
        <v>1939</v>
      </c>
      <c r="H627" t="str" cm="1">
        <f t="array" ref="H627">IFERROR(_xlfn.IFS(B627="","",AND(B627="",G627=""),"",G627="","記載要"),"")</f>
        <v/>
      </c>
      <c r="K627" t="str">
        <f t="shared" si="94"/>
        <v>11WP01002863</v>
      </c>
      <c r="L627" s="3" t="str">
        <f t="shared" si="95"/>
        <v>2001/01/01</v>
      </c>
      <c r="M627" s="3" t="str">
        <f t="shared" si="96"/>
        <v>2199/12/31</v>
      </c>
      <c r="N627" t="str">
        <f t="shared" si="97"/>
        <v>11WP01002863</v>
      </c>
      <c r="O627">
        <v>15</v>
      </c>
      <c r="Q627" t="str" cm="1">
        <f t="array" ref="Q627">_xlfn.IFS(AND(C627="",G627=""),"",LEFT(G627,1)="L","記載要",LEFT(G627,1)="W","",AND(C627,G627=""),"記載要")</f>
        <v/>
      </c>
      <c r="R627" s="21" t="str">
        <f t="shared" si="102"/>
        <v/>
      </c>
      <c r="S627" s="21"/>
      <c r="Z627" s="8"/>
      <c r="AA627">
        <v>1</v>
      </c>
      <c r="AB627">
        <f t="shared" si="98"/>
        <v>0</v>
      </c>
      <c r="AC627">
        <v>1</v>
      </c>
      <c r="AF627">
        <v>1</v>
      </c>
      <c r="AG627" s="8"/>
      <c r="AH627" s="8"/>
      <c r="AK627" cm="1">
        <f t="array" ref="AK627">_xlfn.IFS(B627="","",LEFT(G627,1)="L",1,LEFT(G627,1)="W",1,AND(LEFT(B627,1)="H",G627=""),0)</f>
        <v>1</v>
      </c>
      <c r="AS627" t="str">
        <f t="shared" si="99"/>
        <v/>
      </c>
      <c r="AT627" t="s">
        <v>115</v>
      </c>
      <c r="AU627" t="str">
        <f t="shared" si="100"/>
        <v>0</v>
      </c>
      <c r="BD627" t="str">
        <f t="shared" si="101"/>
        <v>0</v>
      </c>
      <c r="BK627" t="str">
        <f>IFERROR(VLOOKUP(B627,'[1]model_S-フレーム'!$F$5:$R$7000,13,1),"")</f>
        <v>E389570_01</v>
      </c>
      <c r="BL627" s="7">
        <f>IFERROR(VLOOKUP(B627,'[1]model_S-フレーム'!$F$5:$V$7000,17,1),"")</f>
        <v>0</v>
      </c>
      <c r="BM627" t="str" cm="1">
        <f t="array" ref="BM627">_xlfn.IFS(LEFT(G627,1)="L","外注品",LEFT(G627,1)="W","内製品",G627="","購買品")</f>
        <v>内製品</v>
      </c>
    </row>
    <row r="628" spans="1:65">
      <c r="A628" t="str">
        <f t="shared" si="93"/>
        <v>WG01</v>
      </c>
      <c r="B628" t="s">
        <v>735</v>
      </c>
      <c r="C628" t="s">
        <v>921</v>
      </c>
      <c r="D628" s="7"/>
      <c r="E628" s="7"/>
      <c r="G628" t="s">
        <v>1939</v>
      </c>
      <c r="H628" t="str" cm="1">
        <f t="array" ref="H628">IFERROR(_xlfn.IFS(B628="","",AND(B628="",G628=""),"",G628="","記載要"),"")</f>
        <v/>
      </c>
      <c r="K628" t="str">
        <f t="shared" si="94"/>
        <v>11WP01002864</v>
      </c>
      <c r="L628" s="3" t="str">
        <f t="shared" si="95"/>
        <v>2001/01/01</v>
      </c>
      <c r="M628" s="3" t="str">
        <f t="shared" si="96"/>
        <v>2199/12/31</v>
      </c>
      <c r="N628" t="str">
        <f t="shared" si="97"/>
        <v>11WP01002864</v>
      </c>
      <c r="O628">
        <v>15</v>
      </c>
      <c r="Q628" t="str" cm="1">
        <f t="array" ref="Q628">_xlfn.IFS(AND(C628="",G628=""),"",LEFT(G628,1)="L","記載要",LEFT(G628,1)="W","",AND(C628,G628=""),"記載要")</f>
        <v/>
      </c>
      <c r="R628" s="21" t="str">
        <f t="shared" si="102"/>
        <v/>
      </c>
      <c r="S628" s="21"/>
      <c r="Z628" s="8"/>
      <c r="AA628">
        <v>1</v>
      </c>
      <c r="AB628">
        <f t="shared" si="98"/>
        <v>0</v>
      </c>
      <c r="AC628">
        <v>1</v>
      </c>
      <c r="AF628">
        <v>1</v>
      </c>
      <c r="AG628" s="8"/>
      <c r="AH628" s="8"/>
      <c r="AK628" cm="1">
        <f t="array" ref="AK628">_xlfn.IFS(B628="","",LEFT(G628,1)="L",1,LEFT(G628,1)="W",1,AND(LEFT(B628,1)="H",G628=""),0)</f>
        <v>1</v>
      </c>
      <c r="AS628" t="str">
        <f t="shared" si="99"/>
        <v/>
      </c>
      <c r="AT628" t="s">
        <v>115</v>
      </c>
      <c r="AU628" t="str">
        <f t="shared" si="100"/>
        <v>0</v>
      </c>
      <c r="BD628" t="str">
        <f t="shared" si="101"/>
        <v>0</v>
      </c>
      <c r="BK628" t="str">
        <f>IFERROR(VLOOKUP(B628,'[1]model_S-フレーム'!$F$5:$R$7000,13,1),"")</f>
        <v>E389570_01</v>
      </c>
      <c r="BL628" s="7">
        <f>IFERROR(VLOOKUP(B628,'[1]model_S-フレーム'!$F$5:$V$7000,17,1),"")</f>
        <v>0</v>
      </c>
      <c r="BM628" t="str" cm="1">
        <f t="array" ref="BM628">_xlfn.IFS(LEFT(G628,1)="L","外注品",LEFT(G628,1)="W","内製品",G628="","購買品")</f>
        <v>内製品</v>
      </c>
    </row>
    <row r="629" spans="1:65">
      <c r="A629" t="str">
        <f t="shared" si="93"/>
        <v>WG01</v>
      </c>
      <c r="B629" t="s">
        <v>736</v>
      </c>
      <c r="C629" t="s">
        <v>921</v>
      </c>
      <c r="D629" s="7"/>
      <c r="E629" s="7"/>
      <c r="G629" t="s">
        <v>1939</v>
      </c>
      <c r="H629" t="str" cm="1">
        <f t="array" ref="H629">IFERROR(_xlfn.IFS(B629="","",AND(B629="",G629=""),"",G629="","記載要"),"")</f>
        <v/>
      </c>
      <c r="K629" t="str">
        <f t="shared" si="94"/>
        <v>11WP01002865</v>
      </c>
      <c r="L629" s="3" t="str">
        <f t="shared" si="95"/>
        <v>2001/01/01</v>
      </c>
      <c r="M629" s="3" t="str">
        <f t="shared" si="96"/>
        <v>2199/12/31</v>
      </c>
      <c r="N629" t="str">
        <f t="shared" si="97"/>
        <v>11WP01002865</v>
      </c>
      <c r="O629">
        <v>15</v>
      </c>
      <c r="Q629" t="str" cm="1">
        <f t="array" ref="Q629">_xlfn.IFS(AND(C629="",G629=""),"",LEFT(G629,1)="L","記載要",LEFT(G629,1)="W","",AND(C629,G629=""),"記載要")</f>
        <v/>
      </c>
      <c r="R629" s="21" t="str">
        <f t="shared" si="102"/>
        <v/>
      </c>
      <c r="S629" s="21"/>
      <c r="Z629" s="8"/>
      <c r="AA629">
        <v>1</v>
      </c>
      <c r="AB629">
        <f t="shared" si="98"/>
        <v>0</v>
      </c>
      <c r="AC629">
        <v>1</v>
      </c>
      <c r="AF629">
        <v>1</v>
      </c>
      <c r="AG629" s="8"/>
      <c r="AH629" s="8"/>
      <c r="AK629" cm="1">
        <f t="array" ref="AK629">_xlfn.IFS(B629="","",LEFT(G629,1)="L",1,LEFT(G629,1)="W",1,AND(LEFT(B629,1)="H",G629=""),0)</f>
        <v>1</v>
      </c>
      <c r="AS629" t="str">
        <f t="shared" si="99"/>
        <v/>
      </c>
      <c r="AT629" t="s">
        <v>115</v>
      </c>
      <c r="AU629" t="str">
        <f t="shared" si="100"/>
        <v>0</v>
      </c>
      <c r="BD629" t="str">
        <f t="shared" si="101"/>
        <v>0</v>
      </c>
      <c r="BK629" t="str">
        <f>IFERROR(VLOOKUP(B629,'[1]model_S-フレーム'!$F$5:$R$7000,13,1),"")</f>
        <v>E389570_01</v>
      </c>
      <c r="BL629" s="7">
        <f>IFERROR(VLOOKUP(B629,'[1]model_S-フレーム'!$F$5:$V$7000,17,1),"")</f>
        <v>0</v>
      </c>
      <c r="BM629" t="str" cm="1">
        <f t="array" ref="BM629">_xlfn.IFS(LEFT(G629,1)="L","外注品",LEFT(G629,1)="W","内製品",G629="","購買品")</f>
        <v>内製品</v>
      </c>
    </row>
    <row r="630" spans="1:65">
      <c r="A630" t="str">
        <f t="shared" si="93"/>
        <v>WG01</v>
      </c>
      <c r="B630" t="s">
        <v>737</v>
      </c>
      <c r="C630" t="s">
        <v>921</v>
      </c>
      <c r="D630" s="7"/>
      <c r="E630" s="7"/>
      <c r="G630" t="s">
        <v>1939</v>
      </c>
      <c r="H630" t="str" cm="1">
        <f t="array" ref="H630">IFERROR(_xlfn.IFS(B630="","",AND(B630="",G630=""),"",G630="","記載要"),"")</f>
        <v/>
      </c>
      <c r="K630" t="str">
        <f t="shared" si="94"/>
        <v>11WP01002866</v>
      </c>
      <c r="L630" s="3" t="str">
        <f t="shared" si="95"/>
        <v>2001/01/01</v>
      </c>
      <c r="M630" s="3" t="str">
        <f t="shared" si="96"/>
        <v>2199/12/31</v>
      </c>
      <c r="N630" t="str">
        <f t="shared" si="97"/>
        <v>11WP01002866</v>
      </c>
      <c r="O630">
        <v>15</v>
      </c>
      <c r="Q630" t="str" cm="1">
        <f t="array" ref="Q630">_xlfn.IFS(AND(C630="",G630=""),"",LEFT(G630,1)="L","記載要",LEFT(G630,1)="W","",AND(C630,G630=""),"記載要")</f>
        <v/>
      </c>
      <c r="R630" s="21" t="str">
        <f t="shared" si="102"/>
        <v/>
      </c>
      <c r="S630" s="21"/>
      <c r="Z630" s="8"/>
      <c r="AA630">
        <v>1</v>
      </c>
      <c r="AB630">
        <f t="shared" si="98"/>
        <v>0</v>
      </c>
      <c r="AC630">
        <v>1</v>
      </c>
      <c r="AF630">
        <v>1</v>
      </c>
      <c r="AG630" s="8"/>
      <c r="AH630" s="8"/>
      <c r="AK630" cm="1">
        <f t="array" ref="AK630">_xlfn.IFS(B630="","",LEFT(G630,1)="L",1,LEFT(G630,1)="W",1,AND(LEFT(B630,1)="H",G630=""),0)</f>
        <v>1</v>
      </c>
      <c r="AS630" t="str">
        <f t="shared" si="99"/>
        <v/>
      </c>
      <c r="AT630" t="s">
        <v>115</v>
      </c>
      <c r="AU630" t="str">
        <f t="shared" si="100"/>
        <v>0</v>
      </c>
      <c r="BD630" t="str">
        <f t="shared" si="101"/>
        <v>0</v>
      </c>
      <c r="BK630" t="str">
        <f>IFERROR(VLOOKUP(B630,'[1]model_S-フレーム'!$F$5:$R$7000,13,1),"")</f>
        <v>E389570_01</v>
      </c>
      <c r="BL630" s="7">
        <f>IFERROR(VLOOKUP(B630,'[1]model_S-フレーム'!$F$5:$V$7000,17,1),"")</f>
        <v>0</v>
      </c>
      <c r="BM630" t="str" cm="1">
        <f t="array" ref="BM630">_xlfn.IFS(LEFT(G630,1)="L","外注品",LEFT(G630,1)="W","内製品",G630="","購買品")</f>
        <v>内製品</v>
      </c>
    </row>
    <row r="631" spans="1:65">
      <c r="A631" t="str">
        <f t="shared" si="93"/>
        <v>WG01</v>
      </c>
      <c r="B631" t="s">
        <v>738</v>
      </c>
      <c r="C631" t="s">
        <v>921</v>
      </c>
      <c r="D631" s="7"/>
      <c r="E631" s="7"/>
      <c r="G631" t="s">
        <v>1939</v>
      </c>
      <c r="H631" t="str" cm="1">
        <f t="array" ref="H631">IFERROR(_xlfn.IFS(B631="","",AND(B631="",G631=""),"",G631="","記載要"),"")</f>
        <v/>
      </c>
      <c r="K631" t="str">
        <f t="shared" si="94"/>
        <v>11WP01002867</v>
      </c>
      <c r="L631" s="3" t="str">
        <f t="shared" si="95"/>
        <v>2001/01/01</v>
      </c>
      <c r="M631" s="3" t="str">
        <f t="shared" si="96"/>
        <v>2199/12/31</v>
      </c>
      <c r="N631" t="str">
        <f t="shared" si="97"/>
        <v>11WP01002867</v>
      </c>
      <c r="O631">
        <v>15</v>
      </c>
      <c r="Q631" t="str" cm="1">
        <f t="array" ref="Q631">_xlfn.IFS(AND(C631="",G631=""),"",LEFT(G631,1)="L","記載要",LEFT(G631,1)="W","",AND(C631,G631=""),"記載要")</f>
        <v/>
      </c>
      <c r="R631" s="21" t="str">
        <f t="shared" si="102"/>
        <v/>
      </c>
      <c r="S631" s="21"/>
      <c r="Z631" s="8"/>
      <c r="AA631">
        <v>1</v>
      </c>
      <c r="AB631">
        <f t="shared" si="98"/>
        <v>0</v>
      </c>
      <c r="AC631">
        <v>1</v>
      </c>
      <c r="AF631">
        <v>1</v>
      </c>
      <c r="AG631" s="8"/>
      <c r="AH631" s="8"/>
      <c r="AK631" cm="1">
        <f t="array" ref="AK631">_xlfn.IFS(B631="","",LEFT(G631,1)="L",1,LEFT(G631,1)="W",1,AND(LEFT(B631,1)="H",G631=""),0)</f>
        <v>1</v>
      </c>
      <c r="AS631" t="str">
        <f t="shared" si="99"/>
        <v/>
      </c>
      <c r="AT631" t="s">
        <v>115</v>
      </c>
      <c r="AU631" t="str">
        <f t="shared" si="100"/>
        <v>0</v>
      </c>
      <c r="BD631" t="str">
        <f t="shared" si="101"/>
        <v>0</v>
      </c>
      <c r="BK631" t="str">
        <f>IFERROR(VLOOKUP(B631,'[1]model_S-フレーム'!$F$5:$R$7000,13,1),"")</f>
        <v>E389570_01</v>
      </c>
      <c r="BL631" s="7">
        <f>IFERROR(VLOOKUP(B631,'[1]model_S-フレーム'!$F$5:$V$7000,17,1),"")</f>
        <v>0</v>
      </c>
      <c r="BM631" t="str" cm="1">
        <f t="array" ref="BM631">_xlfn.IFS(LEFT(G631,1)="L","外注品",LEFT(G631,1)="W","内製品",G631="","購買品")</f>
        <v>内製品</v>
      </c>
    </row>
    <row r="632" spans="1:65">
      <c r="A632" t="str">
        <f t="shared" si="93"/>
        <v>WG01</v>
      </c>
      <c r="B632" t="s">
        <v>739</v>
      </c>
      <c r="C632" t="s">
        <v>921</v>
      </c>
      <c r="D632" s="7"/>
      <c r="E632" s="7"/>
      <c r="G632" t="s">
        <v>1939</v>
      </c>
      <c r="H632" t="str" cm="1">
        <f t="array" ref="H632">IFERROR(_xlfn.IFS(B632="","",AND(B632="",G632=""),"",G632="","記載要"),"")</f>
        <v/>
      </c>
      <c r="K632" t="str">
        <f t="shared" si="94"/>
        <v>11WP01002868</v>
      </c>
      <c r="L632" s="3" t="str">
        <f t="shared" si="95"/>
        <v>2001/01/01</v>
      </c>
      <c r="M632" s="3" t="str">
        <f t="shared" si="96"/>
        <v>2199/12/31</v>
      </c>
      <c r="N632" t="str">
        <f t="shared" si="97"/>
        <v>11WP01002868</v>
      </c>
      <c r="O632">
        <v>15</v>
      </c>
      <c r="Q632" t="str" cm="1">
        <f t="array" ref="Q632">_xlfn.IFS(AND(C632="",G632=""),"",LEFT(G632,1)="L","記載要",LEFT(G632,1)="W","",AND(C632,G632=""),"記載要")</f>
        <v/>
      </c>
      <c r="R632" s="21" t="str">
        <f t="shared" si="102"/>
        <v/>
      </c>
      <c r="S632" s="21"/>
      <c r="Z632" s="8"/>
      <c r="AA632">
        <v>1</v>
      </c>
      <c r="AB632">
        <f t="shared" si="98"/>
        <v>0</v>
      </c>
      <c r="AC632">
        <v>1</v>
      </c>
      <c r="AF632">
        <v>1</v>
      </c>
      <c r="AG632" s="8"/>
      <c r="AH632" s="8"/>
      <c r="AK632" cm="1">
        <f t="array" ref="AK632">_xlfn.IFS(B632="","",LEFT(G632,1)="L",1,LEFT(G632,1)="W",1,AND(LEFT(B632,1)="H",G632=""),0)</f>
        <v>1</v>
      </c>
      <c r="AS632" t="str">
        <f t="shared" si="99"/>
        <v/>
      </c>
      <c r="AT632" t="s">
        <v>115</v>
      </c>
      <c r="AU632" t="str">
        <f t="shared" si="100"/>
        <v>0</v>
      </c>
      <c r="BD632" t="str">
        <f t="shared" si="101"/>
        <v>0</v>
      </c>
      <c r="BK632" t="str">
        <f>IFERROR(VLOOKUP(B632,'[1]model_S-フレーム'!$F$5:$R$7000,13,1),"")</f>
        <v>E389570_01</v>
      </c>
      <c r="BL632" s="7">
        <f>IFERROR(VLOOKUP(B632,'[1]model_S-フレーム'!$F$5:$V$7000,17,1),"")</f>
        <v>0</v>
      </c>
      <c r="BM632" t="str" cm="1">
        <f t="array" ref="BM632">_xlfn.IFS(LEFT(G632,1)="L","外注品",LEFT(G632,1)="W","内製品",G632="","購買品")</f>
        <v>内製品</v>
      </c>
    </row>
    <row r="633" spans="1:65">
      <c r="A633" t="str">
        <f t="shared" si="93"/>
        <v>WG01</v>
      </c>
      <c r="B633" t="s">
        <v>740</v>
      </c>
      <c r="C633" t="s">
        <v>922</v>
      </c>
      <c r="D633" s="7"/>
      <c r="E633" s="7"/>
      <c r="G633" t="s">
        <v>1939</v>
      </c>
      <c r="H633" t="str" cm="1">
        <f t="array" ref="H633">IFERROR(_xlfn.IFS(B633="","",AND(B633="",G633=""),"",G633="","記載要"),"")</f>
        <v/>
      </c>
      <c r="K633" t="str">
        <f t="shared" si="94"/>
        <v>11WP01002869</v>
      </c>
      <c r="L633" s="3" t="str">
        <f t="shared" si="95"/>
        <v>2001/01/01</v>
      </c>
      <c r="M633" s="3" t="str">
        <f t="shared" si="96"/>
        <v>2199/12/31</v>
      </c>
      <c r="N633" t="str">
        <f t="shared" si="97"/>
        <v>11WP01002869</v>
      </c>
      <c r="O633">
        <v>15</v>
      </c>
      <c r="Q633" t="str" cm="1">
        <f t="array" ref="Q633">_xlfn.IFS(AND(C633="",G633=""),"",LEFT(G633,1)="L","記載要",LEFT(G633,1)="W","",AND(C633,G633=""),"記載要")</f>
        <v/>
      </c>
      <c r="R633" s="21" t="str">
        <f t="shared" si="102"/>
        <v/>
      </c>
      <c r="S633" s="21"/>
      <c r="Z633" s="8"/>
      <c r="AA633">
        <v>1</v>
      </c>
      <c r="AB633">
        <f t="shared" si="98"/>
        <v>0</v>
      </c>
      <c r="AC633">
        <v>1</v>
      </c>
      <c r="AF633">
        <v>1</v>
      </c>
      <c r="AG633" s="8"/>
      <c r="AH633" s="8"/>
      <c r="AK633" cm="1">
        <f t="array" ref="AK633">_xlfn.IFS(B633="","",LEFT(G633,1)="L",1,LEFT(G633,1)="W",1,AND(LEFT(B633,1)="H",G633=""),0)</f>
        <v>1</v>
      </c>
      <c r="AS633" t="str">
        <f t="shared" si="99"/>
        <v/>
      </c>
      <c r="AT633" t="s">
        <v>115</v>
      </c>
      <c r="AU633" t="str">
        <f t="shared" si="100"/>
        <v>0</v>
      </c>
      <c r="BD633" t="str">
        <f t="shared" si="101"/>
        <v>0</v>
      </c>
      <c r="BK633" t="str">
        <f>IFERROR(VLOOKUP(B633,'[1]model_S-フレーム'!$F$5:$R$7000,13,1),"")</f>
        <v>E389570_01</v>
      </c>
      <c r="BL633" s="7">
        <f>IFERROR(VLOOKUP(B633,'[1]model_S-フレーム'!$F$5:$V$7000,17,1),"")</f>
        <v>0</v>
      </c>
      <c r="BM633" t="str" cm="1">
        <f t="array" ref="BM633">_xlfn.IFS(LEFT(G633,1)="L","外注品",LEFT(G633,1)="W","内製品",G633="","購買品")</f>
        <v>内製品</v>
      </c>
    </row>
    <row r="634" spans="1:65">
      <c r="A634" t="str">
        <f t="shared" si="93"/>
        <v>WG01</v>
      </c>
      <c r="B634" t="s">
        <v>741</v>
      </c>
      <c r="C634" t="s">
        <v>922</v>
      </c>
      <c r="D634" s="7"/>
      <c r="E634" s="7"/>
      <c r="G634" t="s">
        <v>1939</v>
      </c>
      <c r="H634" t="str" cm="1">
        <f t="array" ref="H634">IFERROR(_xlfn.IFS(B634="","",AND(B634="",G634=""),"",G634="","記載要"),"")</f>
        <v/>
      </c>
      <c r="K634" t="str">
        <f t="shared" si="94"/>
        <v>11WP01002870</v>
      </c>
      <c r="L634" s="3" t="str">
        <f t="shared" si="95"/>
        <v>2001/01/01</v>
      </c>
      <c r="M634" s="3" t="str">
        <f t="shared" si="96"/>
        <v>2199/12/31</v>
      </c>
      <c r="N634" t="str">
        <f t="shared" si="97"/>
        <v>11WP01002870</v>
      </c>
      <c r="O634">
        <v>15</v>
      </c>
      <c r="Q634" t="str" cm="1">
        <f t="array" ref="Q634">_xlfn.IFS(AND(C634="",G634=""),"",LEFT(G634,1)="L","記載要",LEFT(G634,1)="W","",AND(C634,G634=""),"記載要")</f>
        <v/>
      </c>
      <c r="R634" s="21" t="str">
        <f t="shared" si="102"/>
        <v/>
      </c>
      <c r="S634" s="21"/>
      <c r="Z634" s="8"/>
      <c r="AA634">
        <v>1</v>
      </c>
      <c r="AB634">
        <f t="shared" si="98"/>
        <v>0</v>
      </c>
      <c r="AC634">
        <v>1</v>
      </c>
      <c r="AF634">
        <v>1</v>
      </c>
      <c r="AG634" s="8"/>
      <c r="AH634" s="8"/>
      <c r="AK634" cm="1">
        <f t="array" ref="AK634">_xlfn.IFS(B634="","",LEFT(G634,1)="L",1,LEFT(G634,1)="W",1,AND(LEFT(B634,1)="H",G634=""),0)</f>
        <v>1</v>
      </c>
      <c r="AS634" t="str">
        <f t="shared" si="99"/>
        <v/>
      </c>
      <c r="AT634" t="s">
        <v>115</v>
      </c>
      <c r="AU634" t="str">
        <f t="shared" si="100"/>
        <v>0</v>
      </c>
      <c r="BD634" t="str">
        <f t="shared" si="101"/>
        <v>0</v>
      </c>
      <c r="BK634" t="str">
        <f>IFERROR(VLOOKUP(B634,'[1]model_S-フレーム'!$F$5:$R$7000,13,1),"")</f>
        <v>E389570_01</v>
      </c>
      <c r="BL634" s="7">
        <f>IFERROR(VLOOKUP(B634,'[1]model_S-フレーム'!$F$5:$V$7000,17,1),"")</f>
        <v>0</v>
      </c>
      <c r="BM634" t="str" cm="1">
        <f t="array" ref="BM634">_xlfn.IFS(LEFT(G634,1)="L","外注品",LEFT(G634,1)="W","内製品",G634="","購買品")</f>
        <v>内製品</v>
      </c>
    </row>
    <row r="635" spans="1:65">
      <c r="A635" t="str">
        <f t="shared" si="93"/>
        <v>WG01</v>
      </c>
      <c r="B635" t="s">
        <v>742</v>
      </c>
      <c r="C635" t="s">
        <v>922</v>
      </c>
      <c r="D635" s="7"/>
      <c r="E635" s="7"/>
      <c r="G635" t="s">
        <v>1939</v>
      </c>
      <c r="H635" t="str" cm="1">
        <f t="array" ref="H635">IFERROR(_xlfn.IFS(B635="","",AND(B635="",G635=""),"",G635="","記載要"),"")</f>
        <v/>
      </c>
      <c r="K635" t="str">
        <f t="shared" si="94"/>
        <v>11WP01002871</v>
      </c>
      <c r="L635" s="3" t="str">
        <f t="shared" si="95"/>
        <v>2001/01/01</v>
      </c>
      <c r="M635" s="3" t="str">
        <f t="shared" si="96"/>
        <v>2199/12/31</v>
      </c>
      <c r="N635" t="str">
        <f t="shared" si="97"/>
        <v>11WP01002871</v>
      </c>
      <c r="O635">
        <v>15</v>
      </c>
      <c r="Q635" t="str" cm="1">
        <f t="array" ref="Q635">_xlfn.IFS(AND(C635="",G635=""),"",LEFT(G635,1)="L","記載要",LEFT(G635,1)="W","",AND(C635,G635=""),"記載要")</f>
        <v/>
      </c>
      <c r="R635" s="21" t="str">
        <f t="shared" si="102"/>
        <v/>
      </c>
      <c r="S635" s="21"/>
      <c r="Z635" s="8"/>
      <c r="AA635">
        <v>1</v>
      </c>
      <c r="AB635">
        <f t="shared" si="98"/>
        <v>0</v>
      </c>
      <c r="AC635">
        <v>1</v>
      </c>
      <c r="AF635">
        <v>1</v>
      </c>
      <c r="AG635" s="8"/>
      <c r="AH635" s="8"/>
      <c r="AK635" cm="1">
        <f t="array" ref="AK635">_xlfn.IFS(B635="","",LEFT(G635,1)="L",1,LEFT(G635,1)="W",1,AND(LEFT(B635,1)="H",G635=""),0)</f>
        <v>1</v>
      </c>
      <c r="AS635" t="str">
        <f t="shared" si="99"/>
        <v/>
      </c>
      <c r="AT635" t="s">
        <v>115</v>
      </c>
      <c r="AU635" t="str">
        <f t="shared" si="100"/>
        <v>0</v>
      </c>
      <c r="BD635" t="str">
        <f t="shared" si="101"/>
        <v>0</v>
      </c>
      <c r="BK635" t="str">
        <f>IFERROR(VLOOKUP(B635,'[1]model_S-フレーム'!$F$5:$R$7000,13,1),"")</f>
        <v>E389570_01</v>
      </c>
      <c r="BL635" s="7">
        <f>IFERROR(VLOOKUP(B635,'[1]model_S-フレーム'!$F$5:$V$7000,17,1),"")</f>
        <v>0</v>
      </c>
      <c r="BM635" t="str" cm="1">
        <f t="array" ref="BM635">_xlfn.IFS(LEFT(G635,1)="L","外注品",LEFT(G635,1)="W","内製品",G635="","購買品")</f>
        <v>内製品</v>
      </c>
    </row>
    <row r="636" spans="1:65">
      <c r="A636" t="str">
        <f t="shared" si="93"/>
        <v>WG01</v>
      </c>
      <c r="B636" t="s">
        <v>743</v>
      </c>
      <c r="C636" t="s">
        <v>922</v>
      </c>
      <c r="D636" s="7"/>
      <c r="E636" s="7"/>
      <c r="G636" t="s">
        <v>1939</v>
      </c>
      <c r="H636" t="str" cm="1">
        <f t="array" ref="H636">IFERROR(_xlfn.IFS(B636="","",AND(B636="",G636=""),"",G636="","記載要"),"")</f>
        <v/>
      </c>
      <c r="K636" t="str">
        <f t="shared" si="94"/>
        <v>11WP01002872</v>
      </c>
      <c r="L636" s="3" t="str">
        <f t="shared" si="95"/>
        <v>2001/01/01</v>
      </c>
      <c r="M636" s="3" t="str">
        <f t="shared" si="96"/>
        <v>2199/12/31</v>
      </c>
      <c r="N636" t="str">
        <f t="shared" si="97"/>
        <v>11WP01002872</v>
      </c>
      <c r="O636">
        <v>15</v>
      </c>
      <c r="Q636" t="str" cm="1">
        <f t="array" ref="Q636">_xlfn.IFS(AND(C636="",G636=""),"",LEFT(G636,1)="L","記載要",LEFT(G636,1)="W","",AND(C636,G636=""),"記載要")</f>
        <v/>
      </c>
      <c r="R636" s="21" t="str">
        <f t="shared" si="102"/>
        <v/>
      </c>
      <c r="S636" s="21"/>
      <c r="Z636" s="8"/>
      <c r="AA636">
        <v>1</v>
      </c>
      <c r="AB636">
        <f t="shared" si="98"/>
        <v>0</v>
      </c>
      <c r="AC636">
        <v>1</v>
      </c>
      <c r="AF636">
        <v>1</v>
      </c>
      <c r="AG636" s="8"/>
      <c r="AH636" s="8"/>
      <c r="AK636" cm="1">
        <f t="array" ref="AK636">_xlfn.IFS(B636="","",LEFT(G636,1)="L",1,LEFT(G636,1)="W",1,AND(LEFT(B636,1)="H",G636=""),0)</f>
        <v>1</v>
      </c>
      <c r="AS636" t="str">
        <f t="shared" si="99"/>
        <v/>
      </c>
      <c r="AT636" t="s">
        <v>115</v>
      </c>
      <c r="AU636" t="str">
        <f t="shared" si="100"/>
        <v>0</v>
      </c>
      <c r="BD636" t="str">
        <f t="shared" si="101"/>
        <v>0</v>
      </c>
      <c r="BK636" t="str">
        <f>IFERROR(VLOOKUP(B636,'[1]model_S-フレーム'!$F$5:$R$7000,13,1),"")</f>
        <v>E389570_01</v>
      </c>
      <c r="BL636" s="7">
        <f>IFERROR(VLOOKUP(B636,'[1]model_S-フレーム'!$F$5:$V$7000,17,1),"")</f>
        <v>0</v>
      </c>
      <c r="BM636" t="str" cm="1">
        <f t="array" ref="BM636">_xlfn.IFS(LEFT(G636,1)="L","外注品",LEFT(G636,1)="W","内製品",G636="","購買品")</f>
        <v>内製品</v>
      </c>
    </row>
    <row r="637" spans="1:65">
      <c r="A637" t="str">
        <f t="shared" si="93"/>
        <v>WG01</v>
      </c>
      <c r="B637" t="s">
        <v>744</v>
      </c>
      <c r="C637" t="s">
        <v>922</v>
      </c>
      <c r="D637" s="7"/>
      <c r="E637" s="7"/>
      <c r="G637" t="s">
        <v>1939</v>
      </c>
      <c r="H637" t="str" cm="1">
        <f t="array" ref="H637">IFERROR(_xlfn.IFS(B637="","",AND(B637="",G637=""),"",G637="","記載要"),"")</f>
        <v/>
      </c>
      <c r="K637" t="str">
        <f t="shared" si="94"/>
        <v>11WP01002873</v>
      </c>
      <c r="L637" s="3" t="str">
        <f t="shared" si="95"/>
        <v>2001/01/01</v>
      </c>
      <c r="M637" s="3" t="str">
        <f t="shared" si="96"/>
        <v>2199/12/31</v>
      </c>
      <c r="N637" t="str">
        <f t="shared" si="97"/>
        <v>11WP01002873</v>
      </c>
      <c r="O637">
        <v>15</v>
      </c>
      <c r="Q637" t="str" cm="1">
        <f t="array" ref="Q637">_xlfn.IFS(AND(C637="",G637=""),"",LEFT(G637,1)="L","記載要",LEFT(G637,1)="W","",AND(C637,G637=""),"記載要")</f>
        <v/>
      </c>
      <c r="R637" s="21" t="str">
        <f t="shared" si="102"/>
        <v/>
      </c>
      <c r="S637" s="21"/>
      <c r="Z637" s="8"/>
      <c r="AA637">
        <v>1</v>
      </c>
      <c r="AB637">
        <f t="shared" si="98"/>
        <v>0</v>
      </c>
      <c r="AC637">
        <v>1</v>
      </c>
      <c r="AF637">
        <v>1</v>
      </c>
      <c r="AG637" s="8"/>
      <c r="AH637" s="8"/>
      <c r="AK637" cm="1">
        <f t="array" ref="AK637">_xlfn.IFS(B637="","",LEFT(G637,1)="L",1,LEFT(G637,1)="W",1,AND(LEFT(B637,1)="H",G637=""),0)</f>
        <v>1</v>
      </c>
      <c r="AS637" t="str">
        <f t="shared" si="99"/>
        <v/>
      </c>
      <c r="AT637" t="s">
        <v>115</v>
      </c>
      <c r="AU637" t="str">
        <f t="shared" si="100"/>
        <v>0</v>
      </c>
      <c r="BD637" t="str">
        <f t="shared" si="101"/>
        <v>0</v>
      </c>
      <c r="BK637" t="str">
        <f>IFERROR(VLOOKUP(B637,'[1]model_S-フレーム'!$F$5:$R$7000,13,1),"")</f>
        <v>E389570_01</v>
      </c>
      <c r="BL637" s="7">
        <f>IFERROR(VLOOKUP(B637,'[1]model_S-フレーム'!$F$5:$V$7000,17,1),"")</f>
        <v>0</v>
      </c>
      <c r="BM637" t="str" cm="1">
        <f t="array" ref="BM637">_xlfn.IFS(LEFT(G637,1)="L","外注品",LEFT(G637,1)="W","内製品",G637="","購買品")</f>
        <v>内製品</v>
      </c>
    </row>
    <row r="638" spans="1:65">
      <c r="A638" t="str">
        <f t="shared" si="93"/>
        <v>WG01</v>
      </c>
      <c r="B638" t="s">
        <v>745</v>
      </c>
      <c r="C638" t="s">
        <v>922</v>
      </c>
      <c r="D638" s="7"/>
      <c r="E638" s="7"/>
      <c r="G638" t="s">
        <v>1939</v>
      </c>
      <c r="H638" t="str" cm="1">
        <f t="array" ref="H638">IFERROR(_xlfn.IFS(B638="","",AND(B638="",G638=""),"",G638="","記載要"),"")</f>
        <v/>
      </c>
      <c r="K638" t="str">
        <f t="shared" si="94"/>
        <v>11WP01002874</v>
      </c>
      <c r="L638" s="3" t="str">
        <f t="shared" si="95"/>
        <v>2001/01/01</v>
      </c>
      <c r="M638" s="3" t="str">
        <f t="shared" si="96"/>
        <v>2199/12/31</v>
      </c>
      <c r="N638" t="str">
        <f t="shared" si="97"/>
        <v>11WP01002874</v>
      </c>
      <c r="O638">
        <v>15</v>
      </c>
      <c r="Q638" t="str" cm="1">
        <f t="array" ref="Q638">_xlfn.IFS(AND(C638="",G638=""),"",LEFT(G638,1)="L","記載要",LEFT(G638,1)="W","",AND(C638,G638=""),"記載要")</f>
        <v/>
      </c>
      <c r="R638" s="21" t="str">
        <f t="shared" si="102"/>
        <v/>
      </c>
      <c r="S638" s="21"/>
      <c r="Z638" s="8"/>
      <c r="AA638">
        <v>1</v>
      </c>
      <c r="AB638">
        <f t="shared" si="98"/>
        <v>0</v>
      </c>
      <c r="AC638">
        <v>1</v>
      </c>
      <c r="AF638">
        <v>1</v>
      </c>
      <c r="AG638" s="8"/>
      <c r="AH638" s="8"/>
      <c r="AK638" cm="1">
        <f t="array" ref="AK638">_xlfn.IFS(B638="","",LEFT(G638,1)="L",1,LEFT(G638,1)="W",1,AND(LEFT(B638,1)="H",G638=""),0)</f>
        <v>1</v>
      </c>
      <c r="AS638" t="str">
        <f t="shared" si="99"/>
        <v/>
      </c>
      <c r="AT638" t="s">
        <v>115</v>
      </c>
      <c r="AU638" t="str">
        <f t="shared" si="100"/>
        <v>0</v>
      </c>
      <c r="BD638" t="str">
        <f t="shared" si="101"/>
        <v>0</v>
      </c>
      <c r="BK638" t="str">
        <f>IFERROR(VLOOKUP(B638,'[1]model_S-フレーム'!$F$5:$R$7000,13,1),"")</f>
        <v>E389570_01</v>
      </c>
      <c r="BL638" s="7">
        <f>IFERROR(VLOOKUP(B638,'[1]model_S-フレーム'!$F$5:$V$7000,17,1),"")</f>
        <v>0</v>
      </c>
      <c r="BM638" t="str" cm="1">
        <f t="array" ref="BM638">_xlfn.IFS(LEFT(G638,1)="L","外注品",LEFT(G638,1)="W","内製品",G638="","購買品")</f>
        <v>内製品</v>
      </c>
    </row>
    <row r="639" spans="1:65">
      <c r="A639" t="str">
        <f t="shared" si="93"/>
        <v>WG01</v>
      </c>
      <c r="B639" t="s">
        <v>746</v>
      </c>
      <c r="C639" t="s">
        <v>922</v>
      </c>
      <c r="D639" s="7"/>
      <c r="E639" s="7"/>
      <c r="G639" t="s">
        <v>1939</v>
      </c>
      <c r="H639" t="str" cm="1">
        <f t="array" ref="H639">IFERROR(_xlfn.IFS(B639="","",AND(B639="",G639=""),"",G639="","記載要"),"")</f>
        <v/>
      </c>
      <c r="K639" t="str">
        <f t="shared" si="94"/>
        <v>11WP01002875</v>
      </c>
      <c r="L639" s="3" t="str">
        <f t="shared" si="95"/>
        <v>2001/01/01</v>
      </c>
      <c r="M639" s="3" t="str">
        <f t="shared" si="96"/>
        <v>2199/12/31</v>
      </c>
      <c r="N639" t="str">
        <f t="shared" si="97"/>
        <v>11WP01002875</v>
      </c>
      <c r="O639">
        <v>15</v>
      </c>
      <c r="Q639" t="str" cm="1">
        <f t="array" ref="Q639">_xlfn.IFS(AND(C639="",G639=""),"",LEFT(G639,1)="L","記載要",LEFT(G639,1)="W","",AND(C639,G639=""),"記載要")</f>
        <v/>
      </c>
      <c r="R639" s="21" t="str">
        <f t="shared" si="102"/>
        <v/>
      </c>
      <c r="S639" s="21"/>
      <c r="Z639" s="8"/>
      <c r="AA639">
        <v>1</v>
      </c>
      <c r="AB639">
        <f t="shared" si="98"/>
        <v>0</v>
      </c>
      <c r="AC639">
        <v>1</v>
      </c>
      <c r="AF639">
        <v>1</v>
      </c>
      <c r="AG639" s="8"/>
      <c r="AH639" s="8"/>
      <c r="AK639" cm="1">
        <f t="array" ref="AK639">_xlfn.IFS(B639="","",LEFT(G639,1)="L",1,LEFT(G639,1)="W",1,AND(LEFT(B639,1)="H",G639=""),0)</f>
        <v>1</v>
      </c>
      <c r="AS639" t="str">
        <f t="shared" si="99"/>
        <v/>
      </c>
      <c r="AT639" t="s">
        <v>115</v>
      </c>
      <c r="AU639" t="str">
        <f t="shared" si="100"/>
        <v>0</v>
      </c>
      <c r="BD639" t="str">
        <f t="shared" si="101"/>
        <v>0</v>
      </c>
      <c r="BK639" t="str">
        <f>IFERROR(VLOOKUP(B639,'[1]model_S-フレーム'!$F$5:$R$7000,13,1),"")</f>
        <v>E389570_01</v>
      </c>
      <c r="BL639" s="7">
        <f>IFERROR(VLOOKUP(B639,'[1]model_S-フレーム'!$F$5:$V$7000,17,1),"")</f>
        <v>0</v>
      </c>
      <c r="BM639" t="str" cm="1">
        <f t="array" ref="BM639">_xlfn.IFS(LEFT(G639,1)="L","外注品",LEFT(G639,1)="W","内製品",G639="","購買品")</f>
        <v>内製品</v>
      </c>
    </row>
    <row r="640" spans="1:65">
      <c r="A640" t="str">
        <f t="shared" si="93"/>
        <v>WG01</v>
      </c>
      <c r="B640" t="s">
        <v>747</v>
      </c>
      <c r="C640" t="s">
        <v>922</v>
      </c>
      <c r="D640" s="7"/>
      <c r="E640" s="7"/>
      <c r="G640" t="s">
        <v>1939</v>
      </c>
      <c r="H640" t="str" cm="1">
        <f t="array" ref="H640">IFERROR(_xlfn.IFS(B640="","",AND(B640="",G640=""),"",G640="","記載要"),"")</f>
        <v/>
      </c>
      <c r="K640" t="str">
        <f t="shared" si="94"/>
        <v>11WP01002876</v>
      </c>
      <c r="L640" s="3" t="str">
        <f t="shared" si="95"/>
        <v>2001/01/01</v>
      </c>
      <c r="M640" s="3" t="str">
        <f t="shared" si="96"/>
        <v>2199/12/31</v>
      </c>
      <c r="N640" t="str">
        <f t="shared" si="97"/>
        <v>11WP01002876</v>
      </c>
      <c r="O640">
        <v>15</v>
      </c>
      <c r="Q640" t="str" cm="1">
        <f t="array" ref="Q640">_xlfn.IFS(AND(C640="",G640=""),"",LEFT(G640,1)="L","記載要",LEFT(G640,1)="W","",AND(C640,G640=""),"記載要")</f>
        <v/>
      </c>
      <c r="R640" s="21" t="str">
        <f t="shared" si="102"/>
        <v/>
      </c>
      <c r="S640" s="21"/>
      <c r="Z640" s="8"/>
      <c r="AA640">
        <v>1</v>
      </c>
      <c r="AB640">
        <f t="shared" si="98"/>
        <v>0</v>
      </c>
      <c r="AC640">
        <v>1</v>
      </c>
      <c r="AF640">
        <v>1</v>
      </c>
      <c r="AG640" s="8"/>
      <c r="AH640" s="8"/>
      <c r="AK640" cm="1">
        <f t="array" ref="AK640">_xlfn.IFS(B640="","",LEFT(G640,1)="L",1,LEFT(G640,1)="W",1,AND(LEFT(B640,1)="H",G640=""),0)</f>
        <v>1</v>
      </c>
      <c r="AS640" t="str">
        <f t="shared" si="99"/>
        <v/>
      </c>
      <c r="AT640" t="s">
        <v>115</v>
      </c>
      <c r="AU640" t="str">
        <f t="shared" si="100"/>
        <v>0</v>
      </c>
      <c r="BD640" t="str">
        <f t="shared" si="101"/>
        <v>0</v>
      </c>
      <c r="BK640" t="str">
        <f>IFERROR(VLOOKUP(B640,'[1]model_S-フレーム'!$F$5:$R$7000,13,1),"")</f>
        <v>E389570_01</v>
      </c>
      <c r="BL640" s="7">
        <f>IFERROR(VLOOKUP(B640,'[1]model_S-フレーム'!$F$5:$V$7000,17,1),"")</f>
        <v>0</v>
      </c>
      <c r="BM640" t="str" cm="1">
        <f t="array" ref="BM640">_xlfn.IFS(LEFT(G640,1)="L","外注品",LEFT(G640,1)="W","内製品",G640="","購買品")</f>
        <v>内製品</v>
      </c>
    </row>
    <row r="641" spans="1:65">
      <c r="A641" t="str">
        <f t="shared" si="93"/>
        <v>WG01</v>
      </c>
      <c r="B641" t="s">
        <v>748</v>
      </c>
      <c r="C641" t="s">
        <v>922</v>
      </c>
      <c r="D641" s="7"/>
      <c r="E641" s="7"/>
      <c r="G641" t="s">
        <v>1939</v>
      </c>
      <c r="H641" t="str" cm="1">
        <f t="array" ref="H641">IFERROR(_xlfn.IFS(B641="","",AND(B641="",G641=""),"",G641="","記載要"),"")</f>
        <v/>
      </c>
      <c r="K641" t="str">
        <f t="shared" si="94"/>
        <v>11WP01002877</v>
      </c>
      <c r="L641" s="3" t="str">
        <f t="shared" si="95"/>
        <v>2001/01/01</v>
      </c>
      <c r="M641" s="3" t="str">
        <f t="shared" si="96"/>
        <v>2199/12/31</v>
      </c>
      <c r="N641" t="str">
        <f t="shared" si="97"/>
        <v>11WP01002877</v>
      </c>
      <c r="O641">
        <v>15</v>
      </c>
      <c r="Q641" t="str" cm="1">
        <f t="array" ref="Q641">_xlfn.IFS(AND(C641="",G641=""),"",LEFT(G641,1)="L","記載要",LEFT(G641,1)="W","",AND(C641,G641=""),"記載要")</f>
        <v/>
      </c>
      <c r="R641" s="21" t="str">
        <f t="shared" si="102"/>
        <v/>
      </c>
      <c r="S641" s="21"/>
      <c r="Z641" s="8"/>
      <c r="AA641">
        <v>1</v>
      </c>
      <c r="AB641">
        <f t="shared" si="98"/>
        <v>0</v>
      </c>
      <c r="AC641">
        <v>1</v>
      </c>
      <c r="AF641">
        <v>1</v>
      </c>
      <c r="AG641" s="8"/>
      <c r="AH641" s="8"/>
      <c r="AK641" cm="1">
        <f t="array" ref="AK641">_xlfn.IFS(B641="","",LEFT(G641,1)="L",1,LEFT(G641,1)="W",1,AND(LEFT(B641,1)="H",G641=""),0)</f>
        <v>1</v>
      </c>
      <c r="AS641" t="str">
        <f t="shared" si="99"/>
        <v/>
      </c>
      <c r="AT641" t="s">
        <v>115</v>
      </c>
      <c r="AU641" t="str">
        <f t="shared" si="100"/>
        <v>0</v>
      </c>
      <c r="BD641" t="str">
        <f t="shared" si="101"/>
        <v>0</v>
      </c>
      <c r="BK641" t="str">
        <f>IFERROR(VLOOKUP(B641,'[1]model_S-フレーム'!$F$5:$R$7000,13,1),"")</f>
        <v>E389570_01</v>
      </c>
      <c r="BL641" s="7">
        <f>IFERROR(VLOOKUP(B641,'[1]model_S-フレーム'!$F$5:$V$7000,17,1),"")</f>
        <v>0</v>
      </c>
      <c r="BM641" t="str" cm="1">
        <f t="array" ref="BM641">_xlfn.IFS(LEFT(G641,1)="L","外注品",LEFT(G641,1)="W","内製品",G641="","購買品")</f>
        <v>内製品</v>
      </c>
    </row>
    <row r="642" spans="1:65">
      <c r="A642" t="str">
        <f t="shared" si="93"/>
        <v>WG01</v>
      </c>
      <c r="B642" t="s">
        <v>749</v>
      </c>
      <c r="C642" t="s">
        <v>922</v>
      </c>
      <c r="D642" s="7"/>
      <c r="E642" s="7"/>
      <c r="G642" t="s">
        <v>1939</v>
      </c>
      <c r="H642" t="str" cm="1">
        <f t="array" ref="H642">IFERROR(_xlfn.IFS(B642="","",AND(B642="",G642=""),"",G642="","記載要"),"")</f>
        <v/>
      </c>
      <c r="K642" t="str">
        <f t="shared" si="94"/>
        <v>11WP01002878</v>
      </c>
      <c r="L642" s="3" t="str">
        <f t="shared" si="95"/>
        <v>2001/01/01</v>
      </c>
      <c r="M642" s="3" t="str">
        <f t="shared" si="96"/>
        <v>2199/12/31</v>
      </c>
      <c r="N642" t="str">
        <f t="shared" si="97"/>
        <v>11WP01002878</v>
      </c>
      <c r="O642">
        <v>15</v>
      </c>
      <c r="Q642" t="str" cm="1">
        <f t="array" ref="Q642">_xlfn.IFS(AND(C642="",G642=""),"",LEFT(G642,1)="L","記載要",LEFT(G642,1)="W","",AND(C642,G642=""),"記載要")</f>
        <v/>
      </c>
      <c r="R642" s="21" t="str">
        <f t="shared" si="102"/>
        <v/>
      </c>
      <c r="S642" s="21"/>
      <c r="Z642" s="8"/>
      <c r="AA642">
        <v>1</v>
      </c>
      <c r="AB642">
        <f t="shared" si="98"/>
        <v>0</v>
      </c>
      <c r="AC642">
        <v>1</v>
      </c>
      <c r="AF642">
        <v>1</v>
      </c>
      <c r="AG642" s="8"/>
      <c r="AH642" s="8"/>
      <c r="AK642" cm="1">
        <f t="array" ref="AK642">_xlfn.IFS(B642="","",LEFT(G642,1)="L",1,LEFT(G642,1)="W",1,AND(LEFT(B642,1)="H",G642=""),0)</f>
        <v>1</v>
      </c>
      <c r="AS642" t="str">
        <f t="shared" si="99"/>
        <v/>
      </c>
      <c r="AT642" t="s">
        <v>115</v>
      </c>
      <c r="AU642" t="str">
        <f t="shared" si="100"/>
        <v>0</v>
      </c>
      <c r="BD642" t="str">
        <f t="shared" si="101"/>
        <v>0</v>
      </c>
      <c r="BK642" t="str">
        <f>IFERROR(VLOOKUP(B642,'[1]model_S-フレーム'!$F$5:$R$7000,13,1),"")</f>
        <v>E389570_01</v>
      </c>
      <c r="BL642" s="7">
        <f>IFERROR(VLOOKUP(B642,'[1]model_S-フレーム'!$F$5:$V$7000,17,1),"")</f>
        <v>0</v>
      </c>
      <c r="BM642" t="str" cm="1">
        <f t="array" ref="BM642">_xlfn.IFS(LEFT(G642,1)="L","外注品",LEFT(G642,1)="W","内製品",G642="","購買品")</f>
        <v>内製品</v>
      </c>
    </row>
    <row r="643" spans="1:65">
      <c r="A643" t="str">
        <f t="shared" ref="A643:A706" si="103">IF(B643="","","WG01")</f>
        <v>WG01</v>
      </c>
      <c r="B643" t="s">
        <v>750</v>
      </c>
      <c r="C643" t="s">
        <v>922</v>
      </c>
      <c r="D643" s="7"/>
      <c r="E643" s="7"/>
      <c r="G643" t="s">
        <v>1939</v>
      </c>
      <c r="H643" t="str" cm="1">
        <f t="array" ref="H643">IFERROR(_xlfn.IFS(B643="","",AND(B643="",G643=""),"",G643="","記載要"),"")</f>
        <v/>
      </c>
      <c r="K643" t="str">
        <f t="shared" ref="K643:K706" si="104">IF(G643="","","11"&amp;G643&amp;RIGHT(B643,5))</f>
        <v>11WP01002879</v>
      </c>
      <c r="L643" s="3" t="str">
        <f t="shared" ref="L643:L706" si="105">IF(B643="","","2001/01/01")</f>
        <v>2001/01/01</v>
      </c>
      <c r="M643" s="3" t="str">
        <f t="shared" ref="M643:M706" si="106">IF(C643="","","2199/12/31")</f>
        <v>2199/12/31</v>
      </c>
      <c r="N643" t="str">
        <f t="shared" ref="N643:N706" si="107">IF(LEFT(G643,1)="W",K643,"")</f>
        <v>11WP01002879</v>
      </c>
      <c r="O643">
        <v>15</v>
      </c>
      <c r="Q643" t="str" cm="1">
        <f t="array" ref="Q643">_xlfn.IFS(AND(C643="",G643=""),"",LEFT(G643,1)="L","記載要",LEFT(G643,1)="W","",AND(C643,G643=""),"記載要")</f>
        <v/>
      </c>
      <c r="R643" s="21" t="str">
        <f t="shared" si="102"/>
        <v/>
      </c>
      <c r="S643" s="21"/>
      <c r="Z643" s="8"/>
      <c r="AA643">
        <v>1</v>
      </c>
      <c r="AB643">
        <f t="shared" ref="AB643:AB706" si="108">IF(B643="","",0)</f>
        <v>0</v>
      </c>
      <c r="AC643">
        <v>1</v>
      </c>
      <c r="AF643">
        <v>1</v>
      </c>
      <c r="AG643" s="8"/>
      <c r="AH643" s="8"/>
      <c r="AK643" cm="1">
        <f t="array" ref="AK643">_xlfn.IFS(B643="","",LEFT(G643,1)="L",1,LEFT(G643,1)="W",1,AND(LEFT(B643,1)="H",G643=""),0)</f>
        <v>1</v>
      </c>
      <c r="AS643" t="str">
        <f t="shared" ref="AS643:AS706" si="109">IF(Q643="","",1)</f>
        <v/>
      </c>
      <c r="AT643" t="s">
        <v>115</v>
      </c>
      <c r="AU643" t="str">
        <f t="shared" ref="AU643:AU706" si="110">IF(B643="","","0")</f>
        <v>0</v>
      </c>
      <c r="BD643" t="str">
        <f t="shared" ref="BD643:BD706" si="111">IF(B643="","","0")</f>
        <v>0</v>
      </c>
      <c r="BK643" t="str">
        <f>IFERROR(VLOOKUP(B643,'[1]model_S-フレーム'!$F$5:$R$7000,13,1),"")</f>
        <v>E389570_01</v>
      </c>
      <c r="BL643" s="7">
        <f>IFERROR(VLOOKUP(B643,'[1]model_S-フレーム'!$F$5:$V$7000,17,1),"")</f>
        <v>0</v>
      </c>
      <c r="BM643" t="str" cm="1">
        <f t="array" ref="BM643">_xlfn.IFS(LEFT(G643,1)="L","外注品",LEFT(G643,1)="W","内製品",G643="","購買品")</f>
        <v>内製品</v>
      </c>
    </row>
    <row r="644" spans="1:65">
      <c r="A644" t="str">
        <f t="shared" si="103"/>
        <v>WG01</v>
      </c>
      <c r="B644" t="s">
        <v>751</v>
      </c>
      <c r="C644" t="s">
        <v>922</v>
      </c>
      <c r="D644" s="7"/>
      <c r="E644" s="7"/>
      <c r="G644" t="s">
        <v>1939</v>
      </c>
      <c r="H644" t="str" cm="1">
        <f t="array" ref="H644">IFERROR(_xlfn.IFS(B644="","",AND(B644="",G644=""),"",G644="","記載要"),"")</f>
        <v/>
      </c>
      <c r="K644" t="str">
        <f t="shared" si="104"/>
        <v>11WP01002880</v>
      </c>
      <c r="L644" s="3" t="str">
        <f t="shared" si="105"/>
        <v>2001/01/01</v>
      </c>
      <c r="M644" s="3" t="str">
        <f t="shared" si="106"/>
        <v>2199/12/31</v>
      </c>
      <c r="N644" t="str">
        <f t="shared" si="107"/>
        <v>11WP01002880</v>
      </c>
      <c r="O644">
        <v>15</v>
      </c>
      <c r="Q644" t="str" cm="1">
        <f t="array" ref="Q644">_xlfn.IFS(AND(C644="",G644=""),"",LEFT(G644,1)="L","記載要",LEFT(G644,1)="W","",AND(C644,G644=""),"記載要")</f>
        <v/>
      </c>
      <c r="R644" s="21" t="str">
        <f t="shared" ref="R644:R707" si="112">IF(H644="","","記載要")</f>
        <v/>
      </c>
      <c r="S644" s="21"/>
      <c r="Z644" s="8"/>
      <c r="AA644">
        <v>1</v>
      </c>
      <c r="AB644">
        <f t="shared" si="108"/>
        <v>0</v>
      </c>
      <c r="AC644">
        <v>1</v>
      </c>
      <c r="AF644">
        <v>1</v>
      </c>
      <c r="AG644" s="8"/>
      <c r="AH644" s="8"/>
      <c r="AK644" cm="1">
        <f t="array" ref="AK644">_xlfn.IFS(B644="","",LEFT(G644,1)="L",1,LEFT(G644,1)="W",1,AND(LEFT(B644,1)="H",G644=""),0)</f>
        <v>1</v>
      </c>
      <c r="AS644" t="str">
        <f t="shared" si="109"/>
        <v/>
      </c>
      <c r="AT644" t="s">
        <v>115</v>
      </c>
      <c r="AU644" t="str">
        <f t="shared" si="110"/>
        <v>0</v>
      </c>
      <c r="BD644" t="str">
        <f t="shared" si="111"/>
        <v>0</v>
      </c>
      <c r="BK644" t="str">
        <f>IFERROR(VLOOKUP(B644,'[1]model_S-フレーム'!$F$5:$R$7000,13,1),"")</f>
        <v>E389570_01</v>
      </c>
      <c r="BL644" s="7">
        <f>IFERROR(VLOOKUP(B644,'[1]model_S-フレーム'!$F$5:$V$7000,17,1),"")</f>
        <v>0</v>
      </c>
      <c r="BM644" t="str" cm="1">
        <f t="array" ref="BM644">_xlfn.IFS(LEFT(G644,1)="L","外注品",LEFT(G644,1)="W","内製品",G644="","購買品")</f>
        <v>内製品</v>
      </c>
    </row>
    <row r="645" spans="1:65">
      <c r="A645" t="str">
        <f t="shared" si="103"/>
        <v>WG01</v>
      </c>
      <c r="B645" t="s">
        <v>752</v>
      </c>
      <c r="C645" t="s">
        <v>922</v>
      </c>
      <c r="D645" s="7"/>
      <c r="E645" s="7"/>
      <c r="G645" t="s">
        <v>1939</v>
      </c>
      <c r="H645" t="str" cm="1">
        <f t="array" ref="H645">IFERROR(_xlfn.IFS(B645="","",AND(B645="",G645=""),"",G645="","記載要"),"")</f>
        <v/>
      </c>
      <c r="K645" t="str">
        <f t="shared" si="104"/>
        <v>11WP01002881</v>
      </c>
      <c r="L645" s="3" t="str">
        <f t="shared" si="105"/>
        <v>2001/01/01</v>
      </c>
      <c r="M645" s="3" t="str">
        <f t="shared" si="106"/>
        <v>2199/12/31</v>
      </c>
      <c r="N645" t="str">
        <f t="shared" si="107"/>
        <v>11WP01002881</v>
      </c>
      <c r="O645">
        <v>15</v>
      </c>
      <c r="Q645" t="str" cm="1">
        <f t="array" ref="Q645">_xlfn.IFS(AND(C645="",G645=""),"",LEFT(G645,1)="L","記載要",LEFT(G645,1)="W","",AND(C645,G645=""),"記載要")</f>
        <v/>
      </c>
      <c r="R645" s="21" t="str">
        <f t="shared" si="112"/>
        <v/>
      </c>
      <c r="S645" s="21"/>
      <c r="Z645" s="8"/>
      <c r="AA645">
        <v>1</v>
      </c>
      <c r="AB645">
        <f t="shared" si="108"/>
        <v>0</v>
      </c>
      <c r="AC645">
        <v>1</v>
      </c>
      <c r="AF645">
        <v>1</v>
      </c>
      <c r="AG645" s="8"/>
      <c r="AH645" s="8"/>
      <c r="AK645" cm="1">
        <f t="array" ref="AK645">_xlfn.IFS(B645="","",LEFT(G645,1)="L",1,LEFT(G645,1)="W",1,AND(LEFT(B645,1)="H",G645=""),0)</f>
        <v>1</v>
      </c>
      <c r="AS645" t="str">
        <f t="shared" si="109"/>
        <v/>
      </c>
      <c r="AT645" t="s">
        <v>115</v>
      </c>
      <c r="AU645" t="str">
        <f t="shared" si="110"/>
        <v>0</v>
      </c>
      <c r="BD645" t="str">
        <f t="shared" si="111"/>
        <v>0</v>
      </c>
      <c r="BK645" t="str">
        <f>IFERROR(VLOOKUP(B645,'[1]model_S-フレーム'!$F$5:$R$7000,13,1),"")</f>
        <v>E389570_01</v>
      </c>
      <c r="BL645" s="7">
        <f>IFERROR(VLOOKUP(B645,'[1]model_S-フレーム'!$F$5:$V$7000,17,1),"")</f>
        <v>0</v>
      </c>
      <c r="BM645" t="str" cm="1">
        <f t="array" ref="BM645">_xlfn.IFS(LEFT(G645,1)="L","外注品",LEFT(G645,1)="W","内製品",G645="","購買品")</f>
        <v>内製品</v>
      </c>
    </row>
    <row r="646" spans="1:65">
      <c r="A646" t="str">
        <f t="shared" si="103"/>
        <v>WG01</v>
      </c>
      <c r="B646" t="s">
        <v>753</v>
      </c>
      <c r="C646" t="s">
        <v>922</v>
      </c>
      <c r="D646" s="7"/>
      <c r="E646" s="7"/>
      <c r="G646" t="s">
        <v>1939</v>
      </c>
      <c r="H646" t="str" cm="1">
        <f t="array" ref="H646">IFERROR(_xlfn.IFS(B646="","",AND(B646="",G646=""),"",G646="","記載要"),"")</f>
        <v/>
      </c>
      <c r="K646" t="str">
        <f t="shared" si="104"/>
        <v>11WP01002882</v>
      </c>
      <c r="L646" s="3" t="str">
        <f t="shared" si="105"/>
        <v>2001/01/01</v>
      </c>
      <c r="M646" s="3" t="str">
        <f t="shared" si="106"/>
        <v>2199/12/31</v>
      </c>
      <c r="N646" t="str">
        <f t="shared" si="107"/>
        <v>11WP01002882</v>
      </c>
      <c r="O646">
        <v>15</v>
      </c>
      <c r="Q646" t="str" cm="1">
        <f t="array" ref="Q646">_xlfn.IFS(AND(C646="",G646=""),"",LEFT(G646,1)="L","記載要",LEFT(G646,1)="W","",AND(C646,G646=""),"記載要")</f>
        <v/>
      </c>
      <c r="R646" s="21" t="str">
        <f t="shared" si="112"/>
        <v/>
      </c>
      <c r="S646" s="21"/>
      <c r="Z646" s="8"/>
      <c r="AA646">
        <v>1</v>
      </c>
      <c r="AB646">
        <f t="shared" si="108"/>
        <v>0</v>
      </c>
      <c r="AC646">
        <v>1</v>
      </c>
      <c r="AF646">
        <v>1</v>
      </c>
      <c r="AG646" s="8"/>
      <c r="AH646" s="8"/>
      <c r="AK646" cm="1">
        <f t="array" ref="AK646">_xlfn.IFS(B646="","",LEFT(G646,1)="L",1,LEFT(G646,1)="W",1,AND(LEFT(B646,1)="H",G646=""),0)</f>
        <v>1</v>
      </c>
      <c r="AS646" t="str">
        <f t="shared" si="109"/>
        <v/>
      </c>
      <c r="AT646" t="s">
        <v>115</v>
      </c>
      <c r="AU646" t="str">
        <f t="shared" si="110"/>
        <v>0</v>
      </c>
      <c r="BD646" t="str">
        <f t="shared" si="111"/>
        <v>0</v>
      </c>
      <c r="BK646" t="str">
        <f>IFERROR(VLOOKUP(B646,'[1]model_S-フレーム'!$F$5:$R$7000,13,1),"")</f>
        <v>E389570_01</v>
      </c>
      <c r="BL646" s="7">
        <f>IFERROR(VLOOKUP(B646,'[1]model_S-フレーム'!$F$5:$V$7000,17,1),"")</f>
        <v>0</v>
      </c>
      <c r="BM646" t="str" cm="1">
        <f t="array" ref="BM646">_xlfn.IFS(LEFT(G646,1)="L","外注品",LEFT(G646,1)="W","内製品",G646="","購買品")</f>
        <v>内製品</v>
      </c>
    </row>
    <row r="647" spans="1:65">
      <c r="A647" t="str">
        <f t="shared" si="103"/>
        <v>WG01</v>
      </c>
      <c r="B647" t="s">
        <v>754</v>
      </c>
      <c r="C647" t="s">
        <v>922</v>
      </c>
      <c r="D647" s="7"/>
      <c r="E647" s="7"/>
      <c r="G647" t="s">
        <v>1939</v>
      </c>
      <c r="H647" t="str" cm="1">
        <f t="array" ref="H647">IFERROR(_xlfn.IFS(B647="","",AND(B647="",G647=""),"",G647="","記載要"),"")</f>
        <v/>
      </c>
      <c r="K647" t="str">
        <f t="shared" si="104"/>
        <v>11WP01002883</v>
      </c>
      <c r="L647" s="3" t="str">
        <f t="shared" si="105"/>
        <v>2001/01/01</v>
      </c>
      <c r="M647" s="3" t="str">
        <f t="shared" si="106"/>
        <v>2199/12/31</v>
      </c>
      <c r="N647" t="str">
        <f t="shared" si="107"/>
        <v>11WP01002883</v>
      </c>
      <c r="O647">
        <v>15</v>
      </c>
      <c r="Q647" t="str" cm="1">
        <f t="array" ref="Q647">_xlfn.IFS(AND(C647="",G647=""),"",LEFT(G647,1)="L","記載要",LEFT(G647,1)="W","",AND(C647,G647=""),"記載要")</f>
        <v/>
      </c>
      <c r="R647" s="21" t="str">
        <f t="shared" si="112"/>
        <v/>
      </c>
      <c r="S647" s="21"/>
      <c r="Z647" s="8"/>
      <c r="AA647">
        <v>1</v>
      </c>
      <c r="AB647">
        <f t="shared" si="108"/>
        <v>0</v>
      </c>
      <c r="AC647">
        <v>1</v>
      </c>
      <c r="AF647">
        <v>1</v>
      </c>
      <c r="AG647" s="8"/>
      <c r="AH647" s="8"/>
      <c r="AK647" cm="1">
        <f t="array" ref="AK647">_xlfn.IFS(B647="","",LEFT(G647,1)="L",1,LEFT(G647,1)="W",1,AND(LEFT(B647,1)="H",G647=""),0)</f>
        <v>1</v>
      </c>
      <c r="AS647" t="str">
        <f t="shared" si="109"/>
        <v/>
      </c>
      <c r="AT647" t="s">
        <v>115</v>
      </c>
      <c r="AU647" t="str">
        <f t="shared" si="110"/>
        <v>0</v>
      </c>
      <c r="BD647" t="str">
        <f t="shared" si="111"/>
        <v>0</v>
      </c>
      <c r="BK647" t="str">
        <f>IFERROR(VLOOKUP(B647,'[1]model_S-フレーム'!$F$5:$R$7000,13,1),"")</f>
        <v>E389570_01</v>
      </c>
      <c r="BL647" s="7">
        <f>IFERROR(VLOOKUP(B647,'[1]model_S-フレーム'!$F$5:$V$7000,17,1),"")</f>
        <v>0</v>
      </c>
      <c r="BM647" t="str" cm="1">
        <f t="array" ref="BM647">_xlfn.IFS(LEFT(G647,1)="L","外注品",LEFT(G647,1)="W","内製品",G647="","購買品")</f>
        <v>内製品</v>
      </c>
    </row>
    <row r="648" spans="1:65">
      <c r="A648" t="str">
        <f t="shared" si="103"/>
        <v>WG01</v>
      </c>
      <c r="B648" t="s">
        <v>755</v>
      </c>
      <c r="C648" t="s">
        <v>922</v>
      </c>
      <c r="D648" s="7"/>
      <c r="E648" s="7"/>
      <c r="G648" t="s">
        <v>1939</v>
      </c>
      <c r="H648" t="str" cm="1">
        <f t="array" ref="H648">IFERROR(_xlfn.IFS(B648="","",AND(B648="",G648=""),"",G648="","記載要"),"")</f>
        <v/>
      </c>
      <c r="K648" t="str">
        <f t="shared" si="104"/>
        <v>11WP01002884</v>
      </c>
      <c r="L648" s="3" t="str">
        <f t="shared" si="105"/>
        <v>2001/01/01</v>
      </c>
      <c r="M648" s="3" t="str">
        <f t="shared" si="106"/>
        <v>2199/12/31</v>
      </c>
      <c r="N648" t="str">
        <f t="shared" si="107"/>
        <v>11WP01002884</v>
      </c>
      <c r="O648">
        <v>15</v>
      </c>
      <c r="Q648" t="str" cm="1">
        <f t="array" ref="Q648">_xlfn.IFS(AND(C648="",G648=""),"",LEFT(G648,1)="L","記載要",LEFT(G648,1)="W","",AND(C648,G648=""),"記載要")</f>
        <v/>
      </c>
      <c r="R648" s="21" t="str">
        <f t="shared" si="112"/>
        <v/>
      </c>
      <c r="S648" s="21"/>
      <c r="Z648" s="8"/>
      <c r="AA648">
        <v>1</v>
      </c>
      <c r="AB648">
        <f t="shared" si="108"/>
        <v>0</v>
      </c>
      <c r="AC648">
        <v>1</v>
      </c>
      <c r="AF648">
        <v>1</v>
      </c>
      <c r="AG648" s="8"/>
      <c r="AH648" s="8"/>
      <c r="AK648" cm="1">
        <f t="array" ref="AK648">_xlfn.IFS(B648="","",LEFT(G648,1)="L",1,LEFT(G648,1)="W",1,AND(LEFT(B648,1)="H",G648=""),0)</f>
        <v>1</v>
      </c>
      <c r="AS648" t="str">
        <f t="shared" si="109"/>
        <v/>
      </c>
      <c r="AT648" t="s">
        <v>115</v>
      </c>
      <c r="AU648" t="str">
        <f t="shared" si="110"/>
        <v>0</v>
      </c>
      <c r="BD648" t="str">
        <f t="shared" si="111"/>
        <v>0</v>
      </c>
      <c r="BK648" t="str">
        <f>IFERROR(VLOOKUP(B648,'[1]model_S-フレーム'!$F$5:$R$7000,13,1),"")</f>
        <v>E389570_01</v>
      </c>
      <c r="BL648" s="7">
        <f>IFERROR(VLOOKUP(B648,'[1]model_S-フレーム'!$F$5:$V$7000,17,1),"")</f>
        <v>0</v>
      </c>
      <c r="BM648" t="str" cm="1">
        <f t="array" ref="BM648">_xlfn.IFS(LEFT(G648,1)="L","外注品",LEFT(G648,1)="W","内製品",G648="","購買品")</f>
        <v>内製品</v>
      </c>
    </row>
    <row r="649" spans="1:65">
      <c r="A649" t="str">
        <f t="shared" si="103"/>
        <v>WG01</v>
      </c>
      <c r="B649" t="s">
        <v>756</v>
      </c>
      <c r="C649" t="s">
        <v>922</v>
      </c>
      <c r="D649" s="7"/>
      <c r="E649" s="7"/>
      <c r="G649" t="s">
        <v>1939</v>
      </c>
      <c r="H649" t="str" cm="1">
        <f t="array" ref="H649">IFERROR(_xlfn.IFS(B649="","",AND(B649="",G649=""),"",G649="","記載要"),"")</f>
        <v/>
      </c>
      <c r="K649" t="str">
        <f t="shared" si="104"/>
        <v>11WP01002885</v>
      </c>
      <c r="L649" s="3" t="str">
        <f t="shared" si="105"/>
        <v>2001/01/01</v>
      </c>
      <c r="M649" s="3" t="str">
        <f t="shared" si="106"/>
        <v>2199/12/31</v>
      </c>
      <c r="N649" t="str">
        <f t="shared" si="107"/>
        <v>11WP01002885</v>
      </c>
      <c r="O649">
        <v>15</v>
      </c>
      <c r="Q649" t="str" cm="1">
        <f t="array" ref="Q649">_xlfn.IFS(AND(C649="",G649=""),"",LEFT(G649,1)="L","記載要",LEFT(G649,1)="W","",AND(C649,G649=""),"記載要")</f>
        <v/>
      </c>
      <c r="R649" s="21" t="str">
        <f t="shared" si="112"/>
        <v/>
      </c>
      <c r="S649" s="21"/>
      <c r="Z649" s="8"/>
      <c r="AA649">
        <v>1</v>
      </c>
      <c r="AB649">
        <f t="shared" si="108"/>
        <v>0</v>
      </c>
      <c r="AC649">
        <v>1</v>
      </c>
      <c r="AF649">
        <v>1</v>
      </c>
      <c r="AG649" s="8"/>
      <c r="AH649" s="8"/>
      <c r="AK649" cm="1">
        <f t="array" ref="AK649">_xlfn.IFS(B649="","",LEFT(G649,1)="L",1,LEFT(G649,1)="W",1,AND(LEFT(B649,1)="H",G649=""),0)</f>
        <v>1</v>
      </c>
      <c r="AS649" t="str">
        <f t="shared" si="109"/>
        <v/>
      </c>
      <c r="AT649" t="s">
        <v>115</v>
      </c>
      <c r="AU649" t="str">
        <f t="shared" si="110"/>
        <v>0</v>
      </c>
      <c r="BD649" t="str">
        <f t="shared" si="111"/>
        <v>0</v>
      </c>
      <c r="BK649" t="str">
        <f>IFERROR(VLOOKUP(B649,'[1]model_S-フレーム'!$F$5:$R$7000,13,1),"")</f>
        <v>E389570_01</v>
      </c>
      <c r="BL649" s="7">
        <f>IFERROR(VLOOKUP(B649,'[1]model_S-フレーム'!$F$5:$V$7000,17,1),"")</f>
        <v>0</v>
      </c>
      <c r="BM649" t="str" cm="1">
        <f t="array" ref="BM649">_xlfn.IFS(LEFT(G649,1)="L","外注品",LEFT(G649,1)="W","内製品",G649="","購買品")</f>
        <v>内製品</v>
      </c>
    </row>
    <row r="650" spans="1:65">
      <c r="A650" t="str">
        <f t="shared" si="103"/>
        <v>WG01</v>
      </c>
      <c r="B650" t="s">
        <v>757</v>
      </c>
      <c r="C650" t="s">
        <v>922</v>
      </c>
      <c r="D650" s="7"/>
      <c r="E650" s="7"/>
      <c r="G650" t="s">
        <v>1939</v>
      </c>
      <c r="H650" t="str" cm="1">
        <f t="array" ref="H650">IFERROR(_xlfn.IFS(B650="","",AND(B650="",G650=""),"",G650="","記載要"),"")</f>
        <v/>
      </c>
      <c r="K650" t="str">
        <f t="shared" si="104"/>
        <v>11WP01002886</v>
      </c>
      <c r="L650" s="3" t="str">
        <f t="shared" si="105"/>
        <v>2001/01/01</v>
      </c>
      <c r="M650" s="3" t="str">
        <f t="shared" si="106"/>
        <v>2199/12/31</v>
      </c>
      <c r="N650" t="str">
        <f t="shared" si="107"/>
        <v>11WP01002886</v>
      </c>
      <c r="O650">
        <v>15</v>
      </c>
      <c r="Q650" t="str" cm="1">
        <f t="array" ref="Q650">_xlfn.IFS(AND(C650="",G650=""),"",LEFT(G650,1)="L","記載要",LEFT(G650,1)="W","",AND(C650,G650=""),"記載要")</f>
        <v/>
      </c>
      <c r="R650" s="21" t="str">
        <f t="shared" si="112"/>
        <v/>
      </c>
      <c r="S650" s="21"/>
      <c r="Z650" s="8"/>
      <c r="AA650">
        <v>1</v>
      </c>
      <c r="AB650">
        <f t="shared" si="108"/>
        <v>0</v>
      </c>
      <c r="AC650">
        <v>1</v>
      </c>
      <c r="AF650">
        <v>1</v>
      </c>
      <c r="AG650" s="8"/>
      <c r="AH650" s="8"/>
      <c r="AK650" cm="1">
        <f t="array" ref="AK650">_xlfn.IFS(B650="","",LEFT(G650,1)="L",1,LEFT(G650,1)="W",1,AND(LEFT(B650,1)="H",G650=""),0)</f>
        <v>1</v>
      </c>
      <c r="AS650" t="str">
        <f t="shared" si="109"/>
        <v/>
      </c>
      <c r="AT650" t="s">
        <v>115</v>
      </c>
      <c r="AU650" t="str">
        <f t="shared" si="110"/>
        <v>0</v>
      </c>
      <c r="BD650" t="str">
        <f t="shared" si="111"/>
        <v>0</v>
      </c>
      <c r="BK650" t="str">
        <f>IFERROR(VLOOKUP(B650,'[1]model_S-フレーム'!$F$5:$R$7000,13,1),"")</f>
        <v>E389570_01</v>
      </c>
      <c r="BL650" s="7">
        <f>IFERROR(VLOOKUP(B650,'[1]model_S-フレーム'!$F$5:$V$7000,17,1),"")</f>
        <v>0</v>
      </c>
      <c r="BM650" t="str" cm="1">
        <f t="array" ref="BM650">_xlfn.IFS(LEFT(G650,1)="L","外注品",LEFT(G650,1)="W","内製品",G650="","購買品")</f>
        <v>内製品</v>
      </c>
    </row>
    <row r="651" spans="1:65">
      <c r="A651" t="str">
        <f t="shared" si="103"/>
        <v>WG01</v>
      </c>
      <c r="B651" t="s">
        <v>758</v>
      </c>
      <c r="C651" t="s">
        <v>922</v>
      </c>
      <c r="D651" s="7"/>
      <c r="E651" s="7"/>
      <c r="G651" t="s">
        <v>1939</v>
      </c>
      <c r="H651" t="str" cm="1">
        <f t="array" ref="H651">IFERROR(_xlfn.IFS(B651="","",AND(B651="",G651=""),"",G651="","記載要"),"")</f>
        <v/>
      </c>
      <c r="K651" t="str">
        <f t="shared" si="104"/>
        <v>11WP01002887</v>
      </c>
      <c r="L651" s="3" t="str">
        <f t="shared" si="105"/>
        <v>2001/01/01</v>
      </c>
      <c r="M651" s="3" t="str">
        <f t="shared" si="106"/>
        <v>2199/12/31</v>
      </c>
      <c r="N651" t="str">
        <f t="shared" si="107"/>
        <v>11WP01002887</v>
      </c>
      <c r="O651">
        <v>15</v>
      </c>
      <c r="Q651" t="str" cm="1">
        <f t="array" ref="Q651">_xlfn.IFS(AND(C651="",G651=""),"",LEFT(G651,1)="L","記載要",LEFT(G651,1)="W","",AND(C651,G651=""),"記載要")</f>
        <v/>
      </c>
      <c r="R651" s="21" t="str">
        <f t="shared" si="112"/>
        <v/>
      </c>
      <c r="S651" s="21"/>
      <c r="Z651" s="8"/>
      <c r="AA651">
        <v>1</v>
      </c>
      <c r="AB651">
        <f t="shared" si="108"/>
        <v>0</v>
      </c>
      <c r="AC651">
        <v>1</v>
      </c>
      <c r="AF651">
        <v>1</v>
      </c>
      <c r="AG651" s="8"/>
      <c r="AH651" s="8"/>
      <c r="AK651" cm="1">
        <f t="array" ref="AK651">_xlfn.IFS(B651="","",LEFT(G651,1)="L",1,LEFT(G651,1)="W",1,AND(LEFT(B651,1)="H",G651=""),0)</f>
        <v>1</v>
      </c>
      <c r="AS651" t="str">
        <f t="shared" si="109"/>
        <v/>
      </c>
      <c r="AT651" t="s">
        <v>115</v>
      </c>
      <c r="AU651" t="str">
        <f t="shared" si="110"/>
        <v>0</v>
      </c>
      <c r="BD651" t="str">
        <f t="shared" si="111"/>
        <v>0</v>
      </c>
      <c r="BK651" t="str">
        <f>IFERROR(VLOOKUP(B651,'[1]model_S-フレーム'!$F$5:$R$7000,13,1),"")</f>
        <v>E389570_01</v>
      </c>
      <c r="BL651" s="7">
        <f>IFERROR(VLOOKUP(B651,'[1]model_S-フレーム'!$F$5:$V$7000,17,1),"")</f>
        <v>0</v>
      </c>
      <c r="BM651" t="str" cm="1">
        <f t="array" ref="BM651">_xlfn.IFS(LEFT(G651,1)="L","外注品",LEFT(G651,1)="W","内製品",G651="","購買品")</f>
        <v>内製品</v>
      </c>
    </row>
    <row r="652" spans="1:65">
      <c r="A652" t="str">
        <f t="shared" si="103"/>
        <v>WG01</v>
      </c>
      <c r="B652" t="s">
        <v>759</v>
      </c>
      <c r="C652" t="s">
        <v>922</v>
      </c>
      <c r="D652" s="7"/>
      <c r="E652" s="7"/>
      <c r="G652" t="s">
        <v>1939</v>
      </c>
      <c r="H652" t="str" cm="1">
        <f t="array" ref="H652">IFERROR(_xlfn.IFS(B652="","",AND(B652="",G652=""),"",G652="","記載要"),"")</f>
        <v/>
      </c>
      <c r="K652" t="str">
        <f t="shared" si="104"/>
        <v>11WP01002888</v>
      </c>
      <c r="L652" s="3" t="str">
        <f t="shared" si="105"/>
        <v>2001/01/01</v>
      </c>
      <c r="M652" s="3" t="str">
        <f t="shared" si="106"/>
        <v>2199/12/31</v>
      </c>
      <c r="N652" t="str">
        <f t="shared" si="107"/>
        <v>11WP01002888</v>
      </c>
      <c r="O652">
        <v>15</v>
      </c>
      <c r="Q652" t="str" cm="1">
        <f t="array" ref="Q652">_xlfn.IFS(AND(C652="",G652=""),"",LEFT(G652,1)="L","記載要",LEFT(G652,1)="W","",AND(C652,G652=""),"記載要")</f>
        <v/>
      </c>
      <c r="R652" s="21" t="str">
        <f t="shared" si="112"/>
        <v/>
      </c>
      <c r="S652" s="21"/>
      <c r="Z652" s="8"/>
      <c r="AA652">
        <v>1</v>
      </c>
      <c r="AB652">
        <f t="shared" si="108"/>
        <v>0</v>
      </c>
      <c r="AC652">
        <v>1</v>
      </c>
      <c r="AF652">
        <v>1</v>
      </c>
      <c r="AG652" s="8"/>
      <c r="AH652" s="8"/>
      <c r="AK652" cm="1">
        <f t="array" ref="AK652">_xlfn.IFS(B652="","",LEFT(G652,1)="L",1,LEFT(G652,1)="W",1,AND(LEFT(B652,1)="H",G652=""),0)</f>
        <v>1</v>
      </c>
      <c r="AS652" t="str">
        <f t="shared" si="109"/>
        <v/>
      </c>
      <c r="AT652" t="s">
        <v>115</v>
      </c>
      <c r="AU652" t="str">
        <f t="shared" si="110"/>
        <v>0</v>
      </c>
      <c r="BD652" t="str">
        <f t="shared" si="111"/>
        <v>0</v>
      </c>
      <c r="BK652" t="str">
        <f>IFERROR(VLOOKUP(B652,'[1]model_S-フレーム'!$F$5:$R$7000,13,1),"")</f>
        <v>E389570_01</v>
      </c>
      <c r="BL652" s="7">
        <f>IFERROR(VLOOKUP(B652,'[1]model_S-フレーム'!$F$5:$V$7000,17,1),"")</f>
        <v>0</v>
      </c>
      <c r="BM652" t="str" cm="1">
        <f t="array" ref="BM652">_xlfn.IFS(LEFT(G652,1)="L","外注品",LEFT(G652,1)="W","内製品",G652="","購買品")</f>
        <v>内製品</v>
      </c>
    </row>
    <row r="653" spans="1:65">
      <c r="A653" t="str">
        <f t="shared" si="103"/>
        <v>WG01</v>
      </c>
      <c r="B653" t="s">
        <v>760</v>
      </c>
      <c r="C653" t="s">
        <v>922</v>
      </c>
      <c r="D653" s="7"/>
      <c r="E653" s="7"/>
      <c r="G653" t="s">
        <v>1939</v>
      </c>
      <c r="H653" t="str" cm="1">
        <f t="array" ref="H653">IFERROR(_xlfn.IFS(B653="","",AND(B653="",G653=""),"",G653="","記載要"),"")</f>
        <v/>
      </c>
      <c r="K653" t="str">
        <f t="shared" si="104"/>
        <v>11WP01002889</v>
      </c>
      <c r="L653" s="3" t="str">
        <f t="shared" si="105"/>
        <v>2001/01/01</v>
      </c>
      <c r="M653" s="3" t="str">
        <f t="shared" si="106"/>
        <v>2199/12/31</v>
      </c>
      <c r="N653" t="str">
        <f t="shared" si="107"/>
        <v>11WP01002889</v>
      </c>
      <c r="O653">
        <v>15</v>
      </c>
      <c r="Q653" t="str" cm="1">
        <f t="array" ref="Q653">_xlfn.IFS(AND(C653="",G653=""),"",LEFT(G653,1)="L","記載要",LEFT(G653,1)="W","",AND(C653,G653=""),"記載要")</f>
        <v/>
      </c>
      <c r="R653" s="21" t="str">
        <f t="shared" si="112"/>
        <v/>
      </c>
      <c r="S653" s="21"/>
      <c r="Z653" s="8"/>
      <c r="AA653">
        <v>1</v>
      </c>
      <c r="AB653">
        <f t="shared" si="108"/>
        <v>0</v>
      </c>
      <c r="AC653">
        <v>1</v>
      </c>
      <c r="AF653">
        <v>1</v>
      </c>
      <c r="AG653" s="8"/>
      <c r="AH653" s="8"/>
      <c r="AK653" cm="1">
        <f t="array" ref="AK653">_xlfn.IFS(B653="","",LEFT(G653,1)="L",1,LEFT(G653,1)="W",1,AND(LEFT(B653,1)="H",G653=""),0)</f>
        <v>1</v>
      </c>
      <c r="AS653" t="str">
        <f t="shared" si="109"/>
        <v/>
      </c>
      <c r="AT653" t="s">
        <v>115</v>
      </c>
      <c r="AU653" t="str">
        <f t="shared" si="110"/>
        <v>0</v>
      </c>
      <c r="BD653" t="str">
        <f t="shared" si="111"/>
        <v>0</v>
      </c>
      <c r="BK653" t="str">
        <f>IFERROR(VLOOKUP(B653,'[1]model_S-フレーム'!$F$5:$R$7000,13,1),"")</f>
        <v>E389570_01</v>
      </c>
      <c r="BL653" s="7">
        <f>IFERROR(VLOOKUP(B653,'[1]model_S-フレーム'!$F$5:$V$7000,17,1),"")</f>
        <v>0</v>
      </c>
      <c r="BM653" t="str" cm="1">
        <f t="array" ref="BM653">_xlfn.IFS(LEFT(G653,1)="L","外注品",LEFT(G653,1)="W","内製品",G653="","購買品")</f>
        <v>内製品</v>
      </c>
    </row>
    <row r="654" spans="1:65">
      <c r="A654" t="str">
        <f t="shared" si="103"/>
        <v>WG01</v>
      </c>
      <c r="B654" t="s">
        <v>761</v>
      </c>
      <c r="C654" t="s">
        <v>922</v>
      </c>
      <c r="D654" s="7"/>
      <c r="E654" s="7"/>
      <c r="G654" t="s">
        <v>1939</v>
      </c>
      <c r="H654" t="str" cm="1">
        <f t="array" ref="H654">IFERROR(_xlfn.IFS(B654="","",AND(B654="",G654=""),"",G654="","記載要"),"")</f>
        <v/>
      </c>
      <c r="K654" t="str">
        <f t="shared" si="104"/>
        <v>11WP01002890</v>
      </c>
      <c r="L654" s="3" t="str">
        <f t="shared" si="105"/>
        <v>2001/01/01</v>
      </c>
      <c r="M654" s="3" t="str">
        <f t="shared" si="106"/>
        <v>2199/12/31</v>
      </c>
      <c r="N654" t="str">
        <f t="shared" si="107"/>
        <v>11WP01002890</v>
      </c>
      <c r="O654">
        <v>15</v>
      </c>
      <c r="Q654" t="str" cm="1">
        <f t="array" ref="Q654">_xlfn.IFS(AND(C654="",G654=""),"",LEFT(G654,1)="L","記載要",LEFT(G654,1)="W","",AND(C654,G654=""),"記載要")</f>
        <v/>
      </c>
      <c r="R654" s="21" t="str">
        <f t="shared" si="112"/>
        <v/>
      </c>
      <c r="S654" s="21"/>
      <c r="Z654" s="8"/>
      <c r="AA654">
        <v>1</v>
      </c>
      <c r="AB654">
        <f t="shared" si="108"/>
        <v>0</v>
      </c>
      <c r="AC654">
        <v>1</v>
      </c>
      <c r="AF654">
        <v>1</v>
      </c>
      <c r="AG654" s="8"/>
      <c r="AH654" s="8"/>
      <c r="AK654" cm="1">
        <f t="array" ref="AK654">_xlfn.IFS(B654="","",LEFT(G654,1)="L",1,LEFT(G654,1)="W",1,AND(LEFT(B654,1)="H",G654=""),0)</f>
        <v>1</v>
      </c>
      <c r="AS654" t="str">
        <f t="shared" si="109"/>
        <v/>
      </c>
      <c r="AT654" t="s">
        <v>115</v>
      </c>
      <c r="AU654" t="str">
        <f t="shared" si="110"/>
        <v>0</v>
      </c>
      <c r="BD654" t="str">
        <f t="shared" si="111"/>
        <v>0</v>
      </c>
      <c r="BK654" t="str">
        <f>IFERROR(VLOOKUP(B654,'[1]model_S-フレーム'!$F$5:$R$7000,13,1),"")</f>
        <v>E389570_01</v>
      </c>
      <c r="BL654" s="7">
        <f>IFERROR(VLOOKUP(B654,'[1]model_S-フレーム'!$F$5:$V$7000,17,1),"")</f>
        <v>0</v>
      </c>
      <c r="BM654" t="str" cm="1">
        <f t="array" ref="BM654">_xlfn.IFS(LEFT(G654,1)="L","外注品",LEFT(G654,1)="W","内製品",G654="","購買品")</f>
        <v>内製品</v>
      </c>
    </row>
    <row r="655" spans="1:65">
      <c r="A655" t="str">
        <f t="shared" si="103"/>
        <v>WG01</v>
      </c>
      <c r="B655" t="s">
        <v>762</v>
      </c>
      <c r="C655" t="s">
        <v>922</v>
      </c>
      <c r="D655" s="7"/>
      <c r="E655" s="7"/>
      <c r="G655" t="s">
        <v>1939</v>
      </c>
      <c r="H655" t="str" cm="1">
        <f t="array" ref="H655">IFERROR(_xlfn.IFS(B655="","",AND(B655="",G655=""),"",G655="","記載要"),"")</f>
        <v/>
      </c>
      <c r="K655" t="str">
        <f t="shared" si="104"/>
        <v>11WP01002891</v>
      </c>
      <c r="L655" s="3" t="str">
        <f t="shared" si="105"/>
        <v>2001/01/01</v>
      </c>
      <c r="M655" s="3" t="str">
        <f t="shared" si="106"/>
        <v>2199/12/31</v>
      </c>
      <c r="N655" t="str">
        <f t="shared" si="107"/>
        <v>11WP01002891</v>
      </c>
      <c r="O655">
        <v>15</v>
      </c>
      <c r="Q655" t="str" cm="1">
        <f t="array" ref="Q655">_xlfn.IFS(AND(C655="",G655=""),"",LEFT(G655,1)="L","記載要",LEFT(G655,1)="W","",AND(C655,G655=""),"記載要")</f>
        <v/>
      </c>
      <c r="R655" s="21" t="str">
        <f t="shared" si="112"/>
        <v/>
      </c>
      <c r="S655" s="21"/>
      <c r="Z655" s="8"/>
      <c r="AA655">
        <v>1</v>
      </c>
      <c r="AB655">
        <f t="shared" si="108"/>
        <v>0</v>
      </c>
      <c r="AC655">
        <v>1</v>
      </c>
      <c r="AF655">
        <v>1</v>
      </c>
      <c r="AG655" s="8"/>
      <c r="AH655" s="8"/>
      <c r="AK655" cm="1">
        <f t="array" ref="AK655">_xlfn.IFS(B655="","",LEFT(G655,1)="L",1,LEFT(G655,1)="W",1,AND(LEFT(B655,1)="H",G655=""),0)</f>
        <v>1</v>
      </c>
      <c r="AS655" t="str">
        <f t="shared" si="109"/>
        <v/>
      </c>
      <c r="AT655" t="s">
        <v>115</v>
      </c>
      <c r="AU655" t="str">
        <f t="shared" si="110"/>
        <v>0</v>
      </c>
      <c r="BD655" t="str">
        <f t="shared" si="111"/>
        <v>0</v>
      </c>
      <c r="BK655" t="str">
        <f>IFERROR(VLOOKUP(B655,'[1]model_S-フレーム'!$F$5:$R$7000,13,1),"")</f>
        <v>E389570_01</v>
      </c>
      <c r="BL655" s="7">
        <f>IFERROR(VLOOKUP(B655,'[1]model_S-フレーム'!$F$5:$V$7000,17,1),"")</f>
        <v>0</v>
      </c>
      <c r="BM655" t="str" cm="1">
        <f t="array" ref="BM655">_xlfn.IFS(LEFT(G655,1)="L","外注品",LEFT(G655,1)="W","内製品",G655="","購買品")</f>
        <v>内製品</v>
      </c>
    </row>
    <row r="656" spans="1:65">
      <c r="A656" t="str">
        <f t="shared" si="103"/>
        <v>WG01</v>
      </c>
      <c r="B656" t="s">
        <v>763</v>
      </c>
      <c r="C656" t="s">
        <v>922</v>
      </c>
      <c r="D656" s="7"/>
      <c r="E656" s="7"/>
      <c r="G656" t="s">
        <v>1939</v>
      </c>
      <c r="H656" t="str" cm="1">
        <f t="array" ref="H656">IFERROR(_xlfn.IFS(B656="","",AND(B656="",G656=""),"",G656="","記載要"),"")</f>
        <v/>
      </c>
      <c r="K656" t="str">
        <f t="shared" si="104"/>
        <v>11WP01002892</v>
      </c>
      <c r="L656" s="3" t="str">
        <f t="shared" si="105"/>
        <v>2001/01/01</v>
      </c>
      <c r="M656" s="3" t="str">
        <f t="shared" si="106"/>
        <v>2199/12/31</v>
      </c>
      <c r="N656" t="str">
        <f t="shared" si="107"/>
        <v>11WP01002892</v>
      </c>
      <c r="O656">
        <v>15</v>
      </c>
      <c r="Q656" t="str" cm="1">
        <f t="array" ref="Q656">_xlfn.IFS(AND(C656="",G656=""),"",LEFT(G656,1)="L","記載要",LEFT(G656,1)="W","",AND(C656,G656=""),"記載要")</f>
        <v/>
      </c>
      <c r="R656" s="21" t="str">
        <f t="shared" si="112"/>
        <v/>
      </c>
      <c r="S656" s="21"/>
      <c r="Z656" s="8"/>
      <c r="AA656">
        <v>1</v>
      </c>
      <c r="AB656">
        <f t="shared" si="108"/>
        <v>0</v>
      </c>
      <c r="AC656">
        <v>1</v>
      </c>
      <c r="AF656">
        <v>1</v>
      </c>
      <c r="AG656" s="8"/>
      <c r="AH656" s="8"/>
      <c r="AK656" cm="1">
        <f t="array" ref="AK656">_xlfn.IFS(B656="","",LEFT(G656,1)="L",1,LEFT(G656,1)="W",1,AND(LEFT(B656,1)="H",G656=""),0)</f>
        <v>1</v>
      </c>
      <c r="AS656" t="str">
        <f t="shared" si="109"/>
        <v/>
      </c>
      <c r="AT656" t="s">
        <v>115</v>
      </c>
      <c r="AU656" t="str">
        <f t="shared" si="110"/>
        <v>0</v>
      </c>
      <c r="BD656" t="str">
        <f t="shared" si="111"/>
        <v>0</v>
      </c>
      <c r="BK656" t="str">
        <f>IFERROR(VLOOKUP(B656,'[1]model_S-フレーム'!$F$5:$R$7000,13,1),"")</f>
        <v>E389570_01</v>
      </c>
      <c r="BL656" s="7">
        <f>IFERROR(VLOOKUP(B656,'[1]model_S-フレーム'!$F$5:$V$7000,17,1),"")</f>
        <v>0</v>
      </c>
      <c r="BM656" t="str" cm="1">
        <f t="array" ref="BM656">_xlfn.IFS(LEFT(G656,1)="L","外注品",LEFT(G656,1)="W","内製品",G656="","購買品")</f>
        <v>内製品</v>
      </c>
    </row>
    <row r="657" spans="1:65">
      <c r="A657" t="str">
        <f t="shared" si="103"/>
        <v>WG01</v>
      </c>
      <c r="B657" t="s">
        <v>764</v>
      </c>
      <c r="C657" t="s">
        <v>922</v>
      </c>
      <c r="D657" s="7"/>
      <c r="E657" s="7"/>
      <c r="G657" t="s">
        <v>1939</v>
      </c>
      <c r="H657" t="str" cm="1">
        <f t="array" ref="H657">IFERROR(_xlfn.IFS(B657="","",AND(B657="",G657=""),"",G657="","記載要"),"")</f>
        <v/>
      </c>
      <c r="K657" t="str">
        <f t="shared" si="104"/>
        <v>11WP01002893</v>
      </c>
      <c r="L657" s="3" t="str">
        <f t="shared" si="105"/>
        <v>2001/01/01</v>
      </c>
      <c r="M657" s="3" t="str">
        <f t="shared" si="106"/>
        <v>2199/12/31</v>
      </c>
      <c r="N657" t="str">
        <f t="shared" si="107"/>
        <v>11WP01002893</v>
      </c>
      <c r="O657">
        <v>15</v>
      </c>
      <c r="Q657" t="str" cm="1">
        <f t="array" ref="Q657">_xlfn.IFS(AND(C657="",G657=""),"",LEFT(G657,1)="L","記載要",LEFT(G657,1)="W","",AND(C657,G657=""),"記載要")</f>
        <v/>
      </c>
      <c r="R657" s="21" t="str">
        <f t="shared" si="112"/>
        <v/>
      </c>
      <c r="S657" s="21"/>
      <c r="Z657" s="8"/>
      <c r="AA657">
        <v>1</v>
      </c>
      <c r="AB657">
        <f t="shared" si="108"/>
        <v>0</v>
      </c>
      <c r="AC657">
        <v>1</v>
      </c>
      <c r="AF657">
        <v>1</v>
      </c>
      <c r="AG657" s="8"/>
      <c r="AH657" s="8"/>
      <c r="AK657" cm="1">
        <f t="array" ref="AK657">_xlfn.IFS(B657="","",LEFT(G657,1)="L",1,LEFT(G657,1)="W",1,AND(LEFT(B657,1)="H",G657=""),0)</f>
        <v>1</v>
      </c>
      <c r="AS657" t="str">
        <f t="shared" si="109"/>
        <v/>
      </c>
      <c r="AT657" t="s">
        <v>115</v>
      </c>
      <c r="AU657" t="str">
        <f t="shared" si="110"/>
        <v>0</v>
      </c>
      <c r="BD657" t="str">
        <f t="shared" si="111"/>
        <v>0</v>
      </c>
      <c r="BK657" t="str">
        <f>IFERROR(VLOOKUP(B657,'[1]model_S-フレーム'!$F$5:$R$7000,13,1),"")</f>
        <v>E389570_01</v>
      </c>
      <c r="BL657" s="7">
        <f>IFERROR(VLOOKUP(B657,'[1]model_S-フレーム'!$F$5:$V$7000,17,1),"")</f>
        <v>0</v>
      </c>
      <c r="BM657" t="str" cm="1">
        <f t="array" ref="BM657">_xlfn.IFS(LEFT(G657,1)="L","外注品",LEFT(G657,1)="W","内製品",G657="","購買品")</f>
        <v>内製品</v>
      </c>
    </row>
    <row r="658" spans="1:65" s="11" customFormat="1">
      <c r="A658" t="str">
        <f t="shared" si="103"/>
        <v>WG01</v>
      </c>
      <c r="B658" t="s">
        <v>765</v>
      </c>
      <c r="C658" t="s">
        <v>923</v>
      </c>
      <c r="D658" s="7"/>
      <c r="E658" s="7"/>
      <c r="F658"/>
      <c r="G658"/>
      <c r="H658">
        <v>27616</v>
      </c>
      <c r="I658"/>
      <c r="J658"/>
      <c r="K658" t="str">
        <f t="shared" si="104"/>
        <v/>
      </c>
      <c r="L658" s="3" t="str">
        <f t="shared" si="105"/>
        <v>2001/01/01</v>
      </c>
      <c r="M658" s="3" t="str">
        <f t="shared" si="106"/>
        <v>2199/12/31</v>
      </c>
      <c r="N658" t="str">
        <f t="shared" si="107"/>
        <v/>
      </c>
      <c r="O658" t="str">
        <f>IF(G658="","","記載要")</f>
        <v/>
      </c>
      <c r="P658"/>
      <c r="Q658">
        <v>15</v>
      </c>
      <c r="R658" s="21">
        <v>100000000</v>
      </c>
      <c r="S658" s="21" t="str" cm="1">
        <f t="array" ref="S658">_xlfn.IFS(LEFT(G658,1)="L","記載要",LEFT(G658,1)="W","記載要",G658="","")</f>
        <v/>
      </c>
      <c r="T658"/>
      <c r="U658"/>
      <c r="V658"/>
      <c r="W658"/>
      <c r="X658"/>
      <c r="Y658"/>
      <c r="Z658" s="8"/>
      <c r="AA658" s="8">
        <v>1</v>
      </c>
      <c r="AB658">
        <f t="shared" si="108"/>
        <v>0</v>
      </c>
      <c r="AC658" s="8">
        <v>1</v>
      </c>
      <c r="AD658"/>
      <c r="AE658"/>
      <c r="AF658">
        <v>1</v>
      </c>
      <c r="AG658" s="8"/>
      <c r="AH658" s="8"/>
      <c r="AI658"/>
      <c r="AJ658"/>
      <c r="AK658" cm="1">
        <f t="array" ref="AK658">_xlfn.IFS(B658="","",LEFT(G658,1)="L",1,LEFT(G658,1)="W",1,AND(LEFT(B658,1)="H",G658=""),0)</f>
        <v>0</v>
      </c>
      <c r="AL658"/>
      <c r="AM658"/>
      <c r="AN658"/>
      <c r="AO658"/>
      <c r="AP658"/>
      <c r="AQ658"/>
      <c r="AR658"/>
      <c r="AS658">
        <f t="shared" si="109"/>
        <v>1</v>
      </c>
      <c r="AT658" t="s">
        <v>115</v>
      </c>
      <c r="AU658" t="str">
        <f t="shared" si="110"/>
        <v>0</v>
      </c>
      <c r="AV658"/>
      <c r="AW658"/>
      <c r="AX658"/>
      <c r="AY658"/>
      <c r="AZ658"/>
      <c r="BA658"/>
      <c r="BB658"/>
      <c r="BC658"/>
      <c r="BD658" t="str">
        <f t="shared" si="111"/>
        <v>0</v>
      </c>
      <c r="BE658"/>
      <c r="BF658"/>
      <c r="BG658"/>
      <c r="BH658"/>
      <c r="BI658"/>
      <c r="BJ658"/>
      <c r="BK658" s="11" t="str">
        <f>IFERROR(VLOOKUP(B658,'[1]model_S-フレーム'!$F$5:$R$7000,13,1),"")</f>
        <v>E389570_01</v>
      </c>
      <c r="BL658" s="12">
        <f>IFERROR(VLOOKUP(B658,'[1]model_S-フレーム'!$F$5:$V$7000,17,1),"")</f>
        <v>0</v>
      </c>
      <c r="BM658" s="11" t="str" cm="1">
        <f t="array" ref="BM658">_xlfn.IFS(LEFT(G658,1)="L","外注品",LEFT(G658,1)="W","内製品",G658="","購買品")</f>
        <v>購買品</v>
      </c>
    </row>
    <row r="659" spans="1:65" s="11" customFormat="1">
      <c r="A659" t="str">
        <f t="shared" si="103"/>
        <v>WG01</v>
      </c>
      <c r="B659" t="s">
        <v>765</v>
      </c>
      <c r="C659" t="s">
        <v>923</v>
      </c>
      <c r="D659" s="7"/>
      <c r="E659" s="7"/>
      <c r="F659"/>
      <c r="G659"/>
      <c r="H659">
        <v>43453</v>
      </c>
      <c r="I659"/>
      <c r="J659"/>
      <c r="K659" t="str">
        <f t="shared" si="104"/>
        <v/>
      </c>
      <c r="L659" s="3" t="str">
        <f t="shared" si="105"/>
        <v>2001/01/01</v>
      </c>
      <c r="M659" s="3" t="str">
        <f t="shared" si="106"/>
        <v>2199/12/31</v>
      </c>
      <c r="N659" t="str">
        <f t="shared" si="107"/>
        <v/>
      </c>
      <c r="O659" t="str">
        <f>IF(G659="","","記載要")</f>
        <v/>
      </c>
      <c r="P659"/>
      <c r="Q659">
        <v>15</v>
      </c>
      <c r="R659" s="21">
        <v>100000000</v>
      </c>
      <c r="S659" s="21" t="str" cm="1">
        <f t="array" ref="S659">_xlfn.IFS(LEFT(G659,1)="L","記載要",LEFT(G659,1)="W","記載要",G659="","")</f>
        <v/>
      </c>
      <c r="T659"/>
      <c r="U659"/>
      <c r="V659"/>
      <c r="W659"/>
      <c r="X659"/>
      <c r="Y659"/>
      <c r="Z659" s="8"/>
      <c r="AA659" s="8">
        <v>1</v>
      </c>
      <c r="AB659">
        <f t="shared" si="108"/>
        <v>0</v>
      </c>
      <c r="AC659" s="8">
        <v>1</v>
      </c>
      <c r="AD659"/>
      <c r="AE659"/>
      <c r="AF659">
        <v>0</v>
      </c>
      <c r="AG659" s="8"/>
      <c r="AH659" s="8"/>
      <c r="AI659"/>
      <c r="AJ659"/>
      <c r="AK659" cm="1">
        <f t="array" ref="AK659">_xlfn.IFS(B659="","",LEFT(G659,1)="L",1,LEFT(G659,1)="W",1,AND(LEFT(B659,1)="H",G659=""),0)</f>
        <v>0</v>
      </c>
      <c r="AL659"/>
      <c r="AM659"/>
      <c r="AN659"/>
      <c r="AO659"/>
      <c r="AP659"/>
      <c r="AQ659"/>
      <c r="AR659"/>
      <c r="AS659">
        <f t="shared" si="109"/>
        <v>1</v>
      </c>
      <c r="AT659" t="s">
        <v>115</v>
      </c>
      <c r="AU659" t="str">
        <f t="shared" si="110"/>
        <v>0</v>
      </c>
      <c r="AV659"/>
      <c r="AW659"/>
      <c r="AX659"/>
      <c r="AY659"/>
      <c r="AZ659"/>
      <c r="BA659"/>
      <c r="BB659"/>
      <c r="BC659"/>
      <c r="BD659" t="str">
        <f t="shared" si="111"/>
        <v>0</v>
      </c>
      <c r="BE659"/>
      <c r="BF659"/>
      <c r="BG659"/>
      <c r="BH659"/>
      <c r="BI659"/>
      <c r="BJ659"/>
      <c r="BK659" s="11" t="str">
        <f>IFERROR(VLOOKUP(B659,'[1]model_S-フレーム'!$F$5:$R$7000,13,1),"")</f>
        <v>E389570_01</v>
      </c>
      <c r="BL659" s="12">
        <f>IFERROR(VLOOKUP(B659,'[1]model_S-フレーム'!$F$5:$V$7000,17,1),"")</f>
        <v>0</v>
      </c>
      <c r="BM659" s="11" t="str" cm="1">
        <f t="array" ref="BM659">_xlfn.IFS(LEFT(G659,1)="L","外注品",LEFT(G659,1)="W","内製品",G659="","購買品")</f>
        <v>購買品</v>
      </c>
    </row>
    <row r="660" spans="1:65" s="11" customFormat="1">
      <c r="A660" t="str">
        <f t="shared" si="103"/>
        <v>WG01</v>
      </c>
      <c r="B660" t="s">
        <v>765</v>
      </c>
      <c r="C660" t="s">
        <v>923</v>
      </c>
      <c r="D660" s="7"/>
      <c r="E660" s="7"/>
      <c r="F660"/>
      <c r="G660"/>
      <c r="H660">
        <v>47081</v>
      </c>
      <c r="I660"/>
      <c r="J660"/>
      <c r="K660" t="str">
        <f t="shared" si="104"/>
        <v/>
      </c>
      <c r="L660" s="3" t="str">
        <f t="shared" si="105"/>
        <v>2001/01/01</v>
      </c>
      <c r="M660" s="3" t="str">
        <f t="shared" si="106"/>
        <v>2199/12/31</v>
      </c>
      <c r="N660" t="str">
        <f t="shared" si="107"/>
        <v/>
      </c>
      <c r="O660" t="str">
        <f>IF(G660="","","記載要")</f>
        <v/>
      </c>
      <c r="P660"/>
      <c r="Q660">
        <v>15</v>
      </c>
      <c r="R660" s="21">
        <v>100000000</v>
      </c>
      <c r="S660" s="21" t="str" cm="1">
        <f t="array" ref="S660">_xlfn.IFS(LEFT(G660,1)="L","記載要",LEFT(G660,1)="W","記載要",G660="","")</f>
        <v/>
      </c>
      <c r="T660"/>
      <c r="U660"/>
      <c r="V660"/>
      <c r="W660"/>
      <c r="X660"/>
      <c r="Y660"/>
      <c r="Z660" s="8"/>
      <c r="AA660" s="8">
        <v>1</v>
      </c>
      <c r="AB660">
        <f t="shared" si="108"/>
        <v>0</v>
      </c>
      <c r="AC660" s="8">
        <v>1</v>
      </c>
      <c r="AD660"/>
      <c r="AE660"/>
      <c r="AF660">
        <v>0</v>
      </c>
      <c r="AG660" s="8"/>
      <c r="AH660" s="8"/>
      <c r="AI660"/>
      <c r="AJ660"/>
      <c r="AK660" cm="1">
        <f t="array" ref="AK660">_xlfn.IFS(B660="","",LEFT(G660,1)="L",1,LEFT(G660,1)="W",1,AND(LEFT(B660,1)="H",G660=""),0)</f>
        <v>0</v>
      </c>
      <c r="AL660"/>
      <c r="AM660"/>
      <c r="AN660"/>
      <c r="AO660"/>
      <c r="AP660"/>
      <c r="AQ660"/>
      <c r="AR660"/>
      <c r="AS660">
        <f t="shared" si="109"/>
        <v>1</v>
      </c>
      <c r="AT660" t="s">
        <v>115</v>
      </c>
      <c r="AU660" t="str">
        <f t="shared" si="110"/>
        <v>0</v>
      </c>
      <c r="AV660"/>
      <c r="AW660"/>
      <c r="AX660"/>
      <c r="AY660"/>
      <c r="AZ660"/>
      <c r="BA660"/>
      <c r="BB660"/>
      <c r="BC660"/>
      <c r="BD660" t="str">
        <f t="shared" si="111"/>
        <v>0</v>
      </c>
      <c r="BE660"/>
      <c r="BF660"/>
      <c r="BG660"/>
      <c r="BH660"/>
      <c r="BI660"/>
      <c r="BJ660"/>
      <c r="BK660" s="11" t="str">
        <f>IFERROR(VLOOKUP(B660,'[1]model_S-フレーム'!$F$5:$R$7000,13,1),"")</f>
        <v>E389570_01</v>
      </c>
      <c r="BL660" s="12">
        <f>IFERROR(VLOOKUP(B660,'[1]model_S-フレーム'!$F$5:$V$7000,17,1),"")</f>
        <v>0</v>
      </c>
      <c r="BM660" s="11" t="str" cm="1">
        <f t="array" ref="BM660">_xlfn.IFS(LEFT(G660,1)="L","外注品",LEFT(G660,1)="W","内製品",G660="","購買品")</f>
        <v>購買品</v>
      </c>
    </row>
    <row r="661" spans="1:65">
      <c r="A661" t="str">
        <f t="shared" si="103"/>
        <v>WG01</v>
      </c>
      <c r="B661" t="s">
        <v>765</v>
      </c>
      <c r="C661" t="s">
        <v>923</v>
      </c>
      <c r="D661" s="7"/>
      <c r="E661" s="7"/>
      <c r="H661" s="19" t="s">
        <v>1937</v>
      </c>
      <c r="K661" t="str">
        <f t="shared" si="104"/>
        <v/>
      </c>
      <c r="L661" s="3" t="str">
        <f t="shared" si="105"/>
        <v>2001/01/01</v>
      </c>
      <c r="M661" s="3" t="str">
        <f t="shared" si="106"/>
        <v>2199/12/31</v>
      </c>
      <c r="N661" t="str">
        <f t="shared" si="107"/>
        <v/>
      </c>
      <c r="O661" t="str">
        <f>IF(G661="","","記載要")</f>
        <v/>
      </c>
      <c r="Q661">
        <v>15</v>
      </c>
      <c r="R661" s="21">
        <v>100000000</v>
      </c>
      <c r="S661" s="21" t="str" cm="1">
        <f t="array" ref="S661">_xlfn.IFS(LEFT(G661,1)="L","記載要",LEFT(G661,1)="W","記載要",G661="","")</f>
        <v/>
      </c>
      <c r="Z661" s="8"/>
      <c r="AA661" s="8">
        <v>1</v>
      </c>
      <c r="AB661">
        <f t="shared" si="108"/>
        <v>0</v>
      </c>
      <c r="AC661" s="8">
        <v>1</v>
      </c>
      <c r="AF661">
        <v>1</v>
      </c>
      <c r="AG661" s="8"/>
      <c r="AH661" s="8"/>
      <c r="AK661" cm="1">
        <f t="array" ref="AK661">_xlfn.IFS(B661="","",LEFT(G661,1)="L",1,LEFT(G661,1)="W",1,AND(LEFT(B661,1)="H",G661=""),0)</f>
        <v>0</v>
      </c>
      <c r="AS661">
        <f t="shared" si="109"/>
        <v>1</v>
      </c>
      <c r="AT661" t="s">
        <v>115</v>
      </c>
      <c r="AU661" t="str">
        <f t="shared" si="110"/>
        <v>0</v>
      </c>
      <c r="BD661" t="str">
        <f t="shared" si="111"/>
        <v>0</v>
      </c>
      <c r="BK661" t="str">
        <f>IFERROR(VLOOKUP(B661,'[1]model_S-フレーム'!$F$5:$R$7000,13,1),"")</f>
        <v>E389570_01</v>
      </c>
      <c r="BL661" s="7">
        <f>IFERROR(VLOOKUP(B661,'[1]model_S-フレーム'!$F$5:$V$7000,17,1),"")</f>
        <v>0</v>
      </c>
      <c r="BM661" t="str" cm="1">
        <f t="array" ref="BM661">_xlfn.IFS(LEFT(G661,1)="L","外注品",LEFT(G661,1)="W","内製品",G661="","購買品")</f>
        <v>購買品</v>
      </c>
    </row>
    <row r="662" spans="1:65">
      <c r="A662" t="str">
        <f t="shared" si="103"/>
        <v>WG01</v>
      </c>
      <c r="B662" t="s">
        <v>766</v>
      </c>
      <c r="C662" t="s">
        <v>924</v>
      </c>
      <c r="D662" s="7"/>
      <c r="E662" s="7"/>
      <c r="G662" t="s">
        <v>1939</v>
      </c>
      <c r="H662" t="str" cm="1">
        <f t="array" ref="H662">IFERROR(_xlfn.IFS(B662="","",AND(B662="",G662=""),"",G662="","記載要"),"")</f>
        <v/>
      </c>
      <c r="K662" t="str">
        <f t="shared" si="104"/>
        <v>11WP01002895</v>
      </c>
      <c r="L662" s="3" t="str">
        <f t="shared" si="105"/>
        <v>2001/01/01</v>
      </c>
      <c r="M662" s="3" t="str">
        <f t="shared" si="106"/>
        <v>2199/12/31</v>
      </c>
      <c r="N662" t="str">
        <f t="shared" si="107"/>
        <v>11WP01002895</v>
      </c>
      <c r="O662">
        <v>15</v>
      </c>
      <c r="Q662" t="str" cm="1">
        <f t="array" ref="Q662">_xlfn.IFS(AND(C662="",G662=""),"",LEFT(G662,1)="L","記載要",LEFT(G662,1)="W","",AND(C662,G662=""),"記載要")</f>
        <v/>
      </c>
      <c r="R662" s="21" t="str">
        <f t="shared" si="112"/>
        <v/>
      </c>
      <c r="S662" s="21"/>
      <c r="Z662" s="8"/>
      <c r="AA662">
        <v>1</v>
      </c>
      <c r="AB662">
        <f t="shared" si="108"/>
        <v>0</v>
      </c>
      <c r="AC662">
        <v>1</v>
      </c>
      <c r="AF662">
        <v>1</v>
      </c>
      <c r="AG662" s="8"/>
      <c r="AH662" s="8"/>
      <c r="AK662" cm="1">
        <f t="array" ref="AK662">_xlfn.IFS(B662="","",LEFT(G662,1)="L",1,LEFT(G662,1)="W",1,AND(LEFT(B662,1)="H",G662=""),0)</f>
        <v>1</v>
      </c>
      <c r="AS662" t="str">
        <f t="shared" si="109"/>
        <v/>
      </c>
      <c r="AT662" t="s">
        <v>115</v>
      </c>
      <c r="AU662" t="str">
        <f t="shared" si="110"/>
        <v>0</v>
      </c>
      <c r="BD662" t="str">
        <f t="shared" si="111"/>
        <v>0</v>
      </c>
      <c r="BK662" t="str">
        <f>IFERROR(VLOOKUP(B662,'[1]model_S-フレーム'!$F$5:$R$7000,13,1),"")</f>
        <v>E389571_01</v>
      </c>
      <c r="BL662" s="7">
        <f>IFERROR(VLOOKUP(B662,'[1]model_S-フレーム'!$F$5:$V$7000,17,1),"")</f>
        <v>0</v>
      </c>
      <c r="BM662" t="str" cm="1">
        <f t="array" ref="BM662">_xlfn.IFS(LEFT(G662,1)="L","外注品",LEFT(G662,1)="W","内製品",G662="","購買品")</f>
        <v>内製品</v>
      </c>
    </row>
    <row r="663" spans="1:65">
      <c r="A663" t="str">
        <f t="shared" si="103"/>
        <v>WG01</v>
      </c>
      <c r="B663" t="s">
        <v>767</v>
      </c>
      <c r="C663" t="s">
        <v>924</v>
      </c>
      <c r="D663" s="7"/>
      <c r="E663" s="7"/>
      <c r="G663" t="s">
        <v>1939</v>
      </c>
      <c r="H663" t="str" cm="1">
        <f t="array" ref="H663">IFERROR(_xlfn.IFS(B663="","",AND(B663="",G663=""),"",G663="","記載要"),"")</f>
        <v/>
      </c>
      <c r="K663" t="str">
        <f t="shared" si="104"/>
        <v>11WP01002896</v>
      </c>
      <c r="L663" s="3" t="str">
        <f t="shared" si="105"/>
        <v>2001/01/01</v>
      </c>
      <c r="M663" s="3" t="str">
        <f t="shared" si="106"/>
        <v>2199/12/31</v>
      </c>
      <c r="N663" t="str">
        <f t="shared" si="107"/>
        <v>11WP01002896</v>
      </c>
      <c r="O663">
        <v>15</v>
      </c>
      <c r="Q663" t="str" cm="1">
        <f t="array" ref="Q663">_xlfn.IFS(AND(C663="",G663=""),"",LEFT(G663,1)="L","記載要",LEFT(G663,1)="W","",AND(C663,G663=""),"記載要")</f>
        <v/>
      </c>
      <c r="R663" s="21" t="str">
        <f t="shared" si="112"/>
        <v/>
      </c>
      <c r="S663" s="21"/>
      <c r="Z663" s="8"/>
      <c r="AA663">
        <v>1</v>
      </c>
      <c r="AB663">
        <f t="shared" si="108"/>
        <v>0</v>
      </c>
      <c r="AC663">
        <v>1</v>
      </c>
      <c r="AF663">
        <v>1</v>
      </c>
      <c r="AG663" s="8"/>
      <c r="AH663" s="8"/>
      <c r="AK663" cm="1">
        <f t="array" ref="AK663">_xlfn.IFS(B663="","",LEFT(G663,1)="L",1,LEFT(G663,1)="W",1,AND(LEFT(B663,1)="H",G663=""),0)</f>
        <v>1</v>
      </c>
      <c r="AS663" t="str">
        <f t="shared" si="109"/>
        <v/>
      </c>
      <c r="AT663" t="s">
        <v>115</v>
      </c>
      <c r="AU663" t="str">
        <f t="shared" si="110"/>
        <v>0</v>
      </c>
      <c r="BD663" t="str">
        <f t="shared" si="111"/>
        <v>0</v>
      </c>
      <c r="BK663" t="str">
        <f>IFERROR(VLOOKUP(B663,'[1]model_S-フレーム'!$F$5:$R$7000,13,1),"")</f>
        <v>E389571_01</v>
      </c>
      <c r="BL663" s="7">
        <f>IFERROR(VLOOKUP(B663,'[1]model_S-フレーム'!$F$5:$V$7000,17,1),"")</f>
        <v>0</v>
      </c>
      <c r="BM663" t="str" cm="1">
        <f t="array" ref="BM663">_xlfn.IFS(LEFT(G663,1)="L","外注品",LEFT(G663,1)="W","内製品",G663="","購買品")</f>
        <v>内製品</v>
      </c>
    </row>
    <row r="664" spans="1:65">
      <c r="A664" t="str">
        <f t="shared" si="103"/>
        <v>WG01</v>
      </c>
      <c r="B664" t="s">
        <v>768</v>
      </c>
      <c r="C664" t="s">
        <v>924</v>
      </c>
      <c r="D664" s="7"/>
      <c r="E664" s="7"/>
      <c r="G664" t="s">
        <v>1939</v>
      </c>
      <c r="H664" t="str" cm="1">
        <f t="array" ref="H664">IFERROR(_xlfn.IFS(B664="","",AND(B664="",G664=""),"",G664="","記載要"),"")</f>
        <v/>
      </c>
      <c r="K664" t="str">
        <f t="shared" si="104"/>
        <v>11WP01002897</v>
      </c>
      <c r="L664" s="3" t="str">
        <f t="shared" si="105"/>
        <v>2001/01/01</v>
      </c>
      <c r="M664" s="3" t="str">
        <f t="shared" si="106"/>
        <v>2199/12/31</v>
      </c>
      <c r="N664" t="str">
        <f t="shared" si="107"/>
        <v>11WP01002897</v>
      </c>
      <c r="O664">
        <v>15</v>
      </c>
      <c r="Q664" t="str" cm="1">
        <f t="array" ref="Q664">_xlfn.IFS(AND(C664="",G664=""),"",LEFT(G664,1)="L","記載要",LEFT(G664,1)="W","",AND(C664,G664=""),"記載要")</f>
        <v/>
      </c>
      <c r="R664" s="21" t="str">
        <f t="shared" si="112"/>
        <v/>
      </c>
      <c r="S664" s="21"/>
      <c r="Z664" s="8"/>
      <c r="AA664">
        <v>1</v>
      </c>
      <c r="AB664">
        <f t="shared" si="108"/>
        <v>0</v>
      </c>
      <c r="AC664">
        <v>1</v>
      </c>
      <c r="AF664">
        <v>1</v>
      </c>
      <c r="AG664" s="8"/>
      <c r="AH664" s="8"/>
      <c r="AK664" cm="1">
        <f t="array" ref="AK664">_xlfn.IFS(B664="","",LEFT(G664,1)="L",1,LEFT(G664,1)="W",1,AND(LEFT(B664,1)="H",G664=""),0)</f>
        <v>1</v>
      </c>
      <c r="AS664" t="str">
        <f t="shared" si="109"/>
        <v/>
      </c>
      <c r="AT664" t="s">
        <v>115</v>
      </c>
      <c r="AU664" t="str">
        <f t="shared" si="110"/>
        <v>0</v>
      </c>
      <c r="BD664" t="str">
        <f t="shared" si="111"/>
        <v>0</v>
      </c>
      <c r="BK664" t="str">
        <f>IFERROR(VLOOKUP(B664,'[1]model_S-フレーム'!$F$5:$R$7000,13,1),"")</f>
        <v>E389571_01</v>
      </c>
      <c r="BL664" s="7">
        <f>IFERROR(VLOOKUP(B664,'[1]model_S-フレーム'!$F$5:$V$7000,17,1),"")</f>
        <v>0</v>
      </c>
      <c r="BM664" t="str" cm="1">
        <f t="array" ref="BM664">_xlfn.IFS(LEFT(G664,1)="L","外注品",LEFT(G664,1)="W","内製品",G664="","購買品")</f>
        <v>内製品</v>
      </c>
    </row>
    <row r="665" spans="1:65">
      <c r="A665" t="str">
        <f t="shared" si="103"/>
        <v>WG01</v>
      </c>
      <c r="B665" t="s">
        <v>769</v>
      </c>
      <c r="C665" t="s">
        <v>924</v>
      </c>
      <c r="D665" s="7"/>
      <c r="E665" s="7"/>
      <c r="G665" t="s">
        <v>1939</v>
      </c>
      <c r="H665" t="str" cm="1">
        <f t="array" ref="H665">IFERROR(_xlfn.IFS(B665="","",AND(B665="",G665=""),"",G665="","記載要"),"")</f>
        <v/>
      </c>
      <c r="K665" t="str">
        <f t="shared" si="104"/>
        <v>11WP01002898</v>
      </c>
      <c r="L665" s="3" t="str">
        <f t="shared" si="105"/>
        <v>2001/01/01</v>
      </c>
      <c r="M665" s="3" t="str">
        <f t="shared" si="106"/>
        <v>2199/12/31</v>
      </c>
      <c r="N665" t="str">
        <f t="shared" si="107"/>
        <v>11WP01002898</v>
      </c>
      <c r="O665">
        <v>15</v>
      </c>
      <c r="Q665" t="str" cm="1">
        <f t="array" ref="Q665">_xlfn.IFS(AND(C665="",G665=""),"",LEFT(G665,1)="L","記載要",LEFT(G665,1)="W","",AND(C665,G665=""),"記載要")</f>
        <v/>
      </c>
      <c r="R665" s="21" t="str">
        <f t="shared" si="112"/>
        <v/>
      </c>
      <c r="S665" s="21"/>
      <c r="Z665" s="8"/>
      <c r="AA665">
        <v>1</v>
      </c>
      <c r="AB665">
        <f t="shared" si="108"/>
        <v>0</v>
      </c>
      <c r="AC665">
        <v>1</v>
      </c>
      <c r="AF665">
        <v>1</v>
      </c>
      <c r="AG665" s="8"/>
      <c r="AH665" s="8"/>
      <c r="AK665" cm="1">
        <f t="array" ref="AK665">_xlfn.IFS(B665="","",LEFT(G665,1)="L",1,LEFT(G665,1)="W",1,AND(LEFT(B665,1)="H",G665=""),0)</f>
        <v>1</v>
      </c>
      <c r="AS665" t="str">
        <f t="shared" si="109"/>
        <v/>
      </c>
      <c r="AT665" t="s">
        <v>115</v>
      </c>
      <c r="AU665" t="str">
        <f t="shared" si="110"/>
        <v>0</v>
      </c>
      <c r="BD665" t="str">
        <f t="shared" si="111"/>
        <v>0</v>
      </c>
      <c r="BK665" t="str">
        <f>IFERROR(VLOOKUP(B665,'[1]model_S-フレーム'!$F$5:$R$7000,13,1),"")</f>
        <v>E389571_01</v>
      </c>
      <c r="BL665" s="7">
        <f>IFERROR(VLOOKUP(B665,'[1]model_S-フレーム'!$F$5:$V$7000,17,1),"")</f>
        <v>0</v>
      </c>
      <c r="BM665" t="str" cm="1">
        <f t="array" ref="BM665">_xlfn.IFS(LEFT(G665,1)="L","外注品",LEFT(G665,1)="W","内製品",G665="","購買品")</f>
        <v>内製品</v>
      </c>
    </row>
    <row r="666" spans="1:65">
      <c r="A666" t="str">
        <f t="shared" si="103"/>
        <v>WG01</v>
      </c>
      <c r="B666" t="s">
        <v>770</v>
      </c>
      <c r="C666" t="s">
        <v>924</v>
      </c>
      <c r="D666" s="7"/>
      <c r="E666" s="7"/>
      <c r="G666" t="s">
        <v>1939</v>
      </c>
      <c r="H666" t="str" cm="1">
        <f t="array" ref="H666">IFERROR(_xlfn.IFS(B666="","",AND(B666="",G666=""),"",G666="","記載要"),"")</f>
        <v/>
      </c>
      <c r="K666" t="str">
        <f t="shared" si="104"/>
        <v>11WP01002899</v>
      </c>
      <c r="L666" s="3" t="str">
        <f t="shared" si="105"/>
        <v>2001/01/01</v>
      </c>
      <c r="M666" s="3" t="str">
        <f t="shared" si="106"/>
        <v>2199/12/31</v>
      </c>
      <c r="N666" t="str">
        <f t="shared" si="107"/>
        <v>11WP01002899</v>
      </c>
      <c r="O666">
        <v>15</v>
      </c>
      <c r="Q666" t="str" cm="1">
        <f t="array" ref="Q666">_xlfn.IFS(AND(C666="",G666=""),"",LEFT(G666,1)="L","記載要",LEFT(G666,1)="W","",AND(C666,G666=""),"記載要")</f>
        <v/>
      </c>
      <c r="R666" s="21" t="str">
        <f t="shared" si="112"/>
        <v/>
      </c>
      <c r="S666" s="21"/>
      <c r="Z666" s="8"/>
      <c r="AA666">
        <v>1</v>
      </c>
      <c r="AB666">
        <f t="shared" si="108"/>
        <v>0</v>
      </c>
      <c r="AC666">
        <v>1</v>
      </c>
      <c r="AF666">
        <v>1</v>
      </c>
      <c r="AG666" s="8"/>
      <c r="AH666" s="8"/>
      <c r="AK666" cm="1">
        <f t="array" ref="AK666">_xlfn.IFS(B666="","",LEFT(G666,1)="L",1,LEFT(G666,1)="W",1,AND(LEFT(B666,1)="H",G666=""),0)</f>
        <v>1</v>
      </c>
      <c r="AS666" t="str">
        <f t="shared" si="109"/>
        <v/>
      </c>
      <c r="AT666" t="s">
        <v>115</v>
      </c>
      <c r="AU666" t="str">
        <f t="shared" si="110"/>
        <v>0</v>
      </c>
      <c r="BD666" t="str">
        <f t="shared" si="111"/>
        <v>0</v>
      </c>
      <c r="BK666" t="str">
        <f>IFERROR(VLOOKUP(B666,'[1]model_S-フレーム'!$F$5:$R$7000,13,1),"")</f>
        <v>E389571_01</v>
      </c>
      <c r="BL666" s="7">
        <f>IFERROR(VLOOKUP(B666,'[1]model_S-フレーム'!$F$5:$V$7000,17,1),"")</f>
        <v>0</v>
      </c>
      <c r="BM666" t="str" cm="1">
        <f t="array" ref="BM666">_xlfn.IFS(LEFT(G666,1)="L","外注品",LEFT(G666,1)="W","内製品",G666="","購買品")</f>
        <v>内製品</v>
      </c>
    </row>
    <row r="667" spans="1:65">
      <c r="A667" t="str">
        <f t="shared" si="103"/>
        <v>WG01</v>
      </c>
      <c r="B667" t="s">
        <v>771</v>
      </c>
      <c r="C667" t="s">
        <v>924</v>
      </c>
      <c r="D667" s="7"/>
      <c r="E667" s="7"/>
      <c r="G667" t="s">
        <v>1939</v>
      </c>
      <c r="H667" t="str" cm="1">
        <f t="array" ref="H667">IFERROR(_xlfn.IFS(B667="","",AND(B667="",G667=""),"",G667="","記載要"),"")</f>
        <v/>
      </c>
      <c r="K667" t="str">
        <f t="shared" si="104"/>
        <v>11WP01002900</v>
      </c>
      <c r="L667" s="3" t="str">
        <f t="shared" si="105"/>
        <v>2001/01/01</v>
      </c>
      <c r="M667" s="3" t="str">
        <f t="shared" si="106"/>
        <v>2199/12/31</v>
      </c>
      <c r="N667" t="str">
        <f t="shared" si="107"/>
        <v>11WP01002900</v>
      </c>
      <c r="O667">
        <v>15</v>
      </c>
      <c r="Q667" t="str" cm="1">
        <f t="array" ref="Q667">_xlfn.IFS(AND(C667="",G667=""),"",LEFT(G667,1)="L","記載要",LEFT(G667,1)="W","",AND(C667,G667=""),"記載要")</f>
        <v/>
      </c>
      <c r="R667" s="21" t="str">
        <f t="shared" si="112"/>
        <v/>
      </c>
      <c r="S667" s="21"/>
      <c r="Z667" s="8"/>
      <c r="AA667">
        <v>1</v>
      </c>
      <c r="AB667">
        <f t="shared" si="108"/>
        <v>0</v>
      </c>
      <c r="AC667">
        <v>1</v>
      </c>
      <c r="AF667">
        <v>1</v>
      </c>
      <c r="AG667" s="8"/>
      <c r="AH667" s="8"/>
      <c r="AK667" cm="1">
        <f t="array" ref="AK667">_xlfn.IFS(B667="","",LEFT(G667,1)="L",1,LEFT(G667,1)="W",1,AND(LEFT(B667,1)="H",G667=""),0)</f>
        <v>1</v>
      </c>
      <c r="AS667" t="str">
        <f t="shared" si="109"/>
        <v/>
      </c>
      <c r="AT667" t="s">
        <v>115</v>
      </c>
      <c r="AU667" t="str">
        <f t="shared" si="110"/>
        <v>0</v>
      </c>
      <c r="BD667" t="str">
        <f t="shared" si="111"/>
        <v>0</v>
      </c>
      <c r="BK667" t="str">
        <f>IFERROR(VLOOKUP(B667,'[1]model_S-フレーム'!$F$5:$R$7000,13,1),"")</f>
        <v>E389571_01</v>
      </c>
      <c r="BL667" s="7">
        <f>IFERROR(VLOOKUP(B667,'[1]model_S-フレーム'!$F$5:$V$7000,17,1),"")</f>
        <v>0</v>
      </c>
      <c r="BM667" t="str" cm="1">
        <f t="array" ref="BM667">_xlfn.IFS(LEFT(G667,1)="L","外注品",LEFT(G667,1)="W","内製品",G667="","購買品")</f>
        <v>内製品</v>
      </c>
    </row>
    <row r="668" spans="1:65">
      <c r="A668" t="str">
        <f t="shared" si="103"/>
        <v>WG01</v>
      </c>
      <c r="B668" t="s">
        <v>772</v>
      </c>
      <c r="C668" t="s">
        <v>924</v>
      </c>
      <c r="D668" s="7"/>
      <c r="E668" s="7"/>
      <c r="G668" t="s">
        <v>1939</v>
      </c>
      <c r="H668" t="str" cm="1">
        <f t="array" ref="H668">IFERROR(_xlfn.IFS(B668="","",AND(B668="",G668=""),"",G668="","記載要"),"")</f>
        <v/>
      </c>
      <c r="K668" t="str">
        <f t="shared" si="104"/>
        <v>11WP01002901</v>
      </c>
      <c r="L668" s="3" t="str">
        <f t="shared" si="105"/>
        <v>2001/01/01</v>
      </c>
      <c r="M668" s="3" t="str">
        <f t="shared" si="106"/>
        <v>2199/12/31</v>
      </c>
      <c r="N668" t="str">
        <f t="shared" si="107"/>
        <v>11WP01002901</v>
      </c>
      <c r="O668">
        <v>15</v>
      </c>
      <c r="Q668" t="str" cm="1">
        <f t="array" ref="Q668">_xlfn.IFS(AND(C668="",G668=""),"",LEFT(G668,1)="L","記載要",LEFT(G668,1)="W","",AND(C668,G668=""),"記載要")</f>
        <v/>
      </c>
      <c r="R668" s="21" t="str">
        <f t="shared" si="112"/>
        <v/>
      </c>
      <c r="S668" s="21"/>
      <c r="Z668" s="8"/>
      <c r="AA668">
        <v>1</v>
      </c>
      <c r="AB668">
        <f t="shared" si="108"/>
        <v>0</v>
      </c>
      <c r="AC668">
        <v>1</v>
      </c>
      <c r="AF668">
        <v>1</v>
      </c>
      <c r="AG668" s="8"/>
      <c r="AH668" s="8"/>
      <c r="AK668" cm="1">
        <f t="array" ref="AK668">_xlfn.IFS(B668="","",LEFT(G668,1)="L",1,LEFT(G668,1)="W",1,AND(LEFT(B668,1)="H",G668=""),0)</f>
        <v>1</v>
      </c>
      <c r="AS668" t="str">
        <f t="shared" si="109"/>
        <v/>
      </c>
      <c r="AT668" t="s">
        <v>115</v>
      </c>
      <c r="AU668" t="str">
        <f t="shared" si="110"/>
        <v>0</v>
      </c>
      <c r="BD668" t="str">
        <f t="shared" si="111"/>
        <v>0</v>
      </c>
      <c r="BK668" t="str">
        <f>IFERROR(VLOOKUP(B668,'[1]model_S-フレーム'!$F$5:$R$7000,13,1),"")</f>
        <v>E389571_01</v>
      </c>
      <c r="BL668" s="7">
        <f>IFERROR(VLOOKUP(B668,'[1]model_S-フレーム'!$F$5:$V$7000,17,1),"")</f>
        <v>0</v>
      </c>
      <c r="BM668" t="str" cm="1">
        <f t="array" ref="BM668">_xlfn.IFS(LEFT(G668,1)="L","外注品",LEFT(G668,1)="W","内製品",G668="","購買品")</f>
        <v>内製品</v>
      </c>
    </row>
    <row r="669" spans="1:65">
      <c r="A669" t="str">
        <f t="shared" si="103"/>
        <v>WG01</v>
      </c>
      <c r="B669" t="s">
        <v>773</v>
      </c>
      <c r="C669" t="s">
        <v>924</v>
      </c>
      <c r="D669" s="7"/>
      <c r="E669" s="7"/>
      <c r="G669" t="s">
        <v>1939</v>
      </c>
      <c r="H669" t="str" cm="1">
        <f t="array" ref="H669">IFERROR(_xlfn.IFS(B669="","",AND(B669="",G669=""),"",G669="","記載要"),"")</f>
        <v/>
      </c>
      <c r="K669" t="str">
        <f t="shared" si="104"/>
        <v>11WP01002902</v>
      </c>
      <c r="L669" s="3" t="str">
        <f t="shared" si="105"/>
        <v>2001/01/01</v>
      </c>
      <c r="M669" s="3" t="str">
        <f t="shared" si="106"/>
        <v>2199/12/31</v>
      </c>
      <c r="N669" t="str">
        <f t="shared" si="107"/>
        <v>11WP01002902</v>
      </c>
      <c r="O669">
        <v>15</v>
      </c>
      <c r="Q669" t="str" cm="1">
        <f t="array" ref="Q669">_xlfn.IFS(AND(C669="",G669=""),"",LEFT(G669,1)="L","記載要",LEFT(G669,1)="W","",AND(C669,G669=""),"記載要")</f>
        <v/>
      </c>
      <c r="R669" s="21" t="str">
        <f t="shared" si="112"/>
        <v/>
      </c>
      <c r="S669" s="21"/>
      <c r="Z669" s="8"/>
      <c r="AA669">
        <v>1</v>
      </c>
      <c r="AB669">
        <f t="shared" si="108"/>
        <v>0</v>
      </c>
      <c r="AC669">
        <v>1</v>
      </c>
      <c r="AF669">
        <v>1</v>
      </c>
      <c r="AG669" s="8"/>
      <c r="AH669" s="8"/>
      <c r="AK669" cm="1">
        <f t="array" ref="AK669">_xlfn.IFS(B669="","",LEFT(G669,1)="L",1,LEFT(G669,1)="W",1,AND(LEFT(B669,1)="H",G669=""),0)</f>
        <v>1</v>
      </c>
      <c r="AS669" t="str">
        <f t="shared" si="109"/>
        <v/>
      </c>
      <c r="AT669" t="s">
        <v>115</v>
      </c>
      <c r="AU669" t="str">
        <f t="shared" si="110"/>
        <v>0</v>
      </c>
      <c r="BD669" t="str">
        <f t="shared" si="111"/>
        <v>0</v>
      </c>
      <c r="BK669" t="str">
        <f>IFERROR(VLOOKUP(B669,'[1]model_S-フレーム'!$F$5:$R$7000,13,1),"")</f>
        <v>E389571_01</v>
      </c>
      <c r="BL669" s="7">
        <f>IFERROR(VLOOKUP(B669,'[1]model_S-フレーム'!$F$5:$V$7000,17,1),"")</f>
        <v>0</v>
      </c>
      <c r="BM669" t="str" cm="1">
        <f t="array" ref="BM669">_xlfn.IFS(LEFT(G669,1)="L","外注品",LEFT(G669,1)="W","内製品",G669="","購買品")</f>
        <v>内製品</v>
      </c>
    </row>
    <row r="670" spans="1:65">
      <c r="A670" t="str">
        <f t="shared" si="103"/>
        <v>WG01</v>
      </c>
      <c r="B670" t="s">
        <v>774</v>
      </c>
      <c r="C670" t="s">
        <v>924</v>
      </c>
      <c r="D670" s="7"/>
      <c r="E670" s="7"/>
      <c r="G670" t="s">
        <v>1939</v>
      </c>
      <c r="H670" t="str" cm="1">
        <f t="array" ref="H670">IFERROR(_xlfn.IFS(B670="","",AND(B670="",G670=""),"",G670="","記載要"),"")</f>
        <v/>
      </c>
      <c r="K670" t="str">
        <f t="shared" si="104"/>
        <v>11WP01002903</v>
      </c>
      <c r="L670" s="3" t="str">
        <f t="shared" si="105"/>
        <v>2001/01/01</v>
      </c>
      <c r="M670" s="3" t="str">
        <f t="shared" si="106"/>
        <v>2199/12/31</v>
      </c>
      <c r="N670" t="str">
        <f t="shared" si="107"/>
        <v>11WP01002903</v>
      </c>
      <c r="O670">
        <v>15</v>
      </c>
      <c r="Q670" t="str" cm="1">
        <f t="array" ref="Q670">_xlfn.IFS(AND(C670="",G670=""),"",LEFT(G670,1)="L","記載要",LEFT(G670,1)="W","",AND(C670,G670=""),"記載要")</f>
        <v/>
      </c>
      <c r="R670" s="21" t="str">
        <f t="shared" si="112"/>
        <v/>
      </c>
      <c r="S670" s="21"/>
      <c r="Z670" s="8"/>
      <c r="AA670">
        <v>1</v>
      </c>
      <c r="AB670">
        <f t="shared" si="108"/>
        <v>0</v>
      </c>
      <c r="AC670">
        <v>1</v>
      </c>
      <c r="AF670">
        <v>1</v>
      </c>
      <c r="AG670" s="8"/>
      <c r="AH670" s="8"/>
      <c r="AK670" cm="1">
        <f t="array" ref="AK670">_xlfn.IFS(B670="","",LEFT(G670,1)="L",1,LEFT(G670,1)="W",1,AND(LEFT(B670,1)="H",G670=""),0)</f>
        <v>1</v>
      </c>
      <c r="AS670" t="str">
        <f t="shared" si="109"/>
        <v/>
      </c>
      <c r="AT670" t="s">
        <v>115</v>
      </c>
      <c r="AU670" t="str">
        <f t="shared" si="110"/>
        <v>0</v>
      </c>
      <c r="BD670" t="str">
        <f t="shared" si="111"/>
        <v>0</v>
      </c>
      <c r="BK670" t="str">
        <f>IFERROR(VLOOKUP(B670,'[1]model_S-フレーム'!$F$5:$R$7000,13,1),"")</f>
        <v>E389571_01</v>
      </c>
      <c r="BL670" s="7">
        <f>IFERROR(VLOOKUP(B670,'[1]model_S-フレーム'!$F$5:$V$7000,17,1),"")</f>
        <v>0</v>
      </c>
      <c r="BM670" t="str" cm="1">
        <f t="array" ref="BM670">_xlfn.IFS(LEFT(G670,1)="L","外注品",LEFT(G670,1)="W","内製品",G670="","購買品")</f>
        <v>内製品</v>
      </c>
    </row>
    <row r="671" spans="1:65">
      <c r="A671" t="str">
        <f t="shared" si="103"/>
        <v>WG01</v>
      </c>
      <c r="B671" t="s">
        <v>775</v>
      </c>
      <c r="C671" t="s">
        <v>924</v>
      </c>
      <c r="D671" s="7"/>
      <c r="E671" s="7"/>
      <c r="G671" t="s">
        <v>1939</v>
      </c>
      <c r="H671" t="str" cm="1">
        <f t="array" ref="H671">IFERROR(_xlfn.IFS(B671="","",AND(B671="",G671=""),"",G671="","記載要"),"")</f>
        <v/>
      </c>
      <c r="K671" t="str">
        <f t="shared" si="104"/>
        <v>11WP01002904</v>
      </c>
      <c r="L671" s="3" t="str">
        <f t="shared" si="105"/>
        <v>2001/01/01</v>
      </c>
      <c r="M671" s="3" t="str">
        <f t="shared" si="106"/>
        <v>2199/12/31</v>
      </c>
      <c r="N671" t="str">
        <f t="shared" si="107"/>
        <v>11WP01002904</v>
      </c>
      <c r="O671">
        <v>15</v>
      </c>
      <c r="Q671" t="str" cm="1">
        <f t="array" ref="Q671">_xlfn.IFS(AND(C671="",G671=""),"",LEFT(G671,1)="L","記載要",LEFT(G671,1)="W","",AND(C671,G671=""),"記載要")</f>
        <v/>
      </c>
      <c r="R671" s="21" t="str">
        <f t="shared" si="112"/>
        <v/>
      </c>
      <c r="S671" s="21"/>
      <c r="Z671" s="8"/>
      <c r="AA671">
        <v>1</v>
      </c>
      <c r="AB671">
        <f t="shared" si="108"/>
        <v>0</v>
      </c>
      <c r="AC671">
        <v>1</v>
      </c>
      <c r="AF671">
        <v>1</v>
      </c>
      <c r="AG671" s="8"/>
      <c r="AH671" s="8"/>
      <c r="AK671" cm="1">
        <f t="array" ref="AK671">_xlfn.IFS(B671="","",LEFT(G671,1)="L",1,LEFT(G671,1)="W",1,AND(LEFT(B671,1)="H",G671=""),0)</f>
        <v>1</v>
      </c>
      <c r="AS671" t="str">
        <f t="shared" si="109"/>
        <v/>
      </c>
      <c r="AT671" t="s">
        <v>115</v>
      </c>
      <c r="AU671" t="str">
        <f t="shared" si="110"/>
        <v>0</v>
      </c>
      <c r="BD671" t="str">
        <f t="shared" si="111"/>
        <v>0</v>
      </c>
      <c r="BK671" t="str">
        <f>IFERROR(VLOOKUP(B671,'[1]model_S-フレーム'!$F$5:$R$7000,13,1),"")</f>
        <v>E389571_01</v>
      </c>
      <c r="BL671" s="7">
        <f>IFERROR(VLOOKUP(B671,'[1]model_S-フレーム'!$F$5:$V$7000,17,1),"")</f>
        <v>0</v>
      </c>
      <c r="BM671" t="str" cm="1">
        <f t="array" ref="BM671">_xlfn.IFS(LEFT(G671,1)="L","外注品",LEFT(G671,1)="W","内製品",G671="","購買品")</f>
        <v>内製品</v>
      </c>
    </row>
    <row r="672" spans="1:65">
      <c r="A672" t="str">
        <f t="shared" si="103"/>
        <v>WG01</v>
      </c>
      <c r="B672" t="s">
        <v>776</v>
      </c>
      <c r="C672" t="s">
        <v>924</v>
      </c>
      <c r="D672" s="7"/>
      <c r="E672" s="7"/>
      <c r="G672" t="s">
        <v>1939</v>
      </c>
      <c r="H672" t="str" cm="1">
        <f t="array" ref="H672">IFERROR(_xlfn.IFS(B672="","",AND(B672="",G672=""),"",G672="","記載要"),"")</f>
        <v/>
      </c>
      <c r="K672" t="str">
        <f t="shared" si="104"/>
        <v>11WP01002905</v>
      </c>
      <c r="L672" s="3" t="str">
        <f t="shared" si="105"/>
        <v>2001/01/01</v>
      </c>
      <c r="M672" s="3" t="str">
        <f t="shared" si="106"/>
        <v>2199/12/31</v>
      </c>
      <c r="N672" t="str">
        <f t="shared" si="107"/>
        <v>11WP01002905</v>
      </c>
      <c r="O672">
        <v>15</v>
      </c>
      <c r="Q672" t="str" cm="1">
        <f t="array" ref="Q672">_xlfn.IFS(AND(C672="",G672=""),"",LEFT(G672,1)="L","記載要",LEFT(G672,1)="W","",AND(C672,G672=""),"記載要")</f>
        <v/>
      </c>
      <c r="R672" s="21" t="str">
        <f t="shared" si="112"/>
        <v/>
      </c>
      <c r="S672" s="21"/>
      <c r="Z672" s="8"/>
      <c r="AA672">
        <v>1</v>
      </c>
      <c r="AB672">
        <f t="shared" si="108"/>
        <v>0</v>
      </c>
      <c r="AC672">
        <v>1</v>
      </c>
      <c r="AF672">
        <v>1</v>
      </c>
      <c r="AG672" s="8"/>
      <c r="AH672" s="8"/>
      <c r="AK672" cm="1">
        <f t="array" ref="AK672">_xlfn.IFS(B672="","",LEFT(G672,1)="L",1,LEFT(G672,1)="W",1,AND(LEFT(B672,1)="H",G672=""),0)</f>
        <v>1</v>
      </c>
      <c r="AS672" t="str">
        <f t="shared" si="109"/>
        <v/>
      </c>
      <c r="AT672" t="s">
        <v>115</v>
      </c>
      <c r="AU672" t="str">
        <f t="shared" si="110"/>
        <v>0</v>
      </c>
      <c r="BD672" t="str">
        <f t="shared" si="111"/>
        <v>0</v>
      </c>
      <c r="BK672" t="str">
        <f>IFERROR(VLOOKUP(B672,'[1]model_S-フレーム'!$F$5:$R$7000,13,1),"")</f>
        <v>E389571_01</v>
      </c>
      <c r="BL672" s="7">
        <f>IFERROR(VLOOKUP(B672,'[1]model_S-フレーム'!$F$5:$V$7000,17,1),"")</f>
        <v>0</v>
      </c>
      <c r="BM672" t="str" cm="1">
        <f t="array" ref="BM672">_xlfn.IFS(LEFT(G672,1)="L","外注品",LEFT(G672,1)="W","内製品",G672="","購買品")</f>
        <v>内製品</v>
      </c>
    </row>
    <row r="673" spans="1:65">
      <c r="A673" t="str">
        <f t="shared" si="103"/>
        <v>WG01</v>
      </c>
      <c r="B673" t="s">
        <v>777</v>
      </c>
      <c r="C673" t="s">
        <v>924</v>
      </c>
      <c r="D673" s="7"/>
      <c r="E673" s="7"/>
      <c r="G673" t="s">
        <v>1939</v>
      </c>
      <c r="H673" t="str" cm="1">
        <f t="array" ref="H673">IFERROR(_xlfn.IFS(B673="","",AND(B673="",G673=""),"",G673="","記載要"),"")</f>
        <v/>
      </c>
      <c r="K673" t="str">
        <f t="shared" si="104"/>
        <v>11WP01002906</v>
      </c>
      <c r="L673" s="3" t="str">
        <f t="shared" si="105"/>
        <v>2001/01/01</v>
      </c>
      <c r="M673" s="3" t="str">
        <f t="shared" si="106"/>
        <v>2199/12/31</v>
      </c>
      <c r="N673" t="str">
        <f t="shared" si="107"/>
        <v>11WP01002906</v>
      </c>
      <c r="O673">
        <v>15</v>
      </c>
      <c r="Q673" t="str" cm="1">
        <f t="array" ref="Q673">_xlfn.IFS(AND(C673="",G673=""),"",LEFT(G673,1)="L","記載要",LEFT(G673,1)="W","",AND(C673,G673=""),"記載要")</f>
        <v/>
      </c>
      <c r="R673" s="21" t="str">
        <f t="shared" si="112"/>
        <v/>
      </c>
      <c r="S673" s="21"/>
      <c r="Z673" s="8"/>
      <c r="AA673">
        <v>1</v>
      </c>
      <c r="AB673">
        <f t="shared" si="108"/>
        <v>0</v>
      </c>
      <c r="AC673">
        <v>1</v>
      </c>
      <c r="AF673">
        <v>1</v>
      </c>
      <c r="AG673" s="8"/>
      <c r="AH673" s="8"/>
      <c r="AK673" cm="1">
        <f t="array" ref="AK673">_xlfn.IFS(B673="","",LEFT(G673,1)="L",1,LEFT(G673,1)="W",1,AND(LEFT(B673,1)="H",G673=""),0)</f>
        <v>1</v>
      </c>
      <c r="AS673" t="str">
        <f t="shared" si="109"/>
        <v/>
      </c>
      <c r="AT673" t="s">
        <v>115</v>
      </c>
      <c r="AU673" t="str">
        <f t="shared" si="110"/>
        <v>0</v>
      </c>
      <c r="BD673" t="str">
        <f t="shared" si="111"/>
        <v>0</v>
      </c>
      <c r="BK673" t="str">
        <f>IFERROR(VLOOKUP(B673,'[1]model_S-フレーム'!$F$5:$R$7000,13,1),"")</f>
        <v>E389571_01</v>
      </c>
      <c r="BL673" s="7">
        <f>IFERROR(VLOOKUP(B673,'[1]model_S-フレーム'!$F$5:$V$7000,17,1),"")</f>
        <v>0</v>
      </c>
      <c r="BM673" t="str" cm="1">
        <f t="array" ref="BM673">_xlfn.IFS(LEFT(G673,1)="L","外注品",LEFT(G673,1)="W","内製品",G673="","購買品")</f>
        <v>内製品</v>
      </c>
    </row>
    <row r="674" spans="1:65">
      <c r="A674" t="str">
        <f t="shared" si="103"/>
        <v>WG01</v>
      </c>
      <c r="B674" t="s">
        <v>778</v>
      </c>
      <c r="C674" t="s">
        <v>924</v>
      </c>
      <c r="D674" s="7"/>
      <c r="E674" s="7"/>
      <c r="G674" t="s">
        <v>1939</v>
      </c>
      <c r="H674" t="str" cm="1">
        <f t="array" ref="H674">IFERROR(_xlfn.IFS(B674="","",AND(B674="",G674=""),"",G674="","記載要"),"")</f>
        <v/>
      </c>
      <c r="K674" t="str">
        <f t="shared" si="104"/>
        <v>11WP01002907</v>
      </c>
      <c r="L674" s="3" t="str">
        <f t="shared" si="105"/>
        <v>2001/01/01</v>
      </c>
      <c r="M674" s="3" t="str">
        <f t="shared" si="106"/>
        <v>2199/12/31</v>
      </c>
      <c r="N674" t="str">
        <f t="shared" si="107"/>
        <v>11WP01002907</v>
      </c>
      <c r="O674">
        <v>15</v>
      </c>
      <c r="Q674" t="str" cm="1">
        <f t="array" ref="Q674">_xlfn.IFS(AND(C674="",G674=""),"",LEFT(G674,1)="L","記載要",LEFT(G674,1)="W","",AND(C674,G674=""),"記載要")</f>
        <v/>
      </c>
      <c r="R674" s="21" t="str">
        <f t="shared" si="112"/>
        <v/>
      </c>
      <c r="S674" s="21"/>
      <c r="Z674" s="8"/>
      <c r="AA674">
        <v>1</v>
      </c>
      <c r="AB674">
        <f t="shared" si="108"/>
        <v>0</v>
      </c>
      <c r="AC674">
        <v>1</v>
      </c>
      <c r="AF674">
        <v>1</v>
      </c>
      <c r="AG674" s="8"/>
      <c r="AH674" s="8"/>
      <c r="AK674" cm="1">
        <f t="array" ref="AK674">_xlfn.IFS(B674="","",LEFT(G674,1)="L",1,LEFT(G674,1)="W",1,AND(LEFT(B674,1)="H",G674=""),0)</f>
        <v>1</v>
      </c>
      <c r="AS674" t="str">
        <f t="shared" si="109"/>
        <v/>
      </c>
      <c r="AT674" t="s">
        <v>115</v>
      </c>
      <c r="AU674" t="str">
        <f t="shared" si="110"/>
        <v>0</v>
      </c>
      <c r="BD674" t="str">
        <f t="shared" si="111"/>
        <v>0</v>
      </c>
      <c r="BK674" t="str">
        <f>IFERROR(VLOOKUP(B674,'[1]model_S-フレーム'!$F$5:$R$7000,13,1),"")</f>
        <v>E389571_01</v>
      </c>
      <c r="BL674" s="7">
        <f>IFERROR(VLOOKUP(B674,'[1]model_S-フレーム'!$F$5:$V$7000,17,1),"")</f>
        <v>0</v>
      </c>
      <c r="BM674" t="str" cm="1">
        <f t="array" ref="BM674">_xlfn.IFS(LEFT(G674,1)="L","外注品",LEFT(G674,1)="W","内製品",G674="","購買品")</f>
        <v>内製品</v>
      </c>
    </row>
    <row r="675" spans="1:65">
      <c r="A675" t="str">
        <f t="shared" si="103"/>
        <v>WG01</v>
      </c>
      <c r="B675" t="s">
        <v>779</v>
      </c>
      <c r="C675" t="s">
        <v>924</v>
      </c>
      <c r="D675" s="7"/>
      <c r="E675" s="7"/>
      <c r="G675" t="s">
        <v>1939</v>
      </c>
      <c r="H675" t="str" cm="1">
        <f t="array" ref="H675">IFERROR(_xlfn.IFS(B675="","",AND(B675="",G675=""),"",G675="","記載要"),"")</f>
        <v/>
      </c>
      <c r="K675" t="str">
        <f t="shared" si="104"/>
        <v>11WP01002908</v>
      </c>
      <c r="L675" s="3" t="str">
        <f t="shared" si="105"/>
        <v>2001/01/01</v>
      </c>
      <c r="M675" s="3" t="str">
        <f t="shared" si="106"/>
        <v>2199/12/31</v>
      </c>
      <c r="N675" t="str">
        <f t="shared" si="107"/>
        <v>11WP01002908</v>
      </c>
      <c r="O675">
        <v>15</v>
      </c>
      <c r="Q675" t="str" cm="1">
        <f t="array" ref="Q675">_xlfn.IFS(AND(C675="",G675=""),"",LEFT(G675,1)="L","記載要",LEFT(G675,1)="W","",AND(C675,G675=""),"記載要")</f>
        <v/>
      </c>
      <c r="R675" s="21" t="str">
        <f t="shared" si="112"/>
        <v/>
      </c>
      <c r="S675" s="21"/>
      <c r="Z675" s="8"/>
      <c r="AA675">
        <v>1</v>
      </c>
      <c r="AB675">
        <f t="shared" si="108"/>
        <v>0</v>
      </c>
      <c r="AC675">
        <v>1</v>
      </c>
      <c r="AF675">
        <v>1</v>
      </c>
      <c r="AG675" s="8"/>
      <c r="AH675" s="8"/>
      <c r="AK675" cm="1">
        <f t="array" ref="AK675">_xlfn.IFS(B675="","",LEFT(G675,1)="L",1,LEFT(G675,1)="W",1,AND(LEFT(B675,1)="H",G675=""),0)</f>
        <v>1</v>
      </c>
      <c r="AS675" t="str">
        <f t="shared" si="109"/>
        <v/>
      </c>
      <c r="AT675" t="s">
        <v>115</v>
      </c>
      <c r="AU675" t="str">
        <f t="shared" si="110"/>
        <v>0</v>
      </c>
      <c r="BD675" t="str">
        <f t="shared" si="111"/>
        <v>0</v>
      </c>
      <c r="BK675" t="str">
        <f>IFERROR(VLOOKUP(B675,'[1]model_S-フレーム'!$F$5:$R$7000,13,1),"")</f>
        <v>E389571_01</v>
      </c>
      <c r="BL675" s="7">
        <f>IFERROR(VLOOKUP(B675,'[1]model_S-フレーム'!$F$5:$V$7000,17,1),"")</f>
        <v>0</v>
      </c>
      <c r="BM675" t="str" cm="1">
        <f t="array" ref="BM675">_xlfn.IFS(LEFT(G675,1)="L","外注品",LEFT(G675,1)="W","内製品",G675="","購買品")</f>
        <v>内製品</v>
      </c>
    </row>
    <row r="676" spans="1:65">
      <c r="A676" t="str">
        <f t="shared" si="103"/>
        <v>WG01</v>
      </c>
      <c r="B676" t="s">
        <v>780</v>
      </c>
      <c r="C676" t="s">
        <v>924</v>
      </c>
      <c r="D676" s="7"/>
      <c r="E676" s="7"/>
      <c r="G676" t="s">
        <v>1939</v>
      </c>
      <c r="H676" t="str" cm="1">
        <f t="array" ref="H676">IFERROR(_xlfn.IFS(B676="","",AND(B676="",G676=""),"",G676="","記載要"),"")</f>
        <v/>
      </c>
      <c r="K676" t="str">
        <f t="shared" si="104"/>
        <v>11WP01002909</v>
      </c>
      <c r="L676" s="3" t="str">
        <f t="shared" si="105"/>
        <v>2001/01/01</v>
      </c>
      <c r="M676" s="3" t="str">
        <f t="shared" si="106"/>
        <v>2199/12/31</v>
      </c>
      <c r="N676" t="str">
        <f t="shared" si="107"/>
        <v>11WP01002909</v>
      </c>
      <c r="O676">
        <v>15</v>
      </c>
      <c r="Q676" t="str" cm="1">
        <f t="array" ref="Q676">_xlfn.IFS(AND(C676="",G676=""),"",LEFT(G676,1)="L","記載要",LEFT(G676,1)="W","",AND(C676,G676=""),"記載要")</f>
        <v/>
      </c>
      <c r="R676" s="21" t="str">
        <f t="shared" si="112"/>
        <v/>
      </c>
      <c r="S676" s="21"/>
      <c r="Z676" s="8"/>
      <c r="AA676">
        <v>1</v>
      </c>
      <c r="AB676">
        <f t="shared" si="108"/>
        <v>0</v>
      </c>
      <c r="AC676">
        <v>1</v>
      </c>
      <c r="AF676">
        <v>1</v>
      </c>
      <c r="AG676" s="8"/>
      <c r="AH676" s="8"/>
      <c r="AK676" cm="1">
        <f t="array" ref="AK676">_xlfn.IFS(B676="","",LEFT(G676,1)="L",1,LEFT(G676,1)="W",1,AND(LEFT(B676,1)="H",G676=""),0)</f>
        <v>1</v>
      </c>
      <c r="AS676" t="str">
        <f t="shared" si="109"/>
        <v/>
      </c>
      <c r="AT676" t="s">
        <v>115</v>
      </c>
      <c r="AU676" t="str">
        <f t="shared" si="110"/>
        <v>0</v>
      </c>
      <c r="BD676" t="str">
        <f t="shared" si="111"/>
        <v>0</v>
      </c>
      <c r="BK676" t="str">
        <f>IFERROR(VLOOKUP(B676,'[1]model_S-フレーム'!$F$5:$R$7000,13,1),"")</f>
        <v>E389571_01</v>
      </c>
      <c r="BL676" s="7">
        <f>IFERROR(VLOOKUP(B676,'[1]model_S-フレーム'!$F$5:$V$7000,17,1),"")</f>
        <v>0</v>
      </c>
      <c r="BM676" t="str" cm="1">
        <f t="array" ref="BM676">_xlfn.IFS(LEFT(G676,1)="L","外注品",LEFT(G676,1)="W","内製品",G676="","購買品")</f>
        <v>内製品</v>
      </c>
    </row>
    <row r="677" spans="1:65">
      <c r="A677" t="str">
        <f t="shared" si="103"/>
        <v>WG01</v>
      </c>
      <c r="B677" t="s">
        <v>781</v>
      </c>
      <c r="C677" t="s">
        <v>924</v>
      </c>
      <c r="D677" s="7"/>
      <c r="E677" s="7"/>
      <c r="G677" t="s">
        <v>1939</v>
      </c>
      <c r="H677" t="str" cm="1">
        <f t="array" ref="H677">IFERROR(_xlfn.IFS(B677="","",AND(B677="",G677=""),"",G677="","記載要"),"")</f>
        <v/>
      </c>
      <c r="K677" t="str">
        <f t="shared" si="104"/>
        <v>11WP01002910</v>
      </c>
      <c r="L677" s="3" t="str">
        <f t="shared" si="105"/>
        <v>2001/01/01</v>
      </c>
      <c r="M677" s="3" t="str">
        <f t="shared" si="106"/>
        <v>2199/12/31</v>
      </c>
      <c r="N677" t="str">
        <f t="shared" si="107"/>
        <v>11WP01002910</v>
      </c>
      <c r="O677">
        <v>15</v>
      </c>
      <c r="Q677" t="str" cm="1">
        <f t="array" ref="Q677">_xlfn.IFS(AND(C677="",G677=""),"",LEFT(G677,1)="L","記載要",LEFT(G677,1)="W","",AND(C677,G677=""),"記載要")</f>
        <v/>
      </c>
      <c r="R677" s="21" t="str">
        <f t="shared" si="112"/>
        <v/>
      </c>
      <c r="S677" s="21"/>
      <c r="Z677" s="8"/>
      <c r="AA677">
        <v>1</v>
      </c>
      <c r="AB677">
        <f t="shared" si="108"/>
        <v>0</v>
      </c>
      <c r="AC677">
        <v>1</v>
      </c>
      <c r="AF677">
        <v>1</v>
      </c>
      <c r="AG677" s="8"/>
      <c r="AH677" s="8"/>
      <c r="AK677" cm="1">
        <f t="array" ref="AK677">_xlfn.IFS(B677="","",LEFT(G677,1)="L",1,LEFT(G677,1)="W",1,AND(LEFT(B677,1)="H",G677=""),0)</f>
        <v>1</v>
      </c>
      <c r="AS677" t="str">
        <f t="shared" si="109"/>
        <v/>
      </c>
      <c r="AT677" t="s">
        <v>115</v>
      </c>
      <c r="AU677" t="str">
        <f t="shared" si="110"/>
        <v>0</v>
      </c>
      <c r="BD677" t="str">
        <f t="shared" si="111"/>
        <v>0</v>
      </c>
      <c r="BK677" t="str">
        <f>IFERROR(VLOOKUP(B677,'[1]model_S-フレーム'!$F$5:$R$7000,13,1),"")</f>
        <v>E389571_01</v>
      </c>
      <c r="BL677" s="7">
        <f>IFERROR(VLOOKUP(B677,'[1]model_S-フレーム'!$F$5:$V$7000,17,1),"")</f>
        <v>0</v>
      </c>
      <c r="BM677" t="str" cm="1">
        <f t="array" ref="BM677">_xlfn.IFS(LEFT(G677,1)="L","外注品",LEFT(G677,1)="W","内製品",G677="","購買品")</f>
        <v>内製品</v>
      </c>
    </row>
    <row r="678" spans="1:65">
      <c r="A678" t="str">
        <f t="shared" si="103"/>
        <v>WG01</v>
      </c>
      <c r="B678" t="s">
        <v>782</v>
      </c>
      <c r="C678" t="s">
        <v>924</v>
      </c>
      <c r="D678" s="7"/>
      <c r="E678" s="7"/>
      <c r="G678" t="s">
        <v>1939</v>
      </c>
      <c r="H678" t="str" cm="1">
        <f t="array" ref="H678">IFERROR(_xlfn.IFS(B678="","",AND(B678="",G678=""),"",G678="","記載要"),"")</f>
        <v/>
      </c>
      <c r="K678" t="str">
        <f t="shared" si="104"/>
        <v>11WP01002911</v>
      </c>
      <c r="L678" s="3" t="str">
        <f t="shared" si="105"/>
        <v>2001/01/01</v>
      </c>
      <c r="M678" s="3" t="str">
        <f t="shared" si="106"/>
        <v>2199/12/31</v>
      </c>
      <c r="N678" t="str">
        <f t="shared" si="107"/>
        <v>11WP01002911</v>
      </c>
      <c r="O678">
        <v>15</v>
      </c>
      <c r="Q678" t="str" cm="1">
        <f t="array" ref="Q678">_xlfn.IFS(AND(C678="",G678=""),"",LEFT(G678,1)="L","記載要",LEFT(G678,1)="W","",AND(C678,G678=""),"記載要")</f>
        <v/>
      </c>
      <c r="R678" s="21" t="str">
        <f t="shared" si="112"/>
        <v/>
      </c>
      <c r="S678" s="21"/>
      <c r="Z678" s="8"/>
      <c r="AA678">
        <v>1</v>
      </c>
      <c r="AB678">
        <f t="shared" si="108"/>
        <v>0</v>
      </c>
      <c r="AC678">
        <v>1</v>
      </c>
      <c r="AF678">
        <v>1</v>
      </c>
      <c r="AG678" s="8"/>
      <c r="AH678" s="8"/>
      <c r="AK678" cm="1">
        <f t="array" ref="AK678">_xlfn.IFS(B678="","",LEFT(G678,1)="L",1,LEFT(G678,1)="W",1,AND(LEFT(B678,1)="H",G678=""),0)</f>
        <v>1</v>
      </c>
      <c r="AS678" t="str">
        <f t="shared" si="109"/>
        <v/>
      </c>
      <c r="AT678" t="s">
        <v>115</v>
      </c>
      <c r="AU678" t="str">
        <f t="shared" si="110"/>
        <v>0</v>
      </c>
      <c r="BD678" t="str">
        <f t="shared" si="111"/>
        <v>0</v>
      </c>
      <c r="BK678" t="str">
        <f>IFERROR(VLOOKUP(B678,'[1]model_S-フレーム'!$F$5:$R$7000,13,1),"")</f>
        <v>E389571_01</v>
      </c>
      <c r="BL678" s="7">
        <f>IFERROR(VLOOKUP(B678,'[1]model_S-フレーム'!$F$5:$V$7000,17,1),"")</f>
        <v>0</v>
      </c>
      <c r="BM678" t="str" cm="1">
        <f t="array" ref="BM678">_xlfn.IFS(LEFT(G678,1)="L","外注品",LEFT(G678,1)="W","内製品",G678="","購買品")</f>
        <v>内製品</v>
      </c>
    </row>
    <row r="679" spans="1:65">
      <c r="A679" t="str">
        <f t="shared" si="103"/>
        <v>WG01</v>
      </c>
      <c r="B679" t="s">
        <v>783</v>
      </c>
      <c r="C679" t="s">
        <v>924</v>
      </c>
      <c r="D679" s="7"/>
      <c r="E679" s="7"/>
      <c r="G679" t="s">
        <v>1939</v>
      </c>
      <c r="H679" t="str" cm="1">
        <f t="array" ref="H679">IFERROR(_xlfn.IFS(B679="","",AND(B679="",G679=""),"",G679="","記載要"),"")</f>
        <v/>
      </c>
      <c r="K679" t="str">
        <f t="shared" si="104"/>
        <v>11WP01002912</v>
      </c>
      <c r="L679" s="3" t="str">
        <f t="shared" si="105"/>
        <v>2001/01/01</v>
      </c>
      <c r="M679" s="3" t="str">
        <f t="shared" si="106"/>
        <v>2199/12/31</v>
      </c>
      <c r="N679" t="str">
        <f t="shared" si="107"/>
        <v>11WP01002912</v>
      </c>
      <c r="O679">
        <v>15</v>
      </c>
      <c r="Q679" t="str" cm="1">
        <f t="array" ref="Q679">_xlfn.IFS(AND(C679="",G679=""),"",LEFT(G679,1)="L","記載要",LEFT(G679,1)="W","",AND(C679,G679=""),"記載要")</f>
        <v/>
      </c>
      <c r="R679" s="21" t="str">
        <f t="shared" si="112"/>
        <v/>
      </c>
      <c r="S679" s="21"/>
      <c r="Z679" s="8"/>
      <c r="AA679">
        <v>1</v>
      </c>
      <c r="AB679">
        <f t="shared" si="108"/>
        <v>0</v>
      </c>
      <c r="AC679">
        <v>1</v>
      </c>
      <c r="AF679">
        <v>1</v>
      </c>
      <c r="AG679" s="8"/>
      <c r="AH679" s="8"/>
      <c r="AK679" cm="1">
        <f t="array" ref="AK679">_xlfn.IFS(B679="","",LEFT(G679,1)="L",1,LEFT(G679,1)="W",1,AND(LEFT(B679,1)="H",G679=""),0)</f>
        <v>1</v>
      </c>
      <c r="AS679" t="str">
        <f t="shared" si="109"/>
        <v/>
      </c>
      <c r="AT679" t="s">
        <v>115</v>
      </c>
      <c r="AU679" t="str">
        <f t="shared" si="110"/>
        <v>0</v>
      </c>
      <c r="BD679" t="str">
        <f t="shared" si="111"/>
        <v>0</v>
      </c>
      <c r="BK679" t="str">
        <f>IFERROR(VLOOKUP(B679,'[1]model_S-フレーム'!$F$5:$R$7000,13,1),"")</f>
        <v>E389571_01</v>
      </c>
      <c r="BL679" s="7">
        <f>IFERROR(VLOOKUP(B679,'[1]model_S-フレーム'!$F$5:$V$7000,17,1),"")</f>
        <v>0</v>
      </c>
      <c r="BM679" t="str" cm="1">
        <f t="array" ref="BM679">_xlfn.IFS(LEFT(G679,1)="L","外注品",LEFT(G679,1)="W","内製品",G679="","購買品")</f>
        <v>内製品</v>
      </c>
    </row>
    <row r="680" spans="1:65">
      <c r="A680" t="str">
        <f t="shared" si="103"/>
        <v>WG01</v>
      </c>
      <c r="B680" t="s">
        <v>784</v>
      </c>
      <c r="C680" t="s">
        <v>924</v>
      </c>
      <c r="D680" s="7"/>
      <c r="E680" s="7"/>
      <c r="G680" t="s">
        <v>1939</v>
      </c>
      <c r="H680" t="str" cm="1">
        <f t="array" ref="H680">IFERROR(_xlfn.IFS(B680="","",AND(B680="",G680=""),"",G680="","記載要"),"")</f>
        <v/>
      </c>
      <c r="K680" t="str">
        <f t="shared" si="104"/>
        <v>11WP01002913</v>
      </c>
      <c r="L680" s="3" t="str">
        <f t="shared" si="105"/>
        <v>2001/01/01</v>
      </c>
      <c r="M680" s="3" t="str">
        <f t="shared" si="106"/>
        <v>2199/12/31</v>
      </c>
      <c r="N680" t="str">
        <f t="shared" si="107"/>
        <v>11WP01002913</v>
      </c>
      <c r="O680">
        <v>15</v>
      </c>
      <c r="Q680" t="str" cm="1">
        <f t="array" ref="Q680">_xlfn.IFS(AND(C680="",G680=""),"",LEFT(G680,1)="L","記載要",LEFT(G680,1)="W","",AND(C680,G680=""),"記載要")</f>
        <v/>
      </c>
      <c r="R680" s="21" t="str">
        <f t="shared" si="112"/>
        <v/>
      </c>
      <c r="S680" s="21"/>
      <c r="Z680" s="8"/>
      <c r="AA680">
        <v>1</v>
      </c>
      <c r="AB680">
        <f t="shared" si="108"/>
        <v>0</v>
      </c>
      <c r="AC680">
        <v>1</v>
      </c>
      <c r="AF680">
        <v>1</v>
      </c>
      <c r="AG680" s="8"/>
      <c r="AH680" s="8"/>
      <c r="AK680" cm="1">
        <f t="array" ref="AK680">_xlfn.IFS(B680="","",LEFT(G680,1)="L",1,LEFT(G680,1)="W",1,AND(LEFT(B680,1)="H",G680=""),0)</f>
        <v>1</v>
      </c>
      <c r="AS680" t="str">
        <f t="shared" si="109"/>
        <v/>
      </c>
      <c r="AT680" t="s">
        <v>115</v>
      </c>
      <c r="AU680" t="str">
        <f t="shared" si="110"/>
        <v>0</v>
      </c>
      <c r="BD680" t="str">
        <f t="shared" si="111"/>
        <v>0</v>
      </c>
      <c r="BK680" t="str">
        <f>IFERROR(VLOOKUP(B680,'[1]model_S-フレーム'!$F$5:$R$7000,13,1),"")</f>
        <v>E389571_01</v>
      </c>
      <c r="BL680" s="7">
        <f>IFERROR(VLOOKUP(B680,'[1]model_S-フレーム'!$F$5:$V$7000,17,1),"")</f>
        <v>0</v>
      </c>
      <c r="BM680" t="str" cm="1">
        <f t="array" ref="BM680">_xlfn.IFS(LEFT(G680,1)="L","外注品",LEFT(G680,1)="W","内製品",G680="","購買品")</f>
        <v>内製品</v>
      </c>
    </row>
    <row r="681" spans="1:65">
      <c r="A681" t="str">
        <f t="shared" si="103"/>
        <v>WG01</v>
      </c>
      <c r="B681" t="s">
        <v>785</v>
      </c>
      <c r="C681" t="s">
        <v>924</v>
      </c>
      <c r="D681" s="7"/>
      <c r="E681" s="7"/>
      <c r="G681" t="s">
        <v>1939</v>
      </c>
      <c r="H681" t="str" cm="1">
        <f t="array" ref="H681">IFERROR(_xlfn.IFS(B681="","",AND(B681="",G681=""),"",G681="","記載要"),"")</f>
        <v/>
      </c>
      <c r="K681" t="str">
        <f t="shared" si="104"/>
        <v>11WP01002914</v>
      </c>
      <c r="L681" s="3" t="str">
        <f t="shared" si="105"/>
        <v>2001/01/01</v>
      </c>
      <c r="M681" s="3" t="str">
        <f t="shared" si="106"/>
        <v>2199/12/31</v>
      </c>
      <c r="N681" t="str">
        <f t="shared" si="107"/>
        <v>11WP01002914</v>
      </c>
      <c r="O681">
        <v>15</v>
      </c>
      <c r="Q681" t="str" cm="1">
        <f t="array" ref="Q681">_xlfn.IFS(AND(C681="",G681=""),"",LEFT(G681,1)="L","記載要",LEFT(G681,1)="W","",AND(C681,G681=""),"記載要")</f>
        <v/>
      </c>
      <c r="R681" s="21" t="str">
        <f t="shared" si="112"/>
        <v/>
      </c>
      <c r="S681" s="21"/>
      <c r="Z681" s="8"/>
      <c r="AA681">
        <v>1</v>
      </c>
      <c r="AB681">
        <f t="shared" si="108"/>
        <v>0</v>
      </c>
      <c r="AC681">
        <v>1</v>
      </c>
      <c r="AF681">
        <v>1</v>
      </c>
      <c r="AG681" s="8"/>
      <c r="AH681" s="8"/>
      <c r="AK681" cm="1">
        <f t="array" ref="AK681">_xlfn.IFS(B681="","",LEFT(G681,1)="L",1,LEFT(G681,1)="W",1,AND(LEFT(B681,1)="H",G681=""),0)</f>
        <v>1</v>
      </c>
      <c r="AS681" t="str">
        <f t="shared" si="109"/>
        <v/>
      </c>
      <c r="AT681" t="s">
        <v>115</v>
      </c>
      <c r="AU681" t="str">
        <f t="shared" si="110"/>
        <v>0</v>
      </c>
      <c r="BD681" t="str">
        <f t="shared" si="111"/>
        <v>0</v>
      </c>
      <c r="BK681" t="str">
        <f>IFERROR(VLOOKUP(B681,'[1]model_S-フレーム'!$F$5:$R$7000,13,1),"")</f>
        <v>E389571_01</v>
      </c>
      <c r="BL681" s="7">
        <f>IFERROR(VLOOKUP(B681,'[1]model_S-フレーム'!$F$5:$V$7000,17,1),"")</f>
        <v>0</v>
      </c>
      <c r="BM681" t="str" cm="1">
        <f t="array" ref="BM681">_xlfn.IFS(LEFT(G681,1)="L","外注品",LEFT(G681,1)="W","内製品",G681="","購買品")</f>
        <v>内製品</v>
      </c>
    </row>
    <row r="682" spans="1:65">
      <c r="A682" t="str">
        <f t="shared" si="103"/>
        <v>WG01</v>
      </c>
      <c r="B682" t="s">
        <v>786</v>
      </c>
      <c r="C682" t="s">
        <v>924</v>
      </c>
      <c r="D682" s="7"/>
      <c r="E682" s="7"/>
      <c r="G682" t="s">
        <v>1939</v>
      </c>
      <c r="H682" t="str" cm="1">
        <f t="array" ref="H682">IFERROR(_xlfn.IFS(B682="","",AND(B682="",G682=""),"",G682="","記載要"),"")</f>
        <v/>
      </c>
      <c r="K682" t="str">
        <f t="shared" si="104"/>
        <v>11WP01002915</v>
      </c>
      <c r="L682" s="3" t="str">
        <f t="shared" si="105"/>
        <v>2001/01/01</v>
      </c>
      <c r="M682" s="3" t="str">
        <f t="shared" si="106"/>
        <v>2199/12/31</v>
      </c>
      <c r="N682" t="str">
        <f t="shared" si="107"/>
        <v>11WP01002915</v>
      </c>
      <c r="O682">
        <v>15</v>
      </c>
      <c r="Q682" t="str" cm="1">
        <f t="array" ref="Q682">_xlfn.IFS(AND(C682="",G682=""),"",LEFT(G682,1)="L","記載要",LEFT(G682,1)="W","",AND(C682,G682=""),"記載要")</f>
        <v/>
      </c>
      <c r="R682" s="21" t="str">
        <f t="shared" si="112"/>
        <v/>
      </c>
      <c r="S682" s="21"/>
      <c r="Z682" s="8"/>
      <c r="AA682">
        <v>1</v>
      </c>
      <c r="AB682">
        <f t="shared" si="108"/>
        <v>0</v>
      </c>
      <c r="AC682">
        <v>1</v>
      </c>
      <c r="AF682">
        <v>1</v>
      </c>
      <c r="AG682" s="8"/>
      <c r="AH682" s="8"/>
      <c r="AK682" cm="1">
        <f t="array" ref="AK682">_xlfn.IFS(B682="","",LEFT(G682,1)="L",1,LEFT(G682,1)="W",1,AND(LEFT(B682,1)="H",G682=""),0)</f>
        <v>1</v>
      </c>
      <c r="AS682" t="str">
        <f t="shared" si="109"/>
        <v/>
      </c>
      <c r="AT682" t="s">
        <v>115</v>
      </c>
      <c r="AU682" t="str">
        <f t="shared" si="110"/>
        <v>0</v>
      </c>
      <c r="BD682" t="str">
        <f t="shared" si="111"/>
        <v>0</v>
      </c>
      <c r="BK682" t="str">
        <f>IFERROR(VLOOKUP(B682,'[1]model_S-フレーム'!$F$5:$R$7000,13,1),"")</f>
        <v>E389571_01</v>
      </c>
      <c r="BL682" s="7">
        <f>IFERROR(VLOOKUP(B682,'[1]model_S-フレーム'!$F$5:$V$7000,17,1),"")</f>
        <v>0</v>
      </c>
      <c r="BM682" t="str" cm="1">
        <f t="array" ref="BM682">_xlfn.IFS(LEFT(G682,1)="L","外注品",LEFT(G682,1)="W","内製品",G682="","購買品")</f>
        <v>内製品</v>
      </c>
    </row>
    <row r="683" spans="1:65">
      <c r="A683" t="str">
        <f t="shared" si="103"/>
        <v>WG01</v>
      </c>
      <c r="B683" t="s">
        <v>787</v>
      </c>
      <c r="C683" t="s">
        <v>924</v>
      </c>
      <c r="D683" s="7"/>
      <c r="E683" s="7"/>
      <c r="G683" t="s">
        <v>1939</v>
      </c>
      <c r="H683" t="str" cm="1">
        <f t="array" ref="H683">IFERROR(_xlfn.IFS(B683="","",AND(B683="",G683=""),"",G683="","記載要"),"")</f>
        <v/>
      </c>
      <c r="K683" t="str">
        <f t="shared" si="104"/>
        <v>11WP01002916</v>
      </c>
      <c r="L683" s="3" t="str">
        <f t="shared" si="105"/>
        <v>2001/01/01</v>
      </c>
      <c r="M683" s="3" t="str">
        <f t="shared" si="106"/>
        <v>2199/12/31</v>
      </c>
      <c r="N683" t="str">
        <f t="shared" si="107"/>
        <v>11WP01002916</v>
      </c>
      <c r="O683">
        <v>15</v>
      </c>
      <c r="Q683" t="str" cm="1">
        <f t="array" ref="Q683">_xlfn.IFS(AND(C683="",G683=""),"",LEFT(G683,1)="L","記載要",LEFT(G683,1)="W","",AND(C683,G683=""),"記載要")</f>
        <v/>
      </c>
      <c r="R683" s="21" t="str">
        <f t="shared" si="112"/>
        <v/>
      </c>
      <c r="S683" s="21"/>
      <c r="Z683" s="8"/>
      <c r="AA683">
        <v>1</v>
      </c>
      <c r="AB683">
        <f t="shared" si="108"/>
        <v>0</v>
      </c>
      <c r="AC683">
        <v>1</v>
      </c>
      <c r="AF683">
        <v>1</v>
      </c>
      <c r="AG683" s="8"/>
      <c r="AH683" s="8"/>
      <c r="AK683" cm="1">
        <f t="array" ref="AK683">_xlfn.IFS(B683="","",LEFT(G683,1)="L",1,LEFT(G683,1)="W",1,AND(LEFT(B683,1)="H",G683=""),0)</f>
        <v>1</v>
      </c>
      <c r="AS683" t="str">
        <f t="shared" si="109"/>
        <v/>
      </c>
      <c r="AT683" t="s">
        <v>115</v>
      </c>
      <c r="AU683" t="str">
        <f t="shared" si="110"/>
        <v>0</v>
      </c>
      <c r="BD683" t="str">
        <f t="shared" si="111"/>
        <v>0</v>
      </c>
      <c r="BK683" t="str">
        <f>IFERROR(VLOOKUP(B683,'[1]model_S-フレーム'!$F$5:$R$7000,13,1),"")</f>
        <v>E389571_01</v>
      </c>
      <c r="BL683" s="7">
        <f>IFERROR(VLOOKUP(B683,'[1]model_S-フレーム'!$F$5:$V$7000,17,1),"")</f>
        <v>0</v>
      </c>
      <c r="BM683" t="str" cm="1">
        <f t="array" ref="BM683">_xlfn.IFS(LEFT(G683,1)="L","外注品",LEFT(G683,1)="W","内製品",G683="","購買品")</f>
        <v>内製品</v>
      </c>
    </row>
    <row r="684" spans="1:65">
      <c r="A684" t="str">
        <f t="shared" si="103"/>
        <v>WG01</v>
      </c>
      <c r="B684" t="s">
        <v>788</v>
      </c>
      <c r="C684" t="s">
        <v>924</v>
      </c>
      <c r="D684" s="7"/>
      <c r="E684" s="7"/>
      <c r="G684" t="s">
        <v>1939</v>
      </c>
      <c r="H684" t="str" cm="1">
        <f t="array" ref="H684">IFERROR(_xlfn.IFS(B684="","",AND(B684="",G684=""),"",G684="","記載要"),"")</f>
        <v/>
      </c>
      <c r="K684" t="str">
        <f t="shared" si="104"/>
        <v>11WP01002917</v>
      </c>
      <c r="L684" s="3" t="str">
        <f t="shared" si="105"/>
        <v>2001/01/01</v>
      </c>
      <c r="M684" s="3" t="str">
        <f t="shared" si="106"/>
        <v>2199/12/31</v>
      </c>
      <c r="N684" t="str">
        <f t="shared" si="107"/>
        <v>11WP01002917</v>
      </c>
      <c r="O684">
        <v>15</v>
      </c>
      <c r="Q684" t="str" cm="1">
        <f t="array" ref="Q684">_xlfn.IFS(AND(C684="",G684=""),"",LEFT(G684,1)="L","記載要",LEFT(G684,1)="W","",AND(C684,G684=""),"記載要")</f>
        <v/>
      </c>
      <c r="R684" s="21" t="str">
        <f t="shared" si="112"/>
        <v/>
      </c>
      <c r="S684" s="21"/>
      <c r="Z684" s="8"/>
      <c r="AA684">
        <v>1</v>
      </c>
      <c r="AB684">
        <f t="shared" si="108"/>
        <v>0</v>
      </c>
      <c r="AC684">
        <v>1</v>
      </c>
      <c r="AF684">
        <v>1</v>
      </c>
      <c r="AG684" s="8"/>
      <c r="AH684" s="8"/>
      <c r="AK684" cm="1">
        <f t="array" ref="AK684">_xlfn.IFS(B684="","",LEFT(G684,1)="L",1,LEFT(G684,1)="W",1,AND(LEFT(B684,1)="H",G684=""),0)</f>
        <v>1</v>
      </c>
      <c r="AS684" t="str">
        <f t="shared" si="109"/>
        <v/>
      </c>
      <c r="AT684" t="s">
        <v>115</v>
      </c>
      <c r="AU684" t="str">
        <f t="shared" si="110"/>
        <v>0</v>
      </c>
      <c r="BD684" t="str">
        <f t="shared" si="111"/>
        <v>0</v>
      </c>
      <c r="BK684" t="str">
        <f>IFERROR(VLOOKUP(B684,'[1]model_S-フレーム'!$F$5:$R$7000,13,1),"")</f>
        <v>E389571_01</v>
      </c>
      <c r="BL684" s="7">
        <f>IFERROR(VLOOKUP(B684,'[1]model_S-フレーム'!$F$5:$V$7000,17,1),"")</f>
        <v>0</v>
      </c>
      <c r="BM684" t="str" cm="1">
        <f t="array" ref="BM684">_xlfn.IFS(LEFT(G684,1)="L","外注品",LEFT(G684,1)="W","内製品",G684="","購買品")</f>
        <v>内製品</v>
      </c>
    </row>
    <row r="685" spans="1:65">
      <c r="A685" t="str">
        <f t="shared" si="103"/>
        <v>WG01</v>
      </c>
      <c r="B685" t="s">
        <v>789</v>
      </c>
      <c r="C685" t="s">
        <v>924</v>
      </c>
      <c r="D685" s="7"/>
      <c r="E685" s="7"/>
      <c r="G685" t="s">
        <v>1939</v>
      </c>
      <c r="H685" t="str" cm="1">
        <f t="array" ref="H685">IFERROR(_xlfn.IFS(B685="","",AND(B685="",G685=""),"",G685="","記載要"),"")</f>
        <v/>
      </c>
      <c r="K685" t="str">
        <f t="shared" si="104"/>
        <v>11WP01002918</v>
      </c>
      <c r="L685" s="3" t="str">
        <f t="shared" si="105"/>
        <v>2001/01/01</v>
      </c>
      <c r="M685" s="3" t="str">
        <f t="shared" si="106"/>
        <v>2199/12/31</v>
      </c>
      <c r="N685" t="str">
        <f t="shared" si="107"/>
        <v>11WP01002918</v>
      </c>
      <c r="O685">
        <v>15</v>
      </c>
      <c r="Q685" t="str" cm="1">
        <f t="array" ref="Q685">_xlfn.IFS(AND(C685="",G685=""),"",LEFT(G685,1)="L","記載要",LEFT(G685,1)="W","",AND(C685,G685=""),"記載要")</f>
        <v/>
      </c>
      <c r="R685" s="21" t="str">
        <f t="shared" si="112"/>
        <v/>
      </c>
      <c r="S685" s="21"/>
      <c r="Z685" s="8"/>
      <c r="AA685">
        <v>1</v>
      </c>
      <c r="AB685">
        <f t="shared" si="108"/>
        <v>0</v>
      </c>
      <c r="AC685">
        <v>1</v>
      </c>
      <c r="AF685">
        <v>1</v>
      </c>
      <c r="AG685" s="8"/>
      <c r="AH685" s="8"/>
      <c r="AK685" cm="1">
        <f t="array" ref="AK685">_xlfn.IFS(B685="","",LEFT(G685,1)="L",1,LEFT(G685,1)="W",1,AND(LEFT(B685,1)="H",G685=""),0)</f>
        <v>1</v>
      </c>
      <c r="AS685" t="str">
        <f t="shared" si="109"/>
        <v/>
      </c>
      <c r="AT685" t="s">
        <v>115</v>
      </c>
      <c r="AU685" t="str">
        <f t="shared" si="110"/>
        <v>0</v>
      </c>
      <c r="BD685" t="str">
        <f t="shared" si="111"/>
        <v>0</v>
      </c>
      <c r="BK685" t="str">
        <f>IFERROR(VLOOKUP(B685,'[1]model_S-フレーム'!$F$5:$R$7000,13,1),"")</f>
        <v>E389571_01</v>
      </c>
      <c r="BL685" s="7">
        <f>IFERROR(VLOOKUP(B685,'[1]model_S-フレーム'!$F$5:$V$7000,17,1),"")</f>
        <v>0</v>
      </c>
      <c r="BM685" t="str" cm="1">
        <f t="array" ref="BM685">_xlfn.IFS(LEFT(G685,1)="L","外注品",LEFT(G685,1)="W","内製品",G685="","購買品")</f>
        <v>内製品</v>
      </c>
    </row>
    <row r="686" spans="1:65">
      <c r="A686" t="str">
        <f t="shared" si="103"/>
        <v>WG01</v>
      </c>
      <c r="B686" t="s">
        <v>790</v>
      </c>
      <c r="C686" t="s">
        <v>924</v>
      </c>
      <c r="D686" s="7"/>
      <c r="E686" s="7"/>
      <c r="G686" t="s">
        <v>1939</v>
      </c>
      <c r="H686" t="str" cm="1">
        <f t="array" ref="H686">IFERROR(_xlfn.IFS(B686="","",AND(B686="",G686=""),"",G686="","記載要"),"")</f>
        <v/>
      </c>
      <c r="K686" t="str">
        <f t="shared" si="104"/>
        <v>11WP01002919</v>
      </c>
      <c r="L686" s="3" t="str">
        <f t="shared" si="105"/>
        <v>2001/01/01</v>
      </c>
      <c r="M686" s="3" t="str">
        <f t="shared" si="106"/>
        <v>2199/12/31</v>
      </c>
      <c r="N686" t="str">
        <f t="shared" si="107"/>
        <v>11WP01002919</v>
      </c>
      <c r="O686">
        <v>15</v>
      </c>
      <c r="Q686" t="str" cm="1">
        <f t="array" ref="Q686">_xlfn.IFS(AND(C686="",G686=""),"",LEFT(G686,1)="L","記載要",LEFT(G686,1)="W","",AND(C686,G686=""),"記載要")</f>
        <v/>
      </c>
      <c r="R686" s="21" t="str">
        <f t="shared" si="112"/>
        <v/>
      </c>
      <c r="S686" s="21"/>
      <c r="Z686" s="8"/>
      <c r="AA686">
        <v>1</v>
      </c>
      <c r="AB686">
        <f t="shared" si="108"/>
        <v>0</v>
      </c>
      <c r="AC686">
        <v>1</v>
      </c>
      <c r="AF686">
        <v>1</v>
      </c>
      <c r="AG686" s="8"/>
      <c r="AH686" s="8"/>
      <c r="AK686" cm="1">
        <f t="array" ref="AK686">_xlfn.IFS(B686="","",LEFT(G686,1)="L",1,LEFT(G686,1)="W",1,AND(LEFT(B686,1)="H",G686=""),0)</f>
        <v>1</v>
      </c>
      <c r="AS686" t="str">
        <f t="shared" si="109"/>
        <v/>
      </c>
      <c r="AT686" t="s">
        <v>115</v>
      </c>
      <c r="AU686" t="str">
        <f t="shared" si="110"/>
        <v>0</v>
      </c>
      <c r="BD686" t="str">
        <f t="shared" si="111"/>
        <v>0</v>
      </c>
      <c r="BK686" t="str">
        <f>IFERROR(VLOOKUP(B686,'[1]model_S-フレーム'!$F$5:$R$7000,13,1),"")</f>
        <v>E389571_01</v>
      </c>
      <c r="BL686" s="7">
        <f>IFERROR(VLOOKUP(B686,'[1]model_S-フレーム'!$F$5:$V$7000,17,1),"")</f>
        <v>0</v>
      </c>
      <c r="BM686" t="str" cm="1">
        <f t="array" ref="BM686">_xlfn.IFS(LEFT(G686,1)="L","外注品",LEFT(G686,1)="W","内製品",G686="","購買品")</f>
        <v>内製品</v>
      </c>
    </row>
    <row r="687" spans="1:65">
      <c r="A687" t="str">
        <f t="shared" si="103"/>
        <v>WG01</v>
      </c>
      <c r="B687" t="s">
        <v>791</v>
      </c>
      <c r="C687" t="s">
        <v>925</v>
      </c>
      <c r="D687" s="7"/>
      <c r="E687" s="7"/>
      <c r="G687" t="s">
        <v>1939</v>
      </c>
      <c r="H687" t="str" cm="1">
        <f t="array" ref="H687">IFERROR(_xlfn.IFS(B687="","",AND(B687="",G687=""),"",G687="","記載要"),"")</f>
        <v/>
      </c>
      <c r="K687" t="str">
        <f t="shared" si="104"/>
        <v>11WP01002920</v>
      </c>
      <c r="L687" s="3" t="str">
        <f t="shared" si="105"/>
        <v>2001/01/01</v>
      </c>
      <c r="M687" s="3" t="str">
        <f t="shared" si="106"/>
        <v>2199/12/31</v>
      </c>
      <c r="N687" t="str">
        <f t="shared" si="107"/>
        <v>11WP01002920</v>
      </c>
      <c r="O687">
        <v>15</v>
      </c>
      <c r="Q687" t="str" cm="1">
        <f t="array" ref="Q687">_xlfn.IFS(AND(C687="",G687=""),"",LEFT(G687,1)="L","記載要",LEFT(G687,1)="W","",AND(C687,G687=""),"記載要")</f>
        <v/>
      </c>
      <c r="R687" s="21" t="str">
        <f t="shared" si="112"/>
        <v/>
      </c>
      <c r="S687" s="21"/>
      <c r="Z687" s="8"/>
      <c r="AA687">
        <v>1</v>
      </c>
      <c r="AB687">
        <f t="shared" si="108"/>
        <v>0</v>
      </c>
      <c r="AC687">
        <v>1</v>
      </c>
      <c r="AF687">
        <v>1</v>
      </c>
      <c r="AG687" s="8"/>
      <c r="AH687" s="8"/>
      <c r="AK687" cm="1">
        <f t="array" ref="AK687">_xlfn.IFS(B687="","",LEFT(G687,1)="L",1,LEFT(G687,1)="W",1,AND(LEFT(B687,1)="H",G687=""),0)</f>
        <v>1</v>
      </c>
      <c r="AS687" t="str">
        <f t="shared" si="109"/>
        <v/>
      </c>
      <c r="AT687" t="s">
        <v>115</v>
      </c>
      <c r="AU687" t="str">
        <f t="shared" si="110"/>
        <v>0</v>
      </c>
      <c r="BD687" t="str">
        <f t="shared" si="111"/>
        <v>0</v>
      </c>
      <c r="BK687" t="str">
        <f>IFERROR(VLOOKUP(B687,'[1]model_S-フレーム'!$F$5:$R$7000,13,1),"")</f>
        <v>E389571_01</v>
      </c>
      <c r="BL687" s="7">
        <f>IFERROR(VLOOKUP(B687,'[1]model_S-フレーム'!$F$5:$V$7000,17,1),"")</f>
        <v>0</v>
      </c>
      <c r="BM687" t="str" cm="1">
        <f t="array" ref="BM687">_xlfn.IFS(LEFT(G687,1)="L","外注品",LEFT(G687,1)="W","内製品",G687="","購買品")</f>
        <v>内製品</v>
      </c>
    </row>
    <row r="688" spans="1:65">
      <c r="A688" t="str">
        <f t="shared" si="103"/>
        <v>WG01</v>
      </c>
      <c r="B688" t="s">
        <v>792</v>
      </c>
      <c r="C688" t="s">
        <v>925</v>
      </c>
      <c r="D688" s="7"/>
      <c r="E688" s="7"/>
      <c r="G688" t="s">
        <v>1939</v>
      </c>
      <c r="H688" t="str" cm="1">
        <f t="array" ref="H688">IFERROR(_xlfn.IFS(B688="","",AND(B688="",G688=""),"",G688="","記載要"),"")</f>
        <v/>
      </c>
      <c r="K688" t="str">
        <f t="shared" si="104"/>
        <v>11WP01002921</v>
      </c>
      <c r="L688" s="3" t="str">
        <f t="shared" si="105"/>
        <v>2001/01/01</v>
      </c>
      <c r="M688" s="3" t="str">
        <f t="shared" si="106"/>
        <v>2199/12/31</v>
      </c>
      <c r="N688" t="str">
        <f t="shared" si="107"/>
        <v>11WP01002921</v>
      </c>
      <c r="O688">
        <v>15</v>
      </c>
      <c r="Q688" t="str" cm="1">
        <f t="array" ref="Q688">_xlfn.IFS(AND(C688="",G688=""),"",LEFT(G688,1)="L","記載要",LEFT(G688,1)="W","",AND(C688,G688=""),"記載要")</f>
        <v/>
      </c>
      <c r="R688" s="21" t="str">
        <f t="shared" si="112"/>
        <v/>
      </c>
      <c r="S688" s="21"/>
      <c r="Z688" s="8"/>
      <c r="AA688">
        <v>1</v>
      </c>
      <c r="AB688">
        <f t="shared" si="108"/>
        <v>0</v>
      </c>
      <c r="AC688">
        <v>1</v>
      </c>
      <c r="AF688">
        <v>1</v>
      </c>
      <c r="AG688" s="8"/>
      <c r="AH688" s="8"/>
      <c r="AK688" cm="1">
        <f t="array" ref="AK688">_xlfn.IFS(B688="","",LEFT(G688,1)="L",1,LEFT(G688,1)="W",1,AND(LEFT(B688,1)="H",G688=""),0)</f>
        <v>1</v>
      </c>
      <c r="AS688" t="str">
        <f t="shared" si="109"/>
        <v/>
      </c>
      <c r="AT688" t="s">
        <v>115</v>
      </c>
      <c r="AU688" t="str">
        <f t="shared" si="110"/>
        <v>0</v>
      </c>
      <c r="BD688" t="str">
        <f t="shared" si="111"/>
        <v>0</v>
      </c>
      <c r="BK688" t="str">
        <f>IFERROR(VLOOKUP(B688,'[1]model_S-フレーム'!$F$5:$R$7000,13,1),"")</f>
        <v>E389571_01</v>
      </c>
      <c r="BL688" s="7">
        <f>IFERROR(VLOOKUP(B688,'[1]model_S-フレーム'!$F$5:$V$7000,17,1),"")</f>
        <v>0</v>
      </c>
      <c r="BM688" t="str" cm="1">
        <f t="array" ref="BM688">_xlfn.IFS(LEFT(G688,1)="L","外注品",LEFT(G688,1)="W","内製品",G688="","購買品")</f>
        <v>内製品</v>
      </c>
    </row>
    <row r="689" spans="1:65">
      <c r="A689" t="str">
        <f t="shared" si="103"/>
        <v>WG01</v>
      </c>
      <c r="B689" t="s">
        <v>793</v>
      </c>
      <c r="C689" t="s">
        <v>925</v>
      </c>
      <c r="D689" s="7"/>
      <c r="E689" s="7"/>
      <c r="G689" t="s">
        <v>1939</v>
      </c>
      <c r="H689" t="str" cm="1">
        <f t="array" ref="H689">IFERROR(_xlfn.IFS(B689="","",AND(B689="",G689=""),"",G689="","記載要"),"")</f>
        <v/>
      </c>
      <c r="K689" t="str">
        <f t="shared" si="104"/>
        <v>11WP01002922</v>
      </c>
      <c r="L689" s="3" t="str">
        <f t="shared" si="105"/>
        <v>2001/01/01</v>
      </c>
      <c r="M689" s="3" t="str">
        <f t="shared" si="106"/>
        <v>2199/12/31</v>
      </c>
      <c r="N689" t="str">
        <f t="shared" si="107"/>
        <v>11WP01002922</v>
      </c>
      <c r="O689">
        <v>15</v>
      </c>
      <c r="Q689" t="str" cm="1">
        <f t="array" ref="Q689">_xlfn.IFS(AND(C689="",G689=""),"",LEFT(G689,1)="L","記載要",LEFT(G689,1)="W","",AND(C689,G689=""),"記載要")</f>
        <v/>
      </c>
      <c r="R689" s="21" t="str">
        <f t="shared" si="112"/>
        <v/>
      </c>
      <c r="S689" s="21"/>
      <c r="Z689" s="8"/>
      <c r="AA689">
        <v>1</v>
      </c>
      <c r="AB689">
        <f t="shared" si="108"/>
        <v>0</v>
      </c>
      <c r="AC689">
        <v>1</v>
      </c>
      <c r="AF689">
        <v>1</v>
      </c>
      <c r="AG689" s="8"/>
      <c r="AH689" s="8"/>
      <c r="AK689" cm="1">
        <f t="array" ref="AK689">_xlfn.IFS(B689="","",LEFT(G689,1)="L",1,LEFT(G689,1)="W",1,AND(LEFT(B689,1)="H",G689=""),0)</f>
        <v>1</v>
      </c>
      <c r="AS689" t="str">
        <f t="shared" si="109"/>
        <v/>
      </c>
      <c r="AT689" t="s">
        <v>115</v>
      </c>
      <c r="AU689" t="str">
        <f t="shared" si="110"/>
        <v>0</v>
      </c>
      <c r="BD689" t="str">
        <f t="shared" si="111"/>
        <v>0</v>
      </c>
      <c r="BK689" t="str">
        <f>IFERROR(VLOOKUP(B689,'[1]model_S-フレーム'!$F$5:$R$7000,13,1),"")</f>
        <v>E389571_01</v>
      </c>
      <c r="BL689" s="7">
        <f>IFERROR(VLOOKUP(B689,'[1]model_S-フレーム'!$F$5:$V$7000,17,1),"")</f>
        <v>0</v>
      </c>
      <c r="BM689" t="str" cm="1">
        <f t="array" ref="BM689">_xlfn.IFS(LEFT(G689,1)="L","外注品",LEFT(G689,1)="W","内製品",G689="","購買品")</f>
        <v>内製品</v>
      </c>
    </row>
    <row r="690" spans="1:65">
      <c r="A690" t="str">
        <f t="shared" si="103"/>
        <v>WG01</v>
      </c>
      <c r="B690" t="s">
        <v>794</v>
      </c>
      <c r="C690" t="s">
        <v>925</v>
      </c>
      <c r="D690" s="7"/>
      <c r="E690" s="7"/>
      <c r="G690" t="s">
        <v>1939</v>
      </c>
      <c r="H690" t="str" cm="1">
        <f t="array" ref="H690">IFERROR(_xlfn.IFS(B690="","",AND(B690="",G690=""),"",G690="","記載要"),"")</f>
        <v/>
      </c>
      <c r="K690" t="str">
        <f t="shared" si="104"/>
        <v>11WP01002923</v>
      </c>
      <c r="L690" s="3" t="str">
        <f t="shared" si="105"/>
        <v>2001/01/01</v>
      </c>
      <c r="M690" s="3" t="str">
        <f t="shared" si="106"/>
        <v>2199/12/31</v>
      </c>
      <c r="N690" t="str">
        <f t="shared" si="107"/>
        <v>11WP01002923</v>
      </c>
      <c r="O690">
        <v>15</v>
      </c>
      <c r="Q690" t="str" cm="1">
        <f t="array" ref="Q690">_xlfn.IFS(AND(C690="",G690=""),"",LEFT(G690,1)="L","記載要",LEFT(G690,1)="W","",AND(C690,G690=""),"記載要")</f>
        <v/>
      </c>
      <c r="R690" s="21" t="str">
        <f t="shared" si="112"/>
        <v/>
      </c>
      <c r="S690" s="21"/>
      <c r="Z690" s="8"/>
      <c r="AA690">
        <v>1</v>
      </c>
      <c r="AB690">
        <f t="shared" si="108"/>
        <v>0</v>
      </c>
      <c r="AC690">
        <v>1</v>
      </c>
      <c r="AF690">
        <v>1</v>
      </c>
      <c r="AG690" s="8"/>
      <c r="AH690" s="8"/>
      <c r="AK690" cm="1">
        <f t="array" ref="AK690">_xlfn.IFS(B690="","",LEFT(G690,1)="L",1,LEFT(G690,1)="W",1,AND(LEFT(B690,1)="H",G690=""),0)</f>
        <v>1</v>
      </c>
      <c r="AS690" t="str">
        <f t="shared" si="109"/>
        <v/>
      </c>
      <c r="AT690" t="s">
        <v>115</v>
      </c>
      <c r="AU690" t="str">
        <f t="shared" si="110"/>
        <v>0</v>
      </c>
      <c r="BD690" t="str">
        <f t="shared" si="111"/>
        <v>0</v>
      </c>
      <c r="BK690" t="str">
        <f>IFERROR(VLOOKUP(B690,'[1]model_S-フレーム'!$F$5:$R$7000,13,1),"")</f>
        <v>E389571_01</v>
      </c>
      <c r="BL690" s="7">
        <f>IFERROR(VLOOKUP(B690,'[1]model_S-フレーム'!$F$5:$V$7000,17,1),"")</f>
        <v>0</v>
      </c>
      <c r="BM690" t="str" cm="1">
        <f t="array" ref="BM690">_xlfn.IFS(LEFT(G690,1)="L","外注品",LEFT(G690,1)="W","内製品",G690="","購買品")</f>
        <v>内製品</v>
      </c>
    </row>
    <row r="691" spans="1:65">
      <c r="A691" t="str">
        <f t="shared" si="103"/>
        <v>WG01</v>
      </c>
      <c r="B691" t="s">
        <v>795</v>
      </c>
      <c r="C691" t="s">
        <v>925</v>
      </c>
      <c r="D691" s="7"/>
      <c r="E691" s="7"/>
      <c r="G691" t="s">
        <v>1939</v>
      </c>
      <c r="H691" t="str" cm="1">
        <f t="array" ref="H691">IFERROR(_xlfn.IFS(B691="","",AND(B691="",G691=""),"",G691="","記載要"),"")</f>
        <v/>
      </c>
      <c r="K691" t="str">
        <f t="shared" si="104"/>
        <v>11WP01002924</v>
      </c>
      <c r="L691" s="3" t="str">
        <f t="shared" si="105"/>
        <v>2001/01/01</v>
      </c>
      <c r="M691" s="3" t="str">
        <f t="shared" si="106"/>
        <v>2199/12/31</v>
      </c>
      <c r="N691" t="str">
        <f t="shared" si="107"/>
        <v>11WP01002924</v>
      </c>
      <c r="O691">
        <v>15</v>
      </c>
      <c r="Q691" t="str" cm="1">
        <f t="array" ref="Q691">_xlfn.IFS(AND(C691="",G691=""),"",LEFT(G691,1)="L","記載要",LEFT(G691,1)="W","",AND(C691,G691=""),"記載要")</f>
        <v/>
      </c>
      <c r="R691" s="21" t="str">
        <f t="shared" si="112"/>
        <v/>
      </c>
      <c r="S691" s="21"/>
      <c r="Z691" s="8"/>
      <c r="AA691">
        <v>1</v>
      </c>
      <c r="AB691">
        <f t="shared" si="108"/>
        <v>0</v>
      </c>
      <c r="AC691">
        <v>1</v>
      </c>
      <c r="AF691">
        <v>1</v>
      </c>
      <c r="AG691" s="8"/>
      <c r="AH691" s="8"/>
      <c r="AK691" cm="1">
        <f t="array" ref="AK691">_xlfn.IFS(B691="","",LEFT(G691,1)="L",1,LEFT(G691,1)="W",1,AND(LEFT(B691,1)="H",G691=""),0)</f>
        <v>1</v>
      </c>
      <c r="AS691" t="str">
        <f t="shared" si="109"/>
        <v/>
      </c>
      <c r="AT691" t="s">
        <v>115</v>
      </c>
      <c r="AU691" t="str">
        <f t="shared" si="110"/>
        <v>0</v>
      </c>
      <c r="BD691" t="str">
        <f t="shared" si="111"/>
        <v>0</v>
      </c>
      <c r="BK691" t="str">
        <f>IFERROR(VLOOKUP(B691,'[1]model_S-フレーム'!$F$5:$R$7000,13,1),"")</f>
        <v>E389571_01</v>
      </c>
      <c r="BL691" s="7">
        <f>IFERROR(VLOOKUP(B691,'[1]model_S-フレーム'!$F$5:$V$7000,17,1),"")</f>
        <v>0</v>
      </c>
      <c r="BM691" t="str" cm="1">
        <f t="array" ref="BM691">_xlfn.IFS(LEFT(G691,1)="L","外注品",LEFT(G691,1)="W","内製品",G691="","購買品")</f>
        <v>内製品</v>
      </c>
    </row>
    <row r="692" spans="1:65">
      <c r="A692" t="str">
        <f t="shared" si="103"/>
        <v>WG01</v>
      </c>
      <c r="B692" t="s">
        <v>796</v>
      </c>
      <c r="C692" t="s">
        <v>925</v>
      </c>
      <c r="D692" s="7"/>
      <c r="E692" s="7"/>
      <c r="G692" t="s">
        <v>1939</v>
      </c>
      <c r="H692" t="str" cm="1">
        <f t="array" ref="H692">IFERROR(_xlfn.IFS(B692="","",AND(B692="",G692=""),"",G692="","記載要"),"")</f>
        <v/>
      </c>
      <c r="K692" t="str">
        <f t="shared" si="104"/>
        <v>11WP01002925</v>
      </c>
      <c r="L692" s="3" t="str">
        <f t="shared" si="105"/>
        <v>2001/01/01</v>
      </c>
      <c r="M692" s="3" t="str">
        <f t="shared" si="106"/>
        <v>2199/12/31</v>
      </c>
      <c r="N692" t="str">
        <f t="shared" si="107"/>
        <v>11WP01002925</v>
      </c>
      <c r="O692">
        <v>15</v>
      </c>
      <c r="Q692" t="str" cm="1">
        <f t="array" ref="Q692">_xlfn.IFS(AND(C692="",G692=""),"",LEFT(G692,1)="L","記載要",LEFT(G692,1)="W","",AND(C692,G692=""),"記載要")</f>
        <v/>
      </c>
      <c r="R692" s="21" t="str">
        <f t="shared" si="112"/>
        <v/>
      </c>
      <c r="S692" s="21"/>
      <c r="Z692" s="8"/>
      <c r="AA692">
        <v>1</v>
      </c>
      <c r="AB692">
        <f t="shared" si="108"/>
        <v>0</v>
      </c>
      <c r="AC692">
        <v>1</v>
      </c>
      <c r="AF692">
        <v>1</v>
      </c>
      <c r="AG692" s="8"/>
      <c r="AH692" s="8"/>
      <c r="AK692" cm="1">
        <f t="array" ref="AK692">_xlfn.IFS(B692="","",LEFT(G692,1)="L",1,LEFT(G692,1)="W",1,AND(LEFT(B692,1)="H",G692=""),0)</f>
        <v>1</v>
      </c>
      <c r="AS692" t="str">
        <f t="shared" si="109"/>
        <v/>
      </c>
      <c r="AT692" t="s">
        <v>115</v>
      </c>
      <c r="AU692" t="str">
        <f t="shared" si="110"/>
        <v>0</v>
      </c>
      <c r="BD692" t="str">
        <f t="shared" si="111"/>
        <v>0</v>
      </c>
      <c r="BK692" t="str">
        <f>IFERROR(VLOOKUP(B692,'[1]model_S-フレーム'!$F$5:$R$7000,13,1),"")</f>
        <v>E389571_01</v>
      </c>
      <c r="BL692" s="7">
        <f>IFERROR(VLOOKUP(B692,'[1]model_S-フレーム'!$F$5:$V$7000,17,1),"")</f>
        <v>0</v>
      </c>
      <c r="BM692" t="str" cm="1">
        <f t="array" ref="BM692">_xlfn.IFS(LEFT(G692,1)="L","外注品",LEFT(G692,1)="W","内製品",G692="","購買品")</f>
        <v>内製品</v>
      </c>
    </row>
    <row r="693" spans="1:65">
      <c r="A693" t="str">
        <f t="shared" si="103"/>
        <v>WG01</v>
      </c>
      <c r="B693" t="s">
        <v>797</v>
      </c>
      <c r="C693" t="s">
        <v>925</v>
      </c>
      <c r="D693" s="7"/>
      <c r="E693" s="7"/>
      <c r="G693" t="s">
        <v>1939</v>
      </c>
      <c r="H693" t="str" cm="1">
        <f t="array" ref="H693">IFERROR(_xlfn.IFS(B693="","",AND(B693="",G693=""),"",G693="","記載要"),"")</f>
        <v/>
      </c>
      <c r="K693" t="str">
        <f t="shared" si="104"/>
        <v>11WP01002926</v>
      </c>
      <c r="L693" s="3" t="str">
        <f t="shared" si="105"/>
        <v>2001/01/01</v>
      </c>
      <c r="M693" s="3" t="str">
        <f t="shared" si="106"/>
        <v>2199/12/31</v>
      </c>
      <c r="N693" t="str">
        <f t="shared" si="107"/>
        <v>11WP01002926</v>
      </c>
      <c r="O693">
        <v>15</v>
      </c>
      <c r="Q693" t="str" cm="1">
        <f t="array" ref="Q693">_xlfn.IFS(AND(C693="",G693=""),"",LEFT(G693,1)="L","記載要",LEFT(G693,1)="W","",AND(C693,G693=""),"記載要")</f>
        <v/>
      </c>
      <c r="R693" s="21" t="str">
        <f t="shared" si="112"/>
        <v/>
      </c>
      <c r="S693" s="21"/>
      <c r="Z693" s="8"/>
      <c r="AA693">
        <v>1</v>
      </c>
      <c r="AB693">
        <f t="shared" si="108"/>
        <v>0</v>
      </c>
      <c r="AC693">
        <v>1</v>
      </c>
      <c r="AF693">
        <v>1</v>
      </c>
      <c r="AG693" s="8"/>
      <c r="AH693" s="8"/>
      <c r="AK693" cm="1">
        <f t="array" ref="AK693">_xlfn.IFS(B693="","",LEFT(G693,1)="L",1,LEFT(G693,1)="W",1,AND(LEFT(B693,1)="H",G693=""),0)</f>
        <v>1</v>
      </c>
      <c r="AS693" t="str">
        <f t="shared" si="109"/>
        <v/>
      </c>
      <c r="AT693" t="s">
        <v>115</v>
      </c>
      <c r="AU693" t="str">
        <f t="shared" si="110"/>
        <v>0</v>
      </c>
      <c r="BD693" t="str">
        <f t="shared" si="111"/>
        <v>0</v>
      </c>
      <c r="BK693" t="str">
        <f>IFERROR(VLOOKUP(B693,'[1]model_S-フレーム'!$F$5:$R$7000,13,1),"")</f>
        <v>E389571_01</v>
      </c>
      <c r="BL693" s="7">
        <f>IFERROR(VLOOKUP(B693,'[1]model_S-フレーム'!$F$5:$V$7000,17,1),"")</f>
        <v>0</v>
      </c>
      <c r="BM693" t="str" cm="1">
        <f t="array" ref="BM693">_xlfn.IFS(LEFT(G693,1)="L","外注品",LEFT(G693,1)="W","内製品",G693="","購買品")</f>
        <v>内製品</v>
      </c>
    </row>
    <row r="694" spans="1:65">
      <c r="A694" t="str">
        <f t="shared" si="103"/>
        <v>WG01</v>
      </c>
      <c r="B694" t="s">
        <v>798</v>
      </c>
      <c r="C694" t="s">
        <v>925</v>
      </c>
      <c r="D694" s="7"/>
      <c r="E694" s="7"/>
      <c r="G694" t="s">
        <v>1939</v>
      </c>
      <c r="H694" t="str" cm="1">
        <f t="array" ref="H694">IFERROR(_xlfn.IFS(B694="","",AND(B694="",G694=""),"",G694="","記載要"),"")</f>
        <v/>
      </c>
      <c r="K694" t="str">
        <f t="shared" si="104"/>
        <v>11WP01002927</v>
      </c>
      <c r="L694" s="3" t="str">
        <f t="shared" si="105"/>
        <v>2001/01/01</v>
      </c>
      <c r="M694" s="3" t="str">
        <f t="shared" si="106"/>
        <v>2199/12/31</v>
      </c>
      <c r="N694" t="str">
        <f t="shared" si="107"/>
        <v>11WP01002927</v>
      </c>
      <c r="O694">
        <v>15</v>
      </c>
      <c r="Q694" t="str" cm="1">
        <f t="array" ref="Q694">_xlfn.IFS(AND(C694="",G694=""),"",LEFT(G694,1)="L","記載要",LEFT(G694,1)="W","",AND(C694,G694=""),"記載要")</f>
        <v/>
      </c>
      <c r="R694" s="21" t="str">
        <f t="shared" si="112"/>
        <v/>
      </c>
      <c r="S694" s="21"/>
      <c r="Z694" s="8"/>
      <c r="AA694">
        <v>1</v>
      </c>
      <c r="AB694">
        <f t="shared" si="108"/>
        <v>0</v>
      </c>
      <c r="AC694">
        <v>1</v>
      </c>
      <c r="AF694">
        <v>1</v>
      </c>
      <c r="AG694" s="8"/>
      <c r="AH694" s="8"/>
      <c r="AK694" cm="1">
        <f t="array" ref="AK694">_xlfn.IFS(B694="","",LEFT(G694,1)="L",1,LEFT(G694,1)="W",1,AND(LEFT(B694,1)="H",G694=""),0)</f>
        <v>1</v>
      </c>
      <c r="AS694" t="str">
        <f t="shared" si="109"/>
        <v/>
      </c>
      <c r="AT694" t="s">
        <v>115</v>
      </c>
      <c r="AU694" t="str">
        <f t="shared" si="110"/>
        <v>0</v>
      </c>
      <c r="BD694" t="str">
        <f t="shared" si="111"/>
        <v>0</v>
      </c>
      <c r="BK694" t="str">
        <f>IFERROR(VLOOKUP(B694,'[1]model_S-フレーム'!$F$5:$R$7000,13,1),"")</f>
        <v>E389571_01</v>
      </c>
      <c r="BL694" s="7">
        <f>IFERROR(VLOOKUP(B694,'[1]model_S-フレーム'!$F$5:$V$7000,17,1),"")</f>
        <v>0</v>
      </c>
      <c r="BM694" t="str" cm="1">
        <f t="array" ref="BM694">_xlfn.IFS(LEFT(G694,1)="L","外注品",LEFT(G694,1)="W","内製品",G694="","購買品")</f>
        <v>内製品</v>
      </c>
    </row>
    <row r="695" spans="1:65">
      <c r="A695" t="str">
        <f t="shared" si="103"/>
        <v>WG01</v>
      </c>
      <c r="B695" t="s">
        <v>799</v>
      </c>
      <c r="C695" t="s">
        <v>925</v>
      </c>
      <c r="D695" s="7"/>
      <c r="E695" s="7"/>
      <c r="G695" t="s">
        <v>1939</v>
      </c>
      <c r="H695" t="str" cm="1">
        <f t="array" ref="H695">IFERROR(_xlfn.IFS(B695="","",AND(B695="",G695=""),"",G695="","記載要"),"")</f>
        <v/>
      </c>
      <c r="K695" t="str">
        <f t="shared" si="104"/>
        <v>11WP01002928</v>
      </c>
      <c r="L695" s="3" t="str">
        <f t="shared" si="105"/>
        <v>2001/01/01</v>
      </c>
      <c r="M695" s="3" t="str">
        <f t="shared" si="106"/>
        <v>2199/12/31</v>
      </c>
      <c r="N695" t="str">
        <f t="shared" si="107"/>
        <v>11WP01002928</v>
      </c>
      <c r="O695">
        <v>15</v>
      </c>
      <c r="Q695" t="str" cm="1">
        <f t="array" ref="Q695">_xlfn.IFS(AND(C695="",G695=""),"",LEFT(G695,1)="L","記載要",LEFT(G695,1)="W","",AND(C695,G695=""),"記載要")</f>
        <v/>
      </c>
      <c r="R695" s="21" t="str">
        <f t="shared" si="112"/>
        <v/>
      </c>
      <c r="S695" s="21"/>
      <c r="Z695" s="8"/>
      <c r="AA695">
        <v>1</v>
      </c>
      <c r="AB695">
        <f t="shared" si="108"/>
        <v>0</v>
      </c>
      <c r="AC695">
        <v>1</v>
      </c>
      <c r="AF695">
        <v>1</v>
      </c>
      <c r="AG695" s="8"/>
      <c r="AH695" s="8"/>
      <c r="AK695" cm="1">
        <f t="array" ref="AK695">_xlfn.IFS(B695="","",LEFT(G695,1)="L",1,LEFT(G695,1)="W",1,AND(LEFT(B695,1)="H",G695=""),0)</f>
        <v>1</v>
      </c>
      <c r="AS695" t="str">
        <f t="shared" si="109"/>
        <v/>
      </c>
      <c r="AT695" t="s">
        <v>115</v>
      </c>
      <c r="AU695" t="str">
        <f t="shared" si="110"/>
        <v>0</v>
      </c>
      <c r="BD695" t="str">
        <f t="shared" si="111"/>
        <v>0</v>
      </c>
      <c r="BK695" t="str">
        <f>IFERROR(VLOOKUP(B695,'[1]model_S-フレーム'!$F$5:$R$7000,13,1),"")</f>
        <v>E389571_01</v>
      </c>
      <c r="BL695" s="7">
        <f>IFERROR(VLOOKUP(B695,'[1]model_S-フレーム'!$F$5:$V$7000,17,1),"")</f>
        <v>0</v>
      </c>
      <c r="BM695" t="str" cm="1">
        <f t="array" ref="BM695">_xlfn.IFS(LEFT(G695,1)="L","外注品",LEFT(G695,1)="W","内製品",G695="","購買品")</f>
        <v>内製品</v>
      </c>
    </row>
    <row r="696" spans="1:65">
      <c r="A696" t="str">
        <f t="shared" si="103"/>
        <v>WG01</v>
      </c>
      <c r="B696" t="s">
        <v>800</v>
      </c>
      <c r="C696" t="s">
        <v>925</v>
      </c>
      <c r="D696" s="7"/>
      <c r="E696" s="7"/>
      <c r="G696" t="s">
        <v>1939</v>
      </c>
      <c r="H696" t="str" cm="1">
        <f t="array" ref="H696">IFERROR(_xlfn.IFS(B696="","",AND(B696="",G696=""),"",G696="","記載要"),"")</f>
        <v/>
      </c>
      <c r="K696" t="str">
        <f t="shared" si="104"/>
        <v>11WP01002929</v>
      </c>
      <c r="L696" s="3" t="str">
        <f t="shared" si="105"/>
        <v>2001/01/01</v>
      </c>
      <c r="M696" s="3" t="str">
        <f t="shared" si="106"/>
        <v>2199/12/31</v>
      </c>
      <c r="N696" t="str">
        <f t="shared" si="107"/>
        <v>11WP01002929</v>
      </c>
      <c r="O696">
        <v>15</v>
      </c>
      <c r="Q696" t="str" cm="1">
        <f t="array" ref="Q696">_xlfn.IFS(AND(C696="",G696=""),"",LEFT(G696,1)="L","記載要",LEFT(G696,1)="W","",AND(C696,G696=""),"記載要")</f>
        <v/>
      </c>
      <c r="R696" s="21" t="str">
        <f t="shared" si="112"/>
        <v/>
      </c>
      <c r="S696" s="21"/>
      <c r="Z696" s="8"/>
      <c r="AA696">
        <v>1</v>
      </c>
      <c r="AB696">
        <f t="shared" si="108"/>
        <v>0</v>
      </c>
      <c r="AC696">
        <v>1</v>
      </c>
      <c r="AF696">
        <v>1</v>
      </c>
      <c r="AG696" s="8"/>
      <c r="AH696" s="8"/>
      <c r="AK696" cm="1">
        <f t="array" ref="AK696">_xlfn.IFS(B696="","",LEFT(G696,1)="L",1,LEFT(G696,1)="W",1,AND(LEFT(B696,1)="H",G696=""),0)</f>
        <v>1</v>
      </c>
      <c r="AS696" t="str">
        <f t="shared" si="109"/>
        <v/>
      </c>
      <c r="AT696" t="s">
        <v>115</v>
      </c>
      <c r="AU696" t="str">
        <f t="shared" si="110"/>
        <v>0</v>
      </c>
      <c r="BD696" t="str">
        <f t="shared" si="111"/>
        <v>0</v>
      </c>
      <c r="BK696" t="str">
        <f>IFERROR(VLOOKUP(B696,'[1]model_S-フレーム'!$F$5:$R$7000,13,1),"")</f>
        <v>E389571_01</v>
      </c>
      <c r="BL696" s="7">
        <f>IFERROR(VLOOKUP(B696,'[1]model_S-フレーム'!$F$5:$V$7000,17,1),"")</f>
        <v>0</v>
      </c>
      <c r="BM696" t="str" cm="1">
        <f t="array" ref="BM696">_xlfn.IFS(LEFT(G696,1)="L","外注品",LEFT(G696,1)="W","内製品",G696="","購買品")</f>
        <v>内製品</v>
      </c>
    </row>
    <row r="697" spans="1:65">
      <c r="A697" t="str">
        <f t="shared" si="103"/>
        <v>WG01</v>
      </c>
      <c r="B697" t="s">
        <v>801</v>
      </c>
      <c r="C697" t="s">
        <v>925</v>
      </c>
      <c r="D697" s="7"/>
      <c r="E697" s="7"/>
      <c r="G697" t="s">
        <v>1939</v>
      </c>
      <c r="H697" t="str" cm="1">
        <f t="array" ref="H697">IFERROR(_xlfn.IFS(B697="","",AND(B697="",G697=""),"",G697="","記載要"),"")</f>
        <v/>
      </c>
      <c r="K697" t="str">
        <f t="shared" si="104"/>
        <v>11WP01002930</v>
      </c>
      <c r="L697" s="3" t="str">
        <f t="shared" si="105"/>
        <v>2001/01/01</v>
      </c>
      <c r="M697" s="3" t="str">
        <f t="shared" si="106"/>
        <v>2199/12/31</v>
      </c>
      <c r="N697" t="str">
        <f t="shared" si="107"/>
        <v>11WP01002930</v>
      </c>
      <c r="O697">
        <v>15</v>
      </c>
      <c r="Q697" t="str" cm="1">
        <f t="array" ref="Q697">_xlfn.IFS(AND(C697="",G697=""),"",LEFT(G697,1)="L","記載要",LEFT(G697,1)="W","",AND(C697,G697=""),"記載要")</f>
        <v/>
      </c>
      <c r="R697" s="21" t="str">
        <f t="shared" si="112"/>
        <v/>
      </c>
      <c r="S697" s="21"/>
      <c r="Z697" s="8"/>
      <c r="AA697">
        <v>1</v>
      </c>
      <c r="AB697">
        <f t="shared" si="108"/>
        <v>0</v>
      </c>
      <c r="AC697">
        <v>1</v>
      </c>
      <c r="AF697">
        <v>1</v>
      </c>
      <c r="AG697" s="8"/>
      <c r="AH697" s="8"/>
      <c r="AK697" cm="1">
        <f t="array" ref="AK697">_xlfn.IFS(B697="","",LEFT(G697,1)="L",1,LEFT(G697,1)="W",1,AND(LEFT(B697,1)="H",G697=""),0)</f>
        <v>1</v>
      </c>
      <c r="AS697" t="str">
        <f t="shared" si="109"/>
        <v/>
      </c>
      <c r="AT697" t="s">
        <v>115</v>
      </c>
      <c r="AU697" t="str">
        <f t="shared" si="110"/>
        <v>0</v>
      </c>
      <c r="BD697" t="str">
        <f t="shared" si="111"/>
        <v>0</v>
      </c>
      <c r="BK697" t="str">
        <f>IFERROR(VLOOKUP(B697,'[1]model_S-フレーム'!$F$5:$R$7000,13,1),"")</f>
        <v>E389571_01</v>
      </c>
      <c r="BL697" s="7">
        <f>IFERROR(VLOOKUP(B697,'[1]model_S-フレーム'!$F$5:$V$7000,17,1),"")</f>
        <v>0</v>
      </c>
      <c r="BM697" t="str" cm="1">
        <f t="array" ref="BM697">_xlfn.IFS(LEFT(G697,1)="L","外注品",LEFT(G697,1)="W","内製品",G697="","購買品")</f>
        <v>内製品</v>
      </c>
    </row>
    <row r="698" spans="1:65">
      <c r="A698" t="str">
        <f t="shared" si="103"/>
        <v>WG01</v>
      </c>
      <c r="B698" t="s">
        <v>802</v>
      </c>
      <c r="C698" t="s">
        <v>925</v>
      </c>
      <c r="D698" s="7"/>
      <c r="E698" s="7"/>
      <c r="G698" t="s">
        <v>1939</v>
      </c>
      <c r="H698" t="str" cm="1">
        <f t="array" ref="H698">IFERROR(_xlfn.IFS(B698="","",AND(B698="",G698=""),"",G698="","記載要"),"")</f>
        <v/>
      </c>
      <c r="K698" t="str">
        <f t="shared" si="104"/>
        <v>11WP01002931</v>
      </c>
      <c r="L698" s="3" t="str">
        <f t="shared" si="105"/>
        <v>2001/01/01</v>
      </c>
      <c r="M698" s="3" t="str">
        <f t="shared" si="106"/>
        <v>2199/12/31</v>
      </c>
      <c r="N698" t="str">
        <f t="shared" si="107"/>
        <v>11WP01002931</v>
      </c>
      <c r="O698">
        <v>15</v>
      </c>
      <c r="Q698" t="str" cm="1">
        <f t="array" ref="Q698">_xlfn.IFS(AND(C698="",G698=""),"",LEFT(G698,1)="L","記載要",LEFT(G698,1)="W","",AND(C698,G698=""),"記載要")</f>
        <v/>
      </c>
      <c r="R698" s="21" t="str">
        <f t="shared" si="112"/>
        <v/>
      </c>
      <c r="S698" s="21"/>
      <c r="Z698" s="8"/>
      <c r="AA698">
        <v>1</v>
      </c>
      <c r="AB698">
        <f t="shared" si="108"/>
        <v>0</v>
      </c>
      <c r="AC698">
        <v>1</v>
      </c>
      <c r="AF698">
        <v>1</v>
      </c>
      <c r="AG698" s="8"/>
      <c r="AH698" s="8"/>
      <c r="AK698" cm="1">
        <f t="array" ref="AK698">_xlfn.IFS(B698="","",LEFT(G698,1)="L",1,LEFT(G698,1)="W",1,AND(LEFT(B698,1)="H",G698=""),0)</f>
        <v>1</v>
      </c>
      <c r="AS698" t="str">
        <f t="shared" si="109"/>
        <v/>
      </c>
      <c r="AT698" t="s">
        <v>115</v>
      </c>
      <c r="AU698" t="str">
        <f t="shared" si="110"/>
        <v>0</v>
      </c>
      <c r="BD698" t="str">
        <f t="shared" si="111"/>
        <v>0</v>
      </c>
      <c r="BK698" t="str">
        <f>IFERROR(VLOOKUP(B698,'[1]model_S-フレーム'!$F$5:$R$7000,13,1),"")</f>
        <v>E389571_01</v>
      </c>
      <c r="BL698" s="7">
        <f>IFERROR(VLOOKUP(B698,'[1]model_S-フレーム'!$F$5:$V$7000,17,1),"")</f>
        <v>0</v>
      </c>
      <c r="BM698" t="str" cm="1">
        <f t="array" ref="BM698">_xlfn.IFS(LEFT(G698,1)="L","外注品",LEFT(G698,1)="W","内製品",G698="","購買品")</f>
        <v>内製品</v>
      </c>
    </row>
    <row r="699" spans="1:65">
      <c r="A699" t="str">
        <f t="shared" si="103"/>
        <v>WG01</v>
      </c>
      <c r="B699" t="s">
        <v>803</v>
      </c>
      <c r="C699" t="s">
        <v>925</v>
      </c>
      <c r="D699" s="7"/>
      <c r="E699" s="7"/>
      <c r="G699" t="s">
        <v>1939</v>
      </c>
      <c r="H699" t="str" cm="1">
        <f t="array" ref="H699">IFERROR(_xlfn.IFS(B699="","",AND(B699="",G699=""),"",G699="","記載要"),"")</f>
        <v/>
      </c>
      <c r="K699" t="str">
        <f t="shared" si="104"/>
        <v>11WP01002932</v>
      </c>
      <c r="L699" s="3" t="str">
        <f t="shared" si="105"/>
        <v>2001/01/01</v>
      </c>
      <c r="M699" s="3" t="str">
        <f t="shared" si="106"/>
        <v>2199/12/31</v>
      </c>
      <c r="N699" t="str">
        <f t="shared" si="107"/>
        <v>11WP01002932</v>
      </c>
      <c r="O699">
        <v>15</v>
      </c>
      <c r="Q699" t="str" cm="1">
        <f t="array" ref="Q699">_xlfn.IFS(AND(C699="",G699=""),"",LEFT(G699,1)="L","記載要",LEFT(G699,1)="W","",AND(C699,G699=""),"記載要")</f>
        <v/>
      </c>
      <c r="R699" s="21" t="str">
        <f t="shared" si="112"/>
        <v/>
      </c>
      <c r="S699" s="21"/>
      <c r="Z699" s="8"/>
      <c r="AA699">
        <v>1</v>
      </c>
      <c r="AB699">
        <f t="shared" si="108"/>
        <v>0</v>
      </c>
      <c r="AC699">
        <v>1</v>
      </c>
      <c r="AF699">
        <v>1</v>
      </c>
      <c r="AG699" s="8"/>
      <c r="AH699" s="8"/>
      <c r="AK699" cm="1">
        <f t="array" ref="AK699">_xlfn.IFS(B699="","",LEFT(G699,1)="L",1,LEFT(G699,1)="W",1,AND(LEFT(B699,1)="H",G699=""),0)</f>
        <v>1</v>
      </c>
      <c r="AS699" t="str">
        <f t="shared" si="109"/>
        <v/>
      </c>
      <c r="AT699" t="s">
        <v>115</v>
      </c>
      <c r="AU699" t="str">
        <f t="shared" si="110"/>
        <v>0</v>
      </c>
      <c r="BD699" t="str">
        <f t="shared" si="111"/>
        <v>0</v>
      </c>
      <c r="BK699" t="str">
        <f>IFERROR(VLOOKUP(B699,'[1]model_S-フレーム'!$F$5:$R$7000,13,1),"")</f>
        <v>E389571_01</v>
      </c>
      <c r="BL699" s="7">
        <f>IFERROR(VLOOKUP(B699,'[1]model_S-フレーム'!$F$5:$V$7000,17,1),"")</f>
        <v>0</v>
      </c>
      <c r="BM699" t="str" cm="1">
        <f t="array" ref="BM699">_xlfn.IFS(LEFT(G699,1)="L","外注品",LEFT(G699,1)="W","内製品",G699="","購買品")</f>
        <v>内製品</v>
      </c>
    </row>
    <row r="700" spans="1:65">
      <c r="A700" t="str">
        <f t="shared" si="103"/>
        <v>WG01</v>
      </c>
      <c r="B700" t="s">
        <v>804</v>
      </c>
      <c r="C700" t="s">
        <v>925</v>
      </c>
      <c r="D700" s="7"/>
      <c r="E700" s="7"/>
      <c r="G700" t="s">
        <v>1939</v>
      </c>
      <c r="H700" t="str" cm="1">
        <f t="array" ref="H700">IFERROR(_xlfn.IFS(B700="","",AND(B700="",G700=""),"",G700="","記載要"),"")</f>
        <v/>
      </c>
      <c r="K700" t="str">
        <f t="shared" si="104"/>
        <v>11WP01002933</v>
      </c>
      <c r="L700" s="3" t="str">
        <f t="shared" si="105"/>
        <v>2001/01/01</v>
      </c>
      <c r="M700" s="3" t="str">
        <f t="shared" si="106"/>
        <v>2199/12/31</v>
      </c>
      <c r="N700" t="str">
        <f t="shared" si="107"/>
        <v>11WP01002933</v>
      </c>
      <c r="O700">
        <v>15</v>
      </c>
      <c r="Q700" t="str" cm="1">
        <f t="array" ref="Q700">_xlfn.IFS(AND(C700="",G700=""),"",LEFT(G700,1)="L","記載要",LEFT(G700,1)="W","",AND(C700,G700=""),"記載要")</f>
        <v/>
      </c>
      <c r="R700" s="21" t="str">
        <f t="shared" si="112"/>
        <v/>
      </c>
      <c r="S700" s="21"/>
      <c r="Z700" s="8"/>
      <c r="AA700">
        <v>1</v>
      </c>
      <c r="AB700">
        <f t="shared" si="108"/>
        <v>0</v>
      </c>
      <c r="AC700">
        <v>1</v>
      </c>
      <c r="AF700">
        <v>1</v>
      </c>
      <c r="AG700" s="8"/>
      <c r="AH700" s="8"/>
      <c r="AK700" cm="1">
        <f t="array" ref="AK700">_xlfn.IFS(B700="","",LEFT(G700,1)="L",1,LEFT(G700,1)="W",1,AND(LEFT(B700,1)="H",G700=""),0)</f>
        <v>1</v>
      </c>
      <c r="AS700" t="str">
        <f t="shared" si="109"/>
        <v/>
      </c>
      <c r="AT700" t="s">
        <v>115</v>
      </c>
      <c r="AU700" t="str">
        <f t="shared" si="110"/>
        <v>0</v>
      </c>
      <c r="BD700" t="str">
        <f t="shared" si="111"/>
        <v>0</v>
      </c>
      <c r="BK700" t="str">
        <f>IFERROR(VLOOKUP(B700,'[1]model_S-フレーム'!$F$5:$R$7000,13,1),"")</f>
        <v>E389571_01</v>
      </c>
      <c r="BL700" s="7">
        <f>IFERROR(VLOOKUP(B700,'[1]model_S-フレーム'!$F$5:$V$7000,17,1),"")</f>
        <v>0</v>
      </c>
      <c r="BM700" t="str" cm="1">
        <f t="array" ref="BM700">_xlfn.IFS(LEFT(G700,1)="L","外注品",LEFT(G700,1)="W","内製品",G700="","購買品")</f>
        <v>内製品</v>
      </c>
    </row>
    <row r="701" spans="1:65">
      <c r="A701" t="str">
        <f t="shared" si="103"/>
        <v>WG01</v>
      </c>
      <c r="B701" t="s">
        <v>805</v>
      </c>
      <c r="C701" t="s">
        <v>925</v>
      </c>
      <c r="D701" s="7"/>
      <c r="E701" s="7"/>
      <c r="G701" t="s">
        <v>1939</v>
      </c>
      <c r="H701" t="str" cm="1">
        <f t="array" ref="H701">IFERROR(_xlfn.IFS(B701="","",AND(B701="",G701=""),"",G701="","記載要"),"")</f>
        <v/>
      </c>
      <c r="K701" t="str">
        <f t="shared" si="104"/>
        <v>11WP01002934</v>
      </c>
      <c r="L701" s="3" t="str">
        <f t="shared" si="105"/>
        <v>2001/01/01</v>
      </c>
      <c r="M701" s="3" t="str">
        <f t="shared" si="106"/>
        <v>2199/12/31</v>
      </c>
      <c r="N701" t="str">
        <f t="shared" si="107"/>
        <v>11WP01002934</v>
      </c>
      <c r="O701">
        <v>15</v>
      </c>
      <c r="Q701" t="str" cm="1">
        <f t="array" ref="Q701">_xlfn.IFS(AND(C701="",G701=""),"",LEFT(G701,1)="L","記載要",LEFT(G701,1)="W","",AND(C701,G701=""),"記載要")</f>
        <v/>
      </c>
      <c r="R701" s="21" t="str">
        <f t="shared" si="112"/>
        <v/>
      </c>
      <c r="S701" s="21"/>
      <c r="Z701" s="8"/>
      <c r="AA701">
        <v>1</v>
      </c>
      <c r="AB701">
        <f t="shared" si="108"/>
        <v>0</v>
      </c>
      <c r="AC701">
        <v>1</v>
      </c>
      <c r="AF701">
        <v>1</v>
      </c>
      <c r="AG701" s="8"/>
      <c r="AH701" s="8"/>
      <c r="AK701" cm="1">
        <f t="array" ref="AK701">_xlfn.IFS(B701="","",LEFT(G701,1)="L",1,LEFT(G701,1)="W",1,AND(LEFT(B701,1)="H",G701=""),0)</f>
        <v>1</v>
      </c>
      <c r="AS701" t="str">
        <f t="shared" si="109"/>
        <v/>
      </c>
      <c r="AT701" t="s">
        <v>115</v>
      </c>
      <c r="AU701" t="str">
        <f t="shared" si="110"/>
        <v>0</v>
      </c>
      <c r="BD701" t="str">
        <f t="shared" si="111"/>
        <v>0</v>
      </c>
      <c r="BK701" t="str">
        <f>IFERROR(VLOOKUP(B701,'[1]model_S-フレーム'!$F$5:$R$7000,13,1),"")</f>
        <v>E389571_01</v>
      </c>
      <c r="BL701" s="7">
        <f>IFERROR(VLOOKUP(B701,'[1]model_S-フレーム'!$F$5:$V$7000,17,1),"")</f>
        <v>0</v>
      </c>
      <c r="BM701" t="str" cm="1">
        <f t="array" ref="BM701">_xlfn.IFS(LEFT(G701,1)="L","外注品",LEFT(G701,1)="W","内製品",G701="","購買品")</f>
        <v>内製品</v>
      </c>
    </row>
    <row r="702" spans="1:65">
      <c r="A702" t="str">
        <f t="shared" si="103"/>
        <v>WG01</v>
      </c>
      <c r="B702" t="s">
        <v>806</v>
      </c>
      <c r="C702" t="s">
        <v>925</v>
      </c>
      <c r="D702" s="7"/>
      <c r="E702" s="7"/>
      <c r="G702" t="s">
        <v>1939</v>
      </c>
      <c r="H702" t="str" cm="1">
        <f t="array" ref="H702">IFERROR(_xlfn.IFS(B702="","",AND(B702="",G702=""),"",G702="","記載要"),"")</f>
        <v/>
      </c>
      <c r="K702" t="str">
        <f t="shared" si="104"/>
        <v>11WP01002935</v>
      </c>
      <c r="L702" s="3" t="str">
        <f t="shared" si="105"/>
        <v>2001/01/01</v>
      </c>
      <c r="M702" s="3" t="str">
        <f t="shared" si="106"/>
        <v>2199/12/31</v>
      </c>
      <c r="N702" t="str">
        <f t="shared" si="107"/>
        <v>11WP01002935</v>
      </c>
      <c r="O702">
        <v>15</v>
      </c>
      <c r="Q702" t="str" cm="1">
        <f t="array" ref="Q702">_xlfn.IFS(AND(C702="",G702=""),"",LEFT(G702,1)="L","記載要",LEFT(G702,1)="W","",AND(C702,G702=""),"記載要")</f>
        <v/>
      </c>
      <c r="R702" s="21" t="str">
        <f t="shared" si="112"/>
        <v/>
      </c>
      <c r="S702" s="21"/>
      <c r="Z702" s="8"/>
      <c r="AA702">
        <v>1</v>
      </c>
      <c r="AB702">
        <f t="shared" si="108"/>
        <v>0</v>
      </c>
      <c r="AC702">
        <v>1</v>
      </c>
      <c r="AF702">
        <v>1</v>
      </c>
      <c r="AG702" s="8"/>
      <c r="AH702" s="8"/>
      <c r="AK702" cm="1">
        <f t="array" ref="AK702">_xlfn.IFS(B702="","",LEFT(G702,1)="L",1,LEFT(G702,1)="W",1,AND(LEFT(B702,1)="H",G702=""),0)</f>
        <v>1</v>
      </c>
      <c r="AS702" t="str">
        <f t="shared" si="109"/>
        <v/>
      </c>
      <c r="AT702" t="s">
        <v>115</v>
      </c>
      <c r="AU702" t="str">
        <f t="shared" si="110"/>
        <v>0</v>
      </c>
      <c r="BD702" t="str">
        <f t="shared" si="111"/>
        <v>0</v>
      </c>
      <c r="BK702" t="str">
        <f>IFERROR(VLOOKUP(B702,'[1]model_S-フレーム'!$F$5:$R$7000,13,1),"")</f>
        <v>E389571_01</v>
      </c>
      <c r="BL702" s="7">
        <f>IFERROR(VLOOKUP(B702,'[1]model_S-フレーム'!$F$5:$V$7000,17,1),"")</f>
        <v>0</v>
      </c>
      <c r="BM702" t="str" cm="1">
        <f t="array" ref="BM702">_xlfn.IFS(LEFT(G702,1)="L","外注品",LEFT(G702,1)="W","内製品",G702="","購買品")</f>
        <v>内製品</v>
      </c>
    </row>
    <row r="703" spans="1:65">
      <c r="A703" t="str">
        <f t="shared" si="103"/>
        <v>WG01</v>
      </c>
      <c r="B703" t="s">
        <v>807</v>
      </c>
      <c r="C703" t="s">
        <v>925</v>
      </c>
      <c r="D703" s="7"/>
      <c r="E703" s="7"/>
      <c r="G703" t="s">
        <v>1939</v>
      </c>
      <c r="H703" t="str" cm="1">
        <f t="array" ref="H703">IFERROR(_xlfn.IFS(B703="","",AND(B703="",G703=""),"",G703="","記載要"),"")</f>
        <v/>
      </c>
      <c r="K703" t="str">
        <f t="shared" si="104"/>
        <v>11WP01002936</v>
      </c>
      <c r="L703" s="3" t="str">
        <f t="shared" si="105"/>
        <v>2001/01/01</v>
      </c>
      <c r="M703" s="3" t="str">
        <f t="shared" si="106"/>
        <v>2199/12/31</v>
      </c>
      <c r="N703" t="str">
        <f t="shared" si="107"/>
        <v>11WP01002936</v>
      </c>
      <c r="O703">
        <v>15</v>
      </c>
      <c r="Q703" t="str" cm="1">
        <f t="array" ref="Q703">_xlfn.IFS(AND(C703="",G703=""),"",LEFT(G703,1)="L","記載要",LEFT(G703,1)="W","",AND(C703,G703=""),"記載要")</f>
        <v/>
      </c>
      <c r="R703" s="21" t="str">
        <f t="shared" si="112"/>
        <v/>
      </c>
      <c r="S703" s="21"/>
      <c r="Z703" s="8"/>
      <c r="AA703">
        <v>1</v>
      </c>
      <c r="AB703">
        <f t="shared" si="108"/>
        <v>0</v>
      </c>
      <c r="AC703">
        <v>1</v>
      </c>
      <c r="AF703">
        <v>1</v>
      </c>
      <c r="AG703" s="8"/>
      <c r="AH703" s="8"/>
      <c r="AK703" cm="1">
        <f t="array" ref="AK703">_xlfn.IFS(B703="","",LEFT(G703,1)="L",1,LEFT(G703,1)="W",1,AND(LEFT(B703,1)="H",G703=""),0)</f>
        <v>1</v>
      </c>
      <c r="AS703" t="str">
        <f t="shared" si="109"/>
        <v/>
      </c>
      <c r="AT703" t="s">
        <v>115</v>
      </c>
      <c r="AU703" t="str">
        <f t="shared" si="110"/>
        <v>0</v>
      </c>
      <c r="BD703" t="str">
        <f t="shared" si="111"/>
        <v>0</v>
      </c>
      <c r="BK703" t="str">
        <f>IFERROR(VLOOKUP(B703,'[1]model_S-フレーム'!$F$5:$R$7000,13,1),"")</f>
        <v>E389571_01</v>
      </c>
      <c r="BL703" s="7">
        <f>IFERROR(VLOOKUP(B703,'[1]model_S-フレーム'!$F$5:$V$7000,17,1),"")</f>
        <v>0</v>
      </c>
      <c r="BM703" t="str" cm="1">
        <f t="array" ref="BM703">_xlfn.IFS(LEFT(G703,1)="L","外注品",LEFT(G703,1)="W","内製品",G703="","購買品")</f>
        <v>内製品</v>
      </c>
    </row>
    <row r="704" spans="1:65">
      <c r="A704" t="str">
        <f t="shared" si="103"/>
        <v>WG01</v>
      </c>
      <c r="B704" t="s">
        <v>808</v>
      </c>
      <c r="C704" t="s">
        <v>925</v>
      </c>
      <c r="D704" s="7"/>
      <c r="E704" s="7"/>
      <c r="G704" t="s">
        <v>1939</v>
      </c>
      <c r="H704" t="str" cm="1">
        <f t="array" ref="H704">IFERROR(_xlfn.IFS(B704="","",AND(B704="",G704=""),"",G704="","記載要"),"")</f>
        <v/>
      </c>
      <c r="K704" t="str">
        <f t="shared" si="104"/>
        <v>11WP01002937</v>
      </c>
      <c r="L704" s="3" t="str">
        <f t="shared" si="105"/>
        <v>2001/01/01</v>
      </c>
      <c r="M704" s="3" t="str">
        <f t="shared" si="106"/>
        <v>2199/12/31</v>
      </c>
      <c r="N704" t="str">
        <f t="shared" si="107"/>
        <v>11WP01002937</v>
      </c>
      <c r="O704">
        <v>15</v>
      </c>
      <c r="Q704" t="str" cm="1">
        <f t="array" ref="Q704">_xlfn.IFS(AND(C704="",G704=""),"",LEFT(G704,1)="L","記載要",LEFT(G704,1)="W","",AND(C704,G704=""),"記載要")</f>
        <v/>
      </c>
      <c r="R704" s="21" t="str">
        <f t="shared" si="112"/>
        <v/>
      </c>
      <c r="S704" s="21"/>
      <c r="Z704" s="8"/>
      <c r="AA704">
        <v>1</v>
      </c>
      <c r="AB704">
        <f t="shared" si="108"/>
        <v>0</v>
      </c>
      <c r="AC704">
        <v>1</v>
      </c>
      <c r="AF704">
        <v>1</v>
      </c>
      <c r="AG704" s="8"/>
      <c r="AH704" s="8"/>
      <c r="AK704" cm="1">
        <f t="array" ref="AK704">_xlfn.IFS(B704="","",LEFT(G704,1)="L",1,LEFT(G704,1)="W",1,AND(LEFT(B704,1)="H",G704=""),0)</f>
        <v>1</v>
      </c>
      <c r="AS704" t="str">
        <f t="shared" si="109"/>
        <v/>
      </c>
      <c r="AT704" t="s">
        <v>115</v>
      </c>
      <c r="AU704" t="str">
        <f t="shared" si="110"/>
        <v>0</v>
      </c>
      <c r="BD704" t="str">
        <f t="shared" si="111"/>
        <v>0</v>
      </c>
      <c r="BK704" t="str">
        <f>IFERROR(VLOOKUP(B704,'[1]model_S-フレーム'!$F$5:$R$7000,13,1),"")</f>
        <v>E389571_01</v>
      </c>
      <c r="BL704" s="7">
        <f>IFERROR(VLOOKUP(B704,'[1]model_S-フレーム'!$F$5:$V$7000,17,1),"")</f>
        <v>0</v>
      </c>
      <c r="BM704" t="str" cm="1">
        <f t="array" ref="BM704">_xlfn.IFS(LEFT(G704,1)="L","外注品",LEFT(G704,1)="W","内製品",G704="","購買品")</f>
        <v>内製品</v>
      </c>
    </row>
    <row r="705" spans="1:65">
      <c r="A705" t="str">
        <f t="shared" si="103"/>
        <v>WG01</v>
      </c>
      <c r="B705" t="s">
        <v>809</v>
      </c>
      <c r="C705" t="s">
        <v>925</v>
      </c>
      <c r="D705" s="7"/>
      <c r="E705" s="7"/>
      <c r="G705" t="s">
        <v>1939</v>
      </c>
      <c r="H705" t="str" cm="1">
        <f t="array" ref="H705">IFERROR(_xlfn.IFS(B705="","",AND(B705="",G705=""),"",G705="","記載要"),"")</f>
        <v/>
      </c>
      <c r="K705" t="str">
        <f t="shared" si="104"/>
        <v>11WP01002938</v>
      </c>
      <c r="L705" s="3" t="str">
        <f t="shared" si="105"/>
        <v>2001/01/01</v>
      </c>
      <c r="M705" s="3" t="str">
        <f t="shared" si="106"/>
        <v>2199/12/31</v>
      </c>
      <c r="N705" t="str">
        <f t="shared" si="107"/>
        <v>11WP01002938</v>
      </c>
      <c r="O705">
        <v>15</v>
      </c>
      <c r="Q705" t="str" cm="1">
        <f t="array" ref="Q705">_xlfn.IFS(AND(C705="",G705=""),"",LEFT(G705,1)="L","記載要",LEFT(G705,1)="W","",AND(C705,G705=""),"記載要")</f>
        <v/>
      </c>
      <c r="R705" s="21" t="str">
        <f t="shared" si="112"/>
        <v/>
      </c>
      <c r="S705" s="21"/>
      <c r="Z705" s="8"/>
      <c r="AA705">
        <v>1</v>
      </c>
      <c r="AB705">
        <f t="shared" si="108"/>
        <v>0</v>
      </c>
      <c r="AC705">
        <v>1</v>
      </c>
      <c r="AF705">
        <v>1</v>
      </c>
      <c r="AG705" s="8"/>
      <c r="AH705" s="8"/>
      <c r="AK705" cm="1">
        <f t="array" ref="AK705">_xlfn.IFS(B705="","",LEFT(G705,1)="L",1,LEFT(G705,1)="W",1,AND(LEFT(B705,1)="H",G705=""),0)</f>
        <v>1</v>
      </c>
      <c r="AS705" t="str">
        <f t="shared" si="109"/>
        <v/>
      </c>
      <c r="AT705" t="s">
        <v>115</v>
      </c>
      <c r="AU705" t="str">
        <f t="shared" si="110"/>
        <v>0</v>
      </c>
      <c r="BD705" t="str">
        <f t="shared" si="111"/>
        <v>0</v>
      </c>
      <c r="BK705" t="str">
        <f>IFERROR(VLOOKUP(B705,'[1]model_S-フレーム'!$F$5:$R$7000,13,1),"")</f>
        <v>E389571_01</v>
      </c>
      <c r="BL705" s="7">
        <f>IFERROR(VLOOKUP(B705,'[1]model_S-フレーム'!$F$5:$V$7000,17,1),"")</f>
        <v>0</v>
      </c>
      <c r="BM705" t="str" cm="1">
        <f t="array" ref="BM705">_xlfn.IFS(LEFT(G705,1)="L","外注品",LEFT(G705,1)="W","内製品",G705="","購買品")</f>
        <v>内製品</v>
      </c>
    </row>
    <row r="706" spans="1:65">
      <c r="A706" t="str">
        <f t="shared" si="103"/>
        <v>WG01</v>
      </c>
      <c r="B706" t="s">
        <v>810</v>
      </c>
      <c r="C706" t="s">
        <v>925</v>
      </c>
      <c r="D706" s="7"/>
      <c r="E706" s="7"/>
      <c r="G706" t="s">
        <v>1939</v>
      </c>
      <c r="H706" t="str" cm="1">
        <f t="array" ref="H706">IFERROR(_xlfn.IFS(B706="","",AND(B706="",G706=""),"",G706="","記載要"),"")</f>
        <v/>
      </c>
      <c r="K706" t="str">
        <f t="shared" si="104"/>
        <v>11WP01002939</v>
      </c>
      <c r="L706" s="3" t="str">
        <f t="shared" si="105"/>
        <v>2001/01/01</v>
      </c>
      <c r="M706" s="3" t="str">
        <f t="shared" si="106"/>
        <v>2199/12/31</v>
      </c>
      <c r="N706" t="str">
        <f t="shared" si="107"/>
        <v>11WP01002939</v>
      </c>
      <c r="O706">
        <v>15</v>
      </c>
      <c r="Q706" t="str" cm="1">
        <f t="array" ref="Q706">_xlfn.IFS(AND(C706="",G706=""),"",LEFT(G706,1)="L","記載要",LEFT(G706,1)="W","",AND(C706,G706=""),"記載要")</f>
        <v/>
      </c>
      <c r="R706" s="21" t="str">
        <f t="shared" si="112"/>
        <v/>
      </c>
      <c r="S706" s="21"/>
      <c r="Z706" s="8"/>
      <c r="AA706">
        <v>1</v>
      </c>
      <c r="AB706">
        <f t="shared" si="108"/>
        <v>0</v>
      </c>
      <c r="AC706">
        <v>1</v>
      </c>
      <c r="AF706">
        <v>1</v>
      </c>
      <c r="AG706" s="8"/>
      <c r="AH706" s="8"/>
      <c r="AK706" cm="1">
        <f t="array" ref="AK706">_xlfn.IFS(B706="","",LEFT(G706,1)="L",1,LEFT(G706,1)="W",1,AND(LEFT(B706,1)="H",G706=""),0)</f>
        <v>1</v>
      </c>
      <c r="AS706" t="str">
        <f t="shared" si="109"/>
        <v/>
      </c>
      <c r="AT706" t="s">
        <v>115</v>
      </c>
      <c r="AU706" t="str">
        <f t="shared" si="110"/>
        <v>0</v>
      </c>
      <c r="BD706" t="str">
        <f t="shared" si="111"/>
        <v>0</v>
      </c>
      <c r="BK706" t="str">
        <f>IFERROR(VLOOKUP(B706,'[1]model_S-フレーム'!$F$5:$R$7000,13,1),"")</f>
        <v>E389571_01</v>
      </c>
      <c r="BL706" s="7">
        <f>IFERROR(VLOOKUP(B706,'[1]model_S-フレーム'!$F$5:$V$7000,17,1),"")</f>
        <v>0</v>
      </c>
      <c r="BM706" t="str" cm="1">
        <f t="array" ref="BM706">_xlfn.IFS(LEFT(G706,1)="L","外注品",LEFT(G706,1)="W","内製品",G706="","購買品")</f>
        <v>内製品</v>
      </c>
    </row>
    <row r="707" spans="1:65">
      <c r="A707" t="str">
        <f t="shared" ref="A707:A770" si="113">IF(B707="","","WG01")</f>
        <v>WG01</v>
      </c>
      <c r="B707" t="s">
        <v>811</v>
      </c>
      <c r="C707" t="s">
        <v>925</v>
      </c>
      <c r="D707" s="7"/>
      <c r="E707" s="7"/>
      <c r="G707" t="s">
        <v>1939</v>
      </c>
      <c r="H707" t="str" cm="1">
        <f t="array" ref="H707">IFERROR(_xlfn.IFS(B707="","",AND(B707="",G707=""),"",G707="","記載要"),"")</f>
        <v/>
      </c>
      <c r="K707" t="str">
        <f t="shared" ref="K707:K770" si="114">IF(G707="","","11"&amp;G707&amp;RIGHT(B707,5))</f>
        <v>11WP01002940</v>
      </c>
      <c r="L707" s="3" t="str">
        <f t="shared" ref="L707:L770" si="115">IF(B707="","","2001/01/01")</f>
        <v>2001/01/01</v>
      </c>
      <c r="M707" s="3" t="str">
        <f t="shared" ref="M707:M770" si="116">IF(C707="","","2199/12/31")</f>
        <v>2199/12/31</v>
      </c>
      <c r="N707" t="str">
        <f t="shared" ref="N707:N770" si="117">IF(LEFT(G707,1)="W",K707,"")</f>
        <v>11WP01002940</v>
      </c>
      <c r="O707">
        <v>15</v>
      </c>
      <c r="Q707" t="str" cm="1">
        <f t="array" ref="Q707">_xlfn.IFS(AND(C707="",G707=""),"",LEFT(G707,1)="L","記載要",LEFT(G707,1)="W","",AND(C707,G707=""),"記載要")</f>
        <v/>
      </c>
      <c r="R707" s="21" t="str">
        <f t="shared" si="112"/>
        <v/>
      </c>
      <c r="S707" s="21"/>
      <c r="Z707" s="8"/>
      <c r="AA707">
        <v>1</v>
      </c>
      <c r="AB707">
        <f t="shared" ref="AB707:AB770" si="118">IF(B707="","",0)</f>
        <v>0</v>
      </c>
      <c r="AC707">
        <v>1</v>
      </c>
      <c r="AF707">
        <v>1</v>
      </c>
      <c r="AG707" s="8"/>
      <c r="AH707" s="8"/>
      <c r="AK707" cm="1">
        <f t="array" ref="AK707">_xlfn.IFS(B707="","",LEFT(G707,1)="L",1,LEFT(G707,1)="W",1,AND(LEFT(B707,1)="H",G707=""),0)</f>
        <v>1</v>
      </c>
      <c r="AS707" t="str">
        <f t="shared" ref="AS707:AS770" si="119">IF(Q707="","",1)</f>
        <v/>
      </c>
      <c r="AT707" t="s">
        <v>115</v>
      </c>
      <c r="AU707" t="str">
        <f t="shared" ref="AU707:AU770" si="120">IF(B707="","","0")</f>
        <v>0</v>
      </c>
      <c r="BD707" t="str">
        <f t="shared" ref="BD707:BD770" si="121">IF(B707="","","0")</f>
        <v>0</v>
      </c>
      <c r="BK707" t="str">
        <f>IFERROR(VLOOKUP(B707,'[1]model_S-フレーム'!$F$5:$R$7000,13,1),"")</f>
        <v>E389571_01</v>
      </c>
      <c r="BL707" s="7">
        <f>IFERROR(VLOOKUP(B707,'[1]model_S-フレーム'!$F$5:$V$7000,17,1),"")</f>
        <v>0</v>
      </c>
      <c r="BM707" t="str" cm="1">
        <f t="array" ref="BM707">_xlfn.IFS(LEFT(G707,1)="L","外注品",LEFT(G707,1)="W","内製品",G707="","購買品")</f>
        <v>内製品</v>
      </c>
    </row>
    <row r="708" spans="1:65">
      <c r="A708" t="str">
        <f t="shared" si="113"/>
        <v>WG01</v>
      </c>
      <c r="B708" t="s">
        <v>812</v>
      </c>
      <c r="C708" t="s">
        <v>925</v>
      </c>
      <c r="D708" s="7"/>
      <c r="E708" s="7"/>
      <c r="G708" t="s">
        <v>1939</v>
      </c>
      <c r="H708" t="str" cm="1">
        <f t="array" ref="H708">IFERROR(_xlfn.IFS(B708="","",AND(B708="",G708=""),"",G708="","記載要"),"")</f>
        <v/>
      </c>
      <c r="K708" t="str">
        <f t="shared" si="114"/>
        <v>11WP01002941</v>
      </c>
      <c r="L708" s="3" t="str">
        <f t="shared" si="115"/>
        <v>2001/01/01</v>
      </c>
      <c r="M708" s="3" t="str">
        <f t="shared" si="116"/>
        <v>2199/12/31</v>
      </c>
      <c r="N708" t="str">
        <f t="shared" si="117"/>
        <v>11WP01002941</v>
      </c>
      <c r="O708">
        <v>15</v>
      </c>
      <c r="Q708" t="str" cm="1">
        <f t="array" ref="Q708">_xlfn.IFS(AND(C708="",G708=""),"",LEFT(G708,1)="L","記載要",LEFT(G708,1)="W","",AND(C708,G708=""),"記載要")</f>
        <v/>
      </c>
      <c r="R708" s="21" t="str">
        <f t="shared" ref="R708:R771" si="122">IF(H708="","","記載要")</f>
        <v/>
      </c>
      <c r="S708" s="21"/>
      <c r="Z708" s="8"/>
      <c r="AA708">
        <v>1</v>
      </c>
      <c r="AB708">
        <f t="shared" si="118"/>
        <v>0</v>
      </c>
      <c r="AC708">
        <v>1</v>
      </c>
      <c r="AF708">
        <v>1</v>
      </c>
      <c r="AG708" s="8"/>
      <c r="AH708" s="8"/>
      <c r="AK708" cm="1">
        <f t="array" ref="AK708">_xlfn.IFS(B708="","",LEFT(G708,1)="L",1,LEFT(G708,1)="W",1,AND(LEFT(B708,1)="H",G708=""),0)</f>
        <v>1</v>
      </c>
      <c r="AS708" t="str">
        <f t="shared" si="119"/>
        <v/>
      </c>
      <c r="AT708" t="s">
        <v>115</v>
      </c>
      <c r="AU708" t="str">
        <f t="shared" si="120"/>
        <v>0</v>
      </c>
      <c r="BD708" t="str">
        <f t="shared" si="121"/>
        <v>0</v>
      </c>
      <c r="BK708" t="str">
        <f>IFERROR(VLOOKUP(B708,'[1]model_S-フレーム'!$F$5:$R$7000,13,1),"")</f>
        <v>E389571_01</v>
      </c>
      <c r="BL708" s="7">
        <f>IFERROR(VLOOKUP(B708,'[1]model_S-フレーム'!$F$5:$V$7000,17,1),"")</f>
        <v>0</v>
      </c>
      <c r="BM708" t="str" cm="1">
        <f t="array" ref="BM708">_xlfn.IFS(LEFT(G708,1)="L","外注品",LEFT(G708,1)="W","内製品",G708="","購買品")</f>
        <v>内製品</v>
      </c>
    </row>
    <row r="709" spans="1:65">
      <c r="A709" t="str">
        <f t="shared" si="113"/>
        <v>WG01</v>
      </c>
      <c r="B709" t="s">
        <v>813</v>
      </c>
      <c r="C709" t="s">
        <v>925</v>
      </c>
      <c r="D709" s="7"/>
      <c r="E709" s="7"/>
      <c r="G709" t="s">
        <v>1939</v>
      </c>
      <c r="H709" t="str" cm="1">
        <f t="array" ref="H709">IFERROR(_xlfn.IFS(B709="","",AND(B709="",G709=""),"",G709="","記載要"),"")</f>
        <v/>
      </c>
      <c r="K709" t="str">
        <f t="shared" si="114"/>
        <v>11WP01002942</v>
      </c>
      <c r="L709" s="3" t="str">
        <f t="shared" si="115"/>
        <v>2001/01/01</v>
      </c>
      <c r="M709" s="3" t="str">
        <f t="shared" si="116"/>
        <v>2199/12/31</v>
      </c>
      <c r="N709" t="str">
        <f t="shared" si="117"/>
        <v>11WP01002942</v>
      </c>
      <c r="O709">
        <v>15</v>
      </c>
      <c r="Q709" t="str" cm="1">
        <f t="array" ref="Q709">_xlfn.IFS(AND(C709="",G709=""),"",LEFT(G709,1)="L","記載要",LEFT(G709,1)="W","",AND(C709,G709=""),"記載要")</f>
        <v/>
      </c>
      <c r="R709" s="21" t="str">
        <f t="shared" si="122"/>
        <v/>
      </c>
      <c r="S709" s="21"/>
      <c r="Z709" s="8"/>
      <c r="AA709">
        <v>1</v>
      </c>
      <c r="AB709">
        <f t="shared" si="118"/>
        <v>0</v>
      </c>
      <c r="AC709">
        <v>1</v>
      </c>
      <c r="AF709">
        <v>1</v>
      </c>
      <c r="AG709" s="8"/>
      <c r="AH709" s="8"/>
      <c r="AK709" cm="1">
        <f t="array" ref="AK709">_xlfn.IFS(B709="","",LEFT(G709,1)="L",1,LEFT(G709,1)="W",1,AND(LEFT(B709,1)="H",G709=""),0)</f>
        <v>1</v>
      </c>
      <c r="AS709" t="str">
        <f t="shared" si="119"/>
        <v/>
      </c>
      <c r="AT709" t="s">
        <v>115</v>
      </c>
      <c r="AU709" t="str">
        <f t="shared" si="120"/>
        <v>0</v>
      </c>
      <c r="BD709" t="str">
        <f t="shared" si="121"/>
        <v>0</v>
      </c>
      <c r="BK709" t="str">
        <f>IFERROR(VLOOKUP(B709,'[1]model_S-フレーム'!$F$5:$R$7000,13,1),"")</f>
        <v>E389571_01</v>
      </c>
      <c r="BL709" s="7">
        <f>IFERROR(VLOOKUP(B709,'[1]model_S-フレーム'!$F$5:$V$7000,17,1),"")</f>
        <v>0</v>
      </c>
      <c r="BM709" t="str" cm="1">
        <f t="array" ref="BM709">_xlfn.IFS(LEFT(G709,1)="L","外注品",LEFT(G709,1)="W","内製品",G709="","購買品")</f>
        <v>内製品</v>
      </c>
    </row>
    <row r="710" spans="1:65">
      <c r="A710" t="str">
        <f t="shared" si="113"/>
        <v>WG01</v>
      </c>
      <c r="B710" t="s">
        <v>814</v>
      </c>
      <c r="C710" t="s">
        <v>925</v>
      </c>
      <c r="D710" s="7"/>
      <c r="E710" s="7"/>
      <c r="G710" t="s">
        <v>1939</v>
      </c>
      <c r="H710" t="str" cm="1">
        <f t="array" ref="H710">IFERROR(_xlfn.IFS(B710="","",AND(B710="",G710=""),"",G710="","記載要"),"")</f>
        <v/>
      </c>
      <c r="K710" t="str">
        <f t="shared" si="114"/>
        <v>11WP01002943</v>
      </c>
      <c r="L710" s="3" t="str">
        <f t="shared" si="115"/>
        <v>2001/01/01</v>
      </c>
      <c r="M710" s="3" t="str">
        <f t="shared" si="116"/>
        <v>2199/12/31</v>
      </c>
      <c r="N710" t="str">
        <f t="shared" si="117"/>
        <v>11WP01002943</v>
      </c>
      <c r="O710">
        <v>15</v>
      </c>
      <c r="Q710" t="str" cm="1">
        <f t="array" ref="Q710">_xlfn.IFS(AND(C710="",G710=""),"",LEFT(G710,1)="L","記載要",LEFT(G710,1)="W","",AND(C710,G710=""),"記載要")</f>
        <v/>
      </c>
      <c r="R710" s="21" t="str">
        <f t="shared" si="122"/>
        <v/>
      </c>
      <c r="S710" s="21"/>
      <c r="Z710" s="8"/>
      <c r="AA710">
        <v>1</v>
      </c>
      <c r="AB710">
        <f t="shared" si="118"/>
        <v>0</v>
      </c>
      <c r="AC710">
        <v>1</v>
      </c>
      <c r="AF710">
        <v>1</v>
      </c>
      <c r="AG710" s="8"/>
      <c r="AH710" s="8"/>
      <c r="AK710" cm="1">
        <f t="array" ref="AK710">_xlfn.IFS(B710="","",LEFT(G710,1)="L",1,LEFT(G710,1)="W",1,AND(LEFT(B710,1)="H",G710=""),0)</f>
        <v>1</v>
      </c>
      <c r="AS710" t="str">
        <f t="shared" si="119"/>
        <v/>
      </c>
      <c r="AT710" t="s">
        <v>115</v>
      </c>
      <c r="AU710" t="str">
        <f t="shared" si="120"/>
        <v>0</v>
      </c>
      <c r="BD710" t="str">
        <f t="shared" si="121"/>
        <v>0</v>
      </c>
      <c r="BK710" t="str">
        <f>IFERROR(VLOOKUP(B710,'[1]model_S-フレーム'!$F$5:$R$7000,13,1),"")</f>
        <v>E389571_01</v>
      </c>
      <c r="BL710" s="7">
        <f>IFERROR(VLOOKUP(B710,'[1]model_S-フレーム'!$F$5:$V$7000,17,1),"")</f>
        <v>0</v>
      </c>
      <c r="BM710" t="str" cm="1">
        <f t="array" ref="BM710">_xlfn.IFS(LEFT(G710,1)="L","外注品",LEFT(G710,1)="W","内製品",G710="","購買品")</f>
        <v>内製品</v>
      </c>
    </row>
    <row r="711" spans="1:65">
      <c r="A711" t="str">
        <f t="shared" si="113"/>
        <v>WG01</v>
      </c>
      <c r="B711" t="s">
        <v>815</v>
      </c>
      <c r="C711" t="s">
        <v>925</v>
      </c>
      <c r="D711" s="7"/>
      <c r="E711" s="7"/>
      <c r="G711" t="s">
        <v>1939</v>
      </c>
      <c r="H711" t="str" cm="1">
        <f t="array" ref="H711">IFERROR(_xlfn.IFS(B711="","",AND(B711="",G711=""),"",G711="","記載要"),"")</f>
        <v/>
      </c>
      <c r="K711" t="str">
        <f t="shared" si="114"/>
        <v>11WP01002944</v>
      </c>
      <c r="L711" s="3" t="str">
        <f t="shared" si="115"/>
        <v>2001/01/01</v>
      </c>
      <c r="M711" s="3" t="str">
        <f t="shared" si="116"/>
        <v>2199/12/31</v>
      </c>
      <c r="N711" t="str">
        <f t="shared" si="117"/>
        <v>11WP01002944</v>
      </c>
      <c r="O711">
        <v>15</v>
      </c>
      <c r="Q711" t="str" cm="1">
        <f t="array" ref="Q711">_xlfn.IFS(AND(C711="",G711=""),"",LEFT(G711,1)="L","記載要",LEFT(G711,1)="W","",AND(C711,G711=""),"記載要")</f>
        <v/>
      </c>
      <c r="R711" s="21" t="str">
        <f t="shared" si="122"/>
        <v/>
      </c>
      <c r="S711" s="21"/>
      <c r="Z711" s="8"/>
      <c r="AA711">
        <v>1</v>
      </c>
      <c r="AB711">
        <f t="shared" si="118"/>
        <v>0</v>
      </c>
      <c r="AC711">
        <v>1</v>
      </c>
      <c r="AF711">
        <v>1</v>
      </c>
      <c r="AG711" s="8"/>
      <c r="AH711" s="8"/>
      <c r="AK711" cm="1">
        <f t="array" ref="AK711">_xlfn.IFS(B711="","",LEFT(G711,1)="L",1,LEFT(G711,1)="W",1,AND(LEFT(B711,1)="H",G711=""),0)</f>
        <v>1</v>
      </c>
      <c r="AS711" t="str">
        <f t="shared" si="119"/>
        <v/>
      </c>
      <c r="AT711" t="s">
        <v>115</v>
      </c>
      <c r="AU711" t="str">
        <f t="shared" si="120"/>
        <v>0</v>
      </c>
      <c r="BD711" t="str">
        <f t="shared" si="121"/>
        <v>0</v>
      </c>
      <c r="BK711" t="str">
        <f>IFERROR(VLOOKUP(B711,'[1]model_S-フレーム'!$F$5:$R$7000,13,1),"")</f>
        <v>E389571_01</v>
      </c>
      <c r="BL711" s="7">
        <f>IFERROR(VLOOKUP(B711,'[1]model_S-フレーム'!$F$5:$V$7000,17,1),"")</f>
        <v>0</v>
      </c>
      <c r="BM711" t="str" cm="1">
        <f t="array" ref="BM711">_xlfn.IFS(LEFT(G711,1)="L","外注品",LEFT(G711,1)="W","内製品",G711="","購買品")</f>
        <v>内製品</v>
      </c>
    </row>
    <row r="712" spans="1:65">
      <c r="A712" t="str">
        <f t="shared" si="113"/>
        <v>WG01</v>
      </c>
      <c r="B712" t="s">
        <v>816</v>
      </c>
      <c r="C712" t="s">
        <v>926</v>
      </c>
      <c r="D712" s="7"/>
      <c r="E712" s="7"/>
      <c r="G712" t="s">
        <v>1939</v>
      </c>
      <c r="H712" t="str" cm="1">
        <f t="array" ref="H712">IFERROR(_xlfn.IFS(B712="","",AND(B712="",G712=""),"",G712="","記載要"),"")</f>
        <v/>
      </c>
      <c r="K712" t="str">
        <f t="shared" si="114"/>
        <v>11WP01002945</v>
      </c>
      <c r="L712" s="3" t="str">
        <f t="shared" si="115"/>
        <v>2001/01/01</v>
      </c>
      <c r="M712" s="3" t="str">
        <f t="shared" si="116"/>
        <v>2199/12/31</v>
      </c>
      <c r="N712" t="str">
        <f t="shared" si="117"/>
        <v>11WP01002945</v>
      </c>
      <c r="O712">
        <v>15</v>
      </c>
      <c r="Q712" t="str" cm="1">
        <f t="array" ref="Q712">_xlfn.IFS(AND(C712="",G712=""),"",LEFT(G712,1)="L","記載要",LEFT(G712,1)="W","",AND(C712,G712=""),"記載要")</f>
        <v/>
      </c>
      <c r="R712" s="21" t="str">
        <f t="shared" si="122"/>
        <v/>
      </c>
      <c r="S712" s="21"/>
      <c r="Z712" s="8"/>
      <c r="AA712">
        <v>1</v>
      </c>
      <c r="AB712">
        <f t="shared" si="118"/>
        <v>0</v>
      </c>
      <c r="AC712">
        <v>1</v>
      </c>
      <c r="AF712">
        <v>1</v>
      </c>
      <c r="AG712" s="8"/>
      <c r="AH712" s="8"/>
      <c r="AK712" cm="1">
        <f t="array" ref="AK712">_xlfn.IFS(B712="","",LEFT(G712,1)="L",1,LEFT(G712,1)="W",1,AND(LEFT(B712,1)="H",G712=""),0)</f>
        <v>1</v>
      </c>
      <c r="AS712" t="str">
        <f t="shared" si="119"/>
        <v/>
      </c>
      <c r="AT712" t="s">
        <v>115</v>
      </c>
      <c r="AU712" t="str">
        <f t="shared" si="120"/>
        <v>0</v>
      </c>
      <c r="BD712" t="str">
        <f t="shared" si="121"/>
        <v>0</v>
      </c>
      <c r="BK712" t="str">
        <f>IFERROR(VLOOKUP(B712,'[1]model_S-フレーム'!$F$5:$R$7000,13,1),"")</f>
        <v>E389571_01</v>
      </c>
      <c r="BL712" s="7">
        <f>IFERROR(VLOOKUP(B712,'[1]model_S-フレーム'!$F$5:$V$7000,17,1),"")</f>
        <v>0</v>
      </c>
      <c r="BM712" t="str" cm="1">
        <f t="array" ref="BM712">_xlfn.IFS(LEFT(G712,1)="L","外注品",LEFT(G712,1)="W","内製品",G712="","購買品")</f>
        <v>内製品</v>
      </c>
    </row>
    <row r="713" spans="1:65">
      <c r="A713" t="str">
        <f t="shared" si="113"/>
        <v>WG01</v>
      </c>
      <c r="B713" t="s">
        <v>817</v>
      </c>
      <c r="C713" t="s">
        <v>926</v>
      </c>
      <c r="D713" s="7"/>
      <c r="E713" s="7"/>
      <c r="G713" t="s">
        <v>1939</v>
      </c>
      <c r="H713" t="str" cm="1">
        <f t="array" ref="H713">IFERROR(_xlfn.IFS(B713="","",AND(B713="",G713=""),"",G713="","記載要"),"")</f>
        <v/>
      </c>
      <c r="K713" t="str">
        <f t="shared" si="114"/>
        <v>11WP01002946</v>
      </c>
      <c r="L713" s="3" t="str">
        <f t="shared" si="115"/>
        <v>2001/01/01</v>
      </c>
      <c r="M713" s="3" t="str">
        <f t="shared" si="116"/>
        <v>2199/12/31</v>
      </c>
      <c r="N713" t="str">
        <f t="shared" si="117"/>
        <v>11WP01002946</v>
      </c>
      <c r="O713">
        <v>15</v>
      </c>
      <c r="Q713" t="str" cm="1">
        <f t="array" ref="Q713">_xlfn.IFS(AND(C713="",G713=""),"",LEFT(G713,1)="L","記載要",LEFT(G713,1)="W","",AND(C713,G713=""),"記載要")</f>
        <v/>
      </c>
      <c r="R713" s="21" t="str">
        <f t="shared" si="122"/>
        <v/>
      </c>
      <c r="S713" s="21"/>
      <c r="Z713" s="8"/>
      <c r="AA713">
        <v>1</v>
      </c>
      <c r="AB713">
        <f t="shared" si="118"/>
        <v>0</v>
      </c>
      <c r="AC713">
        <v>1</v>
      </c>
      <c r="AF713">
        <v>1</v>
      </c>
      <c r="AG713" s="8"/>
      <c r="AH713" s="8"/>
      <c r="AK713" cm="1">
        <f t="array" ref="AK713">_xlfn.IFS(B713="","",LEFT(G713,1)="L",1,LEFT(G713,1)="W",1,AND(LEFT(B713,1)="H",G713=""),0)</f>
        <v>1</v>
      </c>
      <c r="AS713" t="str">
        <f t="shared" si="119"/>
        <v/>
      </c>
      <c r="AT713" t="s">
        <v>115</v>
      </c>
      <c r="AU713" t="str">
        <f t="shared" si="120"/>
        <v>0</v>
      </c>
      <c r="BD713" t="str">
        <f t="shared" si="121"/>
        <v>0</v>
      </c>
      <c r="BK713" t="str">
        <f>IFERROR(VLOOKUP(B713,'[1]model_S-フレーム'!$F$5:$R$7000,13,1),"")</f>
        <v>E389571_01</v>
      </c>
      <c r="BL713" s="7">
        <f>IFERROR(VLOOKUP(B713,'[1]model_S-フレーム'!$F$5:$V$7000,17,1),"")</f>
        <v>0</v>
      </c>
      <c r="BM713" t="str" cm="1">
        <f t="array" ref="BM713">_xlfn.IFS(LEFT(G713,1)="L","外注品",LEFT(G713,1)="W","内製品",G713="","購買品")</f>
        <v>内製品</v>
      </c>
    </row>
    <row r="714" spans="1:65">
      <c r="A714" t="str">
        <f t="shared" si="113"/>
        <v>WG01</v>
      </c>
      <c r="B714" t="s">
        <v>818</v>
      </c>
      <c r="C714" t="s">
        <v>926</v>
      </c>
      <c r="D714" s="7"/>
      <c r="E714" s="7"/>
      <c r="G714" t="s">
        <v>1939</v>
      </c>
      <c r="H714" t="str" cm="1">
        <f t="array" ref="H714">IFERROR(_xlfn.IFS(B714="","",AND(B714="",G714=""),"",G714="","記載要"),"")</f>
        <v/>
      </c>
      <c r="K714" t="str">
        <f t="shared" si="114"/>
        <v>11WP01002947</v>
      </c>
      <c r="L714" s="3" t="str">
        <f t="shared" si="115"/>
        <v>2001/01/01</v>
      </c>
      <c r="M714" s="3" t="str">
        <f t="shared" si="116"/>
        <v>2199/12/31</v>
      </c>
      <c r="N714" t="str">
        <f t="shared" si="117"/>
        <v>11WP01002947</v>
      </c>
      <c r="O714">
        <v>15</v>
      </c>
      <c r="Q714" t="str" cm="1">
        <f t="array" ref="Q714">_xlfn.IFS(AND(C714="",G714=""),"",LEFT(G714,1)="L","記載要",LEFT(G714,1)="W","",AND(C714,G714=""),"記載要")</f>
        <v/>
      </c>
      <c r="R714" s="21" t="str">
        <f t="shared" si="122"/>
        <v/>
      </c>
      <c r="S714" s="21"/>
      <c r="Z714" s="8"/>
      <c r="AA714">
        <v>1</v>
      </c>
      <c r="AB714">
        <f t="shared" si="118"/>
        <v>0</v>
      </c>
      <c r="AC714">
        <v>1</v>
      </c>
      <c r="AF714">
        <v>1</v>
      </c>
      <c r="AG714" s="8"/>
      <c r="AH714" s="8"/>
      <c r="AK714" cm="1">
        <f t="array" ref="AK714">_xlfn.IFS(B714="","",LEFT(G714,1)="L",1,LEFT(G714,1)="W",1,AND(LEFT(B714,1)="H",G714=""),0)</f>
        <v>1</v>
      </c>
      <c r="AS714" t="str">
        <f t="shared" si="119"/>
        <v/>
      </c>
      <c r="AT714" t="s">
        <v>115</v>
      </c>
      <c r="AU714" t="str">
        <f t="shared" si="120"/>
        <v>0</v>
      </c>
      <c r="BD714" t="str">
        <f t="shared" si="121"/>
        <v>0</v>
      </c>
      <c r="BK714" t="str">
        <f>IFERROR(VLOOKUP(B714,'[1]model_S-フレーム'!$F$5:$R$7000,13,1),"")</f>
        <v>E389571_01</v>
      </c>
      <c r="BL714" s="7">
        <f>IFERROR(VLOOKUP(B714,'[1]model_S-フレーム'!$F$5:$V$7000,17,1),"")</f>
        <v>0</v>
      </c>
      <c r="BM714" t="str" cm="1">
        <f t="array" ref="BM714">_xlfn.IFS(LEFT(G714,1)="L","外注品",LEFT(G714,1)="W","内製品",G714="","購買品")</f>
        <v>内製品</v>
      </c>
    </row>
    <row r="715" spans="1:65">
      <c r="A715" t="str">
        <f t="shared" si="113"/>
        <v>WG01</v>
      </c>
      <c r="B715" t="s">
        <v>819</v>
      </c>
      <c r="C715" t="s">
        <v>926</v>
      </c>
      <c r="D715" s="7"/>
      <c r="E715" s="7"/>
      <c r="G715" t="s">
        <v>1939</v>
      </c>
      <c r="H715" t="str" cm="1">
        <f t="array" ref="H715">IFERROR(_xlfn.IFS(B715="","",AND(B715="",G715=""),"",G715="","記載要"),"")</f>
        <v/>
      </c>
      <c r="K715" t="str">
        <f t="shared" si="114"/>
        <v>11WP01002948</v>
      </c>
      <c r="L715" s="3" t="str">
        <f t="shared" si="115"/>
        <v>2001/01/01</v>
      </c>
      <c r="M715" s="3" t="str">
        <f t="shared" si="116"/>
        <v>2199/12/31</v>
      </c>
      <c r="N715" t="str">
        <f t="shared" si="117"/>
        <v>11WP01002948</v>
      </c>
      <c r="O715">
        <v>15</v>
      </c>
      <c r="Q715" t="str" cm="1">
        <f t="array" ref="Q715">_xlfn.IFS(AND(C715="",G715=""),"",LEFT(G715,1)="L","記載要",LEFT(G715,1)="W","",AND(C715,G715=""),"記載要")</f>
        <v/>
      </c>
      <c r="R715" s="21" t="str">
        <f t="shared" si="122"/>
        <v/>
      </c>
      <c r="S715" s="21"/>
      <c r="Z715" s="8"/>
      <c r="AA715">
        <v>1</v>
      </c>
      <c r="AB715">
        <f t="shared" si="118"/>
        <v>0</v>
      </c>
      <c r="AC715">
        <v>1</v>
      </c>
      <c r="AF715">
        <v>1</v>
      </c>
      <c r="AG715" s="8"/>
      <c r="AH715" s="8"/>
      <c r="AK715" cm="1">
        <f t="array" ref="AK715">_xlfn.IFS(B715="","",LEFT(G715,1)="L",1,LEFT(G715,1)="W",1,AND(LEFT(B715,1)="H",G715=""),0)</f>
        <v>1</v>
      </c>
      <c r="AS715" t="str">
        <f t="shared" si="119"/>
        <v/>
      </c>
      <c r="AT715" t="s">
        <v>115</v>
      </c>
      <c r="AU715" t="str">
        <f t="shared" si="120"/>
        <v>0</v>
      </c>
      <c r="BD715" t="str">
        <f t="shared" si="121"/>
        <v>0</v>
      </c>
      <c r="BK715" t="str">
        <f>IFERROR(VLOOKUP(B715,'[1]model_S-フレーム'!$F$5:$R$7000,13,1),"")</f>
        <v>E389571_01</v>
      </c>
      <c r="BL715" s="7">
        <f>IFERROR(VLOOKUP(B715,'[1]model_S-フレーム'!$F$5:$V$7000,17,1),"")</f>
        <v>0</v>
      </c>
      <c r="BM715" t="str" cm="1">
        <f t="array" ref="BM715">_xlfn.IFS(LEFT(G715,1)="L","外注品",LEFT(G715,1)="W","内製品",G715="","購買品")</f>
        <v>内製品</v>
      </c>
    </row>
    <row r="716" spans="1:65">
      <c r="A716" t="str">
        <f t="shared" si="113"/>
        <v>WG01</v>
      </c>
      <c r="B716" t="s">
        <v>820</v>
      </c>
      <c r="C716" t="s">
        <v>926</v>
      </c>
      <c r="D716" s="7"/>
      <c r="E716" s="7"/>
      <c r="G716" t="s">
        <v>1939</v>
      </c>
      <c r="H716" t="str" cm="1">
        <f t="array" ref="H716">IFERROR(_xlfn.IFS(B716="","",AND(B716="",G716=""),"",G716="","記載要"),"")</f>
        <v/>
      </c>
      <c r="K716" t="str">
        <f t="shared" si="114"/>
        <v>11WP01002949</v>
      </c>
      <c r="L716" s="3" t="str">
        <f t="shared" si="115"/>
        <v>2001/01/01</v>
      </c>
      <c r="M716" s="3" t="str">
        <f t="shared" si="116"/>
        <v>2199/12/31</v>
      </c>
      <c r="N716" t="str">
        <f t="shared" si="117"/>
        <v>11WP01002949</v>
      </c>
      <c r="O716">
        <v>15</v>
      </c>
      <c r="Q716" t="str" cm="1">
        <f t="array" ref="Q716">_xlfn.IFS(AND(C716="",G716=""),"",LEFT(G716,1)="L","記載要",LEFT(G716,1)="W","",AND(C716,G716=""),"記載要")</f>
        <v/>
      </c>
      <c r="R716" s="21" t="str">
        <f t="shared" si="122"/>
        <v/>
      </c>
      <c r="S716" s="21"/>
      <c r="Z716" s="8"/>
      <c r="AA716">
        <v>1</v>
      </c>
      <c r="AB716">
        <f t="shared" si="118"/>
        <v>0</v>
      </c>
      <c r="AC716">
        <v>1</v>
      </c>
      <c r="AF716">
        <v>1</v>
      </c>
      <c r="AG716" s="8"/>
      <c r="AH716" s="8"/>
      <c r="AK716" cm="1">
        <f t="array" ref="AK716">_xlfn.IFS(B716="","",LEFT(G716,1)="L",1,LEFT(G716,1)="W",1,AND(LEFT(B716,1)="H",G716=""),0)</f>
        <v>1</v>
      </c>
      <c r="AS716" t="str">
        <f t="shared" si="119"/>
        <v/>
      </c>
      <c r="AT716" t="s">
        <v>115</v>
      </c>
      <c r="AU716" t="str">
        <f t="shared" si="120"/>
        <v>0</v>
      </c>
      <c r="BD716" t="str">
        <f t="shared" si="121"/>
        <v>0</v>
      </c>
      <c r="BK716" t="str">
        <f>IFERROR(VLOOKUP(B716,'[1]model_S-フレーム'!$F$5:$R$7000,13,1),"")</f>
        <v>E389571_01</v>
      </c>
      <c r="BL716" s="7">
        <f>IFERROR(VLOOKUP(B716,'[1]model_S-フレーム'!$F$5:$V$7000,17,1),"")</f>
        <v>0</v>
      </c>
      <c r="BM716" t="str" cm="1">
        <f t="array" ref="BM716">_xlfn.IFS(LEFT(G716,1)="L","外注品",LEFT(G716,1)="W","内製品",G716="","購買品")</f>
        <v>内製品</v>
      </c>
    </row>
    <row r="717" spans="1:65">
      <c r="A717" t="str">
        <f t="shared" si="113"/>
        <v>WG01</v>
      </c>
      <c r="B717" t="s">
        <v>821</v>
      </c>
      <c r="C717" t="s">
        <v>926</v>
      </c>
      <c r="D717" s="7"/>
      <c r="E717" s="7"/>
      <c r="G717" t="s">
        <v>1939</v>
      </c>
      <c r="H717" t="str" cm="1">
        <f t="array" ref="H717">IFERROR(_xlfn.IFS(B717="","",AND(B717="",G717=""),"",G717="","記載要"),"")</f>
        <v/>
      </c>
      <c r="K717" t="str">
        <f t="shared" si="114"/>
        <v>11WP01002950</v>
      </c>
      <c r="L717" s="3" t="str">
        <f t="shared" si="115"/>
        <v>2001/01/01</v>
      </c>
      <c r="M717" s="3" t="str">
        <f t="shared" si="116"/>
        <v>2199/12/31</v>
      </c>
      <c r="N717" t="str">
        <f t="shared" si="117"/>
        <v>11WP01002950</v>
      </c>
      <c r="O717">
        <v>15</v>
      </c>
      <c r="Q717" t="str" cm="1">
        <f t="array" ref="Q717">_xlfn.IFS(AND(C717="",G717=""),"",LEFT(G717,1)="L","記載要",LEFT(G717,1)="W","",AND(C717,G717=""),"記載要")</f>
        <v/>
      </c>
      <c r="R717" s="21" t="str">
        <f t="shared" si="122"/>
        <v/>
      </c>
      <c r="S717" s="21"/>
      <c r="Z717" s="8"/>
      <c r="AA717">
        <v>1</v>
      </c>
      <c r="AB717">
        <f t="shared" si="118"/>
        <v>0</v>
      </c>
      <c r="AC717">
        <v>1</v>
      </c>
      <c r="AF717">
        <v>1</v>
      </c>
      <c r="AG717" s="8"/>
      <c r="AH717" s="8"/>
      <c r="AK717" cm="1">
        <f t="array" ref="AK717">_xlfn.IFS(B717="","",LEFT(G717,1)="L",1,LEFT(G717,1)="W",1,AND(LEFT(B717,1)="H",G717=""),0)</f>
        <v>1</v>
      </c>
      <c r="AS717" t="str">
        <f t="shared" si="119"/>
        <v/>
      </c>
      <c r="AT717" t="s">
        <v>115</v>
      </c>
      <c r="AU717" t="str">
        <f t="shared" si="120"/>
        <v>0</v>
      </c>
      <c r="BD717" t="str">
        <f t="shared" si="121"/>
        <v>0</v>
      </c>
      <c r="BK717" t="str">
        <f>IFERROR(VLOOKUP(B717,'[1]model_S-フレーム'!$F$5:$R$7000,13,1),"")</f>
        <v>E389571_01</v>
      </c>
      <c r="BL717" s="7">
        <f>IFERROR(VLOOKUP(B717,'[1]model_S-フレーム'!$F$5:$V$7000,17,1),"")</f>
        <v>0</v>
      </c>
      <c r="BM717" t="str" cm="1">
        <f t="array" ref="BM717">_xlfn.IFS(LEFT(G717,1)="L","外注品",LEFT(G717,1)="W","内製品",G717="","購買品")</f>
        <v>内製品</v>
      </c>
    </row>
    <row r="718" spans="1:65">
      <c r="A718" t="str">
        <f t="shared" si="113"/>
        <v>WG01</v>
      </c>
      <c r="B718" t="s">
        <v>822</v>
      </c>
      <c r="C718" t="s">
        <v>926</v>
      </c>
      <c r="D718" s="7"/>
      <c r="E718" s="7"/>
      <c r="G718" t="s">
        <v>1939</v>
      </c>
      <c r="H718" t="str" cm="1">
        <f t="array" ref="H718">IFERROR(_xlfn.IFS(B718="","",AND(B718="",G718=""),"",G718="","記載要"),"")</f>
        <v/>
      </c>
      <c r="K718" t="str">
        <f t="shared" si="114"/>
        <v>11WP01002951</v>
      </c>
      <c r="L718" s="3" t="str">
        <f t="shared" si="115"/>
        <v>2001/01/01</v>
      </c>
      <c r="M718" s="3" t="str">
        <f t="shared" si="116"/>
        <v>2199/12/31</v>
      </c>
      <c r="N718" t="str">
        <f t="shared" si="117"/>
        <v>11WP01002951</v>
      </c>
      <c r="O718">
        <v>15</v>
      </c>
      <c r="Q718" t="str" cm="1">
        <f t="array" ref="Q718">_xlfn.IFS(AND(C718="",G718=""),"",LEFT(G718,1)="L","記載要",LEFT(G718,1)="W","",AND(C718,G718=""),"記載要")</f>
        <v/>
      </c>
      <c r="R718" s="21" t="str">
        <f t="shared" si="122"/>
        <v/>
      </c>
      <c r="S718" s="21"/>
      <c r="Z718" s="8"/>
      <c r="AA718">
        <v>1</v>
      </c>
      <c r="AB718">
        <f t="shared" si="118"/>
        <v>0</v>
      </c>
      <c r="AC718">
        <v>1</v>
      </c>
      <c r="AF718">
        <v>1</v>
      </c>
      <c r="AG718" s="8"/>
      <c r="AH718" s="8"/>
      <c r="AK718" cm="1">
        <f t="array" ref="AK718">_xlfn.IFS(B718="","",LEFT(G718,1)="L",1,LEFT(G718,1)="W",1,AND(LEFT(B718,1)="H",G718=""),0)</f>
        <v>1</v>
      </c>
      <c r="AS718" t="str">
        <f t="shared" si="119"/>
        <v/>
      </c>
      <c r="AT718" t="s">
        <v>115</v>
      </c>
      <c r="AU718" t="str">
        <f t="shared" si="120"/>
        <v>0</v>
      </c>
      <c r="BD718" t="str">
        <f t="shared" si="121"/>
        <v>0</v>
      </c>
      <c r="BK718" t="str">
        <f>IFERROR(VLOOKUP(B718,'[1]model_S-フレーム'!$F$5:$R$7000,13,1),"")</f>
        <v>E389571_01</v>
      </c>
      <c r="BL718" s="7">
        <f>IFERROR(VLOOKUP(B718,'[1]model_S-フレーム'!$F$5:$V$7000,17,1),"")</f>
        <v>0</v>
      </c>
      <c r="BM718" t="str" cm="1">
        <f t="array" ref="BM718">_xlfn.IFS(LEFT(G718,1)="L","外注品",LEFT(G718,1)="W","内製品",G718="","購買品")</f>
        <v>内製品</v>
      </c>
    </row>
    <row r="719" spans="1:65">
      <c r="A719" t="str">
        <f t="shared" si="113"/>
        <v>WG01</v>
      </c>
      <c r="B719" t="s">
        <v>823</v>
      </c>
      <c r="C719" t="s">
        <v>926</v>
      </c>
      <c r="D719" s="7"/>
      <c r="E719" s="7"/>
      <c r="G719" t="s">
        <v>1939</v>
      </c>
      <c r="H719" t="str" cm="1">
        <f t="array" ref="H719">IFERROR(_xlfn.IFS(B719="","",AND(B719="",G719=""),"",G719="","記載要"),"")</f>
        <v/>
      </c>
      <c r="K719" t="str">
        <f t="shared" si="114"/>
        <v>11WP01002952</v>
      </c>
      <c r="L719" s="3" t="str">
        <f t="shared" si="115"/>
        <v>2001/01/01</v>
      </c>
      <c r="M719" s="3" t="str">
        <f t="shared" si="116"/>
        <v>2199/12/31</v>
      </c>
      <c r="N719" t="str">
        <f t="shared" si="117"/>
        <v>11WP01002952</v>
      </c>
      <c r="O719">
        <v>15</v>
      </c>
      <c r="Q719" t="str" cm="1">
        <f t="array" ref="Q719">_xlfn.IFS(AND(C719="",G719=""),"",LEFT(G719,1)="L","記載要",LEFT(G719,1)="W","",AND(C719,G719=""),"記載要")</f>
        <v/>
      </c>
      <c r="R719" s="21" t="str">
        <f t="shared" si="122"/>
        <v/>
      </c>
      <c r="S719" s="21"/>
      <c r="Z719" s="8"/>
      <c r="AA719">
        <v>1</v>
      </c>
      <c r="AB719">
        <f t="shared" si="118"/>
        <v>0</v>
      </c>
      <c r="AC719">
        <v>1</v>
      </c>
      <c r="AF719">
        <v>1</v>
      </c>
      <c r="AG719" s="8"/>
      <c r="AH719" s="8"/>
      <c r="AK719" cm="1">
        <f t="array" ref="AK719">_xlfn.IFS(B719="","",LEFT(G719,1)="L",1,LEFT(G719,1)="W",1,AND(LEFT(B719,1)="H",G719=""),0)</f>
        <v>1</v>
      </c>
      <c r="AS719" t="str">
        <f t="shared" si="119"/>
        <v/>
      </c>
      <c r="AT719" t="s">
        <v>115</v>
      </c>
      <c r="AU719" t="str">
        <f t="shared" si="120"/>
        <v>0</v>
      </c>
      <c r="BD719" t="str">
        <f t="shared" si="121"/>
        <v>0</v>
      </c>
      <c r="BK719" t="str">
        <f>IFERROR(VLOOKUP(B719,'[1]model_S-フレーム'!$F$5:$R$7000,13,1),"")</f>
        <v>E389571_01</v>
      </c>
      <c r="BL719" s="7">
        <f>IFERROR(VLOOKUP(B719,'[1]model_S-フレーム'!$F$5:$V$7000,17,1),"")</f>
        <v>0</v>
      </c>
      <c r="BM719" t="str" cm="1">
        <f t="array" ref="BM719">_xlfn.IFS(LEFT(G719,1)="L","外注品",LEFT(G719,1)="W","内製品",G719="","購買品")</f>
        <v>内製品</v>
      </c>
    </row>
    <row r="720" spans="1:65">
      <c r="A720" t="str">
        <f t="shared" si="113"/>
        <v>WG01</v>
      </c>
      <c r="B720" t="s">
        <v>824</v>
      </c>
      <c r="C720" t="s">
        <v>926</v>
      </c>
      <c r="D720" s="7"/>
      <c r="E720" s="7"/>
      <c r="G720" t="s">
        <v>1939</v>
      </c>
      <c r="H720" t="str" cm="1">
        <f t="array" ref="H720">IFERROR(_xlfn.IFS(B720="","",AND(B720="",G720=""),"",G720="","記載要"),"")</f>
        <v/>
      </c>
      <c r="K720" t="str">
        <f t="shared" si="114"/>
        <v>11WP01002953</v>
      </c>
      <c r="L720" s="3" t="str">
        <f t="shared" si="115"/>
        <v>2001/01/01</v>
      </c>
      <c r="M720" s="3" t="str">
        <f t="shared" si="116"/>
        <v>2199/12/31</v>
      </c>
      <c r="N720" t="str">
        <f t="shared" si="117"/>
        <v>11WP01002953</v>
      </c>
      <c r="O720">
        <v>15</v>
      </c>
      <c r="Q720" t="str" cm="1">
        <f t="array" ref="Q720">_xlfn.IFS(AND(C720="",G720=""),"",LEFT(G720,1)="L","記載要",LEFT(G720,1)="W","",AND(C720,G720=""),"記載要")</f>
        <v/>
      </c>
      <c r="R720" s="21" t="str">
        <f t="shared" si="122"/>
        <v/>
      </c>
      <c r="S720" s="21"/>
      <c r="Z720" s="8"/>
      <c r="AA720">
        <v>1</v>
      </c>
      <c r="AB720">
        <f t="shared" si="118"/>
        <v>0</v>
      </c>
      <c r="AC720">
        <v>1</v>
      </c>
      <c r="AF720">
        <v>1</v>
      </c>
      <c r="AG720" s="8"/>
      <c r="AH720" s="8"/>
      <c r="AK720" cm="1">
        <f t="array" ref="AK720">_xlfn.IFS(B720="","",LEFT(G720,1)="L",1,LEFT(G720,1)="W",1,AND(LEFT(B720,1)="H",G720=""),0)</f>
        <v>1</v>
      </c>
      <c r="AS720" t="str">
        <f t="shared" si="119"/>
        <v/>
      </c>
      <c r="AT720" t="s">
        <v>115</v>
      </c>
      <c r="AU720" t="str">
        <f t="shared" si="120"/>
        <v>0</v>
      </c>
      <c r="BD720" t="str">
        <f t="shared" si="121"/>
        <v>0</v>
      </c>
      <c r="BK720" t="str">
        <f>IFERROR(VLOOKUP(B720,'[1]model_S-フレーム'!$F$5:$R$7000,13,1),"")</f>
        <v>E389571_01</v>
      </c>
      <c r="BL720" s="7">
        <f>IFERROR(VLOOKUP(B720,'[1]model_S-フレーム'!$F$5:$V$7000,17,1),"")</f>
        <v>0</v>
      </c>
      <c r="BM720" t="str" cm="1">
        <f t="array" ref="BM720">_xlfn.IFS(LEFT(G720,1)="L","外注品",LEFT(G720,1)="W","内製品",G720="","購買品")</f>
        <v>内製品</v>
      </c>
    </row>
    <row r="721" spans="1:65">
      <c r="A721" t="str">
        <f t="shared" si="113"/>
        <v>WG01</v>
      </c>
      <c r="B721" t="s">
        <v>825</v>
      </c>
      <c r="C721" t="s">
        <v>926</v>
      </c>
      <c r="D721" s="7"/>
      <c r="E721" s="7"/>
      <c r="G721" t="s">
        <v>1939</v>
      </c>
      <c r="H721" t="str" cm="1">
        <f t="array" ref="H721">IFERROR(_xlfn.IFS(B721="","",AND(B721="",G721=""),"",G721="","記載要"),"")</f>
        <v/>
      </c>
      <c r="K721" t="str">
        <f t="shared" si="114"/>
        <v>11WP01002954</v>
      </c>
      <c r="L721" s="3" t="str">
        <f t="shared" si="115"/>
        <v>2001/01/01</v>
      </c>
      <c r="M721" s="3" t="str">
        <f t="shared" si="116"/>
        <v>2199/12/31</v>
      </c>
      <c r="N721" t="str">
        <f t="shared" si="117"/>
        <v>11WP01002954</v>
      </c>
      <c r="O721">
        <v>15</v>
      </c>
      <c r="Q721" t="str" cm="1">
        <f t="array" ref="Q721">_xlfn.IFS(AND(C721="",G721=""),"",LEFT(G721,1)="L","記載要",LEFT(G721,1)="W","",AND(C721,G721=""),"記載要")</f>
        <v/>
      </c>
      <c r="R721" s="21" t="str">
        <f t="shared" si="122"/>
        <v/>
      </c>
      <c r="S721" s="21"/>
      <c r="Z721" s="8"/>
      <c r="AA721">
        <v>1</v>
      </c>
      <c r="AB721">
        <f t="shared" si="118"/>
        <v>0</v>
      </c>
      <c r="AC721">
        <v>1</v>
      </c>
      <c r="AF721">
        <v>1</v>
      </c>
      <c r="AG721" s="8"/>
      <c r="AH721" s="8"/>
      <c r="AK721" cm="1">
        <f t="array" ref="AK721">_xlfn.IFS(B721="","",LEFT(G721,1)="L",1,LEFT(G721,1)="W",1,AND(LEFT(B721,1)="H",G721=""),0)</f>
        <v>1</v>
      </c>
      <c r="AS721" t="str">
        <f t="shared" si="119"/>
        <v/>
      </c>
      <c r="AT721" t="s">
        <v>115</v>
      </c>
      <c r="AU721" t="str">
        <f t="shared" si="120"/>
        <v>0</v>
      </c>
      <c r="BD721" t="str">
        <f t="shared" si="121"/>
        <v>0</v>
      </c>
      <c r="BK721" t="str">
        <f>IFERROR(VLOOKUP(B721,'[1]model_S-フレーム'!$F$5:$R$7000,13,1),"")</f>
        <v>E389571_01</v>
      </c>
      <c r="BL721" s="7">
        <f>IFERROR(VLOOKUP(B721,'[1]model_S-フレーム'!$F$5:$V$7000,17,1),"")</f>
        <v>0</v>
      </c>
      <c r="BM721" t="str" cm="1">
        <f t="array" ref="BM721">_xlfn.IFS(LEFT(G721,1)="L","外注品",LEFT(G721,1)="W","内製品",G721="","購買品")</f>
        <v>内製品</v>
      </c>
    </row>
    <row r="722" spans="1:65">
      <c r="A722" t="str">
        <f t="shared" si="113"/>
        <v>WG01</v>
      </c>
      <c r="B722" t="s">
        <v>826</v>
      </c>
      <c r="C722" t="s">
        <v>926</v>
      </c>
      <c r="D722" s="7"/>
      <c r="E722" s="7"/>
      <c r="G722" t="s">
        <v>1939</v>
      </c>
      <c r="H722" t="str" cm="1">
        <f t="array" ref="H722">IFERROR(_xlfn.IFS(B722="","",AND(B722="",G722=""),"",G722="","記載要"),"")</f>
        <v/>
      </c>
      <c r="K722" t="str">
        <f t="shared" si="114"/>
        <v>11WP01002955</v>
      </c>
      <c r="L722" s="3" t="str">
        <f t="shared" si="115"/>
        <v>2001/01/01</v>
      </c>
      <c r="M722" s="3" t="str">
        <f t="shared" si="116"/>
        <v>2199/12/31</v>
      </c>
      <c r="N722" t="str">
        <f t="shared" si="117"/>
        <v>11WP01002955</v>
      </c>
      <c r="O722">
        <v>15</v>
      </c>
      <c r="Q722" t="str" cm="1">
        <f t="array" ref="Q722">_xlfn.IFS(AND(C722="",G722=""),"",LEFT(G722,1)="L","記載要",LEFT(G722,1)="W","",AND(C722,G722=""),"記載要")</f>
        <v/>
      </c>
      <c r="R722" s="21" t="str">
        <f t="shared" si="122"/>
        <v/>
      </c>
      <c r="S722" s="21"/>
      <c r="Z722" s="8"/>
      <c r="AA722">
        <v>1</v>
      </c>
      <c r="AB722">
        <f t="shared" si="118"/>
        <v>0</v>
      </c>
      <c r="AC722">
        <v>1</v>
      </c>
      <c r="AF722">
        <v>1</v>
      </c>
      <c r="AG722" s="8"/>
      <c r="AH722" s="8"/>
      <c r="AK722" cm="1">
        <f t="array" ref="AK722">_xlfn.IFS(B722="","",LEFT(G722,1)="L",1,LEFT(G722,1)="W",1,AND(LEFT(B722,1)="H",G722=""),0)</f>
        <v>1</v>
      </c>
      <c r="AS722" t="str">
        <f t="shared" si="119"/>
        <v/>
      </c>
      <c r="AT722" t="s">
        <v>115</v>
      </c>
      <c r="AU722" t="str">
        <f t="shared" si="120"/>
        <v>0</v>
      </c>
      <c r="BD722" t="str">
        <f t="shared" si="121"/>
        <v>0</v>
      </c>
      <c r="BK722" t="str">
        <f>IFERROR(VLOOKUP(B722,'[1]model_S-フレーム'!$F$5:$R$7000,13,1),"")</f>
        <v>E389571_01</v>
      </c>
      <c r="BL722" s="7">
        <f>IFERROR(VLOOKUP(B722,'[1]model_S-フレーム'!$F$5:$V$7000,17,1),"")</f>
        <v>0</v>
      </c>
      <c r="BM722" t="str" cm="1">
        <f t="array" ref="BM722">_xlfn.IFS(LEFT(G722,1)="L","外注品",LEFT(G722,1)="W","内製品",G722="","購買品")</f>
        <v>内製品</v>
      </c>
    </row>
    <row r="723" spans="1:65">
      <c r="A723" t="str">
        <f t="shared" si="113"/>
        <v>WG01</v>
      </c>
      <c r="B723" t="s">
        <v>827</v>
      </c>
      <c r="C723" t="s">
        <v>926</v>
      </c>
      <c r="D723" s="7"/>
      <c r="E723" s="7"/>
      <c r="G723" t="s">
        <v>1939</v>
      </c>
      <c r="H723" t="str" cm="1">
        <f t="array" ref="H723">IFERROR(_xlfn.IFS(B723="","",AND(B723="",G723=""),"",G723="","記載要"),"")</f>
        <v/>
      </c>
      <c r="K723" t="str">
        <f t="shared" si="114"/>
        <v>11WP01002956</v>
      </c>
      <c r="L723" s="3" t="str">
        <f t="shared" si="115"/>
        <v>2001/01/01</v>
      </c>
      <c r="M723" s="3" t="str">
        <f t="shared" si="116"/>
        <v>2199/12/31</v>
      </c>
      <c r="N723" t="str">
        <f t="shared" si="117"/>
        <v>11WP01002956</v>
      </c>
      <c r="O723">
        <v>15</v>
      </c>
      <c r="Q723" t="str" cm="1">
        <f t="array" ref="Q723">_xlfn.IFS(AND(C723="",G723=""),"",LEFT(G723,1)="L","記載要",LEFT(G723,1)="W","",AND(C723,G723=""),"記載要")</f>
        <v/>
      </c>
      <c r="R723" s="21" t="str">
        <f t="shared" si="122"/>
        <v/>
      </c>
      <c r="S723" s="21"/>
      <c r="Z723" s="8"/>
      <c r="AA723">
        <v>1</v>
      </c>
      <c r="AB723">
        <f t="shared" si="118"/>
        <v>0</v>
      </c>
      <c r="AC723">
        <v>1</v>
      </c>
      <c r="AF723">
        <v>1</v>
      </c>
      <c r="AG723" s="8"/>
      <c r="AH723" s="8"/>
      <c r="AK723" cm="1">
        <f t="array" ref="AK723">_xlfn.IFS(B723="","",LEFT(G723,1)="L",1,LEFT(G723,1)="W",1,AND(LEFT(B723,1)="H",G723=""),0)</f>
        <v>1</v>
      </c>
      <c r="AS723" t="str">
        <f t="shared" si="119"/>
        <v/>
      </c>
      <c r="AT723" t="s">
        <v>115</v>
      </c>
      <c r="AU723" t="str">
        <f t="shared" si="120"/>
        <v>0</v>
      </c>
      <c r="BD723" t="str">
        <f t="shared" si="121"/>
        <v>0</v>
      </c>
      <c r="BK723" t="str">
        <f>IFERROR(VLOOKUP(B723,'[1]model_S-フレーム'!$F$5:$R$7000,13,1),"")</f>
        <v>E389571_01</v>
      </c>
      <c r="BL723" s="7">
        <f>IFERROR(VLOOKUP(B723,'[1]model_S-フレーム'!$F$5:$V$7000,17,1),"")</f>
        <v>0</v>
      </c>
      <c r="BM723" t="str" cm="1">
        <f t="array" ref="BM723">_xlfn.IFS(LEFT(G723,1)="L","外注品",LEFT(G723,1)="W","内製品",G723="","購買品")</f>
        <v>内製品</v>
      </c>
    </row>
    <row r="724" spans="1:65">
      <c r="A724" t="str">
        <f t="shared" si="113"/>
        <v>WG01</v>
      </c>
      <c r="B724" t="s">
        <v>828</v>
      </c>
      <c r="C724" t="s">
        <v>926</v>
      </c>
      <c r="D724" s="7"/>
      <c r="E724" s="7"/>
      <c r="G724" t="s">
        <v>1939</v>
      </c>
      <c r="H724" t="str" cm="1">
        <f t="array" ref="H724">IFERROR(_xlfn.IFS(B724="","",AND(B724="",G724=""),"",G724="","記載要"),"")</f>
        <v/>
      </c>
      <c r="K724" t="str">
        <f t="shared" si="114"/>
        <v>11WP01002957</v>
      </c>
      <c r="L724" s="3" t="str">
        <f t="shared" si="115"/>
        <v>2001/01/01</v>
      </c>
      <c r="M724" s="3" t="str">
        <f t="shared" si="116"/>
        <v>2199/12/31</v>
      </c>
      <c r="N724" t="str">
        <f t="shared" si="117"/>
        <v>11WP01002957</v>
      </c>
      <c r="O724">
        <v>15</v>
      </c>
      <c r="Q724" t="str" cm="1">
        <f t="array" ref="Q724">_xlfn.IFS(AND(C724="",G724=""),"",LEFT(G724,1)="L","記載要",LEFT(G724,1)="W","",AND(C724,G724=""),"記載要")</f>
        <v/>
      </c>
      <c r="R724" s="21" t="str">
        <f t="shared" si="122"/>
        <v/>
      </c>
      <c r="S724" s="21"/>
      <c r="Z724" s="8"/>
      <c r="AA724">
        <v>1</v>
      </c>
      <c r="AB724">
        <f t="shared" si="118"/>
        <v>0</v>
      </c>
      <c r="AC724">
        <v>1</v>
      </c>
      <c r="AF724">
        <v>1</v>
      </c>
      <c r="AG724" s="8"/>
      <c r="AH724" s="8"/>
      <c r="AK724" cm="1">
        <f t="array" ref="AK724">_xlfn.IFS(B724="","",LEFT(G724,1)="L",1,LEFT(G724,1)="W",1,AND(LEFT(B724,1)="H",G724=""),0)</f>
        <v>1</v>
      </c>
      <c r="AS724" t="str">
        <f t="shared" si="119"/>
        <v/>
      </c>
      <c r="AT724" t="s">
        <v>115</v>
      </c>
      <c r="AU724" t="str">
        <f t="shared" si="120"/>
        <v>0</v>
      </c>
      <c r="BD724" t="str">
        <f t="shared" si="121"/>
        <v>0</v>
      </c>
      <c r="BK724" t="str">
        <f>IFERROR(VLOOKUP(B724,'[1]model_S-フレーム'!$F$5:$R$7000,13,1),"")</f>
        <v>E389571_01</v>
      </c>
      <c r="BL724" s="7">
        <f>IFERROR(VLOOKUP(B724,'[1]model_S-フレーム'!$F$5:$V$7000,17,1),"")</f>
        <v>0</v>
      </c>
      <c r="BM724" t="str" cm="1">
        <f t="array" ref="BM724">_xlfn.IFS(LEFT(G724,1)="L","外注品",LEFT(G724,1)="W","内製品",G724="","購買品")</f>
        <v>内製品</v>
      </c>
    </row>
    <row r="725" spans="1:65">
      <c r="A725" t="str">
        <f t="shared" si="113"/>
        <v>WG01</v>
      </c>
      <c r="B725" t="s">
        <v>829</v>
      </c>
      <c r="C725" t="s">
        <v>926</v>
      </c>
      <c r="D725" s="7"/>
      <c r="E725" s="7"/>
      <c r="G725" t="s">
        <v>1939</v>
      </c>
      <c r="H725" t="str" cm="1">
        <f t="array" ref="H725">IFERROR(_xlfn.IFS(B725="","",AND(B725="",G725=""),"",G725="","記載要"),"")</f>
        <v/>
      </c>
      <c r="K725" t="str">
        <f t="shared" si="114"/>
        <v>11WP01002958</v>
      </c>
      <c r="L725" s="3" t="str">
        <f t="shared" si="115"/>
        <v>2001/01/01</v>
      </c>
      <c r="M725" s="3" t="str">
        <f t="shared" si="116"/>
        <v>2199/12/31</v>
      </c>
      <c r="N725" t="str">
        <f t="shared" si="117"/>
        <v>11WP01002958</v>
      </c>
      <c r="O725">
        <v>15</v>
      </c>
      <c r="Q725" t="str" cm="1">
        <f t="array" ref="Q725">_xlfn.IFS(AND(C725="",G725=""),"",LEFT(G725,1)="L","記載要",LEFT(G725,1)="W","",AND(C725,G725=""),"記載要")</f>
        <v/>
      </c>
      <c r="R725" s="21" t="str">
        <f t="shared" si="122"/>
        <v/>
      </c>
      <c r="S725" s="21"/>
      <c r="Z725" s="8"/>
      <c r="AA725">
        <v>1</v>
      </c>
      <c r="AB725">
        <f t="shared" si="118"/>
        <v>0</v>
      </c>
      <c r="AC725">
        <v>1</v>
      </c>
      <c r="AF725">
        <v>1</v>
      </c>
      <c r="AG725" s="8"/>
      <c r="AH725" s="8"/>
      <c r="AK725" cm="1">
        <f t="array" ref="AK725">_xlfn.IFS(B725="","",LEFT(G725,1)="L",1,LEFT(G725,1)="W",1,AND(LEFT(B725,1)="H",G725=""),0)</f>
        <v>1</v>
      </c>
      <c r="AS725" t="str">
        <f t="shared" si="119"/>
        <v/>
      </c>
      <c r="AT725" t="s">
        <v>115</v>
      </c>
      <c r="AU725" t="str">
        <f t="shared" si="120"/>
        <v>0</v>
      </c>
      <c r="BD725" t="str">
        <f t="shared" si="121"/>
        <v>0</v>
      </c>
      <c r="BK725" t="str">
        <f>IFERROR(VLOOKUP(B725,'[1]model_S-フレーム'!$F$5:$R$7000,13,1),"")</f>
        <v>E389571_01</v>
      </c>
      <c r="BL725" s="7">
        <f>IFERROR(VLOOKUP(B725,'[1]model_S-フレーム'!$F$5:$V$7000,17,1),"")</f>
        <v>0</v>
      </c>
      <c r="BM725" t="str" cm="1">
        <f t="array" ref="BM725">_xlfn.IFS(LEFT(G725,1)="L","外注品",LEFT(G725,1)="W","内製品",G725="","購買品")</f>
        <v>内製品</v>
      </c>
    </row>
    <row r="726" spans="1:65">
      <c r="A726" t="str">
        <f t="shared" si="113"/>
        <v>WG01</v>
      </c>
      <c r="B726" t="s">
        <v>830</v>
      </c>
      <c r="C726" t="s">
        <v>926</v>
      </c>
      <c r="D726" s="7"/>
      <c r="E726" s="7"/>
      <c r="G726" t="s">
        <v>1939</v>
      </c>
      <c r="H726" t="str" cm="1">
        <f t="array" ref="H726">IFERROR(_xlfn.IFS(B726="","",AND(B726="",G726=""),"",G726="","記載要"),"")</f>
        <v/>
      </c>
      <c r="K726" t="str">
        <f t="shared" si="114"/>
        <v>11WP01002959</v>
      </c>
      <c r="L726" s="3" t="str">
        <f t="shared" si="115"/>
        <v>2001/01/01</v>
      </c>
      <c r="M726" s="3" t="str">
        <f t="shared" si="116"/>
        <v>2199/12/31</v>
      </c>
      <c r="N726" t="str">
        <f t="shared" si="117"/>
        <v>11WP01002959</v>
      </c>
      <c r="O726">
        <v>15</v>
      </c>
      <c r="Q726" t="str" cm="1">
        <f t="array" ref="Q726">_xlfn.IFS(AND(C726="",G726=""),"",LEFT(G726,1)="L","記載要",LEFT(G726,1)="W","",AND(C726,G726=""),"記載要")</f>
        <v/>
      </c>
      <c r="R726" s="21" t="str">
        <f t="shared" si="122"/>
        <v/>
      </c>
      <c r="S726" s="21"/>
      <c r="Z726" s="8"/>
      <c r="AA726">
        <v>1</v>
      </c>
      <c r="AB726">
        <f t="shared" si="118"/>
        <v>0</v>
      </c>
      <c r="AC726">
        <v>1</v>
      </c>
      <c r="AF726">
        <v>1</v>
      </c>
      <c r="AG726" s="8"/>
      <c r="AH726" s="8"/>
      <c r="AK726" cm="1">
        <f t="array" ref="AK726">_xlfn.IFS(B726="","",LEFT(G726,1)="L",1,LEFT(G726,1)="W",1,AND(LEFT(B726,1)="H",G726=""),0)</f>
        <v>1</v>
      </c>
      <c r="AS726" t="str">
        <f t="shared" si="119"/>
        <v/>
      </c>
      <c r="AT726" t="s">
        <v>115</v>
      </c>
      <c r="AU726" t="str">
        <f t="shared" si="120"/>
        <v>0</v>
      </c>
      <c r="BD726" t="str">
        <f t="shared" si="121"/>
        <v>0</v>
      </c>
      <c r="BK726" t="str">
        <f>IFERROR(VLOOKUP(B726,'[1]model_S-フレーム'!$F$5:$R$7000,13,1),"")</f>
        <v>E389571_01</v>
      </c>
      <c r="BL726" s="7">
        <f>IFERROR(VLOOKUP(B726,'[1]model_S-フレーム'!$F$5:$V$7000,17,1),"")</f>
        <v>0</v>
      </c>
      <c r="BM726" t="str" cm="1">
        <f t="array" ref="BM726">_xlfn.IFS(LEFT(G726,1)="L","外注品",LEFT(G726,1)="W","内製品",G726="","購買品")</f>
        <v>内製品</v>
      </c>
    </row>
    <row r="727" spans="1:65">
      <c r="A727" t="str">
        <f t="shared" si="113"/>
        <v>WG01</v>
      </c>
      <c r="B727" t="s">
        <v>831</v>
      </c>
      <c r="C727" t="s">
        <v>926</v>
      </c>
      <c r="D727" s="7"/>
      <c r="E727" s="7"/>
      <c r="G727" t="s">
        <v>1939</v>
      </c>
      <c r="H727" t="str" cm="1">
        <f t="array" ref="H727">IFERROR(_xlfn.IFS(B727="","",AND(B727="",G727=""),"",G727="","記載要"),"")</f>
        <v/>
      </c>
      <c r="K727" t="str">
        <f t="shared" si="114"/>
        <v>11WP01002960</v>
      </c>
      <c r="L727" s="3" t="str">
        <f t="shared" si="115"/>
        <v>2001/01/01</v>
      </c>
      <c r="M727" s="3" t="str">
        <f t="shared" si="116"/>
        <v>2199/12/31</v>
      </c>
      <c r="N727" t="str">
        <f t="shared" si="117"/>
        <v>11WP01002960</v>
      </c>
      <c r="O727">
        <v>15</v>
      </c>
      <c r="Q727" t="str" cm="1">
        <f t="array" ref="Q727">_xlfn.IFS(AND(C727="",G727=""),"",LEFT(G727,1)="L","記載要",LEFT(G727,1)="W","",AND(C727,G727=""),"記載要")</f>
        <v/>
      </c>
      <c r="R727" s="21" t="str">
        <f t="shared" si="122"/>
        <v/>
      </c>
      <c r="S727" s="21"/>
      <c r="Z727" s="8"/>
      <c r="AA727">
        <v>1</v>
      </c>
      <c r="AB727">
        <f t="shared" si="118"/>
        <v>0</v>
      </c>
      <c r="AC727">
        <v>1</v>
      </c>
      <c r="AF727">
        <v>1</v>
      </c>
      <c r="AG727" s="8"/>
      <c r="AH727" s="8"/>
      <c r="AK727" cm="1">
        <f t="array" ref="AK727">_xlfn.IFS(B727="","",LEFT(G727,1)="L",1,LEFT(G727,1)="W",1,AND(LEFT(B727,1)="H",G727=""),0)</f>
        <v>1</v>
      </c>
      <c r="AS727" t="str">
        <f t="shared" si="119"/>
        <v/>
      </c>
      <c r="AT727" t="s">
        <v>115</v>
      </c>
      <c r="AU727" t="str">
        <f t="shared" si="120"/>
        <v>0</v>
      </c>
      <c r="BD727" t="str">
        <f t="shared" si="121"/>
        <v>0</v>
      </c>
      <c r="BK727" t="str">
        <f>IFERROR(VLOOKUP(B727,'[1]model_S-フレーム'!$F$5:$R$7000,13,1),"")</f>
        <v>E389571_01</v>
      </c>
      <c r="BL727" s="7">
        <f>IFERROR(VLOOKUP(B727,'[1]model_S-フレーム'!$F$5:$V$7000,17,1),"")</f>
        <v>0</v>
      </c>
      <c r="BM727" t="str" cm="1">
        <f t="array" ref="BM727">_xlfn.IFS(LEFT(G727,1)="L","外注品",LEFT(G727,1)="W","内製品",G727="","購買品")</f>
        <v>内製品</v>
      </c>
    </row>
    <row r="728" spans="1:65">
      <c r="A728" t="str">
        <f t="shared" si="113"/>
        <v>WG01</v>
      </c>
      <c r="B728" t="s">
        <v>832</v>
      </c>
      <c r="C728" t="s">
        <v>926</v>
      </c>
      <c r="D728" s="7"/>
      <c r="E728" s="7"/>
      <c r="G728" t="s">
        <v>1939</v>
      </c>
      <c r="H728" t="str" cm="1">
        <f t="array" ref="H728">IFERROR(_xlfn.IFS(B728="","",AND(B728="",G728=""),"",G728="","記載要"),"")</f>
        <v/>
      </c>
      <c r="K728" t="str">
        <f t="shared" si="114"/>
        <v>11WP01002961</v>
      </c>
      <c r="L728" s="3" t="str">
        <f t="shared" si="115"/>
        <v>2001/01/01</v>
      </c>
      <c r="M728" s="3" t="str">
        <f t="shared" si="116"/>
        <v>2199/12/31</v>
      </c>
      <c r="N728" t="str">
        <f t="shared" si="117"/>
        <v>11WP01002961</v>
      </c>
      <c r="O728">
        <v>15</v>
      </c>
      <c r="Q728" t="str" cm="1">
        <f t="array" ref="Q728">_xlfn.IFS(AND(C728="",G728=""),"",LEFT(G728,1)="L","記載要",LEFT(G728,1)="W","",AND(C728,G728=""),"記載要")</f>
        <v/>
      </c>
      <c r="R728" s="21" t="str">
        <f t="shared" si="122"/>
        <v/>
      </c>
      <c r="S728" s="21"/>
      <c r="Z728" s="8"/>
      <c r="AA728">
        <v>1</v>
      </c>
      <c r="AB728">
        <f t="shared" si="118"/>
        <v>0</v>
      </c>
      <c r="AC728">
        <v>1</v>
      </c>
      <c r="AF728">
        <v>1</v>
      </c>
      <c r="AG728" s="8"/>
      <c r="AH728" s="8"/>
      <c r="AK728" cm="1">
        <f t="array" ref="AK728">_xlfn.IFS(B728="","",LEFT(G728,1)="L",1,LEFT(G728,1)="W",1,AND(LEFT(B728,1)="H",G728=""),0)</f>
        <v>1</v>
      </c>
      <c r="AS728" t="str">
        <f t="shared" si="119"/>
        <v/>
      </c>
      <c r="AT728" t="s">
        <v>115</v>
      </c>
      <c r="AU728" t="str">
        <f t="shared" si="120"/>
        <v>0</v>
      </c>
      <c r="BD728" t="str">
        <f t="shared" si="121"/>
        <v>0</v>
      </c>
      <c r="BK728" t="str">
        <f>IFERROR(VLOOKUP(B728,'[1]model_S-フレーム'!$F$5:$R$7000,13,1),"")</f>
        <v>E389571_01</v>
      </c>
      <c r="BL728" s="7">
        <f>IFERROR(VLOOKUP(B728,'[1]model_S-フレーム'!$F$5:$V$7000,17,1),"")</f>
        <v>0</v>
      </c>
      <c r="BM728" t="str" cm="1">
        <f t="array" ref="BM728">_xlfn.IFS(LEFT(G728,1)="L","外注品",LEFT(G728,1)="W","内製品",G728="","購買品")</f>
        <v>内製品</v>
      </c>
    </row>
    <row r="729" spans="1:65">
      <c r="A729" t="str">
        <f t="shared" si="113"/>
        <v>WG01</v>
      </c>
      <c r="B729" t="s">
        <v>833</v>
      </c>
      <c r="C729" t="s">
        <v>926</v>
      </c>
      <c r="D729" s="7"/>
      <c r="E729" s="7"/>
      <c r="G729" t="s">
        <v>1939</v>
      </c>
      <c r="H729" t="str" cm="1">
        <f t="array" ref="H729">IFERROR(_xlfn.IFS(B729="","",AND(B729="",G729=""),"",G729="","記載要"),"")</f>
        <v/>
      </c>
      <c r="K729" t="str">
        <f t="shared" si="114"/>
        <v>11WP01002962</v>
      </c>
      <c r="L729" s="3" t="str">
        <f t="shared" si="115"/>
        <v>2001/01/01</v>
      </c>
      <c r="M729" s="3" t="str">
        <f t="shared" si="116"/>
        <v>2199/12/31</v>
      </c>
      <c r="N729" t="str">
        <f t="shared" si="117"/>
        <v>11WP01002962</v>
      </c>
      <c r="O729">
        <v>15</v>
      </c>
      <c r="Q729" t="str" cm="1">
        <f t="array" ref="Q729">_xlfn.IFS(AND(C729="",G729=""),"",LEFT(G729,1)="L","記載要",LEFT(G729,1)="W","",AND(C729,G729=""),"記載要")</f>
        <v/>
      </c>
      <c r="R729" s="21" t="str">
        <f t="shared" si="122"/>
        <v/>
      </c>
      <c r="S729" s="21"/>
      <c r="Z729" s="8"/>
      <c r="AA729">
        <v>1</v>
      </c>
      <c r="AB729">
        <f t="shared" si="118"/>
        <v>0</v>
      </c>
      <c r="AC729">
        <v>1</v>
      </c>
      <c r="AF729">
        <v>1</v>
      </c>
      <c r="AG729" s="8"/>
      <c r="AH729" s="8"/>
      <c r="AK729" cm="1">
        <f t="array" ref="AK729">_xlfn.IFS(B729="","",LEFT(G729,1)="L",1,LEFT(G729,1)="W",1,AND(LEFT(B729,1)="H",G729=""),0)</f>
        <v>1</v>
      </c>
      <c r="AS729" t="str">
        <f t="shared" si="119"/>
        <v/>
      </c>
      <c r="AT729" t="s">
        <v>115</v>
      </c>
      <c r="AU729" t="str">
        <f t="shared" si="120"/>
        <v>0</v>
      </c>
      <c r="BD729" t="str">
        <f t="shared" si="121"/>
        <v>0</v>
      </c>
      <c r="BK729" t="str">
        <f>IFERROR(VLOOKUP(B729,'[1]model_S-フレーム'!$F$5:$R$7000,13,1),"")</f>
        <v>E389571_01</v>
      </c>
      <c r="BL729" s="7">
        <f>IFERROR(VLOOKUP(B729,'[1]model_S-フレーム'!$F$5:$V$7000,17,1),"")</f>
        <v>0</v>
      </c>
      <c r="BM729" t="str" cm="1">
        <f t="array" ref="BM729">_xlfn.IFS(LEFT(G729,1)="L","外注品",LEFT(G729,1)="W","内製品",G729="","購買品")</f>
        <v>内製品</v>
      </c>
    </row>
    <row r="730" spans="1:65">
      <c r="A730" t="str">
        <f t="shared" si="113"/>
        <v>WG01</v>
      </c>
      <c r="B730" t="s">
        <v>834</v>
      </c>
      <c r="C730" t="s">
        <v>926</v>
      </c>
      <c r="D730" s="7"/>
      <c r="E730" s="7"/>
      <c r="G730" t="s">
        <v>1939</v>
      </c>
      <c r="H730" t="str" cm="1">
        <f t="array" ref="H730">IFERROR(_xlfn.IFS(B730="","",AND(B730="",G730=""),"",G730="","記載要"),"")</f>
        <v/>
      </c>
      <c r="K730" t="str">
        <f t="shared" si="114"/>
        <v>11WP01002963</v>
      </c>
      <c r="L730" s="3" t="str">
        <f t="shared" si="115"/>
        <v>2001/01/01</v>
      </c>
      <c r="M730" s="3" t="str">
        <f t="shared" si="116"/>
        <v>2199/12/31</v>
      </c>
      <c r="N730" t="str">
        <f t="shared" si="117"/>
        <v>11WP01002963</v>
      </c>
      <c r="O730">
        <v>15</v>
      </c>
      <c r="Q730" t="str" cm="1">
        <f t="array" ref="Q730">_xlfn.IFS(AND(C730="",G730=""),"",LEFT(G730,1)="L","記載要",LEFT(G730,1)="W","",AND(C730,G730=""),"記載要")</f>
        <v/>
      </c>
      <c r="R730" s="21" t="str">
        <f t="shared" si="122"/>
        <v/>
      </c>
      <c r="S730" s="21"/>
      <c r="Z730" s="8"/>
      <c r="AA730">
        <v>1</v>
      </c>
      <c r="AB730">
        <f t="shared" si="118"/>
        <v>0</v>
      </c>
      <c r="AC730">
        <v>1</v>
      </c>
      <c r="AF730">
        <v>1</v>
      </c>
      <c r="AG730" s="8"/>
      <c r="AH730" s="8"/>
      <c r="AK730" cm="1">
        <f t="array" ref="AK730">_xlfn.IFS(B730="","",LEFT(G730,1)="L",1,LEFT(G730,1)="W",1,AND(LEFT(B730,1)="H",G730=""),0)</f>
        <v>1</v>
      </c>
      <c r="AS730" t="str">
        <f t="shared" si="119"/>
        <v/>
      </c>
      <c r="AT730" t="s">
        <v>115</v>
      </c>
      <c r="AU730" t="str">
        <f t="shared" si="120"/>
        <v>0</v>
      </c>
      <c r="BD730" t="str">
        <f t="shared" si="121"/>
        <v>0</v>
      </c>
      <c r="BK730" t="str">
        <f>IFERROR(VLOOKUP(B730,'[1]model_S-フレーム'!$F$5:$R$7000,13,1),"")</f>
        <v>E389571_01</v>
      </c>
      <c r="BL730" s="7">
        <f>IFERROR(VLOOKUP(B730,'[1]model_S-フレーム'!$F$5:$V$7000,17,1),"")</f>
        <v>0</v>
      </c>
      <c r="BM730" t="str" cm="1">
        <f t="array" ref="BM730">_xlfn.IFS(LEFT(G730,1)="L","外注品",LEFT(G730,1)="W","内製品",G730="","購買品")</f>
        <v>内製品</v>
      </c>
    </row>
    <row r="731" spans="1:65">
      <c r="A731" t="str">
        <f t="shared" si="113"/>
        <v>WG01</v>
      </c>
      <c r="B731" t="s">
        <v>835</v>
      </c>
      <c r="C731" t="s">
        <v>926</v>
      </c>
      <c r="D731" s="7"/>
      <c r="E731" s="7"/>
      <c r="G731" t="s">
        <v>1939</v>
      </c>
      <c r="H731" t="str" cm="1">
        <f t="array" ref="H731">IFERROR(_xlfn.IFS(B731="","",AND(B731="",G731=""),"",G731="","記載要"),"")</f>
        <v/>
      </c>
      <c r="K731" t="str">
        <f t="shared" si="114"/>
        <v>11WP01002964</v>
      </c>
      <c r="L731" s="3" t="str">
        <f t="shared" si="115"/>
        <v>2001/01/01</v>
      </c>
      <c r="M731" s="3" t="str">
        <f t="shared" si="116"/>
        <v>2199/12/31</v>
      </c>
      <c r="N731" t="str">
        <f t="shared" si="117"/>
        <v>11WP01002964</v>
      </c>
      <c r="O731">
        <v>15</v>
      </c>
      <c r="Q731" t="str" cm="1">
        <f t="array" ref="Q731">_xlfn.IFS(AND(C731="",G731=""),"",LEFT(G731,1)="L","記載要",LEFT(G731,1)="W","",AND(C731,G731=""),"記載要")</f>
        <v/>
      </c>
      <c r="R731" s="21" t="str">
        <f t="shared" si="122"/>
        <v/>
      </c>
      <c r="S731" s="21"/>
      <c r="Z731" s="8"/>
      <c r="AA731">
        <v>1</v>
      </c>
      <c r="AB731">
        <f t="shared" si="118"/>
        <v>0</v>
      </c>
      <c r="AC731">
        <v>1</v>
      </c>
      <c r="AF731">
        <v>1</v>
      </c>
      <c r="AG731" s="8"/>
      <c r="AH731" s="8"/>
      <c r="AK731" cm="1">
        <f t="array" ref="AK731">_xlfn.IFS(B731="","",LEFT(G731,1)="L",1,LEFT(G731,1)="W",1,AND(LEFT(B731,1)="H",G731=""),0)</f>
        <v>1</v>
      </c>
      <c r="AS731" t="str">
        <f t="shared" si="119"/>
        <v/>
      </c>
      <c r="AT731" t="s">
        <v>115</v>
      </c>
      <c r="AU731" t="str">
        <f t="shared" si="120"/>
        <v>0</v>
      </c>
      <c r="BD731" t="str">
        <f t="shared" si="121"/>
        <v>0</v>
      </c>
      <c r="BK731" t="str">
        <f>IFERROR(VLOOKUP(B731,'[1]model_S-フレーム'!$F$5:$R$7000,13,1),"")</f>
        <v>E389571_01</v>
      </c>
      <c r="BL731" s="7">
        <f>IFERROR(VLOOKUP(B731,'[1]model_S-フレーム'!$F$5:$V$7000,17,1),"")</f>
        <v>0</v>
      </c>
      <c r="BM731" t="str" cm="1">
        <f t="array" ref="BM731">_xlfn.IFS(LEFT(G731,1)="L","外注品",LEFT(G731,1)="W","内製品",G731="","購買品")</f>
        <v>内製品</v>
      </c>
    </row>
    <row r="732" spans="1:65">
      <c r="A732" t="str">
        <f t="shared" si="113"/>
        <v>WG01</v>
      </c>
      <c r="B732" t="s">
        <v>836</v>
      </c>
      <c r="C732" t="s">
        <v>926</v>
      </c>
      <c r="D732" s="7"/>
      <c r="E732" s="7"/>
      <c r="G732" t="s">
        <v>1939</v>
      </c>
      <c r="H732" t="str" cm="1">
        <f t="array" ref="H732">IFERROR(_xlfn.IFS(B732="","",AND(B732="",G732=""),"",G732="","記載要"),"")</f>
        <v/>
      </c>
      <c r="K732" t="str">
        <f t="shared" si="114"/>
        <v>11WP01002965</v>
      </c>
      <c r="L732" s="3" t="str">
        <f t="shared" si="115"/>
        <v>2001/01/01</v>
      </c>
      <c r="M732" s="3" t="str">
        <f t="shared" si="116"/>
        <v>2199/12/31</v>
      </c>
      <c r="N732" t="str">
        <f t="shared" si="117"/>
        <v>11WP01002965</v>
      </c>
      <c r="O732">
        <v>15</v>
      </c>
      <c r="Q732" t="str" cm="1">
        <f t="array" ref="Q732">_xlfn.IFS(AND(C732="",G732=""),"",LEFT(G732,1)="L","記載要",LEFT(G732,1)="W","",AND(C732,G732=""),"記載要")</f>
        <v/>
      </c>
      <c r="R732" s="21" t="str">
        <f t="shared" si="122"/>
        <v/>
      </c>
      <c r="S732" s="21"/>
      <c r="Z732" s="8"/>
      <c r="AA732">
        <v>1</v>
      </c>
      <c r="AB732">
        <f t="shared" si="118"/>
        <v>0</v>
      </c>
      <c r="AC732">
        <v>1</v>
      </c>
      <c r="AF732">
        <v>1</v>
      </c>
      <c r="AG732" s="8"/>
      <c r="AH732" s="8"/>
      <c r="AK732" cm="1">
        <f t="array" ref="AK732">_xlfn.IFS(B732="","",LEFT(G732,1)="L",1,LEFT(G732,1)="W",1,AND(LEFT(B732,1)="H",G732=""),0)</f>
        <v>1</v>
      </c>
      <c r="AS732" t="str">
        <f t="shared" si="119"/>
        <v/>
      </c>
      <c r="AT732" t="s">
        <v>115</v>
      </c>
      <c r="AU732" t="str">
        <f t="shared" si="120"/>
        <v>0</v>
      </c>
      <c r="BD732" t="str">
        <f t="shared" si="121"/>
        <v>0</v>
      </c>
      <c r="BK732" t="str">
        <f>IFERROR(VLOOKUP(B732,'[1]model_S-フレーム'!$F$5:$R$7000,13,1),"")</f>
        <v>E389571_01</v>
      </c>
      <c r="BL732" s="7">
        <f>IFERROR(VLOOKUP(B732,'[1]model_S-フレーム'!$F$5:$V$7000,17,1),"")</f>
        <v>0</v>
      </c>
      <c r="BM732" t="str" cm="1">
        <f t="array" ref="BM732">_xlfn.IFS(LEFT(G732,1)="L","外注品",LEFT(G732,1)="W","内製品",G732="","購買品")</f>
        <v>内製品</v>
      </c>
    </row>
    <row r="733" spans="1:65">
      <c r="A733" t="str">
        <f t="shared" si="113"/>
        <v>WG01</v>
      </c>
      <c r="B733" t="s">
        <v>837</v>
      </c>
      <c r="C733" t="s">
        <v>926</v>
      </c>
      <c r="D733" s="7"/>
      <c r="E733" s="7"/>
      <c r="G733" t="s">
        <v>1939</v>
      </c>
      <c r="H733" t="str" cm="1">
        <f t="array" ref="H733">IFERROR(_xlfn.IFS(B733="","",AND(B733="",G733=""),"",G733="","記載要"),"")</f>
        <v/>
      </c>
      <c r="K733" t="str">
        <f t="shared" si="114"/>
        <v>11WP01002966</v>
      </c>
      <c r="L733" s="3" t="str">
        <f t="shared" si="115"/>
        <v>2001/01/01</v>
      </c>
      <c r="M733" s="3" t="str">
        <f t="shared" si="116"/>
        <v>2199/12/31</v>
      </c>
      <c r="N733" t="str">
        <f t="shared" si="117"/>
        <v>11WP01002966</v>
      </c>
      <c r="O733">
        <v>15</v>
      </c>
      <c r="Q733" t="str" cm="1">
        <f t="array" ref="Q733">_xlfn.IFS(AND(C733="",G733=""),"",LEFT(G733,1)="L","記載要",LEFT(G733,1)="W","",AND(C733,G733=""),"記載要")</f>
        <v/>
      </c>
      <c r="R733" s="21" t="str">
        <f t="shared" si="122"/>
        <v/>
      </c>
      <c r="S733" s="21"/>
      <c r="Z733" s="8"/>
      <c r="AA733">
        <v>1</v>
      </c>
      <c r="AB733">
        <f t="shared" si="118"/>
        <v>0</v>
      </c>
      <c r="AC733">
        <v>1</v>
      </c>
      <c r="AF733">
        <v>1</v>
      </c>
      <c r="AG733" s="8"/>
      <c r="AH733" s="8"/>
      <c r="AK733" cm="1">
        <f t="array" ref="AK733">_xlfn.IFS(B733="","",LEFT(G733,1)="L",1,LEFT(G733,1)="W",1,AND(LEFT(B733,1)="H",G733=""),0)</f>
        <v>1</v>
      </c>
      <c r="AS733" t="str">
        <f t="shared" si="119"/>
        <v/>
      </c>
      <c r="AT733" t="s">
        <v>115</v>
      </c>
      <c r="AU733" t="str">
        <f t="shared" si="120"/>
        <v>0</v>
      </c>
      <c r="BD733" t="str">
        <f t="shared" si="121"/>
        <v>0</v>
      </c>
      <c r="BK733" t="str">
        <f>IFERROR(VLOOKUP(B733,'[1]model_S-フレーム'!$F$5:$R$7000,13,1),"")</f>
        <v>E389571_01</v>
      </c>
      <c r="BL733" s="7">
        <f>IFERROR(VLOOKUP(B733,'[1]model_S-フレーム'!$F$5:$V$7000,17,1),"")</f>
        <v>0</v>
      </c>
      <c r="BM733" t="str" cm="1">
        <f t="array" ref="BM733">_xlfn.IFS(LEFT(G733,1)="L","外注品",LEFT(G733,1)="W","内製品",G733="","購買品")</f>
        <v>内製品</v>
      </c>
    </row>
    <row r="734" spans="1:65">
      <c r="A734" t="str">
        <f t="shared" si="113"/>
        <v>WG01</v>
      </c>
      <c r="B734" t="s">
        <v>838</v>
      </c>
      <c r="C734" t="s">
        <v>926</v>
      </c>
      <c r="D734" s="7"/>
      <c r="E734" s="7"/>
      <c r="G734" t="s">
        <v>1939</v>
      </c>
      <c r="H734" t="str" cm="1">
        <f t="array" ref="H734">IFERROR(_xlfn.IFS(B734="","",AND(B734="",G734=""),"",G734="","記載要"),"")</f>
        <v/>
      </c>
      <c r="K734" t="str">
        <f t="shared" si="114"/>
        <v>11WP01002967</v>
      </c>
      <c r="L734" s="3" t="str">
        <f t="shared" si="115"/>
        <v>2001/01/01</v>
      </c>
      <c r="M734" s="3" t="str">
        <f t="shared" si="116"/>
        <v>2199/12/31</v>
      </c>
      <c r="N734" t="str">
        <f t="shared" si="117"/>
        <v>11WP01002967</v>
      </c>
      <c r="O734">
        <v>15</v>
      </c>
      <c r="Q734" t="str" cm="1">
        <f t="array" ref="Q734">_xlfn.IFS(AND(C734="",G734=""),"",LEFT(G734,1)="L","記載要",LEFT(G734,1)="W","",AND(C734,G734=""),"記載要")</f>
        <v/>
      </c>
      <c r="R734" s="21" t="str">
        <f t="shared" si="122"/>
        <v/>
      </c>
      <c r="S734" s="21"/>
      <c r="Z734" s="8"/>
      <c r="AA734">
        <v>1</v>
      </c>
      <c r="AB734">
        <f t="shared" si="118"/>
        <v>0</v>
      </c>
      <c r="AC734">
        <v>1</v>
      </c>
      <c r="AF734">
        <v>1</v>
      </c>
      <c r="AG734" s="8"/>
      <c r="AH734" s="8"/>
      <c r="AK734" cm="1">
        <f t="array" ref="AK734">_xlfn.IFS(B734="","",LEFT(G734,1)="L",1,LEFT(G734,1)="W",1,AND(LEFT(B734,1)="H",G734=""),0)</f>
        <v>1</v>
      </c>
      <c r="AS734" t="str">
        <f t="shared" si="119"/>
        <v/>
      </c>
      <c r="AT734" t="s">
        <v>115</v>
      </c>
      <c r="AU734" t="str">
        <f t="shared" si="120"/>
        <v>0</v>
      </c>
      <c r="BD734" t="str">
        <f t="shared" si="121"/>
        <v>0</v>
      </c>
      <c r="BK734" t="str">
        <f>IFERROR(VLOOKUP(B734,'[1]model_S-フレーム'!$F$5:$R$7000,13,1),"")</f>
        <v>E389571_01</v>
      </c>
      <c r="BL734" s="7">
        <f>IFERROR(VLOOKUP(B734,'[1]model_S-フレーム'!$F$5:$V$7000,17,1),"")</f>
        <v>0</v>
      </c>
      <c r="BM734" t="str" cm="1">
        <f t="array" ref="BM734">_xlfn.IFS(LEFT(G734,1)="L","外注品",LEFT(G734,1)="W","内製品",G734="","購買品")</f>
        <v>内製品</v>
      </c>
    </row>
    <row r="735" spans="1:65">
      <c r="A735" t="str">
        <f t="shared" si="113"/>
        <v>WG01</v>
      </c>
      <c r="B735" t="s">
        <v>839</v>
      </c>
      <c r="C735" t="s">
        <v>926</v>
      </c>
      <c r="D735" s="7"/>
      <c r="E735" s="7"/>
      <c r="G735" t="s">
        <v>1939</v>
      </c>
      <c r="H735" t="str" cm="1">
        <f t="array" ref="H735">IFERROR(_xlfn.IFS(B735="","",AND(B735="",G735=""),"",G735="","記載要"),"")</f>
        <v/>
      </c>
      <c r="K735" t="str">
        <f t="shared" si="114"/>
        <v>11WP01002968</v>
      </c>
      <c r="L735" s="3" t="str">
        <f t="shared" si="115"/>
        <v>2001/01/01</v>
      </c>
      <c r="M735" s="3" t="str">
        <f t="shared" si="116"/>
        <v>2199/12/31</v>
      </c>
      <c r="N735" t="str">
        <f t="shared" si="117"/>
        <v>11WP01002968</v>
      </c>
      <c r="O735">
        <v>15</v>
      </c>
      <c r="Q735" t="str" cm="1">
        <f t="array" ref="Q735">_xlfn.IFS(AND(C735="",G735=""),"",LEFT(G735,1)="L","記載要",LEFT(G735,1)="W","",AND(C735,G735=""),"記載要")</f>
        <v/>
      </c>
      <c r="R735" s="21" t="str">
        <f t="shared" si="122"/>
        <v/>
      </c>
      <c r="S735" s="21"/>
      <c r="Z735" s="8"/>
      <c r="AA735">
        <v>1</v>
      </c>
      <c r="AB735">
        <f t="shared" si="118"/>
        <v>0</v>
      </c>
      <c r="AC735">
        <v>1</v>
      </c>
      <c r="AF735">
        <v>1</v>
      </c>
      <c r="AG735" s="8"/>
      <c r="AH735" s="8"/>
      <c r="AK735" cm="1">
        <f t="array" ref="AK735">_xlfn.IFS(B735="","",LEFT(G735,1)="L",1,LEFT(G735,1)="W",1,AND(LEFT(B735,1)="H",G735=""),0)</f>
        <v>1</v>
      </c>
      <c r="AS735" t="str">
        <f t="shared" si="119"/>
        <v/>
      </c>
      <c r="AT735" t="s">
        <v>115</v>
      </c>
      <c r="AU735" t="str">
        <f t="shared" si="120"/>
        <v>0</v>
      </c>
      <c r="BD735" t="str">
        <f t="shared" si="121"/>
        <v>0</v>
      </c>
      <c r="BK735" t="str">
        <f>IFERROR(VLOOKUP(B735,'[1]model_S-フレーム'!$F$5:$R$7000,13,1),"")</f>
        <v>E389571_01</v>
      </c>
      <c r="BL735" s="7">
        <f>IFERROR(VLOOKUP(B735,'[1]model_S-フレーム'!$F$5:$V$7000,17,1),"")</f>
        <v>0</v>
      </c>
      <c r="BM735" t="str" cm="1">
        <f t="array" ref="BM735">_xlfn.IFS(LEFT(G735,1)="L","外注品",LEFT(G735,1)="W","内製品",G735="","購買品")</f>
        <v>内製品</v>
      </c>
    </row>
    <row r="736" spans="1:65">
      <c r="A736" t="str">
        <f t="shared" si="113"/>
        <v>WG01</v>
      </c>
      <c r="B736" t="s">
        <v>840</v>
      </c>
      <c r="C736" t="s">
        <v>926</v>
      </c>
      <c r="D736" s="7"/>
      <c r="E736" s="7"/>
      <c r="G736" t="s">
        <v>1939</v>
      </c>
      <c r="H736" t="str" cm="1">
        <f t="array" ref="H736">IFERROR(_xlfn.IFS(B736="","",AND(B736="",G736=""),"",G736="","記載要"),"")</f>
        <v/>
      </c>
      <c r="K736" t="str">
        <f t="shared" si="114"/>
        <v>11WP01002969</v>
      </c>
      <c r="L736" s="3" t="str">
        <f t="shared" si="115"/>
        <v>2001/01/01</v>
      </c>
      <c r="M736" s="3" t="str">
        <f t="shared" si="116"/>
        <v>2199/12/31</v>
      </c>
      <c r="N736" t="str">
        <f t="shared" si="117"/>
        <v>11WP01002969</v>
      </c>
      <c r="O736">
        <v>15</v>
      </c>
      <c r="Q736" t="str" cm="1">
        <f t="array" ref="Q736">_xlfn.IFS(AND(C736="",G736=""),"",LEFT(G736,1)="L","記載要",LEFT(G736,1)="W","",AND(C736,G736=""),"記載要")</f>
        <v/>
      </c>
      <c r="R736" s="21" t="str">
        <f t="shared" si="122"/>
        <v/>
      </c>
      <c r="S736" s="21"/>
      <c r="Z736" s="8"/>
      <c r="AA736">
        <v>1</v>
      </c>
      <c r="AB736">
        <f t="shared" si="118"/>
        <v>0</v>
      </c>
      <c r="AC736">
        <v>1</v>
      </c>
      <c r="AF736">
        <v>1</v>
      </c>
      <c r="AG736" s="8"/>
      <c r="AH736" s="8"/>
      <c r="AK736" cm="1">
        <f t="array" ref="AK736">_xlfn.IFS(B736="","",LEFT(G736,1)="L",1,LEFT(G736,1)="W",1,AND(LEFT(B736,1)="H",G736=""),0)</f>
        <v>1</v>
      </c>
      <c r="AS736" t="str">
        <f t="shared" si="119"/>
        <v/>
      </c>
      <c r="AT736" t="s">
        <v>115</v>
      </c>
      <c r="AU736" t="str">
        <f t="shared" si="120"/>
        <v>0</v>
      </c>
      <c r="BD736" t="str">
        <f t="shared" si="121"/>
        <v>0</v>
      </c>
      <c r="BK736" t="str">
        <f>IFERROR(VLOOKUP(B736,'[1]model_S-フレーム'!$F$5:$R$7000,13,1),"")</f>
        <v>E389571_01</v>
      </c>
      <c r="BL736" s="7">
        <f>IFERROR(VLOOKUP(B736,'[1]model_S-フレーム'!$F$5:$V$7000,17,1),"")</f>
        <v>0</v>
      </c>
      <c r="BM736" t="str" cm="1">
        <f t="array" ref="BM736">_xlfn.IFS(LEFT(G736,1)="L","外注品",LEFT(G736,1)="W","内製品",G736="","購買品")</f>
        <v>内製品</v>
      </c>
    </row>
    <row r="737" spans="1:65">
      <c r="A737" t="str">
        <f t="shared" si="113"/>
        <v>WG01</v>
      </c>
      <c r="B737" t="s">
        <v>841</v>
      </c>
      <c r="C737" t="s">
        <v>927</v>
      </c>
      <c r="D737" s="7"/>
      <c r="E737" s="7"/>
      <c r="G737" t="s">
        <v>1939</v>
      </c>
      <c r="H737" t="str" cm="1">
        <f t="array" ref="H737">IFERROR(_xlfn.IFS(B737="","",AND(B737="",G737=""),"",G737="","記載要"),"")</f>
        <v/>
      </c>
      <c r="K737" t="str">
        <f t="shared" si="114"/>
        <v>11WP01002970</v>
      </c>
      <c r="L737" s="3" t="str">
        <f t="shared" si="115"/>
        <v>2001/01/01</v>
      </c>
      <c r="M737" s="3" t="str">
        <f t="shared" si="116"/>
        <v>2199/12/31</v>
      </c>
      <c r="N737" t="str">
        <f t="shared" si="117"/>
        <v>11WP01002970</v>
      </c>
      <c r="O737">
        <v>15</v>
      </c>
      <c r="Q737" t="str" cm="1">
        <f t="array" ref="Q737">_xlfn.IFS(AND(C737="",G737=""),"",LEFT(G737,1)="L","記載要",LEFT(G737,1)="W","",AND(C737,G737=""),"記載要")</f>
        <v/>
      </c>
      <c r="R737" s="21" t="str">
        <f t="shared" si="122"/>
        <v/>
      </c>
      <c r="S737" s="21"/>
      <c r="Z737" s="8"/>
      <c r="AA737">
        <v>1</v>
      </c>
      <c r="AB737">
        <f t="shared" si="118"/>
        <v>0</v>
      </c>
      <c r="AC737">
        <v>1</v>
      </c>
      <c r="AF737">
        <v>1</v>
      </c>
      <c r="AG737" s="8"/>
      <c r="AH737" s="8"/>
      <c r="AK737" cm="1">
        <f t="array" ref="AK737">_xlfn.IFS(B737="","",LEFT(G737,1)="L",1,LEFT(G737,1)="W",1,AND(LEFT(B737,1)="H",G737=""),0)</f>
        <v>1</v>
      </c>
      <c r="AS737" t="str">
        <f t="shared" si="119"/>
        <v/>
      </c>
      <c r="AT737" t="s">
        <v>115</v>
      </c>
      <c r="AU737" t="str">
        <f t="shared" si="120"/>
        <v>0</v>
      </c>
      <c r="BD737" t="str">
        <f t="shared" si="121"/>
        <v>0</v>
      </c>
      <c r="BK737" t="str">
        <f>IFERROR(VLOOKUP(B737,'[1]model_S-フレーム'!$F$5:$R$7000,13,1),"")</f>
        <v>E389571_01</v>
      </c>
      <c r="BL737" s="7">
        <f>IFERROR(VLOOKUP(B737,'[1]model_S-フレーム'!$F$5:$V$7000,17,1),"")</f>
        <v>0</v>
      </c>
      <c r="BM737" t="str" cm="1">
        <f t="array" ref="BM737">_xlfn.IFS(LEFT(G737,1)="L","外注品",LEFT(G737,1)="W","内製品",G737="","購買品")</f>
        <v>内製品</v>
      </c>
    </row>
    <row r="738" spans="1:65">
      <c r="A738" t="str">
        <f t="shared" si="113"/>
        <v>WG01</v>
      </c>
      <c r="B738" t="s">
        <v>842</v>
      </c>
      <c r="C738" t="s">
        <v>927</v>
      </c>
      <c r="D738" s="7"/>
      <c r="E738" s="7"/>
      <c r="G738" t="s">
        <v>1939</v>
      </c>
      <c r="H738" t="str" cm="1">
        <f t="array" ref="H738">IFERROR(_xlfn.IFS(B738="","",AND(B738="",G738=""),"",G738="","記載要"),"")</f>
        <v/>
      </c>
      <c r="K738" t="str">
        <f t="shared" si="114"/>
        <v>11WP01002971</v>
      </c>
      <c r="L738" s="3" t="str">
        <f t="shared" si="115"/>
        <v>2001/01/01</v>
      </c>
      <c r="M738" s="3" t="str">
        <f t="shared" si="116"/>
        <v>2199/12/31</v>
      </c>
      <c r="N738" t="str">
        <f t="shared" si="117"/>
        <v>11WP01002971</v>
      </c>
      <c r="O738">
        <v>15</v>
      </c>
      <c r="Q738" t="str" cm="1">
        <f t="array" ref="Q738">_xlfn.IFS(AND(C738="",G738=""),"",LEFT(G738,1)="L","記載要",LEFT(G738,1)="W","",AND(C738,G738=""),"記載要")</f>
        <v/>
      </c>
      <c r="R738" s="21" t="str">
        <f t="shared" si="122"/>
        <v/>
      </c>
      <c r="S738" s="21"/>
      <c r="Z738" s="8"/>
      <c r="AA738">
        <v>1</v>
      </c>
      <c r="AB738">
        <f t="shared" si="118"/>
        <v>0</v>
      </c>
      <c r="AC738">
        <v>1</v>
      </c>
      <c r="AF738">
        <v>1</v>
      </c>
      <c r="AG738" s="8"/>
      <c r="AH738" s="8"/>
      <c r="AK738" cm="1">
        <f t="array" ref="AK738">_xlfn.IFS(B738="","",LEFT(G738,1)="L",1,LEFT(G738,1)="W",1,AND(LEFT(B738,1)="H",G738=""),0)</f>
        <v>1</v>
      </c>
      <c r="AS738" t="str">
        <f t="shared" si="119"/>
        <v/>
      </c>
      <c r="AT738" t="s">
        <v>115</v>
      </c>
      <c r="AU738" t="str">
        <f t="shared" si="120"/>
        <v>0</v>
      </c>
      <c r="BD738" t="str">
        <f t="shared" si="121"/>
        <v>0</v>
      </c>
      <c r="BK738" t="str">
        <f>IFERROR(VLOOKUP(B738,'[1]model_S-フレーム'!$F$5:$R$7000,13,1),"")</f>
        <v>E389571_01</v>
      </c>
      <c r="BL738" s="7">
        <f>IFERROR(VLOOKUP(B738,'[1]model_S-フレーム'!$F$5:$V$7000,17,1),"")</f>
        <v>0</v>
      </c>
      <c r="BM738" t="str" cm="1">
        <f t="array" ref="BM738">_xlfn.IFS(LEFT(G738,1)="L","外注品",LEFT(G738,1)="W","内製品",G738="","購買品")</f>
        <v>内製品</v>
      </c>
    </row>
    <row r="739" spans="1:65">
      <c r="A739" t="str">
        <f t="shared" si="113"/>
        <v>WG01</v>
      </c>
      <c r="B739" t="s">
        <v>843</v>
      </c>
      <c r="C739" t="s">
        <v>927</v>
      </c>
      <c r="D739" s="7"/>
      <c r="E739" s="7"/>
      <c r="G739" t="s">
        <v>1939</v>
      </c>
      <c r="H739" t="str" cm="1">
        <f t="array" ref="H739">IFERROR(_xlfn.IFS(B739="","",AND(B739="",G739=""),"",G739="","記載要"),"")</f>
        <v/>
      </c>
      <c r="K739" t="str">
        <f t="shared" si="114"/>
        <v>11WP01002972</v>
      </c>
      <c r="L739" s="3" t="str">
        <f t="shared" si="115"/>
        <v>2001/01/01</v>
      </c>
      <c r="M739" s="3" t="str">
        <f t="shared" si="116"/>
        <v>2199/12/31</v>
      </c>
      <c r="N739" t="str">
        <f t="shared" si="117"/>
        <v>11WP01002972</v>
      </c>
      <c r="O739">
        <v>15</v>
      </c>
      <c r="Q739" t="str" cm="1">
        <f t="array" ref="Q739">_xlfn.IFS(AND(C739="",G739=""),"",LEFT(G739,1)="L","記載要",LEFT(G739,1)="W","",AND(C739,G739=""),"記載要")</f>
        <v/>
      </c>
      <c r="R739" s="21" t="str">
        <f t="shared" si="122"/>
        <v/>
      </c>
      <c r="S739" s="21"/>
      <c r="Z739" s="8"/>
      <c r="AA739">
        <v>1</v>
      </c>
      <c r="AB739">
        <f t="shared" si="118"/>
        <v>0</v>
      </c>
      <c r="AC739">
        <v>1</v>
      </c>
      <c r="AF739">
        <v>1</v>
      </c>
      <c r="AG739" s="8"/>
      <c r="AH739" s="8"/>
      <c r="AK739" cm="1">
        <f t="array" ref="AK739">_xlfn.IFS(B739="","",LEFT(G739,1)="L",1,LEFT(G739,1)="W",1,AND(LEFT(B739,1)="H",G739=""),0)</f>
        <v>1</v>
      </c>
      <c r="AS739" t="str">
        <f t="shared" si="119"/>
        <v/>
      </c>
      <c r="AT739" t="s">
        <v>115</v>
      </c>
      <c r="AU739" t="str">
        <f t="shared" si="120"/>
        <v>0</v>
      </c>
      <c r="BD739" t="str">
        <f t="shared" si="121"/>
        <v>0</v>
      </c>
      <c r="BK739" t="str">
        <f>IFERROR(VLOOKUP(B739,'[1]model_S-フレーム'!$F$5:$R$7000,13,1),"")</f>
        <v>E389571_01</v>
      </c>
      <c r="BL739" s="7">
        <f>IFERROR(VLOOKUP(B739,'[1]model_S-フレーム'!$F$5:$V$7000,17,1),"")</f>
        <v>0</v>
      </c>
      <c r="BM739" t="str" cm="1">
        <f t="array" ref="BM739">_xlfn.IFS(LEFT(G739,1)="L","外注品",LEFT(G739,1)="W","内製品",G739="","購買品")</f>
        <v>内製品</v>
      </c>
    </row>
    <row r="740" spans="1:65">
      <c r="A740" t="str">
        <f t="shared" si="113"/>
        <v>WG01</v>
      </c>
      <c r="B740" t="s">
        <v>844</v>
      </c>
      <c r="C740" t="s">
        <v>927</v>
      </c>
      <c r="D740" s="7"/>
      <c r="E740" s="7"/>
      <c r="G740" t="s">
        <v>1939</v>
      </c>
      <c r="H740" t="str" cm="1">
        <f t="array" ref="H740">IFERROR(_xlfn.IFS(B740="","",AND(B740="",G740=""),"",G740="","記載要"),"")</f>
        <v/>
      </c>
      <c r="K740" t="str">
        <f t="shared" si="114"/>
        <v>11WP01002973</v>
      </c>
      <c r="L740" s="3" t="str">
        <f t="shared" si="115"/>
        <v>2001/01/01</v>
      </c>
      <c r="M740" s="3" t="str">
        <f t="shared" si="116"/>
        <v>2199/12/31</v>
      </c>
      <c r="N740" t="str">
        <f t="shared" si="117"/>
        <v>11WP01002973</v>
      </c>
      <c r="O740">
        <v>15</v>
      </c>
      <c r="Q740" t="str" cm="1">
        <f t="array" ref="Q740">_xlfn.IFS(AND(C740="",G740=""),"",LEFT(G740,1)="L","記載要",LEFT(G740,1)="W","",AND(C740,G740=""),"記載要")</f>
        <v/>
      </c>
      <c r="R740" s="21" t="str">
        <f t="shared" si="122"/>
        <v/>
      </c>
      <c r="S740" s="21"/>
      <c r="Z740" s="8"/>
      <c r="AA740">
        <v>1</v>
      </c>
      <c r="AB740">
        <f t="shared" si="118"/>
        <v>0</v>
      </c>
      <c r="AC740">
        <v>1</v>
      </c>
      <c r="AF740">
        <v>1</v>
      </c>
      <c r="AG740" s="8"/>
      <c r="AH740" s="8"/>
      <c r="AK740" cm="1">
        <f t="array" ref="AK740">_xlfn.IFS(B740="","",LEFT(G740,1)="L",1,LEFT(G740,1)="W",1,AND(LEFT(B740,1)="H",G740=""),0)</f>
        <v>1</v>
      </c>
      <c r="AS740" t="str">
        <f t="shared" si="119"/>
        <v/>
      </c>
      <c r="AT740" t="s">
        <v>115</v>
      </c>
      <c r="AU740" t="str">
        <f t="shared" si="120"/>
        <v>0</v>
      </c>
      <c r="BD740" t="str">
        <f t="shared" si="121"/>
        <v>0</v>
      </c>
      <c r="BK740" t="str">
        <f>IFERROR(VLOOKUP(B740,'[1]model_S-フレーム'!$F$5:$R$7000,13,1),"")</f>
        <v>E389571_01</v>
      </c>
      <c r="BL740" s="7">
        <f>IFERROR(VLOOKUP(B740,'[1]model_S-フレーム'!$F$5:$V$7000,17,1),"")</f>
        <v>0</v>
      </c>
      <c r="BM740" t="str" cm="1">
        <f t="array" ref="BM740">_xlfn.IFS(LEFT(G740,1)="L","外注品",LEFT(G740,1)="W","内製品",G740="","購買品")</f>
        <v>内製品</v>
      </c>
    </row>
    <row r="741" spans="1:65">
      <c r="A741" t="str">
        <f t="shared" si="113"/>
        <v>WG01</v>
      </c>
      <c r="B741" t="s">
        <v>845</v>
      </c>
      <c r="C741" t="s">
        <v>927</v>
      </c>
      <c r="D741" s="7"/>
      <c r="E741" s="7"/>
      <c r="G741" t="s">
        <v>1939</v>
      </c>
      <c r="H741" t="str" cm="1">
        <f t="array" ref="H741">IFERROR(_xlfn.IFS(B741="","",AND(B741="",G741=""),"",G741="","記載要"),"")</f>
        <v/>
      </c>
      <c r="K741" t="str">
        <f t="shared" si="114"/>
        <v>11WP01002974</v>
      </c>
      <c r="L741" s="3" t="str">
        <f t="shared" si="115"/>
        <v>2001/01/01</v>
      </c>
      <c r="M741" s="3" t="str">
        <f t="shared" si="116"/>
        <v>2199/12/31</v>
      </c>
      <c r="N741" t="str">
        <f t="shared" si="117"/>
        <v>11WP01002974</v>
      </c>
      <c r="O741">
        <v>15</v>
      </c>
      <c r="Q741" t="str" cm="1">
        <f t="array" ref="Q741">_xlfn.IFS(AND(C741="",G741=""),"",LEFT(G741,1)="L","記載要",LEFT(G741,1)="W","",AND(C741,G741=""),"記載要")</f>
        <v/>
      </c>
      <c r="R741" s="21" t="str">
        <f t="shared" si="122"/>
        <v/>
      </c>
      <c r="S741" s="21"/>
      <c r="Z741" s="8"/>
      <c r="AA741">
        <v>1</v>
      </c>
      <c r="AB741">
        <f t="shared" si="118"/>
        <v>0</v>
      </c>
      <c r="AC741">
        <v>1</v>
      </c>
      <c r="AF741">
        <v>1</v>
      </c>
      <c r="AG741" s="8"/>
      <c r="AH741" s="8"/>
      <c r="AK741" cm="1">
        <f t="array" ref="AK741">_xlfn.IFS(B741="","",LEFT(G741,1)="L",1,LEFT(G741,1)="W",1,AND(LEFT(B741,1)="H",G741=""),0)</f>
        <v>1</v>
      </c>
      <c r="AS741" t="str">
        <f t="shared" si="119"/>
        <v/>
      </c>
      <c r="AT741" t="s">
        <v>115</v>
      </c>
      <c r="AU741" t="str">
        <f t="shared" si="120"/>
        <v>0</v>
      </c>
      <c r="BD741" t="str">
        <f t="shared" si="121"/>
        <v>0</v>
      </c>
      <c r="BK741" t="str">
        <f>IFERROR(VLOOKUP(B741,'[1]model_S-フレーム'!$F$5:$R$7000,13,1),"")</f>
        <v>E389571_01</v>
      </c>
      <c r="BL741" s="7">
        <f>IFERROR(VLOOKUP(B741,'[1]model_S-フレーム'!$F$5:$V$7000,17,1),"")</f>
        <v>0</v>
      </c>
      <c r="BM741" t="str" cm="1">
        <f t="array" ref="BM741">_xlfn.IFS(LEFT(G741,1)="L","外注品",LEFT(G741,1)="W","内製品",G741="","購買品")</f>
        <v>内製品</v>
      </c>
    </row>
    <row r="742" spans="1:65">
      <c r="A742" t="str">
        <f t="shared" si="113"/>
        <v>WG01</v>
      </c>
      <c r="B742" t="s">
        <v>846</v>
      </c>
      <c r="C742" t="s">
        <v>927</v>
      </c>
      <c r="D742" s="7"/>
      <c r="E742" s="7"/>
      <c r="G742" t="s">
        <v>1939</v>
      </c>
      <c r="H742" t="str" cm="1">
        <f t="array" ref="H742">IFERROR(_xlfn.IFS(B742="","",AND(B742="",G742=""),"",G742="","記載要"),"")</f>
        <v/>
      </c>
      <c r="K742" t="str">
        <f t="shared" si="114"/>
        <v>11WP01002975</v>
      </c>
      <c r="L742" s="3" t="str">
        <f t="shared" si="115"/>
        <v>2001/01/01</v>
      </c>
      <c r="M742" s="3" t="str">
        <f t="shared" si="116"/>
        <v>2199/12/31</v>
      </c>
      <c r="N742" t="str">
        <f t="shared" si="117"/>
        <v>11WP01002975</v>
      </c>
      <c r="O742">
        <v>15</v>
      </c>
      <c r="Q742" t="str" cm="1">
        <f t="array" ref="Q742">_xlfn.IFS(AND(C742="",G742=""),"",LEFT(G742,1)="L","記載要",LEFT(G742,1)="W","",AND(C742,G742=""),"記載要")</f>
        <v/>
      </c>
      <c r="R742" s="21" t="str">
        <f t="shared" si="122"/>
        <v/>
      </c>
      <c r="S742" s="21"/>
      <c r="Z742" s="8"/>
      <c r="AA742">
        <v>1</v>
      </c>
      <c r="AB742">
        <f t="shared" si="118"/>
        <v>0</v>
      </c>
      <c r="AC742">
        <v>1</v>
      </c>
      <c r="AF742">
        <v>1</v>
      </c>
      <c r="AG742" s="8"/>
      <c r="AH742" s="8"/>
      <c r="AK742" cm="1">
        <f t="array" ref="AK742">_xlfn.IFS(B742="","",LEFT(G742,1)="L",1,LEFT(G742,1)="W",1,AND(LEFT(B742,1)="H",G742=""),0)</f>
        <v>1</v>
      </c>
      <c r="AS742" t="str">
        <f t="shared" si="119"/>
        <v/>
      </c>
      <c r="AT742" t="s">
        <v>115</v>
      </c>
      <c r="AU742" t="str">
        <f t="shared" si="120"/>
        <v>0</v>
      </c>
      <c r="BD742" t="str">
        <f t="shared" si="121"/>
        <v>0</v>
      </c>
      <c r="BK742" t="str">
        <f>IFERROR(VLOOKUP(B742,'[1]model_S-フレーム'!$F$5:$R$7000,13,1),"")</f>
        <v>E389571_01</v>
      </c>
      <c r="BL742" s="7">
        <f>IFERROR(VLOOKUP(B742,'[1]model_S-フレーム'!$F$5:$V$7000,17,1),"")</f>
        <v>0</v>
      </c>
      <c r="BM742" t="str" cm="1">
        <f t="array" ref="BM742">_xlfn.IFS(LEFT(G742,1)="L","外注品",LEFT(G742,1)="W","内製品",G742="","購買品")</f>
        <v>内製品</v>
      </c>
    </row>
    <row r="743" spans="1:65">
      <c r="A743" t="str">
        <f t="shared" si="113"/>
        <v>WG01</v>
      </c>
      <c r="B743" t="s">
        <v>847</v>
      </c>
      <c r="C743" t="s">
        <v>927</v>
      </c>
      <c r="D743" s="7"/>
      <c r="E743" s="7"/>
      <c r="G743" t="s">
        <v>1939</v>
      </c>
      <c r="H743" t="str" cm="1">
        <f t="array" ref="H743">IFERROR(_xlfn.IFS(B743="","",AND(B743="",G743=""),"",G743="","記載要"),"")</f>
        <v/>
      </c>
      <c r="K743" t="str">
        <f t="shared" si="114"/>
        <v>11WP01002976</v>
      </c>
      <c r="L743" s="3" t="str">
        <f t="shared" si="115"/>
        <v>2001/01/01</v>
      </c>
      <c r="M743" s="3" t="str">
        <f t="shared" si="116"/>
        <v>2199/12/31</v>
      </c>
      <c r="N743" t="str">
        <f t="shared" si="117"/>
        <v>11WP01002976</v>
      </c>
      <c r="O743">
        <v>15</v>
      </c>
      <c r="Q743" t="str" cm="1">
        <f t="array" ref="Q743">_xlfn.IFS(AND(C743="",G743=""),"",LEFT(G743,1)="L","記載要",LEFT(G743,1)="W","",AND(C743,G743=""),"記載要")</f>
        <v/>
      </c>
      <c r="R743" s="21" t="str">
        <f t="shared" si="122"/>
        <v/>
      </c>
      <c r="S743" s="21"/>
      <c r="Z743" s="8"/>
      <c r="AA743">
        <v>1</v>
      </c>
      <c r="AB743">
        <f t="shared" si="118"/>
        <v>0</v>
      </c>
      <c r="AC743">
        <v>1</v>
      </c>
      <c r="AF743">
        <v>1</v>
      </c>
      <c r="AG743" s="8"/>
      <c r="AH743" s="8"/>
      <c r="AK743" cm="1">
        <f t="array" ref="AK743">_xlfn.IFS(B743="","",LEFT(G743,1)="L",1,LEFT(G743,1)="W",1,AND(LEFT(B743,1)="H",G743=""),0)</f>
        <v>1</v>
      </c>
      <c r="AS743" t="str">
        <f t="shared" si="119"/>
        <v/>
      </c>
      <c r="AT743" t="s">
        <v>115</v>
      </c>
      <c r="AU743" t="str">
        <f t="shared" si="120"/>
        <v>0</v>
      </c>
      <c r="BD743" t="str">
        <f t="shared" si="121"/>
        <v>0</v>
      </c>
      <c r="BK743" t="str">
        <f>IFERROR(VLOOKUP(B743,'[1]model_S-フレーム'!$F$5:$R$7000,13,1),"")</f>
        <v>E389571_01</v>
      </c>
      <c r="BL743" s="7">
        <f>IFERROR(VLOOKUP(B743,'[1]model_S-フレーム'!$F$5:$V$7000,17,1),"")</f>
        <v>0</v>
      </c>
      <c r="BM743" t="str" cm="1">
        <f t="array" ref="BM743">_xlfn.IFS(LEFT(G743,1)="L","外注品",LEFT(G743,1)="W","内製品",G743="","購買品")</f>
        <v>内製品</v>
      </c>
    </row>
    <row r="744" spans="1:65">
      <c r="A744" t="str">
        <f t="shared" si="113"/>
        <v>WG01</v>
      </c>
      <c r="B744" t="s">
        <v>848</v>
      </c>
      <c r="C744" t="s">
        <v>927</v>
      </c>
      <c r="D744" s="7"/>
      <c r="E744" s="7"/>
      <c r="G744" t="s">
        <v>1939</v>
      </c>
      <c r="H744" t="str" cm="1">
        <f t="array" ref="H744">IFERROR(_xlfn.IFS(B744="","",AND(B744="",G744=""),"",G744="","記載要"),"")</f>
        <v/>
      </c>
      <c r="K744" t="str">
        <f t="shared" si="114"/>
        <v>11WP01002977</v>
      </c>
      <c r="L744" s="3" t="str">
        <f t="shared" si="115"/>
        <v>2001/01/01</v>
      </c>
      <c r="M744" s="3" t="str">
        <f t="shared" si="116"/>
        <v>2199/12/31</v>
      </c>
      <c r="N744" t="str">
        <f t="shared" si="117"/>
        <v>11WP01002977</v>
      </c>
      <c r="O744">
        <v>15</v>
      </c>
      <c r="Q744" t="str" cm="1">
        <f t="array" ref="Q744">_xlfn.IFS(AND(C744="",G744=""),"",LEFT(G744,1)="L","記載要",LEFT(G744,1)="W","",AND(C744,G744=""),"記載要")</f>
        <v/>
      </c>
      <c r="R744" s="21" t="str">
        <f t="shared" si="122"/>
        <v/>
      </c>
      <c r="S744" s="21"/>
      <c r="Z744" s="8"/>
      <c r="AA744">
        <v>1</v>
      </c>
      <c r="AB744">
        <f t="shared" si="118"/>
        <v>0</v>
      </c>
      <c r="AC744">
        <v>1</v>
      </c>
      <c r="AF744">
        <v>1</v>
      </c>
      <c r="AG744" s="8"/>
      <c r="AH744" s="8"/>
      <c r="AK744" cm="1">
        <f t="array" ref="AK744">_xlfn.IFS(B744="","",LEFT(G744,1)="L",1,LEFT(G744,1)="W",1,AND(LEFT(B744,1)="H",G744=""),0)</f>
        <v>1</v>
      </c>
      <c r="AS744" t="str">
        <f t="shared" si="119"/>
        <v/>
      </c>
      <c r="AT744" t="s">
        <v>115</v>
      </c>
      <c r="AU744" t="str">
        <f t="shared" si="120"/>
        <v>0</v>
      </c>
      <c r="BD744" t="str">
        <f t="shared" si="121"/>
        <v>0</v>
      </c>
      <c r="BK744" t="str">
        <f>IFERROR(VLOOKUP(B744,'[1]model_S-フレーム'!$F$5:$R$7000,13,1),"")</f>
        <v>E389571_01</v>
      </c>
      <c r="BL744" s="7">
        <f>IFERROR(VLOOKUP(B744,'[1]model_S-フレーム'!$F$5:$V$7000,17,1),"")</f>
        <v>0</v>
      </c>
      <c r="BM744" t="str" cm="1">
        <f t="array" ref="BM744">_xlfn.IFS(LEFT(G744,1)="L","外注品",LEFT(G744,1)="W","内製品",G744="","購買品")</f>
        <v>内製品</v>
      </c>
    </row>
    <row r="745" spans="1:65">
      <c r="A745" t="str">
        <f t="shared" si="113"/>
        <v>WG01</v>
      </c>
      <c r="B745" t="s">
        <v>849</v>
      </c>
      <c r="C745" t="s">
        <v>927</v>
      </c>
      <c r="D745" s="7"/>
      <c r="E745" s="7"/>
      <c r="G745" t="s">
        <v>1939</v>
      </c>
      <c r="H745" t="str" cm="1">
        <f t="array" ref="H745">IFERROR(_xlfn.IFS(B745="","",AND(B745="",G745=""),"",G745="","記載要"),"")</f>
        <v/>
      </c>
      <c r="K745" t="str">
        <f t="shared" si="114"/>
        <v>11WP01002978</v>
      </c>
      <c r="L745" s="3" t="str">
        <f t="shared" si="115"/>
        <v>2001/01/01</v>
      </c>
      <c r="M745" s="3" t="str">
        <f t="shared" si="116"/>
        <v>2199/12/31</v>
      </c>
      <c r="N745" t="str">
        <f t="shared" si="117"/>
        <v>11WP01002978</v>
      </c>
      <c r="O745">
        <v>15</v>
      </c>
      <c r="Q745" t="str" cm="1">
        <f t="array" ref="Q745">_xlfn.IFS(AND(C745="",G745=""),"",LEFT(G745,1)="L","記載要",LEFT(G745,1)="W","",AND(C745,G745=""),"記載要")</f>
        <v/>
      </c>
      <c r="R745" s="21" t="str">
        <f t="shared" si="122"/>
        <v/>
      </c>
      <c r="S745" s="21"/>
      <c r="Z745" s="8"/>
      <c r="AA745">
        <v>1</v>
      </c>
      <c r="AB745">
        <f t="shared" si="118"/>
        <v>0</v>
      </c>
      <c r="AC745">
        <v>1</v>
      </c>
      <c r="AF745">
        <v>1</v>
      </c>
      <c r="AG745" s="8"/>
      <c r="AH745" s="8"/>
      <c r="AK745" cm="1">
        <f t="array" ref="AK745">_xlfn.IFS(B745="","",LEFT(G745,1)="L",1,LEFT(G745,1)="W",1,AND(LEFT(B745,1)="H",G745=""),0)</f>
        <v>1</v>
      </c>
      <c r="AS745" t="str">
        <f t="shared" si="119"/>
        <v/>
      </c>
      <c r="AT745" t="s">
        <v>115</v>
      </c>
      <c r="AU745" t="str">
        <f t="shared" si="120"/>
        <v>0</v>
      </c>
      <c r="BD745" t="str">
        <f t="shared" si="121"/>
        <v>0</v>
      </c>
      <c r="BK745" t="str">
        <f>IFERROR(VLOOKUP(B745,'[1]model_S-フレーム'!$F$5:$R$7000,13,1),"")</f>
        <v>E389571_01</v>
      </c>
      <c r="BL745" s="7">
        <f>IFERROR(VLOOKUP(B745,'[1]model_S-フレーム'!$F$5:$V$7000,17,1),"")</f>
        <v>0</v>
      </c>
      <c r="BM745" t="str" cm="1">
        <f t="array" ref="BM745">_xlfn.IFS(LEFT(G745,1)="L","外注品",LEFT(G745,1)="W","内製品",G745="","購買品")</f>
        <v>内製品</v>
      </c>
    </row>
    <row r="746" spans="1:65">
      <c r="A746" t="str">
        <f t="shared" si="113"/>
        <v>WG01</v>
      </c>
      <c r="B746" t="s">
        <v>850</v>
      </c>
      <c r="C746" t="s">
        <v>927</v>
      </c>
      <c r="D746" s="7"/>
      <c r="E746" s="7"/>
      <c r="G746" t="s">
        <v>1939</v>
      </c>
      <c r="H746" t="str" cm="1">
        <f t="array" ref="H746">IFERROR(_xlfn.IFS(B746="","",AND(B746="",G746=""),"",G746="","記載要"),"")</f>
        <v/>
      </c>
      <c r="K746" t="str">
        <f t="shared" si="114"/>
        <v>11WP01002979</v>
      </c>
      <c r="L746" s="3" t="str">
        <f t="shared" si="115"/>
        <v>2001/01/01</v>
      </c>
      <c r="M746" s="3" t="str">
        <f t="shared" si="116"/>
        <v>2199/12/31</v>
      </c>
      <c r="N746" t="str">
        <f t="shared" si="117"/>
        <v>11WP01002979</v>
      </c>
      <c r="O746">
        <v>15</v>
      </c>
      <c r="Q746" t="str" cm="1">
        <f t="array" ref="Q746">_xlfn.IFS(AND(C746="",G746=""),"",LEFT(G746,1)="L","記載要",LEFT(G746,1)="W","",AND(C746,G746=""),"記載要")</f>
        <v/>
      </c>
      <c r="R746" s="21" t="str">
        <f t="shared" si="122"/>
        <v/>
      </c>
      <c r="S746" s="21"/>
      <c r="Z746" s="8"/>
      <c r="AA746">
        <v>1</v>
      </c>
      <c r="AB746">
        <f t="shared" si="118"/>
        <v>0</v>
      </c>
      <c r="AC746">
        <v>1</v>
      </c>
      <c r="AF746">
        <v>1</v>
      </c>
      <c r="AG746" s="8"/>
      <c r="AH746" s="8"/>
      <c r="AK746" cm="1">
        <f t="array" ref="AK746">_xlfn.IFS(B746="","",LEFT(G746,1)="L",1,LEFT(G746,1)="W",1,AND(LEFT(B746,1)="H",G746=""),0)</f>
        <v>1</v>
      </c>
      <c r="AS746" t="str">
        <f t="shared" si="119"/>
        <v/>
      </c>
      <c r="AT746" t="s">
        <v>115</v>
      </c>
      <c r="AU746" t="str">
        <f t="shared" si="120"/>
        <v>0</v>
      </c>
      <c r="BD746" t="str">
        <f t="shared" si="121"/>
        <v>0</v>
      </c>
      <c r="BK746" t="str">
        <f>IFERROR(VLOOKUP(B746,'[1]model_S-フレーム'!$F$5:$R$7000,13,1),"")</f>
        <v>E389571_01</v>
      </c>
      <c r="BL746" s="7">
        <f>IFERROR(VLOOKUP(B746,'[1]model_S-フレーム'!$F$5:$V$7000,17,1),"")</f>
        <v>0</v>
      </c>
      <c r="BM746" t="str" cm="1">
        <f t="array" ref="BM746">_xlfn.IFS(LEFT(G746,1)="L","外注品",LEFT(G746,1)="W","内製品",G746="","購買品")</f>
        <v>内製品</v>
      </c>
    </row>
    <row r="747" spans="1:65">
      <c r="A747" t="str">
        <f t="shared" si="113"/>
        <v>WG01</v>
      </c>
      <c r="B747" t="s">
        <v>851</v>
      </c>
      <c r="C747" t="s">
        <v>927</v>
      </c>
      <c r="D747" s="7"/>
      <c r="E747" s="7"/>
      <c r="G747" t="s">
        <v>1939</v>
      </c>
      <c r="H747" t="str" cm="1">
        <f t="array" ref="H747">IFERROR(_xlfn.IFS(B747="","",AND(B747="",G747=""),"",G747="","記載要"),"")</f>
        <v/>
      </c>
      <c r="K747" t="str">
        <f t="shared" si="114"/>
        <v>11WP01002980</v>
      </c>
      <c r="L747" s="3" t="str">
        <f t="shared" si="115"/>
        <v>2001/01/01</v>
      </c>
      <c r="M747" s="3" t="str">
        <f t="shared" si="116"/>
        <v>2199/12/31</v>
      </c>
      <c r="N747" t="str">
        <f t="shared" si="117"/>
        <v>11WP01002980</v>
      </c>
      <c r="O747">
        <v>15</v>
      </c>
      <c r="Q747" t="str" cm="1">
        <f t="array" ref="Q747">_xlfn.IFS(AND(C747="",G747=""),"",LEFT(G747,1)="L","記載要",LEFT(G747,1)="W","",AND(C747,G747=""),"記載要")</f>
        <v/>
      </c>
      <c r="R747" s="21" t="str">
        <f t="shared" si="122"/>
        <v/>
      </c>
      <c r="S747" s="21"/>
      <c r="Z747" s="8"/>
      <c r="AA747">
        <v>1</v>
      </c>
      <c r="AB747">
        <f t="shared" si="118"/>
        <v>0</v>
      </c>
      <c r="AC747">
        <v>1</v>
      </c>
      <c r="AF747">
        <v>1</v>
      </c>
      <c r="AG747" s="8"/>
      <c r="AH747" s="8"/>
      <c r="AK747" cm="1">
        <f t="array" ref="AK747">_xlfn.IFS(B747="","",LEFT(G747,1)="L",1,LEFT(G747,1)="W",1,AND(LEFT(B747,1)="H",G747=""),0)</f>
        <v>1</v>
      </c>
      <c r="AS747" t="str">
        <f t="shared" si="119"/>
        <v/>
      </c>
      <c r="AT747" t="s">
        <v>115</v>
      </c>
      <c r="AU747" t="str">
        <f t="shared" si="120"/>
        <v>0</v>
      </c>
      <c r="BD747" t="str">
        <f t="shared" si="121"/>
        <v>0</v>
      </c>
      <c r="BK747" t="str">
        <f>IFERROR(VLOOKUP(B747,'[1]model_S-フレーム'!$F$5:$R$7000,13,1),"")</f>
        <v>E389571_01</v>
      </c>
      <c r="BL747" s="7">
        <f>IFERROR(VLOOKUP(B747,'[1]model_S-フレーム'!$F$5:$V$7000,17,1),"")</f>
        <v>0</v>
      </c>
      <c r="BM747" t="str" cm="1">
        <f t="array" ref="BM747">_xlfn.IFS(LEFT(G747,1)="L","外注品",LEFT(G747,1)="W","内製品",G747="","購買品")</f>
        <v>内製品</v>
      </c>
    </row>
    <row r="748" spans="1:65">
      <c r="A748" t="str">
        <f t="shared" si="113"/>
        <v>WG01</v>
      </c>
      <c r="B748" t="s">
        <v>852</v>
      </c>
      <c r="C748" t="s">
        <v>927</v>
      </c>
      <c r="D748" s="7"/>
      <c r="E748" s="7"/>
      <c r="G748" t="s">
        <v>1939</v>
      </c>
      <c r="H748" t="str" cm="1">
        <f t="array" ref="H748">IFERROR(_xlfn.IFS(B748="","",AND(B748="",G748=""),"",G748="","記載要"),"")</f>
        <v/>
      </c>
      <c r="K748" t="str">
        <f t="shared" si="114"/>
        <v>11WP01002981</v>
      </c>
      <c r="L748" s="3" t="str">
        <f t="shared" si="115"/>
        <v>2001/01/01</v>
      </c>
      <c r="M748" s="3" t="str">
        <f t="shared" si="116"/>
        <v>2199/12/31</v>
      </c>
      <c r="N748" t="str">
        <f t="shared" si="117"/>
        <v>11WP01002981</v>
      </c>
      <c r="O748">
        <v>15</v>
      </c>
      <c r="Q748" t="str" cm="1">
        <f t="array" ref="Q748">_xlfn.IFS(AND(C748="",G748=""),"",LEFT(G748,1)="L","記載要",LEFT(G748,1)="W","",AND(C748,G748=""),"記載要")</f>
        <v/>
      </c>
      <c r="R748" s="21" t="str">
        <f t="shared" si="122"/>
        <v/>
      </c>
      <c r="S748" s="21"/>
      <c r="Z748" s="8"/>
      <c r="AA748">
        <v>1</v>
      </c>
      <c r="AB748">
        <f t="shared" si="118"/>
        <v>0</v>
      </c>
      <c r="AC748">
        <v>1</v>
      </c>
      <c r="AF748">
        <v>1</v>
      </c>
      <c r="AG748" s="8"/>
      <c r="AH748" s="8"/>
      <c r="AK748" cm="1">
        <f t="array" ref="AK748">_xlfn.IFS(B748="","",LEFT(G748,1)="L",1,LEFT(G748,1)="W",1,AND(LEFT(B748,1)="H",G748=""),0)</f>
        <v>1</v>
      </c>
      <c r="AS748" t="str">
        <f t="shared" si="119"/>
        <v/>
      </c>
      <c r="AT748" t="s">
        <v>115</v>
      </c>
      <c r="AU748" t="str">
        <f t="shared" si="120"/>
        <v>0</v>
      </c>
      <c r="BD748" t="str">
        <f t="shared" si="121"/>
        <v>0</v>
      </c>
      <c r="BK748" t="str">
        <f>IFERROR(VLOOKUP(B748,'[1]model_S-フレーム'!$F$5:$R$7000,13,1),"")</f>
        <v>E389571_01</v>
      </c>
      <c r="BL748" s="7">
        <f>IFERROR(VLOOKUP(B748,'[1]model_S-フレーム'!$F$5:$V$7000,17,1),"")</f>
        <v>0</v>
      </c>
      <c r="BM748" t="str" cm="1">
        <f t="array" ref="BM748">_xlfn.IFS(LEFT(G748,1)="L","外注品",LEFT(G748,1)="W","内製品",G748="","購買品")</f>
        <v>内製品</v>
      </c>
    </row>
    <row r="749" spans="1:65">
      <c r="A749" t="str">
        <f t="shared" si="113"/>
        <v>WG01</v>
      </c>
      <c r="B749" t="s">
        <v>853</v>
      </c>
      <c r="C749" t="s">
        <v>927</v>
      </c>
      <c r="D749" s="7"/>
      <c r="E749" s="7"/>
      <c r="G749" t="s">
        <v>1939</v>
      </c>
      <c r="H749" t="str" cm="1">
        <f t="array" ref="H749">IFERROR(_xlfn.IFS(B749="","",AND(B749="",G749=""),"",G749="","記載要"),"")</f>
        <v/>
      </c>
      <c r="K749" t="str">
        <f t="shared" si="114"/>
        <v>11WP01002982</v>
      </c>
      <c r="L749" s="3" t="str">
        <f t="shared" si="115"/>
        <v>2001/01/01</v>
      </c>
      <c r="M749" s="3" t="str">
        <f t="shared" si="116"/>
        <v>2199/12/31</v>
      </c>
      <c r="N749" t="str">
        <f t="shared" si="117"/>
        <v>11WP01002982</v>
      </c>
      <c r="O749">
        <v>15</v>
      </c>
      <c r="Q749" t="str" cm="1">
        <f t="array" ref="Q749">_xlfn.IFS(AND(C749="",G749=""),"",LEFT(G749,1)="L","記載要",LEFT(G749,1)="W","",AND(C749,G749=""),"記載要")</f>
        <v/>
      </c>
      <c r="R749" s="21" t="str">
        <f t="shared" si="122"/>
        <v/>
      </c>
      <c r="S749" s="21"/>
      <c r="Z749" s="8"/>
      <c r="AA749">
        <v>1</v>
      </c>
      <c r="AB749">
        <f t="shared" si="118"/>
        <v>0</v>
      </c>
      <c r="AC749">
        <v>1</v>
      </c>
      <c r="AF749">
        <v>1</v>
      </c>
      <c r="AG749" s="8"/>
      <c r="AH749" s="8"/>
      <c r="AK749" cm="1">
        <f t="array" ref="AK749">_xlfn.IFS(B749="","",LEFT(G749,1)="L",1,LEFT(G749,1)="W",1,AND(LEFT(B749,1)="H",G749=""),0)</f>
        <v>1</v>
      </c>
      <c r="AS749" t="str">
        <f t="shared" si="119"/>
        <v/>
      </c>
      <c r="AT749" t="s">
        <v>115</v>
      </c>
      <c r="AU749" t="str">
        <f t="shared" si="120"/>
        <v>0</v>
      </c>
      <c r="BD749" t="str">
        <f t="shared" si="121"/>
        <v>0</v>
      </c>
      <c r="BK749" t="str">
        <f>IFERROR(VLOOKUP(B749,'[1]model_S-フレーム'!$F$5:$R$7000,13,1),"")</f>
        <v>E389571_01</v>
      </c>
      <c r="BL749" s="7">
        <f>IFERROR(VLOOKUP(B749,'[1]model_S-フレーム'!$F$5:$V$7000,17,1),"")</f>
        <v>0</v>
      </c>
      <c r="BM749" t="str" cm="1">
        <f t="array" ref="BM749">_xlfn.IFS(LEFT(G749,1)="L","外注品",LEFT(G749,1)="W","内製品",G749="","購買品")</f>
        <v>内製品</v>
      </c>
    </row>
    <row r="750" spans="1:65">
      <c r="A750" t="str">
        <f t="shared" si="113"/>
        <v>WG01</v>
      </c>
      <c r="B750" t="s">
        <v>854</v>
      </c>
      <c r="C750" t="s">
        <v>927</v>
      </c>
      <c r="D750" s="7"/>
      <c r="E750" s="7"/>
      <c r="G750" t="s">
        <v>1939</v>
      </c>
      <c r="H750" t="str" cm="1">
        <f t="array" ref="H750">IFERROR(_xlfn.IFS(B750="","",AND(B750="",G750=""),"",G750="","記載要"),"")</f>
        <v/>
      </c>
      <c r="K750" t="str">
        <f t="shared" si="114"/>
        <v>11WP01002983</v>
      </c>
      <c r="L750" s="3" t="str">
        <f t="shared" si="115"/>
        <v>2001/01/01</v>
      </c>
      <c r="M750" s="3" t="str">
        <f t="shared" si="116"/>
        <v>2199/12/31</v>
      </c>
      <c r="N750" t="str">
        <f t="shared" si="117"/>
        <v>11WP01002983</v>
      </c>
      <c r="O750">
        <v>15</v>
      </c>
      <c r="Q750" t="str" cm="1">
        <f t="array" ref="Q750">_xlfn.IFS(AND(C750="",G750=""),"",LEFT(G750,1)="L","記載要",LEFT(G750,1)="W","",AND(C750,G750=""),"記載要")</f>
        <v/>
      </c>
      <c r="R750" s="21" t="str">
        <f t="shared" si="122"/>
        <v/>
      </c>
      <c r="S750" s="21"/>
      <c r="Z750" s="8"/>
      <c r="AA750">
        <v>1</v>
      </c>
      <c r="AB750">
        <f t="shared" si="118"/>
        <v>0</v>
      </c>
      <c r="AC750">
        <v>1</v>
      </c>
      <c r="AF750">
        <v>1</v>
      </c>
      <c r="AG750" s="8"/>
      <c r="AH750" s="8"/>
      <c r="AK750" cm="1">
        <f t="array" ref="AK750">_xlfn.IFS(B750="","",LEFT(G750,1)="L",1,LEFT(G750,1)="W",1,AND(LEFT(B750,1)="H",G750=""),0)</f>
        <v>1</v>
      </c>
      <c r="AS750" t="str">
        <f t="shared" si="119"/>
        <v/>
      </c>
      <c r="AT750" t="s">
        <v>115</v>
      </c>
      <c r="AU750" t="str">
        <f t="shared" si="120"/>
        <v>0</v>
      </c>
      <c r="BD750" t="str">
        <f t="shared" si="121"/>
        <v>0</v>
      </c>
      <c r="BK750" t="str">
        <f>IFERROR(VLOOKUP(B750,'[1]model_S-フレーム'!$F$5:$R$7000,13,1),"")</f>
        <v>E389571_01</v>
      </c>
      <c r="BL750" s="7">
        <f>IFERROR(VLOOKUP(B750,'[1]model_S-フレーム'!$F$5:$V$7000,17,1),"")</f>
        <v>0</v>
      </c>
      <c r="BM750" t="str" cm="1">
        <f t="array" ref="BM750">_xlfn.IFS(LEFT(G750,1)="L","外注品",LEFT(G750,1)="W","内製品",G750="","購買品")</f>
        <v>内製品</v>
      </c>
    </row>
    <row r="751" spans="1:65">
      <c r="A751" t="str">
        <f t="shared" si="113"/>
        <v>WG01</v>
      </c>
      <c r="B751" t="s">
        <v>855</v>
      </c>
      <c r="C751" t="s">
        <v>927</v>
      </c>
      <c r="D751" s="7"/>
      <c r="E751" s="7"/>
      <c r="G751" t="s">
        <v>1939</v>
      </c>
      <c r="H751" t="str" cm="1">
        <f t="array" ref="H751">IFERROR(_xlfn.IFS(B751="","",AND(B751="",G751=""),"",G751="","記載要"),"")</f>
        <v/>
      </c>
      <c r="K751" t="str">
        <f t="shared" si="114"/>
        <v>11WP01002984</v>
      </c>
      <c r="L751" s="3" t="str">
        <f t="shared" si="115"/>
        <v>2001/01/01</v>
      </c>
      <c r="M751" s="3" t="str">
        <f t="shared" si="116"/>
        <v>2199/12/31</v>
      </c>
      <c r="N751" t="str">
        <f t="shared" si="117"/>
        <v>11WP01002984</v>
      </c>
      <c r="O751">
        <v>15</v>
      </c>
      <c r="Q751" t="str" cm="1">
        <f t="array" ref="Q751">_xlfn.IFS(AND(C751="",G751=""),"",LEFT(G751,1)="L","記載要",LEFT(G751,1)="W","",AND(C751,G751=""),"記載要")</f>
        <v/>
      </c>
      <c r="R751" s="21" t="str">
        <f t="shared" si="122"/>
        <v/>
      </c>
      <c r="S751" s="21"/>
      <c r="Z751" s="8"/>
      <c r="AA751">
        <v>1</v>
      </c>
      <c r="AB751">
        <f t="shared" si="118"/>
        <v>0</v>
      </c>
      <c r="AC751">
        <v>1</v>
      </c>
      <c r="AF751">
        <v>1</v>
      </c>
      <c r="AG751" s="8"/>
      <c r="AH751" s="8"/>
      <c r="AK751" cm="1">
        <f t="array" ref="AK751">_xlfn.IFS(B751="","",LEFT(G751,1)="L",1,LEFT(G751,1)="W",1,AND(LEFT(B751,1)="H",G751=""),0)</f>
        <v>1</v>
      </c>
      <c r="AS751" t="str">
        <f t="shared" si="119"/>
        <v/>
      </c>
      <c r="AT751" t="s">
        <v>115</v>
      </c>
      <c r="AU751" t="str">
        <f t="shared" si="120"/>
        <v>0</v>
      </c>
      <c r="BD751" t="str">
        <f t="shared" si="121"/>
        <v>0</v>
      </c>
      <c r="BK751" t="str">
        <f>IFERROR(VLOOKUP(B751,'[1]model_S-フレーム'!$F$5:$R$7000,13,1),"")</f>
        <v>E389571_01</v>
      </c>
      <c r="BL751" s="7">
        <f>IFERROR(VLOOKUP(B751,'[1]model_S-フレーム'!$F$5:$V$7000,17,1),"")</f>
        <v>0</v>
      </c>
      <c r="BM751" t="str" cm="1">
        <f t="array" ref="BM751">_xlfn.IFS(LEFT(G751,1)="L","外注品",LEFT(G751,1)="W","内製品",G751="","購買品")</f>
        <v>内製品</v>
      </c>
    </row>
    <row r="752" spans="1:65">
      <c r="A752" t="str">
        <f t="shared" si="113"/>
        <v>WG01</v>
      </c>
      <c r="B752" t="s">
        <v>856</v>
      </c>
      <c r="C752" t="s">
        <v>927</v>
      </c>
      <c r="D752" s="7"/>
      <c r="E752" s="7"/>
      <c r="G752" t="s">
        <v>1939</v>
      </c>
      <c r="H752" t="str" cm="1">
        <f t="array" ref="H752">IFERROR(_xlfn.IFS(B752="","",AND(B752="",G752=""),"",G752="","記載要"),"")</f>
        <v/>
      </c>
      <c r="K752" t="str">
        <f t="shared" si="114"/>
        <v>11WP01002985</v>
      </c>
      <c r="L752" s="3" t="str">
        <f t="shared" si="115"/>
        <v>2001/01/01</v>
      </c>
      <c r="M752" s="3" t="str">
        <f t="shared" si="116"/>
        <v>2199/12/31</v>
      </c>
      <c r="N752" t="str">
        <f t="shared" si="117"/>
        <v>11WP01002985</v>
      </c>
      <c r="O752">
        <v>15</v>
      </c>
      <c r="Q752" t="str" cm="1">
        <f t="array" ref="Q752">_xlfn.IFS(AND(C752="",G752=""),"",LEFT(G752,1)="L","記載要",LEFT(G752,1)="W","",AND(C752,G752=""),"記載要")</f>
        <v/>
      </c>
      <c r="R752" s="21" t="str">
        <f t="shared" si="122"/>
        <v/>
      </c>
      <c r="S752" s="21"/>
      <c r="Z752" s="8"/>
      <c r="AA752">
        <v>1</v>
      </c>
      <c r="AB752">
        <f t="shared" si="118"/>
        <v>0</v>
      </c>
      <c r="AC752">
        <v>1</v>
      </c>
      <c r="AF752">
        <v>1</v>
      </c>
      <c r="AG752" s="8"/>
      <c r="AH752" s="8"/>
      <c r="AK752" cm="1">
        <f t="array" ref="AK752">_xlfn.IFS(B752="","",LEFT(G752,1)="L",1,LEFT(G752,1)="W",1,AND(LEFT(B752,1)="H",G752=""),0)</f>
        <v>1</v>
      </c>
      <c r="AS752" t="str">
        <f t="shared" si="119"/>
        <v/>
      </c>
      <c r="AT752" t="s">
        <v>115</v>
      </c>
      <c r="AU752" t="str">
        <f t="shared" si="120"/>
        <v>0</v>
      </c>
      <c r="BD752" t="str">
        <f t="shared" si="121"/>
        <v>0</v>
      </c>
      <c r="BK752" t="str">
        <f>IFERROR(VLOOKUP(B752,'[1]model_S-フレーム'!$F$5:$R$7000,13,1),"")</f>
        <v>E389571_01</v>
      </c>
      <c r="BL752" s="7">
        <f>IFERROR(VLOOKUP(B752,'[1]model_S-フレーム'!$F$5:$V$7000,17,1),"")</f>
        <v>0</v>
      </c>
      <c r="BM752" t="str" cm="1">
        <f t="array" ref="BM752">_xlfn.IFS(LEFT(G752,1)="L","外注品",LEFT(G752,1)="W","内製品",G752="","購買品")</f>
        <v>内製品</v>
      </c>
    </row>
    <row r="753" spans="1:65">
      <c r="A753" t="str">
        <f t="shared" si="113"/>
        <v>WG01</v>
      </c>
      <c r="B753" t="s">
        <v>857</v>
      </c>
      <c r="C753" t="s">
        <v>927</v>
      </c>
      <c r="D753" s="7"/>
      <c r="E753" s="7"/>
      <c r="G753" t="s">
        <v>1939</v>
      </c>
      <c r="H753" t="str" cm="1">
        <f t="array" ref="H753">IFERROR(_xlfn.IFS(B753="","",AND(B753="",G753=""),"",G753="","記載要"),"")</f>
        <v/>
      </c>
      <c r="K753" t="str">
        <f t="shared" si="114"/>
        <v>11WP01002986</v>
      </c>
      <c r="L753" s="3" t="str">
        <f t="shared" si="115"/>
        <v>2001/01/01</v>
      </c>
      <c r="M753" s="3" t="str">
        <f t="shared" si="116"/>
        <v>2199/12/31</v>
      </c>
      <c r="N753" t="str">
        <f t="shared" si="117"/>
        <v>11WP01002986</v>
      </c>
      <c r="O753">
        <v>15</v>
      </c>
      <c r="Q753" t="str" cm="1">
        <f t="array" ref="Q753">_xlfn.IFS(AND(C753="",G753=""),"",LEFT(G753,1)="L","記載要",LEFT(G753,1)="W","",AND(C753,G753=""),"記載要")</f>
        <v/>
      </c>
      <c r="R753" s="21" t="str">
        <f t="shared" si="122"/>
        <v/>
      </c>
      <c r="S753" s="21"/>
      <c r="Z753" s="8"/>
      <c r="AA753">
        <v>1</v>
      </c>
      <c r="AB753">
        <f t="shared" si="118"/>
        <v>0</v>
      </c>
      <c r="AC753">
        <v>1</v>
      </c>
      <c r="AF753">
        <v>1</v>
      </c>
      <c r="AG753" s="8"/>
      <c r="AH753" s="8"/>
      <c r="AK753" cm="1">
        <f t="array" ref="AK753">_xlfn.IFS(B753="","",LEFT(G753,1)="L",1,LEFT(G753,1)="W",1,AND(LEFT(B753,1)="H",G753=""),0)</f>
        <v>1</v>
      </c>
      <c r="AS753" t="str">
        <f t="shared" si="119"/>
        <v/>
      </c>
      <c r="AT753" t="s">
        <v>115</v>
      </c>
      <c r="AU753" t="str">
        <f t="shared" si="120"/>
        <v>0</v>
      </c>
      <c r="BD753" t="str">
        <f t="shared" si="121"/>
        <v>0</v>
      </c>
      <c r="BK753" t="str">
        <f>IFERROR(VLOOKUP(B753,'[1]model_S-フレーム'!$F$5:$R$7000,13,1),"")</f>
        <v>E389571_01</v>
      </c>
      <c r="BL753" s="7">
        <f>IFERROR(VLOOKUP(B753,'[1]model_S-フレーム'!$F$5:$V$7000,17,1),"")</f>
        <v>0</v>
      </c>
      <c r="BM753" t="str" cm="1">
        <f t="array" ref="BM753">_xlfn.IFS(LEFT(G753,1)="L","外注品",LEFT(G753,1)="W","内製品",G753="","購買品")</f>
        <v>内製品</v>
      </c>
    </row>
    <row r="754" spans="1:65">
      <c r="A754" t="str">
        <f t="shared" si="113"/>
        <v>WG01</v>
      </c>
      <c r="B754" t="s">
        <v>858</v>
      </c>
      <c r="C754" t="s">
        <v>927</v>
      </c>
      <c r="D754" s="7"/>
      <c r="E754" s="7"/>
      <c r="G754" t="s">
        <v>1939</v>
      </c>
      <c r="H754" t="str" cm="1">
        <f t="array" ref="H754">IFERROR(_xlfn.IFS(B754="","",AND(B754="",G754=""),"",G754="","記載要"),"")</f>
        <v/>
      </c>
      <c r="K754" t="str">
        <f t="shared" si="114"/>
        <v>11WP01002987</v>
      </c>
      <c r="L754" s="3" t="str">
        <f t="shared" si="115"/>
        <v>2001/01/01</v>
      </c>
      <c r="M754" s="3" t="str">
        <f t="shared" si="116"/>
        <v>2199/12/31</v>
      </c>
      <c r="N754" t="str">
        <f t="shared" si="117"/>
        <v>11WP01002987</v>
      </c>
      <c r="O754">
        <v>15</v>
      </c>
      <c r="Q754" t="str" cm="1">
        <f t="array" ref="Q754">_xlfn.IFS(AND(C754="",G754=""),"",LEFT(G754,1)="L","記載要",LEFT(G754,1)="W","",AND(C754,G754=""),"記載要")</f>
        <v/>
      </c>
      <c r="R754" s="21" t="str">
        <f t="shared" si="122"/>
        <v/>
      </c>
      <c r="S754" s="21"/>
      <c r="Z754" s="8"/>
      <c r="AA754">
        <v>1</v>
      </c>
      <c r="AB754">
        <f t="shared" si="118"/>
        <v>0</v>
      </c>
      <c r="AC754">
        <v>1</v>
      </c>
      <c r="AF754">
        <v>1</v>
      </c>
      <c r="AG754" s="8"/>
      <c r="AH754" s="8"/>
      <c r="AK754" cm="1">
        <f t="array" ref="AK754">_xlfn.IFS(B754="","",LEFT(G754,1)="L",1,LEFT(G754,1)="W",1,AND(LEFT(B754,1)="H",G754=""),0)</f>
        <v>1</v>
      </c>
      <c r="AS754" t="str">
        <f t="shared" si="119"/>
        <v/>
      </c>
      <c r="AT754" t="s">
        <v>115</v>
      </c>
      <c r="AU754" t="str">
        <f t="shared" si="120"/>
        <v>0</v>
      </c>
      <c r="BD754" t="str">
        <f t="shared" si="121"/>
        <v>0</v>
      </c>
      <c r="BK754" t="str">
        <f>IFERROR(VLOOKUP(B754,'[1]model_S-フレーム'!$F$5:$R$7000,13,1),"")</f>
        <v>E389571_01</v>
      </c>
      <c r="BL754" s="7">
        <f>IFERROR(VLOOKUP(B754,'[1]model_S-フレーム'!$F$5:$V$7000,17,1),"")</f>
        <v>0</v>
      </c>
      <c r="BM754" t="str" cm="1">
        <f t="array" ref="BM754">_xlfn.IFS(LEFT(G754,1)="L","外注品",LEFT(G754,1)="W","内製品",G754="","購買品")</f>
        <v>内製品</v>
      </c>
    </row>
    <row r="755" spans="1:65">
      <c r="A755" t="str">
        <f t="shared" si="113"/>
        <v>WG01</v>
      </c>
      <c r="B755" t="s">
        <v>859</v>
      </c>
      <c r="C755" t="s">
        <v>927</v>
      </c>
      <c r="D755" s="7"/>
      <c r="E755" s="7"/>
      <c r="G755" t="s">
        <v>1939</v>
      </c>
      <c r="H755" t="str" cm="1">
        <f t="array" ref="H755">IFERROR(_xlfn.IFS(B755="","",AND(B755="",G755=""),"",G755="","記載要"),"")</f>
        <v/>
      </c>
      <c r="K755" t="str">
        <f t="shared" si="114"/>
        <v>11WP01002988</v>
      </c>
      <c r="L755" s="3" t="str">
        <f t="shared" si="115"/>
        <v>2001/01/01</v>
      </c>
      <c r="M755" s="3" t="str">
        <f t="shared" si="116"/>
        <v>2199/12/31</v>
      </c>
      <c r="N755" t="str">
        <f t="shared" si="117"/>
        <v>11WP01002988</v>
      </c>
      <c r="O755">
        <v>15</v>
      </c>
      <c r="Q755" t="str" cm="1">
        <f t="array" ref="Q755">_xlfn.IFS(AND(C755="",G755=""),"",LEFT(G755,1)="L","記載要",LEFT(G755,1)="W","",AND(C755,G755=""),"記載要")</f>
        <v/>
      </c>
      <c r="R755" s="21" t="str">
        <f t="shared" si="122"/>
        <v/>
      </c>
      <c r="S755" s="21"/>
      <c r="Z755" s="8"/>
      <c r="AA755">
        <v>1</v>
      </c>
      <c r="AB755">
        <f t="shared" si="118"/>
        <v>0</v>
      </c>
      <c r="AC755">
        <v>1</v>
      </c>
      <c r="AF755">
        <v>1</v>
      </c>
      <c r="AG755" s="8"/>
      <c r="AH755" s="8"/>
      <c r="AK755" cm="1">
        <f t="array" ref="AK755">_xlfn.IFS(B755="","",LEFT(G755,1)="L",1,LEFT(G755,1)="W",1,AND(LEFT(B755,1)="H",G755=""),0)</f>
        <v>1</v>
      </c>
      <c r="AS755" t="str">
        <f t="shared" si="119"/>
        <v/>
      </c>
      <c r="AT755" t="s">
        <v>115</v>
      </c>
      <c r="AU755" t="str">
        <f t="shared" si="120"/>
        <v>0</v>
      </c>
      <c r="BD755" t="str">
        <f t="shared" si="121"/>
        <v>0</v>
      </c>
      <c r="BK755" t="str">
        <f>IFERROR(VLOOKUP(B755,'[1]model_S-フレーム'!$F$5:$R$7000,13,1),"")</f>
        <v>E389571_01</v>
      </c>
      <c r="BL755" s="7">
        <f>IFERROR(VLOOKUP(B755,'[1]model_S-フレーム'!$F$5:$V$7000,17,1),"")</f>
        <v>0</v>
      </c>
      <c r="BM755" t="str" cm="1">
        <f t="array" ref="BM755">_xlfn.IFS(LEFT(G755,1)="L","外注品",LEFT(G755,1)="W","内製品",G755="","購買品")</f>
        <v>内製品</v>
      </c>
    </row>
    <row r="756" spans="1:65">
      <c r="A756" t="str">
        <f t="shared" si="113"/>
        <v>WG01</v>
      </c>
      <c r="B756" t="s">
        <v>860</v>
      </c>
      <c r="C756" t="s">
        <v>927</v>
      </c>
      <c r="D756" s="7"/>
      <c r="E756" s="7"/>
      <c r="G756" t="s">
        <v>1939</v>
      </c>
      <c r="H756" t="str" cm="1">
        <f t="array" ref="H756">IFERROR(_xlfn.IFS(B756="","",AND(B756="",G756=""),"",G756="","記載要"),"")</f>
        <v/>
      </c>
      <c r="K756" t="str">
        <f t="shared" si="114"/>
        <v>11WP01002989</v>
      </c>
      <c r="L756" s="3" t="str">
        <f t="shared" si="115"/>
        <v>2001/01/01</v>
      </c>
      <c r="M756" s="3" t="str">
        <f t="shared" si="116"/>
        <v>2199/12/31</v>
      </c>
      <c r="N756" t="str">
        <f t="shared" si="117"/>
        <v>11WP01002989</v>
      </c>
      <c r="O756">
        <v>15</v>
      </c>
      <c r="Q756" t="str" cm="1">
        <f t="array" ref="Q756">_xlfn.IFS(AND(C756="",G756=""),"",LEFT(G756,1)="L","記載要",LEFT(G756,1)="W","",AND(C756,G756=""),"記載要")</f>
        <v/>
      </c>
      <c r="R756" s="21" t="str">
        <f t="shared" si="122"/>
        <v/>
      </c>
      <c r="S756" s="21"/>
      <c r="Z756" s="8"/>
      <c r="AA756">
        <v>1</v>
      </c>
      <c r="AB756">
        <f t="shared" si="118"/>
        <v>0</v>
      </c>
      <c r="AC756">
        <v>1</v>
      </c>
      <c r="AF756">
        <v>1</v>
      </c>
      <c r="AG756" s="8"/>
      <c r="AH756" s="8"/>
      <c r="AK756" cm="1">
        <f t="array" ref="AK756">_xlfn.IFS(B756="","",LEFT(G756,1)="L",1,LEFT(G756,1)="W",1,AND(LEFT(B756,1)="H",G756=""),0)</f>
        <v>1</v>
      </c>
      <c r="AS756" t="str">
        <f t="shared" si="119"/>
        <v/>
      </c>
      <c r="AT756" t="s">
        <v>115</v>
      </c>
      <c r="AU756" t="str">
        <f t="shared" si="120"/>
        <v>0</v>
      </c>
      <c r="BD756" t="str">
        <f t="shared" si="121"/>
        <v>0</v>
      </c>
      <c r="BK756" t="str">
        <f>IFERROR(VLOOKUP(B756,'[1]model_S-フレーム'!$F$5:$R$7000,13,1),"")</f>
        <v>E389571_01</v>
      </c>
      <c r="BL756" s="7">
        <f>IFERROR(VLOOKUP(B756,'[1]model_S-フレーム'!$F$5:$V$7000,17,1),"")</f>
        <v>0</v>
      </c>
      <c r="BM756" t="str" cm="1">
        <f t="array" ref="BM756">_xlfn.IFS(LEFT(G756,1)="L","外注品",LEFT(G756,1)="W","内製品",G756="","購買品")</f>
        <v>内製品</v>
      </c>
    </row>
    <row r="757" spans="1:65">
      <c r="A757" t="str">
        <f t="shared" si="113"/>
        <v>WG01</v>
      </c>
      <c r="B757" t="s">
        <v>861</v>
      </c>
      <c r="C757" t="s">
        <v>927</v>
      </c>
      <c r="D757" s="7"/>
      <c r="E757" s="7"/>
      <c r="G757" t="s">
        <v>1939</v>
      </c>
      <c r="H757" t="str" cm="1">
        <f t="array" ref="H757">IFERROR(_xlfn.IFS(B757="","",AND(B757="",G757=""),"",G757="","記載要"),"")</f>
        <v/>
      </c>
      <c r="K757" t="str">
        <f t="shared" si="114"/>
        <v>11WP01002990</v>
      </c>
      <c r="L757" s="3" t="str">
        <f t="shared" si="115"/>
        <v>2001/01/01</v>
      </c>
      <c r="M757" s="3" t="str">
        <f t="shared" si="116"/>
        <v>2199/12/31</v>
      </c>
      <c r="N757" t="str">
        <f t="shared" si="117"/>
        <v>11WP01002990</v>
      </c>
      <c r="O757">
        <v>15</v>
      </c>
      <c r="Q757" t="str" cm="1">
        <f t="array" ref="Q757">_xlfn.IFS(AND(C757="",G757=""),"",LEFT(G757,1)="L","記載要",LEFT(G757,1)="W","",AND(C757,G757=""),"記載要")</f>
        <v/>
      </c>
      <c r="R757" s="21" t="str">
        <f t="shared" si="122"/>
        <v/>
      </c>
      <c r="S757" s="21"/>
      <c r="Z757" s="8"/>
      <c r="AA757">
        <v>1</v>
      </c>
      <c r="AB757">
        <f t="shared" si="118"/>
        <v>0</v>
      </c>
      <c r="AC757">
        <v>1</v>
      </c>
      <c r="AF757">
        <v>1</v>
      </c>
      <c r="AG757" s="8"/>
      <c r="AH757" s="8"/>
      <c r="AK757" cm="1">
        <f t="array" ref="AK757">_xlfn.IFS(B757="","",LEFT(G757,1)="L",1,LEFT(G757,1)="W",1,AND(LEFT(B757,1)="H",G757=""),0)</f>
        <v>1</v>
      </c>
      <c r="AS757" t="str">
        <f t="shared" si="119"/>
        <v/>
      </c>
      <c r="AT757" t="s">
        <v>115</v>
      </c>
      <c r="AU757" t="str">
        <f t="shared" si="120"/>
        <v>0</v>
      </c>
      <c r="BD757" t="str">
        <f t="shared" si="121"/>
        <v>0</v>
      </c>
      <c r="BK757" t="str">
        <f>IFERROR(VLOOKUP(B757,'[1]model_S-フレーム'!$F$5:$R$7000,13,1),"")</f>
        <v>E389571_01</v>
      </c>
      <c r="BL757" s="7">
        <f>IFERROR(VLOOKUP(B757,'[1]model_S-フレーム'!$F$5:$V$7000,17,1),"")</f>
        <v>0</v>
      </c>
      <c r="BM757" t="str" cm="1">
        <f t="array" ref="BM757">_xlfn.IFS(LEFT(G757,1)="L","外注品",LEFT(G757,1)="W","内製品",G757="","購買品")</f>
        <v>内製品</v>
      </c>
    </row>
    <row r="758" spans="1:65">
      <c r="A758" t="str">
        <f t="shared" si="113"/>
        <v>WG01</v>
      </c>
      <c r="B758" t="s">
        <v>862</v>
      </c>
      <c r="C758" t="s">
        <v>927</v>
      </c>
      <c r="D758" s="7"/>
      <c r="E758" s="7"/>
      <c r="G758" t="s">
        <v>1939</v>
      </c>
      <c r="H758" t="str" cm="1">
        <f t="array" ref="H758">IFERROR(_xlfn.IFS(B758="","",AND(B758="",G758=""),"",G758="","記載要"),"")</f>
        <v/>
      </c>
      <c r="K758" t="str">
        <f t="shared" si="114"/>
        <v>11WP01002991</v>
      </c>
      <c r="L758" s="3" t="str">
        <f t="shared" si="115"/>
        <v>2001/01/01</v>
      </c>
      <c r="M758" s="3" t="str">
        <f t="shared" si="116"/>
        <v>2199/12/31</v>
      </c>
      <c r="N758" t="str">
        <f t="shared" si="117"/>
        <v>11WP01002991</v>
      </c>
      <c r="O758">
        <v>15</v>
      </c>
      <c r="Q758" t="str" cm="1">
        <f t="array" ref="Q758">_xlfn.IFS(AND(C758="",G758=""),"",LEFT(G758,1)="L","記載要",LEFT(G758,1)="W","",AND(C758,G758=""),"記載要")</f>
        <v/>
      </c>
      <c r="R758" s="21" t="str">
        <f t="shared" si="122"/>
        <v/>
      </c>
      <c r="S758" s="21"/>
      <c r="Z758" s="8"/>
      <c r="AA758">
        <v>1</v>
      </c>
      <c r="AB758">
        <f t="shared" si="118"/>
        <v>0</v>
      </c>
      <c r="AC758">
        <v>1</v>
      </c>
      <c r="AF758">
        <v>1</v>
      </c>
      <c r="AG758" s="8"/>
      <c r="AH758" s="8"/>
      <c r="AK758" cm="1">
        <f t="array" ref="AK758">_xlfn.IFS(B758="","",LEFT(G758,1)="L",1,LEFT(G758,1)="W",1,AND(LEFT(B758,1)="H",G758=""),0)</f>
        <v>1</v>
      </c>
      <c r="AS758" t="str">
        <f t="shared" si="119"/>
        <v/>
      </c>
      <c r="AT758" t="s">
        <v>115</v>
      </c>
      <c r="AU758" t="str">
        <f t="shared" si="120"/>
        <v>0</v>
      </c>
      <c r="BD758" t="str">
        <f t="shared" si="121"/>
        <v>0</v>
      </c>
      <c r="BK758" t="str">
        <f>IFERROR(VLOOKUP(B758,'[1]model_S-フレーム'!$F$5:$R$7000,13,1),"")</f>
        <v>E389571_01</v>
      </c>
      <c r="BL758" s="7">
        <f>IFERROR(VLOOKUP(B758,'[1]model_S-フレーム'!$F$5:$V$7000,17,1),"")</f>
        <v>0</v>
      </c>
      <c r="BM758" t="str" cm="1">
        <f t="array" ref="BM758">_xlfn.IFS(LEFT(G758,1)="L","外注品",LEFT(G758,1)="W","内製品",G758="","購買品")</f>
        <v>内製品</v>
      </c>
    </row>
    <row r="759" spans="1:65">
      <c r="A759" t="str">
        <f t="shared" si="113"/>
        <v>WG01</v>
      </c>
      <c r="B759" t="s">
        <v>863</v>
      </c>
      <c r="C759" t="s">
        <v>927</v>
      </c>
      <c r="D759" s="7"/>
      <c r="E759" s="7"/>
      <c r="G759" t="s">
        <v>1939</v>
      </c>
      <c r="H759" t="str" cm="1">
        <f t="array" ref="H759">IFERROR(_xlfn.IFS(B759="","",AND(B759="",G759=""),"",G759="","記載要"),"")</f>
        <v/>
      </c>
      <c r="K759" t="str">
        <f t="shared" si="114"/>
        <v>11WP01002992</v>
      </c>
      <c r="L759" s="3" t="str">
        <f t="shared" si="115"/>
        <v>2001/01/01</v>
      </c>
      <c r="M759" s="3" t="str">
        <f t="shared" si="116"/>
        <v>2199/12/31</v>
      </c>
      <c r="N759" t="str">
        <f t="shared" si="117"/>
        <v>11WP01002992</v>
      </c>
      <c r="O759">
        <v>15</v>
      </c>
      <c r="Q759" t="str" cm="1">
        <f t="array" ref="Q759">_xlfn.IFS(AND(C759="",G759=""),"",LEFT(G759,1)="L","記載要",LEFT(G759,1)="W","",AND(C759,G759=""),"記載要")</f>
        <v/>
      </c>
      <c r="R759" s="21" t="str">
        <f t="shared" si="122"/>
        <v/>
      </c>
      <c r="S759" s="21"/>
      <c r="Z759" s="8"/>
      <c r="AA759">
        <v>1</v>
      </c>
      <c r="AB759">
        <f t="shared" si="118"/>
        <v>0</v>
      </c>
      <c r="AC759">
        <v>1</v>
      </c>
      <c r="AF759">
        <v>1</v>
      </c>
      <c r="AG759" s="8"/>
      <c r="AH759" s="8"/>
      <c r="AK759" cm="1">
        <f t="array" ref="AK759">_xlfn.IFS(B759="","",LEFT(G759,1)="L",1,LEFT(G759,1)="W",1,AND(LEFT(B759,1)="H",G759=""),0)</f>
        <v>1</v>
      </c>
      <c r="AS759" t="str">
        <f t="shared" si="119"/>
        <v/>
      </c>
      <c r="AT759" t="s">
        <v>115</v>
      </c>
      <c r="AU759" t="str">
        <f t="shared" si="120"/>
        <v>0</v>
      </c>
      <c r="BD759" t="str">
        <f t="shared" si="121"/>
        <v>0</v>
      </c>
      <c r="BK759" t="str">
        <f>IFERROR(VLOOKUP(B759,'[1]model_S-フレーム'!$F$5:$R$7000,13,1),"")</f>
        <v>E389571_01</v>
      </c>
      <c r="BL759" s="7">
        <f>IFERROR(VLOOKUP(B759,'[1]model_S-フレーム'!$F$5:$V$7000,17,1),"")</f>
        <v>0</v>
      </c>
      <c r="BM759" t="str" cm="1">
        <f t="array" ref="BM759">_xlfn.IFS(LEFT(G759,1)="L","外注品",LEFT(G759,1)="W","内製品",G759="","購買品")</f>
        <v>内製品</v>
      </c>
    </row>
    <row r="760" spans="1:65">
      <c r="A760" t="str">
        <f t="shared" si="113"/>
        <v>WG01</v>
      </c>
      <c r="B760" t="s">
        <v>864</v>
      </c>
      <c r="C760" t="s">
        <v>927</v>
      </c>
      <c r="D760" s="7"/>
      <c r="E760" s="7"/>
      <c r="G760" t="s">
        <v>1939</v>
      </c>
      <c r="H760" t="str" cm="1">
        <f t="array" ref="H760">IFERROR(_xlfn.IFS(B760="","",AND(B760="",G760=""),"",G760="","記載要"),"")</f>
        <v/>
      </c>
      <c r="K760" t="str">
        <f t="shared" si="114"/>
        <v>11WP01002993</v>
      </c>
      <c r="L760" s="3" t="str">
        <f t="shared" si="115"/>
        <v>2001/01/01</v>
      </c>
      <c r="M760" s="3" t="str">
        <f t="shared" si="116"/>
        <v>2199/12/31</v>
      </c>
      <c r="N760" t="str">
        <f t="shared" si="117"/>
        <v>11WP01002993</v>
      </c>
      <c r="O760">
        <v>15</v>
      </c>
      <c r="Q760" t="str" cm="1">
        <f t="array" ref="Q760">_xlfn.IFS(AND(C760="",G760=""),"",LEFT(G760,1)="L","記載要",LEFT(G760,1)="W","",AND(C760,G760=""),"記載要")</f>
        <v/>
      </c>
      <c r="R760" s="21" t="str">
        <f t="shared" si="122"/>
        <v/>
      </c>
      <c r="S760" s="21"/>
      <c r="Z760" s="8"/>
      <c r="AA760">
        <v>1</v>
      </c>
      <c r="AB760">
        <f t="shared" si="118"/>
        <v>0</v>
      </c>
      <c r="AC760">
        <v>1</v>
      </c>
      <c r="AF760">
        <v>1</v>
      </c>
      <c r="AG760" s="8"/>
      <c r="AH760" s="8"/>
      <c r="AK760" cm="1">
        <f t="array" ref="AK760">_xlfn.IFS(B760="","",LEFT(G760,1)="L",1,LEFT(G760,1)="W",1,AND(LEFT(B760,1)="H",G760=""),0)</f>
        <v>1</v>
      </c>
      <c r="AS760" t="str">
        <f t="shared" si="119"/>
        <v/>
      </c>
      <c r="AT760" t="s">
        <v>115</v>
      </c>
      <c r="AU760" t="str">
        <f t="shared" si="120"/>
        <v>0</v>
      </c>
      <c r="BD760" t="str">
        <f t="shared" si="121"/>
        <v>0</v>
      </c>
      <c r="BK760" t="str">
        <f>IFERROR(VLOOKUP(B760,'[1]model_S-フレーム'!$F$5:$R$7000,13,1),"")</f>
        <v>E389571_01</v>
      </c>
      <c r="BL760" s="7">
        <f>IFERROR(VLOOKUP(B760,'[1]model_S-フレーム'!$F$5:$V$7000,17,1),"")</f>
        <v>0</v>
      </c>
      <c r="BM760" t="str" cm="1">
        <f t="array" ref="BM760">_xlfn.IFS(LEFT(G760,1)="L","外注品",LEFT(G760,1)="W","内製品",G760="","購買品")</f>
        <v>内製品</v>
      </c>
    </row>
    <row r="761" spans="1:65">
      <c r="A761" t="str">
        <f t="shared" si="113"/>
        <v>WG01</v>
      </c>
      <c r="B761" t="s">
        <v>865</v>
      </c>
      <c r="C761" t="s">
        <v>927</v>
      </c>
      <c r="D761" s="7"/>
      <c r="E761" s="7"/>
      <c r="G761" t="s">
        <v>1939</v>
      </c>
      <c r="H761" t="str" cm="1">
        <f t="array" ref="H761">IFERROR(_xlfn.IFS(B761="","",AND(B761="",G761=""),"",G761="","記載要"),"")</f>
        <v/>
      </c>
      <c r="K761" t="str">
        <f t="shared" si="114"/>
        <v>11WP01002994</v>
      </c>
      <c r="L761" s="3" t="str">
        <f t="shared" si="115"/>
        <v>2001/01/01</v>
      </c>
      <c r="M761" s="3" t="str">
        <f t="shared" si="116"/>
        <v>2199/12/31</v>
      </c>
      <c r="N761" t="str">
        <f t="shared" si="117"/>
        <v>11WP01002994</v>
      </c>
      <c r="O761">
        <v>15</v>
      </c>
      <c r="Q761" t="str" cm="1">
        <f t="array" ref="Q761">_xlfn.IFS(AND(C761="",G761=""),"",LEFT(G761,1)="L","記載要",LEFT(G761,1)="W","",AND(C761,G761=""),"記載要")</f>
        <v/>
      </c>
      <c r="R761" s="21" t="str">
        <f t="shared" si="122"/>
        <v/>
      </c>
      <c r="S761" s="21"/>
      <c r="Z761" s="8"/>
      <c r="AA761">
        <v>1</v>
      </c>
      <c r="AB761">
        <f t="shared" si="118"/>
        <v>0</v>
      </c>
      <c r="AC761">
        <v>1</v>
      </c>
      <c r="AF761">
        <v>1</v>
      </c>
      <c r="AG761" s="8"/>
      <c r="AH761" s="8"/>
      <c r="AK761" cm="1">
        <f t="array" ref="AK761">_xlfn.IFS(B761="","",LEFT(G761,1)="L",1,LEFT(G761,1)="W",1,AND(LEFT(B761,1)="H",G761=""),0)</f>
        <v>1</v>
      </c>
      <c r="AS761" t="str">
        <f t="shared" si="119"/>
        <v/>
      </c>
      <c r="AT761" t="s">
        <v>115</v>
      </c>
      <c r="AU761" t="str">
        <f t="shared" si="120"/>
        <v>0</v>
      </c>
      <c r="BD761" t="str">
        <f t="shared" si="121"/>
        <v>0</v>
      </c>
      <c r="BK761" t="str">
        <f>IFERROR(VLOOKUP(B761,'[1]model_S-フレーム'!$F$5:$R$7000,13,1),"")</f>
        <v>E389571_01</v>
      </c>
      <c r="BL761" s="7">
        <f>IFERROR(VLOOKUP(B761,'[1]model_S-フレーム'!$F$5:$V$7000,17,1),"")</f>
        <v>0</v>
      </c>
      <c r="BM761" t="str" cm="1">
        <f t="array" ref="BM761">_xlfn.IFS(LEFT(G761,1)="L","外注品",LEFT(G761,1)="W","内製品",G761="","購買品")</f>
        <v>内製品</v>
      </c>
    </row>
    <row r="762" spans="1:65" s="11" customFormat="1">
      <c r="A762" t="str">
        <f t="shared" si="113"/>
        <v>WG01</v>
      </c>
      <c r="B762" t="s">
        <v>866</v>
      </c>
      <c r="C762" t="s">
        <v>928</v>
      </c>
      <c r="D762" s="7"/>
      <c r="E762" s="7"/>
      <c r="F762"/>
      <c r="G762"/>
      <c r="H762">
        <v>27616</v>
      </c>
      <c r="I762"/>
      <c r="J762"/>
      <c r="K762" t="str">
        <f t="shared" si="114"/>
        <v/>
      </c>
      <c r="L762" s="3" t="str">
        <f t="shared" si="115"/>
        <v>2001/01/01</v>
      </c>
      <c r="M762" s="3" t="str">
        <f t="shared" si="116"/>
        <v>2199/12/31</v>
      </c>
      <c r="N762" t="str">
        <f t="shared" si="117"/>
        <v/>
      </c>
      <c r="O762" t="str">
        <f>IF(G762="","","記載要")</f>
        <v/>
      </c>
      <c r="P762"/>
      <c r="Q762">
        <v>15</v>
      </c>
      <c r="R762" s="21">
        <v>100000000</v>
      </c>
      <c r="S762" s="21" t="str" cm="1">
        <f t="array" ref="S762">_xlfn.IFS(LEFT(G762,1)="L","記載要",LEFT(G762,1)="W","記載要",G762="","")</f>
        <v/>
      </c>
      <c r="T762"/>
      <c r="U762"/>
      <c r="V762"/>
      <c r="W762"/>
      <c r="X762"/>
      <c r="Y762"/>
      <c r="Z762" s="8"/>
      <c r="AA762" s="8">
        <v>1</v>
      </c>
      <c r="AB762">
        <f t="shared" si="118"/>
        <v>0</v>
      </c>
      <c r="AC762" s="8">
        <v>1</v>
      </c>
      <c r="AD762"/>
      <c r="AE762"/>
      <c r="AF762">
        <v>1</v>
      </c>
      <c r="AG762" s="8"/>
      <c r="AH762" s="8"/>
      <c r="AI762"/>
      <c r="AJ762"/>
      <c r="AK762" cm="1">
        <f t="array" ref="AK762">_xlfn.IFS(B762="","",LEFT(G762,1)="L",1,LEFT(G762,1)="W",1,AND(LEFT(B762,1)="H",G762=""),0)</f>
        <v>0</v>
      </c>
      <c r="AL762"/>
      <c r="AM762"/>
      <c r="AN762"/>
      <c r="AO762"/>
      <c r="AP762"/>
      <c r="AQ762"/>
      <c r="AR762"/>
      <c r="AS762">
        <f t="shared" si="119"/>
        <v>1</v>
      </c>
      <c r="AT762" t="s">
        <v>115</v>
      </c>
      <c r="AU762" t="str">
        <f t="shared" si="120"/>
        <v>0</v>
      </c>
      <c r="AV762"/>
      <c r="AW762"/>
      <c r="AX762"/>
      <c r="AY762"/>
      <c r="AZ762"/>
      <c r="BA762"/>
      <c r="BB762"/>
      <c r="BC762"/>
      <c r="BD762" t="str">
        <f t="shared" si="121"/>
        <v>0</v>
      </c>
      <c r="BE762"/>
      <c r="BF762"/>
      <c r="BG762"/>
      <c r="BH762"/>
      <c r="BI762"/>
      <c r="BJ762"/>
      <c r="BK762" s="11" t="str">
        <f>IFERROR(VLOOKUP(B762,'[1]model_S-フレーム'!$F$5:$R$7000,13,1),"")</f>
        <v>E389571_01</v>
      </c>
      <c r="BL762" s="12">
        <f>IFERROR(VLOOKUP(B762,'[1]model_S-フレーム'!$F$5:$V$7000,17,1),"")</f>
        <v>0</v>
      </c>
      <c r="BM762" s="11" t="str" cm="1">
        <f t="array" ref="BM762">_xlfn.IFS(LEFT(G762,1)="L","外注品",LEFT(G762,1)="W","内製品",G762="","購買品")</f>
        <v>購買品</v>
      </c>
    </row>
    <row r="763" spans="1:65" s="11" customFormat="1">
      <c r="A763" t="str">
        <f t="shared" si="113"/>
        <v>WG01</v>
      </c>
      <c r="B763" t="s">
        <v>866</v>
      </c>
      <c r="C763" t="s">
        <v>928</v>
      </c>
      <c r="D763" s="7"/>
      <c r="E763" s="7"/>
      <c r="F763"/>
      <c r="G763"/>
      <c r="H763">
        <v>43453</v>
      </c>
      <c r="I763"/>
      <c r="J763"/>
      <c r="K763" t="str">
        <f t="shared" si="114"/>
        <v/>
      </c>
      <c r="L763" s="3" t="str">
        <f t="shared" si="115"/>
        <v>2001/01/01</v>
      </c>
      <c r="M763" s="3" t="str">
        <f t="shared" si="116"/>
        <v>2199/12/31</v>
      </c>
      <c r="N763" t="str">
        <f t="shared" si="117"/>
        <v/>
      </c>
      <c r="O763" t="str">
        <f>IF(G763="","","記載要")</f>
        <v/>
      </c>
      <c r="P763"/>
      <c r="Q763">
        <v>15</v>
      </c>
      <c r="R763" s="21">
        <v>100000000</v>
      </c>
      <c r="S763" s="21" t="str" cm="1">
        <f t="array" ref="S763">_xlfn.IFS(LEFT(G763,1)="L","記載要",LEFT(G763,1)="W","記載要",G763="","")</f>
        <v/>
      </c>
      <c r="T763"/>
      <c r="U763"/>
      <c r="V763"/>
      <c r="W763"/>
      <c r="X763"/>
      <c r="Y763"/>
      <c r="Z763" s="8"/>
      <c r="AA763" s="8">
        <v>1</v>
      </c>
      <c r="AB763">
        <f t="shared" si="118"/>
        <v>0</v>
      </c>
      <c r="AC763" s="8">
        <v>1</v>
      </c>
      <c r="AD763"/>
      <c r="AE763"/>
      <c r="AF763">
        <v>0</v>
      </c>
      <c r="AG763" s="8"/>
      <c r="AH763" s="8"/>
      <c r="AI763"/>
      <c r="AJ763"/>
      <c r="AK763" cm="1">
        <f t="array" ref="AK763">_xlfn.IFS(B763="","",LEFT(G763,1)="L",1,LEFT(G763,1)="W",1,AND(LEFT(B763,1)="H",G763=""),0)</f>
        <v>0</v>
      </c>
      <c r="AL763"/>
      <c r="AM763"/>
      <c r="AN763"/>
      <c r="AO763"/>
      <c r="AP763"/>
      <c r="AQ763"/>
      <c r="AR763"/>
      <c r="AS763">
        <f t="shared" si="119"/>
        <v>1</v>
      </c>
      <c r="AT763" t="s">
        <v>115</v>
      </c>
      <c r="AU763" t="str">
        <f t="shared" si="120"/>
        <v>0</v>
      </c>
      <c r="AV763"/>
      <c r="AW763"/>
      <c r="AX763"/>
      <c r="AY763"/>
      <c r="AZ763"/>
      <c r="BA763"/>
      <c r="BB763"/>
      <c r="BC763"/>
      <c r="BD763" t="str">
        <f t="shared" si="121"/>
        <v>0</v>
      </c>
      <c r="BE763"/>
      <c r="BF763"/>
      <c r="BG763"/>
      <c r="BH763"/>
      <c r="BI763"/>
      <c r="BJ763"/>
      <c r="BK763" s="11" t="str">
        <f>IFERROR(VLOOKUP(B763,'[1]model_S-フレーム'!$F$5:$R$7000,13,1),"")</f>
        <v>E389571_01</v>
      </c>
      <c r="BL763" s="12">
        <f>IFERROR(VLOOKUP(B763,'[1]model_S-フレーム'!$F$5:$V$7000,17,1),"")</f>
        <v>0</v>
      </c>
      <c r="BM763" s="11" t="str" cm="1">
        <f t="array" ref="BM763">_xlfn.IFS(LEFT(G763,1)="L","外注品",LEFT(G763,1)="W","内製品",G763="","購買品")</f>
        <v>購買品</v>
      </c>
    </row>
    <row r="764" spans="1:65" s="11" customFormat="1">
      <c r="A764" t="str">
        <f t="shared" si="113"/>
        <v>WG01</v>
      </c>
      <c r="B764" t="s">
        <v>866</v>
      </c>
      <c r="C764" t="s">
        <v>928</v>
      </c>
      <c r="D764" s="7"/>
      <c r="E764" s="7"/>
      <c r="F764"/>
      <c r="G764"/>
      <c r="H764">
        <v>47081</v>
      </c>
      <c r="I764"/>
      <c r="J764"/>
      <c r="K764" t="str">
        <f t="shared" si="114"/>
        <v/>
      </c>
      <c r="L764" s="3" t="str">
        <f t="shared" si="115"/>
        <v>2001/01/01</v>
      </c>
      <c r="M764" s="3" t="str">
        <f t="shared" si="116"/>
        <v>2199/12/31</v>
      </c>
      <c r="N764" t="str">
        <f t="shared" si="117"/>
        <v/>
      </c>
      <c r="O764" t="str">
        <f>IF(G764="","","記載要")</f>
        <v/>
      </c>
      <c r="P764"/>
      <c r="Q764">
        <v>15</v>
      </c>
      <c r="R764" s="21">
        <v>100000000</v>
      </c>
      <c r="S764" s="21" t="str" cm="1">
        <f t="array" ref="S764">_xlfn.IFS(LEFT(G764,1)="L","記載要",LEFT(G764,1)="W","記載要",G764="","")</f>
        <v/>
      </c>
      <c r="T764"/>
      <c r="U764"/>
      <c r="V764"/>
      <c r="W764"/>
      <c r="X764"/>
      <c r="Y764"/>
      <c r="Z764" s="8"/>
      <c r="AA764" s="8">
        <v>1</v>
      </c>
      <c r="AB764">
        <f t="shared" si="118"/>
        <v>0</v>
      </c>
      <c r="AC764" s="8">
        <v>1</v>
      </c>
      <c r="AD764"/>
      <c r="AE764"/>
      <c r="AF764">
        <v>0</v>
      </c>
      <c r="AG764" s="8"/>
      <c r="AH764" s="8"/>
      <c r="AI764"/>
      <c r="AJ764"/>
      <c r="AK764" cm="1">
        <f t="array" ref="AK764">_xlfn.IFS(B764="","",LEFT(G764,1)="L",1,LEFT(G764,1)="W",1,AND(LEFT(B764,1)="H",G764=""),0)</f>
        <v>0</v>
      </c>
      <c r="AL764"/>
      <c r="AM764"/>
      <c r="AN764"/>
      <c r="AO764"/>
      <c r="AP764"/>
      <c r="AQ764"/>
      <c r="AR764"/>
      <c r="AS764">
        <f t="shared" si="119"/>
        <v>1</v>
      </c>
      <c r="AT764" t="s">
        <v>115</v>
      </c>
      <c r="AU764" t="str">
        <f t="shared" si="120"/>
        <v>0</v>
      </c>
      <c r="AV764"/>
      <c r="AW764"/>
      <c r="AX764"/>
      <c r="AY764"/>
      <c r="AZ764"/>
      <c r="BA764"/>
      <c r="BB764"/>
      <c r="BC764"/>
      <c r="BD764" t="str">
        <f t="shared" si="121"/>
        <v>0</v>
      </c>
      <c r="BE764"/>
      <c r="BF764"/>
      <c r="BG764"/>
      <c r="BH764"/>
      <c r="BI764"/>
      <c r="BJ764"/>
      <c r="BK764" s="11" t="str">
        <f>IFERROR(VLOOKUP(B764,'[1]model_S-フレーム'!$F$5:$R$7000,13,1),"")</f>
        <v>E389571_01</v>
      </c>
      <c r="BL764" s="12">
        <f>IFERROR(VLOOKUP(B764,'[1]model_S-フレーム'!$F$5:$V$7000,17,1),"")</f>
        <v>0</v>
      </c>
      <c r="BM764" s="11" t="str" cm="1">
        <f t="array" ref="BM764">_xlfn.IFS(LEFT(G764,1)="L","外注品",LEFT(G764,1)="W","内製品",G764="","購買品")</f>
        <v>購買品</v>
      </c>
    </row>
    <row r="765" spans="1:65">
      <c r="A765" t="str">
        <f t="shared" si="113"/>
        <v>WG01</v>
      </c>
      <c r="B765" t="s">
        <v>866</v>
      </c>
      <c r="C765" t="s">
        <v>928</v>
      </c>
      <c r="D765" s="7"/>
      <c r="E765" s="7"/>
      <c r="H765" s="19" t="s">
        <v>1937</v>
      </c>
      <c r="K765" t="str">
        <f t="shared" si="114"/>
        <v/>
      </c>
      <c r="L765" s="3" t="str">
        <f t="shared" si="115"/>
        <v>2001/01/01</v>
      </c>
      <c r="M765" s="3" t="str">
        <f t="shared" si="116"/>
        <v>2199/12/31</v>
      </c>
      <c r="N765" t="str">
        <f t="shared" si="117"/>
        <v/>
      </c>
      <c r="O765" t="str">
        <f>IF(G765="","","記載要")</f>
        <v/>
      </c>
      <c r="Q765">
        <v>15</v>
      </c>
      <c r="R765" s="21">
        <v>100000000</v>
      </c>
      <c r="S765" s="21" t="str" cm="1">
        <f t="array" ref="S765">_xlfn.IFS(LEFT(G765,1)="L","記載要",LEFT(G765,1)="W","記載要",G765="","")</f>
        <v/>
      </c>
      <c r="Z765" s="8"/>
      <c r="AA765" s="8">
        <v>1</v>
      </c>
      <c r="AB765">
        <f t="shared" si="118"/>
        <v>0</v>
      </c>
      <c r="AC765" s="8">
        <v>1</v>
      </c>
      <c r="AF765">
        <v>1</v>
      </c>
      <c r="AG765" s="8"/>
      <c r="AH765" s="8"/>
      <c r="AK765" cm="1">
        <f t="array" ref="AK765">_xlfn.IFS(B765="","",LEFT(G765,1)="L",1,LEFT(G765,1)="W",1,AND(LEFT(B765,1)="H",G765=""),0)</f>
        <v>0</v>
      </c>
      <c r="AS765">
        <f t="shared" si="119"/>
        <v>1</v>
      </c>
      <c r="AT765" t="s">
        <v>115</v>
      </c>
      <c r="AU765" t="str">
        <f t="shared" si="120"/>
        <v>0</v>
      </c>
      <c r="BD765" t="str">
        <f t="shared" si="121"/>
        <v>0</v>
      </c>
      <c r="BK765" t="str">
        <f>IFERROR(VLOOKUP(B765,'[1]model_S-フレーム'!$F$5:$R$7000,13,1),"")</f>
        <v>E389571_01</v>
      </c>
      <c r="BL765" s="7">
        <f>IFERROR(VLOOKUP(B765,'[1]model_S-フレーム'!$F$5:$V$7000,17,1),"")</f>
        <v>0</v>
      </c>
      <c r="BM765" t="str" cm="1">
        <f t="array" ref="BM765">_xlfn.IFS(LEFT(G765,1)="L","外注品",LEFT(G765,1)="W","内製品",G765="","購買品")</f>
        <v>購買品</v>
      </c>
    </row>
    <row r="766" spans="1:65">
      <c r="A766" t="str">
        <f t="shared" si="113"/>
        <v>WG01</v>
      </c>
      <c r="B766" t="s">
        <v>867</v>
      </c>
      <c r="C766" t="s">
        <v>927</v>
      </c>
      <c r="D766" s="7"/>
      <c r="E766" s="7"/>
      <c r="G766" t="s">
        <v>1939</v>
      </c>
      <c r="H766" t="str" cm="1">
        <f t="array" ref="H766">IFERROR(_xlfn.IFS(B766="","",AND(B766="",G766=""),"",G766="","記載要"),"")</f>
        <v/>
      </c>
      <c r="K766" t="str">
        <f t="shared" si="114"/>
        <v>11WP01002996</v>
      </c>
      <c r="L766" s="3" t="str">
        <f t="shared" si="115"/>
        <v>2001/01/01</v>
      </c>
      <c r="M766" s="3" t="str">
        <f t="shared" si="116"/>
        <v>2199/12/31</v>
      </c>
      <c r="N766" t="str">
        <f t="shared" si="117"/>
        <v>11WP01002996</v>
      </c>
      <c r="O766">
        <v>15</v>
      </c>
      <c r="Q766" t="str" cm="1">
        <f t="array" ref="Q766">_xlfn.IFS(AND(C766="",G766=""),"",LEFT(G766,1)="L","記載要",LEFT(G766,1)="W","",AND(C766,G766=""),"記載要")</f>
        <v/>
      </c>
      <c r="R766" s="21" t="str">
        <f t="shared" si="122"/>
        <v/>
      </c>
      <c r="S766" s="21"/>
      <c r="Z766" s="8"/>
      <c r="AA766">
        <v>1</v>
      </c>
      <c r="AB766">
        <f t="shared" si="118"/>
        <v>0</v>
      </c>
      <c r="AC766">
        <v>1</v>
      </c>
      <c r="AF766">
        <v>1</v>
      </c>
      <c r="AG766" s="8"/>
      <c r="AH766" s="8"/>
      <c r="AK766" cm="1">
        <f t="array" ref="AK766">_xlfn.IFS(B766="","",LEFT(G766,1)="L",1,LEFT(G766,1)="W",1,AND(LEFT(B766,1)="H",G766=""),0)</f>
        <v>1</v>
      </c>
      <c r="AS766" t="str">
        <f t="shared" si="119"/>
        <v/>
      </c>
      <c r="AT766" t="s">
        <v>115</v>
      </c>
      <c r="AU766" t="str">
        <f t="shared" si="120"/>
        <v>0</v>
      </c>
      <c r="BD766" t="str">
        <f t="shared" si="121"/>
        <v>0</v>
      </c>
      <c r="BK766" t="str">
        <f>IFERROR(VLOOKUP(B766,'[1]model_S-フレーム'!$F$5:$R$7000,13,1),"")</f>
        <v>E389572_01</v>
      </c>
      <c r="BL766" s="7">
        <f>IFERROR(VLOOKUP(B766,'[1]model_S-フレーム'!$F$5:$V$7000,17,1),"")</f>
        <v>0</v>
      </c>
      <c r="BM766" t="str" cm="1">
        <f t="array" ref="BM766">_xlfn.IFS(LEFT(G766,1)="L","外注品",LEFT(G766,1)="W","内製品",G766="","購買品")</f>
        <v>内製品</v>
      </c>
    </row>
    <row r="767" spans="1:65">
      <c r="A767" t="str">
        <f t="shared" si="113"/>
        <v>WG01</v>
      </c>
      <c r="B767" t="s">
        <v>868</v>
      </c>
      <c r="C767" t="s">
        <v>927</v>
      </c>
      <c r="D767" s="7"/>
      <c r="E767" s="7"/>
      <c r="G767" t="s">
        <v>1939</v>
      </c>
      <c r="H767" t="str" cm="1">
        <f t="array" ref="H767">IFERROR(_xlfn.IFS(B767="","",AND(B767="",G767=""),"",G767="","記載要"),"")</f>
        <v/>
      </c>
      <c r="K767" t="str">
        <f t="shared" si="114"/>
        <v>11WP01002997</v>
      </c>
      <c r="L767" s="3" t="str">
        <f t="shared" si="115"/>
        <v>2001/01/01</v>
      </c>
      <c r="M767" s="3" t="str">
        <f t="shared" si="116"/>
        <v>2199/12/31</v>
      </c>
      <c r="N767" t="str">
        <f t="shared" si="117"/>
        <v>11WP01002997</v>
      </c>
      <c r="O767">
        <v>15</v>
      </c>
      <c r="Q767" t="str" cm="1">
        <f t="array" ref="Q767">_xlfn.IFS(AND(C767="",G767=""),"",LEFT(G767,1)="L","記載要",LEFT(G767,1)="W","",AND(C767,G767=""),"記載要")</f>
        <v/>
      </c>
      <c r="R767" s="21" t="str">
        <f t="shared" si="122"/>
        <v/>
      </c>
      <c r="S767" s="21"/>
      <c r="Z767" s="8"/>
      <c r="AA767">
        <v>1</v>
      </c>
      <c r="AB767">
        <f t="shared" si="118"/>
        <v>0</v>
      </c>
      <c r="AC767">
        <v>1</v>
      </c>
      <c r="AF767">
        <v>1</v>
      </c>
      <c r="AG767" s="8"/>
      <c r="AH767" s="8"/>
      <c r="AK767" cm="1">
        <f t="array" ref="AK767">_xlfn.IFS(B767="","",LEFT(G767,1)="L",1,LEFT(G767,1)="W",1,AND(LEFT(B767,1)="H",G767=""),0)</f>
        <v>1</v>
      </c>
      <c r="AS767" t="str">
        <f t="shared" si="119"/>
        <v/>
      </c>
      <c r="AT767" t="s">
        <v>115</v>
      </c>
      <c r="AU767" t="str">
        <f t="shared" si="120"/>
        <v>0</v>
      </c>
      <c r="BD767" t="str">
        <f t="shared" si="121"/>
        <v>0</v>
      </c>
      <c r="BK767" t="str">
        <f>IFERROR(VLOOKUP(B767,'[1]model_S-フレーム'!$F$5:$R$7000,13,1),"")</f>
        <v>E389572_01</v>
      </c>
      <c r="BL767" s="7">
        <f>IFERROR(VLOOKUP(B767,'[1]model_S-フレーム'!$F$5:$V$7000,17,1),"")</f>
        <v>0</v>
      </c>
      <c r="BM767" t="str" cm="1">
        <f t="array" ref="BM767">_xlfn.IFS(LEFT(G767,1)="L","外注品",LEFT(G767,1)="W","内製品",G767="","購買品")</f>
        <v>内製品</v>
      </c>
    </row>
    <row r="768" spans="1:65">
      <c r="A768" t="str">
        <f t="shared" si="113"/>
        <v>WG01</v>
      </c>
      <c r="B768" t="s">
        <v>869</v>
      </c>
      <c r="C768" t="s">
        <v>927</v>
      </c>
      <c r="D768" s="7"/>
      <c r="E768" s="7"/>
      <c r="G768" t="s">
        <v>1939</v>
      </c>
      <c r="H768" t="str" cm="1">
        <f t="array" ref="H768">IFERROR(_xlfn.IFS(B768="","",AND(B768="",G768=""),"",G768="","記載要"),"")</f>
        <v/>
      </c>
      <c r="K768" t="str">
        <f t="shared" si="114"/>
        <v>11WP01002998</v>
      </c>
      <c r="L768" s="3" t="str">
        <f t="shared" si="115"/>
        <v>2001/01/01</v>
      </c>
      <c r="M768" s="3" t="str">
        <f t="shared" si="116"/>
        <v>2199/12/31</v>
      </c>
      <c r="N768" t="str">
        <f t="shared" si="117"/>
        <v>11WP01002998</v>
      </c>
      <c r="O768">
        <v>15</v>
      </c>
      <c r="Q768" t="str" cm="1">
        <f t="array" ref="Q768">_xlfn.IFS(AND(C768="",G768=""),"",LEFT(G768,1)="L","記載要",LEFT(G768,1)="W","",AND(C768,G768=""),"記載要")</f>
        <v/>
      </c>
      <c r="R768" s="21" t="str">
        <f t="shared" si="122"/>
        <v/>
      </c>
      <c r="S768" s="21"/>
      <c r="Z768" s="8"/>
      <c r="AA768">
        <v>1</v>
      </c>
      <c r="AB768">
        <f t="shared" si="118"/>
        <v>0</v>
      </c>
      <c r="AC768">
        <v>1</v>
      </c>
      <c r="AF768">
        <v>1</v>
      </c>
      <c r="AG768" s="8"/>
      <c r="AH768" s="8"/>
      <c r="AK768" cm="1">
        <f t="array" ref="AK768">_xlfn.IFS(B768="","",LEFT(G768,1)="L",1,LEFT(G768,1)="W",1,AND(LEFT(B768,1)="H",G768=""),0)</f>
        <v>1</v>
      </c>
      <c r="AS768" t="str">
        <f t="shared" si="119"/>
        <v/>
      </c>
      <c r="AT768" t="s">
        <v>115</v>
      </c>
      <c r="AU768" t="str">
        <f t="shared" si="120"/>
        <v>0</v>
      </c>
      <c r="BD768" t="str">
        <f t="shared" si="121"/>
        <v>0</v>
      </c>
      <c r="BK768" t="str">
        <f>IFERROR(VLOOKUP(B768,'[1]model_S-フレーム'!$F$5:$R$7000,13,1),"")</f>
        <v>E389572_01</v>
      </c>
      <c r="BL768" s="7">
        <f>IFERROR(VLOOKUP(B768,'[1]model_S-フレーム'!$F$5:$V$7000,17,1),"")</f>
        <v>0</v>
      </c>
      <c r="BM768" t="str" cm="1">
        <f t="array" ref="BM768">_xlfn.IFS(LEFT(G768,1)="L","外注品",LEFT(G768,1)="W","内製品",G768="","購買品")</f>
        <v>内製品</v>
      </c>
    </row>
    <row r="769" spans="1:65">
      <c r="A769" t="str">
        <f t="shared" si="113"/>
        <v>WG01</v>
      </c>
      <c r="B769" t="s">
        <v>870</v>
      </c>
      <c r="C769" t="s">
        <v>927</v>
      </c>
      <c r="D769" s="7"/>
      <c r="E769" s="7"/>
      <c r="G769" t="s">
        <v>1939</v>
      </c>
      <c r="H769" t="str" cm="1">
        <f t="array" ref="H769">IFERROR(_xlfn.IFS(B769="","",AND(B769="",G769=""),"",G769="","記載要"),"")</f>
        <v/>
      </c>
      <c r="K769" t="str">
        <f t="shared" si="114"/>
        <v>11WP01002999</v>
      </c>
      <c r="L769" s="3" t="str">
        <f t="shared" si="115"/>
        <v>2001/01/01</v>
      </c>
      <c r="M769" s="3" t="str">
        <f t="shared" si="116"/>
        <v>2199/12/31</v>
      </c>
      <c r="N769" t="str">
        <f t="shared" si="117"/>
        <v>11WP01002999</v>
      </c>
      <c r="O769">
        <v>15</v>
      </c>
      <c r="Q769" t="str" cm="1">
        <f t="array" ref="Q769">_xlfn.IFS(AND(C769="",G769=""),"",LEFT(G769,1)="L","記載要",LEFT(G769,1)="W","",AND(C769,G769=""),"記載要")</f>
        <v/>
      </c>
      <c r="R769" s="21" t="str">
        <f t="shared" si="122"/>
        <v/>
      </c>
      <c r="S769" s="21"/>
      <c r="Z769" s="8"/>
      <c r="AA769">
        <v>1</v>
      </c>
      <c r="AB769">
        <f t="shared" si="118"/>
        <v>0</v>
      </c>
      <c r="AC769">
        <v>1</v>
      </c>
      <c r="AF769">
        <v>1</v>
      </c>
      <c r="AG769" s="8"/>
      <c r="AH769" s="8"/>
      <c r="AK769" cm="1">
        <f t="array" ref="AK769">_xlfn.IFS(B769="","",LEFT(G769,1)="L",1,LEFT(G769,1)="W",1,AND(LEFT(B769,1)="H",G769=""),0)</f>
        <v>1</v>
      </c>
      <c r="AS769" t="str">
        <f t="shared" si="119"/>
        <v/>
      </c>
      <c r="AT769" t="s">
        <v>115</v>
      </c>
      <c r="AU769" t="str">
        <f t="shared" si="120"/>
        <v>0</v>
      </c>
      <c r="BD769" t="str">
        <f t="shared" si="121"/>
        <v>0</v>
      </c>
      <c r="BK769" t="str">
        <f>IFERROR(VLOOKUP(B769,'[1]model_S-フレーム'!$F$5:$R$7000,13,1),"")</f>
        <v>E389572_01</v>
      </c>
      <c r="BL769" s="7">
        <f>IFERROR(VLOOKUP(B769,'[1]model_S-フレーム'!$F$5:$V$7000,17,1),"")</f>
        <v>0</v>
      </c>
      <c r="BM769" t="str" cm="1">
        <f t="array" ref="BM769">_xlfn.IFS(LEFT(G769,1)="L","外注品",LEFT(G769,1)="W","内製品",G769="","購買品")</f>
        <v>内製品</v>
      </c>
    </row>
    <row r="770" spans="1:65">
      <c r="A770" t="str">
        <f t="shared" si="113"/>
        <v>WG01</v>
      </c>
      <c r="B770" t="s">
        <v>929</v>
      </c>
      <c r="C770" t="s">
        <v>1510</v>
      </c>
      <c r="D770" s="7"/>
      <c r="E770" s="7"/>
      <c r="G770" t="s">
        <v>1939</v>
      </c>
      <c r="H770" t="str" cm="1">
        <f t="array" ref="H770">IFERROR(_xlfn.IFS(B770="","",AND(B770="",G770=""),"",G770="","記載要"),"")</f>
        <v/>
      </c>
      <c r="K770" t="str">
        <f t="shared" si="114"/>
        <v>11WP01008339</v>
      </c>
      <c r="L770" s="3" t="str">
        <f t="shared" si="115"/>
        <v>2001/01/01</v>
      </c>
      <c r="M770" s="3" t="str">
        <f t="shared" si="116"/>
        <v>2199/12/31</v>
      </c>
      <c r="N770" t="str">
        <f t="shared" si="117"/>
        <v>11WP01008339</v>
      </c>
      <c r="O770">
        <v>15</v>
      </c>
      <c r="Q770" t="str" cm="1">
        <f t="array" ref="Q770">_xlfn.IFS(AND(C770="",G770=""),"",LEFT(G770,1)="L","記載要",LEFT(G770,1)="W","",AND(C770,G770=""),"記載要")</f>
        <v/>
      </c>
      <c r="R770" s="21" t="str">
        <f t="shared" si="122"/>
        <v/>
      </c>
      <c r="S770" s="21"/>
      <c r="Z770" s="8"/>
      <c r="AA770">
        <v>1</v>
      </c>
      <c r="AB770">
        <f t="shared" si="118"/>
        <v>0</v>
      </c>
      <c r="AC770">
        <v>1</v>
      </c>
      <c r="AF770">
        <v>1</v>
      </c>
      <c r="AG770" s="8"/>
      <c r="AH770" s="8"/>
      <c r="AK770" cm="1">
        <f t="array" ref="AK770">_xlfn.IFS(B770="","",LEFT(G770,1)="L",1,LEFT(G770,1)="W",1,AND(LEFT(B770,1)="H",G770=""),0)</f>
        <v>1</v>
      </c>
      <c r="AS770" t="str">
        <f t="shared" si="119"/>
        <v/>
      </c>
      <c r="AT770" t="s">
        <v>115</v>
      </c>
      <c r="AU770" t="str">
        <f t="shared" si="120"/>
        <v>0</v>
      </c>
      <c r="BD770" t="str">
        <f t="shared" si="121"/>
        <v>0</v>
      </c>
      <c r="BK770" t="str">
        <f>IFERROR(VLOOKUP(B770,'[1]model_S-フレーム'!$F$5:$R$7000,13,1),"")</f>
        <v>E389458_01</v>
      </c>
      <c r="BL770" s="7">
        <f>IFERROR(VLOOKUP(B770,'[1]model_S-フレーム'!$F$5:$V$7000,17,1),"")</f>
        <v>0</v>
      </c>
      <c r="BM770" t="str" cm="1">
        <f t="array" ref="BM770">_xlfn.IFS(LEFT(G770,1)="L","外注品",LEFT(G770,1)="W","内製品",G770="","購買品")</f>
        <v>内製品</v>
      </c>
    </row>
    <row r="771" spans="1:65">
      <c r="A771" t="str">
        <f t="shared" ref="A771:A834" si="123">IF(B771="","","WG01")</f>
        <v>WG01</v>
      </c>
      <c r="B771" t="s">
        <v>930</v>
      </c>
      <c r="C771" t="s">
        <v>1510</v>
      </c>
      <c r="D771" s="7"/>
      <c r="E771" s="7"/>
      <c r="G771" t="s">
        <v>1939</v>
      </c>
      <c r="H771" t="str" cm="1">
        <f t="array" ref="H771">IFERROR(_xlfn.IFS(B771="","",AND(B771="",G771=""),"",G771="","記載要"),"")</f>
        <v/>
      </c>
      <c r="K771" t="str">
        <f t="shared" ref="K771:K834" si="124">IF(G771="","","11"&amp;G771&amp;RIGHT(B771,5))</f>
        <v>11WP01008340</v>
      </c>
      <c r="L771" s="3" t="str">
        <f t="shared" ref="L771:L834" si="125">IF(B771="","","2001/01/01")</f>
        <v>2001/01/01</v>
      </c>
      <c r="M771" s="3" t="str">
        <f t="shared" ref="M771:M834" si="126">IF(C771="","","2199/12/31")</f>
        <v>2199/12/31</v>
      </c>
      <c r="N771" t="str">
        <f t="shared" ref="N771:N834" si="127">IF(LEFT(G771,1)="W",K771,"")</f>
        <v>11WP01008340</v>
      </c>
      <c r="O771">
        <v>15</v>
      </c>
      <c r="Q771" t="str" cm="1">
        <f t="array" ref="Q771">_xlfn.IFS(AND(C771="",G771=""),"",LEFT(G771,1)="L","記載要",LEFT(G771,1)="W","",AND(C771,G771=""),"記載要")</f>
        <v/>
      </c>
      <c r="R771" s="21" t="str">
        <f t="shared" si="122"/>
        <v/>
      </c>
      <c r="S771" s="21"/>
      <c r="Z771" s="8"/>
      <c r="AA771">
        <v>1</v>
      </c>
      <c r="AB771">
        <f t="shared" ref="AB771:AB834" si="128">IF(B771="","",0)</f>
        <v>0</v>
      </c>
      <c r="AC771">
        <v>1</v>
      </c>
      <c r="AF771">
        <v>1</v>
      </c>
      <c r="AG771" s="8"/>
      <c r="AH771" s="8"/>
      <c r="AK771" cm="1">
        <f t="array" ref="AK771">_xlfn.IFS(B771="","",LEFT(G771,1)="L",1,LEFT(G771,1)="W",1,AND(LEFT(B771,1)="H",G771=""),0)</f>
        <v>1</v>
      </c>
      <c r="AS771" t="str">
        <f t="shared" ref="AS771:AS834" si="129">IF(Q771="","",1)</f>
        <v/>
      </c>
      <c r="AT771" t="s">
        <v>115</v>
      </c>
      <c r="AU771" t="str">
        <f t="shared" ref="AU771:AU834" si="130">IF(B771="","","0")</f>
        <v>0</v>
      </c>
      <c r="BD771" t="str">
        <f t="shared" ref="BD771:BD834" si="131">IF(B771="","","0")</f>
        <v>0</v>
      </c>
      <c r="BK771" t="str">
        <f>IFERROR(VLOOKUP(B771,'[1]model_S-フレーム'!$F$5:$R$7000,13,1),"")</f>
        <v>E389458_01</v>
      </c>
      <c r="BL771" s="7">
        <f>IFERROR(VLOOKUP(B771,'[1]model_S-フレーム'!$F$5:$V$7000,17,1),"")</f>
        <v>0</v>
      </c>
      <c r="BM771" t="str" cm="1">
        <f t="array" ref="BM771">_xlfn.IFS(LEFT(G771,1)="L","外注品",LEFT(G771,1)="W","内製品",G771="","購買品")</f>
        <v>内製品</v>
      </c>
    </row>
    <row r="772" spans="1:65">
      <c r="A772" t="str">
        <f t="shared" si="123"/>
        <v>WG01</v>
      </c>
      <c r="B772" t="s">
        <v>931</v>
      </c>
      <c r="C772" t="s">
        <v>1510</v>
      </c>
      <c r="D772" s="7"/>
      <c r="E772" s="7"/>
      <c r="G772" t="s">
        <v>1939</v>
      </c>
      <c r="H772" t="str" cm="1">
        <f t="array" ref="H772">IFERROR(_xlfn.IFS(B772="","",AND(B772="",G772=""),"",G772="","記載要"),"")</f>
        <v/>
      </c>
      <c r="K772" t="str">
        <f t="shared" si="124"/>
        <v>11WP01008341</v>
      </c>
      <c r="L772" s="3" t="str">
        <f t="shared" si="125"/>
        <v>2001/01/01</v>
      </c>
      <c r="M772" s="3" t="str">
        <f t="shared" si="126"/>
        <v>2199/12/31</v>
      </c>
      <c r="N772" t="str">
        <f t="shared" si="127"/>
        <v>11WP01008341</v>
      </c>
      <c r="O772">
        <v>15</v>
      </c>
      <c r="Q772" t="str" cm="1">
        <f t="array" ref="Q772">_xlfn.IFS(AND(C772="",G772=""),"",LEFT(G772,1)="L","記載要",LEFT(G772,1)="W","",AND(C772,G772=""),"記載要")</f>
        <v/>
      </c>
      <c r="R772" s="21" t="str">
        <f t="shared" ref="R772:R833" si="132">IF(H772="","","記載要")</f>
        <v/>
      </c>
      <c r="S772" s="21"/>
      <c r="Z772" s="8"/>
      <c r="AA772">
        <v>1</v>
      </c>
      <c r="AB772">
        <f t="shared" si="128"/>
        <v>0</v>
      </c>
      <c r="AC772">
        <v>1</v>
      </c>
      <c r="AF772">
        <v>1</v>
      </c>
      <c r="AG772" s="8"/>
      <c r="AH772" s="8"/>
      <c r="AK772" cm="1">
        <f t="array" ref="AK772">_xlfn.IFS(B772="","",LEFT(G772,1)="L",1,LEFT(G772,1)="W",1,AND(LEFT(B772,1)="H",G772=""),0)</f>
        <v>1</v>
      </c>
      <c r="AS772" t="str">
        <f t="shared" si="129"/>
        <v/>
      </c>
      <c r="AT772" t="s">
        <v>115</v>
      </c>
      <c r="AU772" t="str">
        <f t="shared" si="130"/>
        <v>0</v>
      </c>
      <c r="BD772" t="str">
        <f t="shared" si="131"/>
        <v>0</v>
      </c>
      <c r="BK772" t="str">
        <f>IFERROR(VLOOKUP(B772,'[1]model_S-フレーム'!$F$5:$R$7000,13,1),"")</f>
        <v>E389458_01</v>
      </c>
      <c r="BL772" s="7">
        <f>IFERROR(VLOOKUP(B772,'[1]model_S-フレーム'!$F$5:$V$7000,17,1),"")</f>
        <v>0</v>
      </c>
      <c r="BM772" t="str" cm="1">
        <f t="array" ref="BM772">_xlfn.IFS(LEFT(G772,1)="L","外注品",LEFT(G772,1)="W","内製品",G772="","購買品")</f>
        <v>内製品</v>
      </c>
    </row>
    <row r="773" spans="1:65">
      <c r="A773" t="str">
        <f t="shared" si="123"/>
        <v>WG01</v>
      </c>
      <c r="B773" t="s">
        <v>932</v>
      </c>
      <c r="C773" t="s">
        <v>1510</v>
      </c>
      <c r="D773" s="7"/>
      <c r="E773" s="7"/>
      <c r="G773" t="s">
        <v>1939</v>
      </c>
      <c r="H773" t="str" cm="1">
        <f t="array" ref="H773">IFERROR(_xlfn.IFS(B773="","",AND(B773="",G773=""),"",G773="","記載要"),"")</f>
        <v/>
      </c>
      <c r="K773" t="str">
        <f t="shared" si="124"/>
        <v>11WP01008342</v>
      </c>
      <c r="L773" s="3" t="str">
        <f t="shared" si="125"/>
        <v>2001/01/01</v>
      </c>
      <c r="M773" s="3" t="str">
        <f t="shared" si="126"/>
        <v>2199/12/31</v>
      </c>
      <c r="N773" t="str">
        <f t="shared" si="127"/>
        <v>11WP01008342</v>
      </c>
      <c r="O773">
        <v>15</v>
      </c>
      <c r="Q773" t="str" cm="1">
        <f t="array" ref="Q773">_xlfn.IFS(AND(C773="",G773=""),"",LEFT(G773,1)="L","記載要",LEFT(G773,1)="W","",AND(C773,G773=""),"記載要")</f>
        <v/>
      </c>
      <c r="R773" s="21" t="str">
        <f t="shared" si="132"/>
        <v/>
      </c>
      <c r="S773" s="21"/>
      <c r="Z773" s="8"/>
      <c r="AA773">
        <v>1</v>
      </c>
      <c r="AB773">
        <f t="shared" si="128"/>
        <v>0</v>
      </c>
      <c r="AC773">
        <v>1</v>
      </c>
      <c r="AF773">
        <v>1</v>
      </c>
      <c r="AG773" s="8"/>
      <c r="AH773" s="8"/>
      <c r="AK773" cm="1">
        <f t="array" ref="AK773">_xlfn.IFS(B773="","",LEFT(G773,1)="L",1,LEFT(G773,1)="W",1,AND(LEFT(B773,1)="H",G773=""),0)</f>
        <v>1</v>
      </c>
      <c r="AS773" t="str">
        <f t="shared" si="129"/>
        <v/>
      </c>
      <c r="AT773" t="s">
        <v>115</v>
      </c>
      <c r="AU773" t="str">
        <f t="shared" si="130"/>
        <v>0</v>
      </c>
      <c r="BD773" t="str">
        <f t="shared" si="131"/>
        <v>0</v>
      </c>
      <c r="BK773" t="str">
        <f>IFERROR(VLOOKUP(B773,'[1]model_S-フレーム'!$F$5:$R$7000,13,1),"")</f>
        <v>E389458_01</v>
      </c>
      <c r="BL773" s="7">
        <f>IFERROR(VLOOKUP(B773,'[1]model_S-フレーム'!$F$5:$V$7000,17,1),"")</f>
        <v>0</v>
      </c>
      <c r="BM773" t="str" cm="1">
        <f t="array" ref="BM773">_xlfn.IFS(LEFT(G773,1)="L","外注品",LEFT(G773,1)="W","内製品",G773="","購買品")</f>
        <v>内製品</v>
      </c>
    </row>
    <row r="774" spans="1:65">
      <c r="A774" t="str">
        <f t="shared" si="123"/>
        <v>WG01</v>
      </c>
      <c r="B774" t="s">
        <v>933</v>
      </c>
      <c r="C774" t="s">
        <v>1510</v>
      </c>
      <c r="D774" s="7"/>
      <c r="E774" s="7"/>
      <c r="G774" t="s">
        <v>1939</v>
      </c>
      <c r="H774" t="str" cm="1">
        <f t="array" ref="H774">IFERROR(_xlfn.IFS(B774="","",AND(B774="",G774=""),"",G774="","記載要"),"")</f>
        <v/>
      </c>
      <c r="K774" t="str">
        <f t="shared" si="124"/>
        <v>11WP01008343</v>
      </c>
      <c r="L774" s="3" t="str">
        <f t="shared" si="125"/>
        <v>2001/01/01</v>
      </c>
      <c r="M774" s="3" t="str">
        <f t="shared" si="126"/>
        <v>2199/12/31</v>
      </c>
      <c r="N774" t="str">
        <f t="shared" si="127"/>
        <v>11WP01008343</v>
      </c>
      <c r="O774">
        <v>15</v>
      </c>
      <c r="Q774" t="str" cm="1">
        <f t="array" ref="Q774">_xlfn.IFS(AND(C774="",G774=""),"",LEFT(G774,1)="L","記載要",LEFT(G774,1)="W","",AND(C774,G774=""),"記載要")</f>
        <v/>
      </c>
      <c r="R774" s="21" t="str">
        <f t="shared" si="132"/>
        <v/>
      </c>
      <c r="S774" s="21"/>
      <c r="Z774" s="8"/>
      <c r="AA774">
        <v>1</v>
      </c>
      <c r="AB774">
        <f t="shared" si="128"/>
        <v>0</v>
      </c>
      <c r="AC774">
        <v>1</v>
      </c>
      <c r="AF774">
        <v>1</v>
      </c>
      <c r="AG774" s="8"/>
      <c r="AH774" s="8"/>
      <c r="AK774" cm="1">
        <f t="array" ref="AK774">_xlfn.IFS(B774="","",LEFT(G774,1)="L",1,LEFT(G774,1)="W",1,AND(LEFT(B774,1)="H",G774=""),0)</f>
        <v>1</v>
      </c>
      <c r="AS774" t="str">
        <f t="shared" si="129"/>
        <v/>
      </c>
      <c r="AT774" t="s">
        <v>115</v>
      </c>
      <c r="AU774" t="str">
        <f t="shared" si="130"/>
        <v>0</v>
      </c>
      <c r="BD774" t="str">
        <f t="shared" si="131"/>
        <v>0</v>
      </c>
      <c r="BK774" t="str">
        <f>IFERROR(VLOOKUP(B774,'[1]model_S-フレーム'!$F$5:$R$7000,13,1),"")</f>
        <v>E389458_01</v>
      </c>
      <c r="BL774" s="7">
        <f>IFERROR(VLOOKUP(B774,'[1]model_S-フレーム'!$F$5:$V$7000,17,1),"")</f>
        <v>0</v>
      </c>
      <c r="BM774" t="str" cm="1">
        <f t="array" ref="BM774">_xlfn.IFS(LEFT(G774,1)="L","外注品",LEFT(G774,1)="W","内製品",G774="","購買品")</f>
        <v>内製品</v>
      </c>
    </row>
    <row r="775" spans="1:65">
      <c r="A775" t="str">
        <f t="shared" si="123"/>
        <v>WG01</v>
      </c>
      <c r="B775" t="s">
        <v>934</v>
      </c>
      <c r="C775" t="s">
        <v>1510</v>
      </c>
      <c r="D775" s="7"/>
      <c r="E775" s="7"/>
      <c r="G775" t="s">
        <v>1939</v>
      </c>
      <c r="H775" t="str" cm="1">
        <f t="array" ref="H775">IFERROR(_xlfn.IFS(B775="","",AND(B775="",G775=""),"",G775="","記載要"),"")</f>
        <v/>
      </c>
      <c r="K775" t="str">
        <f t="shared" si="124"/>
        <v>11WP01008344</v>
      </c>
      <c r="L775" s="3" t="str">
        <f t="shared" si="125"/>
        <v>2001/01/01</v>
      </c>
      <c r="M775" s="3" t="str">
        <f t="shared" si="126"/>
        <v>2199/12/31</v>
      </c>
      <c r="N775" t="str">
        <f t="shared" si="127"/>
        <v>11WP01008344</v>
      </c>
      <c r="O775">
        <v>15</v>
      </c>
      <c r="Q775" t="str" cm="1">
        <f t="array" ref="Q775">_xlfn.IFS(AND(C775="",G775=""),"",LEFT(G775,1)="L","記載要",LEFT(G775,1)="W","",AND(C775,G775=""),"記載要")</f>
        <v/>
      </c>
      <c r="R775" s="21" t="str">
        <f t="shared" si="132"/>
        <v/>
      </c>
      <c r="S775" s="21"/>
      <c r="Z775" s="8"/>
      <c r="AA775">
        <v>1</v>
      </c>
      <c r="AB775">
        <f t="shared" si="128"/>
        <v>0</v>
      </c>
      <c r="AC775">
        <v>1</v>
      </c>
      <c r="AF775">
        <v>1</v>
      </c>
      <c r="AG775" s="8"/>
      <c r="AH775" s="8"/>
      <c r="AK775" cm="1">
        <f t="array" ref="AK775">_xlfn.IFS(B775="","",LEFT(G775,1)="L",1,LEFT(G775,1)="W",1,AND(LEFT(B775,1)="H",G775=""),0)</f>
        <v>1</v>
      </c>
      <c r="AS775" t="str">
        <f t="shared" si="129"/>
        <v/>
      </c>
      <c r="AT775" t="s">
        <v>115</v>
      </c>
      <c r="AU775" t="str">
        <f t="shared" si="130"/>
        <v>0</v>
      </c>
      <c r="BD775" t="str">
        <f t="shared" si="131"/>
        <v>0</v>
      </c>
      <c r="BK775" t="str">
        <f>IFERROR(VLOOKUP(B775,'[1]model_S-フレーム'!$F$5:$R$7000,13,1),"")</f>
        <v>E389458_01</v>
      </c>
      <c r="BL775" s="7">
        <f>IFERROR(VLOOKUP(B775,'[1]model_S-フレーム'!$F$5:$V$7000,17,1),"")</f>
        <v>0</v>
      </c>
      <c r="BM775" t="str" cm="1">
        <f t="array" ref="BM775">_xlfn.IFS(LEFT(G775,1)="L","外注品",LEFT(G775,1)="W","内製品",G775="","購買品")</f>
        <v>内製品</v>
      </c>
    </row>
    <row r="776" spans="1:65">
      <c r="A776" t="str">
        <f t="shared" si="123"/>
        <v>WG01</v>
      </c>
      <c r="B776" t="s">
        <v>935</v>
      </c>
      <c r="C776" t="s">
        <v>1510</v>
      </c>
      <c r="D776" s="7"/>
      <c r="E776" s="7"/>
      <c r="G776" t="s">
        <v>1939</v>
      </c>
      <c r="H776" t="str" cm="1">
        <f t="array" ref="H776">IFERROR(_xlfn.IFS(B776="","",AND(B776="",G776=""),"",G776="","記載要"),"")</f>
        <v/>
      </c>
      <c r="K776" t="str">
        <f t="shared" si="124"/>
        <v>11WP01008345</v>
      </c>
      <c r="L776" s="3" t="str">
        <f t="shared" si="125"/>
        <v>2001/01/01</v>
      </c>
      <c r="M776" s="3" t="str">
        <f t="shared" si="126"/>
        <v>2199/12/31</v>
      </c>
      <c r="N776" t="str">
        <f t="shared" si="127"/>
        <v>11WP01008345</v>
      </c>
      <c r="O776">
        <v>15</v>
      </c>
      <c r="Q776" t="str" cm="1">
        <f t="array" ref="Q776">_xlfn.IFS(AND(C776="",G776=""),"",LEFT(G776,1)="L","記載要",LEFT(G776,1)="W","",AND(C776,G776=""),"記載要")</f>
        <v/>
      </c>
      <c r="R776" s="21" t="str">
        <f t="shared" si="132"/>
        <v/>
      </c>
      <c r="S776" s="21"/>
      <c r="Z776" s="8"/>
      <c r="AA776">
        <v>1</v>
      </c>
      <c r="AB776">
        <f t="shared" si="128"/>
        <v>0</v>
      </c>
      <c r="AC776">
        <v>1</v>
      </c>
      <c r="AF776">
        <v>1</v>
      </c>
      <c r="AG776" s="8"/>
      <c r="AH776" s="8"/>
      <c r="AK776" cm="1">
        <f t="array" ref="AK776">_xlfn.IFS(B776="","",LEFT(G776,1)="L",1,LEFT(G776,1)="W",1,AND(LEFT(B776,1)="H",G776=""),0)</f>
        <v>1</v>
      </c>
      <c r="AS776" t="str">
        <f t="shared" si="129"/>
        <v/>
      </c>
      <c r="AT776" t="s">
        <v>115</v>
      </c>
      <c r="AU776" t="str">
        <f t="shared" si="130"/>
        <v>0</v>
      </c>
      <c r="BD776" t="str">
        <f t="shared" si="131"/>
        <v>0</v>
      </c>
      <c r="BK776" t="str">
        <f>IFERROR(VLOOKUP(B776,'[1]model_S-フレーム'!$F$5:$R$7000,13,1),"")</f>
        <v>E389458_01</v>
      </c>
      <c r="BL776" s="7">
        <f>IFERROR(VLOOKUP(B776,'[1]model_S-フレーム'!$F$5:$V$7000,17,1),"")</f>
        <v>0</v>
      </c>
      <c r="BM776" t="str" cm="1">
        <f t="array" ref="BM776">_xlfn.IFS(LEFT(G776,1)="L","外注品",LEFT(G776,1)="W","内製品",G776="","購買品")</f>
        <v>内製品</v>
      </c>
    </row>
    <row r="777" spans="1:65">
      <c r="A777" t="str">
        <f t="shared" si="123"/>
        <v>WG01</v>
      </c>
      <c r="B777" t="s">
        <v>936</v>
      </c>
      <c r="C777" t="s">
        <v>1510</v>
      </c>
      <c r="D777" s="7"/>
      <c r="E777" s="7"/>
      <c r="G777" t="s">
        <v>1939</v>
      </c>
      <c r="H777" t="str" cm="1">
        <f t="array" ref="H777">IFERROR(_xlfn.IFS(B777="","",AND(B777="",G777=""),"",G777="","記載要"),"")</f>
        <v/>
      </c>
      <c r="K777" t="str">
        <f t="shared" si="124"/>
        <v>11WP01008346</v>
      </c>
      <c r="L777" s="3" t="str">
        <f t="shared" si="125"/>
        <v>2001/01/01</v>
      </c>
      <c r="M777" s="3" t="str">
        <f t="shared" si="126"/>
        <v>2199/12/31</v>
      </c>
      <c r="N777" t="str">
        <f t="shared" si="127"/>
        <v>11WP01008346</v>
      </c>
      <c r="O777">
        <v>15</v>
      </c>
      <c r="Q777" t="str" cm="1">
        <f t="array" ref="Q777">_xlfn.IFS(AND(C777="",G777=""),"",LEFT(G777,1)="L","記載要",LEFT(G777,1)="W","",AND(C777,G777=""),"記載要")</f>
        <v/>
      </c>
      <c r="R777" s="21" t="str">
        <f t="shared" si="132"/>
        <v/>
      </c>
      <c r="S777" s="21"/>
      <c r="Z777" s="8"/>
      <c r="AA777">
        <v>1</v>
      </c>
      <c r="AB777">
        <f t="shared" si="128"/>
        <v>0</v>
      </c>
      <c r="AC777">
        <v>1</v>
      </c>
      <c r="AF777">
        <v>1</v>
      </c>
      <c r="AG777" s="8"/>
      <c r="AH777" s="8"/>
      <c r="AK777" cm="1">
        <f t="array" ref="AK777">_xlfn.IFS(B777="","",LEFT(G777,1)="L",1,LEFT(G777,1)="W",1,AND(LEFT(B777,1)="H",G777=""),0)</f>
        <v>1</v>
      </c>
      <c r="AS777" t="str">
        <f t="shared" si="129"/>
        <v/>
      </c>
      <c r="AT777" t="s">
        <v>115</v>
      </c>
      <c r="AU777" t="str">
        <f t="shared" si="130"/>
        <v>0</v>
      </c>
      <c r="BD777" t="str">
        <f t="shared" si="131"/>
        <v>0</v>
      </c>
      <c r="BK777" t="str">
        <f>IFERROR(VLOOKUP(B777,'[1]model_S-フレーム'!$F$5:$R$7000,13,1),"")</f>
        <v>E389458_01</v>
      </c>
      <c r="BL777" s="7">
        <f>IFERROR(VLOOKUP(B777,'[1]model_S-フレーム'!$F$5:$V$7000,17,1),"")</f>
        <v>0</v>
      </c>
      <c r="BM777" t="str" cm="1">
        <f t="array" ref="BM777">_xlfn.IFS(LEFT(G777,1)="L","外注品",LEFT(G777,1)="W","内製品",G777="","購買品")</f>
        <v>内製品</v>
      </c>
    </row>
    <row r="778" spans="1:65">
      <c r="A778" t="str">
        <f t="shared" si="123"/>
        <v>WG01</v>
      </c>
      <c r="B778" t="s">
        <v>937</v>
      </c>
      <c r="C778" t="s">
        <v>1510</v>
      </c>
      <c r="D778" s="7"/>
      <c r="E778" s="7"/>
      <c r="G778" t="s">
        <v>1939</v>
      </c>
      <c r="H778" t="str" cm="1">
        <f t="array" ref="H778">IFERROR(_xlfn.IFS(B778="","",AND(B778="",G778=""),"",G778="","記載要"),"")</f>
        <v/>
      </c>
      <c r="K778" t="str">
        <f t="shared" si="124"/>
        <v>11WP01008347</v>
      </c>
      <c r="L778" s="3" t="str">
        <f t="shared" si="125"/>
        <v>2001/01/01</v>
      </c>
      <c r="M778" s="3" t="str">
        <f t="shared" si="126"/>
        <v>2199/12/31</v>
      </c>
      <c r="N778" t="str">
        <f t="shared" si="127"/>
        <v>11WP01008347</v>
      </c>
      <c r="O778">
        <v>15</v>
      </c>
      <c r="Q778" t="str" cm="1">
        <f t="array" ref="Q778">_xlfn.IFS(AND(C778="",G778=""),"",LEFT(G778,1)="L","記載要",LEFT(G778,1)="W","",AND(C778,G778=""),"記載要")</f>
        <v/>
      </c>
      <c r="R778" s="21" t="str">
        <f t="shared" si="132"/>
        <v/>
      </c>
      <c r="S778" s="21"/>
      <c r="Z778" s="8"/>
      <c r="AA778">
        <v>1</v>
      </c>
      <c r="AB778">
        <f t="shared" si="128"/>
        <v>0</v>
      </c>
      <c r="AC778">
        <v>1</v>
      </c>
      <c r="AF778">
        <v>1</v>
      </c>
      <c r="AG778" s="8"/>
      <c r="AH778" s="8"/>
      <c r="AK778" cm="1">
        <f t="array" ref="AK778">_xlfn.IFS(B778="","",LEFT(G778,1)="L",1,LEFT(G778,1)="W",1,AND(LEFT(B778,1)="H",G778=""),0)</f>
        <v>1</v>
      </c>
      <c r="AS778" t="str">
        <f t="shared" si="129"/>
        <v/>
      </c>
      <c r="AT778" t="s">
        <v>115</v>
      </c>
      <c r="AU778" t="str">
        <f t="shared" si="130"/>
        <v>0</v>
      </c>
      <c r="BD778" t="str">
        <f t="shared" si="131"/>
        <v>0</v>
      </c>
      <c r="BK778" t="str">
        <f>IFERROR(VLOOKUP(B778,'[1]model_S-フレーム'!$F$5:$R$7000,13,1),"")</f>
        <v>E389458_01</v>
      </c>
      <c r="BL778" s="7">
        <f>IFERROR(VLOOKUP(B778,'[1]model_S-フレーム'!$F$5:$V$7000,17,1),"")</f>
        <v>0</v>
      </c>
      <c r="BM778" t="str" cm="1">
        <f t="array" ref="BM778">_xlfn.IFS(LEFT(G778,1)="L","外注品",LEFT(G778,1)="W","内製品",G778="","購買品")</f>
        <v>内製品</v>
      </c>
    </row>
    <row r="779" spans="1:65">
      <c r="A779" t="str">
        <f t="shared" si="123"/>
        <v>WG01</v>
      </c>
      <c r="B779" t="s">
        <v>938</v>
      </c>
      <c r="C779" t="s">
        <v>1510</v>
      </c>
      <c r="D779" s="7"/>
      <c r="E779" s="7"/>
      <c r="G779" t="s">
        <v>1939</v>
      </c>
      <c r="H779" t="str" cm="1">
        <f t="array" ref="H779">IFERROR(_xlfn.IFS(B779="","",AND(B779="",G779=""),"",G779="","記載要"),"")</f>
        <v/>
      </c>
      <c r="K779" t="str">
        <f t="shared" si="124"/>
        <v>11WP01008348</v>
      </c>
      <c r="L779" s="3" t="str">
        <f t="shared" si="125"/>
        <v>2001/01/01</v>
      </c>
      <c r="M779" s="3" t="str">
        <f t="shared" si="126"/>
        <v>2199/12/31</v>
      </c>
      <c r="N779" t="str">
        <f t="shared" si="127"/>
        <v>11WP01008348</v>
      </c>
      <c r="O779">
        <v>15</v>
      </c>
      <c r="Q779" t="str" cm="1">
        <f t="array" ref="Q779">_xlfn.IFS(AND(C779="",G779=""),"",LEFT(G779,1)="L","記載要",LEFT(G779,1)="W","",AND(C779,G779=""),"記載要")</f>
        <v/>
      </c>
      <c r="R779" s="21" t="str">
        <f t="shared" si="132"/>
        <v/>
      </c>
      <c r="S779" s="21"/>
      <c r="Z779" s="8"/>
      <c r="AA779">
        <v>1</v>
      </c>
      <c r="AB779">
        <f t="shared" si="128"/>
        <v>0</v>
      </c>
      <c r="AC779">
        <v>1</v>
      </c>
      <c r="AF779">
        <v>1</v>
      </c>
      <c r="AG779" s="8"/>
      <c r="AH779" s="8"/>
      <c r="AK779" cm="1">
        <f t="array" ref="AK779">_xlfn.IFS(B779="","",LEFT(G779,1)="L",1,LEFT(G779,1)="W",1,AND(LEFT(B779,1)="H",G779=""),0)</f>
        <v>1</v>
      </c>
      <c r="AS779" t="str">
        <f t="shared" si="129"/>
        <v/>
      </c>
      <c r="AT779" t="s">
        <v>115</v>
      </c>
      <c r="AU779" t="str">
        <f t="shared" si="130"/>
        <v>0</v>
      </c>
      <c r="BD779" t="str">
        <f t="shared" si="131"/>
        <v>0</v>
      </c>
      <c r="BK779" t="str">
        <f>IFERROR(VLOOKUP(B779,'[1]model_S-フレーム'!$F$5:$R$7000,13,1),"")</f>
        <v>E389458_01</v>
      </c>
      <c r="BL779" s="7">
        <f>IFERROR(VLOOKUP(B779,'[1]model_S-フレーム'!$F$5:$V$7000,17,1),"")</f>
        <v>0</v>
      </c>
      <c r="BM779" t="str" cm="1">
        <f t="array" ref="BM779">_xlfn.IFS(LEFT(G779,1)="L","外注品",LEFT(G779,1)="W","内製品",G779="","購買品")</f>
        <v>内製品</v>
      </c>
    </row>
    <row r="780" spans="1:65">
      <c r="A780" t="str">
        <f t="shared" si="123"/>
        <v>WG01</v>
      </c>
      <c r="B780" t="s">
        <v>939</v>
      </c>
      <c r="C780" t="s">
        <v>1510</v>
      </c>
      <c r="D780" s="7"/>
      <c r="E780" s="7"/>
      <c r="G780" t="s">
        <v>1939</v>
      </c>
      <c r="H780" t="str" cm="1">
        <f t="array" ref="H780">IFERROR(_xlfn.IFS(B780="","",AND(B780="",G780=""),"",G780="","記載要"),"")</f>
        <v/>
      </c>
      <c r="K780" t="str">
        <f t="shared" si="124"/>
        <v>11WP01008349</v>
      </c>
      <c r="L780" s="3" t="str">
        <f t="shared" si="125"/>
        <v>2001/01/01</v>
      </c>
      <c r="M780" s="3" t="str">
        <f t="shared" si="126"/>
        <v>2199/12/31</v>
      </c>
      <c r="N780" t="str">
        <f t="shared" si="127"/>
        <v>11WP01008349</v>
      </c>
      <c r="O780">
        <v>15</v>
      </c>
      <c r="Q780" t="str" cm="1">
        <f t="array" ref="Q780">_xlfn.IFS(AND(C780="",G780=""),"",LEFT(G780,1)="L","記載要",LEFT(G780,1)="W","",AND(C780,G780=""),"記載要")</f>
        <v/>
      </c>
      <c r="R780" s="21" t="str">
        <f t="shared" si="132"/>
        <v/>
      </c>
      <c r="S780" s="21"/>
      <c r="Z780" s="8"/>
      <c r="AA780">
        <v>1</v>
      </c>
      <c r="AB780">
        <f t="shared" si="128"/>
        <v>0</v>
      </c>
      <c r="AC780">
        <v>1</v>
      </c>
      <c r="AF780">
        <v>1</v>
      </c>
      <c r="AG780" s="8"/>
      <c r="AH780" s="8"/>
      <c r="AK780" cm="1">
        <f t="array" ref="AK780">_xlfn.IFS(B780="","",LEFT(G780,1)="L",1,LEFT(G780,1)="W",1,AND(LEFT(B780,1)="H",G780=""),0)</f>
        <v>1</v>
      </c>
      <c r="AS780" t="str">
        <f t="shared" si="129"/>
        <v/>
      </c>
      <c r="AT780" t="s">
        <v>115</v>
      </c>
      <c r="AU780" t="str">
        <f t="shared" si="130"/>
        <v>0</v>
      </c>
      <c r="BD780" t="str">
        <f t="shared" si="131"/>
        <v>0</v>
      </c>
      <c r="BK780" t="str">
        <f>IFERROR(VLOOKUP(B780,'[1]model_S-フレーム'!$F$5:$R$7000,13,1),"")</f>
        <v>E389458_01</v>
      </c>
      <c r="BL780" s="7">
        <f>IFERROR(VLOOKUP(B780,'[1]model_S-フレーム'!$F$5:$V$7000,17,1),"")</f>
        <v>0</v>
      </c>
      <c r="BM780" t="str" cm="1">
        <f t="array" ref="BM780">_xlfn.IFS(LEFT(G780,1)="L","外注品",LEFT(G780,1)="W","内製品",G780="","購買品")</f>
        <v>内製品</v>
      </c>
    </row>
    <row r="781" spans="1:65">
      <c r="A781" t="str">
        <f t="shared" si="123"/>
        <v>WG01</v>
      </c>
      <c r="B781" t="s">
        <v>940</v>
      </c>
      <c r="C781" t="s">
        <v>1510</v>
      </c>
      <c r="D781" s="7"/>
      <c r="E781" s="7"/>
      <c r="G781" t="s">
        <v>1939</v>
      </c>
      <c r="H781" t="str" cm="1">
        <f t="array" ref="H781">IFERROR(_xlfn.IFS(B781="","",AND(B781="",G781=""),"",G781="","記載要"),"")</f>
        <v/>
      </c>
      <c r="K781" t="str">
        <f t="shared" si="124"/>
        <v>11WP01008350</v>
      </c>
      <c r="L781" s="3" t="str">
        <f t="shared" si="125"/>
        <v>2001/01/01</v>
      </c>
      <c r="M781" s="3" t="str">
        <f t="shared" si="126"/>
        <v>2199/12/31</v>
      </c>
      <c r="N781" t="str">
        <f t="shared" si="127"/>
        <v>11WP01008350</v>
      </c>
      <c r="O781">
        <v>15</v>
      </c>
      <c r="Q781" t="str" cm="1">
        <f t="array" ref="Q781">_xlfn.IFS(AND(C781="",G781=""),"",LEFT(G781,1)="L","記載要",LEFT(G781,1)="W","",AND(C781,G781=""),"記載要")</f>
        <v/>
      </c>
      <c r="R781" s="21" t="str">
        <f t="shared" si="132"/>
        <v/>
      </c>
      <c r="S781" s="21"/>
      <c r="Z781" s="8"/>
      <c r="AA781">
        <v>1</v>
      </c>
      <c r="AB781">
        <f t="shared" si="128"/>
        <v>0</v>
      </c>
      <c r="AC781">
        <v>1</v>
      </c>
      <c r="AF781">
        <v>1</v>
      </c>
      <c r="AG781" s="8"/>
      <c r="AH781" s="8"/>
      <c r="AK781" cm="1">
        <f t="array" ref="AK781">_xlfn.IFS(B781="","",LEFT(G781,1)="L",1,LEFT(G781,1)="W",1,AND(LEFT(B781,1)="H",G781=""),0)</f>
        <v>1</v>
      </c>
      <c r="AS781" t="str">
        <f t="shared" si="129"/>
        <v/>
      </c>
      <c r="AT781" t="s">
        <v>115</v>
      </c>
      <c r="AU781" t="str">
        <f t="shared" si="130"/>
        <v>0</v>
      </c>
      <c r="BD781" t="str">
        <f t="shared" si="131"/>
        <v>0</v>
      </c>
      <c r="BK781" t="str">
        <f>IFERROR(VLOOKUP(B781,'[1]model_S-フレーム'!$F$5:$R$7000,13,1),"")</f>
        <v>E389458_01</v>
      </c>
      <c r="BL781" s="7">
        <f>IFERROR(VLOOKUP(B781,'[1]model_S-フレーム'!$F$5:$V$7000,17,1),"")</f>
        <v>0</v>
      </c>
      <c r="BM781" t="str" cm="1">
        <f t="array" ref="BM781">_xlfn.IFS(LEFT(G781,1)="L","外注品",LEFT(G781,1)="W","内製品",G781="","購買品")</f>
        <v>内製品</v>
      </c>
    </row>
    <row r="782" spans="1:65">
      <c r="A782" t="str">
        <f t="shared" si="123"/>
        <v>WG01</v>
      </c>
      <c r="B782" t="s">
        <v>941</v>
      </c>
      <c r="C782" t="s">
        <v>1510</v>
      </c>
      <c r="D782" s="7"/>
      <c r="E782" s="7"/>
      <c r="G782" t="s">
        <v>1939</v>
      </c>
      <c r="H782" t="str" cm="1">
        <f t="array" ref="H782">IFERROR(_xlfn.IFS(B782="","",AND(B782="",G782=""),"",G782="","記載要"),"")</f>
        <v/>
      </c>
      <c r="K782" t="str">
        <f t="shared" si="124"/>
        <v>11WP01008351</v>
      </c>
      <c r="L782" s="3" t="str">
        <f t="shared" si="125"/>
        <v>2001/01/01</v>
      </c>
      <c r="M782" s="3" t="str">
        <f t="shared" si="126"/>
        <v>2199/12/31</v>
      </c>
      <c r="N782" t="str">
        <f t="shared" si="127"/>
        <v>11WP01008351</v>
      </c>
      <c r="O782">
        <v>15</v>
      </c>
      <c r="Q782" t="str" cm="1">
        <f t="array" ref="Q782">_xlfn.IFS(AND(C782="",G782=""),"",LEFT(G782,1)="L","記載要",LEFT(G782,1)="W","",AND(C782,G782=""),"記載要")</f>
        <v/>
      </c>
      <c r="R782" s="21" t="str">
        <f t="shared" si="132"/>
        <v/>
      </c>
      <c r="S782" s="21"/>
      <c r="Z782" s="8"/>
      <c r="AA782">
        <v>1</v>
      </c>
      <c r="AB782">
        <f t="shared" si="128"/>
        <v>0</v>
      </c>
      <c r="AC782">
        <v>1</v>
      </c>
      <c r="AF782">
        <v>1</v>
      </c>
      <c r="AG782" s="8"/>
      <c r="AH782" s="8"/>
      <c r="AK782" cm="1">
        <f t="array" ref="AK782">_xlfn.IFS(B782="","",LEFT(G782,1)="L",1,LEFT(G782,1)="W",1,AND(LEFT(B782,1)="H",G782=""),0)</f>
        <v>1</v>
      </c>
      <c r="AS782" t="str">
        <f t="shared" si="129"/>
        <v/>
      </c>
      <c r="AT782" t="s">
        <v>115</v>
      </c>
      <c r="AU782" t="str">
        <f t="shared" si="130"/>
        <v>0</v>
      </c>
      <c r="BD782" t="str">
        <f t="shared" si="131"/>
        <v>0</v>
      </c>
      <c r="BK782" t="str">
        <f>IFERROR(VLOOKUP(B782,'[1]model_S-フレーム'!$F$5:$R$7000,13,1),"")</f>
        <v>E389458_01</v>
      </c>
      <c r="BL782" s="7">
        <f>IFERROR(VLOOKUP(B782,'[1]model_S-フレーム'!$F$5:$V$7000,17,1),"")</f>
        <v>0</v>
      </c>
      <c r="BM782" t="str" cm="1">
        <f t="array" ref="BM782">_xlfn.IFS(LEFT(G782,1)="L","外注品",LEFT(G782,1)="W","内製品",G782="","購買品")</f>
        <v>内製品</v>
      </c>
    </row>
    <row r="783" spans="1:65">
      <c r="A783" t="str">
        <f t="shared" si="123"/>
        <v>WG01</v>
      </c>
      <c r="B783" t="s">
        <v>942</v>
      </c>
      <c r="C783" t="s">
        <v>1510</v>
      </c>
      <c r="D783" s="7"/>
      <c r="E783" s="7"/>
      <c r="G783" t="s">
        <v>1939</v>
      </c>
      <c r="H783" t="str" cm="1">
        <f t="array" ref="H783">IFERROR(_xlfn.IFS(B783="","",AND(B783="",G783=""),"",G783="","記載要"),"")</f>
        <v/>
      </c>
      <c r="K783" t="str">
        <f t="shared" si="124"/>
        <v>11WP01008352</v>
      </c>
      <c r="L783" s="3" t="str">
        <f t="shared" si="125"/>
        <v>2001/01/01</v>
      </c>
      <c r="M783" s="3" t="str">
        <f t="shared" si="126"/>
        <v>2199/12/31</v>
      </c>
      <c r="N783" t="str">
        <f t="shared" si="127"/>
        <v>11WP01008352</v>
      </c>
      <c r="O783">
        <v>15</v>
      </c>
      <c r="Q783" t="str" cm="1">
        <f t="array" ref="Q783">_xlfn.IFS(AND(C783="",G783=""),"",LEFT(G783,1)="L","記載要",LEFT(G783,1)="W","",AND(C783,G783=""),"記載要")</f>
        <v/>
      </c>
      <c r="R783" s="21" t="str">
        <f t="shared" si="132"/>
        <v/>
      </c>
      <c r="S783" s="21"/>
      <c r="Z783" s="8"/>
      <c r="AA783">
        <v>1</v>
      </c>
      <c r="AB783">
        <f t="shared" si="128"/>
        <v>0</v>
      </c>
      <c r="AC783">
        <v>1</v>
      </c>
      <c r="AF783">
        <v>1</v>
      </c>
      <c r="AG783" s="8"/>
      <c r="AH783" s="8"/>
      <c r="AK783" cm="1">
        <f t="array" ref="AK783">_xlfn.IFS(B783="","",LEFT(G783,1)="L",1,LEFT(G783,1)="W",1,AND(LEFT(B783,1)="H",G783=""),0)</f>
        <v>1</v>
      </c>
      <c r="AS783" t="str">
        <f t="shared" si="129"/>
        <v/>
      </c>
      <c r="AT783" t="s">
        <v>115</v>
      </c>
      <c r="AU783" t="str">
        <f t="shared" si="130"/>
        <v>0</v>
      </c>
      <c r="BD783" t="str">
        <f t="shared" si="131"/>
        <v>0</v>
      </c>
      <c r="BK783" t="str">
        <f>IFERROR(VLOOKUP(B783,'[1]model_S-フレーム'!$F$5:$R$7000,13,1),"")</f>
        <v>E389458_01</v>
      </c>
      <c r="BL783" s="7">
        <f>IFERROR(VLOOKUP(B783,'[1]model_S-フレーム'!$F$5:$V$7000,17,1),"")</f>
        <v>0</v>
      </c>
      <c r="BM783" t="str" cm="1">
        <f t="array" ref="BM783">_xlfn.IFS(LEFT(G783,1)="L","外注品",LEFT(G783,1)="W","内製品",G783="","購買品")</f>
        <v>内製品</v>
      </c>
    </row>
    <row r="784" spans="1:65">
      <c r="A784" t="str">
        <f t="shared" si="123"/>
        <v>WG01</v>
      </c>
      <c r="B784" t="s">
        <v>943</v>
      </c>
      <c r="C784" t="s">
        <v>1510</v>
      </c>
      <c r="D784" s="7"/>
      <c r="E784" s="7"/>
      <c r="G784" t="s">
        <v>1939</v>
      </c>
      <c r="H784" t="str" cm="1">
        <f t="array" ref="H784">IFERROR(_xlfn.IFS(B784="","",AND(B784="",G784=""),"",G784="","記載要"),"")</f>
        <v/>
      </c>
      <c r="K784" t="str">
        <f t="shared" si="124"/>
        <v>11WP01008353</v>
      </c>
      <c r="L784" s="3" t="str">
        <f t="shared" si="125"/>
        <v>2001/01/01</v>
      </c>
      <c r="M784" s="3" t="str">
        <f t="shared" si="126"/>
        <v>2199/12/31</v>
      </c>
      <c r="N784" t="str">
        <f t="shared" si="127"/>
        <v>11WP01008353</v>
      </c>
      <c r="O784">
        <v>15</v>
      </c>
      <c r="Q784" t="str" cm="1">
        <f t="array" ref="Q784">_xlfn.IFS(AND(C784="",G784=""),"",LEFT(G784,1)="L","記載要",LEFT(G784,1)="W","",AND(C784,G784=""),"記載要")</f>
        <v/>
      </c>
      <c r="R784" s="21" t="str">
        <f t="shared" si="132"/>
        <v/>
      </c>
      <c r="S784" s="21"/>
      <c r="Z784" s="8"/>
      <c r="AA784">
        <v>1</v>
      </c>
      <c r="AB784">
        <f t="shared" si="128"/>
        <v>0</v>
      </c>
      <c r="AC784">
        <v>1</v>
      </c>
      <c r="AF784">
        <v>1</v>
      </c>
      <c r="AG784" s="8"/>
      <c r="AH784" s="8"/>
      <c r="AK784" cm="1">
        <f t="array" ref="AK784">_xlfn.IFS(B784="","",LEFT(G784,1)="L",1,LEFT(G784,1)="W",1,AND(LEFT(B784,1)="H",G784=""),0)</f>
        <v>1</v>
      </c>
      <c r="AS784" t="str">
        <f t="shared" si="129"/>
        <v/>
      </c>
      <c r="AT784" t="s">
        <v>115</v>
      </c>
      <c r="AU784" t="str">
        <f t="shared" si="130"/>
        <v>0</v>
      </c>
      <c r="BD784" t="str">
        <f t="shared" si="131"/>
        <v>0</v>
      </c>
      <c r="BK784" t="str">
        <f>IFERROR(VLOOKUP(B784,'[1]model_S-フレーム'!$F$5:$R$7000,13,1),"")</f>
        <v>E389458_01</v>
      </c>
      <c r="BL784" s="7">
        <f>IFERROR(VLOOKUP(B784,'[1]model_S-フレーム'!$F$5:$V$7000,17,1),"")</f>
        <v>0</v>
      </c>
      <c r="BM784" t="str" cm="1">
        <f t="array" ref="BM784">_xlfn.IFS(LEFT(G784,1)="L","外注品",LEFT(G784,1)="W","内製品",G784="","購買品")</f>
        <v>内製品</v>
      </c>
    </row>
    <row r="785" spans="1:65">
      <c r="A785" t="str">
        <f t="shared" si="123"/>
        <v>WG01</v>
      </c>
      <c r="B785" t="s">
        <v>944</v>
      </c>
      <c r="C785" t="s">
        <v>1510</v>
      </c>
      <c r="D785" s="7"/>
      <c r="E785" s="7"/>
      <c r="G785" t="s">
        <v>1939</v>
      </c>
      <c r="H785" t="str" cm="1">
        <f t="array" ref="H785">IFERROR(_xlfn.IFS(B785="","",AND(B785="",G785=""),"",G785="","記載要"),"")</f>
        <v/>
      </c>
      <c r="K785" t="str">
        <f t="shared" si="124"/>
        <v>11WP01008354</v>
      </c>
      <c r="L785" s="3" t="str">
        <f t="shared" si="125"/>
        <v>2001/01/01</v>
      </c>
      <c r="M785" s="3" t="str">
        <f t="shared" si="126"/>
        <v>2199/12/31</v>
      </c>
      <c r="N785" t="str">
        <f t="shared" si="127"/>
        <v>11WP01008354</v>
      </c>
      <c r="O785">
        <v>15</v>
      </c>
      <c r="Q785" t="str" cm="1">
        <f t="array" ref="Q785">_xlfn.IFS(AND(C785="",G785=""),"",LEFT(G785,1)="L","記載要",LEFT(G785,1)="W","",AND(C785,G785=""),"記載要")</f>
        <v/>
      </c>
      <c r="R785" s="21" t="str">
        <f t="shared" si="132"/>
        <v/>
      </c>
      <c r="S785" s="21"/>
      <c r="Z785" s="8"/>
      <c r="AA785">
        <v>1</v>
      </c>
      <c r="AB785">
        <f t="shared" si="128"/>
        <v>0</v>
      </c>
      <c r="AC785">
        <v>1</v>
      </c>
      <c r="AF785">
        <v>1</v>
      </c>
      <c r="AG785" s="8"/>
      <c r="AH785" s="8"/>
      <c r="AK785" cm="1">
        <f t="array" ref="AK785">_xlfn.IFS(B785="","",LEFT(G785,1)="L",1,LEFT(G785,1)="W",1,AND(LEFT(B785,1)="H",G785=""),0)</f>
        <v>1</v>
      </c>
      <c r="AS785" t="str">
        <f t="shared" si="129"/>
        <v/>
      </c>
      <c r="AT785" t="s">
        <v>115</v>
      </c>
      <c r="AU785" t="str">
        <f t="shared" si="130"/>
        <v>0</v>
      </c>
      <c r="BD785" t="str">
        <f t="shared" si="131"/>
        <v>0</v>
      </c>
      <c r="BK785" t="str">
        <f>IFERROR(VLOOKUP(B785,'[1]model_S-フレーム'!$F$5:$R$7000,13,1),"")</f>
        <v>E389458_01</v>
      </c>
      <c r="BL785" s="7">
        <f>IFERROR(VLOOKUP(B785,'[1]model_S-フレーム'!$F$5:$V$7000,17,1),"")</f>
        <v>0</v>
      </c>
      <c r="BM785" t="str" cm="1">
        <f t="array" ref="BM785">_xlfn.IFS(LEFT(G785,1)="L","外注品",LEFT(G785,1)="W","内製品",G785="","購買品")</f>
        <v>内製品</v>
      </c>
    </row>
    <row r="786" spans="1:65">
      <c r="A786" t="str">
        <f t="shared" si="123"/>
        <v>WG01</v>
      </c>
      <c r="B786" t="s">
        <v>945</v>
      </c>
      <c r="C786" t="s">
        <v>1511</v>
      </c>
      <c r="D786" s="7"/>
      <c r="E786" s="7"/>
      <c r="G786" t="s">
        <v>1939</v>
      </c>
      <c r="H786" t="str" cm="1">
        <f t="array" ref="H786">IFERROR(_xlfn.IFS(B786="","",AND(B786="",G786=""),"",G786="","記載要"),"")</f>
        <v/>
      </c>
      <c r="K786" t="str">
        <f t="shared" si="124"/>
        <v>11WP01008355</v>
      </c>
      <c r="L786" s="3" t="str">
        <f t="shared" si="125"/>
        <v>2001/01/01</v>
      </c>
      <c r="M786" s="3" t="str">
        <f t="shared" si="126"/>
        <v>2199/12/31</v>
      </c>
      <c r="N786" t="str">
        <f t="shared" si="127"/>
        <v>11WP01008355</v>
      </c>
      <c r="O786">
        <v>15</v>
      </c>
      <c r="Q786" t="str" cm="1">
        <f t="array" ref="Q786">_xlfn.IFS(AND(C786="",G786=""),"",LEFT(G786,1)="L","記載要",LEFT(G786,1)="W","",AND(C786,G786=""),"記載要")</f>
        <v/>
      </c>
      <c r="R786" s="21" t="str">
        <f t="shared" si="132"/>
        <v/>
      </c>
      <c r="S786" s="21"/>
      <c r="Z786" s="8"/>
      <c r="AA786">
        <v>1</v>
      </c>
      <c r="AB786">
        <f t="shared" si="128"/>
        <v>0</v>
      </c>
      <c r="AC786">
        <v>1</v>
      </c>
      <c r="AF786">
        <v>1</v>
      </c>
      <c r="AG786" s="8"/>
      <c r="AH786" s="8"/>
      <c r="AK786" cm="1">
        <f t="array" ref="AK786">_xlfn.IFS(B786="","",LEFT(G786,1)="L",1,LEFT(G786,1)="W",1,AND(LEFT(B786,1)="H",G786=""),0)</f>
        <v>1</v>
      </c>
      <c r="AS786" t="str">
        <f t="shared" si="129"/>
        <v/>
      </c>
      <c r="AT786" t="s">
        <v>115</v>
      </c>
      <c r="AU786" t="str">
        <f t="shared" si="130"/>
        <v>0</v>
      </c>
      <c r="BD786" t="str">
        <f t="shared" si="131"/>
        <v>0</v>
      </c>
      <c r="BK786" t="str">
        <f>IFERROR(VLOOKUP(B786,'[1]model_S-フレーム'!$F$5:$R$7000,13,1),"")</f>
        <v>E389458_01</v>
      </c>
      <c r="BL786" s="7">
        <f>IFERROR(VLOOKUP(B786,'[1]model_S-フレーム'!$F$5:$V$7000,17,1),"")</f>
        <v>0</v>
      </c>
      <c r="BM786" t="str" cm="1">
        <f t="array" ref="BM786">_xlfn.IFS(LEFT(G786,1)="L","外注品",LEFT(G786,1)="W","内製品",G786="","購買品")</f>
        <v>内製品</v>
      </c>
    </row>
    <row r="787" spans="1:65">
      <c r="A787" t="str">
        <f t="shared" si="123"/>
        <v>WG01</v>
      </c>
      <c r="B787" t="s">
        <v>946</v>
      </c>
      <c r="C787" t="s">
        <v>1511</v>
      </c>
      <c r="D787" s="7"/>
      <c r="E787" s="7"/>
      <c r="G787" t="s">
        <v>1939</v>
      </c>
      <c r="H787" t="str" cm="1">
        <f t="array" ref="H787">IFERROR(_xlfn.IFS(B787="","",AND(B787="",G787=""),"",G787="","記載要"),"")</f>
        <v/>
      </c>
      <c r="K787" t="str">
        <f t="shared" si="124"/>
        <v>11WP01008356</v>
      </c>
      <c r="L787" s="3" t="str">
        <f t="shared" si="125"/>
        <v>2001/01/01</v>
      </c>
      <c r="M787" s="3" t="str">
        <f t="shared" si="126"/>
        <v>2199/12/31</v>
      </c>
      <c r="N787" t="str">
        <f t="shared" si="127"/>
        <v>11WP01008356</v>
      </c>
      <c r="O787">
        <v>15</v>
      </c>
      <c r="Q787" t="str" cm="1">
        <f t="array" ref="Q787">_xlfn.IFS(AND(C787="",G787=""),"",LEFT(G787,1)="L","記載要",LEFT(G787,1)="W","",AND(C787,G787=""),"記載要")</f>
        <v/>
      </c>
      <c r="R787" s="21" t="str">
        <f t="shared" si="132"/>
        <v/>
      </c>
      <c r="S787" s="21"/>
      <c r="Z787" s="8"/>
      <c r="AA787">
        <v>1</v>
      </c>
      <c r="AB787">
        <f t="shared" si="128"/>
        <v>0</v>
      </c>
      <c r="AC787">
        <v>1</v>
      </c>
      <c r="AF787">
        <v>1</v>
      </c>
      <c r="AG787" s="8"/>
      <c r="AH787" s="8"/>
      <c r="AK787" cm="1">
        <f t="array" ref="AK787">_xlfn.IFS(B787="","",LEFT(G787,1)="L",1,LEFT(G787,1)="W",1,AND(LEFT(B787,1)="H",G787=""),0)</f>
        <v>1</v>
      </c>
      <c r="AS787" t="str">
        <f t="shared" si="129"/>
        <v/>
      </c>
      <c r="AT787" t="s">
        <v>115</v>
      </c>
      <c r="AU787" t="str">
        <f t="shared" si="130"/>
        <v>0</v>
      </c>
      <c r="BD787" t="str">
        <f t="shared" si="131"/>
        <v>0</v>
      </c>
      <c r="BK787" t="str">
        <f>IFERROR(VLOOKUP(B787,'[1]model_S-フレーム'!$F$5:$R$7000,13,1),"")</f>
        <v>E389458_01</v>
      </c>
      <c r="BL787" s="7">
        <f>IFERROR(VLOOKUP(B787,'[1]model_S-フレーム'!$F$5:$V$7000,17,1),"")</f>
        <v>0</v>
      </c>
      <c r="BM787" t="str" cm="1">
        <f t="array" ref="BM787">_xlfn.IFS(LEFT(G787,1)="L","外注品",LEFT(G787,1)="W","内製品",G787="","購買品")</f>
        <v>内製品</v>
      </c>
    </row>
    <row r="788" spans="1:65">
      <c r="A788" t="str">
        <f t="shared" si="123"/>
        <v>WG01</v>
      </c>
      <c r="B788" t="s">
        <v>947</v>
      </c>
      <c r="C788" t="s">
        <v>1511</v>
      </c>
      <c r="D788" s="7"/>
      <c r="E788" s="7"/>
      <c r="G788" t="s">
        <v>1939</v>
      </c>
      <c r="H788" t="str" cm="1">
        <f t="array" ref="H788">IFERROR(_xlfn.IFS(B788="","",AND(B788="",G788=""),"",G788="","記載要"),"")</f>
        <v/>
      </c>
      <c r="K788" t="str">
        <f t="shared" si="124"/>
        <v>11WP01008357</v>
      </c>
      <c r="L788" s="3" t="str">
        <f t="shared" si="125"/>
        <v>2001/01/01</v>
      </c>
      <c r="M788" s="3" t="str">
        <f t="shared" si="126"/>
        <v>2199/12/31</v>
      </c>
      <c r="N788" t="str">
        <f t="shared" si="127"/>
        <v>11WP01008357</v>
      </c>
      <c r="O788">
        <v>15</v>
      </c>
      <c r="Q788" t="str" cm="1">
        <f t="array" ref="Q788">_xlfn.IFS(AND(C788="",G788=""),"",LEFT(G788,1)="L","記載要",LEFT(G788,1)="W","",AND(C788,G788=""),"記載要")</f>
        <v/>
      </c>
      <c r="R788" s="21" t="str">
        <f t="shared" si="132"/>
        <v/>
      </c>
      <c r="S788" s="21"/>
      <c r="Z788" s="8"/>
      <c r="AA788">
        <v>1</v>
      </c>
      <c r="AB788">
        <f t="shared" si="128"/>
        <v>0</v>
      </c>
      <c r="AC788">
        <v>1</v>
      </c>
      <c r="AF788">
        <v>1</v>
      </c>
      <c r="AG788" s="8"/>
      <c r="AH788" s="8"/>
      <c r="AK788" cm="1">
        <f t="array" ref="AK788">_xlfn.IFS(B788="","",LEFT(G788,1)="L",1,LEFT(G788,1)="W",1,AND(LEFT(B788,1)="H",G788=""),0)</f>
        <v>1</v>
      </c>
      <c r="AS788" t="str">
        <f t="shared" si="129"/>
        <v/>
      </c>
      <c r="AT788" t="s">
        <v>115</v>
      </c>
      <c r="AU788" t="str">
        <f t="shared" si="130"/>
        <v>0</v>
      </c>
      <c r="BD788" t="str">
        <f t="shared" si="131"/>
        <v>0</v>
      </c>
      <c r="BK788" t="str">
        <f>IFERROR(VLOOKUP(B788,'[1]model_S-フレーム'!$F$5:$R$7000,13,1),"")</f>
        <v>E389458_01</v>
      </c>
      <c r="BL788" s="7">
        <f>IFERROR(VLOOKUP(B788,'[1]model_S-フレーム'!$F$5:$V$7000,17,1),"")</f>
        <v>0</v>
      </c>
      <c r="BM788" t="str" cm="1">
        <f t="array" ref="BM788">_xlfn.IFS(LEFT(G788,1)="L","外注品",LEFT(G788,1)="W","内製品",G788="","購買品")</f>
        <v>内製品</v>
      </c>
    </row>
    <row r="789" spans="1:65">
      <c r="A789" t="str">
        <f t="shared" si="123"/>
        <v>WG01</v>
      </c>
      <c r="B789" t="s">
        <v>948</v>
      </c>
      <c r="C789" t="s">
        <v>1511</v>
      </c>
      <c r="D789" s="7"/>
      <c r="E789" s="7"/>
      <c r="G789" t="s">
        <v>1939</v>
      </c>
      <c r="H789" t="str" cm="1">
        <f t="array" ref="H789">IFERROR(_xlfn.IFS(B789="","",AND(B789="",G789=""),"",G789="","記載要"),"")</f>
        <v/>
      </c>
      <c r="K789" t="str">
        <f t="shared" si="124"/>
        <v>11WP01008358</v>
      </c>
      <c r="L789" s="3" t="str">
        <f t="shared" si="125"/>
        <v>2001/01/01</v>
      </c>
      <c r="M789" s="3" t="str">
        <f t="shared" si="126"/>
        <v>2199/12/31</v>
      </c>
      <c r="N789" t="str">
        <f t="shared" si="127"/>
        <v>11WP01008358</v>
      </c>
      <c r="O789">
        <v>15</v>
      </c>
      <c r="Q789" t="str" cm="1">
        <f t="array" ref="Q789">_xlfn.IFS(AND(C789="",G789=""),"",LEFT(G789,1)="L","記載要",LEFT(G789,1)="W","",AND(C789,G789=""),"記載要")</f>
        <v/>
      </c>
      <c r="R789" s="21" t="str">
        <f t="shared" si="132"/>
        <v/>
      </c>
      <c r="S789" s="21"/>
      <c r="Z789" s="8"/>
      <c r="AA789">
        <v>1</v>
      </c>
      <c r="AB789">
        <f t="shared" si="128"/>
        <v>0</v>
      </c>
      <c r="AC789">
        <v>1</v>
      </c>
      <c r="AF789">
        <v>1</v>
      </c>
      <c r="AG789" s="8"/>
      <c r="AH789" s="8"/>
      <c r="AK789" cm="1">
        <f t="array" ref="AK789">_xlfn.IFS(B789="","",LEFT(G789,1)="L",1,LEFT(G789,1)="W",1,AND(LEFT(B789,1)="H",G789=""),0)</f>
        <v>1</v>
      </c>
      <c r="AS789" t="str">
        <f t="shared" si="129"/>
        <v/>
      </c>
      <c r="AT789" t="s">
        <v>115</v>
      </c>
      <c r="AU789" t="str">
        <f t="shared" si="130"/>
        <v>0</v>
      </c>
      <c r="BD789" t="str">
        <f t="shared" si="131"/>
        <v>0</v>
      </c>
      <c r="BK789" t="str">
        <f>IFERROR(VLOOKUP(B789,'[1]model_S-フレーム'!$F$5:$R$7000,13,1),"")</f>
        <v>E389458_01</v>
      </c>
      <c r="BL789" s="7">
        <f>IFERROR(VLOOKUP(B789,'[1]model_S-フレーム'!$F$5:$V$7000,17,1),"")</f>
        <v>0</v>
      </c>
      <c r="BM789" t="str" cm="1">
        <f t="array" ref="BM789">_xlfn.IFS(LEFT(G789,1)="L","外注品",LEFT(G789,1)="W","内製品",G789="","購買品")</f>
        <v>内製品</v>
      </c>
    </row>
    <row r="790" spans="1:65">
      <c r="A790" t="str">
        <f t="shared" si="123"/>
        <v>WG01</v>
      </c>
      <c r="B790" t="s">
        <v>949</v>
      </c>
      <c r="C790" t="s">
        <v>1511</v>
      </c>
      <c r="D790" s="7"/>
      <c r="E790" s="7"/>
      <c r="G790" t="s">
        <v>1939</v>
      </c>
      <c r="H790" t="str" cm="1">
        <f t="array" ref="H790">IFERROR(_xlfn.IFS(B790="","",AND(B790="",G790=""),"",G790="","記載要"),"")</f>
        <v/>
      </c>
      <c r="K790" t="str">
        <f t="shared" si="124"/>
        <v>11WP01008359</v>
      </c>
      <c r="L790" s="3" t="str">
        <f t="shared" si="125"/>
        <v>2001/01/01</v>
      </c>
      <c r="M790" s="3" t="str">
        <f t="shared" si="126"/>
        <v>2199/12/31</v>
      </c>
      <c r="N790" t="str">
        <f t="shared" si="127"/>
        <v>11WP01008359</v>
      </c>
      <c r="O790">
        <v>15</v>
      </c>
      <c r="Q790" t="str" cm="1">
        <f t="array" ref="Q790">_xlfn.IFS(AND(C790="",G790=""),"",LEFT(G790,1)="L","記載要",LEFT(G790,1)="W","",AND(C790,G790=""),"記載要")</f>
        <v/>
      </c>
      <c r="R790" s="21" t="str">
        <f t="shared" si="132"/>
        <v/>
      </c>
      <c r="S790" s="21"/>
      <c r="Z790" s="8"/>
      <c r="AA790">
        <v>1</v>
      </c>
      <c r="AB790">
        <f t="shared" si="128"/>
        <v>0</v>
      </c>
      <c r="AC790">
        <v>1</v>
      </c>
      <c r="AF790">
        <v>1</v>
      </c>
      <c r="AG790" s="8"/>
      <c r="AH790" s="8"/>
      <c r="AK790" cm="1">
        <f t="array" ref="AK790">_xlfn.IFS(B790="","",LEFT(G790,1)="L",1,LEFT(G790,1)="W",1,AND(LEFT(B790,1)="H",G790=""),0)</f>
        <v>1</v>
      </c>
      <c r="AS790" t="str">
        <f t="shared" si="129"/>
        <v/>
      </c>
      <c r="AT790" t="s">
        <v>115</v>
      </c>
      <c r="AU790" t="str">
        <f t="shared" si="130"/>
        <v>0</v>
      </c>
      <c r="BD790" t="str">
        <f t="shared" si="131"/>
        <v>0</v>
      </c>
      <c r="BK790" t="str">
        <f>IFERROR(VLOOKUP(B790,'[1]model_S-フレーム'!$F$5:$R$7000,13,1),"")</f>
        <v>E389458_01</v>
      </c>
      <c r="BL790" s="7">
        <f>IFERROR(VLOOKUP(B790,'[1]model_S-フレーム'!$F$5:$V$7000,17,1),"")</f>
        <v>0</v>
      </c>
      <c r="BM790" t="str" cm="1">
        <f t="array" ref="BM790">_xlfn.IFS(LEFT(G790,1)="L","外注品",LEFT(G790,1)="W","内製品",G790="","購買品")</f>
        <v>内製品</v>
      </c>
    </row>
    <row r="791" spans="1:65">
      <c r="A791" t="str">
        <f t="shared" si="123"/>
        <v>WG01</v>
      </c>
      <c r="B791" t="s">
        <v>950</v>
      </c>
      <c r="C791" t="s">
        <v>1511</v>
      </c>
      <c r="D791" s="7"/>
      <c r="E791" s="7"/>
      <c r="G791" t="s">
        <v>1939</v>
      </c>
      <c r="H791" t="str" cm="1">
        <f t="array" ref="H791">IFERROR(_xlfn.IFS(B791="","",AND(B791="",G791=""),"",G791="","記載要"),"")</f>
        <v/>
      </c>
      <c r="K791" t="str">
        <f t="shared" si="124"/>
        <v>11WP01008360</v>
      </c>
      <c r="L791" s="3" t="str">
        <f t="shared" si="125"/>
        <v>2001/01/01</v>
      </c>
      <c r="M791" s="3" t="str">
        <f t="shared" si="126"/>
        <v>2199/12/31</v>
      </c>
      <c r="N791" t="str">
        <f t="shared" si="127"/>
        <v>11WP01008360</v>
      </c>
      <c r="O791">
        <v>15</v>
      </c>
      <c r="Q791" t="str" cm="1">
        <f t="array" ref="Q791">_xlfn.IFS(AND(C791="",G791=""),"",LEFT(G791,1)="L","記載要",LEFT(G791,1)="W","",AND(C791,G791=""),"記載要")</f>
        <v/>
      </c>
      <c r="R791" s="21" t="str">
        <f t="shared" si="132"/>
        <v/>
      </c>
      <c r="S791" s="21"/>
      <c r="Z791" s="8"/>
      <c r="AA791">
        <v>1</v>
      </c>
      <c r="AB791">
        <f t="shared" si="128"/>
        <v>0</v>
      </c>
      <c r="AC791">
        <v>1</v>
      </c>
      <c r="AF791">
        <v>1</v>
      </c>
      <c r="AG791" s="8"/>
      <c r="AH791" s="8"/>
      <c r="AK791" cm="1">
        <f t="array" ref="AK791">_xlfn.IFS(B791="","",LEFT(G791,1)="L",1,LEFT(G791,1)="W",1,AND(LEFT(B791,1)="H",G791=""),0)</f>
        <v>1</v>
      </c>
      <c r="AS791" t="str">
        <f t="shared" si="129"/>
        <v/>
      </c>
      <c r="AT791" t="s">
        <v>115</v>
      </c>
      <c r="AU791" t="str">
        <f t="shared" si="130"/>
        <v>0</v>
      </c>
      <c r="BD791" t="str">
        <f t="shared" si="131"/>
        <v>0</v>
      </c>
      <c r="BK791" t="str">
        <f>IFERROR(VLOOKUP(B791,'[1]model_S-フレーム'!$F$5:$R$7000,13,1),"")</f>
        <v>E389458_01</v>
      </c>
      <c r="BL791" s="7">
        <f>IFERROR(VLOOKUP(B791,'[1]model_S-フレーム'!$F$5:$V$7000,17,1),"")</f>
        <v>0</v>
      </c>
      <c r="BM791" t="str" cm="1">
        <f t="array" ref="BM791">_xlfn.IFS(LEFT(G791,1)="L","外注品",LEFT(G791,1)="W","内製品",G791="","購買品")</f>
        <v>内製品</v>
      </c>
    </row>
    <row r="792" spans="1:65">
      <c r="A792" t="str">
        <f t="shared" si="123"/>
        <v>WG01</v>
      </c>
      <c r="B792" t="s">
        <v>951</v>
      </c>
      <c r="C792" t="s">
        <v>1511</v>
      </c>
      <c r="D792" s="7"/>
      <c r="E792" s="7"/>
      <c r="G792" t="s">
        <v>1939</v>
      </c>
      <c r="H792" t="str" cm="1">
        <f t="array" ref="H792">IFERROR(_xlfn.IFS(B792="","",AND(B792="",G792=""),"",G792="","記載要"),"")</f>
        <v/>
      </c>
      <c r="K792" t="str">
        <f t="shared" si="124"/>
        <v>11WP01008361</v>
      </c>
      <c r="L792" s="3" t="str">
        <f t="shared" si="125"/>
        <v>2001/01/01</v>
      </c>
      <c r="M792" s="3" t="str">
        <f t="shared" si="126"/>
        <v>2199/12/31</v>
      </c>
      <c r="N792" t="str">
        <f t="shared" si="127"/>
        <v>11WP01008361</v>
      </c>
      <c r="O792">
        <v>15</v>
      </c>
      <c r="Q792" t="str" cm="1">
        <f t="array" ref="Q792">_xlfn.IFS(AND(C792="",G792=""),"",LEFT(G792,1)="L","記載要",LEFT(G792,1)="W","",AND(C792,G792=""),"記載要")</f>
        <v/>
      </c>
      <c r="R792" s="21" t="str">
        <f t="shared" si="132"/>
        <v/>
      </c>
      <c r="S792" s="21"/>
      <c r="Z792" s="8"/>
      <c r="AA792">
        <v>1</v>
      </c>
      <c r="AB792">
        <f t="shared" si="128"/>
        <v>0</v>
      </c>
      <c r="AC792">
        <v>1</v>
      </c>
      <c r="AF792">
        <v>1</v>
      </c>
      <c r="AG792" s="8"/>
      <c r="AH792" s="8"/>
      <c r="AK792" cm="1">
        <f t="array" ref="AK792">_xlfn.IFS(B792="","",LEFT(G792,1)="L",1,LEFT(G792,1)="W",1,AND(LEFT(B792,1)="H",G792=""),0)</f>
        <v>1</v>
      </c>
      <c r="AS792" t="str">
        <f t="shared" si="129"/>
        <v/>
      </c>
      <c r="AT792" t="s">
        <v>115</v>
      </c>
      <c r="AU792" t="str">
        <f t="shared" si="130"/>
        <v>0</v>
      </c>
      <c r="BD792" t="str">
        <f t="shared" si="131"/>
        <v>0</v>
      </c>
      <c r="BK792" t="str">
        <f>IFERROR(VLOOKUP(B792,'[1]model_S-フレーム'!$F$5:$R$7000,13,1),"")</f>
        <v>E389458_01</v>
      </c>
      <c r="BL792" s="7">
        <f>IFERROR(VLOOKUP(B792,'[1]model_S-フレーム'!$F$5:$V$7000,17,1),"")</f>
        <v>0</v>
      </c>
      <c r="BM792" t="str" cm="1">
        <f t="array" ref="BM792">_xlfn.IFS(LEFT(G792,1)="L","外注品",LEFT(G792,1)="W","内製品",G792="","購買品")</f>
        <v>内製品</v>
      </c>
    </row>
    <row r="793" spans="1:65">
      <c r="A793" t="str">
        <f t="shared" si="123"/>
        <v>WG01</v>
      </c>
      <c r="B793" t="s">
        <v>952</v>
      </c>
      <c r="C793" t="s">
        <v>1511</v>
      </c>
      <c r="D793" s="7"/>
      <c r="E793" s="7"/>
      <c r="G793" t="s">
        <v>1939</v>
      </c>
      <c r="H793" t="str" cm="1">
        <f t="array" ref="H793">IFERROR(_xlfn.IFS(B793="","",AND(B793="",G793=""),"",G793="","記載要"),"")</f>
        <v/>
      </c>
      <c r="K793" t="str">
        <f t="shared" si="124"/>
        <v>11WP01008362</v>
      </c>
      <c r="L793" s="3" t="str">
        <f t="shared" si="125"/>
        <v>2001/01/01</v>
      </c>
      <c r="M793" s="3" t="str">
        <f t="shared" si="126"/>
        <v>2199/12/31</v>
      </c>
      <c r="N793" t="str">
        <f t="shared" si="127"/>
        <v>11WP01008362</v>
      </c>
      <c r="O793">
        <v>15</v>
      </c>
      <c r="Q793" t="str" cm="1">
        <f t="array" ref="Q793">_xlfn.IFS(AND(C793="",G793=""),"",LEFT(G793,1)="L","記載要",LEFT(G793,1)="W","",AND(C793,G793=""),"記載要")</f>
        <v/>
      </c>
      <c r="R793" s="21" t="str">
        <f t="shared" si="132"/>
        <v/>
      </c>
      <c r="S793" s="21"/>
      <c r="Z793" s="8"/>
      <c r="AA793">
        <v>1</v>
      </c>
      <c r="AB793">
        <f t="shared" si="128"/>
        <v>0</v>
      </c>
      <c r="AC793">
        <v>1</v>
      </c>
      <c r="AF793">
        <v>1</v>
      </c>
      <c r="AG793" s="8"/>
      <c r="AH793" s="8"/>
      <c r="AK793" cm="1">
        <f t="array" ref="AK793">_xlfn.IFS(B793="","",LEFT(G793,1)="L",1,LEFT(G793,1)="W",1,AND(LEFT(B793,1)="H",G793=""),0)</f>
        <v>1</v>
      </c>
      <c r="AS793" t="str">
        <f t="shared" si="129"/>
        <v/>
      </c>
      <c r="AT793" t="s">
        <v>115</v>
      </c>
      <c r="AU793" t="str">
        <f t="shared" si="130"/>
        <v>0</v>
      </c>
      <c r="BD793" t="str">
        <f t="shared" si="131"/>
        <v>0</v>
      </c>
      <c r="BK793" t="str">
        <f>IFERROR(VLOOKUP(B793,'[1]model_S-フレーム'!$F$5:$R$7000,13,1),"")</f>
        <v>E389458_01</v>
      </c>
      <c r="BL793" s="7">
        <f>IFERROR(VLOOKUP(B793,'[1]model_S-フレーム'!$F$5:$V$7000,17,1),"")</f>
        <v>0</v>
      </c>
      <c r="BM793" t="str" cm="1">
        <f t="array" ref="BM793">_xlfn.IFS(LEFT(G793,1)="L","外注品",LEFT(G793,1)="W","内製品",G793="","購買品")</f>
        <v>内製品</v>
      </c>
    </row>
    <row r="794" spans="1:65">
      <c r="A794" t="str">
        <f t="shared" si="123"/>
        <v>WG01</v>
      </c>
      <c r="B794" t="s">
        <v>953</v>
      </c>
      <c r="C794" t="s">
        <v>1511</v>
      </c>
      <c r="D794" s="7"/>
      <c r="E794" s="7"/>
      <c r="G794" t="s">
        <v>1939</v>
      </c>
      <c r="H794" t="str" cm="1">
        <f t="array" ref="H794">IFERROR(_xlfn.IFS(B794="","",AND(B794="",G794=""),"",G794="","記載要"),"")</f>
        <v/>
      </c>
      <c r="K794" t="str">
        <f t="shared" si="124"/>
        <v>11WP01008363</v>
      </c>
      <c r="L794" s="3" t="str">
        <f t="shared" si="125"/>
        <v>2001/01/01</v>
      </c>
      <c r="M794" s="3" t="str">
        <f t="shared" si="126"/>
        <v>2199/12/31</v>
      </c>
      <c r="N794" t="str">
        <f t="shared" si="127"/>
        <v>11WP01008363</v>
      </c>
      <c r="O794">
        <v>15</v>
      </c>
      <c r="Q794" t="str" cm="1">
        <f t="array" ref="Q794">_xlfn.IFS(AND(C794="",G794=""),"",LEFT(G794,1)="L","記載要",LEFT(G794,1)="W","",AND(C794,G794=""),"記載要")</f>
        <v/>
      </c>
      <c r="R794" s="21" t="str">
        <f t="shared" si="132"/>
        <v/>
      </c>
      <c r="S794" s="21"/>
      <c r="Z794" s="8"/>
      <c r="AA794">
        <v>1</v>
      </c>
      <c r="AB794">
        <f t="shared" si="128"/>
        <v>0</v>
      </c>
      <c r="AC794">
        <v>1</v>
      </c>
      <c r="AF794">
        <v>1</v>
      </c>
      <c r="AG794" s="8"/>
      <c r="AH794" s="8"/>
      <c r="AK794" cm="1">
        <f t="array" ref="AK794">_xlfn.IFS(B794="","",LEFT(G794,1)="L",1,LEFT(G794,1)="W",1,AND(LEFT(B794,1)="H",G794=""),0)</f>
        <v>1</v>
      </c>
      <c r="AS794" t="str">
        <f t="shared" si="129"/>
        <v/>
      </c>
      <c r="AT794" t="s">
        <v>115</v>
      </c>
      <c r="AU794" t="str">
        <f t="shared" si="130"/>
        <v>0</v>
      </c>
      <c r="BD794" t="str">
        <f t="shared" si="131"/>
        <v>0</v>
      </c>
      <c r="BK794" t="str">
        <f>IFERROR(VLOOKUP(B794,'[1]model_S-フレーム'!$F$5:$R$7000,13,1),"")</f>
        <v>E389458_01</v>
      </c>
      <c r="BL794" s="7">
        <f>IFERROR(VLOOKUP(B794,'[1]model_S-フレーム'!$F$5:$V$7000,17,1),"")</f>
        <v>0</v>
      </c>
      <c r="BM794" t="str" cm="1">
        <f t="array" ref="BM794">_xlfn.IFS(LEFT(G794,1)="L","外注品",LEFT(G794,1)="W","内製品",G794="","購買品")</f>
        <v>内製品</v>
      </c>
    </row>
    <row r="795" spans="1:65">
      <c r="A795" t="str">
        <f t="shared" si="123"/>
        <v>WG01</v>
      </c>
      <c r="B795" t="s">
        <v>954</v>
      </c>
      <c r="C795" t="s">
        <v>1511</v>
      </c>
      <c r="D795" s="7"/>
      <c r="E795" s="7"/>
      <c r="G795" t="s">
        <v>1939</v>
      </c>
      <c r="H795" t="str" cm="1">
        <f t="array" ref="H795">IFERROR(_xlfn.IFS(B795="","",AND(B795="",G795=""),"",G795="","記載要"),"")</f>
        <v/>
      </c>
      <c r="K795" t="str">
        <f t="shared" si="124"/>
        <v>11WP01008364</v>
      </c>
      <c r="L795" s="3" t="str">
        <f t="shared" si="125"/>
        <v>2001/01/01</v>
      </c>
      <c r="M795" s="3" t="str">
        <f t="shared" si="126"/>
        <v>2199/12/31</v>
      </c>
      <c r="N795" t="str">
        <f t="shared" si="127"/>
        <v>11WP01008364</v>
      </c>
      <c r="O795">
        <v>15</v>
      </c>
      <c r="Q795" t="str" cm="1">
        <f t="array" ref="Q795">_xlfn.IFS(AND(C795="",G795=""),"",LEFT(G795,1)="L","記載要",LEFT(G795,1)="W","",AND(C795,G795=""),"記載要")</f>
        <v/>
      </c>
      <c r="R795" s="21" t="str">
        <f t="shared" si="132"/>
        <v/>
      </c>
      <c r="S795" s="21"/>
      <c r="Z795" s="8"/>
      <c r="AA795">
        <v>1</v>
      </c>
      <c r="AB795">
        <f t="shared" si="128"/>
        <v>0</v>
      </c>
      <c r="AC795">
        <v>1</v>
      </c>
      <c r="AF795">
        <v>1</v>
      </c>
      <c r="AG795" s="8"/>
      <c r="AH795" s="8"/>
      <c r="AK795" cm="1">
        <f t="array" ref="AK795">_xlfn.IFS(B795="","",LEFT(G795,1)="L",1,LEFT(G795,1)="W",1,AND(LEFT(B795,1)="H",G795=""),0)</f>
        <v>1</v>
      </c>
      <c r="AS795" t="str">
        <f t="shared" si="129"/>
        <v/>
      </c>
      <c r="AT795" t="s">
        <v>115</v>
      </c>
      <c r="AU795" t="str">
        <f t="shared" si="130"/>
        <v>0</v>
      </c>
      <c r="BD795" t="str">
        <f t="shared" si="131"/>
        <v>0</v>
      </c>
      <c r="BK795" t="str">
        <f>IFERROR(VLOOKUP(B795,'[1]model_S-フレーム'!$F$5:$R$7000,13,1),"")</f>
        <v>E389458_01</v>
      </c>
      <c r="BL795" s="7">
        <f>IFERROR(VLOOKUP(B795,'[1]model_S-フレーム'!$F$5:$V$7000,17,1),"")</f>
        <v>0</v>
      </c>
      <c r="BM795" t="str" cm="1">
        <f t="array" ref="BM795">_xlfn.IFS(LEFT(G795,1)="L","外注品",LEFT(G795,1)="W","内製品",G795="","購買品")</f>
        <v>内製品</v>
      </c>
    </row>
    <row r="796" spans="1:65">
      <c r="A796" t="str">
        <f t="shared" si="123"/>
        <v>WG01</v>
      </c>
      <c r="B796" t="s">
        <v>955</v>
      </c>
      <c r="C796" t="s">
        <v>1511</v>
      </c>
      <c r="D796" s="7"/>
      <c r="E796" s="7"/>
      <c r="G796" t="s">
        <v>1939</v>
      </c>
      <c r="H796" t="str" cm="1">
        <f t="array" ref="H796">IFERROR(_xlfn.IFS(B796="","",AND(B796="",G796=""),"",G796="","記載要"),"")</f>
        <v/>
      </c>
      <c r="K796" t="str">
        <f t="shared" si="124"/>
        <v>11WP01008365</v>
      </c>
      <c r="L796" s="3" t="str">
        <f t="shared" si="125"/>
        <v>2001/01/01</v>
      </c>
      <c r="M796" s="3" t="str">
        <f t="shared" si="126"/>
        <v>2199/12/31</v>
      </c>
      <c r="N796" t="str">
        <f t="shared" si="127"/>
        <v>11WP01008365</v>
      </c>
      <c r="O796">
        <v>15</v>
      </c>
      <c r="Q796" t="str" cm="1">
        <f t="array" ref="Q796">_xlfn.IFS(AND(C796="",G796=""),"",LEFT(G796,1)="L","記載要",LEFT(G796,1)="W","",AND(C796,G796=""),"記載要")</f>
        <v/>
      </c>
      <c r="R796" s="21" t="str">
        <f t="shared" si="132"/>
        <v/>
      </c>
      <c r="S796" s="21"/>
      <c r="Z796" s="8"/>
      <c r="AA796">
        <v>1</v>
      </c>
      <c r="AB796">
        <f t="shared" si="128"/>
        <v>0</v>
      </c>
      <c r="AC796">
        <v>1</v>
      </c>
      <c r="AF796">
        <v>1</v>
      </c>
      <c r="AG796" s="8"/>
      <c r="AH796" s="8"/>
      <c r="AK796" cm="1">
        <f t="array" ref="AK796">_xlfn.IFS(B796="","",LEFT(G796,1)="L",1,LEFT(G796,1)="W",1,AND(LEFT(B796,1)="H",G796=""),0)</f>
        <v>1</v>
      </c>
      <c r="AS796" t="str">
        <f t="shared" si="129"/>
        <v/>
      </c>
      <c r="AT796" t="s">
        <v>115</v>
      </c>
      <c r="AU796" t="str">
        <f t="shared" si="130"/>
        <v>0</v>
      </c>
      <c r="BD796" t="str">
        <f t="shared" si="131"/>
        <v>0</v>
      </c>
      <c r="BK796" t="str">
        <f>IFERROR(VLOOKUP(B796,'[1]model_S-フレーム'!$F$5:$R$7000,13,1),"")</f>
        <v>E389458_01</v>
      </c>
      <c r="BL796" s="7">
        <f>IFERROR(VLOOKUP(B796,'[1]model_S-フレーム'!$F$5:$V$7000,17,1),"")</f>
        <v>0</v>
      </c>
      <c r="BM796" t="str" cm="1">
        <f t="array" ref="BM796">_xlfn.IFS(LEFT(G796,1)="L","外注品",LEFT(G796,1)="W","内製品",G796="","購買品")</f>
        <v>内製品</v>
      </c>
    </row>
    <row r="797" spans="1:65">
      <c r="A797" t="str">
        <f t="shared" si="123"/>
        <v>WG01</v>
      </c>
      <c r="B797" t="s">
        <v>956</v>
      </c>
      <c r="C797" t="s">
        <v>1511</v>
      </c>
      <c r="D797" s="7"/>
      <c r="E797" s="7"/>
      <c r="G797" t="s">
        <v>1939</v>
      </c>
      <c r="H797" t="str" cm="1">
        <f t="array" ref="H797">IFERROR(_xlfn.IFS(B797="","",AND(B797="",G797=""),"",G797="","記載要"),"")</f>
        <v/>
      </c>
      <c r="K797" t="str">
        <f t="shared" si="124"/>
        <v>11WP01008366</v>
      </c>
      <c r="L797" s="3" t="str">
        <f t="shared" si="125"/>
        <v>2001/01/01</v>
      </c>
      <c r="M797" s="3" t="str">
        <f t="shared" si="126"/>
        <v>2199/12/31</v>
      </c>
      <c r="N797" t="str">
        <f t="shared" si="127"/>
        <v>11WP01008366</v>
      </c>
      <c r="O797">
        <v>15</v>
      </c>
      <c r="Q797" t="str" cm="1">
        <f t="array" ref="Q797">_xlfn.IFS(AND(C797="",G797=""),"",LEFT(G797,1)="L","記載要",LEFT(G797,1)="W","",AND(C797,G797=""),"記載要")</f>
        <v/>
      </c>
      <c r="R797" s="21" t="str">
        <f t="shared" si="132"/>
        <v/>
      </c>
      <c r="S797" s="21"/>
      <c r="Z797" s="8"/>
      <c r="AA797">
        <v>1</v>
      </c>
      <c r="AB797">
        <f t="shared" si="128"/>
        <v>0</v>
      </c>
      <c r="AC797">
        <v>1</v>
      </c>
      <c r="AF797">
        <v>1</v>
      </c>
      <c r="AG797" s="8"/>
      <c r="AH797" s="8"/>
      <c r="AK797" cm="1">
        <f t="array" ref="AK797">_xlfn.IFS(B797="","",LEFT(G797,1)="L",1,LEFT(G797,1)="W",1,AND(LEFT(B797,1)="H",G797=""),0)</f>
        <v>1</v>
      </c>
      <c r="AS797" t="str">
        <f t="shared" si="129"/>
        <v/>
      </c>
      <c r="AT797" t="s">
        <v>115</v>
      </c>
      <c r="AU797" t="str">
        <f t="shared" si="130"/>
        <v>0</v>
      </c>
      <c r="BD797" t="str">
        <f t="shared" si="131"/>
        <v>0</v>
      </c>
      <c r="BK797" t="str">
        <f>IFERROR(VLOOKUP(B797,'[1]model_S-フレーム'!$F$5:$R$7000,13,1),"")</f>
        <v>E389458_01</v>
      </c>
      <c r="BL797" s="7">
        <f>IFERROR(VLOOKUP(B797,'[1]model_S-フレーム'!$F$5:$V$7000,17,1),"")</f>
        <v>0</v>
      </c>
      <c r="BM797" t="str" cm="1">
        <f t="array" ref="BM797">_xlfn.IFS(LEFT(G797,1)="L","外注品",LEFT(G797,1)="W","内製品",G797="","購買品")</f>
        <v>内製品</v>
      </c>
    </row>
    <row r="798" spans="1:65">
      <c r="A798" t="str">
        <f t="shared" si="123"/>
        <v>WG01</v>
      </c>
      <c r="B798" t="s">
        <v>957</v>
      </c>
      <c r="C798" t="s">
        <v>1511</v>
      </c>
      <c r="D798" s="7"/>
      <c r="E798" s="7"/>
      <c r="G798" t="s">
        <v>1939</v>
      </c>
      <c r="H798" t="str" cm="1">
        <f t="array" ref="H798">IFERROR(_xlfn.IFS(B798="","",AND(B798="",G798=""),"",G798="","記載要"),"")</f>
        <v/>
      </c>
      <c r="K798" t="str">
        <f t="shared" si="124"/>
        <v>11WP01008367</v>
      </c>
      <c r="L798" s="3" t="str">
        <f t="shared" si="125"/>
        <v>2001/01/01</v>
      </c>
      <c r="M798" s="3" t="str">
        <f t="shared" si="126"/>
        <v>2199/12/31</v>
      </c>
      <c r="N798" t="str">
        <f t="shared" si="127"/>
        <v>11WP01008367</v>
      </c>
      <c r="O798">
        <v>15</v>
      </c>
      <c r="Q798" t="str" cm="1">
        <f t="array" ref="Q798">_xlfn.IFS(AND(C798="",G798=""),"",LEFT(G798,1)="L","記載要",LEFT(G798,1)="W","",AND(C798,G798=""),"記載要")</f>
        <v/>
      </c>
      <c r="R798" s="21" t="str">
        <f t="shared" si="132"/>
        <v/>
      </c>
      <c r="S798" s="21"/>
      <c r="Z798" s="8"/>
      <c r="AA798">
        <v>1</v>
      </c>
      <c r="AB798">
        <f t="shared" si="128"/>
        <v>0</v>
      </c>
      <c r="AC798">
        <v>1</v>
      </c>
      <c r="AF798">
        <v>1</v>
      </c>
      <c r="AG798" s="8"/>
      <c r="AH798" s="8"/>
      <c r="AK798" cm="1">
        <f t="array" ref="AK798">_xlfn.IFS(B798="","",LEFT(G798,1)="L",1,LEFT(G798,1)="W",1,AND(LEFT(B798,1)="H",G798=""),0)</f>
        <v>1</v>
      </c>
      <c r="AS798" t="str">
        <f t="shared" si="129"/>
        <v/>
      </c>
      <c r="AT798" t="s">
        <v>115</v>
      </c>
      <c r="AU798" t="str">
        <f t="shared" si="130"/>
        <v>0</v>
      </c>
      <c r="BD798" t="str">
        <f t="shared" si="131"/>
        <v>0</v>
      </c>
      <c r="BK798" t="str">
        <f>IFERROR(VLOOKUP(B798,'[1]model_S-フレーム'!$F$5:$R$7000,13,1),"")</f>
        <v>E389458_01</v>
      </c>
      <c r="BL798" s="7">
        <f>IFERROR(VLOOKUP(B798,'[1]model_S-フレーム'!$F$5:$V$7000,17,1),"")</f>
        <v>0</v>
      </c>
      <c r="BM798" t="str" cm="1">
        <f t="array" ref="BM798">_xlfn.IFS(LEFT(G798,1)="L","外注品",LEFT(G798,1)="W","内製品",G798="","購買品")</f>
        <v>内製品</v>
      </c>
    </row>
    <row r="799" spans="1:65">
      <c r="A799" t="str">
        <f t="shared" si="123"/>
        <v>WG01</v>
      </c>
      <c r="B799" t="s">
        <v>958</v>
      </c>
      <c r="C799" t="s">
        <v>1511</v>
      </c>
      <c r="D799" s="7"/>
      <c r="E799" s="7"/>
      <c r="G799" t="s">
        <v>1939</v>
      </c>
      <c r="H799" t="str" cm="1">
        <f t="array" ref="H799">IFERROR(_xlfn.IFS(B799="","",AND(B799="",G799=""),"",G799="","記載要"),"")</f>
        <v/>
      </c>
      <c r="K799" t="str">
        <f t="shared" si="124"/>
        <v>11WP01008368</v>
      </c>
      <c r="L799" s="3" t="str">
        <f t="shared" si="125"/>
        <v>2001/01/01</v>
      </c>
      <c r="M799" s="3" t="str">
        <f t="shared" si="126"/>
        <v>2199/12/31</v>
      </c>
      <c r="N799" t="str">
        <f t="shared" si="127"/>
        <v>11WP01008368</v>
      </c>
      <c r="O799">
        <v>15</v>
      </c>
      <c r="Q799" t="str" cm="1">
        <f t="array" ref="Q799">_xlfn.IFS(AND(C799="",G799=""),"",LEFT(G799,1)="L","記載要",LEFT(G799,1)="W","",AND(C799,G799=""),"記載要")</f>
        <v/>
      </c>
      <c r="R799" s="21" t="str">
        <f t="shared" si="132"/>
        <v/>
      </c>
      <c r="S799" s="21"/>
      <c r="Z799" s="8"/>
      <c r="AA799">
        <v>1</v>
      </c>
      <c r="AB799">
        <f t="shared" si="128"/>
        <v>0</v>
      </c>
      <c r="AC799">
        <v>1</v>
      </c>
      <c r="AF799">
        <v>1</v>
      </c>
      <c r="AG799" s="8"/>
      <c r="AH799" s="8"/>
      <c r="AK799" cm="1">
        <f t="array" ref="AK799">_xlfn.IFS(B799="","",LEFT(G799,1)="L",1,LEFT(G799,1)="W",1,AND(LEFT(B799,1)="H",G799=""),0)</f>
        <v>1</v>
      </c>
      <c r="AS799" t="str">
        <f t="shared" si="129"/>
        <v/>
      </c>
      <c r="AT799" t="s">
        <v>115</v>
      </c>
      <c r="AU799" t="str">
        <f t="shared" si="130"/>
        <v>0</v>
      </c>
      <c r="BD799" t="str">
        <f t="shared" si="131"/>
        <v>0</v>
      </c>
      <c r="BK799" t="str">
        <f>IFERROR(VLOOKUP(B799,'[1]model_S-フレーム'!$F$5:$R$7000,13,1),"")</f>
        <v>E389458_01</v>
      </c>
      <c r="BL799" s="7">
        <f>IFERROR(VLOOKUP(B799,'[1]model_S-フレーム'!$F$5:$V$7000,17,1),"")</f>
        <v>0</v>
      </c>
      <c r="BM799" t="str" cm="1">
        <f t="array" ref="BM799">_xlfn.IFS(LEFT(G799,1)="L","外注品",LEFT(G799,1)="W","内製品",G799="","購買品")</f>
        <v>内製品</v>
      </c>
    </row>
    <row r="800" spans="1:65">
      <c r="A800" t="str">
        <f t="shared" si="123"/>
        <v>WG01</v>
      </c>
      <c r="B800" t="s">
        <v>959</v>
      </c>
      <c r="C800" t="s">
        <v>1511</v>
      </c>
      <c r="D800" s="7"/>
      <c r="E800" s="7"/>
      <c r="G800" t="s">
        <v>1939</v>
      </c>
      <c r="H800" t="str" cm="1">
        <f t="array" ref="H800">IFERROR(_xlfn.IFS(B800="","",AND(B800="",G800=""),"",G800="","記載要"),"")</f>
        <v/>
      </c>
      <c r="K800" t="str">
        <f t="shared" si="124"/>
        <v>11WP01008369</v>
      </c>
      <c r="L800" s="3" t="str">
        <f t="shared" si="125"/>
        <v>2001/01/01</v>
      </c>
      <c r="M800" s="3" t="str">
        <f t="shared" si="126"/>
        <v>2199/12/31</v>
      </c>
      <c r="N800" t="str">
        <f t="shared" si="127"/>
        <v>11WP01008369</v>
      </c>
      <c r="O800">
        <v>15</v>
      </c>
      <c r="Q800" t="str" cm="1">
        <f t="array" ref="Q800">_xlfn.IFS(AND(C800="",G800=""),"",LEFT(G800,1)="L","記載要",LEFT(G800,1)="W","",AND(C800,G800=""),"記載要")</f>
        <v/>
      </c>
      <c r="R800" s="21" t="str">
        <f t="shared" si="132"/>
        <v/>
      </c>
      <c r="S800" s="21"/>
      <c r="Z800" s="8"/>
      <c r="AA800">
        <v>1</v>
      </c>
      <c r="AB800">
        <f t="shared" si="128"/>
        <v>0</v>
      </c>
      <c r="AC800">
        <v>1</v>
      </c>
      <c r="AF800">
        <v>1</v>
      </c>
      <c r="AG800" s="8"/>
      <c r="AH800" s="8"/>
      <c r="AK800" cm="1">
        <f t="array" ref="AK800">_xlfn.IFS(B800="","",LEFT(G800,1)="L",1,LEFT(G800,1)="W",1,AND(LEFT(B800,1)="H",G800=""),0)</f>
        <v>1</v>
      </c>
      <c r="AS800" t="str">
        <f t="shared" si="129"/>
        <v/>
      </c>
      <c r="AT800" t="s">
        <v>115</v>
      </c>
      <c r="AU800" t="str">
        <f t="shared" si="130"/>
        <v>0</v>
      </c>
      <c r="BD800" t="str">
        <f t="shared" si="131"/>
        <v>0</v>
      </c>
      <c r="BK800" t="str">
        <f>IFERROR(VLOOKUP(B800,'[1]model_S-フレーム'!$F$5:$R$7000,13,1),"")</f>
        <v>E389458_01</v>
      </c>
      <c r="BL800" s="7">
        <f>IFERROR(VLOOKUP(B800,'[1]model_S-フレーム'!$F$5:$V$7000,17,1),"")</f>
        <v>0</v>
      </c>
      <c r="BM800" t="str" cm="1">
        <f t="array" ref="BM800">_xlfn.IFS(LEFT(G800,1)="L","外注品",LEFT(G800,1)="W","内製品",G800="","購買品")</f>
        <v>内製品</v>
      </c>
    </row>
    <row r="801" spans="1:65">
      <c r="A801" t="str">
        <f t="shared" si="123"/>
        <v>WG01</v>
      </c>
      <c r="B801" t="s">
        <v>960</v>
      </c>
      <c r="C801" t="s">
        <v>1511</v>
      </c>
      <c r="D801" s="7"/>
      <c r="E801" s="7"/>
      <c r="G801" t="s">
        <v>1939</v>
      </c>
      <c r="H801" t="str" cm="1">
        <f t="array" ref="H801">IFERROR(_xlfn.IFS(B801="","",AND(B801="",G801=""),"",G801="","記載要"),"")</f>
        <v/>
      </c>
      <c r="K801" t="str">
        <f t="shared" si="124"/>
        <v>11WP01008370</v>
      </c>
      <c r="L801" s="3" t="str">
        <f t="shared" si="125"/>
        <v>2001/01/01</v>
      </c>
      <c r="M801" s="3" t="str">
        <f t="shared" si="126"/>
        <v>2199/12/31</v>
      </c>
      <c r="N801" t="str">
        <f t="shared" si="127"/>
        <v>11WP01008370</v>
      </c>
      <c r="O801">
        <v>15</v>
      </c>
      <c r="Q801" t="str" cm="1">
        <f t="array" ref="Q801">_xlfn.IFS(AND(C801="",G801=""),"",LEFT(G801,1)="L","記載要",LEFT(G801,1)="W","",AND(C801,G801=""),"記載要")</f>
        <v/>
      </c>
      <c r="R801" s="21" t="str">
        <f t="shared" si="132"/>
        <v/>
      </c>
      <c r="S801" s="21"/>
      <c r="Z801" s="8"/>
      <c r="AA801">
        <v>1</v>
      </c>
      <c r="AB801">
        <f t="shared" si="128"/>
        <v>0</v>
      </c>
      <c r="AC801">
        <v>1</v>
      </c>
      <c r="AF801">
        <v>1</v>
      </c>
      <c r="AG801" s="8"/>
      <c r="AH801" s="8"/>
      <c r="AK801" cm="1">
        <f t="array" ref="AK801">_xlfn.IFS(B801="","",LEFT(G801,1)="L",1,LEFT(G801,1)="W",1,AND(LEFT(B801,1)="H",G801=""),0)</f>
        <v>1</v>
      </c>
      <c r="AS801" t="str">
        <f t="shared" si="129"/>
        <v/>
      </c>
      <c r="AT801" t="s">
        <v>115</v>
      </c>
      <c r="AU801" t="str">
        <f t="shared" si="130"/>
        <v>0</v>
      </c>
      <c r="BD801" t="str">
        <f t="shared" si="131"/>
        <v>0</v>
      </c>
      <c r="BK801" t="str">
        <f>IFERROR(VLOOKUP(B801,'[1]model_S-フレーム'!$F$5:$R$7000,13,1),"")</f>
        <v>E389458_01</v>
      </c>
      <c r="BL801" s="7">
        <f>IFERROR(VLOOKUP(B801,'[1]model_S-フレーム'!$F$5:$V$7000,17,1),"")</f>
        <v>0</v>
      </c>
      <c r="BM801" t="str" cm="1">
        <f t="array" ref="BM801">_xlfn.IFS(LEFT(G801,1)="L","外注品",LEFT(G801,1)="W","内製品",G801="","購買品")</f>
        <v>内製品</v>
      </c>
    </row>
    <row r="802" spans="1:65">
      <c r="A802" t="str">
        <f t="shared" si="123"/>
        <v>WG01</v>
      </c>
      <c r="B802" t="s">
        <v>961</v>
      </c>
      <c r="C802" t="s">
        <v>1512</v>
      </c>
      <c r="D802" s="7"/>
      <c r="E802" s="7"/>
      <c r="G802" t="s">
        <v>1939</v>
      </c>
      <c r="H802" t="str" cm="1">
        <f t="array" ref="H802">IFERROR(_xlfn.IFS(B802="","",AND(B802="",G802=""),"",G802="","記載要"),"")</f>
        <v/>
      </c>
      <c r="K802" t="str">
        <f t="shared" si="124"/>
        <v>11WP01008371</v>
      </c>
      <c r="L802" s="3" t="str">
        <f t="shared" si="125"/>
        <v>2001/01/01</v>
      </c>
      <c r="M802" s="3" t="str">
        <f t="shared" si="126"/>
        <v>2199/12/31</v>
      </c>
      <c r="N802" t="str">
        <f t="shared" si="127"/>
        <v>11WP01008371</v>
      </c>
      <c r="O802">
        <v>15</v>
      </c>
      <c r="Q802" t="str" cm="1">
        <f t="array" ref="Q802">_xlfn.IFS(AND(C802="",G802=""),"",LEFT(G802,1)="L","記載要",LEFT(G802,1)="W","",AND(C802,G802=""),"記載要")</f>
        <v/>
      </c>
      <c r="R802" s="21" t="str">
        <f t="shared" si="132"/>
        <v/>
      </c>
      <c r="S802" s="21"/>
      <c r="Z802" s="8"/>
      <c r="AA802">
        <v>1</v>
      </c>
      <c r="AB802">
        <f t="shared" si="128"/>
        <v>0</v>
      </c>
      <c r="AC802">
        <v>1</v>
      </c>
      <c r="AF802">
        <v>1</v>
      </c>
      <c r="AG802" s="8"/>
      <c r="AH802" s="8"/>
      <c r="AK802" cm="1">
        <f t="array" ref="AK802">_xlfn.IFS(B802="","",LEFT(G802,1)="L",1,LEFT(G802,1)="W",1,AND(LEFT(B802,1)="H",G802=""),0)</f>
        <v>1</v>
      </c>
      <c r="AS802" t="str">
        <f t="shared" si="129"/>
        <v/>
      </c>
      <c r="AT802" t="s">
        <v>115</v>
      </c>
      <c r="AU802" t="str">
        <f t="shared" si="130"/>
        <v>0</v>
      </c>
      <c r="BD802" t="str">
        <f t="shared" si="131"/>
        <v>0</v>
      </c>
      <c r="BK802" t="str">
        <f>IFERROR(VLOOKUP(B802,'[1]model_S-フレーム'!$F$5:$R$7000,13,1),"")</f>
        <v>E389458_01</v>
      </c>
      <c r="BL802" s="7">
        <f>IFERROR(VLOOKUP(B802,'[1]model_S-フレーム'!$F$5:$V$7000,17,1),"")</f>
        <v>0</v>
      </c>
      <c r="BM802" t="str" cm="1">
        <f t="array" ref="BM802">_xlfn.IFS(LEFT(G802,1)="L","外注品",LEFT(G802,1)="W","内製品",G802="","購買品")</f>
        <v>内製品</v>
      </c>
    </row>
    <row r="803" spans="1:65">
      <c r="A803" t="str">
        <f t="shared" si="123"/>
        <v>WG01</v>
      </c>
      <c r="B803" t="s">
        <v>962</v>
      </c>
      <c r="C803" t="s">
        <v>1512</v>
      </c>
      <c r="D803" s="7"/>
      <c r="E803" s="7"/>
      <c r="G803" t="s">
        <v>1939</v>
      </c>
      <c r="H803" t="str" cm="1">
        <f t="array" ref="H803">IFERROR(_xlfn.IFS(B803="","",AND(B803="",G803=""),"",G803="","記載要"),"")</f>
        <v/>
      </c>
      <c r="K803" t="str">
        <f t="shared" si="124"/>
        <v>11WP01008372</v>
      </c>
      <c r="L803" s="3" t="str">
        <f t="shared" si="125"/>
        <v>2001/01/01</v>
      </c>
      <c r="M803" s="3" t="str">
        <f t="shared" si="126"/>
        <v>2199/12/31</v>
      </c>
      <c r="N803" t="str">
        <f t="shared" si="127"/>
        <v>11WP01008372</v>
      </c>
      <c r="O803">
        <v>15</v>
      </c>
      <c r="Q803" t="str" cm="1">
        <f t="array" ref="Q803">_xlfn.IFS(AND(C803="",G803=""),"",LEFT(G803,1)="L","記載要",LEFT(G803,1)="W","",AND(C803,G803=""),"記載要")</f>
        <v/>
      </c>
      <c r="R803" s="21" t="str">
        <f t="shared" si="132"/>
        <v/>
      </c>
      <c r="S803" s="21"/>
      <c r="Z803" s="8"/>
      <c r="AA803">
        <v>1</v>
      </c>
      <c r="AB803">
        <f t="shared" si="128"/>
        <v>0</v>
      </c>
      <c r="AC803">
        <v>1</v>
      </c>
      <c r="AF803">
        <v>1</v>
      </c>
      <c r="AG803" s="8"/>
      <c r="AH803" s="8"/>
      <c r="AK803" cm="1">
        <f t="array" ref="AK803">_xlfn.IFS(B803="","",LEFT(G803,1)="L",1,LEFT(G803,1)="W",1,AND(LEFT(B803,1)="H",G803=""),0)</f>
        <v>1</v>
      </c>
      <c r="AS803" t="str">
        <f t="shared" si="129"/>
        <v/>
      </c>
      <c r="AT803" t="s">
        <v>115</v>
      </c>
      <c r="AU803" t="str">
        <f t="shared" si="130"/>
        <v>0</v>
      </c>
      <c r="BD803" t="str">
        <f t="shared" si="131"/>
        <v>0</v>
      </c>
      <c r="BK803" t="str">
        <f>IFERROR(VLOOKUP(B803,'[1]model_S-フレーム'!$F$5:$R$7000,13,1),"")</f>
        <v>E389458_01</v>
      </c>
      <c r="BL803" s="7">
        <f>IFERROR(VLOOKUP(B803,'[1]model_S-フレーム'!$F$5:$V$7000,17,1),"")</f>
        <v>0</v>
      </c>
      <c r="BM803" t="str" cm="1">
        <f t="array" ref="BM803">_xlfn.IFS(LEFT(G803,1)="L","外注品",LEFT(G803,1)="W","内製品",G803="","購買品")</f>
        <v>内製品</v>
      </c>
    </row>
    <row r="804" spans="1:65">
      <c r="A804" t="str">
        <f t="shared" si="123"/>
        <v>WG01</v>
      </c>
      <c r="B804" t="s">
        <v>963</v>
      </c>
      <c r="C804" t="s">
        <v>1512</v>
      </c>
      <c r="D804" s="7"/>
      <c r="E804" s="7"/>
      <c r="G804" t="s">
        <v>1939</v>
      </c>
      <c r="H804" t="str" cm="1">
        <f t="array" ref="H804">IFERROR(_xlfn.IFS(B804="","",AND(B804="",G804=""),"",G804="","記載要"),"")</f>
        <v/>
      </c>
      <c r="K804" t="str">
        <f t="shared" si="124"/>
        <v>11WP01008373</v>
      </c>
      <c r="L804" s="3" t="str">
        <f t="shared" si="125"/>
        <v>2001/01/01</v>
      </c>
      <c r="M804" s="3" t="str">
        <f t="shared" si="126"/>
        <v>2199/12/31</v>
      </c>
      <c r="N804" t="str">
        <f t="shared" si="127"/>
        <v>11WP01008373</v>
      </c>
      <c r="O804">
        <v>15</v>
      </c>
      <c r="Q804" t="str" cm="1">
        <f t="array" ref="Q804">_xlfn.IFS(AND(C804="",G804=""),"",LEFT(G804,1)="L","記載要",LEFT(G804,1)="W","",AND(C804,G804=""),"記載要")</f>
        <v/>
      </c>
      <c r="R804" s="21" t="str">
        <f t="shared" si="132"/>
        <v/>
      </c>
      <c r="S804" s="21"/>
      <c r="Z804" s="8"/>
      <c r="AA804">
        <v>1</v>
      </c>
      <c r="AB804">
        <f t="shared" si="128"/>
        <v>0</v>
      </c>
      <c r="AC804">
        <v>1</v>
      </c>
      <c r="AF804">
        <v>1</v>
      </c>
      <c r="AG804" s="8"/>
      <c r="AH804" s="8"/>
      <c r="AK804" cm="1">
        <f t="array" ref="AK804">_xlfn.IFS(B804="","",LEFT(G804,1)="L",1,LEFT(G804,1)="W",1,AND(LEFT(B804,1)="H",G804=""),0)</f>
        <v>1</v>
      </c>
      <c r="AS804" t="str">
        <f t="shared" si="129"/>
        <v/>
      </c>
      <c r="AT804" t="s">
        <v>115</v>
      </c>
      <c r="AU804" t="str">
        <f t="shared" si="130"/>
        <v>0</v>
      </c>
      <c r="BD804" t="str">
        <f t="shared" si="131"/>
        <v>0</v>
      </c>
      <c r="BK804" t="str">
        <f>IFERROR(VLOOKUP(B804,'[1]model_S-フレーム'!$F$5:$R$7000,13,1),"")</f>
        <v>E389458_01</v>
      </c>
      <c r="BL804" s="7">
        <f>IFERROR(VLOOKUP(B804,'[1]model_S-フレーム'!$F$5:$V$7000,17,1),"")</f>
        <v>0</v>
      </c>
      <c r="BM804" t="str" cm="1">
        <f t="array" ref="BM804">_xlfn.IFS(LEFT(G804,1)="L","外注品",LEFT(G804,1)="W","内製品",G804="","購買品")</f>
        <v>内製品</v>
      </c>
    </row>
    <row r="805" spans="1:65">
      <c r="A805" t="str">
        <f t="shared" si="123"/>
        <v>WG01</v>
      </c>
      <c r="B805" t="s">
        <v>964</v>
      </c>
      <c r="C805" t="s">
        <v>1512</v>
      </c>
      <c r="D805" s="7"/>
      <c r="E805" s="7"/>
      <c r="G805" t="s">
        <v>1939</v>
      </c>
      <c r="H805" t="str" cm="1">
        <f t="array" ref="H805">IFERROR(_xlfn.IFS(B805="","",AND(B805="",G805=""),"",G805="","記載要"),"")</f>
        <v/>
      </c>
      <c r="K805" t="str">
        <f t="shared" si="124"/>
        <v>11WP01008374</v>
      </c>
      <c r="L805" s="3" t="str">
        <f t="shared" si="125"/>
        <v>2001/01/01</v>
      </c>
      <c r="M805" s="3" t="str">
        <f t="shared" si="126"/>
        <v>2199/12/31</v>
      </c>
      <c r="N805" t="str">
        <f t="shared" si="127"/>
        <v>11WP01008374</v>
      </c>
      <c r="O805">
        <v>15</v>
      </c>
      <c r="Q805" t="str" cm="1">
        <f t="array" ref="Q805">_xlfn.IFS(AND(C805="",G805=""),"",LEFT(G805,1)="L","記載要",LEFT(G805,1)="W","",AND(C805,G805=""),"記載要")</f>
        <v/>
      </c>
      <c r="R805" s="21" t="str">
        <f t="shared" si="132"/>
        <v/>
      </c>
      <c r="S805" s="21"/>
      <c r="Z805" s="8"/>
      <c r="AA805">
        <v>1</v>
      </c>
      <c r="AB805">
        <f t="shared" si="128"/>
        <v>0</v>
      </c>
      <c r="AC805">
        <v>1</v>
      </c>
      <c r="AF805">
        <v>1</v>
      </c>
      <c r="AG805" s="8"/>
      <c r="AH805" s="8"/>
      <c r="AK805" cm="1">
        <f t="array" ref="AK805">_xlfn.IFS(B805="","",LEFT(G805,1)="L",1,LEFT(G805,1)="W",1,AND(LEFT(B805,1)="H",G805=""),0)</f>
        <v>1</v>
      </c>
      <c r="AS805" t="str">
        <f t="shared" si="129"/>
        <v/>
      </c>
      <c r="AT805" t="s">
        <v>115</v>
      </c>
      <c r="AU805" t="str">
        <f t="shared" si="130"/>
        <v>0</v>
      </c>
      <c r="BD805" t="str">
        <f t="shared" si="131"/>
        <v>0</v>
      </c>
      <c r="BK805" t="str">
        <f>IFERROR(VLOOKUP(B805,'[1]model_S-フレーム'!$F$5:$R$7000,13,1),"")</f>
        <v>E389458_01</v>
      </c>
      <c r="BL805" s="7">
        <f>IFERROR(VLOOKUP(B805,'[1]model_S-フレーム'!$F$5:$V$7000,17,1),"")</f>
        <v>0</v>
      </c>
      <c r="BM805" t="str" cm="1">
        <f t="array" ref="BM805">_xlfn.IFS(LEFT(G805,1)="L","外注品",LEFT(G805,1)="W","内製品",G805="","購買品")</f>
        <v>内製品</v>
      </c>
    </row>
    <row r="806" spans="1:65">
      <c r="A806" t="str">
        <f t="shared" si="123"/>
        <v>WG01</v>
      </c>
      <c r="B806" t="s">
        <v>965</v>
      </c>
      <c r="C806" t="s">
        <v>1512</v>
      </c>
      <c r="D806" s="7"/>
      <c r="E806" s="7"/>
      <c r="G806" t="s">
        <v>1939</v>
      </c>
      <c r="H806" t="str" cm="1">
        <f t="array" ref="H806">IFERROR(_xlfn.IFS(B806="","",AND(B806="",G806=""),"",G806="","記載要"),"")</f>
        <v/>
      </c>
      <c r="K806" t="str">
        <f t="shared" si="124"/>
        <v>11WP01008375</v>
      </c>
      <c r="L806" s="3" t="str">
        <f t="shared" si="125"/>
        <v>2001/01/01</v>
      </c>
      <c r="M806" s="3" t="str">
        <f t="shared" si="126"/>
        <v>2199/12/31</v>
      </c>
      <c r="N806" t="str">
        <f t="shared" si="127"/>
        <v>11WP01008375</v>
      </c>
      <c r="O806">
        <v>15</v>
      </c>
      <c r="Q806" t="str" cm="1">
        <f t="array" ref="Q806">_xlfn.IFS(AND(C806="",G806=""),"",LEFT(G806,1)="L","記載要",LEFT(G806,1)="W","",AND(C806,G806=""),"記載要")</f>
        <v/>
      </c>
      <c r="R806" s="21" t="str">
        <f t="shared" si="132"/>
        <v/>
      </c>
      <c r="S806" s="21"/>
      <c r="Z806" s="8"/>
      <c r="AA806">
        <v>1</v>
      </c>
      <c r="AB806">
        <f t="shared" si="128"/>
        <v>0</v>
      </c>
      <c r="AC806">
        <v>1</v>
      </c>
      <c r="AF806">
        <v>1</v>
      </c>
      <c r="AG806" s="8"/>
      <c r="AH806" s="8"/>
      <c r="AK806" cm="1">
        <f t="array" ref="AK806">_xlfn.IFS(B806="","",LEFT(G806,1)="L",1,LEFT(G806,1)="W",1,AND(LEFT(B806,1)="H",G806=""),0)</f>
        <v>1</v>
      </c>
      <c r="AS806" t="str">
        <f t="shared" si="129"/>
        <v/>
      </c>
      <c r="AT806" t="s">
        <v>115</v>
      </c>
      <c r="AU806" t="str">
        <f t="shared" si="130"/>
        <v>0</v>
      </c>
      <c r="BD806" t="str">
        <f t="shared" si="131"/>
        <v>0</v>
      </c>
      <c r="BK806" t="str">
        <f>IFERROR(VLOOKUP(B806,'[1]model_S-フレーム'!$F$5:$R$7000,13,1),"")</f>
        <v>E389458_01</v>
      </c>
      <c r="BL806" s="7">
        <f>IFERROR(VLOOKUP(B806,'[1]model_S-フレーム'!$F$5:$V$7000,17,1),"")</f>
        <v>0</v>
      </c>
      <c r="BM806" t="str" cm="1">
        <f t="array" ref="BM806">_xlfn.IFS(LEFT(G806,1)="L","外注品",LEFT(G806,1)="W","内製品",G806="","購買品")</f>
        <v>内製品</v>
      </c>
    </row>
    <row r="807" spans="1:65">
      <c r="A807" t="str">
        <f t="shared" si="123"/>
        <v>WG01</v>
      </c>
      <c r="B807" t="s">
        <v>966</v>
      </c>
      <c r="C807" t="s">
        <v>1512</v>
      </c>
      <c r="D807" s="7"/>
      <c r="E807" s="7"/>
      <c r="G807" t="s">
        <v>1939</v>
      </c>
      <c r="H807" t="str" cm="1">
        <f t="array" ref="H807">IFERROR(_xlfn.IFS(B807="","",AND(B807="",G807=""),"",G807="","記載要"),"")</f>
        <v/>
      </c>
      <c r="K807" t="str">
        <f t="shared" si="124"/>
        <v>11WP01008376</v>
      </c>
      <c r="L807" s="3" t="str">
        <f t="shared" si="125"/>
        <v>2001/01/01</v>
      </c>
      <c r="M807" s="3" t="str">
        <f t="shared" si="126"/>
        <v>2199/12/31</v>
      </c>
      <c r="N807" t="str">
        <f t="shared" si="127"/>
        <v>11WP01008376</v>
      </c>
      <c r="O807">
        <v>15</v>
      </c>
      <c r="Q807" t="str" cm="1">
        <f t="array" ref="Q807">_xlfn.IFS(AND(C807="",G807=""),"",LEFT(G807,1)="L","記載要",LEFT(G807,1)="W","",AND(C807,G807=""),"記載要")</f>
        <v/>
      </c>
      <c r="R807" s="21" t="str">
        <f t="shared" si="132"/>
        <v/>
      </c>
      <c r="S807" s="21"/>
      <c r="Z807" s="8"/>
      <c r="AA807">
        <v>1</v>
      </c>
      <c r="AB807">
        <f t="shared" si="128"/>
        <v>0</v>
      </c>
      <c r="AC807">
        <v>1</v>
      </c>
      <c r="AF807">
        <v>1</v>
      </c>
      <c r="AG807" s="8"/>
      <c r="AH807" s="8"/>
      <c r="AK807" cm="1">
        <f t="array" ref="AK807">_xlfn.IFS(B807="","",LEFT(G807,1)="L",1,LEFT(G807,1)="W",1,AND(LEFT(B807,1)="H",G807=""),0)</f>
        <v>1</v>
      </c>
      <c r="AS807" t="str">
        <f t="shared" si="129"/>
        <v/>
      </c>
      <c r="AT807" t="s">
        <v>115</v>
      </c>
      <c r="AU807" t="str">
        <f t="shared" si="130"/>
        <v>0</v>
      </c>
      <c r="BD807" t="str">
        <f t="shared" si="131"/>
        <v>0</v>
      </c>
      <c r="BK807" t="str">
        <f>IFERROR(VLOOKUP(B807,'[1]model_S-フレーム'!$F$5:$R$7000,13,1),"")</f>
        <v>E389458_01</v>
      </c>
      <c r="BL807" s="7">
        <f>IFERROR(VLOOKUP(B807,'[1]model_S-フレーム'!$F$5:$V$7000,17,1),"")</f>
        <v>0</v>
      </c>
      <c r="BM807" t="str" cm="1">
        <f t="array" ref="BM807">_xlfn.IFS(LEFT(G807,1)="L","外注品",LEFT(G807,1)="W","内製品",G807="","購買品")</f>
        <v>内製品</v>
      </c>
    </row>
    <row r="808" spans="1:65">
      <c r="A808" t="str">
        <f t="shared" si="123"/>
        <v>WG01</v>
      </c>
      <c r="B808" t="s">
        <v>967</v>
      </c>
      <c r="C808" t="s">
        <v>1512</v>
      </c>
      <c r="D808" s="7"/>
      <c r="E808" s="7"/>
      <c r="G808" t="s">
        <v>1939</v>
      </c>
      <c r="H808" t="str" cm="1">
        <f t="array" ref="H808">IFERROR(_xlfn.IFS(B808="","",AND(B808="",G808=""),"",G808="","記載要"),"")</f>
        <v/>
      </c>
      <c r="K808" t="str">
        <f t="shared" si="124"/>
        <v>11WP01008377</v>
      </c>
      <c r="L808" s="3" t="str">
        <f t="shared" si="125"/>
        <v>2001/01/01</v>
      </c>
      <c r="M808" s="3" t="str">
        <f t="shared" si="126"/>
        <v>2199/12/31</v>
      </c>
      <c r="N808" t="str">
        <f t="shared" si="127"/>
        <v>11WP01008377</v>
      </c>
      <c r="O808">
        <v>15</v>
      </c>
      <c r="Q808" t="str" cm="1">
        <f t="array" ref="Q808">_xlfn.IFS(AND(C808="",G808=""),"",LEFT(G808,1)="L","記載要",LEFT(G808,1)="W","",AND(C808,G808=""),"記載要")</f>
        <v/>
      </c>
      <c r="R808" s="21" t="str">
        <f t="shared" si="132"/>
        <v/>
      </c>
      <c r="S808" s="21"/>
      <c r="Z808" s="8"/>
      <c r="AA808">
        <v>1</v>
      </c>
      <c r="AB808">
        <f t="shared" si="128"/>
        <v>0</v>
      </c>
      <c r="AC808">
        <v>1</v>
      </c>
      <c r="AF808">
        <v>1</v>
      </c>
      <c r="AG808" s="8"/>
      <c r="AH808" s="8"/>
      <c r="AK808" cm="1">
        <f t="array" ref="AK808">_xlfn.IFS(B808="","",LEFT(G808,1)="L",1,LEFT(G808,1)="W",1,AND(LEFT(B808,1)="H",G808=""),0)</f>
        <v>1</v>
      </c>
      <c r="AS808" t="str">
        <f t="shared" si="129"/>
        <v/>
      </c>
      <c r="AT808" t="s">
        <v>115</v>
      </c>
      <c r="AU808" t="str">
        <f t="shared" si="130"/>
        <v>0</v>
      </c>
      <c r="BD808" t="str">
        <f t="shared" si="131"/>
        <v>0</v>
      </c>
      <c r="BK808" t="str">
        <f>IFERROR(VLOOKUP(B808,'[1]model_S-フレーム'!$F$5:$R$7000,13,1),"")</f>
        <v>E389458_01</v>
      </c>
      <c r="BL808" s="7">
        <f>IFERROR(VLOOKUP(B808,'[1]model_S-フレーム'!$F$5:$V$7000,17,1),"")</f>
        <v>0</v>
      </c>
      <c r="BM808" t="str" cm="1">
        <f t="array" ref="BM808">_xlfn.IFS(LEFT(G808,1)="L","外注品",LEFT(G808,1)="W","内製品",G808="","購買品")</f>
        <v>内製品</v>
      </c>
    </row>
    <row r="809" spans="1:65">
      <c r="A809" t="str">
        <f t="shared" si="123"/>
        <v>WG01</v>
      </c>
      <c r="B809" t="s">
        <v>968</v>
      </c>
      <c r="C809" t="s">
        <v>1512</v>
      </c>
      <c r="D809" s="7"/>
      <c r="E809" s="7"/>
      <c r="G809" t="s">
        <v>1939</v>
      </c>
      <c r="H809" t="str" cm="1">
        <f t="array" ref="H809">IFERROR(_xlfn.IFS(B809="","",AND(B809="",G809=""),"",G809="","記載要"),"")</f>
        <v/>
      </c>
      <c r="K809" t="str">
        <f t="shared" si="124"/>
        <v>11WP01008378</v>
      </c>
      <c r="L809" s="3" t="str">
        <f t="shared" si="125"/>
        <v>2001/01/01</v>
      </c>
      <c r="M809" s="3" t="str">
        <f t="shared" si="126"/>
        <v>2199/12/31</v>
      </c>
      <c r="N809" t="str">
        <f t="shared" si="127"/>
        <v>11WP01008378</v>
      </c>
      <c r="O809">
        <v>15</v>
      </c>
      <c r="Q809" t="str" cm="1">
        <f t="array" ref="Q809">_xlfn.IFS(AND(C809="",G809=""),"",LEFT(G809,1)="L","記載要",LEFT(G809,1)="W","",AND(C809,G809=""),"記載要")</f>
        <v/>
      </c>
      <c r="R809" s="21" t="str">
        <f t="shared" si="132"/>
        <v/>
      </c>
      <c r="S809" s="21"/>
      <c r="Z809" s="8"/>
      <c r="AA809">
        <v>1</v>
      </c>
      <c r="AB809">
        <f t="shared" si="128"/>
        <v>0</v>
      </c>
      <c r="AC809">
        <v>1</v>
      </c>
      <c r="AF809">
        <v>1</v>
      </c>
      <c r="AG809" s="8"/>
      <c r="AH809" s="8"/>
      <c r="AK809" cm="1">
        <f t="array" ref="AK809">_xlfn.IFS(B809="","",LEFT(G809,1)="L",1,LEFT(G809,1)="W",1,AND(LEFT(B809,1)="H",G809=""),0)</f>
        <v>1</v>
      </c>
      <c r="AS809" t="str">
        <f t="shared" si="129"/>
        <v/>
      </c>
      <c r="AT809" t="s">
        <v>115</v>
      </c>
      <c r="AU809" t="str">
        <f t="shared" si="130"/>
        <v>0</v>
      </c>
      <c r="BD809" t="str">
        <f t="shared" si="131"/>
        <v>0</v>
      </c>
      <c r="BK809" t="str">
        <f>IFERROR(VLOOKUP(B809,'[1]model_S-フレーム'!$F$5:$R$7000,13,1),"")</f>
        <v>E389458_01</v>
      </c>
      <c r="BL809" s="7">
        <f>IFERROR(VLOOKUP(B809,'[1]model_S-フレーム'!$F$5:$V$7000,17,1),"")</f>
        <v>0</v>
      </c>
      <c r="BM809" t="str" cm="1">
        <f t="array" ref="BM809">_xlfn.IFS(LEFT(G809,1)="L","外注品",LEFT(G809,1)="W","内製品",G809="","購買品")</f>
        <v>内製品</v>
      </c>
    </row>
    <row r="810" spans="1:65">
      <c r="A810" t="str">
        <f t="shared" si="123"/>
        <v>WG01</v>
      </c>
      <c r="B810" t="s">
        <v>969</v>
      </c>
      <c r="C810" t="s">
        <v>1512</v>
      </c>
      <c r="D810" s="7"/>
      <c r="E810" s="7"/>
      <c r="G810" t="s">
        <v>1939</v>
      </c>
      <c r="H810" t="str" cm="1">
        <f t="array" ref="H810">IFERROR(_xlfn.IFS(B810="","",AND(B810="",G810=""),"",G810="","記載要"),"")</f>
        <v/>
      </c>
      <c r="K810" t="str">
        <f t="shared" si="124"/>
        <v>11WP01008379</v>
      </c>
      <c r="L810" s="3" t="str">
        <f t="shared" si="125"/>
        <v>2001/01/01</v>
      </c>
      <c r="M810" s="3" t="str">
        <f t="shared" si="126"/>
        <v>2199/12/31</v>
      </c>
      <c r="N810" t="str">
        <f t="shared" si="127"/>
        <v>11WP01008379</v>
      </c>
      <c r="O810">
        <v>15</v>
      </c>
      <c r="Q810" t="str" cm="1">
        <f t="array" ref="Q810">_xlfn.IFS(AND(C810="",G810=""),"",LEFT(G810,1)="L","記載要",LEFT(G810,1)="W","",AND(C810,G810=""),"記載要")</f>
        <v/>
      </c>
      <c r="R810" s="21" t="str">
        <f t="shared" si="132"/>
        <v/>
      </c>
      <c r="S810" s="21"/>
      <c r="Z810" s="8"/>
      <c r="AA810">
        <v>1</v>
      </c>
      <c r="AB810">
        <f t="shared" si="128"/>
        <v>0</v>
      </c>
      <c r="AC810">
        <v>1</v>
      </c>
      <c r="AF810">
        <v>1</v>
      </c>
      <c r="AG810" s="8"/>
      <c r="AH810" s="8"/>
      <c r="AK810" cm="1">
        <f t="array" ref="AK810">_xlfn.IFS(B810="","",LEFT(G810,1)="L",1,LEFT(G810,1)="W",1,AND(LEFT(B810,1)="H",G810=""),0)</f>
        <v>1</v>
      </c>
      <c r="AS810" t="str">
        <f t="shared" si="129"/>
        <v/>
      </c>
      <c r="AT810" t="s">
        <v>115</v>
      </c>
      <c r="AU810" t="str">
        <f t="shared" si="130"/>
        <v>0</v>
      </c>
      <c r="BD810" t="str">
        <f t="shared" si="131"/>
        <v>0</v>
      </c>
      <c r="BK810" t="str">
        <f>IFERROR(VLOOKUP(B810,'[1]model_S-フレーム'!$F$5:$R$7000,13,1),"")</f>
        <v>E389458_01</v>
      </c>
      <c r="BL810" s="7">
        <f>IFERROR(VLOOKUP(B810,'[1]model_S-フレーム'!$F$5:$V$7000,17,1),"")</f>
        <v>0</v>
      </c>
      <c r="BM810" t="str" cm="1">
        <f t="array" ref="BM810">_xlfn.IFS(LEFT(G810,1)="L","外注品",LEFT(G810,1)="W","内製品",G810="","購買品")</f>
        <v>内製品</v>
      </c>
    </row>
    <row r="811" spans="1:65">
      <c r="A811" t="str">
        <f t="shared" si="123"/>
        <v>WG01</v>
      </c>
      <c r="B811" t="s">
        <v>970</v>
      </c>
      <c r="C811" t="s">
        <v>1512</v>
      </c>
      <c r="D811" s="7"/>
      <c r="E811" s="7"/>
      <c r="G811" t="s">
        <v>1939</v>
      </c>
      <c r="H811" t="str" cm="1">
        <f t="array" ref="H811">IFERROR(_xlfn.IFS(B811="","",AND(B811="",G811=""),"",G811="","記載要"),"")</f>
        <v/>
      </c>
      <c r="K811" t="str">
        <f t="shared" si="124"/>
        <v>11WP01008380</v>
      </c>
      <c r="L811" s="3" t="str">
        <f t="shared" si="125"/>
        <v>2001/01/01</v>
      </c>
      <c r="M811" s="3" t="str">
        <f t="shared" si="126"/>
        <v>2199/12/31</v>
      </c>
      <c r="N811" t="str">
        <f t="shared" si="127"/>
        <v>11WP01008380</v>
      </c>
      <c r="O811">
        <v>15</v>
      </c>
      <c r="Q811" t="str" cm="1">
        <f t="array" ref="Q811">_xlfn.IFS(AND(C811="",G811=""),"",LEFT(G811,1)="L","記載要",LEFT(G811,1)="W","",AND(C811,G811=""),"記載要")</f>
        <v/>
      </c>
      <c r="R811" s="21" t="str">
        <f t="shared" si="132"/>
        <v/>
      </c>
      <c r="S811" s="21"/>
      <c r="Z811" s="8"/>
      <c r="AA811">
        <v>1</v>
      </c>
      <c r="AB811">
        <f t="shared" si="128"/>
        <v>0</v>
      </c>
      <c r="AC811">
        <v>1</v>
      </c>
      <c r="AF811">
        <v>1</v>
      </c>
      <c r="AG811" s="8"/>
      <c r="AH811" s="8"/>
      <c r="AK811" cm="1">
        <f t="array" ref="AK811">_xlfn.IFS(B811="","",LEFT(G811,1)="L",1,LEFT(G811,1)="W",1,AND(LEFT(B811,1)="H",G811=""),0)</f>
        <v>1</v>
      </c>
      <c r="AS811" t="str">
        <f t="shared" si="129"/>
        <v/>
      </c>
      <c r="AT811" t="s">
        <v>115</v>
      </c>
      <c r="AU811" t="str">
        <f t="shared" si="130"/>
        <v>0</v>
      </c>
      <c r="BD811" t="str">
        <f t="shared" si="131"/>
        <v>0</v>
      </c>
      <c r="BK811" t="str">
        <f>IFERROR(VLOOKUP(B811,'[1]model_S-フレーム'!$F$5:$R$7000,13,1),"")</f>
        <v>E389458_01</v>
      </c>
      <c r="BL811" s="7">
        <f>IFERROR(VLOOKUP(B811,'[1]model_S-フレーム'!$F$5:$V$7000,17,1),"")</f>
        <v>0</v>
      </c>
      <c r="BM811" t="str" cm="1">
        <f t="array" ref="BM811">_xlfn.IFS(LEFT(G811,1)="L","外注品",LEFT(G811,1)="W","内製品",G811="","購買品")</f>
        <v>内製品</v>
      </c>
    </row>
    <row r="812" spans="1:65">
      <c r="A812" t="str">
        <f t="shared" si="123"/>
        <v>WG01</v>
      </c>
      <c r="B812" t="s">
        <v>971</v>
      </c>
      <c r="C812" t="s">
        <v>1512</v>
      </c>
      <c r="D812" s="7"/>
      <c r="E812" s="7"/>
      <c r="G812" t="s">
        <v>1939</v>
      </c>
      <c r="H812" t="str" cm="1">
        <f t="array" ref="H812">IFERROR(_xlfn.IFS(B812="","",AND(B812="",G812=""),"",G812="","記載要"),"")</f>
        <v/>
      </c>
      <c r="K812" t="str">
        <f t="shared" si="124"/>
        <v>11WP01008381</v>
      </c>
      <c r="L812" s="3" t="str">
        <f t="shared" si="125"/>
        <v>2001/01/01</v>
      </c>
      <c r="M812" s="3" t="str">
        <f t="shared" si="126"/>
        <v>2199/12/31</v>
      </c>
      <c r="N812" t="str">
        <f t="shared" si="127"/>
        <v>11WP01008381</v>
      </c>
      <c r="O812">
        <v>15</v>
      </c>
      <c r="Q812" t="str" cm="1">
        <f t="array" ref="Q812">_xlfn.IFS(AND(C812="",G812=""),"",LEFT(G812,1)="L","記載要",LEFT(G812,1)="W","",AND(C812,G812=""),"記載要")</f>
        <v/>
      </c>
      <c r="R812" s="21" t="str">
        <f t="shared" si="132"/>
        <v/>
      </c>
      <c r="S812" s="21"/>
      <c r="Z812" s="8"/>
      <c r="AA812">
        <v>1</v>
      </c>
      <c r="AB812">
        <f t="shared" si="128"/>
        <v>0</v>
      </c>
      <c r="AC812">
        <v>1</v>
      </c>
      <c r="AF812">
        <v>1</v>
      </c>
      <c r="AG812" s="8"/>
      <c r="AH812" s="8"/>
      <c r="AK812" cm="1">
        <f t="array" ref="AK812">_xlfn.IFS(B812="","",LEFT(G812,1)="L",1,LEFT(G812,1)="W",1,AND(LEFT(B812,1)="H",G812=""),0)</f>
        <v>1</v>
      </c>
      <c r="AS812" t="str">
        <f t="shared" si="129"/>
        <v/>
      </c>
      <c r="AT812" t="s">
        <v>115</v>
      </c>
      <c r="AU812" t="str">
        <f t="shared" si="130"/>
        <v>0</v>
      </c>
      <c r="BD812" t="str">
        <f t="shared" si="131"/>
        <v>0</v>
      </c>
      <c r="BK812" t="str">
        <f>IFERROR(VLOOKUP(B812,'[1]model_S-フレーム'!$F$5:$R$7000,13,1),"")</f>
        <v>E389458_01</v>
      </c>
      <c r="BL812" s="7">
        <f>IFERROR(VLOOKUP(B812,'[1]model_S-フレーム'!$F$5:$V$7000,17,1),"")</f>
        <v>0</v>
      </c>
      <c r="BM812" t="str" cm="1">
        <f t="array" ref="BM812">_xlfn.IFS(LEFT(G812,1)="L","外注品",LEFT(G812,1)="W","内製品",G812="","購買品")</f>
        <v>内製品</v>
      </c>
    </row>
    <row r="813" spans="1:65">
      <c r="A813" t="str">
        <f t="shared" si="123"/>
        <v>WG01</v>
      </c>
      <c r="B813" t="s">
        <v>972</v>
      </c>
      <c r="C813" t="s">
        <v>1512</v>
      </c>
      <c r="D813" s="7"/>
      <c r="E813" s="7"/>
      <c r="G813" t="s">
        <v>1939</v>
      </c>
      <c r="H813" t="str" cm="1">
        <f t="array" ref="H813">IFERROR(_xlfn.IFS(B813="","",AND(B813="",G813=""),"",G813="","記載要"),"")</f>
        <v/>
      </c>
      <c r="K813" t="str">
        <f t="shared" si="124"/>
        <v>11WP01008382</v>
      </c>
      <c r="L813" s="3" t="str">
        <f t="shared" si="125"/>
        <v>2001/01/01</v>
      </c>
      <c r="M813" s="3" t="str">
        <f t="shared" si="126"/>
        <v>2199/12/31</v>
      </c>
      <c r="N813" t="str">
        <f t="shared" si="127"/>
        <v>11WP01008382</v>
      </c>
      <c r="O813">
        <v>15</v>
      </c>
      <c r="Q813" t="str" cm="1">
        <f t="array" ref="Q813">_xlfn.IFS(AND(C813="",G813=""),"",LEFT(G813,1)="L","記載要",LEFT(G813,1)="W","",AND(C813,G813=""),"記載要")</f>
        <v/>
      </c>
      <c r="R813" s="21" t="str">
        <f t="shared" si="132"/>
        <v/>
      </c>
      <c r="S813" s="21"/>
      <c r="Z813" s="8"/>
      <c r="AA813">
        <v>1</v>
      </c>
      <c r="AB813">
        <f t="shared" si="128"/>
        <v>0</v>
      </c>
      <c r="AC813">
        <v>1</v>
      </c>
      <c r="AF813">
        <v>1</v>
      </c>
      <c r="AG813" s="8"/>
      <c r="AH813" s="8"/>
      <c r="AK813" cm="1">
        <f t="array" ref="AK813">_xlfn.IFS(B813="","",LEFT(G813,1)="L",1,LEFT(G813,1)="W",1,AND(LEFT(B813,1)="H",G813=""),0)</f>
        <v>1</v>
      </c>
      <c r="AS813" t="str">
        <f t="shared" si="129"/>
        <v/>
      </c>
      <c r="AT813" t="s">
        <v>115</v>
      </c>
      <c r="AU813" t="str">
        <f t="shared" si="130"/>
        <v>0</v>
      </c>
      <c r="BD813" t="str">
        <f t="shared" si="131"/>
        <v>0</v>
      </c>
      <c r="BK813" t="str">
        <f>IFERROR(VLOOKUP(B813,'[1]model_S-フレーム'!$F$5:$R$7000,13,1),"")</f>
        <v>E389458_01</v>
      </c>
      <c r="BL813" s="7">
        <f>IFERROR(VLOOKUP(B813,'[1]model_S-フレーム'!$F$5:$V$7000,17,1),"")</f>
        <v>0</v>
      </c>
      <c r="BM813" t="str" cm="1">
        <f t="array" ref="BM813">_xlfn.IFS(LEFT(G813,1)="L","外注品",LEFT(G813,1)="W","内製品",G813="","購買品")</f>
        <v>内製品</v>
      </c>
    </row>
    <row r="814" spans="1:65">
      <c r="A814" t="str">
        <f t="shared" si="123"/>
        <v>WG01</v>
      </c>
      <c r="B814" t="s">
        <v>973</v>
      </c>
      <c r="C814" t="s">
        <v>1512</v>
      </c>
      <c r="D814" s="7"/>
      <c r="E814" s="7"/>
      <c r="G814" t="s">
        <v>1939</v>
      </c>
      <c r="H814" t="str" cm="1">
        <f t="array" ref="H814">IFERROR(_xlfn.IFS(B814="","",AND(B814="",G814=""),"",G814="","記載要"),"")</f>
        <v/>
      </c>
      <c r="K814" t="str">
        <f t="shared" si="124"/>
        <v>11WP01008383</v>
      </c>
      <c r="L814" s="3" t="str">
        <f t="shared" si="125"/>
        <v>2001/01/01</v>
      </c>
      <c r="M814" s="3" t="str">
        <f t="shared" si="126"/>
        <v>2199/12/31</v>
      </c>
      <c r="N814" t="str">
        <f t="shared" si="127"/>
        <v>11WP01008383</v>
      </c>
      <c r="O814">
        <v>15</v>
      </c>
      <c r="Q814" t="str" cm="1">
        <f t="array" ref="Q814">_xlfn.IFS(AND(C814="",G814=""),"",LEFT(G814,1)="L","記載要",LEFT(G814,1)="W","",AND(C814,G814=""),"記載要")</f>
        <v/>
      </c>
      <c r="R814" s="21" t="str">
        <f t="shared" si="132"/>
        <v/>
      </c>
      <c r="S814" s="21"/>
      <c r="Z814" s="8"/>
      <c r="AA814">
        <v>1</v>
      </c>
      <c r="AB814">
        <f t="shared" si="128"/>
        <v>0</v>
      </c>
      <c r="AC814">
        <v>1</v>
      </c>
      <c r="AF814">
        <v>1</v>
      </c>
      <c r="AG814" s="8"/>
      <c r="AH814" s="8"/>
      <c r="AK814" cm="1">
        <f t="array" ref="AK814">_xlfn.IFS(B814="","",LEFT(G814,1)="L",1,LEFT(G814,1)="W",1,AND(LEFT(B814,1)="H",G814=""),0)</f>
        <v>1</v>
      </c>
      <c r="AS814" t="str">
        <f t="shared" si="129"/>
        <v/>
      </c>
      <c r="AT814" t="s">
        <v>115</v>
      </c>
      <c r="AU814" t="str">
        <f t="shared" si="130"/>
        <v>0</v>
      </c>
      <c r="BD814" t="str">
        <f t="shared" si="131"/>
        <v>0</v>
      </c>
      <c r="BK814" t="str">
        <f>IFERROR(VLOOKUP(B814,'[1]model_S-フレーム'!$F$5:$R$7000,13,1),"")</f>
        <v>E389458_01</v>
      </c>
      <c r="BL814" s="7">
        <f>IFERROR(VLOOKUP(B814,'[1]model_S-フレーム'!$F$5:$V$7000,17,1),"")</f>
        <v>0</v>
      </c>
      <c r="BM814" t="str" cm="1">
        <f t="array" ref="BM814">_xlfn.IFS(LEFT(G814,1)="L","外注品",LEFT(G814,1)="W","内製品",G814="","購買品")</f>
        <v>内製品</v>
      </c>
    </row>
    <row r="815" spans="1:65">
      <c r="A815" t="str">
        <f t="shared" si="123"/>
        <v>WG01</v>
      </c>
      <c r="B815" t="s">
        <v>974</v>
      </c>
      <c r="C815" t="s">
        <v>1512</v>
      </c>
      <c r="D815" s="7"/>
      <c r="E815" s="7"/>
      <c r="G815" t="s">
        <v>1939</v>
      </c>
      <c r="H815" t="str" cm="1">
        <f t="array" ref="H815">IFERROR(_xlfn.IFS(B815="","",AND(B815="",G815=""),"",G815="","記載要"),"")</f>
        <v/>
      </c>
      <c r="K815" t="str">
        <f t="shared" si="124"/>
        <v>11WP01008384</v>
      </c>
      <c r="L815" s="3" t="str">
        <f t="shared" si="125"/>
        <v>2001/01/01</v>
      </c>
      <c r="M815" s="3" t="str">
        <f t="shared" si="126"/>
        <v>2199/12/31</v>
      </c>
      <c r="N815" t="str">
        <f t="shared" si="127"/>
        <v>11WP01008384</v>
      </c>
      <c r="O815">
        <v>15</v>
      </c>
      <c r="Q815" t="str" cm="1">
        <f t="array" ref="Q815">_xlfn.IFS(AND(C815="",G815=""),"",LEFT(G815,1)="L","記載要",LEFT(G815,1)="W","",AND(C815,G815=""),"記載要")</f>
        <v/>
      </c>
      <c r="R815" s="21" t="str">
        <f t="shared" si="132"/>
        <v/>
      </c>
      <c r="S815" s="21"/>
      <c r="Z815" s="8"/>
      <c r="AA815">
        <v>1</v>
      </c>
      <c r="AB815">
        <f t="shared" si="128"/>
        <v>0</v>
      </c>
      <c r="AC815">
        <v>1</v>
      </c>
      <c r="AF815">
        <v>1</v>
      </c>
      <c r="AG815" s="8"/>
      <c r="AH815" s="8"/>
      <c r="AK815" cm="1">
        <f t="array" ref="AK815">_xlfn.IFS(B815="","",LEFT(G815,1)="L",1,LEFT(G815,1)="W",1,AND(LEFT(B815,1)="H",G815=""),0)</f>
        <v>1</v>
      </c>
      <c r="AS815" t="str">
        <f t="shared" si="129"/>
        <v/>
      </c>
      <c r="AT815" t="s">
        <v>115</v>
      </c>
      <c r="AU815" t="str">
        <f t="shared" si="130"/>
        <v>0</v>
      </c>
      <c r="BD815" t="str">
        <f t="shared" si="131"/>
        <v>0</v>
      </c>
      <c r="BK815" t="str">
        <f>IFERROR(VLOOKUP(B815,'[1]model_S-フレーム'!$F$5:$R$7000,13,1),"")</f>
        <v>E389458_01</v>
      </c>
      <c r="BL815" s="7">
        <f>IFERROR(VLOOKUP(B815,'[1]model_S-フレーム'!$F$5:$V$7000,17,1),"")</f>
        <v>0</v>
      </c>
      <c r="BM815" t="str" cm="1">
        <f t="array" ref="BM815">_xlfn.IFS(LEFT(G815,1)="L","外注品",LEFT(G815,1)="W","内製品",G815="","購買品")</f>
        <v>内製品</v>
      </c>
    </row>
    <row r="816" spans="1:65">
      <c r="A816" t="str">
        <f t="shared" si="123"/>
        <v>WG01</v>
      </c>
      <c r="B816" t="s">
        <v>975</v>
      </c>
      <c r="C816" t="s">
        <v>1512</v>
      </c>
      <c r="D816" s="7"/>
      <c r="E816" s="7"/>
      <c r="G816" t="s">
        <v>1939</v>
      </c>
      <c r="H816" t="str" cm="1">
        <f t="array" ref="H816">IFERROR(_xlfn.IFS(B816="","",AND(B816="",G816=""),"",G816="","記載要"),"")</f>
        <v/>
      </c>
      <c r="K816" t="str">
        <f t="shared" si="124"/>
        <v>11WP01008385</v>
      </c>
      <c r="L816" s="3" t="str">
        <f t="shared" si="125"/>
        <v>2001/01/01</v>
      </c>
      <c r="M816" s="3" t="str">
        <f t="shared" si="126"/>
        <v>2199/12/31</v>
      </c>
      <c r="N816" t="str">
        <f t="shared" si="127"/>
        <v>11WP01008385</v>
      </c>
      <c r="O816">
        <v>15</v>
      </c>
      <c r="Q816" t="str" cm="1">
        <f t="array" ref="Q816">_xlfn.IFS(AND(C816="",G816=""),"",LEFT(G816,1)="L","記載要",LEFT(G816,1)="W","",AND(C816,G816=""),"記載要")</f>
        <v/>
      </c>
      <c r="R816" s="21" t="str">
        <f t="shared" si="132"/>
        <v/>
      </c>
      <c r="S816" s="21"/>
      <c r="Z816" s="8"/>
      <c r="AA816">
        <v>1</v>
      </c>
      <c r="AB816">
        <f t="shared" si="128"/>
        <v>0</v>
      </c>
      <c r="AC816">
        <v>1</v>
      </c>
      <c r="AF816">
        <v>1</v>
      </c>
      <c r="AG816" s="8"/>
      <c r="AH816" s="8"/>
      <c r="AK816" cm="1">
        <f t="array" ref="AK816">_xlfn.IFS(B816="","",LEFT(G816,1)="L",1,LEFT(G816,1)="W",1,AND(LEFT(B816,1)="H",G816=""),0)</f>
        <v>1</v>
      </c>
      <c r="AS816" t="str">
        <f t="shared" si="129"/>
        <v/>
      </c>
      <c r="AT816" t="s">
        <v>115</v>
      </c>
      <c r="AU816" t="str">
        <f t="shared" si="130"/>
        <v>0</v>
      </c>
      <c r="BD816" t="str">
        <f t="shared" si="131"/>
        <v>0</v>
      </c>
      <c r="BK816" t="str">
        <f>IFERROR(VLOOKUP(B816,'[1]model_S-フレーム'!$F$5:$R$7000,13,1),"")</f>
        <v>E389458_01</v>
      </c>
      <c r="BL816" s="7">
        <f>IFERROR(VLOOKUP(B816,'[1]model_S-フレーム'!$F$5:$V$7000,17,1),"")</f>
        <v>0</v>
      </c>
      <c r="BM816" t="str" cm="1">
        <f t="array" ref="BM816">_xlfn.IFS(LEFT(G816,1)="L","外注品",LEFT(G816,1)="W","内製品",G816="","購買品")</f>
        <v>内製品</v>
      </c>
    </row>
    <row r="817" spans="1:65">
      <c r="A817" t="str">
        <f t="shared" si="123"/>
        <v>WG01</v>
      </c>
      <c r="B817" t="s">
        <v>976</v>
      </c>
      <c r="C817" t="s">
        <v>1512</v>
      </c>
      <c r="D817" s="7"/>
      <c r="E817" s="7"/>
      <c r="G817" t="s">
        <v>1939</v>
      </c>
      <c r="H817" t="str" cm="1">
        <f t="array" ref="H817">IFERROR(_xlfn.IFS(B817="","",AND(B817="",G817=""),"",G817="","記載要"),"")</f>
        <v/>
      </c>
      <c r="K817" t="str">
        <f t="shared" si="124"/>
        <v>11WP01008386</v>
      </c>
      <c r="L817" s="3" t="str">
        <f t="shared" si="125"/>
        <v>2001/01/01</v>
      </c>
      <c r="M817" s="3" t="str">
        <f t="shared" si="126"/>
        <v>2199/12/31</v>
      </c>
      <c r="N817" t="str">
        <f t="shared" si="127"/>
        <v>11WP01008386</v>
      </c>
      <c r="O817">
        <v>15</v>
      </c>
      <c r="Q817" t="str" cm="1">
        <f t="array" ref="Q817">_xlfn.IFS(AND(C817="",G817=""),"",LEFT(G817,1)="L","記載要",LEFT(G817,1)="W","",AND(C817,G817=""),"記載要")</f>
        <v/>
      </c>
      <c r="R817" s="21" t="str">
        <f t="shared" si="132"/>
        <v/>
      </c>
      <c r="S817" s="21"/>
      <c r="Z817" s="8"/>
      <c r="AA817">
        <v>1</v>
      </c>
      <c r="AB817">
        <f t="shared" si="128"/>
        <v>0</v>
      </c>
      <c r="AC817">
        <v>1</v>
      </c>
      <c r="AF817">
        <v>1</v>
      </c>
      <c r="AG817" s="8"/>
      <c r="AH817" s="8"/>
      <c r="AK817" cm="1">
        <f t="array" ref="AK817">_xlfn.IFS(B817="","",LEFT(G817,1)="L",1,LEFT(G817,1)="W",1,AND(LEFT(B817,1)="H",G817=""),0)</f>
        <v>1</v>
      </c>
      <c r="AS817" t="str">
        <f t="shared" si="129"/>
        <v/>
      </c>
      <c r="AT817" t="s">
        <v>115</v>
      </c>
      <c r="AU817" t="str">
        <f t="shared" si="130"/>
        <v>0</v>
      </c>
      <c r="BD817" t="str">
        <f t="shared" si="131"/>
        <v>0</v>
      </c>
      <c r="BK817" t="str">
        <f>IFERROR(VLOOKUP(B817,'[1]model_S-フレーム'!$F$5:$R$7000,13,1),"")</f>
        <v>E389458_01</v>
      </c>
      <c r="BL817" s="7">
        <f>IFERROR(VLOOKUP(B817,'[1]model_S-フレーム'!$F$5:$V$7000,17,1),"")</f>
        <v>0</v>
      </c>
      <c r="BM817" t="str" cm="1">
        <f t="array" ref="BM817">_xlfn.IFS(LEFT(G817,1)="L","外注品",LEFT(G817,1)="W","内製品",G817="","購買品")</f>
        <v>内製品</v>
      </c>
    </row>
    <row r="818" spans="1:65">
      <c r="A818" t="str">
        <f t="shared" si="123"/>
        <v>WG01</v>
      </c>
      <c r="B818" t="s">
        <v>977</v>
      </c>
      <c r="C818" t="s">
        <v>1513</v>
      </c>
      <c r="D818" s="7"/>
      <c r="E818" s="7"/>
      <c r="G818" t="s">
        <v>1939</v>
      </c>
      <c r="H818" t="str" cm="1">
        <f t="array" ref="H818">IFERROR(_xlfn.IFS(B818="","",AND(B818="",G818=""),"",G818="","記載要"),"")</f>
        <v/>
      </c>
      <c r="K818" t="str">
        <f t="shared" si="124"/>
        <v>11WP01008387</v>
      </c>
      <c r="L818" s="3" t="str">
        <f t="shared" si="125"/>
        <v>2001/01/01</v>
      </c>
      <c r="M818" s="3" t="str">
        <f t="shared" si="126"/>
        <v>2199/12/31</v>
      </c>
      <c r="N818" t="str">
        <f t="shared" si="127"/>
        <v>11WP01008387</v>
      </c>
      <c r="O818">
        <v>15</v>
      </c>
      <c r="Q818" t="str" cm="1">
        <f t="array" ref="Q818">_xlfn.IFS(AND(C818="",G818=""),"",LEFT(G818,1)="L","記載要",LEFT(G818,1)="W","",AND(C818,G818=""),"記載要")</f>
        <v/>
      </c>
      <c r="R818" s="21" t="str">
        <f t="shared" si="132"/>
        <v/>
      </c>
      <c r="S818" s="21"/>
      <c r="Z818" s="8"/>
      <c r="AA818">
        <v>1</v>
      </c>
      <c r="AB818">
        <f t="shared" si="128"/>
        <v>0</v>
      </c>
      <c r="AC818">
        <v>1</v>
      </c>
      <c r="AF818">
        <v>1</v>
      </c>
      <c r="AG818" s="8"/>
      <c r="AH818" s="8"/>
      <c r="AK818" cm="1">
        <f t="array" ref="AK818">_xlfn.IFS(B818="","",LEFT(G818,1)="L",1,LEFT(G818,1)="W",1,AND(LEFT(B818,1)="H",G818=""),0)</f>
        <v>1</v>
      </c>
      <c r="AS818" t="str">
        <f t="shared" si="129"/>
        <v/>
      </c>
      <c r="AT818" t="s">
        <v>115</v>
      </c>
      <c r="AU818" t="str">
        <f t="shared" si="130"/>
        <v>0</v>
      </c>
      <c r="BD818" t="str">
        <f t="shared" si="131"/>
        <v>0</v>
      </c>
      <c r="BK818" t="str">
        <f>IFERROR(VLOOKUP(B818,'[1]model_S-フレーム'!$F$5:$R$7000,13,1),"")</f>
        <v>E389458_01</v>
      </c>
      <c r="BL818" s="7">
        <f>IFERROR(VLOOKUP(B818,'[1]model_S-フレーム'!$F$5:$V$7000,17,1),"")</f>
        <v>0</v>
      </c>
      <c r="BM818" t="str" cm="1">
        <f t="array" ref="BM818">_xlfn.IFS(LEFT(G818,1)="L","外注品",LEFT(G818,1)="W","内製品",G818="","購買品")</f>
        <v>内製品</v>
      </c>
    </row>
    <row r="819" spans="1:65">
      <c r="A819" t="str">
        <f t="shared" si="123"/>
        <v>WG01</v>
      </c>
      <c r="B819" t="s">
        <v>978</v>
      </c>
      <c r="C819" t="s">
        <v>1513</v>
      </c>
      <c r="D819" s="7"/>
      <c r="E819" s="7"/>
      <c r="G819" t="s">
        <v>1939</v>
      </c>
      <c r="H819" t="str" cm="1">
        <f t="array" ref="H819">IFERROR(_xlfn.IFS(B819="","",AND(B819="",G819=""),"",G819="","記載要"),"")</f>
        <v/>
      </c>
      <c r="K819" t="str">
        <f t="shared" si="124"/>
        <v>11WP01008388</v>
      </c>
      <c r="L819" s="3" t="str">
        <f t="shared" si="125"/>
        <v>2001/01/01</v>
      </c>
      <c r="M819" s="3" t="str">
        <f t="shared" si="126"/>
        <v>2199/12/31</v>
      </c>
      <c r="N819" t="str">
        <f t="shared" si="127"/>
        <v>11WP01008388</v>
      </c>
      <c r="O819">
        <v>15</v>
      </c>
      <c r="Q819" t="str" cm="1">
        <f t="array" ref="Q819">_xlfn.IFS(AND(C819="",G819=""),"",LEFT(G819,1)="L","記載要",LEFT(G819,1)="W","",AND(C819,G819=""),"記載要")</f>
        <v/>
      </c>
      <c r="R819" s="21" t="str">
        <f t="shared" si="132"/>
        <v/>
      </c>
      <c r="S819" s="21"/>
      <c r="Z819" s="8"/>
      <c r="AA819">
        <v>1</v>
      </c>
      <c r="AB819">
        <f t="shared" si="128"/>
        <v>0</v>
      </c>
      <c r="AC819">
        <v>1</v>
      </c>
      <c r="AF819">
        <v>1</v>
      </c>
      <c r="AG819" s="8"/>
      <c r="AH819" s="8"/>
      <c r="AK819" cm="1">
        <f t="array" ref="AK819">_xlfn.IFS(B819="","",LEFT(G819,1)="L",1,LEFT(G819,1)="W",1,AND(LEFT(B819,1)="H",G819=""),0)</f>
        <v>1</v>
      </c>
      <c r="AS819" t="str">
        <f t="shared" si="129"/>
        <v/>
      </c>
      <c r="AT819" t="s">
        <v>115</v>
      </c>
      <c r="AU819" t="str">
        <f t="shared" si="130"/>
        <v>0</v>
      </c>
      <c r="BD819" t="str">
        <f t="shared" si="131"/>
        <v>0</v>
      </c>
      <c r="BK819" t="str">
        <f>IFERROR(VLOOKUP(B819,'[1]model_S-フレーム'!$F$5:$R$7000,13,1),"")</f>
        <v>E389458_01</v>
      </c>
      <c r="BL819" s="7">
        <f>IFERROR(VLOOKUP(B819,'[1]model_S-フレーム'!$F$5:$V$7000,17,1),"")</f>
        <v>0</v>
      </c>
      <c r="BM819" t="str" cm="1">
        <f t="array" ref="BM819">_xlfn.IFS(LEFT(G819,1)="L","外注品",LEFT(G819,1)="W","内製品",G819="","購買品")</f>
        <v>内製品</v>
      </c>
    </row>
    <row r="820" spans="1:65">
      <c r="A820" t="str">
        <f t="shared" si="123"/>
        <v>WG01</v>
      </c>
      <c r="B820" t="s">
        <v>979</v>
      </c>
      <c r="C820" t="s">
        <v>1513</v>
      </c>
      <c r="D820" s="7"/>
      <c r="E820" s="7"/>
      <c r="G820" t="s">
        <v>1939</v>
      </c>
      <c r="H820" t="str" cm="1">
        <f t="array" ref="H820">IFERROR(_xlfn.IFS(B820="","",AND(B820="",G820=""),"",G820="","記載要"),"")</f>
        <v/>
      </c>
      <c r="K820" t="str">
        <f t="shared" si="124"/>
        <v>11WP01008389</v>
      </c>
      <c r="L820" s="3" t="str">
        <f t="shared" si="125"/>
        <v>2001/01/01</v>
      </c>
      <c r="M820" s="3" t="str">
        <f t="shared" si="126"/>
        <v>2199/12/31</v>
      </c>
      <c r="N820" t="str">
        <f t="shared" si="127"/>
        <v>11WP01008389</v>
      </c>
      <c r="O820">
        <v>15</v>
      </c>
      <c r="Q820" t="str" cm="1">
        <f t="array" ref="Q820">_xlfn.IFS(AND(C820="",G820=""),"",LEFT(G820,1)="L","記載要",LEFT(G820,1)="W","",AND(C820,G820=""),"記載要")</f>
        <v/>
      </c>
      <c r="R820" s="21" t="str">
        <f t="shared" si="132"/>
        <v/>
      </c>
      <c r="S820" s="21"/>
      <c r="Z820" s="8"/>
      <c r="AA820">
        <v>1</v>
      </c>
      <c r="AB820">
        <f t="shared" si="128"/>
        <v>0</v>
      </c>
      <c r="AC820">
        <v>1</v>
      </c>
      <c r="AF820">
        <v>1</v>
      </c>
      <c r="AG820" s="8"/>
      <c r="AH820" s="8"/>
      <c r="AK820" cm="1">
        <f t="array" ref="AK820">_xlfn.IFS(B820="","",LEFT(G820,1)="L",1,LEFT(G820,1)="W",1,AND(LEFT(B820,1)="H",G820=""),0)</f>
        <v>1</v>
      </c>
      <c r="AS820" t="str">
        <f t="shared" si="129"/>
        <v/>
      </c>
      <c r="AT820" t="s">
        <v>115</v>
      </c>
      <c r="AU820" t="str">
        <f t="shared" si="130"/>
        <v>0</v>
      </c>
      <c r="BD820" t="str">
        <f t="shared" si="131"/>
        <v>0</v>
      </c>
      <c r="BK820" t="str">
        <f>IFERROR(VLOOKUP(B820,'[1]model_S-フレーム'!$F$5:$R$7000,13,1),"")</f>
        <v>E389458_01</v>
      </c>
      <c r="BL820" s="7">
        <f>IFERROR(VLOOKUP(B820,'[1]model_S-フレーム'!$F$5:$V$7000,17,1),"")</f>
        <v>0</v>
      </c>
      <c r="BM820" t="str" cm="1">
        <f t="array" ref="BM820">_xlfn.IFS(LEFT(G820,1)="L","外注品",LEFT(G820,1)="W","内製品",G820="","購買品")</f>
        <v>内製品</v>
      </c>
    </row>
    <row r="821" spans="1:65">
      <c r="A821" t="str">
        <f t="shared" si="123"/>
        <v>WG01</v>
      </c>
      <c r="B821" t="s">
        <v>980</v>
      </c>
      <c r="C821" t="s">
        <v>1513</v>
      </c>
      <c r="D821" s="7"/>
      <c r="E821" s="7"/>
      <c r="G821" t="s">
        <v>1939</v>
      </c>
      <c r="H821" t="str" cm="1">
        <f t="array" ref="H821">IFERROR(_xlfn.IFS(B821="","",AND(B821="",G821=""),"",G821="","記載要"),"")</f>
        <v/>
      </c>
      <c r="K821" t="str">
        <f t="shared" si="124"/>
        <v>11WP01008390</v>
      </c>
      <c r="L821" s="3" t="str">
        <f t="shared" si="125"/>
        <v>2001/01/01</v>
      </c>
      <c r="M821" s="3" t="str">
        <f t="shared" si="126"/>
        <v>2199/12/31</v>
      </c>
      <c r="N821" t="str">
        <f t="shared" si="127"/>
        <v>11WP01008390</v>
      </c>
      <c r="O821">
        <v>15</v>
      </c>
      <c r="Q821" t="str" cm="1">
        <f t="array" ref="Q821">_xlfn.IFS(AND(C821="",G821=""),"",LEFT(G821,1)="L","記載要",LEFT(G821,1)="W","",AND(C821,G821=""),"記載要")</f>
        <v/>
      </c>
      <c r="R821" s="21" t="str">
        <f t="shared" si="132"/>
        <v/>
      </c>
      <c r="S821" s="21"/>
      <c r="Z821" s="8"/>
      <c r="AA821">
        <v>1</v>
      </c>
      <c r="AB821">
        <f t="shared" si="128"/>
        <v>0</v>
      </c>
      <c r="AC821">
        <v>1</v>
      </c>
      <c r="AF821">
        <v>1</v>
      </c>
      <c r="AG821" s="8"/>
      <c r="AH821" s="8"/>
      <c r="AK821" cm="1">
        <f t="array" ref="AK821">_xlfn.IFS(B821="","",LEFT(G821,1)="L",1,LEFT(G821,1)="W",1,AND(LEFT(B821,1)="H",G821=""),0)</f>
        <v>1</v>
      </c>
      <c r="AS821" t="str">
        <f t="shared" si="129"/>
        <v/>
      </c>
      <c r="AT821" t="s">
        <v>115</v>
      </c>
      <c r="AU821" t="str">
        <f t="shared" si="130"/>
        <v>0</v>
      </c>
      <c r="BD821" t="str">
        <f t="shared" si="131"/>
        <v>0</v>
      </c>
      <c r="BK821" t="str">
        <f>IFERROR(VLOOKUP(B821,'[1]model_S-フレーム'!$F$5:$R$7000,13,1),"")</f>
        <v>E389458_01</v>
      </c>
      <c r="BL821" s="7">
        <f>IFERROR(VLOOKUP(B821,'[1]model_S-フレーム'!$F$5:$V$7000,17,1),"")</f>
        <v>0</v>
      </c>
      <c r="BM821" t="str" cm="1">
        <f t="array" ref="BM821">_xlfn.IFS(LEFT(G821,1)="L","外注品",LEFT(G821,1)="W","内製品",G821="","購買品")</f>
        <v>内製品</v>
      </c>
    </row>
    <row r="822" spans="1:65">
      <c r="A822" t="str">
        <f t="shared" si="123"/>
        <v>WG01</v>
      </c>
      <c r="B822" t="s">
        <v>981</v>
      </c>
      <c r="C822" t="s">
        <v>1513</v>
      </c>
      <c r="D822" s="7"/>
      <c r="E822" s="7"/>
      <c r="G822" t="s">
        <v>1939</v>
      </c>
      <c r="H822" t="str" cm="1">
        <f t="array" ref="H822">IFERROR(_xlfn.IFS(B822="","",AND(B822="",G822=""),"",G822="","記載要"),"")</f>
        <v/>
      </c>
      <c r="K822" t="str">
        <f t="shared" si="124"/>
        <v>11WP01008391</v>
      </c>
      <c r="L822" s="3" t="str">
        <f t="shared" si="125"/>
        <v>2001/01/01</v>
      </c>
      <c r="M822" s="3" t="str">
        <f t="shared" si="126"/>
        <v>2199/12/31</v>
      </c>
      <c r="N822" t="str">
        <f t="shared" si="127"/>
        <v>11WP01008391</v>
      </c>
      <c r="O822">
        <v>15</v>
      </c>
      <c r="Q822" t="str" cm="1">
        <f t="array" ref="Q822">_xlfn.IFS(AND(C822="",G822=""),"",LEFT(G822,1)="L","記載要",LEFT(G822,1)="W","",AND(C822,G822=""),"記載要")</f>
        <v/>
      </c>
      <c r="R822" s="21" t="str">
        <f t="shared" si="132"/>
        <v/>
      </c>
      <c r="S822" s="21"/>
      <c r="Z822" s="8"/>
      <c r="AA822">
        <v>1</v>
      </c>
      <c r="AB822">
        <f t="shared" si="128"/>
        <v>0</v>
      </c>
      <c r="AC822">
        <v>1</v>
      </c>
      <c r="AF822">
        <v>1</v>
      </c>
      <c r="AG822" s="8"/>
      <c r="AH822" s="8"/>
      <c r="AK822" cm="1">
        <f t="array" ref="AK822">_xlfn.IFS(B822="","",LEFT(G822,1)="L",1,LEFT(G822,1)="W",1,AND(LEFT(B822,1)="H",G822=""),0)</f>
        <v>1</v>
      </c>
      <c r="AS822" t="str">
        <f t="shared" si="129"/>
        <v/>
      </c>
      <c r="AT822" t="s">
        <v>115</v>
      </c>
      <c r="AU822" t="str">
        <f t="shared" si="130"/>
        <v>0</v>
      </c>
      <c r="BD822" t="str">
        <f t="shared" si="131"/>
        <v>0</v>
      </c>
      <c r="BK822" t="str">
        <f>IFERROR(VLOOKUP(B822,'[1]model_S-フレーム'!$F$5:$R$7000,13,1),"")</f>
        <v>E389458_01</v>
      </c>
      <c r="BL822" s="7">
        <f>IFERROR(VLOOKUP(B822,'[1]model_S-フレーム'!$F$5:$V$7000,17,1),"")</f>
        <v>0</v>
      </c>
      <c r="BM822" t="str" cm="1">
        <f t="array" ref="BM822">_xlfn.IFS(LEFT(G822,1)="L","外注品",LEFT(G822,1)="W","内製品",G822="","購買品")</f>
        <v>内製品</v>
      </c>
    </row>
    <row r="823" spans="1:65">
      <c r="A823" t="str">
        <f t="shared" si="123"/>
        <v>WG01</v>
      </c>
      <c r="B823" t="s">
        <v>982</v>
      </c>
      <c r="C823" t="s">
        <v>1513</v>
      </c>
      <c r="D823" s="7"/>
      <c r="E823" s="7"/>
      <c r="G823" t="s">
        <v>1939</v>
      </c>
      <c r="H823" t="str" cm="1">
        <f t="array" ref="H823">IFERROR(_xlfn.IFS(B823="","",AND(B823="",G823=""),"",G823="","記載要"),"")</f>
        <v/>
      </c>
      <c r="K823" t="str">
        <f t="shared" si="124"/>
        <v>11WP01008392</v>
      </c>
      <c r="L823" s="3" t="str">
        <f t="shared" si="125"/>
        <v>2001/01/01</v>
      </c>
      <c r="M823" s="3" t="str">
        <f t="shared" si="126"/>
        <v>2199/12/31</v>
      </c>
      <c r="N823" t="str">
        <f t="shared" si="127"/>
        <v>11WP01008392</v>
      </c>
      <c r="O823">
        <v>15</v>
      </c>
      <c r="Q823" t="str" cm="1">
        <f t="array" ref="Q823">_xlfn.IFS(AND(C823="",G823=""),"",LEFT(G823,1)="L","記載要",LEFT(G823,1)="W","",AND(C823,G823=""),"記載要")</f>
        <v/>
      </c>
      <c r="R823" s="21" t="str">
        <f t="shared" si="132"/>
        <v/>
      </c>
      <c r="S823" s="21"/>
      <c r="Z823" s="8"/>
      <c r="AA823">
        <v>1</v>
      </c>
      <c r="AB823">
        <f t="shared" si="128"/>
        <v>0</v>
      </c>
      <c r="AC823">
        <v>1</v>
      </c>
      <c r="AF823">
        <v>1</v>
      </c>
      <c r="AG823" s="8"/>
      <c r="AH823" s="8"/>
      <c r="AK823" cm="1">
        <f t="array" ref="AK823">_xlfn.IFS(B823="","",LEFT(G823,1)="L",1,LEFT(G823,1)="W",1,AND(LEFT(B823,1)="H",G823=""),0)</f>
        <v>1</v>
      </c>
      <c r="AS823" t="str">
        <f t="shared" si="129"/>
        <v/>
      </c>
      <c r="AT823" t="s">
        <v>115</v>
      </c>
      <c r="AU823" t="str">
        <f t="shared" si="130"/>
        <v>0</v>
      </c>
      <c r="BD823" t="str">
        <f t="shared" si="131"/>
        <v>0</v>
      </c>
      <c r="BK823" t="str">
        <f>IFERROR(VLOOKUP(B823,'[1]model_S-フレーム'!$F$5:$R$7000,13,1),"")</f>
        <v>E389458_01</v>
      </c>
      <c r="BL823" s="7">
        <f>IFERROR(VLOOKUP(B823,'[1]model_S-フレーム'!$F$5:$V$7000,17,1),"")</f>
        <v>0</v>
      </c>
      <c r="BM823" t="str" cm="1">
        <f t="array" ref="BM823">_xlfn.IFS(LEFT(G823,1)="L","外注品",LEFT(G823,1)="W","内製品",G823="","購買品")</f>
        <v>内製品</v>
      </c>
    </row>
    <row r="824" spans="1:65">
      <c r="A824" t="str">
        <f t="shared" si="123"/>
        <v>WG01</v>
      </c>
      <c r="B824" t="s">
        <v>983</v>
      </c>
      <c r="C824" t="s">
        <v>1513</v>
      </c>
      <c r="D824" s="7"/>
      <c r="E824" s="7"/>
      <c r="G824" t="s">
        <v>1939</v>
      </c>
      <c r="H824" t="str" cm="1">
        <f t="array" ref="H824">IFERROR(_xlfn.IFS(B824="","",AND(B824="",G824=""),"",G824="","記載要"),"")</f>
        <v/>
      </c>
      <c r="K824" t="str">
        <f t="shared" si="124"/>
        <v>11WP01008393</v>
      </c>
      <c r="L824" s="3" t="str">
        <f t="shared" si="125"/>
        <v>2001/01/01</v>
      </c>
      <c r="M824" s="3" t="str">
        <f t="shared" si="126"/>
        <v>2199/12/31</v>
      </c>
      <c r="N824" t="str">
        <f t="shared" si="127"/>
        <v>11WP01008393</v>
      </c>
      <c r="O824">
        <v>15</v>
      </c>
      <c r="Q824" t="str" cm="1">
        <f t="array" ref="Q824">_xlfn.IFS(AND(C824="",G824=""),"",LEFT(G824,1)="L","記載要",LEFT(G824,1)="W","",AND(C824,G824=""),"記載要")</f>
        <v/>
      </c>
      <c r="R824" s="21" t="str">
        <f t="shared" si="132"/>
        <v/>
      </c>
      <c r="S824" s="21"/>
      <c r="Z824" s="8"/>
      <c r="AA824">
        <v>1</v>
      </c>
      <c r="AB824">
        <f t="shared" si="128"/>
        <v>0</v>
      </c>
      <c r="AC824">
        <v>1</v>
      </c>
      <c r="AF824">
        <v>1</v>
      </c>
      <c r="AG824" s="8"/>
      <c r="AH824" s="8"/>
      <c r="AK824" cm="1">
        <f t="array" ref="AK824">_xlfn.IFS(B824="","",LEFT(G824,1)="L",1,LEFT(G824,1)="W",1,AND(LEFT(B824,1)="H",G824=""),0)</f>
        <v>1</v>
      </c>
      <c r="AS824" t="str">
        <f t="shared" si="129"/>
        <v/>
      </c>
      <c r="AT824" t="s">
        <v>115</v>
      </c>
      <c r="AU824" t="str">
        <f t="shared" si="130"/>
        <v>0</v>
      </c>
      <c r="BD824" t="str">
        <f t="shared" si="131"/>
        <v>0</v>
      </c>
      <c r="BK824" t="str">
        <f>IFERROR(VLOOKUP(B824,'[1]model_S-フレーム'!$F$5:$R$7000,13,1),"")</f>
        <v>E389458_01</v>
      </c>
      <c r="BL824" s="7">
        <f>IFERROR(VLOOKUP(B824,'[1]model_S-フレーム'!$F$5:$V$7000,17,1),"")</f>
        <v>0</v>
      </c>
      <c r="BM824" t="str" cm="1">
        <f t="array" ref="BM824">_xlfn.IFS(LEFT(G824,1)="L","外注品",LEFT(G824,1)="W","内製品",G824="","購買品")</f>
        <v>内製品</v>
      </c>
    </row>
    <row r="825" spans="1:65">
      <c r="A825" t="str">
        <f t="shared" si="123"/>
        <v>WG01</v>
      </c>
      <c r="B825" t="s">
        <v>984</v>
      </c>
      <c r="C825" t="s">
        <v>1513</v>
      </c>
      <c r="D825" s="7"/>
      <c r="E825" s="7"/>
      <c r="G825" t="s">
        <v>1939</v>
      </c>
      <c r="H825" t="str" cm="1">
        <f t="array" ref="H825">IFERROR(_xlfn.IFS(B825="","",AND(B825="",G825=""),"",G825="","記載要"),"")</f>
        <v/>
      </c>
      <c r="K825" t="str">
        <f t="shared" si="124"/>
        <v>11WP01008394</v>
      </c>
      <c r="L825" s="3" t="str">
        <f t="shared" si="125"/>
        <v>2001/01/01</v>
      </c>
      <c r="M825" s="3" t="str">
        <f t="shared" si="126"/>
        <v>2199/12/31</v>
      </c>
      <c r="N825" t="str">
        <f t="shared" si="127"/>
        <v>11WP01008394</v>
      </c>
      <c r="O825">
        <v>15</v>
      </c>
      <c r="Q825" t="str" cm="1">
        <f t="array" ref="Q825">_xlfn.IFS(AND(C825="",G825=""),"",LEFT(G825,1)="L","記載要",LEFT(G825,1)="W","",AND(C825,G825=""),"記載要")</f>
        <v/>
      </c>
      <c r="R825" s="21" t="str">
        <f t="shared" si="132"/>
        <v/>
      </c>
      <c r="S825" s="21"/>
      <c r="Z825" s="8"/>
      <c r="AA825">
        <v>1</v>
      </c>
      <c r="AB825">
        <f t="shared" si="128"/>
        <v>0</v>
      </c>
      <c r="AC825">
        <v>1</v>
      </c>
      <c r="AF825">
        <v>1</v>
      </c>
      <c r="AG825" s="8"/>
      <c r="AH825" s="8"/>
      <c r="AK825" cm="1">
        <f t="array" ref="AK825">_xlfn.IFS(B825="","",LEFT(G825,1)="L",1,LEFT(G825,1)="W",1,AND(LEFT(B825,1)="H",G825=""),0)</f>
        <v>1</v>
      </c>
      <c r="AS825" t="str">
        <f t="shared" si="129"/>
        <v/>
      </c>
      <c r="AT825" t="s">
        <v>115</v>
      </c>
      <c r="AU825" t="str">
        <f t="shared" si="130"/>
        <v>0</v>
      </c>
      <c r="BD825" t="str">
        <f t="shared" si="131"/>
        <v>0</v>
      </c>
      <c r="BK825" t="str">
        <f>IFERROR(VLOOKUP(B825,'[1]model_S-フレーム'!$F$5:$R$7000,13,1),"")</f>
        <v>E389458_01</v>
      </c>
      <c r="BL825" s="7">
        <f>IFERROR(VLOOKUP(B825,'[1]model_S-フレーム'!$F$5:$V$7000,17,1),"")</f>
        <v>0</v>
      </c>
      <c r="BM825" t="str" cm="1">
        <f t="array" ref="BM825">_xlfn.IFS(LEFT(G825,1)="L","外注品",LEFT(G825,1)="W","内製品",G825="","購買品")</f>
        <v>内製品</v>
      </c>
    </row>
    <row r="826" spans="1:65">
      <c r="A826" t="str">
        <f t="shared" si="123"/>
        <v>WG01</v>
      </c>
      <c r="B826" t="s">
        <v>985</v>
      </c>
      <c r="C826" t="s">
        <v>1513</v>
      </c>
      <c r="D826" s="7"/>
      <c r="E826" s="7"/>
      <c r="G826" t="s">
        <v>1939</v>
      </c>
      <c r="H826" t="str" cm="1">
        <f t="array" ref="H826">IFERROR(_xlfn.IFS(B826="","",AND(B826="",G826=""),"",G826="","記載要"),"")</f>
        <v/>
      </c>
      <c r="K826" t="str">
        <f t="shared" si="124"/>
        <v>11WP01008395</v>
      </c>
      <c r="L826" s="3" t="str">
        <f t="shared" si="125"/>
        <v>2001/01/01</v>
      </c>
      <c r="M826" s="3" t="str">
        <f t="shared" si="126"/>
        <v>2199/12/31</v>
      </c>
      <c r="N826" t="str">
        <f t="shared" si="127"/>
        <v>11WP01008395</v>
      </c>
      <c r="O826">
        <v>15</v>
      </c>
      <c r="Q826" t="str" cm="1">
        <f t="array" ref="Q826">_xlfn.IFS(AND(C826="",G826=""),"",LEFT(G826,1)="L","記載要",LEFT(G826,1)="W","",AND(C826,G826=""),"記載要")</f>
        <v/>
      </c>
      <c r="R826" s="21" t="str">
        <f t="shared" si="132"/>
        <v/>
      </c>
      <c r="S826" s="21"/>
      <c r="Z826" s="8"/>
      <c r="AA826">
        <v>1</v>
      </c>
      <c r="AB826">
        <f t="shared" si="128"/>
        <v>0</v>
      </c>
      <c r="AC826">
        <v>1</v>
      </c>
      <c r="AF826">
        <v>1</v>
      </c>
      <c r="AG826" s="8"/>
      <c r="AH826" s="8"/>
      <c r="AK826" cm="1">
        <f t="array" ref="AK826">_xlfn.IFS(B826="","",LEFT(G826,1)="L",1,LEFT(G826,1)="W",1,AND(LEFT(B826,1)="H",G826=""),0)</f>
        <v>1</v>
      </c>
      <c r="AS826" t="str">
        <f t="shared" si="129"/>
        <v/>
      </c>
      <c r="AT826" t="s">
        <v>115</v>
      </c>
      <c r="AU826" t="str">
        <f t="shared" si="130"/>
        <v>0</v>
      </c>
      <c r="BD826" t="str">
        <f t="shared" si="131"/>
        <v>0</v>
      </c>
      <c r="BK826" t="str">
        <f>IFERROR(VLOOKUP(B826,'[1]model_S-フレーム'!$F$5:$R$7000,13,1),"")</f>
        <v>E389458_01</v>
      </c>
      <c r="BL826" s="7">
        <f>IFERROR(VLOOKUP(B826,'[1]model_S-フレーム'!$F$5:$V$7000,17,1),"")</f>
        <v>0</v>
      </c>
      <c r="BM826" t="str" cm="1">
        <f t="array" ref="BM826">_xlfn.IFS(LEFT(G826,1)="L","外注品",LEFT(G826,1)="W","内製品",G826="","購買品")</f>
        <v>内製品</v>
      </c>
    </row>
    <row r="827" spans="1:65">
      <c r="A827" t="str">
        <f t="shared" si="123"/>
        <v>WG01</v>
      </c>
      <c r="B827" t="s">
        <v>986</v>
      </c>
      <c r="C827" t="s">
        <v>1513</v>
      </c>
      <c r="D827" s="7"/>
      <c r="E827" s="7"/>
      <c r="G827" t="s">
        <v>1939</v>
      </c>
      <c r="H827" t="str" cm="1">
        <f t="array" ref="H827">IFERROR(_xlfn.IFS(B827="","",AND(B827="",G827=""),"",G827="","記載要"),"")</f>
        <v/>
      </c>
      <c r="K827" t="str">
        <f t="shared" si="124"/>
        <v>11WP01008396</v>
      </c>
      <c r="L827" s="3" t="str">
        <f t="shared" si="125"/>
        <v>2001/01/01</v>
      </c>
      <c r="M827" s="3" t="str">
        <f t="shared" si="126"/>
        <v>2199/12/31</v>
      </c>
      <c r="N827" t="str">
        <f t="shared" si="127"/>
        <v>11WP01008396</v>
      </c>
      <c r="O827">
        <v>15</v>
      </c>
      <c r="Q827" t="str" cm="1">
        <f t="array" ref="Q827">_xlfn.IFS(AND(C827="",G827=""),"",LEFT(G827,1)="L","記載要",LEFT(G827,1)="W","",AND(C827,G827=""),"記載要")</f>
        <v/>
      </c>
      <c r="R827" s="21" t="str">
        <f t="shared" si="132"/>
        <v/>
      </c>
      <c r="S827" s="21"/>
      <c r="Z827" s="8"/>
      <c r="AA827">
        <v>1</v>
      </c>
      <c r="AB827">
        <f t="shared" si="128"/>
        <v>0</v>
      </c>
      <c r="AC827">
        <v>1</v>
      </c>
      <c r="AF827">
        <v>1</v>
      </c>
      <c r="AG827" s="8"/>
      <c r="AH827" s="8"/>
      <c r="AK827" cm="1">
        <f t="array" ref="AK827">_xlfn.IFS(B827="","",LEFT(G827,1)="L",1,LEFT(G827,1)="W",1,AND(LEFT(B827,1)="H",G827=""),0)</f>
        <v>1</v>
      </c>
      <c r="AS827" t="str">
        <f t="shared" si="129"/>
        <v/>
      </c>
      <c r="AT827" t="s">
        <v>115</v>
      </c>
      <c r="AU827" t="str">
        <f t="shared" si="130"/>
        <v>0</v>
      </c>
      <c r="BD827" t="str">
        <f t="shared" si="131"/>
        <v>0</v>
      </c>
      <c r="BK827" t="str">
        <f>IFERROR(VLOOKUP(B827,'[1]model_S-フレーム'!$F$5:$R$7000,13,1),"")</f>
        <v>E389458_01</v>
      </c>
      <c r="BL827" s="7">
        <f>IFERROR(VLOOKUP(B827,'[1]model_S-フレーム'!$F$5:$V$7000,17,1),"")</f>
        <v>0</v>
      </c>
      <c r="BM827" t="str" cm="1">
        <f t="array" ref="BM827">_xlfn.IFS(LEFT(G827,1)="L","外注品",LEFT(G827,1)="W","内製品",G827="","購買品")</f>
        <v>内製品</v>
      </c>
    </row>
    <row r="828" spans="1:65">
      <c r="A828" t="str">
        <f t="shared" si="123"/>
        <v>WG01</v>
      </c>
      <c r="B828" t="s">
        <v>987</v>
      </c>
      <c r="C828" t="s">
        <v>1513</v>
      </c>
      <c r="D828" s="7"/>
      <c r="E828" s="7"/>
      <c r="G828" t="s">
        <v>1939</v>
      </c>
      <c r="H828" t="str" cm="1">
        <f t="array" ref="H828">IFERROR(_xlfn.IFS(B828="","",AND(B828="",G828=""),"",G828="","記載要"),"")</f>
        <v/>
      </c>
      <c r="K828" t="str">
        <f t="shared" si="124"/>
        <v>11WP01008397</v>
      </c>
      <c r="L828" s="3" t="str">
        <f t="shared" si="125"/>
        <v>2001/01/01</v>
      </c>
      <c r="M828" s="3" t="str">
        <f t="shared" si="126"/>
        <v>2199/12/31</v>
      </c>
      <c r="N828" t="str">
        <f t="shared" si="127"/>
        <v>11WP01008397</v>
      </c>
      <c r="O828">
        <v>15</v>
      </c>
      <c r="Q828" t="str" cm="1">
        <f t="array" ref="Q828">_xlfn.IFS(AND(C828="",G828=""),"",LEFT(G828,1)="L","記載要",LEFT(G828,1)="W","",AND(C828,G828=""),"記載要")</f>
        <v/>
      </c>
      <c r="R828" s="21" t="str">
        <f t="shared" si="132"/>
        <v/>
      </c>
      <c r="S828" s="21"/>
      <c r="Z828" s="8"/>
      <c r="AA828">
        <v>1</v>
      </c>
      <c r="AB828">
        <f t="shared" si="128"/>
        <v>0</v>
      </c>
      <c r="AC828">
        <v>1</v>
      </c>
      <c r="AF828">
        <v>1</v>
      </c>
      <c r="AG828" s="8"/>
      <c r="AH828" s="8"/>
      <c r="AK828" cm="1">
        <f t="array" ref="AK828">_xlfn.IFS(B828="","",LEFT(G828,1)="L",1,LEFT(G828,1)="W",1,AND(LEFT(B828,1)="H",G828=""),0)</f>
        <v>1</v>
      </c>
      <c r="AS828" t="str">
        <f t="shared" si="129"/>
        <v/>
      </c>
      <c r="AT828" t="s">
        <v>115</v>
      </c>
      <c r="AU828" t="str">
        <f t="shared" si="130"/>
        <v>0</v>
      </c>
      <c r="BD828" t="str">
        <f t="shared" si="131"/>
        <v>0</v>
      </c>
      <c r="BK828" t="str">
        <f>IFERROR(VLOOKUP(B828,'[1]model_S-フレーム'!$F$5:$R$7000,13,1),"")</f>
        <v>E389458_01</v>
      </c>
      <c r="BL828" s="7">
        <f>IFERROR(VLOOKUP(B828,'[1]model_S-フレーム'!$F$5:$V$7000,17,1),"")</f>
        <v>0</v>
      </c>
      <c r="BM828" t="str" cm="1">
        <f t="array" ref="BM828">_xlfn.IFS(LEFT(G828,1)="L","外注品",LEFT(G828,1)="W","内製品",G828="","購買品")</f>
        <v>内製品</v>
      </c>
    </row>
    <row r="829" spans="1:65">
      <c r="A829" t="str">
        <f t="shared" si="123"/>
        <v>WG01</v>
      </c>
      <c r="B829" t="s">
        <v>988</v>
      </c>
      <c r="C829" t="s">
        <v>1513</v>
      </c>
      <c r="D829" s="7"/>
      <c r="E829" s="7"/>
      <c r="G829" t="s">
        <v>1939</v>
      </c>
      <c r="H829" t="str" cm="1">
        <f t="array" ref="H829">IFERROR(_xlfn.IFS(B829="","",AND(B829="",G829=""),"",G829="","記載要"),"")</f>
        <v/>
      </c>
      <c r="K829" t="str">
        <f t="shared" si="124"/>
        <v>11WP01008398</v>
      </c>
      <c r="L829" s="3" t="str">
        <f t="shared" si="125"/>
        <v>2001/01/01</v>
      </c>
      <c r="M829" s="3" t="str">
        <f t="shared" si="126"/>
        <v>2199/12/31</v>
      </c>
      <c r="N829" t="str">
        <f t="shared" si="127"/>
        <v>11WP01008398</v>
      </c>
      <c r="O829">
        <v>15</v>
      </c>
      <c r="Q829" t="str" cm="1">
        <f t="array" ref="Q829">_xlfn.IFS(AND(C829="",G829=""),"",LEFT(G829,1)="L","記載要",LEFT(G829,1)="W","",AND(C829,G829=""),"記載要")</f>
        <v/>
      </c>
      <c r="R829" s="21" t="str">
        <f t="shared" si="132"/>
        <v/>
      </c>
      <c r="S829" s="21"/>
      <c r="Z829" s="8"/>
      <c r="AA829">
        <v>1</v>
      </c>
      <c r="AB829">
        <f t="shared" si="128"/>
        <v>0</v>
      </c>
      <c r="AC829">
        <v>1</v>
      </c>
      <c r="AF829">
        <v>1</v>
      </c>
      <c r="AG829" s="8"/>
      <c r="AH829" s="8"/>
      <c r="AK829" cm="1">
        <f t="array" ref="AK829">_xlfn.IFS(B829="","",LEFT(G829,1)="L",1,LEFT(G829,1)="W",1,AND(LEFT(B829,1)="H",G829=""),0)</f>
        <v>1</v>
      </c>
      <c r="AS829" t="str">
        <f t="shared" si="129"/>
        <v/>
      </c>
      <c r="AT829" t="s">
        <v>115</v>
      </c>
      <c r="AU829" t="str">
        <f t="shared" si="130"/>
        <v>0</v>
      </c>
      <c r="BD829" t="str">
        <f t="shared" si="131"/>
        <v>0</v>
      </c>
      <c r="BK829" t="str">
        <f>IFERROR(VLOOKUP(B829,'[1]model_S-フレーム'!$F$5:$R$7000,13,1),"")</f>
        <v>E389458_01</v>
      </c>
      <c r="BL829" s="7">
        <f>IFERROR(VLOOKUP(B829,'[1]model_S-フレーム'!$F$5:$V$7000,17,1),"")</f>
        <v>0</v>
      </c>
      <c r="BM829" t="str" cm="1">
        <f t="array" ref="BM829">_xlfn.IFS(LEFT(G829,1)="L","外注品",LEFT(G829,1)="W","内製品",G829="","購買品")</f>
        <v>内製品</v>
      </c>
    </row>
    <row r="830" spans="1:65">
      <c r="A830" t="str">
        <f t="shared" si="123"/>
        <v>WG01</v>
      </c>
      <c r="B830" t="s">
        <v>989</v>
      </c>
      <c r="C830" t="s">
        <v>1513</v>
      </c>
      <c r="D830" s="7"/>
      <c r="E830" s="7"/>
      <c r="G830" t="s">
        <v>1939</v>
      </c>
      <c r="H830" t="str" cm="1">
        <f t="array" ref="H830">IFERROR(_xlfn.IFS(B830="","",AND(B830="",G830=""),"",G830="","記載要"),"")</f>
        <v/>
      </c>
      <c r="K830" t="str">
        <f t="shared" si="124"/>
        <v>11WP01008399</v>
      </c>
      <c r="L830" s="3" t="str">
        <f t="shared" si="125"/>
        <v>2001/01/01</v>
      </c>
      <c r="M830" s="3" t="str">
        <f t="shared" si="126"/>
        <v>2199/12/31</v>
      </c>
      <c r="N830" t="str">
        <f t="shared" si="127"/>
        <v>11WP01008399</v>
      </c>
      <c r="O830">
        <v>15</v>
      </c>
      <c r="Q830" t="str" cm="1">
        <f t="array" ref="Q830">_xlfn.IFS(AND(C830="",G830=""),"",LEFT(G830,1)="L","記載要",LEFT(G830,1)="W","",AND(C830,G830=""),"記載要")</f>
        <v/>
      </c>
      <c r="R830" s="21" t="str">
        <f t="shared" si="132"/>
        <v/>
      </c>
      <c r="S830" s="21"/>
      <c r="Z830" s="8"/>
      <c r="AA830">
        <v>1</v>
      </c>
      <c r="AB830">
        <f t="shared" si="128"/>
        <v>0</v>
      </c>
      <c r="AC830">
        <v>1</v>
      </c>
      <c r="AF830">
        <v>1</v>
      </c>
      <c r="AG830" s="8"/>
      <c r="AH830" s="8"/>
      <c r="AK830" cm="1">
        <f t="array" ref="AK830">_xlfn.IFS(B830="","",LEFT(G830,1)="L",1,LEFT(G830,1)="W",1,AND(LEFT(B830,1)="H",G830=""),0)</f>
        <v>1</v>
      </c>
      <c r="AS830" t="str">
        <f t="shared" si="129"/>
        <v/>
      </c>
      <c r="AT830" t="s">
        <v>115</v>
      </c>
      <c r="AU830" t="str">
        <f t="shared" si="130"/>
        <v>0</v>
      </c>
      <c r="BD830" t="str">
        <f t="shared" si="131"/>
        <v>0</v>
      </c>
      <c r="BK830" t="str">
        <f>IFERROR(VLOOKUP(B830,'[1]model_S-フレーム'!$F$5:$R$7000,13,1),"")</f>
        <v>E389458_01</v>
      </c>
      <c r="BL830" s="7">
        <f>IFERROR(VLOOKUP(B830,'[1]model_S-フレーム'!$F$5:$V$7000,17,1),"")</f>
        <v>0</v>
      </c>
      <c r="BM830" t="str" cm="1">
        <f t="array" ref="BM830">_xlfn.IFS(LEFT(G830,1)="L","外注品",LEFT(G830,1)="W","内製品",G830="","購買品")</f>
        <v>内製品</v>
      </c>
    </row>
    <row r="831" spans="1:65">
      <c r="A831" t="str">
        <f t="shared" si="123"/>
        <v>WG01</v>
      </c>
      <c r="B831" t="s">
        <v>990</v>
      </c>
      <c r="C831" t="s">
        <v>1513</v>
      </c>
      <c r="D831" s="7"/>
      <c r="E831" s="7"/>
      <c r="G831" t="s">
        <v>1939</v>
      </c>
      <c r="H831" t="str" cm="1">
        <f t="array" ref="H831">IFERROR(_xlfn.IFS(B831="","",AND(B831="",G831=""),"",G831="","記載要"),"")</f>
        <v/>
      </c>
      <c r="K831" t="str">
        <f t="shared" si="124"/>
        <v>11WP01008400</v>
      </c>
      <c r="L831" s="3" t="str">
        <f t="shared" si="125"/>
        <v>2001/01/01</v>
      </c>
      <c r="M831" s="3" t="str">
        <f t="shared" si="126"/>
        <v>2199/12/31</v>
      </c>
      <c r="N831" t="str">
        <f t="shared" si="127"/>
        <v>11WP01008400</v>
      </c>
      <c r="O831">
        <v>15</v>
      </c>
      <c r="Q831" t="str" cm="1">
        <f t="array" ref="Q831">_xlfn.IFS(AND(C831="",G831=""),"",LEFT(G831,1)="L","記載要",LEFT(G831,1)="W","",AND(C831,G831=""),"記載要")</f>
        <v/>
      </c>
      <c r="R831" s="21" t="str">
        <f t="shared" si="132"/>
        <v/>
      </c>
      <c r="S831" s="21"/>
      <c r="Z831" s="8"/>
      <c r="AA831">
        <v>1</v>
      </c>
      <c r="AB831">
        <f t="shared" si="128"/>
        <v>0</v>
      </c>
      <c r="AC831">
        <v>1</v>
      </c>
      <c r="AF831">
        <v>1</v>
      </c>
      <c r="AG831" s="8"/>
      <c r="AH831" s="8"/>
      <c r="AK831" cm="1">
        <f t="array" ref="AK831">_xlfn.IFS(B831="","",LEFT(G831,1)="L",1,LEFT(G831,1)="W",1,AND(LEFT(B831,1)="H",G831=""),0)</f>
        <v>1</v>
      </c>
      <c r="AS831" t="str">
        <f t="shared" si="129"/>
        <v/>
      </c>
      <c r="AT831" t="s">
        <v>115</v>
      </c>
      <c r="AU831" t="str">
        <f t="shared" si="130"/>
        <v>0</v>
      </c>
      <c r="BD831" t="str">
        <f t="shared" si="131"/>
        <v>0</v>
      </c>
      <c r="BK831" t="str">
        <f>IFERROR(VLOOKUP(B831,'[1]model_S-フレーム'!$F$5:$R$7000,13,1),"")</f>
        <v>E389458_01</v>
      </c>
      <c r="BL831" s="7">
        <f>IFERROR(VLOOKUP(B831,'[1]model_S-フレーム'!$F$5:$V$7000,17,1),"")</f>
        <v>0</v>
      </c>
      <c r="BM831" t="str" cm="1">
        <f t="array" ref="BM831">_xlfn.IFS(LEFT(G831,1)="L","外注品",LEFT(G831,1)="W","内製品",G831="","購買品")</f>
        <v>内製品</v>
      </c>
    </row>
    <row r="832" spans="1:65">
      <c r="A832" t="str">
        <f t="shared" si="123"/>
        <v>WG01</v>
      </c>
      <c r="B832" t="s">
        <v>991</v>
      </c>
      <c r="C832" t="s">
        <v>1513</v>
      </c>
      <c r="D832" s="7"/>
      <c r="E832" s="7"/>
      <c r="G832" t="s">
        <v>1939</v>
      </c>
      <c r="H832" t="str" cm="1">
        <f t="array" ref="H832">IFERROR(_xlfn.IFS(B832="","",AND(B832="",G832=""),"",G832="","記載要"),"")</f>
        <v/>
      </c>
      <c r="K832" t="str">
        <f t="shared" si="124"/>
        <v>11WP01008401</v>
      </c>
      <c r="L832" s="3" t="str">
        <f t="shared" si="125"/>
        <v>2001/01/01</v>
      </c>
      <c r="M832" s="3" t="str">
        <f t="shared" si="126"/>
        <v>2199/12/31</v>
      </c>
      <c r="N832" t="str">
        <f t="shared" si="127"/>
        <v>11WP01008401</v>
      </c>
      <c r="O832">
        <v>15</v>
      </c>
      <c r="Q832" t="str" cm="1">
        <f t="array" ref="Q832">_xlfn.IFS(AND(C832="",G832=""),"",LEFT(G832,1)="L","記載要",LEFT(G832,1)="W","",AND(C832,G832=""),"記載要")</f>
        <v/>
      </c>
      <c r="R832" s="21" t="str">
        <f t="shared" si="132"/>
        <v/>
      </c>
      <c r="S832" s="21"/>
      <c r="Z832" s="8"/>
      <c r="AA832">
        <v>1</v>
      </c>
      <c r="AB832">
        <f t="shared" si="128"/>
        <v>0</v>
      </c>
      <c r="AC832">
        <v>1</v>
      </c>
      <c r="AF832">
        <v>1</v>
      </c>
      <c r="AG832" s="8"/>
      <c r="AH832" s="8"/>
      <c r="AK832" cm="1">
        <f t="array" ref="AK832">_xlfn.IFS(B832="","",LEFT(G832,1)="L",1,LEFT(G832,1)="W",1,AND(LEFT(B832,1)="H",G832=""),0)</f>
        <v>1</v>
      </c>
      <c r="AS832" t="str">
        <f t="shared" si="129"/>
        <v/>
      </c>
      <c r="AT832" t="s">
        <v>115</v>
      </c>
      <c r="AU832" t="str">
        <f t="shared" si="130"/>
        <v>0</v>
      </c>
      <c r="BD832" t="str">
        <f t="shared" si="131"/>
        <v>0</v>
      </c>
      <c r="BK832" t="str">
        <f>IFERROR(VLOOKUP(B832,'[1]model_S-フレーム'!$F$5:$R$7000,13,1),"")</f>
        <v>E389458_01</v>
      </c>
      <c r="BL832" s="7">
        <f>IFERROR(VLOOKUP(B832,'[1]model_S-フレーム'!$F$5:$V$7000,17,1),"")</f>
        <v>0</v>
      </c>
      <c r="BM832" t="str" cm="1">
        <f t="array" ref="BM832">_xlfn.IFS(LEFT(G832,1)="L","外注品",LEFT(G832,1)="W","内製品",G832="","購買品")</f>
        <v>内製品</v>
      </c>
    </row>
    <row r="833" spans="1:65">
      <c r="A833" t="str">
        <f t="shared" si="123"/>
        <v>WG01</v>
      </c>
      <c r="B833" t="s">
        <v>992</v>
      </c>
      <c r="C833" t="s">
        <v>1513</v>
      </c>
      <c r="D833" s="7"/>
      <c r="E833" s="7"/>
      <c r="G833" t="s">
        <v>1939</v>
      </c>
      <c r="H833" t="str" cm="1">
        <f t="array" ref="H833">IFERROR(_xlfn.IFS(B833="","",AND(B833="",G833=""),"",G833="","記載要"),"")</f>
        <v/>
      </c>
      <c r="K833" t="str">
        <f t="shared" si="124"/>
        <v>11WP01008402</v>
      </c>
      <c r="L833" s="3" t="str">
        <f t="shared" si="125"/>
        <v>2001/01/01</v>
      </c>
      <c r="M833" s="3" t="str">
        <f t="shared" si="126"/>
        <v>2199/12/31</v>
      </c>
      <c r="N833" t="str">
        <f t="shared" si="127"/>
        <v>11WP01008402</v>
      </c>
      <c r="O833">
        <v>15</v>
      </c>
      <c r="Q833" t="str" cm="1">
        <f t="array" ref="Q833">_xlfn.IFS(AND(C833="",G833=""),"",LEFT(G833,1)="L","記載要",LEFT(G833,1)="W","",AND(C833,G833=""),"記載要")</f>
        <v/>
      </c>
      <c r="R833" s="21" t="str">
        <f t="shared" si="132"/>
        <v/>
      </c>
      <c r="S833" s="21"/>
      <c r="Z833" s="8"/>
      <c r="AA833">
        <v>1</v>
      </c>
      <c r="AB833">
        <f t="shared" si="128"/>
        <v>0</v>
      </c>
      <c r="AC833">
        <v>1</v>
      </c>
      <c r="AF833">
        <v>1</v>
      </c>
      <c r="AG833" s="8"/>
      <c r="AH833" s="8"/>
      <c r="AK833" cm="1">
        <f t="array" ref="AK833">_xlfn.IFS(B833="","",LEFT(G833,1)="L",1,LEFT(G833,1)="W",1,AND(LEFT(B833,1)="H",G833=""),0)</f>
        <v>1</v>
      </c>
      <c r="AS833" t="str">
        <f t="shared" si="129"/>
        <v/>
      </c>
      <c r="AT833" t="s">
        <v>115</v>
      </c>
      <c r="AU833" t="str">
        <f t="shared" si="130"/>
        <v>0</v>
      </c>
      <c r="BD833" t="str">
        <f t="shared" si="131"/>
        <v>0</v>
      </c>
      <c r="BK833" t="str">
        <f>IFERROR(VLOOKUP(B833,'[1]model_S-フレーム'!$F$5:$R$7000,13,1),"")</f>
        <v>E389458_01</v>
      </c>
      <c r="BL833" s="7">
        <f>IFERROR(VLOOKUP(B833,'[1]model_S-フレーム'!$F$5:$V$7000,17,1),"")</f>
        <v>0</v>
      </c>
      <c r="BM833" t="str" cm="1">
        <f t="array" ref="BM833">_xlfn.IFS(LEFT(G833,1)="L","外注品",LEFT(G833,1)="W","内製品",G833="","購買品")</f>
        <v>内製品</v>
      </c>
    </row>
    <row r="834" spans="1:65" s="11" customFormat="1">
      <c r="A834" t="str">
        <f t="shared" si="123"/>
        <v>WG01</v>
      </c>
      <c r="B834" t="s">
        <v>993</v>
      </c>
      <c r="C834" t="s">
        <v>1514</v>
      </c>
      <c r="D834" s="7"/>
      <c r="E834" s="7"/>
      <c r="F834"/>
      <c r="G834"/>
      <c r="H834">
        <v>27616</v>
      </c>
      <c r="I834"/>
      <c r="J834"/>
      <c r="K834" t="str">
        <f t="shared" si="124"/>
        <v/>
      </c>
      <c r="L834" s="3" t="str">
        <f t="shared" si="125"/>
        <v>2001/01/01</v>
      </c>
      <c r="M834" s="3" t="str">
        <f t="shared" si="126"/>
        <v>2199/12/31</v>
      </c>
      <c r="N834" t="str">
        <f t="shared" si="127"/>
        <v/>
      </c>
      <c r="O834" t="str">
        <f>IF(G834="","","記載要")</f>
        <v/>
      </c>
      <c r="P834"/>
      <c r="Q834">
        <v>15</v>
      </c>
      <c r="R834" s="21">
        <v>100000000</v>
      </c>
      <c r="S834" s="21" t="str" cm="1">
        <f t="array" ref="S834">_xlfn.IFS(LEFT(G834,1)="L","記載要",LEFT(G834,1)="W","記載要",G834="","")</f>
        <v/>
      </c>
      <c r="T834"/>
      <c r="U834"/>
      <c r="V834"/>
      <c r="W834"/>
      <c r="X834"/>
      <c r="Y834"/>
      <c r="Z834" s="8"/>
      <c r="AA834" s="8">
        <v>1</v>
      </c>
      <c r="AB834">
        <f t="shared" si="128"/>
        <v>0</v>
      </c>
      <c r="AC834" s="8">
        <v>1</v>
      </c>
      <c r="AD834"/>
      <c r="AE834"/>
      <c r="AF834">
        <v>1</v>
      </c>
      <c r="AG834" s="8"/>
      <c r="AH834" s="8"/>
      <c r="AI834"/>
      <c r="AJ834"/>
      <c r="AK834" cm="1">
        <f t="array" ref="AK834">_xlfn.IFS(B834="","",LEFT(G834,1)="L",1,LEFT(G834,1)="W",1,AND(LEFT(B834,1)="H",G834=""),0)</f>
        <v>0</v>
      </c>
      <c r="AL834"/>
      <c r="AM834"/>
      <c r="AN834"/>
      <c r="AO834"/>
      <c r="AP834"/>
      <c r="AQ834"/>
      <c r="AR834"/>
      <c r="AS834">
        <f t="shared" si="129"/>
        <v>1</v>
      </c>
      <c r="AT834" t="s">
        <v>115</v>
      </c>
      <c r="AU834" t="str">
        <f t="shared" si="130"/>
        <v>0</v>
      </c>
      <c r="AV834"/>
      <c r="AW834"/>
      <c r="AX834"/>
      <c r="AY834"/>
      <c r="AZ834"/>
      <c r="BA834"/>
      <c r="BB834"/>
      <c r="BC834"/>
      <c r="BD834" t="str">
        <f t="shared" si="131"/>
        <v>0</v>
      </c>
      <c r="BE834"/>
      <c r="BF834"/>
      <c r="BG834"/>
      <c r="BH834"/>
      <c r="BI834"/>
      <c r="BJ834"/>
      <c r="BK834" s="11" t="str">
        <f>IFERROR(VLOOKUP(B834,'[1]model_S-フレーム'!$F$5:$R$7000,13,1),"")</f>
        <v>E389458_01</v>
      </c>
      <c r="BL834" s="12">
        <f>IFERROR(VLOOKUP(B834,'[1]model_S-フレーム'!$F$5:$V$7000,17,1),"")</f>
        <v>0</v>
      </c>
      <c r="BM834" s="11" t="str" cm="1">
        <f t="array" ref="BM834">_xlfn.IFS(LEFT(G834,1)="L","外注品",LEFT(G834,1)="W","内製品",G834="","購買品")</f>
        <v>購買品</v>
      </c>
    </row>
    <row r="835" spans="1:65" s="11" customFormat="1">
      <c r="A835" t="str">
        <f t="shared" ref="A835:A898" si="133">IF(B835="","","WG01")</f>
        <v>WG01</v>
      </c>
      <c r="B835" t="s">
        <v>993</v>
      </c>
      <c r="C835" t="s">
        <v>1514</v>
      </c>
      <c r="D835" s="7"/>
      <c r="E835" s="7"/>
      <c r="F835"/>
      <c r="G835"/>
      <c r="H835">
        <v>43453</v>
      </c>
      <c r="I835"/>
      <c r="J835"/>
      <c r="K835" t="str">
        <f t="shared" ref="K835:K898" si="134">IF(G835="","","11"&amp;G835&amp;RIGHT(B835,5))</f>
        <v/>
      </c>
      <c r="L835" s="3" t="str">
        <f t="shared" ref="L835:L898" si="135">IF(B835="","","2001/01/01")</f>
        <v>2001/01/01</v>
      </c>
      <c r="M835" s="3" t="str">
        <f t="shared" ref="M835:M898" si="136">IF(C835="","","2199/12/31")</f>
        <v>2199/12/31</v>
      </c>
      <c r="N835" t="str">
        <f t="shared" ref="N835:N898" si="137">IF(LEFT(G835,1)="W",K835,"")</f>
        <v/>
      </c>
      <c r="O835" t="str">
        <f>IF(G835="","","記載要")</f>
        <v/>
      </c>
      <c r="P835"/>
      <c r="Q835">
        <v>15</v>
      </c>
      <c r="R835" s="21">
        <v>100000000</v>
      </c>
      <c r="S835" s="21" t="str" cm="1">
        <f t="array" ref="S835">_xlfn.IFS(LEFT(G835,1)="L","記載要",LEFT(G835,1)="W","記載要",G835="","")</f>
        <v/>
      </c>
      <c r="T835"/>
      <c r="U835"/>
      <c r="V835"/>
      <c r="W835"/>
      <c r="X835"/>
      <c r="Y835"/>
      <c r="Z835" s="8"/>
      <c r="AA835" s="8">
        <v>1</v>
      </c>
      <c r="AB835">
        <f t="shared" ref="AB835:AB898" si="138">IF(B835="","",0)</f>
        <v>0</v>
      </c>
      <c r="AC835" s="8">
        <v>1</v>
      </c>
      <c r="AD835"/>
      <c r="AE835"/>
      <c r="AF835">
        <v>0</v>
      </c>
      <c r="AG835" s="8"/>
      <c r="AH835" s="8"/>
      <c r="AI835"/>
      <c r="AJ835"/>
      <c r="AK835" cm="1">
        <f t="array" ref="AK835">_xlfn.IFS(B835="","",LEFT(G835,1)="L",1,LEFT(G835,1)="W",1,AND(LEFT(B835,1)="H",G835=""),0)</f>
        <v>0</v>
      </c>
      <c r="AL835"/>
      <c r="AM835"/>
      <c r="AN835"/>
      <c r="AO835"/>
      <c r="AP835"/>
      <c r="AQ835"/>
      <c r="AR835"/>
      <c r="AS835">
        <f t="shared" ref="AS835:AS898" si="139">IF(Q835="","",1)</f>
        <v>1</v>
      </c>
      <c r="AT835" t="s">
        <v>115</v>
      </c>
      <c r="AU835" t="str">
        <f t="shared" ref="AU835:AU898" si="140">IF(B835="","","0")</f>
        <v>0</v>
      </c>
      <c r="AV835"/>
      <c r="AW835"/>
      <c r="AX835"/>
      <c r="AY835"/>
      <c r="AZ835"/>
      <c r="BA835"/>
      <c r="BB835"/>
      <c r="BC835"/>
      <c r="BD835" t="str">
        <f t="shared" ref="BD835:BD898" si="141">IF(B835="","","0")</f>
        <v>0</v>
      </c>
      <c r="BE835"/>
      <c r="BF835"/>
      <c r="BG835"/>
      <c r="BH835"/>
      <c r="BI835"/>
      <c r="BJ835"/>
      <c r="BK835" s="11" t="str">
        <f>IFERROR(VLOOKUP(B835,'[1]model_S-フレーム'!$F$5:$R$7000,13,1),"")</f>
        <v>E389458_01</v>
      </c>
      <c r="BL835" s="12">
        <f>IFERROR(VLOOKUP(B835,'[1]model_S-フレーム'!$F$5:$V$7000,17,1),"")</f>
        <v>0</v>
      </c>
      <c r="BM835" s="11" t="str" cm="1">
        <f t="array" ref="BM835">_xlfn.IFS(LEFT(G835,1)="L","外注品",LEFT(G835,1)="W","内製品",G835="","購買品")</f>
        <v>購買品</v>
      </c>
    </row>
    <row r="836" spans="1:65" s="11" customFormat="1">
      <c r="A836" t="str">
        <f t="shared" si="133"/>
        <v>WG01</v>
      </c>
      <c r="B836" t="s">
        <v>993</v>
      </c>
      <c r="C836" t="s">
        <v>1514</v>
      </c>
      <c r="D836" s="7"/>
      <c r="E836" s="7"/>
      <c r="F836"/>
      <c r="G836"/>
      <c r="H836">
        <v>47081</v>
      </c>
      <c r="I836"/>
      <c r="J836"/>
      <c r="K836" t="str">
        <f t="shared" si="134"/>
        <v/>
      </c>
      <c r="L836" s="3" t="str">
        <f t="shared" si="135"/>
        <v>2001/01/01</v>
      </c>
      <c r="M836" s="3" t="str">
        <f t="shared" si="136"/>
        <v>2199/12/31</v>
      </c>
      <c r="N836" t="str">
        <f t="shared" si="137"/>
        <v/>
      </c>
      <c r="O836" t="str">
        <f>IF(G836="","","記載要")</f>
        <v/>
      </c>
      <c r="P836"/>
      <c r="Q836">
        <v>15</v>
      </c>
      <c r="R836" s="21">
        <v>100000000</v>
      </c>
      <c r="S836" s="21" t="str" cm="1">
        <f t="array" ref="S836">_xlfn.IFS(LEFT(G836,1)="L","記載要",LEFT(G836,1)="W","記載要",G836="","")</f>
        <v/>
      </c>
      <c r="T836"/>
      <c r="U836"/>
      <c r="V836"/>
      <c r="W836"/>
      <c r="X836"/>
      <c r="Y836"/>
      <c r="Z836" s="8"/>
      <c r="AA836" s="8">
        <v>1</v>
      </c>
      <c r="AB836">
        <f t="shared" si="138"/>
        <v>0</v>
      </c>
      <c r="AC836" s="8">
        <v>1</v>
      </c>
      <c r="AD836"/>
      <c r="AE836"/>
      <c r="AF836">
        <v>0</v>
      </c>
      <c r="AG836" s="8"/>
      <c r="AH836" s="8"/>
      <c r="AI836"/>
      <c r="AJ836"/>
      <c r="AK836" cm="1">
        <f t="array" ref="AK836">_xlfn.IFS(B836="","",LEFT(G836,1)="L",1,LEFT(G836,1)="W",1,AND(LEFT(B836,1)="H",G836=""),0)</f>
        <v>0</v>
      </c>
      <c r="AL836"/>
      <c r="AM836"/>
      <c r="AN836"/>
      <c r="AO836"/>
      <c r="AP836"/>
      <c r="AQ836"/>
      <c r="AR836"/>
      <c r="AS836">
        <f t="shared" si="139"/>
        <v>1</v>
      </c>
      <c r="AT836" t="s">
        <v>115</v>
      </c>
      <c r="AU836" t="str">
        <f t="shared" si="140"/>
        <v>0</v>
      </c>
      <c r="AV836"/>
      <c r="AW836"/>
      <c r="AX836"/>
      <c r="AY836"/>
      <c r="AZ836"/>
      <c r="BA836"/>
      <c r="BB836"/>
      <c r="BC836"/>
      <c r="BD836" t="str">
        <f t="shared" si="141"/>
        <v>0</v>
      </c>
      <c r="BE836"/>
      <c r="BF836"/>
      <c r="BG836"/>
      <c r="BH836"/>
      <c r="BI836"/>
      <c r="BJ836"/>
      <c r="BK836" s="11" t="str">
        <f>IFERROR(VLOOKUP(B836,'[1]model_S-フレーム'!$F$5:$R$7000,13,1),"")</f>
        <v>E389458_01</v>
      </c>
      <c r="BL836" s="12">
        <f>IFERROR(VLOOKUP(B836,'[1]model_S-フレーム'!$F$5:$V$7000,17,1),"")</f>
        <v>0</v>
      </c>
      <c r="BM836" s="11" t="str" cm="1">
        <f t="array" ref="BM836">_xlfn.IFS(LEFT(G836,1)="L","外注品",LEFT(G836,1)="W","内製品",G836="","購買品")</f>
        <v>購買品</v>
      </c>
    </row>
    <row r="837" spans="1:65">
      <c r="A837" t="str">
        <f t="shared" si="133"/>
        <v>WG01</v>
      </c>
      <c r="B837" t="s">
        <v>993</v>
      </c>
      <c r="C837" t="s">
        <v>1514</v>
      </c>
      <c r="D837" s="7"/>
      <c r="E837" s="7"/>
      <c r="H837" s="19" t="s">
        <v>1937</v>
      </c>
      <c r="K837" t="str">
        <f t="shared" si="134"/>
        <v/>
      </c>
      <c r="L837" s="3" t="str">
        <f t="shared" si="135"/>
        <v>2001/01/01</v>
      </c>
      <c r="M837" s="3" t="str">
        <f t="shared" si="136"/>
        <v>2199/12/31</v>
      </c>
      <c r="N837" t="str">
        <f t="shared" si="137"/>
        <v/>
      </c>
      <c r="O837" t="str">
        <f>IF(G837="","","記載要")</f>
        <v/>
      </c>
      <c r="Q837">
        <v>15</v>
      </c>
      <c r="R837" s="21">
        <v>100000000</v>
      </c>
      <c r="S837" s="21" t="str" cm="1">
        <f t="array" ref="S837">_xlfn.IFS(LEFT(G837,1)="L","記載要",LEFT(G837,1)="W","記載要",G837="","")</f>
        <v/>
      </c>
      <c r="Z837" s="8"/>
      <c r="AA837" s="8">
        <v>1</v>
      </c>
      <c r="AB837">
        <f t="shared" si="138"/>
        <v>0</v>
      </c>
      <c r="AC837" s="8">
        <v>1</v>
      </c>
      <c r="AF837">
        <v>1</v>
      </c>
      <c r="AG837" s="8"/>
      <c r="AH837" s="8"/>
      <c r="AK837" cm="1">
        <f t="array" ref="AK837">_xlfn.IFS(B837="","",LEFT(G837,1)="L",1,LEFT(G837,1)="W",1,AND(LEFT(B837,1)="H",G837=""),0)</f>
        <v>0</v>
      </c>
      <c r="AS837">
        <f t="shared" si="139"/>
        <v>1</v>
      </c>
      <c r="AT837" t="s">
        <v>115</v>
      </c>
      <c r="AU837" t="str">
        <f t="shared" si="140"/>
        <v>0</v>
      </c>
      <c r="BD837" t="str">
        <f t="shared" si="141"/>
        <v>0</v>
      </c>
      <c r="BK837" t="str">
        <f>IFERROR(VLOOKUP(B837,'[1]model_S-フレーム'!$F$5:$R$7000,13,1),"")</f>
        <v>E389458_01</v>
      </c>
      <c r="BL837" s="7">
        <f>IFERROR(VLOOKUP(B837,'[1]model_S-フレーム'!$F$5:$V$7000,17,1),"")</f>
        <v>0</v>
      </c>
      <c r="BM837" t="str" cm="1">
        <f t="array" ref="BM837">_xlfn.IFS(LEFT(G837,1)="L","外注品",LEFT(G837,1)="W","内製品",G837="","購買品")</f>
        <v>購買品</v>
      </c>
    </row>
    <row r="838" spans="1:65">
      <c r="A838" t="str">
        <f t="shared" si="133"/>
        <v>WG01</v>
      </c>
      <c r="B838" t="s">
        <v>994</v>
      </c>
      <c r="C838" t="s">
        <v>1515</v>
      </c>
      <c r="D838" s="7"/>
      <c r="E838" s="7"/>
      <c r="G838" t="s">
        <v>1939</v>
      </c>
      <c r="H838" t="str" cm="1">
        <f t="array" ref="H838">IFERROR(_xlfn.IFS(B838="","",AND(B838="",G838=""),"",G838="","記載要"),"")</f>
        <v/>
      </c>
      <c r="K838" t="str">
        <f t="shared" si="134"/>
        <v>11WP01008404</v>
      </c>
      <c r="L838" s="3" t="str">
        <f t="shared" si="135"/>
        <v>2001/01/01</v>
      </c>
      <c r="M838" s="3" t="str">
        <f t="shared" si="136"/>
        <v>2199/12/31</v>
      </c>
      <c r="N838" t="str">
        <f t="shared" si="137"/>
        <v>11WP01008404</v>
      </c>
      <c r="O838">
        <v>15</v>
      </c>
      <c r="Q838" t="str" cm="1">
        <f t="array" ref="Q838">_xlfn.IFS(AND(C838="",G838=""),"",LEFT(G838,1)="L","記載要",LEFT(G838,1)="W","",AND(C838,G838=""),"記載要")</f>
        <v/>
      </c>
      <c r="R838" s="21" t="str">
        <f t="shared" ref="R838:R899" si="142">IF(H838="","","記載要")</f>
        <v/>
      </c>
      <c r="S838" s="21"/>
      <c r="Z838" s="8"/>
      <c r="AA838">
        <v>1</v>
      </c>
      <c r="AB838">
        <f t="shared" si="138"/>
        <v>0</v>
      </c>
      <c r="AC838">
        <v>1</v>
      </c>
      <c r="AF838">
        <v>1</v>
      </c>
      <c r="AG838" s="8"/>
      <c r="AH838" s="8"/>
      <c r="AK838" cm="1">
        <f t="array" ref="AK838">_xlfn.IFS(B838="","",LEFT(G838,1)="L",1,LEFT(G838,1)="W",1,AND(LEFT(B838,1)="H",G838=""),0)</f>
        <v>1</v>
      </c>
      <c r="AS838" t="str">
        <f t="shared" si="139"/>
        <v/>
      </c>
      <c r="AT838" t="s">
        <v>115</v>
      </c>
      <c r="AU838" t="str">
        <f t="shared" si="140"/>
        <v>0</v>
      </c>
      <c r="BD838" t="str">
        <f t="shared" si="141"/>
        <v>0</v>
      </c>
      <c r="BK838" t="str">
        <f>IFERROR(VLOOKUP(B838,'[1]model_S-フレーム'!$F$5:$R$7000,13,1),"")</f>
        <v>E389458_01</v>
      </c>
      <c r="BL838" s="7">
        <f>IFERROR(VLOOKUP(B838,'[1]model_S-フレーム'!$F$5:$V$7000,17,1),"")</f>
        <v>0</v>
      </c>
      <c r="BM838" t="str" cm="1">
        <f t="array" ref="BM838">_xlfn.IFS(LEFT(G838,1)="L","外注品",LEFT(G838,1)="W","内製品",G838="","購買品")</f>
        <v>内製品</v>
      </c>
    </row>
    <row r="839" spans="1:65">
      <c r="A839" t="str">
        <f t="shared" si="133"/>
        <v>WG01</v>
      </c>
      <c r="B839" t="s">
        <v>995</v>
      </c>
      <c r="C839" t="s">
        <v>1515</v>
      </c>
      <c r="D839" s="7"/>
      <c r="E839" s="7"/>
      <c r="G839" t="s">
        <v>1939</v>
      </c>
      <c r="H839" t="str" cm="1">
        <f t="array" ref="H839">IFERROR(_xlfn.IFS(B839="","",AND(B839="",G839=""),"",G839="","記載要"),"")</f>
        <v/>
      </c>
      <c r="K839" t="str">
        <f t="shared" si="134"/>
        <v>11WP01008405</v>
      </c>
      <c r="L839" s="3" t="str">
        <f t="shared" si="135"/>
        <v>2001/01/01</v>
      </c>
      <c r="M839" s="3" t="str">
        <f t="shared" si="136"/>
        <v>2199/12/31</v>
      </c>
      <c r="N839" t="str">
        <f t="shared" si="137"/>
        <v>11WP01008405</v>
      </c>
      <c r="O839">
        <v>15</v>
      </c>
      <c r="Q839" t="str" cm="1">
        <f t="array" ref="Q839">_xlfn.IFS(AND(C839="",G839=""),"",LEFT(G839,1)="L","記載要",LEFT(G839,1)="W","",AND(C839,G839=""),"記載要")</f>
        <v/>
      </c>
      <c r="R839" s="21" t="str">
        <f t="shared" si="142"/>
        <v/>
      </c>
      <c r="S839" s="21"/>
      <c r="Z839" s="8"/>
      <c r="AA839">
        <v>1</v>
      </c>
      <c r="AB839">
        <f t="shared" si="138"/>
        <v>0</v>
      </c>
      <c r="AC839">
        <v>1</v>
      </c>
      <c r="AF839">
        <v>1</v>
      </c>
      <c r="AG839" s="8"/>
      <c r="AH839" s="8"/>
      <c r="AK839" cm="1">
        <f t="array" ref="AK839">_xlfn.IFS(B839="","",LEFT(G839,1)="L",1,LEFT(G839,1)="W",1,AND(LEFT(B839,1)="H",G839=""),0)</f>
        <v>1</v>
      </c>
      <c r="AS839" t="str">
        <f t="shared" si="139"/>
        <v/>
      </c>
      <c r="AT839" t="s">
        <v>115</v>
      </c>
      <c r="AU839" t="str">
        <f t="shared" si="140"/>
        <v>0</v>
      </c>
      <c r="BD839" t="str">
        <f t="shared" si="141"/>
        <v>0</v>
      </c>
      <c r="BK839" t="str">
        <f>IFERROR(VLOOKUP(B839,'[1]model_S-フレーム'!$F$5:$R$7000,13,1),"")</f>
        <v>E389458_01</v>
      </c>
      <c r="BL839" s="7">
        <f>IFERROR(VLOOKUP(B839,'[1]model_S-フレーム'!$F$5:$V$7000,17,1),"")</f>
        <v>0</v>
      </c>
      <c r="BM839" t="str" cm="1">
        <f t="array" ref="BM839">_xlfn.IFS(LEFT(G839,1)="L","外注品",LEFT(G839,1)="W","内製品",G839="","購買品")</f>
        <v>内製品</v>
      </c>
    </row>
    <row r="840" spans="1:65">
      <c r="A840" t="str">
        <f t="shared" si="133"/>
        <v>WG01</v>
      </c>
      <c r="B840" t="s">
        <v>996</v>
      </c>
      <c r="C840" t="s">
        <v>1515</v>
      </c>
      <c r="D840" s="7"/>
      <c r="E840" s="7"/>
      <c r="G840" t="s">
        <v>1939</v>
      </c>
      <c r="H840" t="str" cm="1">
        <f t="array" ref="H840">IFERROR(_xlfn.IFS(B840="","",AND(B840="",G840=""),"",G840="","記載要"),"")</f>
        <v/>
      </c>
      <c r="K840" t="str">
        <f t="shared" si="134"/>
        <v>11WP01008406</v>
      </c>
      <c r="L840" s="3" t="str">
        <f t="shared" si="135"/>
        <v>2001/01/01</v>
      </c>
      <c r="M840" s="3" t="str">
        <f t="shared" si="136"/>
        <v>2199/12/31</v>
      </c>
      <c r="N840" t="str">
        <f t="shared" si="137"/>
        <v>11WP01008406</v>
      </c>
      <c r="O840">
        <v>15</v>
      </c>
      <c r="Q840" t="str" cm="1">
        <f t="array" ref="Q840">_xlfn.IFS(AND(C840="",G840=""),"",LEFT(G840,1)="L","記載要",LEFT(G840,1)="W","",AND(C840,G840=""),"記載要")</f>
        <v/>
      </c>
      <c r="R840" s="21" t="str">
        <f t="shared" si="142"/>
        <v/>
      </c>
      <c r="S840" s="21"/>
      <c r="Z840" s="8"/>
      <c r="AA840">
        <v>1</v>
      </c>
      <c r="AB840">
        <f t="shared" si="138"/>
        <v>0</v>
      </c>
      <c r="AC840">
        <v>1</v>
      </c>
      <c r="AF840">
        <v>1</v>
      </c>
      <c r="AG840" s="8"/>
      <c r="AH840" s="8"/>
      <c r="AK840" cm="1">
        <f t="array" ref="AK840">_xlfn.IFS(B840="","",LEFT(G840,1)="L",1,LEFT(G840,1)="W",1,AND(LEFT(B840,1)="H",G840=""),0)</f>
        <v>1</v>
      </c>
      <c r="AS840" t="str">
        <f t="shared" si="139"/>
        <v/>
      </c>
      <c r="AT840" t="s">
        <v>115</v>
      </c>
      <c r="AU840" t="str">
        <f t="shared" si="140"/>
        <v>0</v>
      </c>
      <c r="BD840" t="str">
        <f t="shared" si="141"/>
        <v>0</v>
      </c>
      <c r="BK840" t="str">
        <f>IFERROR(VLOOKUP(B840,'[1]model_S-フレーム'!$F$5:$R$7000,13,1),"")</f>
        <v>E389458_01</v>
      </c>
      <c r="BL840" s="7">
        <f>IFERROR(VLOOKUP(B840,'[1]model_S-フレーム'!$F$5:$V$7000,17,1),"")</f>
        <v>0</v>
      </c>
      <c r="BM840" t="str" cm="1">
        <f t="array" ref="BM840">_xlfn.IFS(LEFT(G840,1)="L","外注品",LEFT(G840,1)="W","内製品",G840="","購買品")</f>
        <v>内製品</v>
      </c>
    </row>
    <row r="841" spans="1:65">
      <c r="A841" t="str">
        <f t="shared" si="133"/>
        <v>WG01</v>
      </c>
      <c r="B841" t="s">
        <v>997</v>
      </c>
      <c r="C841" t="s">
        <v>1515</v>
      </c>
      <c r="D841" s="7"/>
      <c r="E841" s="7"/>
      <c r="G841" t="s">
        <v>1939</v>
      </c>
      <c r="H841" t="str" cm="1">
        <f t="array" ref="H841">IFERROR(_xlfn.IFS(B841="","",AND(B841="",G841=""),"",G841="","記載要"),"")</f>
        <v/>
      </c>
      <c r="K841" t="str">
        <f t="shared" si="134"/>
        <v>11WP01008407</v>
      </c>
      <c r="L841" s="3" t="str">
        <f t="shared" si="135"/>
        <v>2001/01/01</v>
      </c>
      <c r="M841" s="3" t="str">
        <f t="shared" si="136"/>
        <v>2199/12/31</v>
      </c>
      <c r="N841" t="str">
        <f t="shared" si="137"/>
        <v>11WP01008407</v>
      </c>
      <c r="O841">
        <v>15</v>
      </c>
      <c r="Q841" t="str" cm="1">
        <f t="array" ref="Q841">_xlfn.IFS(AND(C841="",G841=""),"",LEFT(G841,1)="L","記載要",LEFT(G841,1)="W","",AND(C841,G841=""),"記載要")</f>
        <v/>
      </c>
      <c r="R841" s="21" t="str">
        <f t="shared" si="142"/>
        <v/>
      </c>
      <c r="S841" s="21"/>
      <c r="Z841" s="8"/>
      <c r="AA841">
        <v>1</v>
      </c>
      <c r="AB841">
        <f t="shared" si="138"/>
        <v>0</v>
      </c>
      <c r="AC841">
        <v>1</v>
      </c>
      <c r="AF841">
        <v>1</v>
      </c>
      <c r="AG841" s="8"/>
      <c r="AH841" s="8"/>
      <c r="AK841" cm="1">
        <f t="array" ref="AK841">_xlfn.IFS(B841="","",LEFT(G841,1)="L",1,LEFT(G841,1)="W",1,AND(LEFT(B841,1)="H",G841=""),0)</f>
        <v>1</v>
      </c>
      <c r="AS841" t="str">
        <f t="shared" si="139"/>
        <v/>
      </c>
      <c r="AT841" t="s">
        <v>115</v>
      </c>
      <c r="AU841" t="str">
        <f t="shared" si="140"/>
        <v>0</v>
      </c>
      <c r="BD841" t="str">
        <f t="shared" si="141"/>
        <v>0</v>
      </c>
      <c r="BK841" t="str">
        <f>IFERROR(VLOOKUP(B841,'[1]model_S-フレーム'!$F$5:$R$7000,13,1),"")</f>
        <v>E389458_01</v>
      </c>
      <c r="BL841" s="7">
        <f>IFERROR(VLOOKUP(B841,'[1]model_S-フレーム'!$F$5:$V$7000,17,1),"")</f>
        <v>0</v>
      </c>
      <c r="BM841" t="str" cm="1">
        <f t="array" ref="BM841">_xlfn.IFS(LEFT(G841,1)="L","外注品",LEFT(G841,1)="W","内製品",G841="","購買品")</f>
        <v>内製品</v>
      </c>
    </row>
    <row r="842" spans="1:65">
      <c r="A842" t="str">
        <f t="shared" si="133"/>
        <v>WG01</v>
      </c>
      <c r="B842" t="s">
        <v>998</v>
      </c>
      <c r="C842" t="s">
        <v>1515</v>
      </c>
      <c r="D842" s="7"/>
      <c r="E842" s="7"/>
      <c r="G842" t="s">
        <v>1939</v>
      </c>
      <c r="H842" t="str" cm="1">
        <f t="array" ref="H842">IFERROR(_xlfn.IFS(B842="","",AND(B842="",G842=""),"",G842="","記載要"),"")</f>
        <v/>
      </c>
      <c r="K842" t="str">
        <f t="shared" si="134"/>
        <v>11WP01008408</v>
      </c>
      <c r="L842" s="3" t="str">
        <f t="shared" si="135"/>
        <v>2001/01/01</v>
      </c>
      <c r="M842" s="3" t="str">
        <f t="shared" si="136"/>
        <v>2199/12/31</v>
      </c>
      <c r="N842" t="str">
        <f t="shared" si="137"/>
        <v>11WP01008408</v>
      </c>
      <c r="O842">
        <v>15</v>
      </c>
      <c r="Q842" t="str" cm="1">
        <f t="array" ref="Q842">_xlfn.IFS(AND(C842="",G842=""),"",LEFT(G842,1)="L","記載要",LEFT(G842,1)="W","",AND(C842,G842=""),"記載要")</f>
        <v/>
      </c>
      <c r="R842" s="21" t="str">
        <f t="shared" si="142"/>
        <v/>
      </c>
      <c r="S842" s="21"/>
      <c r="Z842" s="8"/>
      <c r="AA842">
        <v>1</v>
      </c>
      <c r="AB842">
        <f t="shared" si="138"/>
        <v>0</v>
      </c>
      <c r="AC842">
        <v>1</v>
      </c>
      <c r="AF842">
        <v>1</v>
      </c>
      <c r="AG842" s="8"/>
      <c r="AH842" s="8"/>
      <c r="AK842" cm="1">
        <f t="array" ref="AK842">_xlfn.IFS(B842="","",LEFT(G842,1)="L",1,LEFT(G842,1)="W",1,AND(LEFT(B842,1)="H",G842=""),0)</f>
        <v>1</v>
      </c>
      <c r="AS842" t="str">
        <f t="shared" si="139"/>
        <v/>
      </c>
      <c r="AT842" t="s">
        <v>115</v>
      </c>
      <c r="AU842" t="str">
        <f t="shared" si="140"/>
        <v>0</v>
      </c>
      <c r="BD842" t="str">
        <f t="shared" si="141"/>
        <v>0</v>
      </c>
      <c r="BK842" t="str">
        <f>IFERROR(VLOOKUP(B842,'[1]model_S-フレーム'!$F$5:$R$7000,13,1),"")</f>
        <v>E389458_01</v>
      </c>
      <c r="BL842" s="7">
        <f>IFERROR(VLOOKUP(B842,'[1]model_S-フレーム'!$F$5:$V$7000,17,1),"")</f>
        <v>0</v>
      </c>
      <c r="BM842" t="str" cm="1">
        <f t="array" ref="BM842">_xlfn.IFS(LEFT(G842,1)="L","外注品",LEFT(G842,1)="W","内製品",G842="","購買品")</f>
        <v>内製品</v>
      </c>
    </row>
    <row r="843" spans="1:65">
      <c r="A843" t="str">
        <f t="shared" si="133"/>
        <v>WG01</v>
      </c>
      <c r="B843" t="s">
        <v>999</v>
      </c>
      <c r="C843" t="s">
        <v>1515</v>
      </c>
      <c r="D843" s="7"/>
      <c r="E843" s="7"/>
      <c r="G843" t="s">
        <v>1939</v>
      </c>
      <c r="H843" t="str" cm="1">
        <f t="array" ref="H843">IFERROR(_xlfn.IFS(B843="","",AND(B843="",G843=""),"",G843="","記載要"),"")</f>
        <v/>
      </c>
      <c r="K843" t="str">
        <f t="shared" si="134"/>
        <v>11WP01008409</v>
      </c>
      <c r="L843" s="3" t="str">
        <f t="shared" si="135"/>
        <v>2001/01/01</v>
      </c>
      <c r="M843" s="3" t="str">
        <f t="shared" si="136"/>
        <v>2199/12/31</v>
      </c>
      <c r="N843" t="str">
        <f t="shared" si="137"/>
        <v>11WP01008409</v>
      </c>
      <c r="O843">
        <v>15</v>
      </c>
      <c r="Q843" t="str" cm="1">
        <f t="array" ref="Q843">_xlfn.IFS(AND(C843="",G843=""),"",LEFT(G843,1)="L","記載要",LEFT(G843,1)="W","",AND(C843,G843=""),"記載要")</f>
        <v/>
      </c>
      <c r="R843" s="21" t="str">
        <f t="shared" si="142"/>
        <v/>
      </c>
      <c r="S843" s="21"/>
      <c r="Z843" s="8"/>
      <c r="AA843">
        <v>1</v>
      </c>
      <c r="AB843">
        <f t="shared" si="138"/>
        <v>0</v>
      </c>
      <c r="AC843">
        <v>1</v>
      </c>
      <c r="AF843">
        <v>1</v>
      </c>
      <c r="AG843" s="8"/>
      <c r="AH843" s="8"/>
      <c r="AK843" cm="1">
        <f t="array" ref="AK843">_xlfn.IFS(B843="","",LEFT(G843,1)="L",1,LEFT(G843,1)="W",1,AND(LEFT(B843,1)="H",G843=""),0)</f>
        <v>1</v>
      </c>
      <c r="AS843" t="str">
        <f t="shared" si="139"/>
        <v/>
      </c>
      <c r="AT843" t="s">
        <v>115</v>
      </c>
      <c r="AU843" t="str">
        <f t="shared" si="140"/>
        <v>0</v>
      </c>
      <c r="BD843" t="str">
        <f t="shared" si="141"/>
        <v>0</v>
      </c>
      <c r="BK843" t="str">
        <f>IFERROR(VLOOKUP(B843,'[1]model_S-フレーム'!$F$5:$R$7000,13,1),"")</f>
        <v>E389458_01</v>
      </c>
      <c r="BL843" s="7">
        <f>IFERROR(VLOOKUP(B843,'[1]model_S-フレーム'!$F$5:$V$7000,17,1),"")</f>
        <v>0</v>
      </c>
      <c r="BM843" t="str" cm="1">
        <f t="array" ref="BM843">_xlfn.IFS(LEFT(G843,1)="L","外注品",LEFT(G843,1)="W","内製品",G843="","購買品")</f>
        <v>内製品</v>
      </c>
    </row>
    <row r="844" spans="1:65">
      <c r="A844" t="str">
        <f t="shared" si="133"/>
        <v>WG01</v>
      </c>
      <c r="B844" t="s">
        <v>1000</v>
      </c>
      <c r="C844" t="s">
        <v>1515</v>
      </c>
      <c r="D844" s="7"/>
      <c r="E844" s="7"/>
      <c r="G844" t="s">
        <v>1939</v>
      </c>
      <c r="H844" t="str" cm="1">
        <f t="array" ref="H844">IFERROR(_xlfn.IFS(B844="","",AND(B844="",G844=""),"",G844="","記載要"),"")</f>
        <v/>
      </c>
      <c r="K844" t="str">
        <f t="shared" si="134"/>
        <v>11WP01008410</v>
      </c>
      <c r="L844" s="3" t="str">
        <f t="shared" si="135"/>
        <v>2001/01/01</v>
      </c>
      <c r="M844" s="3" t="str">
        <f t="shared" si="136"/>
        <v>2199/12/31</v>
      </c>
      <c r="N844" t="str">
        <f t="shared" si="137"/>
        <v>11WP01008410</v>
      </c>
      <c r="O844">
        <v>15</v>
      </c>
      <c r="Q844" t="str" cm="1">
        <f t="array" ref="Q844">_xlfn.IFS(AND(C844="",G844=""),"",LEFT(G844,1)="L","記載要",LEFT(G844,1)="W","",AND(C844,G844=""),"記載要")</f>
        <v/>
      </c>
      <c r="R844" s="21" t="str">
        <f t="shared" si="142"/>
        <v/>
      </c>
      <c r="S844" s="21"/>
      <c r="Z844" s="8"/>
      <c r="AA844">
        <v>1</v>
      </c>
      <c r="AB844">
        <f t="shared" si="138"/>
        <v>0</v>
      </c>
      <c r="AC844">
        <v>1</v>
      </c>
      <c r="AF844">
        <v>1</v>
      </c>
      <c r="AG844" s="8"/>
      <c r="AH844" s="8"/>
      <c r="AK844" cm="1">
        <f t="array" ref="AK844">_xlfn.IFS(B844="","",LEFT(G844,1)="L",1,LEFT(G844,1)="W",1,AND(LEFT(B844,1)="H",G844=""),0)</f>
        <v>1</v>
      </c>
      <c r="AS844" t="str">
        <f t="shared" si="139"/>
        <v/>
      </c>
      <c r="AT844" t="s">
        <v>115</v>
      </c>
      <c r="AU844" t="str">
        <f t="shared" si="140"/>
        <v>0</v>
      </c>
      <c r="BD844" t="str">
        <f t="shared" si="141"/>
        <v>0</v>
      </c>
      <c r="BK844" t="str">
        <f>IFERROR(VLOOKUP(B844,'[1]model_S-フレーム'!$F$5:$R$7000,13,1),"")</f>
        <v>E389458_01</v>
      </c>
      <c r="BL844" s="7">
        <f>IFERROR(VLOOKUP(B844,'[1]model_S-フレーム'!$F$5:$V$7000,17,1),"")</f>
        <v>0</v>
      </c>
      <c r="BM844" t="str" cm="1">
        <f t="array" ref="BM844">_xlfn.IFS(LEFT(G844,1)="L","外注品",LEFT(G844,1)="W","内製品",G844="","購買品")</f>
        <v>内製品</v>
      </c>
    </row>
    <row r="845" spans="1:65">
      <c r="A845" t="str">
        <f t="shared" si="133"/>
        <v>WG01</v>
      </c>
      <c r="B845" t="s">
        <v>1001</v>
      </c>
      <c r="C845" t="s">
        <v>1515</v>
      </c>
      <c r="D845" s="7"/>
      <c r="E845" s="7"/>
      <c r="G845" t="s">
        <v>1939</v>
      </c>
      <c r="H845" t="str" cm="1">
        <f t="array" ref="H845">IFERROR(_xlfn.IFS(B845="","",AND(B845="",G845=""),"",G845="","記載要"),"")</f>
        <v/>
      </c>
      <c r="K845" t="str">
        <f t="shared" si="134"/>
        <v>11WP01008411</v>
      </c>
      <c r="L845" s="3" t="str">
        <f t="shared" si="135"/>
        <v>2001/01/01</v>
      </c>
      <c r="M845" s="3" t="str">
        <f t="shared" si="136"/>
        <v>2199/12/31</v>
      </c>
      <c r="N845" t="str">
        <f t="shared" si="137"/>
        <v>11WP01008411</v>
      </c>
      <c r="O845">
        <v>15</v>
      </c>
      <c r="Q845" t="str" cm="1">
        <f t="array" ref="Q845">_xlfn.IFS(AND(C845="",G845=""),"",LEFT(G845,1)="L","記載要",LEFT(G845,1)="W","",AND(C845,G845=""),"記載要")</f>
        <v/>
      </c>
      <c r="R845" s="21" t="str">
        <f t="shared" si="142"/>
        <v/>
      </c>
      <c r="S845" s="21"/>
      <c r="Z845" s="8"/>
      <c r="AA845">
        <v>1</v>
      </c>
      <c r="AB845">
        <f t="shared" si="138"/>
        <v>0</v>
      </c>
      <c r="AC845">
        <v>1</v>
      </c>
      <c r="AF845">
        <v>1</v>
      </c>
      <c r="AG845" s="8"/>
      <c r="AH845" s="8"/>
      <c r="AK845" cm="1">
        <f t="array" ref="AK845">_xlfn.IFS(B845="","",LEFT(G845,1)="L",1,LEFT(G845,1)="W",1,AND(LEFT(B845,1)="H",G845=""),0)</f>
        <v>1</v>
      </c>
      <c r="AS845" t="str">
        <f t="shared" si="139"/>
        <v/>
      </c>
      <c r="AT845" t="s">
        <v>115</v>
      </c>
      <c r="AU845" t="str">
        <f t="shared" si="140"/>
        <v>0</v>
      </c>
      <c r="BD845" t="str">
        <f t="shared" si="141"/>
        <v>0</v>
      </c>
      <c r="BK845" t="str">
        <f>IFERROR(VLOOKUP(B845,'[1]model_S-フレーム'!$F$5:$R$7000,13,1),"")</f>
        <v>E389458_01</v>
      </c>
      <c r="BL845" s="7">
        <f>IFERROR(VLOOKUP(B845,'[1]model_S-フレーム'!$F$5:$V$7000,17,1),"")</f>
        <v>0</v>
      </c>
      <c r="BM845" t="str" cm="1">
        <f t="array" ref="BM845">_xlfn.IFS(LEFT(G845,1)="L","外注品",LEFT(G845,1)="W","内製品",G845="","購買品")</f>
        <v>内製品</v>
      </c>
    </row>
    <row r="846" spans="1:65">
      <c r="A846" t="str">
        <f t="shared" si="133"/>
        <v>WG01</v>
      </c>
      <c r="B846" t="s">
        <v>1002</v>
      </c>
      <c r="C846" t="s">
        <v>1515</v>
      </c>
      <c r="D846" s="7"/>
      <c r="E846" s="7"/>
      <c r="G846" t="s">
        <v>1939</v>
      </c>
      <c r="H846" t="str" cm="1">
        <f t="array" ref="H846">IFERROR(_xlfn.IFS(B846="","",AND(B846="",G846=""),"",G846="","記載要"),"")</f>
        <v/>
      </c>
      <c r="K846" t="str">
        <f t="shared" si="134"/>
        <v>11WP01008412</v>
      </c>
      <c r="L846" s="3" t="str">
        <f t="shared" si="135"/>
        <v>2001/01/01</v>
      </c>
      <c r="M846" s="3" t="str">
        <f t="shared" si="136"/>
        <v>2199/12/31</v>
      </c>
      <c r="N846" t="str">
        <f t="shared" si="137"/>
        <v>11WP01008412</v>
      </c>
      <c r="O846">
        <v>15</v>
      </c>
      <c r="Q846" t="str" cm="1">
        <f t="array" ref="Q846">_xlfn.IFS(AND(C846="",G846=""),"",LEFT(G846,1)="L","記載要",LEFT(G846,1)="W","",AND(C846,G846=""),"記載要")</f>
        <v/>
      </c>
      <c r="R846" s="21" t="str">
        <f t="shared" si="142"/>
        <v/>
      </c>
      <c r="S846" s="21"/>
      <c r="Z846" s="8"/>
      <c r="AA846">
        <v>1</v>
      </c>
      <c r="AB846">
        <f t="shared" si="138"/>
        <v>0</v>
      </c>
      <c r="AC846">
        <v>1</v>
      </c>
      <c r="AF846">
        <v>1</v>
      </c>
      <c r="AG846" s="8"/>
      <c r="AH846" s="8"/>
      <c r="AK846" cm="1">
        <f t="array" ref="AK846">_xlfn.IFS(B846="","",LEFT(G846,1)="L",1,LEFT(G846,1)="W",1,AND(LEFT(B846,1)="H",G846=""),0)</f>
        <v>1</v>
      </c>
      <c r="AS846" t="str">
        <f t="shared" si="139"/>
        <v/>
      </c>
      <c r="AT846" t="s">
        <v>115</v>
      </c>
      <c r="AU846" t="str">
        <f t="shared" si="140"/>
        <v>0</v>
      </c>
      <c r="BD846" t="str">
        <f t="shared" si="141"/>
        <v>0</v>
      </c>
      <c r="BK846" t="str">
        <f>IFERROR(VLOOKUP(B846,'[1]model_S-フレーム'!$F$5:$R$7000,13,1),"")</f>
        <v>E389458_01</v>
      </c>
      <c r="BL846" s="7">
        <f>IFERROR(VLOOKUP(B846,'[1]model_S-フレーム'!$F$5:$V$7000,17,1),"")</f>
        <v>0</v>
      </c>
      <c r="BM846" t="str" cm="1">
        <f t="array" ref="BM846">_xlfn.IFS(LEFT(G846,1)="L","外注品",LEFT(G846,1)="W","内製品",G846="","購買品")</f>
        <v>内製品</v>
      </c>
    </row>
    <row r="847" spans="1:65">
      <c r="A847" t="str">
        <f t="shared" si="133"/>
        <v>WG01</v>
      </c>
      <c r="B847" t="s">
        <v>1003</v>
      </c>
      <c r="C847" t="s">
        <v>1515</v>
      </c>
      <c r="D847" s="7"/>
      <c r="E847" s="7"/>
      <c r="G847" t="s">
        <v>1939</v>
      </c>
      <c r="H847" t="str" cm="1">
        <f t="array" ref="H847">IFERROR(_xlfn.IFS(B847="","",AND(B847="",G847=""),"",G847="","記載要"),"")</f>
        <v/>
      </c>
      <c r="K847" t="str">
        <f t="shared" si="134"/>
        <v>11WP01008413</v>
      </c>
      <c r="L847" s="3" t="str">
        <f t="shared" si="135"/>
        <v>2001/01/01</v>
      </c>
      <c r="M847" s="3" t="str">
        <f t="shared" si="136"/>
        <v>2199/12/31</v>
      </c>
      <c r="N847" t="str">
        <f t="shared" si="137"/>
        <v>11WP01008413</v>
      </c>
      <c r="O847">
        <v>15</v>
      </c>
      <c r="Q847" t="str" cm="1">
        <f t="array" ref="Q847">_xlfn.IFS(AND(C847="",G847=""),"",LEFT(G847,1)="L","記載要",LEFT(G847,1)="W","",AND(C847,G847=""),"記載要")</f>
        <v/>
      </c>
      <c r="R847" s="21" t="str">
        <f t="shared" si="142"/>
        <v/>
      </c>
      <c r="S847" s="21"/>
      <c r="Z847" s="8"/>
      <c r="AA847">
        <v>1</v>
      </c>
      <c r="AB847">
        <f t="shared" si="138"/>
        <v>0</v>
      </c>
      <c r="AC847">
        <v>1</v>
      </c>
      <c r="AF847">
        <v>1</v>
      </c>
      <c r="AG847" s="8"/>
      <c r="AH847" s="8"/>
      <c r="AK847" cm="1">
        <f t="array" ref="AK847">_xlfn.IFS(B847="","",LEFT(G847,1)="L",1,LEFT(G847,1)="W",1,AND(LEFT(B847,1)="H",G847=""),0)</f>
        <v>1</v>
      </c>
      <c r="AS847" t="str">
        <f t="shared" si="139"/>
        <v/>
      </c>
      <c r="AT847" t="s">
        <v>115</v>
      </c>
      <c r="AU847" t="str">
        <f t="shared" si="140"/>
        <v>0</v>
      </c>
      <c r="BD847" t="str">
        <f t="shared" si="141"/>
        <v>0</v>
      </c>
      <c r="BK847" t="str">
        <f>IFERROR(VLOOKUP(B847,'[1]model_S-フレーム'!$F$5:$R$7000,13,1),"")</f>
        <v>E389458_01</v>
      </c>
      <c r="BL847" s="7">
        <f>IFERROR(VLOOKUP(B847,'[1]model_S-フレーム'!$F$5:$V$7000,17,1),"")</f>
        <v>0</v>
      </c>
      <c r="BM847" t="str" cm="1">
        <f t="array" ref="BM847">_xlfn.IFS(LEFT(G847,1)="L","外注品",LEFT(G847,1)="W","内製品",G847="","購買品")</f>
        <v>内製品</v>
      </c>
    </row>
    <row r="848" spans="1:65">
      <c r="A848" t="str">
        <f t="shared" si="133"/>
        <v>WG01</v>
      </c>
      <c r="B848" t="s">
        <v>1004</v>
      </c>
      <c r="C848" t="s">
        <v>1515</v>
      </c>
      <c r="D848" s="7"/>
      <c r="E848" s="7"/>
      <c r="G848" t="s">
        <v>1939</v>
      </c>
      <c r="H848" t="str" cm="1">
        <f t="array" ref="H848">IFERROR(_xlfn.IFS(B848="","",AND(B848="",G848=""),"",G848="","記載要"),"")</f>
        <v/>
      </c>
      <c r="K848" t="str">
        <f t="shared" si="134"/>
        <v>11WP01008414</v>
      </c>
      <c r="L848" s="3" t="str">
        <f t="shared" si="135"/>
        <v>2001/01/01</v>
      </c>
      <c r="M848" s="3" t="str">
        <f t="shared" si="136"/>
        <v>2199/12/31</v>
      </c>
      <c r="N848" t="str">
        <f t="shared" si="137"/>
        <v>11WP01008414</v>
      </c>
      <c r="O848">
        <v>15</v>
      </c>
      <c r="Q848" t="str" cm="1">
        <f t="array" ref="Q848">_xlfn.IFS(AND(C848="",G848=""),"",LEFT(G848,1)="L","記載要",LEFT(G848,1)="W","",AND(C848,G848=""),"記載要")</f>
        <v/>
      </c>
      <c r="R848" s="21" t="str">
        <f t="shared" si="142"/>
        <v/>
      </c>
      <c r="S848" s="21"/>
      <c r="Z848" s="8"/>
      <c r="AA848">
        <v>1</v>
      </c>
      <c r="AB848">
        <f t="shared" si="138"/>
        <v>0</v>
      </c>
      <c r="AC848">
        <v>1</v>
      </c>
      <c r="AF848">
        <v>1</v>
      </c>
      <c r="AG848" s="8"/>
      <c r="AH848" s="8"/>
      <c r="AK848" cm="1">
        <f t="array" ref="AK848">_xlfn.IFS(B848="","",LEFT(G848,1)="L",1,LEFT(G848,1)="W",1,AND(LEFT(B848,1)="H",G848=""),0)</f>
        <v>1</v>
      </c>
      <c r="AS848" t="str">
        <f t="shared" si="139"/>
        <v/>
      </c>
      <c r="AT848" t="s">
        <v>115</v>
      </c>
      <c r="AU848" t="str">
        <f t="shared" si="140"/>
        <v>0</v>
      </c>
      <c r="BD848" t="str">
        <f t="shared" si="141"/>
        <v>0</v>
      </c>
      <c r="BK848" t="str">
        <f>IFERROR(VLOOKUP(B848,'[1]model_S-フレーム'!$F$5:$R$7000,13,1),"")</f>
        <v>E389458_01</v>
      </c>
      <c r="BL848" s="7">
        <f>IFERROR(VLOOKUP(B848,'[1]model_S-フレーム'!$F$5:$V$7000,17,1),"")</f>
        <v>0</v>
      </c>
      <c r="BM848" t="str" cm="1">
        <f t="array" ref="BM848">_xlfn.IFS(LEFT(G848,1)="L","外注品",LEFT(G848,1)="W","内製品",G848="","購買品")</f>
        <v>内製品</v>
      </c>
    </row>
    <row r="849" spans="1:65">
      <c r="A849" t="str">
        <f t="shared" si="133"/>
        <v>WG01</v>
      </c>
      <c r="B849" t="s">
        <v>1005</v>
      </c>
      <c r="C849" t="s">
        <v>1515</v>
      </c>
      <c r="D849" s="7"/>
      <c r="E849" s="7"/>
      <c r="G849" t="s">
        <v>1939</v>
      </c>
      <c r="H849" t="str" cm="1">
        <f t="array" ref="H849">IFERROR(_xlfn.IFS(B849="","",AND(B849="",G849=""),"",G849="","記載要"),"")</f>
        <v/>
      </c>
      <c r="K849" t="str">
        <f t="shared" si="134"/>
        <v>11WP01008415</v>
      </c>
      <c r="L849" s="3" t="str">
        <f t="shared" si="135"/>
        <v>2001/01/01</v>
      </c>
      <c r="M849" s="3" t="str">
        <f t="shared" si="136"/>
        <v>2199/12/31</v>
      </c>
      <c r="N849" t="str">
        <f t="shared" si="137"/>
        <v>11WP01008415</v>
      </c>
      <c r="O849">
        <v>15</v>
      </c>
      <c r="Q849" t="str" cm="1">
        <f t="array" ref="Q849">_xlfn.IFS(AND(C849="",G849=""),"",LEFT(G849,1)="L","記載要",LEFT(G849,1)="W","",AND(C849,G849=""),"記載要")</f>
        <v/>
      </c>
      <c r="R849" s="21" t="str">
        <f t="shared" si="142"/>
        <v/>
      </c>
      <c r="S849" s="21"/>
      <c r="Z849" s="8"/>
      <c r="AA849">
        <v>1</v>
      </c>
      <c r="AB849">
        <f t="shared" si="138"/>
        <v>0</v>
      </c>
      <c r="AC849">
        <v>1</v>
      </c>
      <c r="AF849">
        <v>1</v>
      </c>
      <c r="AG849" s="8"/>
      <c r="AH849" s="8"/>
      <c r="AK849" cm="1">
        <f t="array" ref="AK849">_xlfn.IFS(B849="","",LEFT(G849,1)="L",1,LEFT(G849,1)="W",1,AND(LEFT(B849,1)="H",G849=""),0)</f>
        <v>1</v>
      </c>
      <c r="AS849" t="str">
        <f t="shared" si="139"/>
        <v/>
      </c>
      <c r="AT849" t="s">
        <v>115</v>
      </c>
      <c r="AU849" t="str">
        <f t="shared" si="140"/>
        <v>0</v>
      </c>
      <c r="BD849" t="str">
        <f t="shared" si="141"/>
        <v>0</v>
      </c>
      <c r="BK849" t="str">
        <f>IFERROR(VLOOKUP(B849,'[1]model_S-フレーム'!$F$5:$R$7000,13,1),"")</f>
        <v>E389458_01</v>
      </c>
      <c r="BL849" s="7">
        <f>IFERROR(VLOOKUP(B849,'[1]model_S-フレーム'!$F$5:$V$7000,17,1),"")</f>
        <v>0</v>
      </c>
      <c r="BM849" t="str" cm="1">
        <f t="array" ref="BM849">_xlfn.IFS(LEFT(G849,1)="L","外注品",LEFT(G849,1)="W","内製品",G849="","購買品")</f>
        <v>内製品</v>
      </c>
    </row>
    <row r="850" spans="1:65">
      <c r="A850" t="str">
        <f t="shared" si="133"/>
        <v>WG01</v>
      </c>
      <c r="B850" t="s">
        <v>1006</v>
      </c>
      <c r="C850" t="s">
        <v>1515</v>
      </c>
      <c r="D850" s="7"/>
      <c r="E850" s="7"/>
      <c r="G850" t="s">
        <v>1939</v>
      </c>
      <c r="H850" t="str" cm="1">
        <f t="array" ref="H850">IFERROR(_xlfn.IFS(B850="","",AND(B850="",G850=""),"",G850="","記載要"),"")</f>
        <v/>
      </c>
      <c r="K850" t="str">
        <f t="shared" si="134"/>
        <v>11WP01008416</v>
      </c>
      <c r="L850" s="3" t="str">
        <f t="shared" si="135"/>
        <v>2001/01/01</v>
      </c>
      <c r="M850" s="3" t="str">
        <f t="shared" si="136"/>
        <v>2199/12/31</v>
      </c>
      <c r="N850" t="str">
        <f t="shared" si="137"/>
        <v>11WP01008416</v>
      </c>
      <c r="O850">
        <v>15</v>
      </c>
      <c r="Q850" t="str" cm="1">
        <f t="array" ref="Q850">_xlfn.IFS(AND(C850="",G850=""),"",LEFT(G850,1)="L","記載要",LEFT(G850,1)="W","",AND(C850,G850=""),"記載要")</f>
        <v/>
      </c>
      <c r="R850" s="21" t="str">
        <f t="shared" si="142"/>
        <v/>
      </c>
      <c r="S850" s="21"/>
      <c r="Z850" s="8"/>
      <c r="AA850">
        <v>1</v>
      </c>
      <c r="AB850">
        <f t="shared" si="138"/>
        <v>0</v>
      </c>
      <c r="AC850">
        <v>1</v>
      </c>
      <c r="AF850">
        <v>1</v>
      </c>
      <c r="AG850" s="8"/>
      <c r="AH850" s="8"/>
      <c r="AK850" cm="1">
        <f t="array" ref="AK850">_xlfn.IFS(B850="","",LEFT(G850,1)="L",1,LEFT(G850,1)="W",1,AND(LEFT(B850,1)="H",G850=""),0)</f>
        <v>1</v>
      </c>
      <c r="AS850" t="str">
        <f t="shared" si="139"/>
        <v/>
      </c>
      <c r="AT850" t="s">
        <v>115</v>
      </c>
      <c r="AU850" t="str">
        <f t="shared" si="140"/>
        <v>0</v>
      </c>
      <c r="BD850" t="str">
        <f t="shared" si="141"/>
        <v>0</v>
      </c>
      <c r="BK850" t="str">
        <f>IFERROR(VLOOKUP(B850,'[1]model_S-フレーム'!$F$5:$R$7000,13,1),"")</f>
        <v>E389458_01</v>
      </c>
      <c r="BL850" s="7">
        <f>IFERROR(VLOOKUP(B850,'[1]model_S-フレーム'!$F$5:$V$7000,17,1),"")</f>
        <v>0</v>
      </c>
      <c r="BM850" t="str" cm="1">
        <f t="array" ref="BM850">_xlfn.IFS(LEFT(G850,1)="L","外注品",LEFT(G850,1)="W","内製品",G850="","購買品")</f>
        <v>内製品</v>
      </c>
    </row>
    <row r="851" spans="1:65">
      <c r="A851" t="str">
        <f t="shared" si="133"/>
        <v>WG01</v>
      </c>
      <c r="B851" t="s">
        <v>1007</v>
      </c>
      <c r="C851" t="s">
        <v>1515</v>
      </c>
      <c r="D851" s="7"/>
      <c r="E851" s="7"/>
      <c r="G851" t="s">
        <v>1939</v>
      </c>
      <c r="H851" t="str" cm="1">
        <f t="array" ref="H851">IFERROR(_xlfn.IFS(B851="","",AND(B851="",G851=""),"",G851="","記載要"),"")</f>
        <v/>
      </c>
      <c r="K851" t="str">
        <f t="shared" si="134"/>
        <v>11WP01008417</v>
      </c>
      <c r="L851" s="3" t="str">
        <f t="shared" si="135"/>
        <v>2001/01/01</v>
      </c>
      <c r="M851" s="3" t="str">
        <f t="shared" si="136"/>
        <v>2199/12/31</v>
      </c>
      <c r="N851" t="str">
        <f t="shared" si="137"/>
        <v>11WP01008417</v>
      </c>
      <c r="O851">
        <v>15</v>
      </c>
      <c r="Q851" t="str" cm="1">
        <f t="array" ref="Q851">_xlfn.IFS(AND(C851="",G851=""),"",LEFT(G851,1)="L","記載要",LEFT(G851,1)="W","",AND(C851,G851=""),"記載要")</f>
        <v/>
      </c>
      <c r="R851" s="21" t="str">
        <f t="shared" si="142"/>
        <v/>
      </c>
      <c r="S851" s="21"/>
      <c r="Z851" s="8"/>
      <c r="AA851">
        <v>1</v>
      </c>
      <c r="AB851">
        <f t="shared" si="138"/>
        <v>0</v>
      </c>
      <c r="AC851">
        <v>1</v>
      </c>
      <c r="AF851">
        <v>1</v>
      </c>
      <c r="AG851" s="8"/>
      <c r="AH851" s="8"/>
      <c r="AK851" cm="1">
        <f t="array" ref="AK851">_xlfn.IFS(B851="","",LEFT(G851,1)="L",1,LEFT(G851,1)="W",1,AND(LEFT(B851,1)="H",G851=""),0)</f>
        <v>1</v>
      </c>
      <c r="AS851" t="str">
        <f t="shared" si="139"/>
        <v/>
      </c>
      <c r="AT851" t="s">
        <v>115</v>
      </c>
      <c r="AU851" t="str">
        <f t="shared" si="140"/>
        <v>0</v>
      </c>
      <c r="BD851" t="str">
        <f t="shared" si="141"/>
        <v>0</v>
      </c>
      <c r="BK851" t="str">
        <f>IFERROR(VLOOKUP(B851,'[1]model_S-フレーム'!$F$5:$R$7000,13,1),"")</f>
        <v>E389458_01</v>
      </c>
      <c r="BL851" s="7">
        <f>IFERROR(VLOOKUP(B851,'[1]model_S-フレーム'!$F$5:$V$7000,17,1),"")</f>
        <v>0</v>
      </c>
      <c r="BM851" t="str" cm="1">
        <f t="array" ref="BM851">_xlfn.IFS(LEFT(G851,1)="L","外注品",LEFT(G851,1)="W","内製品",G851="","購買品")</f>
        <v>内製品</v>
      </c>
    </row>
    <row r="852" spans="1:65">
      <c r="A852" t="str">
        <f t="shared" si="133"/>
        <v>WG01</v>
      </c>
      <c r="B852" t="s">
        <v>1008</v>
      </c>
      <c r="C852" t="s">
        <v>1515</v>
      </c>
      <c r="D852" s="7"/>
      <c r="E852" s="7"/>
      <c r="G852" t="s">
        <v>1939</v>
      </c>
      <c r="H852" t="str" cm="1">
        <f t="array" ref="H852">IFERROR(_xlfn.IFS(B852="","",AND(B852="",G852=""),"",G852="","記載要"),"")</f>
        <v/>
      </c>
      <c r="K852" t="str">
        <f t="shared" si="134"/>
        <v>11WP01008418</v>
      </c>
      <c r="L852" s="3" t="str">
        <f t="shared" si="135"/>
        <v>2001/01/01</v>
      </c>
      <c r="M852" s="3" t="str">
        <f t="shared" si="136"/>
        <v>2199/12/31</v>
      </c>
      <c r="N852" t="str">
        <f t="shared" si="137"/>
        <v>11WP01008418</v>
      </c>
      <c r="O852">
        <v>15</v>
      </c>
      <c r="Q852" t="str" cm="1">
        <f t="array" ref="Q852">_xlfn.IFS(AND(C852="",G852=""),"",LEFT(G852,1)="L","記載要",LEFT(G852,1)="W","",AND(C852,G852=""),"記載要")</f>
        <v/>
      </c>
      <c r="R852" s="21" t="str">
        <f t="shared" si="142"/>
        <v/>
      </c>
      <c r="S852" s="21"/>
      <c r="Z852" s="8"/>
      <c r="AA852">
        <v>1</v>
      </c>
      <c r="AB852">
        <f t="shared" si="138"/>
        <v>0</v>
      </c>
      <c r="AC852">
        <v>1</v>
      </c>
      <c r="AF852">
        <v>1</v>
      </c>
      <c r="AG852" s="8"/>
      <c r="AH852" s="8"/>
      <c r="AK852" cm="1">
        <f t="array" ref="AK852">_xlfn.IFS(B852="","",LEFT(G852,1)="L",1,LEFT(G852,1)="W",1,AND(LEFT(B852,1)="H",G852=""),0)</f>
        <v>1</v>
      </c>
      <c r="AS852" t="str">
        <f t="shared" si="139"/>
        <v/>
      </c>
      <c r="AT852" t="s">
        <v>115</v>
      </c>
      <c r="AU852" t="str">
        <f t="shared" si="140"/>
        <v>0</v>
      </c>
      <c r="BD852" t="str">
        <f t="shared" si="141"/>
        <v>0</v>
      </c>
      <c r="BK852" t="str">
        <f>IFERROR(VLOOKUP(B852,'[1]model_S-フレーム'!$F$5:$R$7000,13,1),"")</f>
        <v>E389458_01</v>
      </c>
      <c r="BL852" s="7">
        <f>IFERROR(VLOOKUP(B852,'[1]model_S-フレーム'!$F$5:$V$7000,17,1),"")</f>
        <v>0</v>
      </c>
      <c r="BM852" t="str" cm="1">
        <f t="array" ref="BM852">_xlfn.IFS(LEFT(G852,1)="L","外注品",LEFT(G852,1)="W","内製品",G852="","購買品")</f>
        <v>内製品</v>
      </c>
    </row>
    <row r="853" spans="1:65">
      <c r="A853" t="str">
        <f t="shared" si="133"/>
        <v>WG01</v>
      </c>
      <c r="B853" t="s">
        <v>1009</v>
      </c>
      <c r="C853" t="s">
        <v>1515</v>
      </c>
      <c r="D853" s="7"/>
      <c r="E853" s="7"/>
      <c r="G853" t="s">
        <v>1939</v>
      </c>
      <c r="H853" t="str" cm="1">
        <f t="array" ref="H853">IFERROR(_xlfn.IFS(B853="","",AND(B853="",G853=""),"",G853="","記載要"),"")</f>
        <v/>
      </c>
      <c r="K853" t="str">
        <f t="shared" si="134"/>
        <v>11WP01008419</v>
      </c>
      <c r="L853" s="3" t="str">
        <f t="shared" si="135"/>
        <v>2001/01/01</v>
      </c>
      <c r="M853" s="3" t="str">
        <f t="shared" si="136"/>
        <v>2199/12/31</v>
      </c>
      <c r="N853" t="str">
        <f t="shared" si="137"/>
        <v>11WP01008419</v>
      </c>
      <c r="O853">
        <v>15</v>
      </c>
      <c r="Q853" t="str" cm="1">
        <f t="array" ref="Q853">_xlfn.IFS(AND(C853="",G853=""),"",LEFT(G853,1)="L","記載要",LEFT(G853,1)="W","",AND(C853,G853=""),"記載要")</f>
        <v/>
      </c>
      <c r="R853" s="21" t="str">
        <f t="shared" si="142"/>
        <v/>
      </c>
      <c r="S853" s="21"/>
      <c r="Z853" s="8"/>
      <c r="AA853">
        <v>1</v>
      </c>
      <c r="AB853">
        <f t="shared" si="138"/>
        <v>0</v>
      </c>
      <c r="AC853">
        <v>1</v>
      </c>
      <c r="AF853">
        <v>1</v>
      </c>
      <c r="AG853" s="8"/>
      <c r="AH853" s="8"/>
      <c r="AK853" cm="1">
        <f t="array" ref="AK853">_xlfn.IFS(B853="","",LEFT(G853,1)="L",1,LEFT(G853,1)="W",1,AND(LEFT(B853,1)="H",G853=""),0)</f>
        <v>1</v>
      </c>
      <c r="AS853" t="str">
        <f t="shared" si="139"/>
        <v/>
      </c>
      <c r="AT853" t="s">
        <v>115</v>
      </c>
      <c r="AU853" t="str">
        <f t="shared" si="140"/>
        <v>0</v>
      </c>
      <c r="BD853" t="str">
        <f t="shared" si="141"/>
        <v>0</v>
      </c>
      <c r="BK853" t="str">
        <f>IFERROR(VLOOKUP(B853,'[1]model_S-フレーム'!$F$5:$R$7000,13,1),"")</f>
        <v>E389458_01</v>
      </c>
      <c r="BL853" s="7">
        <f>IFERROR(VLOOKUP(B853,'[1]model_S-フレーム'!$F$5:$V$7000,17,1),"")</f>
        <v>0</v>
      </c>
      <c r="BM853" t="str" cm="1">
        <f t="array" ref="BM853">_xlfn.IFS(LEFT(G853,1)="L","外注品",LEFT(G853,1)="W","内製品",G853="","購買品")</f>
        <v>内製品</v>
      </c>
    </row>
    <row r="854" spans="1:65">
      <c r="A854" t="str">
        <f t="shared" si="133"/>
        <v>WG01</v>
      </c>
      <c r="B854" t="s">
        <v>1010</v>
      </c>
      <c r="C854" t="s">
        <v>1516</v>
      </c>
      <c r="D854" s="7"/>
      <c r="E854" s="7"/>
      <c r="G854" t="s">
        <v>1939</v>
      </c>
      <c r="H854" t="str" cm="1">
        <f t="array" ref="H854">IFERROR(_xlfn.IFS(B854="","",AND(B854="",G854=""),"",G854="","記載要"),"")</f>
        <v/>
      </c>
      <c r="K854" t="str">
        <f t="shared" si="134"/>
        <v>11WP01008420</v>
      </c>
      <c r="L854" s="3" t="str">
        <f t="shared" si="135"/>
        <v>2001/01/01</v>
      </c>
      <c r="M854" s="3" t="str">
        <f t="shared" si="136"/>
        <v>2199/12/31</v>
      </c>
      <c r="N854" t="str">
        <f t="shared" si="137"/>
        <v>11WP01008420</v>
      </c>
      <c r="O854">
        <v>15</v>
      </c>
      <c r="Q854" t="str" cm="1">
        <f t="array" ref="Q854">_xlfn.IFS(AND(C854="",G854=""),"",LEFT(G854,1)="L","記載要",LEFT(G854,1)="W","",AND(C854,G854=""),"記載要")</f>
        <v/>
      </c>
      <c r="R854" s="21" t="str">
        <f t="shared" si="142"/>
        <v/>
      </c>
      <c r="S854" s="21"/>
      <c r="Z854" s="8"/>
      <c r="AA854">
        <v>1</v>
      </c>
      <c r="AB854">
        <f t="shared" si="138"/>
        <v>0</v>
      </c>
      <c r="AC854">
        <v>1</v>
      </c>
      <c r="AF854">
        <v>1</v>
      </c>
      <c r="AG854" s="8"/>
      <c r="AH854" s="8"/>
      <c r="AK854" cm="1">
        <f t="array" ref="AK854">_xlfn.IFS(B854="","",LEFT(G854,1)="L",1,LEFT(G854,1)="W",1,AND(LEFT(B854,1)="H",G854=""),0)</f>
        <v>1</v>
      </c>
      <c r="AS854" t="str">
        <f t="shared" si="139"/>
        <v/>
      </c>
      <c r="AT854" t="s">
        <v>115</v>
      </c>
      <c r="AU854" t="str">
        <f t="shared" si="140"/>
        <v>0</v>
      </c>
      <c r="BD854" t="str">
        <f t="shared" si="141"/>
        <v>0</v>
      </c>
      <c r="BK854" t="str">
        <f>IFERROR(VLOOKUP(B854,'[1]model_S-フレーム'!$F$5:$R$7000,13,1),"")</f>
        <v>E389458_01</v>
      </c>
      <c r="BL854" s="7">
        <f>IFERROR(VLOOKUP(B854,'[1]model_S-フレーム'!$F$5:$V$7000,17,1),"")</f>
        <v>0</v>
      </c>
      <c r="BM854" t="str" cm="1">
        <f t="array" ref="BM854">_xlfn.IFS(LEFT(G854,1)="L","外注品",LEFT(G854,1)="W","内製品",G854="","購買品")</f>
        <v>内製品</v>
      </c>
    </row>
    <row r="855" spans="1:65">
      <c r="A855" t="str">
        <f t="shared" si="133"/>
        <v>WG01</v>
      </c>
      <c r="B855" t="s">
        <v>1011</v>
      </c>
      <c r="C855" t="s">
        <v>1516</v>
      </c>
      <c r="D855" s="7"/>
      <c r="E855" s="7"/>
      <c r="G855" t="s">
        <v>1939</v>
      </c>
      <c r="H855" t="str" cm="1">
        <f t="array" ref="H855">IFERROR(_xlfn.IFS(B855="","",AND(B855="",G855=""),"",G855="","記載要"),"")</f>
        <v/>
      </c>
      <c r="K855" t="str">
        <f t="shared" si="134"/>
        <v>11WP01008421</v>
      </c>
      <c r="L855" s="3" t="str">
        <f t="shared" si="135"/>
        <v>2001/01/01</v>
      </c>
      <c r="M855" s="3" t="str">
        <f t="shared" si="136"/>
        <v>2199/12/31</v>
      </c>
      <c r="N855" t="str">
        <f t="shared" si="137"/>
        <v>11WP01008421</v>
      </c>
      <c r="O855">
        <v>15</v>
      </c>
      <c r="Q855" t="str" cm="1">
        <f t="array" ref="Q855">_xlfn.IFS(AND(C855="",G855=""),"",LEFT(G855,1)="L","記載要",LEFT(G855,1)="W","",AND(C855,G855=""),"記載要")</f>
        <v/>
      </c>
      <c r="R855" s="21" t="str">
        <f t="shared" si="142"/>
        <v/>
      </c>
      <c r="S855" s="21"/>
      <c r="Z855" s="8"/>
      <c r="AA855">
        <v>1</v>
      </c>
      <c r="AB855">
        <f t="shared" si="138"/>
        <v>0</v>
      </c>
      <c r="AC855">
        <v>1</v>
      </c>
      <c r="AF855">
        <v>1</v>
      </c>
      <c r="AG855" s="8"/>
      <c r="AH855" s="8"/>
      <c r="AK855" cm="1">
        <f t="array" ref="AK855">_xlfn.IFS(B855="","",LEFT(G855,1)="L",1,LEFT(G855,1)="W",1,AND(LEFT(B855,1)="H",G855=""),0)</f>
        <v>1</v>
      </c>
      <c r="AS855" t="str">
        <f t="shared" si="139"/>
        <v/>
      </c>
      <c r="AT855" t="s">
        <v>115</v>
      </c>
      <c r="AU855" t="str">
        <f t="shared" si="140"/>
        <v>0</v>
      </c>
      <c r="BD855" t="str">
        <f t="shared" si="141"/>
        <v>0</v>
      </c>
      <c r="BK855" t="str">
        <f>IFERROR(VLOOKUP(B855,'[1]model_S-フレーム'!$F$5:$R$7000,13,1),"")</f>
        <v>E389458_01</v>
      </c>
      <c r="BL855" s="7">
        <f>IFERROR(VLOOKUP(B855,'[1]model_S-フレーム'!$F$5:$V$7000,17,1),"")</f>
        <v>0</v>
      </c>
      <c r="BM855" t="str" cm="1">
        <f t="array" ref="BM855">_xlfn.IFS(LEFT(G855,1)="L","外注品",LEFT(G855,1)="W","内製品",G855="","購買品")</f>
        <v>内製品</v>
      </c>
    </row>
    <row r="856" spans="1:65">
      <c r="A856" t="str">
        <f t="shared" si="133"/>
        <v>WG01</v>
      </c>
      <c r="B856" t="s">
        <v>1012</v>
      </c>
      <c r="C856" t="s">
        <v>1516</v>
      </c>
      <c r="D856" s="7"/>
      <c r="E856" s="7"/>
      <c r="G856" t="s">
        <v>1939</v>
      </c>
      <c r="H856" t="str" cm="1">
        <f t="array" ref="H856">IFERROR(_xlfn.IFS(B856="","",AND(B856="",G856=""),"",G856="","記載要"),"")</f>
        <v/>
      </c>
      <c r="K856" t="str">
        <f t="shared" si="134"/>
        <v>11WP01008422</v>
      </c>
      <c r="L856" s="3" t="str">
        <f t="shared" si="135"/>
        <v>2001/01/01</v>
      </c>
      <c r="M856" s="3" t="str">
        <f t="shared" si="136"/>
        <v>2199/12/31</v>
      </c>
      <c r="N856" t="str">
        <f t="shared" si="137"/>
        <v>11WP01008422</v>
      </c>
      <c r="O856">
        <v>15</v>
      </c>
      <c r="Q856" t="str" cm="1">
        <f t="array" ref="Q856">_xlfn.IFS(AND(C856="",G856=""),"",LEFT(G856,1)="L","記載要",LEFT(G856,1)="W","",AND(C856,G856=""),"記載要")</f>
        <v/>
      </c>
      <c r="R856" s="21" t="str">
        <f t="shared" si="142"/>
        <v/>
      </c>
      <c r="S856" s="21"/>
      <c r="Z856" s="8"/>
      <c r="AA856">
        <v>1</v>
      </c>
      <c r="AB856">
        <f t="shared" si="138"/>
        <v>0</v>
      </c>
      <c r="AC856">
        <v>1</v>
      </c>
      <c r="AF856">
        <v>1</v>
      </c>
      <c r="AG856" s="8"/>
      <c r="AH856" s="8"/>
      <c r="AK856" cm="1">
        <f t="array" ref="AK856">_xlfn.IFS(B856="","",LEFT(G856,1)="L",1,LEFT(G856,1)="W",1,AND(LEFT(B856,1)="H",G856=""),0)</f>
        <v>1</v>
      </c>
      <c r="AS856" t="str">
        <f t="shared" si="139"/>
        <v/>
      </c>
      <c r="AT856" t="s">
        <v>115</v>
      </c>
      <c r="AU856" t="str">
        <f t="shared" si="140"/>
        <v>0</v>
      </c>
      <c r="BD856" t="str">
        <f t="shared" si="141"/>
        <v>0</v>
      </c>
      <c r="BK856" t="str">
        <f>IFERROR(VLOOKUP(B856,'[1]model_S-フレーム'!$F$5:$R$7000,13,1),"")</f>
        <v>E389458_01</v>
      </c>
      <c r="BL856" s="7">
        <f>IFERROR(VLOOKUP(B856,'[1]model_S-フレーム'!$F$5:$V$7000,17,1),"")</f>
        <v>0</v>
      </c>
      <c r="BM856" t="str" cm="1">
        <f t="array" ref="BM856">_xlfn.IFS(LEFT(G856,1)="L","外注品",LEFT(G856,1)="W","内製品",G856="","購買品")</f>
        <v>内製品</v>
      </c>
    </row>
    <row r="857" spans="1:65">
      <c r="A857" t="str">
        <f t="shared" si="133"/>
        <v>WG01</v>
      </c>
      <c r="B857" t="s">
        <v>1013</v>
      </c>
      <c r="C857" t="s">
        <v>1516</v>
      </c>
      <c r="D857" s="7"/>
      <c r="E857" s="7"/>
      <c r="G857" t="s">
        <v>1939</v>
      </c>
      <c r="H857" t="str" cm="1">
        <f t="array" ref="H857">IFERROR(_xlfn.IFS(B857="","",AND(B857="",G857=""),"",G857="","記載要"),"")</f>
        <v/>
      </c>
      <c r="K857" t="str">
        <f t="shared" si="134"/>
        <v>11WP01008423</v>
      </c>
      <c r="L857" s="3" t="str">
        <f t="shared" si="135"/>
        <v>2001/01/01</v>
      </c>
      <c r="M857" s="3" t="str">
        <f t="shared" si="136"/>
        <v>2199/12/31</v>
      </c>
      <c r="N857" t="str">
        <f t="shared" si="137"/>
        <v>11WP01008423</v>
      </c>
      <c r="O857">
        <v>15</v>
      </c>
      <c r="Q857" t="str" cm="1">
        <f t="array" ref="Q857">_xlfn.IFS(AND(C857="",G857=""),"",LEFT(G857,1)="L","記載要",LEFT(G857,1)="W","",AND(C857,G857=""),"記載要")</f>
        <v/>
      </c>
      <c r="R857" s="21" t="str">
        <f t="shared" si="142"/>
        <v/>
      </c>
      <c r="S857" s="21"/>
      <c r="Z857" s="8"/>
      <c r="AA857">
        <v>1</v>
      </c>
      <c r="AB857">
        <f t="shared" si="138"/>
        <v>0</v>
      </c>
      <c r="AC857">
        <v>1</v>
      </c>
      <c r="AF857">
        <v>1</v>
      </c>
      <c r="AG857" s="8"/>
      <c r="AH857" s="8"/>
      <c r="AK857" cm="1">
        <f t="array" ref="AK857">_xlfn.IFS(B857="","",LEFT(G857,1)="L",1,LEFT(G857,1)="W",1,AND(LEFT(B857,1)="H",G857=""),0)</f>
        <v>1</v>
      </c>
      <c r="AS857" t="str">
        <f t="shared" si="139"/>
        <v/>
      </c>
      <c r="AT857" t="s">
        <v>115</v>
      </c>
      <c r="AU857" t="str">
        <f t="shared" si="140"/>
        <v>0</v>
      </c>
      <c r="BD857" t="str">
        <f t="shared" si="141"/>
        <v>0</v>
      </c>
      <c r="BK857" t="str">
        <f>IFERROR(VLOOKUP(B857,'[1]model_S-フレーム'!$F$5:$R$7000,13,1),"")</f>
        <v>E389458_01</v>
      </c>
      <c r="BL857" s="7">
        <f>IFERROR(VLOOKUP(B857,'[1]model_S-フレーム'!$F$5:$V$7000,17,1),"")</f>
        <v>0</v>
      </c>
      <c r="BM857" t="str" cm="1">
        <f t="array" ref="BM857">_xlfn.IFS(LEFT(G857,1)="L","外注品",LEFT(G857,1)="W","内製品",G857="","購買品")</f>
        <v>内製品</v>
      </c>
    </row>
    <row r="858" spans="1:65">
      <c r="A858" t="str">
        <f t="shared" si="133"/>
        <v>WG01</v>
      </c>
      <c r="B858" t="s">
        <v>1014</v>
      </c>
      <c r="C858" t="s">
        <v>1516</v>
      </c>
      <c r="D858" s="7"/>
      <c r="E858" s="7"/>
      <c r="G858" t="s">
        <v>1939</v>
      </c>
      <c r="H858" t="str" cm="1">
        <f t="array" ref="H858">IFERROR(_xlfn.IFS(B858="","",AND(B858="",G858=""),"",G858="","記載要"),"")</f>
        <v/>
      </c>
      <c r="K858" t="str">
        <f t="shared" si="134"/>
        <v>11WP01008424</v>
      </c>
      <c r="L858" s="3" t="str">
        <f t="shared" si="135"/>
        <v>2001/01/01</v>
      </c>
      <c r="M858" s="3" t="str">
        <f t="shared" si="136"/>
        <v>2199/12/31</v>
      </c>
      <c r="N858" t="str">
        <f t="shared" si="137"/>
        <v>11WP01008424</v>
      </c>
      <c r="O858">
        <v>15</v>
      </c>
      <c r="Q858" t="str" cm="1">
        <f t="array" ref="Q858">_xlfn.IFS(AND(C858="",G858=""),"",LEFT(G858,1)="L","記載要",LEFT(G858,1)="W","",AND(C858,G858=""),"記載要")</f>
        <v/>
      </c>
      <c r="R858" s="21" t="str">
        <f t="shared" si="142"/>
        <v/>
      </c>
      <c r="S858" s="21"/>
      <c r="Z858" s="8"/>
      <c r="AA858">
        <v>1</v>
      </c>
      <c r="AB858">
        <f t="shared" si="138"/>
        <v>0</v>
      </c>
      <c r="AC858">
        <v>1</v>
      </c>
      <c r="AF858">
        <v>1</v>
      </c>
      <c r="AG858" s="8"/>
      <c r="AH858" s="8"/>
      <c r="AK858" cm="1">
        <f t="array" ref="AK858">_xlfn.IFS(B858="","",LEFT(G858,1)="L",1,LEFT(G858,1)="W",1,AND(LEFT(B858,1)="H",G858=""),0)</f>
        <v>1</v>
      </c>
      <c r="AS858" t="str">
        <f t="shared" si="139"/>
        <v/>
      </c>
      <c r="AT858" t="s">
        <v>115</v>
      </c>
      <c r="AU858" t="str">
        <f t="shared" si="140"/>
        <v>0</v>
      </c>
      <c r="BD858" t="str">
        <f t="shared" si="141"/>
        <v>0</v>
      </c>
      <c r="BK858" t="str">
        <f>IFERROR(VLOOKUP(B858,'[1]model_S-フレーム'!$F$5:$R$7000,13,1),"")</f>
        <v>E389458_01</v>
      </c>
      <c r="BL858" s="7">
        <f>IFERROR(VLOOKUP(B858,'[1]model_S-フレーム'!$F$5:$V$7000,17,1),"")</f>
        <v>0</v>
      </c>
      <c r="BM858" t="str" cm="1">
        <f t="array" ref="BM858">_xlfn.IFS(LEFT(G858,1)="L","外注品",LEFT(G858,1)="W","内製品",G858="","購買品")</f>
        <v>内製品</v>
      </c>
    </row>
    <row r="859" spans="1:65">
      <c r="A859" t="str">
        <f t="shared" si="133"/>
        <v>WG01</v>
      </c>
      <c r="B859" t="s">
        <v>1015</v>
      </c>
      <c r="C859" t="s">
        <v>1516</v>
      </c>
      <c r="D859" s="7"/>
      <c r="E859" s="7"/>
      <c r="G859" t="s">
        <v>1939</v>
      </c>
      <c r="H859" t="str" cm="1">
        <f t="array" ref="H859">IFERROR(_xlfn.IFS(B859="","",AND(B859="",G859=""),"",G859="","記載要"),"")</f>
        <v/>
      </c>
      <c r="K859" t="str">
        <f t="shared" si="134"/>
        <v>11WP01008425</v>
      </c>
      <c r="L859" s="3" t="str">
        <f t="shared" si="135"/>
        <v>2001/01/01</v>
      </c>
      <c r="M859" s="3" t="str">
        <f t="shared" si="136"/>
        <v>2199/12/31</v>
      </c>
      <c r="N859" t="str">
        <f t="shared" si="137"/>
        <v>11WP01008425</v>
      </c>
      <c r="O859">
        <v>15</v>
      </c>
      <c r="Q859" t="str" cm="1">
        <f t="array" ref="Q859">_xlfn.IFS(AND(C859="",G859=""),"",LEFT(G859,1)="L","記載要",LEFT(G859,1)="W","",AND(C859,G859=""),"記載要")</f>
        <v/>
      </c>
      <c r="R859" s="21" t="str">
        <f t="shared" si="142"/>
        <v/>
      </c>
      <c r="S859" s="21"/>
      <c r="Z859" s="8"/>
      <c r="AA859">
        <v>1</v>
      </c>
      <c r="AB859">
        <f t="shared" si="138"/>
        <v>0</v>
      </c>
      <c r="AC859">
        <v>1</v>
      </c>
      <c r="AF859">
        <v>1</v>
      </c>
      <c r="AG859" s="8"/>
      <c r="AH859" s="8"/>
      <c r="AK859" cm="1">
        <f t="array" ref="AK859">_xlfn.IFS(B859="","",LEFT(G859,1)="L",1,LEFT(G859,1)="W",1,AND(LEFT(B859,1)="H",G859=""),0)</f>
        <v>1</v>
      </c>
      <c r="AS859" t="str">
        <f t="shared" si="139"/>
        <v/>
      </c>
      <c r="AT859" t="s">
        <v>115</v>
      </c>
      <c r="AU859" t="str">
        <f t="shared" si="140"/>
        <v>0</v>
      </c>
      <c r="BD859" t="str">
        <f t="shared" si="141"/>
        <v>0</v>
      </c>
      <c r="BK859" t="str">
        <f>IFERROR(VLOOKUP(B859,'[1]model_S-フレーム'!$F$5:$R$7000,13,1),"")</f>
        <v>E389458_01</v>
      </c>
      <c r="BL859" s="7">
        <f>IFERROR(VLOOKUP(B859,'[1]model_S-フレーム'!$F$5:$V$7000,17,1),"")</f>
        <v>0</v>
      </c>
      <c r="BM859" t="str" cm="1">
        <f t="array" ref="BM859">_xlfn.IFS(LEFT(G859,1)="L","外注品",LEFT(G859,1)="W","内製品",G859="","購買品")</f>
        <v>内製品</v>
      </c>
    </row>
    <row r="860" spans="1:65">
      <c r="A860" t="str">
        <f t="shared" si="133"/>
        <v>WG01</v>
      </c>
      <c r="B860" t="s">
        <v>1016</v>
      </c>
      <c r="C860" t="s">
        <v>1516</v>
      </c>
      <c r="D860" s="7"/>
      <c r="E860" s="7"/>
      <c r="G860" t="s">
        <v>1939</v>
      </c>
      <c r="H860" t="str" cm="1">
        <f t="array" ref="H860">IFERROR(_xlfn.IFS(B860="","",AND(B860="",G860=""),"",G860="","記載要"),"")</f>
        <v/>
      </c>
      <c r="K860" t="str">
        <f t="shared" si="134"/>
        <v>11WP01008426</v>
      </c>
      <c r="L860" s="3" t="str">
        <f t="shared" si="135"/>
        <v>2001/01/01</v>
      </c>
      <c r="M860" s="3" t="str">
        <f t="shared" si="136"/>
        <v>2199/12/31</v>
      </c>
      <c r="N860" t="str">
        <f t="shared" si="137"/>
        <v>11WP01008426</v>
      </c>
      <c r="O860">
        <v>15</v>
      </c>
      <c r="Q860" t="str" cm="1">
        <f t="array" ref="Q860">_xlfn.IFS(AND(C860="",G860=""),"",LEFT(G860,1)="L","記載要",LEFT(G860,1)="W","",AND(C860,G860=""),"記載要")</f>
        <v/>
      </c>
      <c r="R860" s="21" t="str">
        <f t="shared" si="142"/>
        <v/>
      </c>
      <c r="S860" s="21"/>
      <c r="Z860" s="8"/>
      <c r="AA860">
        <v>1</v>
      </c>
      <c r="AB860">
        <f t="shared" si="138"/>
        <v>0</v>
      </c>
      <c r="AC860">
        <v>1</v>
      </c>
      <c r="AF860">
        <v>1</v>
      </c>
      <c r="AG860" s="8"/>
      <c r="AH860" s="8"/>
      <c r="AK860" cm="1">
        <f t="array" ref="AK860">_xlfn.IFS(B860="","",LEFT(G860,1)="L",1,LEFT(G860,1)="W",1,AND(LEFT(B860,1)="H",G860=""),0)</f>
        <v>1</v>
      </c>
      <c r="AS860" t="str">
        <f t="shared" si="139"/>
        <v/>
      </c>
      <c r="AT860" t="s">
        <v>115</v>
      </c>
      <c r="AU860" t="str">
        <f t="shared" si="140"/>
        <v>0</v>
      </c>
      <c r="BD860" t="str">
        <f t="shared" si="141"/>
        <v>0</v>
      </c>
      <c r="BK860" t="str">
        <f>IFERROR(VLOOKUP(B860,'[1]model_S-フレーム'!$F$5:$R$7000,13,1),"")</f>
        <v>E389458_01</v>
      </c>
      <c r="BL860" s="7">
        <f>IFERROR(VLOOKUP(B860,'[1]model_S-フレーム'!$F$5:$V$7000,17,1),"")</f>
        <v>0</v>
      </c>
      <c r="BM860" t="str" cm="1">
        <f t="array" ref="BM860">_xlfn.IFS(LEFT(G860,1)="L","外注品",LEFT(G860,1)="W","内製品",G860="","購買品")</f>
        <v>内製品</v>
      </c>
    </row>
    <row r="861" spans="1:65">
      <c r="A861" t="str">
        <f t="shared" si="133"/>
        <v>WG01</v>
      </c>
      <c r="B861" t="s">
        <v>1017</v>
      </c>
      <c r="C861" t="s">
        <v>1516</v>
      </c>
      <c r="D861" s="7"/>
      <c r="E861" s="7"/>
      <c r="G861" t="s">
        <v>1939</v>
      </c>
      <c r="H861" t="str" cm="1">
        <f t="array" ref="H861">IFERROR(_xlfn.IFS(B861="","",AND(B861="",G861=""),"",G861="","記載要"),"")</f>
        <v/>
      </c>
      <c r="K861" t="str">
        <f t="shared" si="134"/>
        <v>11WP01008427</v>
      </c>
      <c r="L861" s="3" t="str">
        <f t="shared" si="135"/>
        <v>2001/01/01</v>
      </c>
      <c r="M861" s="3" t="str">
        <f t="shared" si="136"/>
        <v>2199/12/31</v>
      </c>
      <c r="N861" t="str">
        <f t="shared" si="137"/>
        <v>11WP01008427</v>
      </c>
      <c r="O861">
        <v>15</v>
      </c>
      <c r="Q861" t="str" cm="1">
        <f t="array" ref="Q861">_xlfn.IFS(AND(C861="",G861=""),"",LEFT(G861,1)="L","記載要",LEFT(G861,1)="W","",AND(C861,G861=""),"記載要")</f>
        <v/>
      </c>
      <c r="R861" s="21" t="str">
        <f t="shared" si="142"/>
        <v/>
      </c>
      <c r="S861" s="21"/>
      <c r="Z861" s="8"/>
      <c r="AA861">
        <v>1</v>
      </c>
      <c r="AB861">
        <f t="shared" si="138"/>
        <v>0</v>
      </c>
      <c r="AC861">
        <v>1</v>
      </c>
      <c r="AF861">
        <v>1</v>
      </c>
      <c r="AG861" s="8"/>
      <c r="AH861" s="8"/>
      <c r="AK861" cm="1">
        <f t="array" ref="AK861">_xlfn.IFS(B861="","",LEFT(G861,1)="L",1,LEFT(G861,1)="W",1,AND(LEFT(B861,1)="H",G861=""),0)</f>
        <v>1</v>
      </c>
      <c r="AS861" t="str">
        <f t="shared" si="139"/>
        <v/>
      </c>
      <c r="AT861" t="s">
        <v>115</v>
      </c>
      <c r="AU861" t="str">
        <f t="shared" si="140"/>
        <v>0</v>
      </c>
      <c r="BD861" t="str">
        <f t="shared" si="141"/>
        <v>0</v>
      </c>
      <c r="BK861" t="str">
        <f>IFERROR(VLOOKUP(B861,'[1]model_S-フレーム'!$F$5:$R$7000,13,1),"")</f>
        <v>E389458_01</v>
      </c>
      <c r="BL861" s="7">
        <f>IFERROR(VLOOKUP(B861,'[1]model_S-フレーム'!$F$5:$V$7000,17,1),"")</f>
        <v>0</v>
      </c>
      <c r="BM861" t="str" cm="1">
        <f t="array" ref="BM861">_xlfn.IFS(LEFT(G861,1)="L","外注品",LEFT(G861,1)="W","内製品",G861="","購買品")</f>
        <v>内製品</v>
      </c>
    </row>
    <row r="862" spans="1:65">
      <c r="A862" t="str">
        <f t="shared" si="133"/>
        <v>WG01</v>
      </c>
      <c r="B862" t="s">
        <v>1018</v>
      </c>
      <c r="C862" t="s">
        <v>1516</v>
      </c>
      <c r="D862" s="7"/>
      <c r="E862" s="7"/>
      <c r="G862" t="s">
        <v>1939</v>
      </c>
      <c r="H862" t="str" cm="1">
        <f t="array" ref="H862">IFERROR(_xlfn.IFS(B862="","",AND(B862="",G862=""),"",G862="","記載要"),"")</f>
        <v/>
      </c>
      <c r="K862" t="str">
        <f t="shared" si="134"/>
        <v>11WP01008428</v>
      </c>
      <c r="L862" s="3" t="str">
        <f t="shared" si="135"/>
        <v>2001/01/01</v>
      </c>
      <c r="M862" s="3" t="str">
        <f t="shared" si="136"/>
        <v>2199/12/31</v>
      </c>
      <c r="N862" t="str">
        <f t="shared" si="137"/>
        <v>11WP01008428</v>
      </c>
      <c r="O862">
        <v>15</v>
      </c>
      <c r="Q862" t="str" cm="1">
        <f t="array" ref="Q862">_xlfn.IFS(AND(C862="",G862=""),"",LEFT(G862,1)="L","記載要",LEFT(G862,1)="W","",AND(C862,G862=""),"記載要")</f>
        <v/>
      </c>
      <c r="R862" s="21" t="str">
        <f t="shared" si="142"/>
        <v/>
      </c>
      <c r="S862" s="21"/>
      <c r="Z862" s="8"/>
      <c r="AA862">
        <v>1</v>
      </c>
      <c r="AB862">
        <f t="shared" si="138"/>
        <v>0</v>
      </c>
      <c r="AC862">
        <v>1</v>
      </c>
      <c r="AF862">
        <v>1</v>
      </c>
      <c r="AG862" s="8"/>
      <c r="AH862" s="8"/>
      <c r="AK862" cm="1">
        <f t="array" ref="AK862">_xlfn.IFS(B862="","",LEFT(G862,1)="L",1,LEFT(G862,1)="W",1,AND(LEFT(B862,1)="H",G862=""),0)</f>
        <v>1</v>
      </c>
      <c r="AS862" t="str">
        <f t="shared" si="139"/>
        <v/>
      </c>
      <c r="AT862" t="s">
        <v>115</v>
      </c>
      <c r="AU862" t="str">
        <f t="shared" si="140"/>
        <v>0</v>
      </c>
      <c r="BD862" t="str">
        <f t="shared" si="141"/>
        <v>0</v>
      </c>
      <c r="BK862" t="str">
        <f>IFERROR(VLOOKUP(B862,'[1]model_S-フレーム'!$F$5:$R$7000,13,1),"")</f>
        <v>E389458_01</v>
      </c>
      <c r="BL862" s="7">
        <f>IFERROR(VLOOKUP(B862,'[1]model_S-フレーム'!$F$5:$V$7000,17,1),"")</f>
        <v>0</v>
      </c>
      <c r="BM862" t="str" cm="1">
        <f t="array" ref="BM862">_xlfn.IFS(LEFT(G862,1)="L","外注品",LEFT(G862,1)="W","内製品",G862="","購買品")</f>
        <v>内製品</v>
      </c>
    </row>
    <row r="863" spans="1:65">
      <c r="A863" t="str">
        <f t="shared" si="133"/>
        <v>WG01</v>
      </c>
      <c r="B863" t="s">
        <v>1019</v>
      </c>
      <c r="C863" t="s">
        <v>1516</v>
      </c>
      <c r="D863" s="7"/>
      <c r="E863" s="7"/>
      <c r="G863" t="s">
        <v>1939</v>
      </c>
      <c r="H863" t="str" cm="1">
        <f t="array" ref="H863">IFERROR(_xlfn.IFS(B863="","",AND(B863="",G863=""),"",G863="","記載要"),"")</f>
        <v/>
      </c>
      <c r="K863" t="str">
        <f t="shared" si="134"/>
        <v>11WP01008429</v>
      </c>
      <c r="L863" s="3" t="str">
        <f t="shared" si="135"/>
        <v>2001/01/01</v>
      </c>
      <c r="M863" s="3" t="str">
        <f t="shared" si="136"/>
        <v>2199/12/31</v>
      </c>
      <c r="N863" t="str">
        <f t="shared" si="137"/>
        <v>11WP01008429</v>
      </c>
      <c r="O863">
        <v>15</v>
      </c>
      <c r="Q863" t="str" cm="1">
        <f t="array" ref="Q863">_xlfn.IFS(AND(C863="",G863=""),"",LEFT(G863,1)="L","記載要",LEFT(G863,1)="W","",AND(C863,G863=""),"記載要")</f>
        <v/>
      </c>
      <c r="R863" s="21" t="str">
        <f t="shared" si="142"/>
        <v/>
      </c>
      <c r="S863" s="21"/>
      <c r="Z863" s="8"/>
      <c r="AA863">
        <v>1</v>
      </c>
      <c r="AB863">
        <f t="shared" si="138"/>
        <v>0</v>
      </c>
      <c r="AC863">
        <v>1</v>
      </c>
      <c r="AF863">
        <v>1</v>
      </c>
      <c r="AG863" s="8"/>
      <c r="AH863" s="8"/>
      <c r="AK863" cm="1">
        <f t="array" ref="AK863">_xlfn.IFS(B863="","",LEFT(G863,1)="L",1,LEFT(G863,1)="W",1,AND(LEFT(B863,1)="H",G863=""),0)</f>
        <v>1</v>
      </c>
      <c r="AS863" t="str">
        <f t="shared" si="139"/>
        <v/>
      </c>
      <c r="AT863" t="s">
        <v>115</v>
      </c>
      <c r="AU863" t="str">
        <f t="shared" si="140"/>
        <v>0</v>
      </c>
      <c r="BD863" t="str">
        <f t="shared" si="141"/>
        <v>0</v>
      </c>
      <c r="BK863" t="str">
        <f>IFERROR(VLOOKUP(B863,'[1]model_S-フレーム'!$F$5:$R$7000,13,1),"")</f>
        <v>E389458_01</v>
      </c>
      <c r="BL863" s="7">
        <f>IFERROR(VLOOKUP(B863,'[1]model_S-フレーム'!$F$5:$V$7000,17,1),"")</f>
        <v>0</v>
      </c>
      <c r="BM863" t="str" cm="1">
        <f t="array" ref="BM863">_xlfn.IFS(LEFT(G863,1)="L","外注品",LEFT(G863,1)="W","内製品",G863="","購買品")</f>
        <v>内製品</v>
      </c>
    </row>
    <row r="864" spans="1:65">
      <c r="A864" t="str">
        <f t="shared" si="133"/>
        <v>WG01</v>
      </c>
      <c r="B864" t="s">
        <v>1020</v>
      </c>
      <c r="C864" t="s">
        <v>1516</v>
      </c>
      <c r="D864" s="7"/>
      <c r="E864" s="7"/>
      <c r="G864" t="s">
        <v>1939</v>
      </c>
      <c r="H864" t="str" cm="1">
        <f t="array" ref="H864">IFERROR(_xlfn.IFS(B864="","",AND(B864="",G864=""),"",G864="","記載要"),"")</f>
        <v/>
      </c>
      <c r="K864" t="str">
        <f t="shared" si="134"/>
        <v>11WP01008430</v>
      </c>
      <c r="L864" s="3" t="str">
        <f t="shared" si="135"/>
        <v>2001/01/01</v>
      </c>
      <c r="M864" s="3" t="str">
        <f t="shared" si="136"/>
        <v>2199/12/31</v>
      </c>
      <c r="N864" t="str">
        <f t="shared" si="137"/>
        <v>11WP01008430</v>
      </c>
      <c r="O864">
        <v>15</v>
      </c>
      <c r="Q864" t="str" cm="1">
        <f t="array" ref="Q864">_xlfn.IFS(AND(C864="",G864=""),"",LEFT(G864,1)="L","記載要",LEFT(G864,1)="W","",AND(C864,G864=""),"記載要")</f>
        <v/>
      </c>
      <c r="R864" s="21" t="str">
        <f t="shared" si="142"/>
        <v/>
      </c>
      <c r="S864" s="21"/>
      <c r="Z864" s="8"/>
      <c r="AA864">
        <v>1</v>
      </c>
      <c r="AB864">
        <f t="shared" si="138"/>
        <v>0</v>
      </c>
      <c r="AC864">
        <v>1</v>
      </c>
      <c r="AF864">
        <v>1</v>
      </c>
      <c r="AG864" s="8"/>
      <c r="AH864" s="8"/>
      <c r="AK864" cm="1">
        <f t="array" ref="AK864">_xlfn.IFS(B864="","",LEFT(G864,1)="L",1,LEFT(G864,1)="W",1,AND(LEFT(B864,1)="H",G864=""),0)</f>
        <v>1</v>
      </c>
      <c r="AS864" t="str">
        <f t="shared" si="139"/>
        <v/>
      </c>
      <c r="AT864" t="s">
        <v>115</v>
      </c>
      <c r="AU864" t="str">
        <f t="shared" si="140"/>
        <v>0</v>
      </c>
      <c r="BD864" t="str">
        <f t="shared" si="141"/>
        <v>0</v>
      </c>
      <c r="BK864" t="str">
        <f>IFERROR(VLOOKUP(B864,'[1]model_S-フレーム'!$F$5:$R$7000,13,1),"")</f>
        <v>E389458_01</v>
      </c>
      <c r="BL864" s="7">
        <f>IFERROR(VLOOKUP(B864,'[1]model_S-フレーム'!$F$5:$V$7000,17,1),"")</f>
        <v>0</v>
      </c>
      <c r="BM864" t="str" cm="1">
        <f t="array" ref="BM864">_xlfn.IFS(LEFT(G864,1)="L","外注品",LEFT(G864,1)="W","内製品",G864="","購買品")</f>
        <v>内製品</v>
      </c>
    </row>
    <row r="865" spans="1:65">
      <c r="A865" t="str">
        <f t="shared" si="133"/>
        <v>WG01</v>
      </c>
      <c r="B865" t="s">
        <v>1021</v>
      </c>
      <c r="C865" t="s">
        <v>1516</v>
      </c>
      <c r="D865" s="7"/>
      <c r="E865" s="7"/>
      <c r="G865" t="s">
        <v>1939</v>
      </c>
      <c r="H865" t="str" cm="1">
        <f t="array" ref="H865">IFERROR(_xlfn.IFS(B865="","",AND(B865="",G865=""),"",G865="","記載要"),"")</f>
        <v/>
      </c>
      <c r="K865" t="str">
        <f t="shared" si="134"/>
        <v>11WP01008431</v>
      </c>
      <c r="L865" s="3" t="str">
        <f t="shared" si="135"/>
        <v>2001/01/01</v>
      </c>
      <c r="M865" s="3" t="str">
        <f t="shared" si="136"/>
        <v>2199/12/31</v>
      </c>
      <c r="N865" t="str">
        <f t="shared" si="137"/>
        <v>11WP01008431</v>
      </c>
      <c r="O865">
        <v>15</v>
      </c>
      <c r="Q865" t="str" cm="1">
        <f t="array" ref="Q865">_xlfn.IFS(AND(C865="",G865=""),"",LEFT(G865,1)="L","記載要",LEFT(G865,1)="W","",AND(C865,G865=""),"記載要")</f>
        <v/>
      </c>
      <c r="R865" s="21" t="str">
        <f t="shared" si="142"/>
        <v/>
      </c>
      <c r="S865" s="21"/>
      <c r="Z865" s="8"/>
      <c r="AA865">
        <v>1</v>
      </c>
      <c r="AB865">
        <f t="shared" si="138"/>
        <v>0</v>
      </c>
      <c r="AC865">
        <v>1</v>
      </c>
      <c r="AF865">
        <v>1</v>
      </c>
      <c r="AG865" s="8"/>
      <c r="AH865" s="8"/>
      <c r="AK865" cm="1">
        <f t="array" ref="AK865">_xlfn.IFS(B865="","",LEFT(G865,1)="L",1,LEFT(G865,1)="W",1,AND(LEFT(B865,1)="H",G865=""),0)</f>
        <v>1</v>
      </c>
      <c r="AS865" t="str">
        <f t="shared" si="139"/>
        <v/>
      </c>
      <c r="AT865" t="s">
        <v>115</v>
      </c>
      <c r="AU865" t="str">
        <f t="shared" si="140"/>
        <v>0</v>
      </c>
      <c r="BD865" t="str">
        <f t="shared" si="141"/>
        <v>0</v>
      </c>
      <c r="BK865" t="str">
        <f>IFERROR(VLOOKUP(B865,'[1]model_S-フレーム'!$F$5:$R$7000,13,1),"")</f>
        <v>E389458_01</v>
      </c>
      <c r="BL865" s="7">
        <f>IFERROR(VLOOKUP(B865,'[1]model_S-フレーム'!$F$5:$V$7000,17,1),"")</f>
        <v>0</v>
      </c>
      <c r="BM865" t="str" cm="1">
        <f t="array" ref="BM865">_xlfn.IFS(LEFT(G865,1)="L","外注品",LEFT(G865,1)="W","内製品",G865="","購買品")</f>
        <v>内製品</v>
      </c>
    </row>
    <row r="866" spans="1:65">
      <c r="A866" t="str">
        <f t="shared" si="133"/>
        <v>WG01</v>
      </c>
      <c r="B866" t="s">
        <v>1022</v>
      </c>
      <c r="C866" t="s">
        <v>1516</v>
      </c>
      <c r="D866" s="7"/>
      <c r="E866" s="7"/>
      <c r="G866" t="s">
        <v>1939</v>
      </c>
      <c r="H866" t="str" cm="1">
        <f t="array" ref="H866">IFERROR(_xlfn.IFS(B866="","",AND(B866="",G866=""),"",G866="","記載要"),"")</f>
        <v/>
      </c>
      <c r="K866" t="str">
        <f t="shared" si="134"/>
        <v>11WP01008432</v>
      </c>
      <c r="L866" s="3" t="str">
        <f t="shared" si="135"/>
        <v>2001/01/01</v>
      </c>
      <c r="M866" s="3" t="str">
        <f t="shared" si="136"/>
        <v>2199/12/31</v>
      </c>
      <c r="N866" t="str">
        <f t="shared" si="137"/>
        <v>11WP01008432</v>
      </c>
      <c r="O866">
        <v>15</v>
      </c>
      <c r="Q866" t="str" cm="1">
        <f t="array" ref="Q866">_xlfn.IFS(AND(C866="",G866=""),"",LEFT(G866,1)="L","記載要",LEFT(G866,1)="W","",AND(C866,G866=""),"記載要")</f>
        <v/>
      </c>
      <c r="R866" s="21" t="str">
        <f t="shared" si="142"/>
        <v/>
      </c>
      <c r="S866" s="21"/>
      <c r="Z866" s="8"/>
      <c r="AA866">
        <v>1</v>
      </c>
      <c r="AB866">
        <f t="shared" si="138"/>
        <v>0</v>
      </c>
      <c r="AC866">
        <v>1</v>
      </c>
      <c r="AF866">
        <v>1</v>
      </c>
      <c r="AG866" s="8"/>
      <c r="AH866" s="8"/>
      <c r="AK866" cm="1">
        <f t="array" ref="AK866">_xlfn.IFS(B866="","",LEFT(G866,1)="L",1,LEFT(G866,1)="W",1,AND(LEFT(B866,1)="H",G866=""),0)</f>
        <v>1</v>
      </c>
      <c r="AS866" t="str">
        <f t="shared" si="139"/>
        <v/>
      </c>
      <c r="AT866" t="s">
        <v>115</v>
      </c>
      <c r="AU866" t="str">
        <f t="shared" si="140"/>
        <v>0</v>
      </c>
      <c r="BD866" t="str">
        <f t="shared" si="141"/>
        <v>0</v>
      </c>
      <c r="BK866" t="str">
        <f>IFERROR(VLOOKUP(B866,'[1]model_S-フレーム'!$F$5:$R$7000,13,1),"")</f>
        <v>E389458_01</v>
      </c>
      <c r="BL866" s="7">
        <f>IFERROR(VLOOKUP(B866,'[1]model_S-フレーム'!$F$5:$V$7000,17,1),"")</f>
        <v>0</v>
      </c>
      <c r="BM866" t="str" cm="1">
        <f t="array" ref="BM866">_xlfn.IFS(LEFT(G866,1)="L","外注品",LEFT(G866,1)="W","内製品",G866="","購買品")</f>
        <v>内製品</v>
      </c>
    </row>
    <row r="867" spans="1:65">
      <c r="A867" t="str">
        <f t="shared" si="133"/>
        <v>WG01</v>
      </c>
      <c r="B867" t="s">
        <v>1023</v>
      </c>
      <c r="C867" t="s">
        <v>1516</v>
      </c>
      <c r="D867" s="7"/>
      <c r="E867" s="7"/>
      <c r="G867" t="s">
        <v>1939</v>
      </c>
      <c r="H867" t="str" cm="1">
        <f t="array" ref="H867">IFERROR(_xlfn.IFS(B867="","",AND(B867="",G867=""),"",G867="","記載要"),"")</f>
        <v/>
      </c>
      <c r="K867" t="str">
        <f t="shared" si="134"/>
        <v>11WP01008433</v>
      </c>
      <c r="L867" s="3" t="str">
        <f t="shared" si="135"/>
        <v>2001/01/01</v>
      </c>
      <c r="M867" s="3" t="str">
        <f t="shared" si="136"/>
        <v>2199/12/31</v>
      </c>
      <c r="N867" t="str">
        <f t="shared" si="137"/>
        <v>11WP01008433</v>
      </c>
      <c r="O867">
        <v>15</v>
      </c>
      <c r="Q867" t="str" cm="1">
        <f t="array" ref="Q867">_xlfn.IFS(AND(C867="",G867=""),"",LEFT(G867,1)="L","記載要",LEFT(G867,1)="W","",AND(C867,G867=""),"記載要")</f>
        <v/>
      </c>
      <c r="R867" s="21" t="str">
        <f t="shared" si="142"/>
        <v/>
      </c>
      <c r="S867" s="21"/>
      <c r="Z867" s="8"/>
      <c r="AA867">
        <v>1</v>
      </c>
      <c r="AB867">
        <f t="shared" si="138"/>
        <v>0</v>
      </c>
      <c r="AC867">
        <v>1</v>
      </c>
      <c r="AF867">
        <v>1</v>
      </c>
      <c r="AG867" s="8"/>
      <c r="AH867" s="8"/>
      <c r="AK867" cm="1">
        <f t="array" ref="AK867">_xlfn.IFS(B867="","",LEFT(G867,1)="L",1,LEFT(G867,1)="W",1,AND(LEFT(B867,1)="H",G867=""),0)</f>
        <v>1</v>
      </c>
      <c r="AS867" t="str">
        <f t="shared" si="139"/>
        <v/>
      </c>
      <c r="AT867" t="s">
        <v>115</v>
      </c>
      <c r="AU867" t="str">
        <f t="shared" si="140"/>
        <v>0</v>
      </c>
      <c r="BD867" t="str">
        <f t="shared" si="141"/>
        <v>0</v>
      </c>
      <c r="BK867" t="str">
        <f>IFERROR(VLOOKUP(B867,'[1]model_S-フレーム'!$F$5:$R$7000,13,1),"")</f>
        <v>E389458_01</v>
      </c>
      <c r="BL867" s="7">
        <f>IFERROR(VLOOKUP(B867,'[1]model_S-フレーム'!$F$5:$V$7000,17,1),"")</f>
        <v>0</v>
      </c>
      <c r="BM867" t="str" cm="1">
        <f t="array" ref="BM867">_xlfn.IFS(LEFT(G867,1)="L","外注品",LEFT(G867,1)="W","内製品",G867="","購買品")</f>
        <v>内製品</v>
      </c>
    </row>
    <row r="868" spans="1:65">
      <c r="A868" t="str">
        <f t="shared" si="133"/>
        <v>WG01</v>
      </c>
      <c r="B868" t="s">
        <v>1024</v>
      </c>
      <c r="C868" t="s">
        <v>1516</v>
      </c>
      <c r="D868" s="7"/>
      <c r="E868" s="7"/>
      <c r="G868" t="s">
        <v>1939</v>
      </c>
      <c r="H868" t="str" cm="1">
        <f t="array" ref="H868">IFERROR(_xlfn.IFS(B868="","",AND(B868="",G868=""),"",G868="","記載要"),"")</f>
        <v/>
      </c>
      <c r="K868" t="str">
        <f t="shared" si="134"/>
        <v>11WP01008434</v>
      </c>
      <c r="L868" s="3" t="str">
        <f t="shared" si="135"/>
        <v>2001/01/01</v>
      </c>
      <c r="M868" s="3" t="str">
        <f t="shared" si="136"/>
        <v>2199/12/31</v>
      </c>
      <c r="N868" t="str">
        <f t="shared" si="137"/>
        <v>11WP01008434</v>
      </c>
      <c r="O868">
        <v>15</v>
      </c>
      <c r="Q868" t="str" cm="1">
        <f t="array" ref="Q868">_xlfn.IFS(AND(C868="",G868=""),"",LEFT(G868,1)="L","記載要",LEFT(G868,1)="W","",AND(C868,G868=""),"記載要")</f>
        <v/>
      </c>
      <c r="R868" s="21" t="str">
        <f t="shared" si="142"/>
        <v/>
      </c>
      <c r="S868" s="21"/>
      <c r="Z868" s="8"/>
      <c r="AA868">
        <v>1</v>
      </c>
      <c r="AB868">
        <f t="shared" si="138"/>
        <v>0</v>
      </c>
      <c r="AC868">
        <v>1</v>
      </c>
      <c r="AF868">
        <v>1</v>
      </c>
      <c r="AG868" s="8"/>
      <c r="AH868" s="8"/>
      <c r="AK868" cm="1">
        <f t="array" ref="AK868">_xlfn.IFS(B868="","",LEFT(G868,1)="L",1,LEFT(G868,1)="W",1,AND(LEFT(B868,1)="H",G868=""),0)</f>
        <v>1</v>
      </c>
      <c r="AS868" t="str">
        <f t="shared" si="139"/>
        <v/>
      </c>
      <c r="AT868" t="s">
        <v>115</v>
      </c>
      <c r="AU868" t="str">
        <f t="shared" si="140"/>
        <v>0</v>
      </c>
      <c r="BD868" t="str">
        <f t="shared" si="141"/>
        <v>0</v>
      </c>
      <c r="BK868" t="str">
        <f>IFERROR(VLOOKUP(B868,'[1]model_S-フレーム'!$F$5:$R$7000,13,1),"")</f>
        <v>E389458_01</v>
      </c>
      <c r="BL868" s="7">
        <f>IFERROR(VLOOKUP(B868,'[1]model_S-フレーム'!$F$5:$V$7000,17,1),"")</f>
        <v>0</v>
      </c>
      <c r="BM868" t="str" cm="1">
        <f t="array" ref="BM868">_xlfn.IFS(LEFT(G868,1)="L","外注品",LEFT(G868,1)="W","内製品",G868="","購買品")</f>
        <v>内製品</v>
      </c>
    </row>
    <row r="869" spans="1:65">
      <c r="A869" t="str">
        <f t="shared" si="133"/>
        <v>WG01</v>
      </c>
      <c r="B869" t="s">
        <v>1025</v>
      </c>
      <c r="C869" t="s">
        <v>1516</v>
      </c>
      <c r="D869" s="7"/>
      <c r="E869" s="7"/>
      <c r="G869" t="s">
        <v>1939</v>
      </c>
      <c r="H869" t="str" cm="1">
        <f t="array" ref="H869">IFERROR(_xlfn.IFS(B869="","",AND(B869="",G869=""),"",G869="","記載要"),"")</f>
        <v/>
      </c>
      <c r="K869" t="str">
        <f t="shared" si="134"/>
        <v>11WP01008435</v>
      </c>
      <c r="L869" s="3" t="str">
        <f t="shared" si="135"/>
        <v>2001/01/01</v>
      </c>
      <c r="M869" s="3" t="str">
        <f t="shared" si="136"/>
        <v>2199/12/31</v>
      </c>
      <c r="N869" t="str">
        <f t="shared" si="137"/>
        <v>11WP01008435</v>
      </c>
      <c r="O869">
        <v>15</v>
      </c>
      <c r="Q869" t="str" cm="1">
        <f t="array" ref="Q869">_xlfn.IFS(AND(C869="",G869=""),"",LEFT(G869,1)="L","記載要",LEFT(G869,1)="W","",AND(C869,G869=""),"記載要")</f>
        <v/>
      </c>
      <c r="R869" s="21" t="str">
        <f t="shared" si="142"/>
        <v/>
      </c>
      <c r="S869" s="21"/>
      <c r="Z869" s="8"/>
      <c r="AA869">
        <v>1</v>
      </c>
      <c r="AB869">
        <f t="shared" si="138"/>
        <v>0</v>
      </c>
      <c r="AC869">
        <v>1</v>
      </c>
      <c r="AF869">
        <v>1</v>
      </c>
      <c r="AG869" s="8"/>
      <c r="AH869" s="8"/>
      <c r="AK869" cm="1">
        <f t="array" ref="AK869">_xlfn.IFS(B869="","",LEFT(G869,1)="L",1,LEFT(G869,1)="W",1,AND(LEFT(B869,1)="H",G869=""),0)</f>
        <v>1</v>
      </c>
      <c r="AS869" t="str">
        <f t="shared" si="139"/>
        <v/>
      </c>
      <c r="AT869" t="s">
        <v>115</v>
      </c>
      <c r="AU869" t="str">
        <f t="shared" si="140"/>
        <v>0</v>
      </c>
      <c r="BD869" t="str">
        <f t="shared" si="141"/>
        <v>0</v>
      </c>
      <c r="BK869" t="str">
        <f>IFERROR(VLOOKUP(B869,'[1]model_S-フレーム'!$F$5:$R$7000,13,1),"")</f>
        <v>E389458_01</v>
      </c>
      <c r="BL869" s="7">
        <f>IFERROR(VLOOKUP(B869,'[1]model_S-フレーム'!$F$5:$V$7000,17,1),"")</f>
        <v>0</v>
      </c>
      <c r="BM869" t="str" cm="1">
        <f t="array" ref="BM869">_xlfn.IFS(LEFT(G869,1)="L","外注品",LEFT(G869,1)="W","内製品",G869="","購買品")</f>
        <v>内製品</v>
      </c>
    </row>
    <row r="870" spans="1:65">
      <c r="A870" t="str">
        <f t="shared" si="133"/>
        <v>WG01</v>
      </c>
      <c r="B870" t="s">
        <v>1026</v>
      </c>
      <c r="C870" t="s">
        <v>1517</v>
      </c>
      <c r="D870" s="7"/>
      <c r="E870" s="7"/>
      <c r="G870" t="s">
        <v>1939</v>
      </c>
      <c r="H870" t="str" cm="1">
        <f t="array" ref="H870">IFERROR(_xlfn.IFS(B870="","",AND(B870="",G870=""),"",G870="","記載要"),"")</f>
        <v/>
      </c>
      <c r="K870" t="str">
        <f t="shared" si="134"/>
        <v>11WP01008436</v>
      </c>
      <c r="L870" s="3" t="str">
        <f t="shared" si="135"/>
        <v>2001/01/01</v>
      </c>
      <c r="M870" s="3" t="str">
        <f t="shared" si="136"/>
        <v>2199/12/31</v>
      </c>
      <c r="N870" t="str">
        <f t="shared" si="137"/>
        <v>11WP01008436</v>
      </c>
      <c r="O870">
        <v>15</v>
      </c>
      <c r="Q870" t="str" cm="1">
        <f t="array" ref="Q870">_xlfn.IFS(AND(C870="",G870=""),"",LEFT(G870,1)="L","記載要",LEFT(G870,1)="W","",AND(C870,G870=""),"記載要")</f>
        <v/>
      </c>
      <c r="R870" s="21" t="str">
        <f t="shared" si="142"/>
        <v/>
      </c>
      <c r="S870" s="21"/>
      <c r="Z870" s="8"/>
      <c r="AA870">
        <v>1</v>
      </c>
      <c r="AB870">
        <f t="shared" si="138"/>
        <v>0</v>
      </c>
      <c r="AC870">
        <v>1</v>
      </c>
      <c r="AF870">
        <v>1</v>
      </c>
      <c r="AG870" s="8"/>
      <c r="AH870" s="8"/>
      <c r="AK870" cm="1">
        <f t="array" ref="AK870">_xlfn.IFS(B870="","",LEFT(G870,1)="L",1,LEFT(G870,1)="W",1,AND(LEFT(B870,1)="H",G870=""),0)</f>
        <v>1</v>
      </c>
      <c r="AS870" t="str">
        <f t="shared" si="139"/>
        <v/>
      </c>
      <c r="AT870" t="s">
        <v>115</v>
      </c>
      <c r="AU870" t="str">
        <f t="shared" si="140"/>
        <v>0</v>
      </c>
      <c r="BD870" t="str">
        <f t="shared" si="141"/>
        <v>0</v>
      </c>
      <c r="BK870" t="str">
        <f>IFERROR(VLOOKUP(B870,'[1]model_S-フレーム'!$F$5:$R$7000,13,1),"")</f>
        <v>E389458_01</v>
      </c>
      <c r="BL870" s="7">
        <f>IFERROR(VLOOKUP(B870,'[1]model_S-フレーム'!$F$5:$V$7000,17,1),"")</f>
        <v>0</v>
      </c>
      <c r="BM870" t="str" cm="1">
        <f t="array" ref="BM870">_xlfn.IFS(LEFT(G870,1)="L","外注品",LEFT(G870,1)="W","内製品",G870="","購買品")</f>
        <v>内製品</v>
      </c>
    </row>
    <row r="871" spans="1:65">
      <c r="A871" t="str">
        <f t="shared" si="133"/>
        <v>WG01</v>
      </c>
      <c r="B871" t="s">
        <v>1027</v>
      </c>
      <c r="C871" t="s">
        <v>1517</v>
      </c>
      <c r="D871" s="7"/>
      <c r="E871" s="7"/>
      <c r="G871" t="s">
        <v>1939</v>
      </c>
      <c r="H871" t="str" cm="1">
        <f t="array" ref="H871">IFERROR(_xlfn.IFS(B871="","",AND(B871="",G871=""),"",G871="","記載要"),"")</f>
        <v/>
      </c>
      <c r="K871" t="str">
        <f t="shared" si="134"/>
        <v>11WP01008437</v>
      </c>
      <c r="L871" s="3" t="str">
        <f t="shared" si="135"/>
        <v>2001/01/01</v>
      </c>
      <c r="M871" s="3" t="str">
        <f t="shared" si="136"/>
        <v>2199/12/31</v>
      </c>
      <c r="N871" t="str">
        <f t="shared" si="137"/>
        <v>11WP01008437</v>
      </c>
      <c r="O871">
        <v>15</v>
      </c>
      <c r="Q871" t="str" cm="1">
        <f t="array" ref="Q871">_xlfn.IFS(AND(C871="",G871=""),"",LEFT(G871,1)="L","記載要",LEFT(G871,1)="W","",AND(C871,G871=""),"記載要")</f>
        <v/>
      </c>
      <c r="R871" s="21" t="str">
        <f t="shared" si="142"/>
        <v/>
      </c>
      <c r="S871" s="21"/>
      <c r="Z871" s="8"/>
      <c r="AA871">
        <v>1</v>
      </c>
      <c r="AB871">
        <f t="shared" si="138"/>
        <v>0</v>
      </c>
      <c r="AC871">
        <v>1</v>
      </c>
      <c r="AF871">
        <v>1</v>
      </c>
      <c r="AG871" s="8"/>
      <c r="AH871" s="8"/>
      <c r="AK871" cm="1">
        <f t="array" ref="AK871">_xlfn.IFS(B871="","",LEFT(G871,1)="L",1,LEFT(G871,1)="W",1,AND(LEFT(B871,1)="H",G871=""),0)</f>
        <v>1</v>
      </c>
      <c r="AS871" t="str">
        <f t="shared" si="139"/>
        <v/>
      </c>
      <c r="AT871" t="s">
        <v>115</v>
      </c>
      <c r="AU871" t="str">
        <f t="shared" si="140"/>
        <v>0</v>
      </c>
      <c r="BD871" t="str">
        <f t="shared" si="141"/>
        <v>0</v>
      </c>
      <c r="BK871" t="str">
        <f>IFERROR(VLOOKUP(B871,'[1]model_S-フレーム'!$F$5:$R$7000,13,1),"")</f>
        <v>E389458_01</v>
      </c>
      <c r="BL871" s="7">
        <f>IFERROR(VLOOKUP(B871,'[1]model_S-フレーム'!$F$5:$V$7000,17,1),"")</f>
        <v>0</v>
      </c>
      <c r="BM871" t="str" cm="1">
        <f t="array" ref="BM871">_xlfn.IFS(LEFT(G871,1)="L","外注品",LEFT(G871,1)="W","内製品",G871="","購買品")</f>
        <v>内製品</v>
      </c>
    </row>
    <row r="872" spans="1:65">
      <c r="A872" t="str">
        <f t="shared" si="133"/>
        <v>WG01</v>
      </c>
      <c r="B872" t="s">
        <v>1028</v>
      </c>
      <c r="C872" t="s">
        <v>1517</v>
      </c>
      <c r="D872" s="7"/>
      <c r="E872" s="7"/>
      <c r="G872" t="s">
        <v>1939</v>
      </c>
      <c r="H872" t="str" cm="1">
        <f t="array" ref="H872">IFERROR(_xlfn.IFS(B872="","",AND(B872="",G872=""),"",G872="","記載要"),"")</f>
        <v/>
      </c>
      <c r="K872" t="str">
        <f t="shared" si="134"/>
        <v>11WP01008438</v>
      </c>
      <c r="L872" s="3" t="str">
        <f t="shared" si="135"/>
        <v>2001/01/01</v>
      </c>
      <c r="M872" s="3" t="str">
        <f t="shared" si="136"/>
        <v>2199/12/31</v>
      </c>
      <c r="N872" t="str">
        <f t="shared" si="137"/>
        <v>11WP01008438</v>
      </c>
      <c r="O872">
        <v>15</v>
      </c>
      <c r="Q872" t="str" cm="1">
        <f t="array" ref="Q872">_xlfn.IFS(AND(C872="",G872=""),"",LEFT(G872,1)="L","記載要",LEFT(G872,1)="W","",AND(C872,G872=""),"記載要")</f>
        <v/>
      </c>
      <c r="R872" s="21" t="str">
        <f t="shared" si="142"/>
        <v/>
      </c>
      <c r="S872" s="21"/>
      <c r="Z872" s="8"/>
      <c r="AA872">
        <v>1</v>
      </c>
      <c r="AB872">
        <f t="shared" si="138"/>
        <v>0</v>
      </c>
      <c r="AC872">
        <v>1</v>
      </c>
      <c r="AF872">
        <v>1</v>
      </c>
      <c r="AG872" s="8"/>
      <c r="AH872" s="8"/>
      <c r="AK872" cm="1">
        <f t="array" ref="AK872">_xlfn.IFS(B872="","",LEFT(G872,1)="L",1,LEFT(G872,1)="W",1,AND(LEFT(B872,1)="H",G872=""),0)</f>
        <v>1</v>
      </c>
      <c r="AS872" t="str">
        <f t="shared" si="139"/>
        <v/>
      </c>
      <c r="AT872" t="s">
        <v>115</v>
      </c>
      <c r="AU872" t="str">
        <f t="shared" si="140"/>
        <v>0</v>
      </c>
      <c r="BD872" t="str">
        <f t="shared" si="141"/>
        <v>0</v>
      </c>
      <c r="BK872" t="str">
        <f>IFERROR(VLOOKUP(B872,'[1]model_S-フレーム'!$F$5:$R$7000,13,1),"")</f>
        <v>E389458_01</v>
      </c>
      <c r="BL872" s="7">
        <f>IFERROR(VLOOKUP(B872,'[1]model_S-フレーム'!$F$5:$V$7000,17,1),"")</f>
        <v>0</v>
      </c>
      <c r="BM872" t="str" cm="1">
        <f t="array" ref="BM872">_xlfn.IFS(LEFT(G872,1)="L","外注品",LEFT(G872,1)="W","内製品",G872="","購買品")</f>
        <v>内製品</v>
      </c>
    </row>
    <row r="873" spans="1:65">
      <c r="A873" t="str">
        <f t="shared" si="133"/>
        <v>WG01</v>
      </c>
      <c r="B873" t="s">
        <v>1029</v>
      </c>
      <c r="C873" t="s">
        <v>1517</v>
      </c>
      <c r="D873" s="7"/>
      <c r="E873" s="7"/>
      <c r="G873" t="s">
        <v>1939</v>
      </c>
      <c r="H873" t="str" cm="1">
        <f t="array" ref="H873">IFERROR(_xlfn.IFS(B873="","",AND(B873="",G873=""),"",G873="","記載要"),"")</f>
        <v/>
      </c>
      <c r="K873" t="str">
        <f t="shared" si="134"/>
        <v>11WP01008439</v>
      </c>
      <c r="L873" s="3" t="str">
        <f t="shared" si="135"/>
        <v>2001/01/01</v>
      </c>
      <c r="M873" s="3" t="str">
        <f t="shared" si="136"/>
        <v>2199/12/31</v>
      </c>
      <c r="N873" t="str">
        <f t="shared" si="137"/>
        <v>11WP01008439</v>
      </c>
      <c r="O873">
        <v>15</v>
      </c>
      <c r="Q873" t="str" cm="1">
        <f t="array" ref="Q873">_xlfn.IFS(AND(C873="",G873=""),"",LEFT(G873,1)="L","記載要",LEFT(G873,1)="W","",AND(C873,G873=""),"記載要")</f>
        <v/>
      </c>
      <c r="R873" s="21" t="str">
        <f t="shared" si="142"/>
        <v/>
      </c>
      <c r="S873" s="21"/>
      <c r="Z873" s="8"/>
      <c r="AA873">
        <v>1</v>
      </c>
      <c r="AB873">
        <f t="shared" si="138"/>
        <v>0</v>
      </c>
      <c r="AC873">
        <v>1</v>
      </c>
      <c r="AF873">
        <v>1</v>
      </c>
      <c r="AG873" s="8"/>
      <c r="AH873" s="8"/>
      <c r="AK873" cm="1">
        <f t="array" ref="AK873">_xlfn.IFS(B873="","",LEFT(G873,1)="L",1,LEFT(G873,1)="W",1,AND(LEFT(B873,1)="H",G873=""),0)</f>
        <v>1</v>
      </c>
      <c r="AS873" t="str">
        <f t="shared" si="139"/>
        <v/>
      </c>
      <c r="AT873" t="s">
        <v>115</v>
      </c>
      <c r="AU873" t="str">
        <f t="shared" si="140"/>
        <v>0</v>
      </c>
      <c r="BD873" t="str">
        <f t="shared" si="141"/>
        <v>0</v>
      </c>
      <c r="BK873" t="str">
        <f>IFERROR(VLOOKUP(B873,'[1]model_S-フレーム'!$F$5:$R$7000,13,1),"")</f>
        <v>E389458_01</v>
      </c>
      <c r="BL873" s="7">
        <f>IFERROR(VLOOKUP(B873,'[1]model_S-フレーム'!$F$5:$V$7000,17,1),"")</f>
        <v>0</v>
      </c>
      <c r="BM873" t="str" cm="1">
        <f t="array" ref="BM873">_xlfn.IFS(LEFT(G873,1)="L","外注品",LEFT(G873,1)="W","内製品",G873="","購買品")</f>
        <v>内製品</v>
      </c>
    </row>
    <row r="874" spans="1:65">
      <c r="A874" t="str">
        <f t="shared" si="133"/>
        <v>WG01</v>
      </c>
      <c r="B874" t="s">
        <v>1030</v>
      </c>
      <c r="C874" t="s">
        <v>1517</v>
      </c>
      <c r="D874" s="7"/>
      <c r="E874" s="7"/>
      <c r="G874" t="s">
        <v>1939</v>
      </c>
      <c r="H874" t="str" cm="1">
        <f t="array" ref="H874">IFERROR(_xlfn.IFS(B874="","",AND(B874="",G874=""),"",G874="","記載要"),"")</f>
        <v/>
      </c>
      <c r="K874" t="str">
        <f t="shared" si="134"/>
        <v>11WP01008440</v>
      </c>
      <c r="L874" s="3" t="str">
        <f t="shared" si="135"/>
        <v>2001/01/01</v>
      </c>
      <c r="M874" s="3" t="str">
        <f t="shared" si="136"/>
        <v>2199/12/31</v>
      </c>
      <c r="N874" t="str">
        <f t="shared" si="137"/>
        <v>11WP01008440</v>
      </c>
      <c r="O874">
        <v>15</v>
      </c>
      <c r="Q874" t="str" cm="1">
        <f t="array" ref="Q874">_xlfn.IFS(AND(C874="",G874=""),"",LEFT(G874,1)="L","記載要",LEFT(G874,1)="W","",AND(C874,G874=""),"記載要")</f>
        <v/>
      </c>
      <c r="R874" s="21" t="str">
        <f t="shared" si="142"/>
        <v/>
      </c>
      <c r="S874" s="21"/>
      <c r="Z874" s="8"/>
      <c r="AA874">
        <v>1</v>
      </c>
      <c r="AB874">
        <f t="shared" si="138"/>
        <v>0</v>
      </c>
      <c r="AC874">
        <v>1</v>
      </c>
      <c r="AF874">
        <v>1</v>
      </c>
      <c r="AG874" s="8"/>
      <c r="AH874" s="8"/>
      <c r="AK874" cm="1">
        <f t="array" ref="AK874">_xlfn.IFS(B874="","",LEFT(G874,1)="L",1,LEFT(G874,1)="W",1,AND(LEFT(B874,1)="H",G874=""),0)</f>
        <v>1</v>
      </c>
      <c r="AS874" t="str">
        <f t="shared" si="139"/>
        <v/>
      </c>
      <c r="AT874" t="s">
        <v>115</v>
      </c>
      <c r="AU874" t="str">
        <f t="shared" si="140"/>
        <v>0</v>
      </c>
      <c r="BD874" t="str">
        <f t="shared" si="141"/>
        <v>0</v>
      </c>
      <c r="BK874" t="str">
        <f>IFERROR(VLOOKUP(B874,'[1]model_S-フレーム'!$F$5:$R$7000,13,1),"")</f>
        <v>E389458_01</v>
      </c>
      <c r="BL874" s="7">
        <f>IFERROR(VLOOKUP(B874,'[1]model_S-フレーム'!$F$5:$V$7000,17,1),"")</f>
        <v>0</v>
      </c>
      <c r="BM874" t="str" cm="1">
        <f t="array" ref="BM874">_xlfn.IFS(LEFT(G874,1)="L","外注品",LEFT(G874,1)="W","内製品",G874="","購買品")</f>
        <v>内製品</v>
      </c>
    </row>
    <row r="875" spans="1:65">
      <c r="A875" t="str">
        <f t="shared" si="133"/>
        <v>WG01</v>
      </c>
      <c r="B875" t="s">
        <v>1031</v>
      </c>
      <c r="C875" t="s">
        <v>1517</v>
      </c>
      <c r="D875" s="7"/>
      <c r="E875" s="7"/>
      <c r="G875" t="s">
        <v>1939</v>
      </c>
      <c r="H875" t="str" cm="1">
        <f t="array" ref="H875">IFERROR(_xlfn.IFS(B875="","",AND(B875="",G875=""),"",G875="","記載要"),"")</f>
        <v/>
      </c>
      <c r="K875" t="str">
        <f t="shared" si="134"/>
        <v>11WP01008441</v>
      </c>
      <c r="L875" s="3" t="str">
        <f t="shared" si="135"/>
        <v>2001/01/01</v>
      </c>
      <c r="M875" s="3" t="str">
        <f t="shared" si="136"/>
        <v>2199/12/31</v>
      </c>
      <c r="N875" t="str">
        <f t="shared" si="137"/>
        <v>11WP01008441</v>
      </c>
      <c r="O875">
        <v>15</v>
      </c>
      <c r="Q875" t="str" cm="1">
        <f t="array" ref="Q875">_xlfn.IFS(AND(C875="",G875=""),"",LEFT(G875,1)="L","記載要",LEFT(G875,1)="W","",AND(C875,G875=""),"記載要")</f>
        <v/>
      </c>
      <c r="R875" s="21" t="str">
        <f t="shared" si="142"/>
        <v/>
      </c>
      <c r="S875" s="21"/>
      <c r="Z875" s="8"/>
      <c r="AA875">
        <v>1</v>
      </c>
      <c r="AB875">
        <f t="shared" si="138"/>
        <v>0</v>
      </c>
      <c r="AC875">
        <v>1</v>
      </c>
      <c r="AF875">
        <v>1</v>
      </c>
      <c r="AG875" s="8"/>
      <c r="AH875" s="8"/>
      <c r="AK875" cm="1">
        <f t="array" ref="AK875">_xlfn.IFS(B875="","",LEFT(G875,1)="L",1,LEFT(G875,1)="W",1,AND(LEFT(B875,1)="H",G875=""),0)</f>
        <v>1</v>
      </c>
      <c r="AS875" t="str">
        <f t="shared" si="139"/>
        <v/>
      </c>
      <c r="AT875" t="s">
        <v>115</v>
      </c>
      <c r="AU875" t="str">
        <f t="shared" si="140"/>
        <v>0</v>
      </c>
      <c r="BD875" t="str">
        <f t="shared" si="141"/>
        <v>0</v>
      </c>
      <c r="BK875" t="str">
        <f>IFERROR(VLOOKUP(B875,'[1]model_S-フレーム'!$F$5:$R$7000,13,1),"")</f>
        <v>E389458_01</v>
      </c>
      <c r="BL875" s="7">
        <f>IFERROR(VLOOKUP(B875,'[1]model_S-フレーム'!$F$5:$V$7000,17,1),"")</f>
        <v>0</v>
      </c>
      <c r="BM875" t="str" cm="1">
        <f t="array" ref="BM875">_xlfn.IFS(LEFT(G875,1)="L","外注品",LEFT(G875,1)="W","内製品",G875="","購買品")</f>
        <v>内製品</v>
      </c>
    </row>
    <row r="876" spans="1:65">
      <c r="A876" t="str">
        <f t="shared" si="133"/>
        <v>WG01</v>
      </c>
      <c r="B876" t="s">
        <v>1032</v>
      </c>
      <c r="C876" t="s">
        <v>1517</v>
      </c>
      <c r="D876" s="7"/>
      <c r="E876" s="7"/>
      <c r="G876" t="s">
        <v>1939</v>
      </c>
      <c r="H876" t="str" cm="1">
        <f t="array" ref="H876">IFERROR(_xlfn.IFS(B876="","",AND(B876="",G876=""),"",G876="","記載要"),"")</f>
        <v/>
      </c>
      <c r="K876" t="str">
        <f t="shared" si="134"/>
        <v>11WP01008442</v>
      </c>
      <c r="L876" s="3" t="str">
        <f t="shared" si="135"/>
        <v>2001/01/01</v>
      </c>
      <c r="M876" s="3" t="str">
        <f t="shared" si="136"/>
        <v>2199/12/31</v>
      </c>
      <c r="N876" t="str">
        <f t="shared" si="137"/>
        <v>11WP01008442</v>
      </c>
      <c r="O876">
        <v>15</v>
      </c>
      <c r="Q876" t="str" cm="1">
        <f t="array" ref="Q876">_xlfn.IFS(AND(C876="",G876=""),"",LEFT(G876,1)="L","記載要",LEFT(G876,1)="W","",AND(C876,G876=""),"記載要")</f>
        <v/>
      </c>
      <c r="R876" s="21" t="str">
        <f t="shared" si="142"/>
        <v/>
      </c>
      <c r="S876" s="21"/>
      <c r="Z876" s="8"/>
      <c r="AA876">
        <v>1</v>
      </c>
      <c r="AB876">
        <f t="shared" si="138"/>
        <v>0</v>
      </c>
      <c r="AC876">
        <v>1</v>
      </c>
      <c r="AF876">
        <v>1</v>
      </c>
      <c r="AG876" s="8"/>
      <c r="AH876" s="8"/>
      <c r="AK876" cm="1">
        <f t="array" ref="AK876">_xlfn.IFS(B876="","",LEFT(G876,1)="L",1,LEFT(G876,1)="W",1,AND(LEFT(B876,1)="H",G876=""),0)</f>
        <v>1</v>
      </c>
      <c r="AS876" t="str">
        <f t="shared" si="139"/>
        <v/>
      </c>
      <c r="AT876" t="s">
        <v>115</v>
      </c>
      <c r="AU876" t="str">
        <f t="shared" si="140"/>
        <v>0</v>
      </c>
      <c r="BD876" t="str">
        <f t="shared" si="141"/>
        <v>0</v>
      </c>
      <c r="BK876" t="str">
        <f>IFERROR(VLOOKUP(B876,'[1]model_S-フレーム'!$F$5:$R$7000,13,1),"")</f>
        <v>E389458_01</v>
      </c>
      <c r="BL876" s="7">
        <f>IFERROR(VLOOKUP(B876,'[1]model_S-フレーム'!$F$5:$V$7000,17,1),"")</f>
        <v>0</v>
      </c>
      <c r="BM876" t="str" cm="1">
        <f t="array" ref="BM876">_xlfn.IFS(LEFT(G876,1)="L","外注品",LEFT(G876,1)="W","内製品",G876="","購買品")</f>
        <v>内製品</v>
      </c>
    </row>
    <row r="877" spans="1:65">
      <c r="A877" t="str">
        <f t="shared" si="133"/>
        <v>WG01</v>
      </c>
      <c r="B877" t="s">
        <v>1033</v>
      </c>
      <c r="C877" t="s">
        <v>1517</v>
      </c>
      <c r="D877" s="7"/>
      <c r="E877" s="7"/>
      <c r="G877" t="s">
        <v>1939</v>
      </c>
      <c r="H877" t="str" cm="1">
        <f t="array" ref="H877">IFERROR(_xlfn.IFS(B877="","",AND(B877="",G877=""),"",G877="","記載要"),"")</f>
        <v/>
      </c>
      <c r="K877" t="str">
        <f t="shared" si="134"/>
        <v>11WP01008443</v>
      </c>
      <c r="L877" s="3" t="str">
        <f t="shared" si="135"/>
        <v>2001/01/01</v>
      </c>
      <c r="M877" s="3" t="str">
        <f t="shared" si="136"/>
        <v>2199/12/31</v>
      </c>
      <c r="N877" t="str">
        <f t="shared" si="137"/>
        <v>11WP01008443</v>
      </c>
      <c r="O877">
        <v>15</v>
      </c>
      <c r="Q877" t="str" cm="1">
        <f t="array" ref="Q877">_xlfn.IFS(AND(C877="",G877=""),"",LEFT(G877,1)="L","記載要",LEFT(G877,1)="W","",AND(C877,G877=""),"記載要")</f>
        <v/>
      </c>
      <c r="R877" s="21" t="str">
        <f t="shared" si="142"/>
        <v/>
      </c>
      <c r="S877" s="21"/>
      <c r="Z877" s="8"/>
      <c r="AA877">
        <v>1</v>
      </c>
      <c r="AB877">
        <f t="shared" si="138"/>
        <v>0</v>
      </c>
      <c r="AC877">
        <v>1</v>
      </c>
      <c r="AF877">
        <v>1</v>
      </c>
      <c r="AG877" s="8"/>
      <c r="AH877" s="8"/>
      <c r="AK877" cm="1">
        <f t="array" ref="AK877">_xlfn.IFS(B877="","",LEFT(G877,1)="L",1,LEFT(G877,1)="W",1,AND(LEFT(B877,1)="H",G877=""),0)</f>
        <v>1</v>
      </c>
      <c r="AS877" t="str">
        <f t="shared" si="139"/>
        <v/>
      </c>
      <c r="AT877" t="s">
        <v>115</v>
      </c>
      <c r="AU877" t="str">
        <f t="shared" si="140"/>
        <v>0</v>
      </c>
      <c r="BD877" t="str">
        <f t="shared" si="141"/>
        <v>0</v>
      </c>
      <c r="BK877" t="str">
        <f>IFERROR(VLOOKUP(B877,'[1]model_S-フレーム'!$F$5:$R$7000,13,1),"")</f>
        <v>E389458_01</v>
      </c>
      <c r="BL877" s="7">
        <f>IFERROR(VLOOKUP(B877,'[1]model_S-フレーム'!$F$5:$V$7000,17,1),"")</f>
        <v>0</v>
      </c>
      <c r="BM877" t="str" cm="1">
        <f t="array" ref="BM877">_xlfn.IFS(LEFT(G877,1)="L","外注品",LEFT(G877,1)="W","内製品",G877="","購買品")</f>
        <v>内製品</v>
      </c>
    </row>
    <row r="878" spans="1:65">
      <c r="A878" t="str">
        <f t="shared" si="133"/>
        <v>WG01</v>
      </c>
      <c r="B878" t="s">
        <v>1034</v>
      </c>
      <c r="C878" t="s">
        <v>1517</v>
      </c>
      <c r="D878" s="7"/>
      <c r="E878" s="7"/>
      <c r="G878" t="s">
        <v>1939</v>
      </c>
      <c r="H878" t="str" cm="1">
        <f t="array" ref="H878">IFERROR(_xlfn.IFS(B878="","",AND(B878="",G878=""),"",G878="","記載要"),"")</f>
        <v/>
      </c>
      <c r="K878" t="str">
        <f t="shared" si="134"/>
        <v>11WP01008444</v>
      </c>
      <c r="L878" s="3" t="str">
        <f t="shared" si="135"/>
        <v>2001/01/01</v>
      </c>
      <c r="M878" s="3" t="str">
        <f t="shared" si="136"/>
        <v>2199/12/31</v>
      </c>
      <c r="N878" t="str">
        <f t="shared" si="137"/>
        <v>11WP01008444</v>
      </c>
      <c r="O878">
        <v>15</v>
      </c>
      <c r="Q878" t="str" cm="1">
        <f t="array" ref="Q878">_xlfn.IFS(AND(C878="",G878=""),"",LEFT(G878,1)="L","記載要",LEFT(G878,1)="W","",AND(C878,G878=""),"記載要")</f>
        <v/>
      </c>
      <c r="R878" s="21" t="str">
        <f t="shared" si="142"/>
        <v/>
      </c>
      <c r="S878" s="21"/>
      <c r="Z878" s="8"/>
      <c r="AA878">
        <v>1</v>
      </c>
      <c r="AB878">
        <f t="shared" si="138"/>
        <v>0</v>
      </c>
      <c r="AC878">
        <v>1</v>
      </c>
      <c r="AF878">
        <v>1</v>
      </c>
      <c r="AG878" s="8"/>
      <c r="AH878" s="8"/>
      <c r="AK878" cm="1">
        <f t="array" ref="AK878">_xlfn.IFS(B878="","",LEFT(G878,1)="L",1,LEFT(G878,1)="W",1,AND(LEFT(B878,1)="H",G878=""),0)</f>
        <v>1</v>
      </c>
      <c r="AS878" t="str">
        <f t="shared" si="139"/>
        <v/>
      </c>
      <c r="AT878" t="s">
        <v>115</v>
      </c>
      <c r="AU878" t="str">
        <f t="shared" si="140"/>
        <v>0</v>
      </c>
      <c r="BD878" t="str">
        <f t="shared" si="141"/>
        <v>0</v>
      </c>
      <c r="BK878" t="str">
        <f>IFERROR(VLOOKUP(B878,'[1]model_S-フレーム'!$F$5:$R$7000,13,1),"")</f>
        <v>E389458_01</v>
      </c>
      <c r="BL878" s="7">
        <f>IFERROR(VLOOKUP(B878,'[1]model_S-フレーム'!$F$5:$V$7000,17,1),"")</f>
        <v>0</v>
      </c>
      <c r="BM878" t="str" cm="1">
        <f t="array" ref="BM878">_xlfn.IFS(LEFT(G878,1)="L","外注品",LEFT(G878,1)="W","内製品",G878="","購買品")</f>
        <v>内製品</v>
      </c>
    </row>
    <row r="879" spans="1:65">
      <c r="A879" t="str">
        <f t="shared" si="133"/>
        <v>WG01</v>
      </c>
      <c r="B879" t="s">
        <v>1035</v>
      </c>
      <c r="C879" t="s">
        <v>1517</v>
      </c>
      <c r="D879" s="7"/>
      <c r="E879" s="7"/>
      <c r="G879" t="s">
        <v>1939</v>
      </c>
      <c r="H879" t="str" cm="1">
        <f t="array" ref="H879">IFERROR(_xlfn.IFS(B879="","",AND(B879="",G879=""),"",G879="","記載要"),"")</f>
        <v/>
      </c>
      <c r="K879" t="str">
        <f t="shared" si="134"/>
        <v>11WP01008445</v>
      </c>
      <c r="L879" s="3" t="str">
        <f t="shared" si="135"/>
        <v>2001/01/01</v>
      </c>
      <c r="M879" s="3" t="str">
        <f t="shared" si="136"/>
        <v>2199/12/31</v>
      </c>
      <c r="N879" t="str">
        <f t="shared" si="137"/>
        <v>11WP01008445</v>
      </c>
      <c r="O879">
        <v>15</v>
      </c>
      <c r="Q879" t="str" cm="1">
        <f t="array" ref="Q879">_xlfn.IFS(AND(C879="",G879=""),"",LEFT(G879,1)="L","記載要",LEFT(G879,1)="W","",AND(C879,G879=""),"記載要")</f>
        <v/>
      </c>
      <c r="R879" s="21" t="str">
        <f t="shared" si="142"/>
        <v/>
      </c>
      <c r="S879" s="21"/>
      <c r="Z879" s="8"/>
      <c r="AA879">
        <v>1</v>
      </c>
      <c r="AB879">
        <f t="shared" si="138"/>
        <v>0</v>
      </c>
      <c r="AC879">
        <v>1</v>
      </c>
      <c r="AF879">
        <v>1</v>
      </c>
      <c r="AG879" s="8"/>
      <c r="AH879" s="8"/>
      <c r="AK879" cm="1">
        <f t="array" ref="AK879">_xlfn.IFS(B879="","",LEFT(G879,1)="L",1,LEFT(G879,1)="W",1,AND(LEFT(B879,1)="H",G879=""),0)</f>
        <v>1</v>
      </c>
      <c r="AS879" t="str">
        <f t="shared" si="139"/>
        <v/>
      </c>
      <c r="AT879" t="s">
        <v>115</v>
      </c>
      <c r="AU879" t="str">
        <f t="shared" si="140"/>
        <v>0</v>
      </c>
      <c r="BD879" t="str">
        <f t="shared" si="141"/>
        <v>0</v>
      </c>
      <c r="BK879" t="str">
        <f>IFERROR(VLOOKUP(B879,'[1]model_S-フレーム'!$F$5:$R$7000,13,1),"")</f>
        <v>E389458_01</v>
      </c>
      <c r="BL879" s="7">
        <f>IFERROR(VLOOKUP(B879,'[1]model_S-フレーム'!$F$5:$V$7000,17,1),"")</f>
        <v>0</v>
      </c>
      <c r="BM879" t="str" cm="1">
        <f t="array" ref="BM879">_xlfn.IFS(LEFT(G879,1)="L","外注品",LEFT(G879,1)="W","内製品",G879="","購買品")</f>
        <v>内製品</v>
      </c>
    </row>
    <row r="880" spans="1:65">
      <c r="A880" t="str">
        <f t="shared" si="133"/>
        <v>WG01</v>
      </c>
      <c r="B880" t="s">
        <v>1036</v>
      </c>
      <c r="C880" t="s">
        <v>1517</v>
      </c>
      <c r="D880" s="7"/>
      <c r="E880" s="7"/>
      <c r="G880" t="s">
        <v>1939</v>
      </c>
      <c r="H880" t="str" cm="1">
        <f t="array" ref="H880">IFERROR(_xlfn.IFS(B880="","",AND(B880="",G880=""),"",G880="","記載要"),"")</f>
        <v/>
      </c>
      <c r="K880" t="str">
        <f t="shared" si="134"/>
        <v>11WP01008446</v>
      </c>
      <c r="L880" s="3" t="str">
        <f t="shared" si="135"/>
        <v>2001/01/01</v>
      </c>
      <c r="M880" s="3" t="str">
        <f t="shared" si="136"/>
        <v>2199/12/31</v>
      </c>
      <c r="N880" t="str">
        <f t="shared" si="137"/>
        <v>11WP01008446</v>
      </c>
      <c r="O880">
        <v>15</v>
      </c>
      <c r="Q880" t="str" cm="1">
        <f t="array" ref="Q880">_xlfn.IFS(AND(C880="",G880=""),"",LEFT(G880,1)="L","記載要",LEFT(G880,1)="W","",AND(C880,G880=""),"記載要")</f>
        <v/>
      </c>
      <c r="R880" s="21" t="str">
        <f t="shared" si="142"/>
        <v/>
      </c>
      <c r="S880" s="21"/>
      <c r="Z880" s="8"/>
      <c r="AA880">
        <v>1</v>
      </c>
      <c r="AB880">
        <f t="shared" si="138"/>
        <v>0</v>
      </c>
      <c r="AC880">
        <v>1</v>
      </c>
      <c r="AF880">
        <v>1</v>
      </c>
      <c r="AG880" s="8"/>
      <c r="AH880" s="8"/>
      <c r="AK880" cm="1">
        <f t="array" ref="AK880">_xlfn.IFS(B880="","",LEFT(G880,1)="L",1,LEFT(G880,1)="W",1,AND(LEFT(B880,1)="H",G880=""),0)</f>
        <v>1</v>
      </c>
      <c r="AS880" t="str">
        <f t="shared" si="139"/>
        <v/>
      </c>
      <c r="AT880" t="s">
        <v>115</v>
      </c>
      <c r="AU880" t="str">
        <f t="shared" si="140"/>
        <v>0</v>
      </c>
      <c r="BD880" t="str">
        <f t="shared" si="141"/>
        <v>0</v>
      </c>
      <c r="BK880" t="str">
        <f>IFERROR(VLOOKUP(B880,'[1]model_S-フレーム'!$F$5:$R$7000,13,1),"")</f>
        <v>E389458_01</v>
      </c>
      <c r="BL880" s="7">
        <f>IFERROR(VLOOKUP(B880,'[1]model_S-フレーム'!$F$5:$V$7000,17,1),"")</f>
        <v>0</v>
      </c>
      <c r="BM880" t="str" cm="1">
        <f t="array" ref="BM880">_xlfn.IFS(LEFT(G880,1)="L","外注品",LEFT(G880,1)="W","内製品",G880="","購買品")</f>
        <v>内製品</v>
      </c>
    </row>
    <row r="881" spans="1:65">
      <c r="A881" t="str">
        <f t="shared" si="133"/>
        <v>WG01</v>
      </c>
      <c r="B881" t="s">
        <v>1037</v>
      </c>
      <c r="C881" t="s">
        <v>1517</v>
      </c>
      <c r="D881" s="7"/>
      <c r="E881" s="7"/>
      <c r="G881" t="s">
        <v>1939</v>
      </c>
      <c r="H881" t="str" cm="1">
        <f t="array" ref="H881">IFERROR(_xlfn.IFS(B881="","",AND(B881="",G881=""),"",G881="","記載要"),"")</f>
        <v/>
      </c>
      <c r="K881" t="str">
        <f t="shared" si="134"/>
        <v>11WP01008447</v>
      </c>
      <c r="L881" s="3" t="str">
        <f t="shared" si="135"/>
        <v>2001/01/01</v>
      </c>
      <c r="M881" s="3" t="str">
        <f t="shared" si="136"/>
        <v>2199/12/31</v>
      </c>
      <c r="N881" t="str">
        <f t="shared" si="137"/>
        <v>11WP01008447</v>
      </c>
      <c r="O881">
        <v>15</v>
      </c>
      <c r="Q881" t="str" cm="1">
        <f t="array" ref="Q881">_xlfn.IFS(AND(C881="",G881=""),"",LEFT(G881,1)="L","記載要",LEFT(G881,1)="W","",AND(C881,G881=""),"記載要")</f>
        <v/>
      </c>
      <c r="R881" s="21" t="str">
        <f t="shared" si="142"/>
        <v/>
      </c>
      <c r="S881" s="21"/>
      <c r="Z881" s="8"/>
      <c r="AA881">
        <v>1</v>
      </c>
      <c r="AB881">
        <f t="shared" si="138"/>
        <v>0</v>
      </c>
      <c r="AC881">
        <v>1</v>
      </c>
      <c r="AF881">
        <v>1</v>
      </c>
      <c r="AG881" s="8"/>
      <c r="AH881" s="8"/>
      <c r="AK881" cm="1">
        <f t="array" ref="AK881">_xlfn.IFS(B881="","",LEFT(G881,1)="L",1,LEFT(G881,1)="W",1,AND(LEFT(B881,1)="H",G881=""),0)</f>
        <v>1</v>
      </c>
      <c r="AS881" t="str">
        <f t="shared" si="139"/>
        <v/>
      </c>
      <c r="AT881" t="s">
        <v>115</v>
      </c>
      <c r="AU881" t="str">
        <f t="shared" si="140"/>
        <v>0</v>
      </c>
      <c r="BD881" t="str">
        <f t="shared" si="141"/>
        <v>0</v>
      </c>
      <c r="BK881" t="str">
        <f>IFERROR(VLOOKUP(B881,'[1]model_S-フレーム'!$F$5:$R$7000,13,1),"")</f>
        <v>E389458_01</v>
      </c>
      <c r="BL881" s="7">
        <f>IFERROR(VLOOKUP(B881,'[1]model_S-フレーム'!$F$5:$V$7000,17,1),"")</f>
        <v>0</v>
      </c>
      <c r="BM881" t="str" cm="1">
        <f t="array" ref="BM881">_xlfn.IFS(LEFT(G881,1)="L","外注品",LEFT(G881,1)="W","内製品",G881="","購買品")</f>
        <v>内製品</v>
      </c>
    </row>
    <row r="882" spans="1:65">
      <c r="A882" t="str">
        <f t="shared" si="133"/>
        <v>WG01</v>
      </c>
      <c r="B882" t="s">
        <v>1038</v>
      </c>
      <c r="C882" t="s">
        <v>1517</v>
      </c>
      <c r="D882" s="7"/>
      <c r="E882" s="7"/>
      <c r="G882" t="s">
        <v>1939</v>
      </c>
      <c r="H882" t="str" cm="1">
        <f t="array" ref="H882">IFERROR(_xlfn.IFS(B882="","",AND(B882="",G882=""),"",G882="","記載要"),"")</f>
        <v/>
      </c>
      <c r="K882" t="str">
        <f t="shared" si="134"/>
        <v>11WP01008448</v>
      </c>
      <c r="L882" s="3" t="str">
        <f t="shared" si="135"/>
        <v>2001/01/01</v>
      </c>
      <c r="M882" s="3" t="str">
        <f t="shared" si="136"/>
        <v>2199/12/31</v>
      </c>
      <c r="N882" t="str">
        <f t="shared" si="137"/>
        <v>11WP01008448</v>
      </c>
      <c r="O882">
        <v>15</v>
      </c>
      <c r="Q882" t="str" cm="1">
        <f t="array" ref="Q882">_xlfn.IFS(AND(C882="",G882=""),"",LEFT(G882,1)="L","記載要",LEFT(G882,1)="W","",AND(C882,G882=""),"記載要")</f>
        <v/>
      </c>
      <c r="R882" s="21" t="str">
        <f t="shared" si="142"/>
        <v/>
      </c>
      <c r="S882" s="21"/>
      <c r="Z882" s="8"/>
      <c r="AA882">
        <v>1</v>
      </c>
      <c r="AB882">
        <f t="shared" si="138"/>
        <v>0</v>
      </c>
      <c r="AC882">
        <v>1</v>
      </c>
      <c r="AF882">
        <v>1</v>
      </c>
      <c r="AG882" s="8"/>
      <c r="AH882" s="8"/>
      <c r="AK882" cm="1">
        <f t="array" ref="AK882">_xlfn.IFS(B882="","",LEFT(G882,1)="L",1,LEFT(G882,1)="W",1,AND(LEFT(B882,1)="H",G882=""),0)</f>
        <v>1</v>
      </c>
      <c r="AS882" t="str">
        <f t="shared" si="139"/>
        <v/>
      </c>
      <c r="AT882" t="s">
        <v>115</v>
      </c>
      <c r="AU882" t="str">
        <f t="shared" si="140"/>
        <v>0</v>
      </c>
      <c r="BD882" t="str">
        <f t="shared" si="141"/>
        <v>0</v>
      </c>
      <c r="BK882" t="str">
        <f>IFERROR(VLOOKUP(B882,'[1]model_S-フレーム'!$F$5:$R$7000,13,1),"")</f>
        <v>E389458_01</v>
      </c>
      <c r="BL882" s="7">
        <f>IFERROR(VLOOKUP(B882,'[1]model_S-フレーム'!$F$5:$V$7000,17,1),"")</f>
        <v>0</v>
      </c>
      <c r="BM882" t="str" cm="1">
        <f t="array" ref="BM882">_xlfn.IFS(LEFT(G882,1)="L","外注品",LEFT(G882,1)="W","内製品",G882="","購買品")</f>
        <v>内製品</v>
      </c>
    </row>
    <row r="883" spans="1:65">
      <c r="A883" t="str">
        <f t="shared" si="133"/>
        <v>WG01</v>
      </c>
      <c r="B883" t="s">
        <v>1039</v>
      </c>
      <c r="C883" t="s">
        <v>1517</v>
      </c>
      <c r="D883" s="7"/>
      <c r="E883" s="7"/>
      <c r="G883" t="s">
        <v>1939</v>
      </c>
      <c r="H883" t="str" cm="1">
        <f t="array" ref="H883">IFERROR(_xlfn.IFS(B883="","",AND(B883="",G883=""),"",G883="","記載要"),"")</f>
        <v/>
      </c>
      <c r="K883" t="str">
        <f t="shared" si="134"/>
        <v>11WP01008449</v>
      </c>
      <c r="L883" s="3" t="str">
        <f t="shared" si="135"/>
        <v>2001/01/01</v>
      </c>
      <c r="M883" s="3" t="str">
        <f t="shared" si="136"/>
        <v>2199/12/31</v>
      </c>
      <c r="N883" t="str">
        <f t="shared" si="137"/>
        <v>11WP01008449</v>
      </c>
      <c r="O883">
        <v>15</v>
      </c>
      <c r="Q883" t="str" cm="1">
        <f t="array" ref="Q883">_xlfn.IFS(AND(C883="",G883=""),"",LEFT(G883,1)="L","記載要",LEFT(G883,1)="W","",AND(C883,G883=""),"記載要")</f>
        <v/>
      </c>
      <c r="R883" s="21" t="str">
        <f t="shared" si="142"/>
        <v/>
      </c>
      <c r="S883" s="21"/>
      <c r="Z883" s="8"/>
      <c r="AA883">
        <v>1</v>
      </c>
      <c r="AB883">
        <f t="shared" si="138"/>
        <v>0</v>
      </c>
      <c r="AC883">
        <v>1</v>
      </c>
      <c r="AF883">
        <v>1</v>
      </c>
      <c r="AG883" s="8"/>
      <c r="AH883" s="8"/>
      <c r="AK883" cm="1">
        <f t="array" ref="AK883">_xlfn.IFS(B883="","",LEFT(G883,1)="L",1,LEFT(G883,1)="W",1,AND(LEFT(B883,1)="H",G883=""),0)</f>
        <v>1</v>
      </c>
      <c r="AS883" t="str">
        <f t="shared" si="139"/>
        <v/>
      </c>
      <c r="AT883" t="s">
        <v>115</v>
      </c>
      <c r="AU883" t="str">
        <f t="shared" si="140"/>
        <v>0</v>
      </c>
      <c r="BD883" t="str">
        <f t="shared" si="141"/>
        <v>0</v>
      </c>
      <c r="BK883" t="str">
        <f>IFERROR(VLOOKUP(B883,'[1]model_S-フレーム'!$F$5:$R$7000,13,1),"")</f>
        <v>E389458_01</v>
      </c>
      <c r="BL883" s="7">
        <f>IFERROR(VLOOKUP(B883,'[1]model_S-フレーム'!$F$5:$V$7000,17,1),"")</f>
        <v>0</v>
      </c>
      <c r="BM883" t="str" cm="1">
        <f t="array" ref="BM883">_xlfn.IFS(LEFT(G883,1)="L","外注品",LEFT(G883,1)="W","内製品",G883="","購買品")</f>
        <v>内製品</v>
      </c>
    </row>
    <row r="884" spans="1:65">
      <c r="A884" t="str">
        <f t="shared" si="133"/>
        <v>WG01</v>
      </c>
      <c r="B884" t="s">
        <v>1040</v>
      </c>
      <c r="C884" t="s">
        <v>1517</v>
      </c>
      <c r="D884" s="7"/>
      <c r="E884" s="7"/>
      <c r="G884" t="s">
        <v>1939</v>
      </c>
      <c r="H884" t="str" cm="1">
        <f t="array" ref="H884">IFERROR(_xlfn.IFS(B884="","",AND(B884="",G884=""),"",G884="","記載要"),"")</f>
        <v/>
      </c>
      <c r="K884" t="str">
        <f t="shared" si="134"/>
        <v>11WP01008450</v>
      </c>
      <c r="L884" s="3" t="str">
        <f t="shared" si="135"/>
        <v>2001/01/01</v>
      </c>
      <c r="M884" s="3" t="str">
        <f t="shared" si="136"/>
        <v>2199/12/31</v>
      </c>
      <c r="N884" t="str">
        <f t="shared" si="137"/>
        <v>11WP01008450</v>
      </c>
      <c r="O884">
        <v>15</v>
      </c>
      <c r="Q884" t="str" cm="1">
        <f t="array" ref="Q884">_xlfn.IFS(AND(C884="",G884=""),"",LEFT(G884,1)="L","記載要",LEFT(G884,1)="W","",AND(C884,G884=""),"記載要")</f>
        <v/>
      </c>
      <c r="R884" s="21" t="str">
        <f t="shared" si="142"/>
        <v/>
      </c>
      <c r="S884" s="21"/>
      <c r="Z884" s="8"/>
      <c r="AA884">
        <v>1</v>
      </c>
      <c r="AB884">
        <f t="shared" si="138"/>
        <v>0</v>
      </c>
      <c r="AC884">
        <v>1</v>
      </c>
      <c r="AF884">
        <v>1</v>
      </c>
      <c r="AG884" s="8"/>
      <c r="AH884" s="8"/>
      <c r="AK884" cm="1">
        <f t="array" ref="AK884">_xlfn.IFS(B884="","",LEFT(G884,1)="L",1,LEFT(G884,1)="W",1,AND(LEFT(B884,1)="H",G884=""),0)</f>
        <v>1</v>
      </c>
      <c r="AS884" t="str">
        <f t="shared" si="139"/>
        <v/>
      </c>
      <c r="AT884" t="s">
        <v>115</v>
      </c>
      <c r="AU884" t="str">
        <f t="shared" si="140"/>
        <v>0</v>
      </c>
      <c r="BD884" t="str">
        <f t="shared" si="141"/>
        <v>0</v>
      </c>
      <c r="BK884" t="str">
        <f>IFERROR(VLOOKUP(B884,'[1]model_S-フレーム'!$F$5:$R$7000,13,1),"")</f>
        <v>E389458_01</v>
      </c>
      <c r="BL884" s="7">
        <f>IFERROR(VLOOKUP(B884,'[1]model_S-フレーム'!$F$5:$V$7000,17,1),"")</f>
        <v>0</v>
      </c>
      <c r="BM884" t="str" cm="1">
        <f t="array" ref="BM884">_xlfn.IFS(LEFT(G884,1)="L","外注品",LEFT(G884,1)="W","内製品",G884="","購買品")</f>
        <v>内製品</v>
      </c>
    </row>
    <row r="885" spans="1:65">
      <c r="A885" t="str">
        <f t="shared" si="133"/>
        <v>WG01</v>
      </c>
      <c r="B885" t="s">
        <v>1041</v>
      </c>
      <c r="C885" t="s">
        <v>1517</v>
      </c>
      <c r="D885" s="7"/>
      <c r="E885" s="7"/>
      <c r="G885" t="s">
        <v>1939</v>
      </c>
      <c r="H885" t="str" cm="1">
        <f t="array" ref="H885">IFERROR(_xlfn.IFS(B885="","",AND(B885="",G885=""),"",G885="","記載要"),"")</f>
        <v/>
      </c>
      <c r="K885" t="str">
        <f t="shared" si="134"/>
        <v>11WP01008451</v>
      </c>
      <c r="L885" s="3" t="str">
        <f t="shared" si="135"/>
        <v>2001/01/01</v>
      </c>
      <c r="M885" s="3" t="str">
        <f t="shared" si="136"/>
        <v>2199/12/31</v>
      </c>
      <c r="N885" t="str">
        <f t="shared" si="137"/>
        <v>11WP01008451</v>
      </c>
      <c r="O885">
        <v>15</v>
      </c>
      <c r="Q885" t="str" cm="1">
        <f t="array" ref="Q885">_xlfn.IFS(AND(C885="",G885=""),"",LEFT(G885,1)="L","記載要",LEFT(G885,1)="W","",AND(C885,G885=""),"記載要")</f>
        <v/>
      </c>
      <c r="R885" s="21" t="str">
        <f t="shared" si="142"/>
        <v/>
      </c>
      <c r="S885" s="21"/>
      <c r="Z885" s="8"/>
      <c r="AA885">
        <v>1</v>
      </c>
      <c r="AB885">
        <f t="shared" si="138"/>
        <v>0</v>
      </c>
      <c r="AC885">
        <v>1</v>
      </c>
      <c r="AF885">
        <v>1</v>
      </c>
      <c r="AG885" s="8"/>
      <c r="AH885" s="8"/>
      <c r="AK885" cm="1">
        <f t="array" ref="AK885">_xlfn.IFS(B885="","",LEFT(G885,1)="L",1,LEFT(G885,1)="W",1,AND(LEFT(B885,1)="H",G885=""),0)</f>
        <v>1</v>
      </c>
      <c r="AS885" t="str">
        <f t="shared" si="139"/>
        <v/>
      </c>
      <c r="AT885" t="s">
        <v>115</v>
      </c>
      <c r="AU885" t="str">
        <f t="shared" si="140"/>
        <v>0</v>
      </c>
      <c r="BD885" t="str">
        <f t="shared" si="141"/>
        <v>0</v>
      </c>
      <c r="BK885" t="str">
        <f>IFERROR(VLOOKUP(B885,'[1]model_S-フレーム'!$F$5:$R$7000,13,1),"")</f>
        <v>E389458_01</v>
      </c>
      <c r="BL885" s="7">
        <f>IFERROR(VLOOKUP(B885,'[1]model_S-フレーム'!$F$5:$V$7000,17,1),"")</f>
        <v>0</v>
      </c>
      <c r="BM885" t="str" cm="1">
        <f t="array" ref="BM885">_xlfn.IFS(LEFT(G885,1)="L","外注品",LEFT(G885,1)="W","内製品",G885="","購買品")</f>
        <v>内製品</v>
      </c>
    </row>
    <row r="886" spans="1:65">
      <c r="A886" t="str">
        <f t="shared" si="133"/>
        <v>WG01</v>
      </c>
      <c r="B886" t="s">
        <v>1042</v>
      </c>
      <c r="C886" t="s">
        <v>1518</v>
      </c>
      <c r="D886" s="7"/>
      <c r="E886" s="7"/>
      <c r="G886" t="s">
        <v>1939</v>
      </c>
      <c r="H886" t="str" cm="1">
        <f t="array" ref="H886">IFERROR(_xlfn.IFS(B886="","",AND(B886="",G886=""),"",G886="","記載要"),"")</f>
        <v/>
      </c>
      <c r="K886" t="str">
        <f t="shared" si="134"/>
        <v>11WP01008452</v>
      </c>
      <c r="L886" s="3" t="str">
        <f t="shared" si="135"/>
        <v>2001/01/01</v>
      </c>
      <c r="M886" s="3" t="str">
        <f t="shared" si="136"/>
        <v>2199/12/31</v>
      </c>
      <c r="N886" t="str">
        <f t="shared" si="137"/>
        <v>11WP01008452</v>
      </c>
      <c r="O886">
        <v>15</v>
      </c>
      <c r="Q886" t="str" cm="1">
        <f t="array" ref="Q886">_xlfn.IFS(AND(C886="",G886=""),"",LEFT(G886,1)="L","記載要",LEFT(G886,1)="W","",AND(C886,G886=""),"記載要")</f>
        <v/>
      </c>
      <c r="R886" s="21" t="str">
        <f t="shared" si="142"/>
        <v/>
      </c>
      <c r="S886" s="21"/>
      <c r="Z886" s="8"/>
      <c r="AA886">
        <v>1</v>
      </c>
      <c r="AB886">
        <f t="shared" si="138"/>
        <v>0</v>
      </c>
      <c r="AC886">
        <v>1</v>
      </c>
      <c r="AF886">
        <v>1</v>
      </c>
      <c r="AG886" s="8"/>
      <c r="AH886" s="8"/>
      <c r="AK886" cm="1">
        <f t="array" ref="AK886">_xlfn.IFS(B886="","",LEFT(G886,1)="L",1,LEFT(G886,1)="W",1,AND(LEFT(B886,1)="H",G886=""),0)</f>
        <v>1</v>
      </c>
      <c r="AS886" t="str">
        <f t="shared" si="139"/>
        <v/>
      </c>
      <c r="AT886" t="s">
        <v>115</v>
      </c>
      <c r="AU886" t="str">
        <f t="shared" si="140"/>
        <v>0</v>
      </c>
      <c r="BD886" t="str">
        <f t="shared" si="141"/>
        <v>0</v>
      </c>
      <c r="BK886" t="str">
        <f>IFERROR(VLOOKUP(B886,'[1]model_S-フレーム'!$F$5:$R$7000,13,1),"")</f>
        <v>E389458_01</v>
      </c>
      <c r="BL886" s="7">
        <f>IFERROR(VLOOKUP(B886,'[1]model_S-フレーム'!$F$5:$V$7000,17,1),"")</f>
        <v>0</v>
      </c>
      <c r="BM886" t="str" cm="1">
        <f t="array" ref="BM886">_xlfn.IFS(LEFT(G886,1)="L","外注品",LEFT(G886,1)="W","内製品",G886="","購買品")</f>
        <v>内製品</v>
      </c>
    </row>
    <row r="887" spans="1:65">
      <c r="A887" t="str">
        <f t="shared" si="133"/>
        <v>WG01</v>
      </c>
      <c r="B887" t="s">
        <v>1043</v>
      </c>
      <c r="C887" t="s">
        <v>1518</v>
      </c>
      <c r="D887" s="7"/>
      <c r="E887" s="7"/>
      <c r="G887" t="s">
        <v>1939</v>
      </c>
      <c r="H887" t="str" cm="1">
        <f t="array" ref="H887">IFERROR(_xlfn.IFS(B887="","",AND(B887="",G887=""),"",G887="","記載要"),"")</f>
        <v/>
      </c>
      <c r="K887" t="str">
        <f t="shared" si="134"/>
        <v>11WP01008453</v>
      </c>
      <c r="L887" s="3" t="str">
        <f t="shared" si="135"/>
        <v>2001/01/01</v>
      </c>
      <c r="M887" s="3" t="str">
        <f t="shared" si="136"/>
        <v>2199/12/31</v>
      </c>
      <c r="N887" t="str">
        <f t="shared" si="137"/>
        <v>11WP01008453</v>
      </c>
      <c r="O887">
        <v>15</v>
      </c>
      <c r="Q887" t="str" cm="1">
        <f t="array" ref="Q887">_xlfn.IFS(AND(C887="",G887=""),"",LEFT(G887,1)="L","記載要",LEFT(G887,1)="W","",AND(C887,G887=""),"記載要")</f>
        <v/>
      </c>
      <c r="R887" s="21" t="str">
        <f t="shared" si="142"/>
        <v/>
      </c>
      <c r="S887" s="21"/>
      <c r="Z887" s="8"/>
      <c r="AA887">
        <v>1</v>
      </c>
      <c r="AB887">
        <f t="shared" si="138"/>
        <v>0</v>
      </c>
      <c r="AC887">
        <v>1</v>
      </c>
      <c r="AF887">
        <v>1</v>
      </c>
      <c r="AG887" s="8"/>
      <c r="AH887" s="8"/>
      <c r="AK887" cm="1">
        <f t="array" ref="AK887">_xlfn.IFS(B887="","",LEFT(G887,1)="L",1,LEFT(G887,1)="W",1,AND(LEFT(B887,1)="H",G887=""),0)</f>
        <v>1</v>
      </c>
      <c r="AS887" t="str">
        <f t="shared" si="139"/>
        <v/>
      </c>
      <c r="AT887" t="s">
        <v>115</v>
      </c>
      <c r="AU887" t="str">
        <f t="shared" si="140"/>
        <v>0</v>
      </c>
      <c r="BD887" t="str">
        <f t="shared" si="141"/>
        <v>0</v>
      </c>
      <c r="BK887" t="str">
        <f>IFERROR(VLOOKUP(B887,'[1]model_S-フレーム'!$F$5:$R$7000,13,1),"")</f>
        <v>E389458_01</v>
      </c>
      <c r="BL887" s="7">
        <f>IFERROR(VLOOKUP(B887,'[1]model_S-フレーム'!$F$5:$V$7000,17,1),"")</f>
        <v>0</v>
      </c>
      <c r="BM887" t="str" cm="1">
        <f t="array" ref="BM887">_xlfn.IFS(LEFT(G887,1)="L","外注品",LEFT(G887,1)="W","内製品",G887="","購買品")</f>
        <v>内製品</v>
      </c>
    </row>
    <row r="888" spans="1:65">
      <c r="A888" t="str">
        <f t="shared" si="133"/>
        <v>WG01</v>
      </c>
      <c r="B888" t="s">
        <v>1044</v>
      </c>
      <c r="C888" t="s">
        <v>1518</v>
      </c>
      <c r="D888" s="7"/>
      <c r="E888" s="7"/>
      <c r="G888" t="s">
        <v>1939</v>
      </c>
      <c r="H888" t="str" cm="1">
        <f t="array" ref="H888">IFERROR(_xlfn.IFS(B888="","",AND(B888="",G888=""),"",G888="","記載要"),"")</f>
        <v/>
      </c>
      <c r="K888" t="str">
        <f t="shared" si="134"/>
        <v>11WP01008454</v>
      </c>
      <c r="L888" s="3" t="str">
        <f t="shared" si="135"/>
        <v>2001/01/01</v>
      </c>
      <c r="M888" s="3" t="str">
        <f t="shared" si="136"/>
        <v>2199/12/31</v>
      </c>
      <c r="N888" t="str">
        <f t="shared" si="137"/>
        <v>11WP01008454</v>
      </c>
      <c r="O888">
        <v>15</v>
      </c>
      <c r="Q888" t="str" cm="1">
        <f t="array" ref="Q888">_xlfn.IFS(AND(C888="",G888=""),"",LEFT(G888,1)="L","記載要",LEFT(G888,1)="W","",AND(C888,G888=""),"記載要")</f>
        <v/>
      </c>
      <c r="R888" s="21" t="str">
        <f t="shared" si="142"/>
        <v/>
      </c>
      <c r="S888" s="21"/>
      <c r="Z888" s="8"/>
      <c r="AA888">
        <v>1</v>
      </c>
      <c r="AB888">
        <f t="shared" si="138"/>
        <v>0</v>
      </c>
      <c r="AC888">
        <v>1</v>
      </c>
      <c r="AF888">
        <v>1</v>
      </c>
      <c r="AG888" s="8"/>
      <c r="AH888" s="8"/>
      <c r="AK888" cm="1">
        <f t="array" ref="AK888">_xlfn.IFS(B888="","",LEFT(G888,1)="L",1,LEFT(G888,1)="W",1,AND(LEFT(B888,1)="H",G888=""),0)</f>
        <v>1</v>
      </c>
      <c r="AS888" t="str">
        <f t="shared" si="139"/>
        <v/>
      </c>
      <c r="AT888" t="s">
        <v>115</v>
      </c>
      <c r="AU888" t="str">
        <f t="shared" si="140"/>
        <v>0</v>
      </c>
      <c r="BD888" t="str">
        <f t="shared" si="141"/>
        <v>0</v>
      </c>
      <c r="BK888" t="str">
        <f>IFERROR(VLOOKUP(B888,'[1]model_S-フレーム'!$F$5:$R$7000,13,1),"")</f>
        <v>E389458_01</v>
      </c>
      <c r="BL888" s="7">
        <f>IFERROR(VLOOKUP(B888,'[1]model_S-フレーム'!$F$5:$V$7000,17,1),"")</f>
        <v>0</v>
      </c>
      <c r="BM888" t="str" cm="1">
        <f t="array" ref="BM888">_xlfn.IFS(LEFT(G888,1)="L","外注品",LEFT(G888,1)="W","内製品",G888="","購買品")</f>
        <v>内製品</v>
      </c>
    </row>
    <row r="889" spans="1:65">
      <c r="A889" t="str">
        <f t="shared" si="133"/>
        <v>WG01</v>
      </c>
      <c r="B889" t="s">
        <v>1045</v>
      </c>
      <c r="C889" t="s">
        <v>1518</v>
      </c>
      <c r="D889" s="7"/>
      <c r="E889" s="7"/>
      <c r="G889" t="s">
        <v>1939</v>
      </c>
      <c r="H889" t="str" cm="1">
        <f t="array" ref="H889">IFERROR(_xlfn.IFS(B889="","",AND(B889="",G889=""),"",G889="","記載要"),"")</f>
        <v/>
      </c>
      <c r="K889" t="str">
        <f t="shared" si="134"/>
        <v>11WP01008455</v>
      </c>
      <c r="L889" s="3" t="str">
        <f t="shared" si="135"/>
        <v>2001/01/01</v>
      </c>
      <c r="M889" s="3" t="str">
        <f t="shared" si="136"/>
        <v>2199/12/31</v>
      </c>
      <c r="N889" t="str">
        <f t="shared" si="137"/>
        <v>11WP01008455</v>
      </c>
      <c r="O889">
        <v>15</v>
      </c>
      <c r="Q889" t="str" cm="1">
        <f t="array" ref="Q889">_xlfn.IFS(AND(C889="",G889=""),"",LEFT(G889,1)="L","記載要",LEFT(G889,1)="W","",AND(C889,G889=""),"記載要")</f>
        <v/>
      </c>
      <c r="R889" s="21" t="str">
        <f t="shared" si="142"/>
        <v/>
      </c>
      <c r="S889" s="21"/>
      <c r="Z889" s="8"/>
      <c r="AA889">
        <v>1</v>
      </c>
      <c r="AB889">
        <f t="shared" si="138"/>
        <v>0</v>
      </c>
      <c r="AC889">
        <v>1</v>
      </c>
      <c r="AF889">
        <v>1</v>
      </c>
      <c r="AG889" s="8"/>
      <c r="AH889" s="8"/>
      <c r="AK889" cm="1">
        <f t="array" ref="AK889">_xlfn.IFS(B889="","",LEFT(G889,1)="L",1,LEFT(G889,1)="W",1,AND(LEFT(B889,1)="H",G889=""),0)</f>
        <v>1</v>
      </c>
      <c r="AS889" t="str">
        <f t="shared" si="139"/>
        <v/>
      </c>
      <c r="AT889" t="s">
        <v>115</v>
      </c>
      <c r="AU889" t="str">
        <f t="shared" si="140"/>
        <v>0</v>
      </c>
      <c r="BD889" t="str">
        <f t="shared" si="141"/>
        <v>0</v>
      </c>
      <c r="BK889" t="str">
        <f>IFERROR(VLOOKUP(B889,'[1]model_S-フレーム'!$F$5:$R$7000,13,1),"")</f>
        <v>E389458_01</v>
      </c>
      <c r="BL889" s="7">
        <f>IFERROR(VLOOKUP(B889,'[1]model_S-フレーム'!$F$5:$V$7000,17,1),"")</f>
        <v>0</v>
      </c>
      <c r="BM889" t="str" cm="1">
        <f t="array" ref="BM889">_xlfn.IFS(LEFT(G889,1)="L","外注品",LEFT(G889,1)="W","内製品",G889="","購買品")</f>
        <v>内製品</v>
      </c>
    </row>
    <row r="890" spans="1:65">
      <c r="A890" t="str">
        <f t="shared" si="133"/>
        <v>WG01</v>
      </c>
      <c r="B890" t="s">
        <v>1046</v>
      </c>
      <c r="C890" t="s">
        <v>1518</v>
      </c>
      <c r="D890" s="7"/>
      <c r="E890" s="7"/>
      <c r="G890" t="s">
        <v>1939</v>
      </c>
      <c r="H890" t="str" cm="1">
        <f t="array" ref="H890">IFERROR(_xlfn.IFS(B890="","",AND(B890="",G890=""),"",G890="","記載要"),"")</f>
        <v/>
      </c>
      <c r="K890" t="str">
        <f t="shared" si="134"/>
        <v>11WP01008456</v>
      </c>
      <c r="L890" s="3" t="str">
        <f t="shared" si="135"/>
        <v>2001/01/01</v>
      </c>
      <c r="M890" s="3" t="str">
        <f t="shared" si="136"/>
        <v>2199/12/31</v>
      </c>
      <c r="N890" t="str">
        <f t="shared" si="137"/>
        <v>11WP01008456</v>
      </c>
      <c r="O890">
        <v>15</v>
      </c>
      <c r="Q890" t="str" cm="1">
        <f t="array" ref="Q890">_xlfn.IFS(AND(C890="",G890=""),"",LEFT(G890,1)="L","記載要",LEFT(G890,1)="W","",AND(C890,G890=""),"記載要")</f>
        <v/>
      </c>
      <c r="R890" s="21" t="str">
        <f t="shared" si="142"/>
        <v/>
      </c>
      <c r="S890" s="21"/>
      <c r="Z890" s="8"/>
      <c r="AA890">
        <v>1</v>
      </c>
      <c r="AB890">
        <f t="shared" si="138"/>
        <v>0</v>
      </c>
      <c r="AC890">
        <v>1</v>
      </c>
      <c r="AF890">
        <v>1</v>
      </c>
      <c r="AG890" s="8"/>
      <c r="AH890" s="8"/>
      <c r="AK890" cm="1">
        <f t="array" ref="AK890">_xlfn.IFS(B890="","",LEFT(G890,1)="L",1,LEFT(G890,1)="W",1,AND(LEFT(B890,1)="H",G890=""),0)</f>
        <v>1</v>
      </c>
      <c r="AS890" t="str">
        <f t="shared" si="139"/>
        <v/>
      </c>
      <c r="AT890" t="s">
        <v>115</v>
      </c>
      <c r="AU890" t="str">
        <f t="shared" si="140"/>
        <v>0</v>
      </c>
      <c r="BD890" t="str">
        <f t="shared" si="141"/>
        <v>0</v>
      </c>
      <c r="BK890" t="str">
        <f>IFERROR(VLOOKUP(B890,'[1]model_S-フレーム'!$F$5:$R$7000,13,1),"")</f>
        <v>E389458_01</v>
      </c>
      <c r="BL890" s="7">
        <f>IFERROR(VLOOKUP(B890,'[1]model_S-フレーム'!$F$5:$V$7000,17,1),"")</f>
        <v>0</v>
      </c>
      <c r="BM890" t="str" cm="1">
        <f t="array" ref="BM890">_xlfn.IFS(LEFT(G890,1)="L","外注品",LEFT(G890,1)="W","内製品",G890="","購買品")</f>
        <v>内製品</v>
      </c>
    </row>
    <row r="891" spans="1:65">
      <c r="A891" t="str">
        <f t="shared" si="133"/>
        <v>WG01</v>
      </c>
      <c r="B891" t="s">
        <v>1047</v>
      </c>
      <c r="C891" t="s">
        <v>1518</v>
      </c>
      <c r="D891" s="7"/>
      <c r="E891" s="7"/>
      <c r="G891" t="s">
        <v>1939</v>
      </c>
      <c r="H891" t="str" cm="1">
        <f t="array" ref="H891">IFERROR(_xlfn.IFS(B891="","",AND(B891="",G891=""),"",G891="","記載要"),"")</f>
        <v/>
      </c>
      <c r="K891" t="str">
        <f t="shared" si="134"/>
        <v>11WP01008457</v>
      </c>
      <c r="L891" s="3" t="str">
        <f t="shared" si="135"/>
        <v>2001/01/01</v>
      </c>
      <c r="M891" s="3" t="str">
        <f t="shared" si="136"/>
        <v>2199/12/31</v>
      </c>
      <c r="N891" t="str">
        <f t="shared" si="137"/>
        <v>11WP01008457</v>
      </c>
      <c r="O891">
        <v>15</v>
      </c>
      <c r="Q891" t="str" cm="1">
        <f t="array" ref="Q891">_xlfn.IFS(AND(C891="",G891=""),"",LEFT(G891,1)="L","記載要",LEFT(G891,1)="W","",AND(C891,G891=""),"記載要")</f>
        <v/>
      </c>
      <c r="R891" s="21" t="str">
        <f t="shared" si="142"/>
        <v/>
      </c>
      <c r="S891" s="21"/>
      <c r="Z891" s="8"/>
      <c r="AA891">
        <v>1</v>
      </c>
      <c r="AB891">
        <f t="shared" si="138"/>
        <v>0</v>
      </c>
      <c r="AC891">
        <v>1</v>
      </c>
      <c r="AF891">
        <v>1</v>
      </c>
      <c r="AG891" s="8"/>
      <c r="AH891" s="8"/>
      <c r="AK891" cm="1">
        <f t="array" ref="AK891">_xlfn.IFS(B891="","",LEFT(G891,1)="L",1,LEFT(G891,1)="W",1,AND(LEFT(B891,1)="H",G891=""),0)</f>
        <v>1</v>
      </c>
      <c r="AS891" t="str">
        <f t="shared" si="139"/>
        <v/>
      </c>
      <c r="AT891" t="s">
        <v>115</v>
      </c>
      <c r="AU891" t="str">
        <f t="shared" si="140"/>
        <v>0</v>
      </c>
      <c r="BD891" t="str">
        <f t="shared" si="141"/>
        <v>0</v>
      </c>
      <c r="BK891" t="str">
        <f>IFERROR(VLOOKUP(B891,'[1]model_S-フレーム'!$F$5:$R$7000,13,1),"")</f>
        <v>E389458_01</v>
      </c>
      <c r="BL891" s="7">
        <f>IFERROR(VLOOKUP(B891,'[1]model_S-フレーム'!$F$5:$V$7000,17,1),"")</f>
        <v>0</v>
      </c>
      <c r="BM891" t="str" cm="1">
        <f t="array" ref="BM891">_xlfn.IFS(LEFT(G891,1)="L","外注品",LEFT(G891,1)="W","内製品",G891="","購買品")</f>
        <v>内製品</v>
      </c>
    </row>
    <row r="892" spans="1:65">
      <c r="A892" t="str">
        <f t="shared" si="133"/>
        <v>WG01</v>
      </c>
      <c r="B892" t="s">
        <v>1048</v>
      </c>
      <c r="C892" t="s">
        <v>1518</v>
      </c>
      <c r="D892" s="7"/>
      <c r="E892" s="7"/>
      <c r="G892" t="s">
        <v>1939</v>
      </c>
      <c r="H892" t="str" cm="1">
        <f t="array" ref="H892">IFERROR(_xlfn.IFS(B892="","",AND(B892="",G892=""),"",G892="","記載要"),"")</f>
        <v/>
      </c>
      <c r="K892" t="str">
        <f t="shared" si="134"/>
        <v>11WP01008458</v>
      </c>
      <c r="L892" s="3" t="str">
        <f t="shared" si="135"/>
        <v>2001/01/01</v>
      </c>
      <c r="M892" s="3" t="str">
        <f t="shared" si="136"/>
        <v>2199/12/31</v>
      </c>
      <c r="N892" t="str">
        <f t="shared" si="137"/>
        <v>11WP01008458</v>
      </c>
      <c r="O892">
        <v>15</v>
      </c>
      <c r="Q892" t="str" cm="1">
        <f t="array" ref="Q892">_xlfn.IFS(AND(C892="",G892=""),"",LEFT(G892,1)="L","記載要",LEFT(G892,1)="W","",AND(C892,G892=""),"記載要")</f>
        <v/>
      </c>
      <c r="R892" s="21" t="str">
        <f t="shared" si="142"/>
        <v/>
      </c>
      <c r="S892" s="21"/>
      <c r="Z892" s="8"/>
      <c r="AA892">
        <v>1</v>
      </c>
      <c r="AB892">
        <f t="shared" si="138"/>
        <v>0</v>
      </c>
      <c r="AC892">
        <v>1</v>
      </c>
      <c r="AF892">
        <v>1</v>
      </c>
      <c r="AG892" s="8"/>
      <c r="AH892" s="8"/>
      <c r="AK892" cm="1">
        <f t="array" ref="AK892">_xlfn.IFS(B892="","",LEFT(G892,1)="L",1,LEFT(G892,1)="W",1,AND(LEFT(B892,1)="H",G892=""),0)</f>
        <v>1</v>
      </c>
      <c r="AS892" t="str">
        <f t="shared" si="139"/>
        <v/>
      </c>
      <c r="AT892" t="s">
        <v>115</v>
      </c>
      <c r="AU892" t="str">
        <f t="shared" si="140"/>
        <v>0</v>
      </c>
      <c r="BD892" t="str">
        <f t="shared" si="141"/>
        <v>0</v>
      </c>
      <c r="BK892" t="str">
        <f>IFERROR(VLOOKUP(B892,'[1]model_S-フレーム'!$F$5:$R$7000,13,1),"")</f>
        <v>E389458_01</v>
      </c>
      <c r="BL892" s="7">
        <f>IFERROR(VLOOKUP(B892,'[1]model_S-フレーム'!$F$5:$V$7000,17,1),"")</f>
        <v>0</v>
      </c>
      <c r="BM892" t="str" cm="1">
        <f t="array" ref="BM892">_xlfn.IFS(LEFT(G892,1)="L","外注品",LEFT(G892,1)="W","内製品",G892="","購買品")</f>
        <v>内製品</v>
      </c>
    </row>
    <row r="893" spans="1:65">
      <c r="A893" t="str">
        <f t="shared" si="133"/>
        <v>WG01</v>
      </c>
      <c r="B893" t="s">
        <v>1049</v>
      </c>
      <c r="C893" t="s">
        <v>1518</v>
      </c>
      <c r="D893" s="7"/>
      <c r="E893" s="7"/>
      <c r="G893" t="s">
        <v>1939</v>
      </c>
      <c r="H893" t="str" cm="1">
        <f t="array" ref="H893">IFERROR(_xlfn.IFS(B893="","",AND(B893="",G893=""),"",G893="","記載要"),"")</f>
        <v/>
      </c>
      <c r="K893" t="str">
        <f t="shared" si="134"/>
        <v>11WP01008459</v>
      </c>
      <c r="L893" s="3" t="str">
        <f t="shared" si="135"/>
        <v>2001/01/01</v>
      </c>
      <c r="M893" s="3" t="str">
        <f t="shared" si="136"/>
        <v>2199/12/31</v>
      </c>
      <c r="N893" t="str">
        <f t="shared" si="137"/>
        <v>11WP01008459</v>
      </c>
      <c r="O893">
        <v>15</v>
      </c>
      <c r="Q893" t="str" cm="1">
        <f t="array" ref="Q893">_xlfn.IFS(AND(C893="",G893=""),"",LEFT(G893,1)="L","記載要",LEFT(G893,1)="W","",AND(C893,G893=""),"記載要")</f>
        <v/>
      </c>
      <c r="R893" s="21" t="str">
        <f t="shared" si="142"/>
        <v/>
      </c>
      <c r="S893" s="21"/>
      <c r="Z893" s="8"/>
      <c r="AA893">
        <v>1</v>
      </c>
      <c r="AB893">
        <f t="shared" si="138"/>
        <v>0</v>
      </c>
      <c r="AC893">
        <v>1</v>
      </c>
      <c r="AF893">
        <v>1</v>
      </c>
      <c r="AG893" s="8"/>
      <c r="AH893" s="8"/>
      <c r="AK893" cm="1">
        <f t="array" ref="AK893">_xlfn.IFS(B893="","",LEFT(G893,1)="L",1,LEFT(G893,1)="W",1,AND(LEFT(B893,1)="H",G893=""),0)</f>
        <v>1</v>
      </c>
      <c r="AS893" t="str">
        <f t="shared" si="139"/>
        <v/>
      </c>
      <c r="AT893" t="s">
        <v>115</v>
      </c>
      <c r="AU893" t="str">
        <f t="shared" si="140"/>
        <v>0</v>
      </c>
      <c r="BD893" t="str">
        <f t="shared" si="141"/>
        <v>0</v>
      </c>
      <c r="BK893" t="str">
        <f>IFERROR(VLOOKUP(B893,'[1]model_S-フレーム'!$F$5:$R$7000,13,1),"")</f>
        <v>E389458_01</v>
      </c>
      <c r="BL893" s="7">
        <f>IFERROR(VLOOKUP(B893,'[1]model_S-フレーム'!$F$5:$V$7000,17,1),"")</f>
        <v>0</v>
      </c>
      <c r="BM893" t="str" cm="1">
        <f t="array" ref="BM893">_xlfn.IFS(LEFT(G893,1)="L","外注品",LEFT(G893,1)="W","内製品",G893="","購買品")</f>
        <v>内製品</v>
      </c>
    </row>
    <row r="894" spans="1:65">
      <c r="A894" t="str">
        <f t="shared" si="133"/>
        <v>WG01</v>
      </c>
      <c r="B894" t="s">
        <v>1050</v>
      </c>
      <c r="C894" t="s">
        <v>1518</v>
      </c>
      <c r="D894" s="7"/>
      <c r="E894" s="7"/>
      <c r="G894" t="s">
        <v>1939</v>
      </c>
      <c r="H894" t="str" cm="1">
        <f t="array" ref="H894">IFERROR(_xlfn.IFS(B894="","",AND(B894="",G894=""),"",G894="","記載要"),"")</f>
        <v/>
      </c>
      <c r="K894" t="str">
        <f t="shared" si="134"/>
        <v>11WP01008460</v>
      </c>
      <c r="L894" s="3" t="str">
        <f t="shared" si="135"/>
        <v>2001/01/01</v>
      </c>
      <c r="M894" s="3" t="str">
        <f t="shared" si="136"/>
        <v>2199/12/31</v>
      </c>
      <c r="N894" t="str">
        <f t="shared" si="137"/>
        <v>11WP01008460</v>
      </c>
      <c r="O894">
        <v>15</v>
      </c>
      <c r="Q894" t="str" cm="1">
        <f t="array" ref="Q894">_xlfn.IFS(AND(C894="",G894=""),"",LEFT(G894,1)="L","記載要",LEFT(G894,1)="W","",AND(C894,G894=""),"記載要")</f>
        <v/>
      </c>
      <c r="R894" s="21" t="str">
        <f t="shared" si="142"/>
        <v/>
      </c>
      <c r="S894" s="21"/>
      <c r="Z894" s="8"/>
      <c r="AA894">
        <v>1</v>
      </c>
      <c r="AB894">
        <f t="shared" si="138"/>
        <v>0</v>
      </c>
      <c r="AC894">
        <v>1</v>
      </c>
      <c r="AF894">
        <v>1</v>
      </c>
      <c r="AG894" s="8"/>
      <c r="AH894" s="8"/>
      <c r="AK894" cm="1">
        <f t="array" ref="AK894">_xlfn.IFS(B894="","",LEFT(G894,1)="L",1,LEFT(G894,1)="W",1,AND(LEFT(B894,1)="H",G894=""),0)</f>
        <v>1</v>
      </c>
      <c r="AS894" t="str">
        <f t="shared" si="139"/>
        <v/>
      </c>
      <c r="AT894" t="s">
        <v>115</v>
      </c>
      <c r="AU894" t="str">
        <f t="shared" si="140"/>
        <v>0</v>
      </c>
      <c r="BD894" t="str">
        <f t="shared" si="141"/>
        <v>0</v>
      </c>
      <c r="BK894" t="str">
        <f>IFERROR(VLOOKUP(B894,'[1]model_S-フレーム'!$F$5:$R$7000,13,1),"")</f>
        <v>E389458_01</v>
      </c>
      <c r="BL894" s="7">
        <f>IFERROR(VLOOKUP(B894,'[1]model_S-フレーム'!$F$5:$V$7000,17,1),"")</f>
        <v>0</v>
      </c>
      <c r="BM894" t="str" cm="1">
        <f t="array" ref="BM894">_xlfn.IFS(LEFT(G894,1)="L","外注品",LEFT(G894,1)="W","内製品",G894="","購買品")</f>
        <v>内製品</v>
      </c>
    </row>
    <row r="895" spans="1:65">
      <c r="A895" t="str">
        <f t="shared" si="133"/>
        <v>WG01</v>
      </c>
      <c r="B895" t="s">
        <v>1051</v>
      </c>
      <c r="C895" t="s">
        <v>1518</v>
      </c>
      <c r="D895" s="7"/>
      <c r="E895" s="7"/>
      <c r="G895" t="s">
        <v>1939</v>
      </c>
      <c r="H895" t="str" cm="1">
        <f t="array" ref="H895">IFERROR(_xlfn.IFS(B895="","",AND(B895="",G895=""),"",G895="","記載要"),"")</f>
        <v/>
      </c>
      <c r="K895" t="str">
        <f t="shared" si="134"/>
        <v>11WP01008461</v>
      </c>
      <c r="L895" s="3" t="str">
        <f t="shared" si="135"/>
        <v>2001/01/01</v>
      </c>
      <c r="M895" s="3" t="str">
        <f t="shared" si="136"/>
        <v>2199/12/31</v>
      </c>
      <c r="N895" t="str">
        <f t="shared" si="137"/>
        <v>11WP01008461</v>
      </c>
      <c r="O895">
        <v>15</v>
      </c>
      <c r="Q895" t="str" cm="1">
        <f t="array" ref="Q895">_xlfn.IFS(AND(C895="",G895=""),"",LEFT(G895,1)="L","記載要",LEFT(G895,1)="W","",AND(C895,G895=""),"記載要")</f>
        <v/>
      </c>
      <c r="R895" s="21" t="str">
        <f t="shared" si="142"/>
        <v/>
      </c>
      <c r="S895" s="21"/>
      <c r="Z895" s="8"/>
      <c r="AA895">
        <v>1</v>
      </c>
      <c r="AB895">
        <f t="shared" si="138"/>
        <v>0</v>
      </c>
      <c r="AC895">
        <v>1</v>
      </c>
      <c r="AF895">
        <v>1</v>
      </c>
      <c r="AG895" s="8"/>
      <c r="AH895" s="8"/>
      <c r="AK895" cm="1">
        <f t="array" ref="AK895">_xlfn.IFS(B895="","",LEFT(G895,1)="L",1,LEFT(G895,1)="W",1,AND(LEFT(B895,1)="H",G895=""),0)</f>
        <v>1</v>
      </c>
      <c r="AS895" t="str">
        <f t="shared" si="139"/>
        <v/>
      </c>
      <c r="AT895" t="s">
        <v>115</v>
      </c>
      <c r="AU895" t="str">
        <f t="shared" si="140"/>
        <v>0</v>
      </c>
      <c r="BD895" t="str">
        <f t="shared" si="141"/>
        <v>0</v>
      </c>
      <c r="BK895" t="str">
        <f>IFERROR(VLOOKUP(B895,'[1]model_S-フレーム'!$F$5:$R$7000,13,1),"")</f>
        <v>E389458_01</v>
      </c>
      <c r="BL895" s="7">
        <f>IFERROR(VLOOKUP(B895,'[1]model_S-フレーム'!$F$5:$V$7000,17,1),"")</f>
        <v>0</v>
      </c>
      <c r="BM895" t="str" cm="1">
        <f t="array" ref="BM895">_xlfn.IFS(LEFT(G895,1)="L","外注品",LEFT(G895,1)="W","内製品",G895="","購買品")</f>
        <v>内製品</v>
      </c>
    </row>
    <row r="896" spans="1:65">
      <c r="A896" t="str">
        <f t="shared" si="133"/>
        <v>WG01</v>
      </c>
      <c r="B896" t="s">
        <v>1052</v>
      </c>
      <c r="C896" t="s">
        <v>1518</v>
      </c>
      <c r="D896" s="7"/>
      <c r="E896" s="7"/>
      <c r="G896" t="s">
        <v>1939</v>
      </c>
      <c r="H896" t="str" cm="1">
        <f t="array" ref="H896">IFERROR(_xlfn.IFS(B896="","",AND(B896="",G896=""),"",G896="","記載要"),"")</f>
        <v/>
      </c>
      <c r="K896" t="str">
        <f t="shared" si="134"/>
        <v>11WP01008462</v>
      </c>
      <c r="L896" s="3" t="str">
        <f t="shared" si="135"/>
        <v>2001/01/01</v>
      </c>
      <c r="M896" s="3" t="str">
        <f t="shared" si="136"/>
        <v>2199/12/31</v>
      </c>
      <c r="N896" t="str">
        <f t="shared" si="137"/>
        <v>11WP01008462</v>
      </c>
      <c r="O896">
        <v>15</v>
      </c>
      <c r="Q896" t="str" cm="1">
        <f t="array" ref="Q896">_xlfn.IFS(AND(C896="",G896=""),"",LEFT(G896,1)="L","記載要",LEFT(G896,1)="W","",AND(C896,G896=""),"記載要")</f>
        <v/>
      </c>
      <c r="R896" s="21" t="str">
        <f t="shared" si="142"/>
        <v/>
      </c>
      <c r="S896" s="21"/>
      <c r="Z896" s="8"/>
      <c r="AA896">
        <v>1</v>
      </c>
      <c r="AB896">
        <f t="shared" si="138"/>
        <v>0</v>
      </c>
      <c r="AC896">
        <v>1</v>
      </c>
      <c r="AF896">
        <v>1</v>
      </c>
      <c r="AG896" s="8"/>
      <c r="AH896" s="8"/>
      <c r="AK896" cm="1">
        <f t="array" ref="AK896">_xlfn.IFS(B896="","",LEFT(G896,1)="L",1,LEFT(G896,1)="W",1,AND(LEFT(B896,1)="H",G896=""),0)</f>
        <v>1</v>
      </c>
      <c r="AS896" t="str">
        <f t="shared" si="139"/>
        <v/>
      </c>
      <c r="AT896" t="s">
        <v>115</v>
      </c>
      <c r="AU896" t="str">
        <f t="shared" si="140"/>
        <v>0</v>
      </c>
      <c r="BD896" t="str">
        <f t="shared" si="141"/>
        <v>0</v>
      </c>
      <c r="BK896" t="str">
        <f>IFERROR(VLOOKUP(B896,'[1]model_S-フレーム'!$F$5:$R$7000,13,1),"")</f>
        <v>E389458_01</v>
      </c>
      <c r="BL896" s="7">
        <f>IFERROR(VLOOKUP(B896,'[1]model_S-フレーム'!$F$5:$V$7000,17,1),"")</f>
        <v>0</v>
      </c>
      <c r="BM896" t="str" cm="1">
        <f t="array" ref="BM896">_xlfn.IFS(LEFT(G896,1)="L","外注品",LEFT(G896,1)="W","内製品",G896="","購買品")</f>
        <v>内製品</v>
      </c>
    </row>
    <row r="897" spans="1:65">
      <c r="A897" t="str">
        <f t="shared" si="133"/>
        <v>WG01</v>
      </c>
      <c r="B897" t="s">
        <v>1053</v>
      </c>
      <c r="C897" t="s">
        <v>1518</v>
      </c>
      <c r="D897" s="7"/>
      <c r="E897" s="7"/>
      <c r="G897" t="s">
        <v>1939</v>
      </c>
      <c r="H897" t="str" cm="1">
        <f t="array" ref="H897">IFERROR(_xlfn.IFS(B897="","",AND(B897="",G897=""),"",G897="","記載要"),"")</f>
        <v/>
      </c>
      <c r="K897" t="str">
        <f t="shared" si="134"/>
        <v>11WP01008463</v>
      </c>
      <c r="L897" s="3" t="str">
        <f t="shared" si="135"/>
        <v>2001/01/01</v>
      </c>
      <c r="M897" s="3" t="str">
        <f t="shared" si="136"/>
        <v>2199/12/31</v>
      </c>
      <c r="N897" t="str">
        <f t="shared" si="137"/>
        <v>11WP01008463</v>
      </c>
      <c r="O897">
        <v>15</v>
      </c>
      <c r="Q897" t="str" cm="1">
        <f t="array" ref="Q897">_xlfn.IFS(AND(C897="",G897=""),"",LEFT(G897,1)="L","記載要",LEFT(G897,1)="W","",AND(C897,G897=""),"記載要")</f>
        <v/>
      </c>
      <c r="R897" s="21" t="str">
        <f t="shared" si="142"/>
        <v/>
      </c>
      <c r="S897" s="21"/>
      <c r="Z897" s="8"/>
      <c r="AA897">
        <v>1</v>
      </c>
      <c r="AB897">
        <f t="shared" si="138"/>
        <v>0</v>
      </c>
      <c r="AC897">
        <v>1</v>
      </c>
      <c r="AF897">
        <v>1</v>
      </c>
      <c r="AG897" s="8"/>
      <c r="AH897" s="8"/>
      <c r="AK897" cm="1">
        <f t="array" ref="AK897">_xlfn.IFS(B897="","",LEFT(G897,1)="L",1,LEFT(G897,1)="W",1,AND(LEFT(B897,1)="H",G897=""),0)</f>
        <v>1</v>
      </c>
      <c r="AS897" t="str">
        <f t="shared" si="139"/>
        <v/>
      </c>
      <c r="AT897" t="s">
        <v>115</v>
      </c>
      <c r="AU897" t="str">
        <f t="shared" si="140"/>
        <v>0</v>
      </c>
      <c r="BD897" t="str">
        <f t="shared" si="141"/>
        <v>0</v>
      </c>
      <c r="BK897" t="str">
        <f>IFERROR(VLOOKUP(B897,'[1]model_S-フレーム'!$F$5:$R$7000,13,1),"")</f>
        <v>E389458_01</v>
      </c>
      <c r="BL897" s="7">
        <f>IFERROR(VLOOKUP(B897,'[1]model_S-フレーム'!$F$5:$V$7000,17,1),"")</f>
        <v>0</v>
      </c>
      <c r="BM897" t="str" cm="1">
        <f t="array" ref="BM897">_xlfn.IFS(LEFT(G897,1)="L","外注品",LEFT(G897,1)="W","内製品",G897="","購買品")</f>
        <v>内製品</v>
      </c>
    </row>
    <row r="898" spans="1:65">
      <c r="A898" t="str">
        <f t="shared" si="133"/>
        <v>WG01</v>
      </c>
      <c r="B898" t="s">
        <v>1054</v>
      </c>
      <c r="C898" t="s">
        <v>1518</v>
      </c>
      <c r="D898" s="7"/>
      <c r="E898" s="7"/>
      <c r="G898" t="s">
        <v>1939</v>
      </c>
      <c r="H898" t="str" cm="1">
        <f t="array" ref="H898">IFERROR(_xlfn.IFS(B898="","",AND(B898="",G898=""),"",G898="","記載要"),"")</f>
        <v/>
      </c>
      <c r="K898" t="str">
        <f t="shared" si="134"/>
        <v>11WP01008464</v>
      </c>
      <c r="L898" s="3" t="str">
        <f t="shared" si="135"/>
        <v>2001/01/01</v>
      </c>
      <c r="M898" s="3" t="str">
        <f t="shared" si="136"/>
        <v>2199/12/31</v>
      </c>
      <c r="N898" t="str">
        <f t="shared" si="137"/>
        <v>11WP01008464</v>
      </c>
      <c r="O898">
        <v>15</v>
      </c>
      <c r="Q898" t="str" cm="1">
        <f t="array" ref="Q898">_xlfn.IFS(AND(C898="",G898=""),"",LEFT(G898,1)="L","記載要",LEFT(G898,1)="W","",AND(C898,G898=""),"記載要")</f>
        <v/>
      </c>
      <c r="R898" s="21" t="str">
        <f t="shared" si="142"/>
        <v/>
      </c>
      <c r="S898" s="21"/>
      <c r="Z898" s="8"/>
      <c r="AA898">
        <v>1</v>
      </c>
      <c r="AB898">
        <f t="shared" si="138"/>
        <v>0</v>
      </c>
      <c r="AC898">
        <v>1</v>
      </c>
      <c r="AF898">
        <v>1</v>
      </c>
      <c r="AG898" s="8"/>
      <c r="AH898" s="8"/>
      <c r="AK898" cm="1">
        <f t="array" ref="AK898">_xlfn.IFS(B898="","",LEFT(G898,1)="L",1,LEFT(G898,1)="W",1,AND(LEFT(B898,1)="H",G898=""),0)</f>
        <v>1</v>
      </c>
      <c r="AS898" t="str">
        <f t="shared" si="139"/>
        <v/>
      </c>
      <c r="AT898" t="s">
        <v>115</v>
      </c>
      <c r="AU898" t="str">
        <f t="shared" si="140"/>
        <v>0</v>
      </c>
      <c r="BD898" t="str">
        <f t="shared" si="141"/>
        <v>0</v>
      </c>
      <c r="BK898" t="str">
        <f>IFERROR(VLOOKUP(B898,'[1]model_S-フレーム'!$F$5:$R$7000,13,1),"")</f>
        <v>E389458_01</v>
      </c>
      <c r="BL898" s="7">
        <f>IFERROR(VLOOKUP(B898,'[1]model_S-フレーム'!$F$5:$V$7000,17,1),"")</f>
        <v>0</v>
      </c>
      <c r="BM898" t="str" cm="1">
        <f t="array" ref="BM898">_xlfn.IFS(LEFT(G898,1)="L","外注品",LEFT(G898,1)="W","内製品",G898="","購買品")</f>
        <v>内製品</v>
      </c>
    </row>
    <row r="899" spans="1:65">
      <c r="A899" t="str">
        <f t="shared" ref="A899:A962" si="143">IF(B899="","","WG01")</f>
        <v>WG01</v>
      </c>
      <c r="B899" t="s">
        <v>1055</v>
      </c>
      <c r="C899" t="s">
        <v>1518</v>
      </c>
      <c r="D899" s="7"/>
      <c r="E899" s="7"/>
      <c r="G899" t="s">
        <v>1939</v>
      </c>
      <c r="H899" t="str" cm="1">
        <f t="array" ref="H899">IFERROR(_xlfn.IFS(B899="","",AND(B899="",G899=""),"",G899="","記載要"),"")</f>
        <v/>
      </c>
      <c r="K899" t="str">
        <f t="shared" ref="K899:K962" si="144">IF(G899="","","11"&amp;G899&amp;RIGHT(B899,5))</f>
        <v>11WP01008465</v>
      </c>
      <c r="L899" s="3" t="str">
        <f t="shared" ref="L899:L962" si="145">IF(B899="","","2001/01/01")</f>
        <v>2001/01/01</v>
      </c>
      <c r="M899" s="3" t="str">
        <f t="shared" ref="M899:M962" si="146">IF(C899="","","2199/12/31")</f>
        <v>2199/12/31</v>
      </c>
      <c r="N899" t="str">
        <f t="shared" ref="N899:N962" si="147">IF(LEFT(G899,1)="W",K899,"")</f>
        <v>11WP01008465</v>
      </c>
      <c r="O899">
        <v>15</v>
      </c>
      <c r="Q899" t="str" cm="1">
        <f t="array" ref="Q899">_xlfn.IFS(AND(C899="",G899=""),"",LEFT(G899,1)="L","記載要",LEFT(G899,1)="W","",AND(C899,G899=""),"記載要")</f>
        <v/>
      </c>
      <c r="R899" s="21" t="str">
        <f t="shared" si="142"/>
        <v/>
      </c>
      <c r="S899" s="21"/>
      <c r="Z899" s="8"/>
      <c r="AA899">
        <v>1</v>
      </c>
      <c r="AB899">
        <f t="shared" ref="AB899:AB962" si="148">IF(B899="","",0)</f>
        <v>0</v>
      </c>
      <c r="AC899">
        <v>1</v>
      </c>
      <c r="AF899">
        <v>1</v>
      </c>
      <c r="AG899" s="8"/>
      <c r="AH899" s="8"/>
      <c r="AK899" cm="1">
        <f t="array" ref="AK899">_xlfn.IFS(B899="","",LEFT(G899,1)="L",1,LEFT(G899,1)="W",1,AND(LEFT(B899,1)="H",G899=""),0)</f>
        <v>1</v>
      </c>
      <c r="AS899" t="str">
        <f t="shared" ref="AS899:AS962" si="149">IF(Q899="","",1)</f>
        <v/>
      </c>
      <c r="AT899" t="s">
        <v>115</v>
      </c>
      <c r="AU899" t="str">
        <f t="shared" ref="AU899:AU962" si="150">IF(B899="","","0")</f>
        <v>0</v>
      </c>
      <c r="BD899" t="str">
        <f t="shared" ref="BD899:BD962" si="151">IF(B899="","","0")</f>
        <v>0</v>
      </c>
      <c r="BK899" t="str">
        <f>IFERROR(VLOOKUP(B899,'[1]model_S-フレーム'!$F$5:$R$7000,13,1),"")</f>
        <v>E389458_01</v>
      </c>
      <c r="BL899" s="7">
        <f>IFERROR(VLOOKUP(B899,'[1]model_S-フレーム'!$F$5:$V$7000,17,1),"")</f>
        <v>0</v>
      </c>
      <c r="BM899" t="str" cm="1">
        <f t="array" ref="BM899">_xlfn.IFS(LEFT(G899,1)="L","外注品",LEFT(G899,1)="W","内製品",G899="","購買品")</f>
        <v>内製品</v>
      </c>
    </row>
    <row r="900" spans="1:65">
      <c r="A900" t="str">
        <f t="shared" si="143"/>
        <v>WG01</v>
      </c>
      <c r="B900" t="s">
        <v>1056</v>
      </c>
      <c r="C900" t="s">
        <v>1518</v>
      </c>
      <c r="D900" s="7"/>
      <c r="E900" s="7"/>
      <c r="G900" t="s">
        <v>1939</v>
      </c>
      <c r="H900" t="str" cm="1">
        <f t="array" ref="H900">IFERROR(_xlfn.IFS(B900="","",AND(B900="",G900=""),"",G900="","記載要"),"")</f>
        <v/>
      </c>
      <c r="K900" t="str">
        <f t="shared" si="144"/>
        <v>11WP01008466</v>
      </c>
      <c r="L900" s="3" t="str">
        <f t="shared" si="145"/>
        <v>2001/01/01</v>
      </c>
      <c r="M900" s="3" t="str">
        <f t="shared" si="146"/>
        <v>2199/12/31</v>
      </c>
      <c r="N900" t="str">
        <f t="shared" si="147"/>
        <v>11WP01008466</v>
      </c>
      <c r="O900">
        <v>15</v>
      </c>
      <c r="Q900" t="str" cm="1">
        <f t="array" ref="Q900">_xlfn.IFS(AND(C900="",G900=""),"",LEFT(G900,1)="L","記載要",LEFT(G900,1)="W","",AND(C900,G900=""),"記載要")</f>
        <v/>
      </c>
      <c r="R900" s="21" t="str">
        <f t="shared" ref="R900:R963" si="152">IF(H900="","","記載要")</f>
        <v/>
      </c>
      <c r="S900" s="21"/>
      <c r="Z900" s="8"/>
      <c r="AA900">
        <v>1</v>
      </c>
      <c r="AB900">
        <f t="shared" si="148"/>
        <v>0</v>
      </c>
      <c r="AC900">
        <v>1</v>
      </c>
      <c r="AF900">
        <v>1</v>
      </c>
      <c r="AG900" s="8"/>
      <c r="AH900" s="8"/>
      <c r="AK900" cm="1">
        <f t="array" ref="AK900">_xlfn.IFS(B900="","",LEFT(G900,1)="L",1,LEFT(G900,1)="W",1,AND(LEFT(B900,1)="H",G900=""),0)</f>
        <v>1</v>
      </c>
      <c r="AS900" t="str">
        <f t="shared" si="149"/>
        <v/>
      </c>
      <c r="AT900" t="s">
        <v>115</v>
      </c>
      <c r="AU900" t="str">
        <f t="shared" si="150"/>
        <v>0</v>
      </c>
      <c r="BD900" t="str">
        <f t="shared" si="151"/>
        <v>0</v>
      </c>
      <c r="BK900" t="str">
        <f>IFERROR(VLOOKUP(B900,'[1]model_S-フレーム'!$F$5:$R$7000,13,1),"")</f>
        <v>E389458_01</v>
      </c>
      <c r="BL900" s="7">
        <f>IFERROR(VLOOKUP(B900,'[1]model_S-フレーム'!$F$5:$V$7000,17,1),"")</f>
        <v>0</v>
      </c>
      <c r="BM900" t="str" cm="1">
        <f t="array" ref="BM900">_xlfn.IFS(LEFT(G900,1)="L","外注品",LEFT(G900,1)="W","内製品",G900="","購買品")</f>
        <v>内製品</v>
      </c>
    </row>
    <row r="901" spans="1:65">
      <c r="A901" t="str">
        <f t="shared" si="143"/>
        <v>WG01</v>
      </c>
      <c r="B901" t="s">
        <v>1057</v>
      </c>
      <c r="C901" t="s">
        <v>1518</v>
      </c>
      <c r="D901" s="7"/>
      <c r="E901" s="7"/>
      <c r="G901" t="s">
        <v>1939</v>
      </c>
      <c r="H901" t="str" cm="1">
        <f t="array" ref="H901">IFERROR(_xlfn.IFS(B901="","",AND(B901="",G901=""),"",G901="","記載要"),"")</f>
        <v/>
      </c>
      <c r="K901" t="str">
        <f t="shared" si="144"/>
        <v>11WP01008467</v>
      </c>
      <c r="L901" s="3" t="str">
        <f t="shared" si="145"/>
        <v>2001/01/01</v>
      </c>
      <c r="M901" s="3" t="str">
        <f t="shared" si="146"/>
        <v>2199/12/31</v>
      </c>
      <c r="N901" t="str">
        <f t="shared" si="147"/>
        <v>11WP01008467</v>
      </c>
      <c r="O901">
        <v>15</v>
      </c>
      <c r="Q901" t="str" cm="1">
        <f t="array" ref="Q901">_xlfn.IFS(AND(C901="",G901=""),"",LEFT(G901,1)="L","記載要",LEFT(G901,1)="W","",AND(C901,G901=""),"記載要")</f>
        <v/>
      </c>
      <c r="R901" s="21" t="str">
        <f t="shared" si="152"/>
        <v/>
      </c>
      <c r="S901" s="21"/>
      <c r="Z901" s="8"/>
      <c r="AA901">
        <v>1</v>
      </c>
      <c r="AB901">
        <f t="shared" si="148"/>
        <v>0</v>
      </c>
      <c r="AC901">
        <v>1</v>
      </c>
      <c r="AF901">
        <v>1</v>
      </c>
      <c r="AG901" s="8"/>
      <c r="AH901" s="8"/>
      <c r="AK901" cm="1">
        <f t="array" ref="AK901">_xlfn.IFS(B901="","",LEFT(G901,1)="L",1,LEFT(G901,1)="W",1,AND(LEFT(B901,1)="H",G901=""),0)</f>
        <v>1</v>
      </c>
      <c r="AS901" t="str">
        <f t="shared" si="149"/>
        <v/>
      </c>
      <c r="AT901" t="s">
        <v>115</v>
      </c>
      <c r="AU901" t="str">
        <f t="shared" si="150"/>
        <v>0</v>
      </c>
      <c r="BD901" t="str">
        <f t="shared" si="151"/>
        <v>0</v>
      </c>
      <c r="BK901" t="str">
        <f>IFERROR(VLOOKUP(B901,'[1]model_S-フレーム'!$F$5:$R$7000,13,1),"")</f>
        <v>E389458_01</v>
      </c>
      <c r="BL901" s="7">
        <f>IFERROR(VLOOKUP(B901,'[1]model_S-フレーム'!$F$5:$V$7000,17,1),"")</f>
        <v>0</v>
      </c>
      <c r="BM901" t="str" cm="1">
        <f t="array" ref="BM901">_xlfn.IFS(LEFT(G901,1)="L","外注品",LEFT(G901,1)="W","内製品",G901="","購買品")</f>
        <v>内製品</v>
      </c>
    </row>
    <row r="902" spans="1:65" s="11" customFormat="1">
      <c r="A902" t="str">
        <f t="shared" si="143"/>
        <v>WG01</v>
      </c>
      <c r="B902" t="s">
        <v>1058</v>
      </c>
      <c r="C902" t="s">
        <v>1519</v>
      </c>
      <c r="D902" s="7"/>
      <c r="E902" s="7"/>
      <c r="F902"/>
      <c r="G902"/>
      <c r="H902">
        <v>27616</v>
      </c>
      <c r="I902"/>
      <c r="J902"/>
      <c r="K902" t="str">
        <f t="shared" si="144"/>
        <v/>
      </c>
      <c r="L902" s="3" t="str">
        <f t="shared" si="145"/>
        <v>2001/01/01</v>
      </c>
      <c r="M902" s="3" t="str">
        <f t="shared" si="146"/>
        <v>2199/12/31</v>
      </c>
      <c r="N902" t="str">
        <f t="shared" si="147"/>
        <v/>
      </c>
      <c r="O902" t="str">
        <f>IF(G902="","","記載要")</f>
        <v/>
      </c>
      <c r="P902"/>
      <c r="Q902">
        <v>15</v>
      </c>
      <c r="R902" s="21">
        <v>100000000</v>
      </c>
      <c r="S902" s="21" t="str" cm="1">
        <f t="array" ref="S902">_xlfn.IFS(LEFT(G902,1)="L","記載要",LEFT(G902,1)="W","記載要",G902="","")</f>
        <v/>
      </c>
      <c r="T902"/>
      <c r="U902"/>
      <c r="V902"/>
      <c r="W902"/>
      <c r="X902"/>
      <c r="Y902"/>
      <c r="Z902" s="8"/>
      <c r="AA902" s="8">
        <v>1</v>
      </c>
      <c r="AB902">
        <f t="shared" si="148"/>
        <v>0</v>
      </c>
      <c r="AC902" s="8">
        <v>1</v>
      </c>
      <c r="AD902"/>
      <c r="AE902"/>
      <c r="AF902">
        <v>1</v>
      </c>
      <c r="AG902" s="8"/>
      <c r="AH902" s="8"/>
      <c r="AI902"/>
      <c r="AJ902"/>
      <c r="AK902" cm="1">
        <f t="array" ref="AK902">_xlfn.IFS(B902="","",LEFT(G902,1)="L",1,LEFT(G902,1)="W",1,AND(LEFT(B902,1)="H",G902=""),0)</f>
        <v>0</v>
      </c>
      <c r="AL902"/>
      <c r="AM902"/>
      <c r="AN902"/>
      <c r="AO902"/>
      <c r="AP902"/>
      <c r="AQ902"/>
      <c r="AR902"/>
      <c r="AS902">
        <f t="shared" si="149"/>
        <v>1</v>
      </c>
      <c r="AT902" t="s">
        <v>115</v>
      </c>
      <c r="AU902" t="str">
        <f t="shared" si="150"/>
        <v>0</v>
      </c>
      <c r="AV902"/>
      <c r="AW902"/>
      <c r="AX902"/>
      <c r="AY902"/>
      <c r="AZ902"/>
      <c r="BA902"/>
      <c r="BB902"/>
      <c r="BC902"/>
      <c r="BD902" t="str">
        <f t="shared" si="151"/>
        <v>0</v>
      </c>
      <c r="BE902"/>
      <c r="BF902"/>
      <c r="BG902"/>
      <c r="BH902"/>
      <c r="BI902"/>
      <c r="BJ902"/>
      <c r="BK902" s="11" t="str">
        <f>IFERROR(VLOOKUP(B902,'[1]model_S-フレーム'!$F$5:$R$7000,13,1),"")</f>
        <v>E389458_01</v>
      </c>
      <c r="BL902" s="12">
        <f>IFERROR(VLOOKUP(B902,'[1]model_S-フレーム'!$F$5:$V$7000,17,1),"")</f>
        <v>0</v>
      </c>
      <c r="BM902" s="11" t="str" cm="1">
        <f t="array" ref="BM902">_xlfn.IFS(LEFT(G902,1)="L","外注品",LEFT(G902,1)="W","内製品",G902="","購買品")</f>
        <v>購買品</v>
      </c>
    </row>
    <row r="903" spans="1:65" s="13" customFormat="1">
      <c r="A903" t="str">
        <f t="shared" si="143"/>
        <v>WG01</v>
      </c>
      <c r="B903" t="s">
        <v>1058</v>
      </c>
      <c r="C903" t="s">
        <v>1519</v>
      </c>
      <c r="D903" s="7"/>
      <c r="E903" s="7"/>
      <c r="F903"/>
      <c r="G903"/>
      <c r="H903">
        <v>43453</v>
      </c>
      <c r="I903"/>
      <c r="J903"/>
      <c r="K903" t="str">
        <f t="shared" si="144"/>
        <v/>
      </c>
      <c r="L903" s="3" t="str">
        <f t="shared" si="145"/>
        <v>2001/01/01</v>
      </c>
      <c r="M903" s="3" t="str">
        <f t="shared" si="146"/>
        <v>2199/12/31</v>
      </c>
      <c r="N903" t="str">
        <f t="shared" si="147"/>
        <v/>
      </c>
      <c r="O903" t="str">
        <f>IF(G903="","","記載要")</f>
        <v/>
      </c>
      <c r="P903"/>
      <c r="Q903">
        <v>15</v>
      </c>
      <c r="R903" s="21">
        <v>100000000</v>
      </c>
      <c r="S903" s="21" t="str" cm="1">
        <f t="array" ref="S903">_xlfn.IFS(LEFT(G903,1)="L","記載要",LEFT(G903,1)="W","記載要",G903="","")</f>
        <v/>
      </c>
      <c r="T903"/>
      <c r="U903"/>
      <c r="V903"/>
      <c r="W903"/>
      <c r="X903"/>
      <c r="Y903"/>
      <c r="Z903" s="8"/>
      <c r="AA903" s="8">
        <v>1</v>
      </c>
      <c r="AB903">
        <f t="shared" si="148"/>
        <v>0</v>
      </c>
      <c r="AC903" s="8">
        <v>1</v>
      </c>
      <c r="AD903"/>
      <c r="AE903"/>
      <c r="AF903">
        <v>0</v>
      </c>
      <c r="AG903" s="8"/>
      <c r="AH903" s="8"/>
      <c r="AI903"/>
      <c r="AJ903"/>
      <c r="AK903" cm="1">
        <f t="array" ref="AK903">_xlfn.IFS(B903="","",LEFT(G903,1)="L",1,LEFT(G903,1)="W",1,AND(LEFT(B903,1)="H",G903=""),0)</f>
        <v>0</v>
      </c>
      <c r="AL903"/>
      <c r="AM903"/>
      <c r="AN903"/>
      <c r="AO903"/>
      <c r="AP903"/>
      <c r="AQ903"/>
      <c r="AR903"/>
      <c r="AS903">
        <f t="shared" si="149"/>
        <v>1</v>
      </c>
      <c r="AT903" t="s">
        <v>115</v>
      </c>
      <c r="AU903" t="str">
        <f t="shared" si="150"/>
        <v>0</v>
      </c>
      <c r="AV903"/>
      <c r="AW903"/>
      <c r="AX903"/>
      <c r="AY903"/>
      <c r="AZ903"/>
      <c r="BA903"/>
      <c r="BB903"/>
      <c r="BC903"/>
      <c r="BD903" t="str">
        <f t="shared" si="151"/>
        <v>0</v>
      </c>
      <c r="BE903"/>
      <c r="BF903"/>
      <c r="BG903"/>
      <c r="BH903"/>
      <c r="BI903"/>
      <c r="BJ903"/>
      <c r="BK903" s="13" t="str">
        <f>IFERROR(VLOOKUP(B903,'[1]model_S-フレーム'!$F$5:$R$7000,13,1),"")</f>
        <v>E389458_01</v>
      </c>
      <c r="BL903" s="14">
        <f>IFERROR(VLOOKUP(B903,'[1]model_S-フレーム'!$F$5:$V$7000,17,1),"")</f>
        <v>0</v>
      </c>
      <c r="BM903" s="13" t="str" cm="1">
        <f t="array" ref="BM903">_xlfn.IFS(LEFT(G903,1)="L","外注品",LEFT(G903,1)="W","内製品",G903="","購買品")</f>
        <v>購買品</v>
      </c>
    </row>
    <row r="904" spans="1:65" s="13" customFormat="1">
      <c r="A904" t="str">
        <f t="shared" si="143"/>
        <v>WG01</v>
      </c>
      <c r="B904" t="s">
        <v>1058</v>
      </c>
      <c r="C904" t="s">
        <v>1519</v>
      </c>
      <c r="D904" s="7"/>
      <c r="E904" s="7"/>
      <c r="F904"/>
      <c r="G904"/>
      <c r="H904">
        <v>47081</v>
      </c>
      <c r="I904"/>
      <c r="J904"/>
      <c r="K904" t="str">
        <f t="shared" si="144"/>
        <v/>
      </c>
      <c r="L904" s="3" t="str">
        <f t="shared" si="145"/>
        <v>2001/01/01</v>
      </c>
      <c r="M904" s="3" t="str">
        <f t="shared" si="146"/>
        <v>2199/12/31</v>
      </c>
      <c r="N904" t="str">
        <f t="shared" si="147"/>
        <v/>
      </c>
      <c r="O904" t="str">
        <f>IF(G904="","","記載要")</f>
        <v/>
      </c>
      <c r="P904"/>
      <c r="Q904">
        <v>15</v>
      </c>
      <c r="R904" s="21">
        <v>100000000</v>
      </c>
      <c r="S904" s="21" t="str" cm="1">
        <f t="array" ref="S904">_xlfn.IFS(LEFT(G904,1)="L","記載要",LEFT(G904,1)="W","記載要",G904="","")</f>
        <v/>
      </c>
      <c r="T904"/>
      <c r="U904"/>
      <c r="V904"/>
      <c r="W904"/>
      <c r="X904"/>
      <c r="Y904"/>
      <c r="Z904" s="8"/>
      <c r="AA904" s="8">
        <v>1</v>
      </c>
      <c r="AB904">
        <f t="shared" si="148"/>
        <v>0</v>
      </c>
      <c r="AC904" s="8">
        <v>1</v>
      </c>
      <c r="AD904"/>
      <c r="AE904"/>
      <c r="AF904">
        <v>1</v>
      </c>
      <c r="AG904" s="8"/>
      <c r="AH904" s="8"/>
      <c r="AI904"/>
      <c r="AJ904"/>
      <c r="AK904" cm="1">
        <f t="array" ref="AK904">_xlfn.IFS(B904="","",LEFT(G904,1)="L",1,LEFT(G904,1)="W",1,AND(LEFT(B904,1)="H",G904=""),0)</f>
        <v>0</v>
      </c>
      <c r="AL904"/>
      <c r="AM904"/>
      <c r="AN904"/>
      <c r="AO904"/>
      <c r="AP904"/>
      <c r="AQ904"/>
      <c r="AR904"/>
      <c r="AS904">
        <f t="shared" si="149"/>
        <v>1</v>
      </c>
      <c r="AT904" t="s">
        <v>115</v>
      </c>
      <c r="AU904" t="str">
        <f t="shared" si="150"/>
        <v>0</v>
      </c>
      <c r="AV904"/>
      <c r="AW904"/>
      <c r="AX904"/>
      <c r="AY904"/>
      <c r="AZ904"/>
      <c r="BA904"/>
      <c r="BB904"/>
      <c r="BC904"/>
      <c r="BD904" t="str">
        <f t="shared" si="151"/>
        <v>0</v>
      </c>
      <c r="BE904"/>
      <c r="BF904"/>
      <c r="BG904"/>
      <c r="BH904"/>
      <c r="BI904"/>
      <c r="BJ904"/>
      <c r="BK904" s="13" t="str">
        <f>IFERROR(VLOOKUP(B904,'[1]model_S-フレーム'!$F$5:$R$7000,13,1),"")</f>
        <v>E389458_01</v>
      </c>
      <c r="BL904" s="14">
        <f>IFERROR(VLOOKUP(B904,'[1]model_S-フレーム'!$F$5:$V$7000,17,1),"")</f>
        <v>0</v>
      </c>
      <c r="BM904" s="13" t="str" cm="1">
        <f t="array" ref="BM904">_xlfn.IFS(LEFT(G904,1)="L","外注品",LEFT(G904,1)="W","内製品",G904="","購買品")</f>
        <v>購買品</v>
      </c>
    </row>
    <row r="905" spans="1:65">
      <c r="A905" t="str">
        <f t="shared" si="143"/>
        <v>WG01</v>
      </c>
      <c r="B905" t="s">
        <v>1058</v>
      </c>
      <c r="C905" t="s">
        <v>1519</v>
      </c>
      <c r="D905" s="7"/>
      <c r="E905" s="7"/>
      <c r="H905" s="19" t="s">
        <v>1937</v>
      </c>
      <c r="K905" t="str">
        <f t="shared" si="144"/>
        <v/>
      </c>
      <c r="L905" s="3" t="str">
        <f t="shared" si="145"/>
        <v>2001/01/01</v>
      </c>
      <c r="M905" s="3" t="str">
        <f t="shared" si="146"/>
        <v>2199/12/31</v>
      </c>
      <c r="N905" t="str">
        <f t="shared" si="147"/>
        <v/>
      </c>
      <c r="O905" t="str">
        <f>IF(G905="","","記載要")</f>
        <v/>
      </c>
      <c r="Q905">
        <v>15</v>
      </c>
      <c r="R905" s="21">
        <v>100000000</v>
      </c>
      <c r="S905" s="21" t="str" cm="1">
        <f t="array" ref="S905">_xlfn.IFS(LEFT(G905,1)="L","記載要",LEFT(G905,1)="W","記載要",G905="","")</f>
        <v/>
      </c>
      <c r="Z905" s="8"/>
      <c r="AA905" s="8">
        <v>1</v>
      </c>
      <c r="AB905">
        <f t="shared" si="148"/>
        <v>0</v>
      </c>
      <c r="AC905" s="8">
        <v>1</v>
      </c>
      <c r="AF905">
        <v>1</v>
      </c>
      <c r="AG905" s="8"/>
      <c r="AH905" s="8"/>
      <c r="AK905" cm="1">
        <f t="array" ref="AK905">_xlfn.IFS(B905="","",LEFT(G905,1)="L",1,LEFT(G905,1)="W",1,AND(LEFT(B905,1)="H",G905=""),0)</f>
        <v>0</v>
      </c>
      <c r="AS905">
        <f t="shared" si="149"/>
        <v>1</v>
      </c>
      <c r="AT905" t="s">
        <v>115</v>
      </c>
      <c r="AU905" t="str">
        <f t="shared" si="150"/>
        <v>0</v>
      </c>
      <c r="BD905" t="str">
        <f t="shared" si="151"/>
        <v>0</v>
      </c>
      <c r="BK905" t="str">
        <f>IFERROR(VLOOKUP(B905,'[1]model_S-フレーム'!$F$5:$R$7000,13,1),"")</f>
        <v>E389458_01</v>
      </c>
      <c r="BL905" s="7">
        <f>IFERROR(VLOOKUP(B905,'[1]model_S-フレーム'!$F$5:$V$7000,17,1),"")</f>
        <v>0</v>
      </c>
      <c r="BM905" t="str" cm="1">
        <f t="array" ref="BM905">_xlfn.IFS(LEFT(G905,1)="L","外注品",LEFT(G905,1)="W","内製品",G905="","購買品")</f>
        <v>購買品</v>
      </c>
    </row>
    <row r="906" spans="1:65">
      <c r="A906" t="str">
        <f t="shared" si="143"/>
        <v>WG01</v>
      </c>
      <c r="B906" t="s">
        <v>1059</v>
      </c>
      <c r="C906" t="s">
        <v>1520</v>
      </c>
      <c r="D906" s="7"/>
      <c r="E906" s="7"/>
      <c r="G906" t="s">
        <v>1939</v>
      </c>
      <c r="H906" t="str" cm="1">
        <f t="array" ref="H906">IFERROR(_xlfn.IFS(B906="","",AND(B906="",G906=""),"",G906="","記載要"),"")</f>
        <v/>
      </c>
      <c r="K906" t="str">
        <f t="shared" si="144"/>
        <v>11WP01008469</v>
      </c>
      <c r="L906" s="3" t="str">
        <f t="shared" si="145"/>
        <v>2001/01/01</v>
      </c>
      <c r="M906" s="3" t="str">
        <f t="shared" si="146"/>
        <v>2199/12/31</v>
      </c>
      <c r="N906" t="str">
        <f t="shared" si="147"/>
        <v>11WP01008469</v>
      </c>
      <c r="O906">
        <v>15</v>
      </c>
      <c r="Q906" t="str" cm="1">
        <f t="array" ref="Q906">_xlfn.IFS(AND(C906="",G906=""),"",LEFT(G906,1)="L","記載要",LEFT(G906,1)="W","",AND(C906,G906=""),"記載要")</f>
        <v/>
      </c>
      <c r="R906" s="21" t="str">
        <f t="shared" si="152"/>
        <v/>
      </c>
      <c r="S906" s="21"/>
      <c r="Z906" s="8"/>
      <c r="AA906">
        <v>1</v>
      </c>
      <c r="AB906">
        <f t="shared" si="148"/>
        <v>0</v>
      </c>
      <c r="AC906">
        <v>1</v>
      </c>
      <c r="AF906">
        <v>1</v>
      </c>
      <c r="AG906" s="8"/>
      <c r="AH906" s="8"/>
      <c r="AK906" cm="1">
        <f t="array" ref="AK906">_xlfn.IFS(B906="","",LEFT(G906,1)="L",1,LEFT(G906,1)="W",1,AND(LEFT(B906,1)="H",G906=""),0)</f>
        <v>1</v>
      </c>
      <c r="AS906" t="str">
        <f t="shared" si="149"/>
        <v/>
      </c>
      <c r="AT906" t="s">
        <v>115</v>
      </c>
      <c r="AU906" t="str">
        <f t="shared" si="150"/>
        <v>0</v>
      </c>
      <c r="BD906" t="str">
        <f t="shared" si="151"/>
        <v>0</v>
      </c>
      <c r="BK906" t="str">
        <f>IFERROR(VLOOKUP(B906,'[1]model_S-フレーム'!$F$5:$R$7000,13,1),"")</f>
        <v>E389460_01</v>
      </c>
      <c r="BL906" s="7">
        <f>IFERROR(VLOOKUP(B906,'[1]model_S-フレーム'!$F$5:$V$7000,17,1),"")</f>
        <v>0</v>
      </c>
      <c r="BM906" t="str" cm="1">
        <f t="array" ref="BM906">_xlfn.IFS(LEFT(G906,1)="L","外注品",LEFT(G906,1)="W","内製品",G906="","購買品")</f>
        <v>内製品</v>
      </c>
    </row>
    <row r="907" spans="1:65">
      <c r="A907" t="str">
        <f t="shared" si="143"/>
        <v>WG01</v>
      </c>
      <c r="B907" t="s">
        <v>1060</v>
      </c>
      <c r="C907" t="s">
        <v>1520</v>
      </c>
      <c r="D907" s="7"/>
      <c r="E907" s="7"/>
      <c r="G907" t="s">
        <v>1939</v>
      </c>
      <c r="H907" t="str" cm="1">
        <f t="array" ref="H907">IFERROR(_xlfn.IFS(B907="","",AND(B907="",G907=""),"",G907="","記載要"),"")</f>
        <v/>
      </c>
      <c r="K907" t="str">
        <f t="shared" si="144"/>
        <v>11WP01008470</v>
      </c>
      <c r="L907" s="3" t="str">
        <f t="shared" si="145"/>
        <v>2001/01/01</v>
      </c>
      <c r="M907" s="3" t="str">
        <f t="shared" si="146"/>
        <v>2199/12/31</v>
      </c>
      <c r="N907" t="str">
        <f t="shared" si="147"/>
        <v>11WP01008470</v>
      </c>
      <c r="O907">
        <v>15</v>
      </c>
      <c r="Q907" t="str" cm="1">
        <f t="array" ref="Q907">_xlfn.IFS(AND(C907="",G907=""),"",LEFT(G907,1)="L","記載要",LEFT(G907,1)="W","",AND(C907,G907=""),"記載要")</f>
        <v/>
      </c>
      <c r="R907" s="21" t="str">
        <f t="shared" si="152"/>
        <v/>
      </c>
      <c r="S907" s="21"/>
      <c r="Z907" s="8"/>
      <c r="AA907">
        <v>1</v>
      </c>
      <c r="AB907">
        <f t="shared" si="148"/>
        <v>0</v>
      </c>
      <c r="AC907">
        <v>1</v>
      </c>
      <c r="AF907">
        <v>1</v>
      </c>
      <c r="AG907" s="8"/>
      <c r="AH907" s="8"/>
      <c r="AK907" cm="1">
        <f t="array" ref="AK907">_xlfn.IFS(B907="","",LEFT(G907,1)="L",1,LEFT(G907,1)="W",1,AND(LEFT(B907,1)="H",G907=""),0)</f>
        <v>1</v>
      </c>
      <c r="AS907" t="str">
        <f t="shared" si="149"/>
        <v/>
      </c>
      <c r="AT907" t="s">
        <v>115</v>
      </c>
      <c r="AU907" t="str">
        <f t="shared" si="150"/>
        <v>0</v>
      </c>
      <c r="BD907" t="str">
        <f t="shared" si="151"/>
        <v>0</v>
      </c>
      <c r="BK907" t="str">
        <f>IFERROR(VLOOKUP(B907,'[1]model_S-フレーム'!$F$5:$R$7000,13,1),"")</f>
        <v>E389460_01</v>
      </c>
      <c r="BL907" s="7">
        <f>IFERROR(VLOOKUP(B907,'[1]model_S-フレーム'!$F$5:$V$7000,17,1),"")</f>
        <v>0</v>
      </c>
      <c r="BM907" t="str" cm="1">
        <f t="array" ref="BM907">_xlfn.IFS(LEFT(G907,1)="L","外注品",LEFT(G907,1)="W","内製品",G907="","購買品")</f>
        <v>内製品</v>
      </c>
    </row>
    <row r="908" spans="1:65">
      <c r="A908" t="str">
        <f t="shared" si="143"/>
        <v>WG01</v>
      </c>
      <c r="B908" t="s">
        <v>1061</v>
      </c>
      <c r="C908" t="s">
        <v>1520</v>
      </c>
      <c r="D908" s="7"/>
      <c r="E908" s="7"/>
      <c r="G908" t="s">
        <v>1939</v>
      </c>
      <c r="H908" t="str" cm="1">
        <f t="array" ref="H908">IFERROR(_xlfn.IFS(B908="","",AND(B908="",G908=""),"",G908="","記載要"),"")</f>
        <v/>
      </c>
      <c r="K908" t="str">
        <f t="shared" si="144"/>
        <v>11WP01008471</v>
      </c>
      <c r="L908" s="3" t="str">
        <f t="shared" si="145"/>
        <v>2001/01/01</v>
      </c>
      <c r="M908" s="3" t="str">
        <f t="shared" si="146"/>
        <v>2199/12/31</v>
      </c>
      <c r="N908" t="str">
        <f t="shared" si="147"/>
        <v>11WP01008471</v>
      </c>
      <c r="O908">
        <v>15</v>
      </c>
      <c r="Q908" t="str" cm="1">
        <f t="array" ref="Q908">_xlfn.IFS(AND(C908="",G908=""),"",LEFT(G908,1)="L","記載要",LEFT(G908,1)="W","",AND(C908,G908=""),"記載要")</f>
        <v/>
      </c>
      <c r="R908" s="21" t="str">
        <f t="shared" si="152"/>
        <v/>
      </c>
      <c r="S908" s="21"/>
      <c r="Z908" s="8"/>
      <c r="AA908">
        <v>1</v>
      </c>
      <c r="AB908">
        <f t="shared" si="148"/>
        <v>0</v>
      </c>
      <c r="AC908">
        <v>1</v>
      </c>
      <c r="AF908">
        <v>1</v>
      </c>
      <c r="AG908" s="8"/>
      <c r="AH908" s="8"/>
      <c r="AK908" cm="1">
        <f t="array" ref="AK908">_xlfn.IFS(B908="","",LEFT(G908,1)="L",1,LEFT(G908,1)="W",1,AND(LEFT(B908,1)="H",G908=""),0)</f>
        <v>1</v>
      </c>
      <c r="AS908" t="str">
        <f t="shared" si="149"/>
        <v/>
      </c>
      <c r="AT908" t="s">
        <v>115</v>
      </c>
      <c r="AU908" t="str">
        <f t="shared" si="150"/>
        <v>0</v>
      </c>
      <c r="BD908" t="str">
        <f t="shared" si="151"/>
        <v>0</v>
      </c>
      <c r="BK908" t="str">
        <f>IFERROR(VLOOKUP(B908,'[1]model_S-フレーム'!$F$5:$R$7000,13,1),"")</f>
        <v>E389460_01</v>
      </c>
      <c r="BL908" s="7">
        <f>IFERROR(VLOOKUP(B908,'[1]model_S-フレーム'!$F$5:$V$7000,17,1),"")</f>
        <v>0</v>
      </c>
      <c r="BM908" t="str" cm="1">
        <f t="array" ref="BM908">_xlfn.IFS(LEFT(G908,1)="L","外注品",LEFT(G908,1)="W","内製品",G908="","購買品")</f>
        <v>内製品</v>
      </c>
    </row>
    <row r="909" spans="1:65">
      <c r="A909" t="str">
        <f t="shared" si="143"/>
        <v>WG01</v>
      </c>
      <c r="B909" t="s">
        <v>1062</v>
      </c>
      <c r="C909" t="s">
        <v>1520</v>
      </c>
      <c r="D909" s="7"/>
      <c r="E909" s="7"/>
      <c r="G909" t="s">
        <v>1939</v>
      </c>
      <c r="H909" t="str" cm="1">
        <f t="array" ref="H909">IFERROR(_xlfn.IFS(B909="","",AND(B909="",G909=""),"",G909="","記載要"),"")</f>
        <v/>
      </c>
      <c r="K909" t="str">
        <f t="shared" si="144"/>
        <v>11WP01008472</v>
      </c>
      <c r="L909" s="3" t="str">
        <f t="shared" si="145"/>
        <v>2001/01/01</v>
      </c>
      <c r="M909" s="3" t="str">
        <f t="shared" si="146"/>
        <v>2199/12/31</v>
      </c>
      <c r="N909" t="str">
        <f t="shared" si="147"/>
        <v>11WP01008472</v>
      </c>
      <c r="O909">
        <v>15</v>
      </c>
      <c r="Q909" t="str" cm="1">
        <f t="array" ref="Q909">_xlfn.IFS(AND(C909="",G909=""),"",LEFT(G909,1)="L","記載要",LEFT(G909,1)="W","",AND(C909,G909=""),"記載要")</f>
        <v/>
      </c>
      <c r="R909" s="21" t="str">
        <f t="shared" si="152"/>
        <v/>
      </c>
      <c r="S909" s="21"/>
      <c r="Z909" s="8"/>
      <c r="AA909">
        <v>1</v>
      </c>
      <c r="AB909">
        <f t="shared" si="148"/>
        <v>0</v>
      </c>
      <c r="AC909">
        <v>1</v>
      </c>
      <c r="AF909">
        <v>1</v>
      </c>
      <c r="AG909" s="8"/>
      <c r="AH909" s="8"/>
      <c r="AK909" cm="1">
        <f t="array" ref="AK909">_xlfn.IFS(B909="","",LEFT(G909,1)="L",1,LEFT(G909,1)="W",1,AND(LEFT(B909,1)="H",G909=""),0)</f>
        <v>1</v>
      </c>
      <c r="AS909" t="str">
        <f t="shared" si="149"/>
        <v/>
      </c>
      <c r="AT909" t="s">
        <v>115</v>
      </c>
      <c r="AU909" t="str">
        <f t="shared" si="150"/>
        <v>0</v>
      </c>
      <c r="BD909" t="str">
        <f t="shared" si="151"/>
        <v>0</v>
      </c>
      <c r="BK909" t="str">
        <f>IFERROR(VLOOKUP(B909,'[1]model_S-フレーム'!$F$5:$R$7000,13,1),"")</f>
        <v>E389460_01</v>
      </c>
      <c r="BL909" s="7">
        <f>IFERROR(VLOOKUP(B909,'[1]model_S-フレーム'!$F$5:$V$7000,17,1),"")</f>
        <v>0</v>
      </c>
      <c r="BM909" t="str" cm="1">
        <f t="array" ref="BM909">_xlfn.IFS(LEFT(G909,1)="L","外注品",LEFT(G909,1)="W","内製品",G909="","購買品")</f>
        <v>内製品</v>
      </c>
    </row>
    <row r="910" spans="1:65">
      <c r="A910" t="str">
        <f t="shared" si="143"/>
        <v>WG01</v>
      </c>
      <c r="B910" t="s">
        <v>1063</v>
      </c>
      <c r="C910" t="s">
        <v>1520</v>
      </c>
      <c r="D910" s="7"/>
      <c r="E910" s="7"/>
      <c r="G910" t="s">
        <v>1939</v>
      </c>
      <c r="H910" t="str" cm="1">
        <f t="array" ref="H910">IFERROR(_xlfn.IFS(B910="","",AND(B910="",G910=""),"",G910="","記載要"),"")</f>
        <v/>
      </c>
      <c r="K910" t="str">
        <f t="shared" si="144"/>
        <v>11WP01008473</v>
      </c>
      <c r="L910" s="3" t="str">
        <f t="shared" si="145"/>
        <v>2001/01/01</v>
      </c>
      <c r="M910" s="3" t="str">
        <f t="shared" si="146"/>
        <v>2199/12/31</v>
      </c>
      <c r="N910" t="str">
        <f t="shared" si="147"/>
        <v>11WP01008473</v>
      </c>
      <c r="O910">
        <v>15</v>
      </c>
      <c r="Q910" t="str" cm="1">
        <f t="array" ref="Q910">_xlfn.IFS(AND(C910="",G910=""),"",LEFT(G910,1)="L","記載要",LEFT(G910,1)="W","",AND(C910,G910=""),"記載要")</f>
        <v/>
      </c>
      <c r="R910" s="21" t="str">
        <f t="shared" si="152"/>
        <v/>
      </c>
      <c r="S910" s="21"/>
      <c r="Z910" s="8"/>
      <c r="AA910">
        <v>1</v>
      </c>
      <c r="AB910">
        <f t="shared" si="148"/>
        <v>0</v>
      </c>
      <c r="AC910">
        <v>1</v>
      </c>
      <c r="AF910">
        <v>1</v>
      </c>
      <c r="AG910" s="8"/>
      <c r="AH910" s="8"/>
      <c r="AK910" cm="1">
        <f t="array" ref="AK910">_xlfn.IFS(B910="","",LEFT(G910,1)="L",1,LEFT(G910,1)="W",1,AND(LEFT(B910,1)="H",G910=""),0)</f>
        <v>1</v>
      </c>
      <c r="AS910" t="str">
        <f t="shared" si="149"/>
        <v/>
      </c>
      <c r="AT910" t="s">
        <v>115</v>
      </c>
      <c r="AU910" t="str">
        <f t="shared" si="150"/>
        <v>0</v>
      </c>
      <c r="BD910" t="str">
        <f t="shared" si="151"/>
        <v>0</v>
      </c>
      <c r="BK910" t="str">
        <f>IFERROR(VLOOKUP(B910,'[1]model_S-フレーム'!$F$5:$R$7000,13,1),"")</f>
        <v>E389460_01</v>
      </c>
      <c r="BL910" s="7">
        <f>IFERROR(VLOOKUP(B910,'[1]model_S-フレーム'!$F$5:$V$7000,17,1),"")</f>
        <v>0</v>
      </c>
      <c r="BM910" t="str" cm="1">
        <f t="array" ref="BM910">_xlfn.IFS(LEFT(G910,1)="L","外注品",LEFT(G910,1)="W","内製品",G910="","購買品")</f>
        <v>内製品</v>
      </c>
    </row>
    <row r="911" spans="1:65">
      <c r="A911" t="str">
        <f t="shared" si="143"/>
        <v>WG01</v>
      </c>
      <c r="B911" t="s">
        <v>1064</v>
      </c>
      <c r="C911" t="s">
        <v>1520</v>
      </c>
      <c r="D911" s="7"/>
      <c r="E911" s="7"/>
      <c r="G911" t="s">
        <v>1939</v>
      </c>
      <c r="H911" t="str" cm="1">
        <f t="array" ref="H911">IFERROR(_xlfn.IFS(B911="","",AND(B911="",G911=""),"",G911="","記載要"),"")</f>
        <v/>
      </c>
      <c r="K911" t="str">
        <f t="shared" si="144"/>
        <v>11WP01008474</v>
      </c>
      <c r="L911" s="3" t="str">
        <f t="shared" si="145"/>
        <v>2001/01/01</v>
      </c>
      <c r="M911" s="3" t="str">
        <f t="shared" si="146"/>
        <v>2199/12/31</v>
      </c>
      <c r="N911" t="str">
        <f t="shared" si="147"/>
        <v>11WP01008474</v>
      </c>
      <c r="O911">
        <v>15</v>
      </c>
      <c r="Q911" t="str" cm="1">
        <f t="array" ref="Q911">_xlfn.IFS(AND(C911="",G911=""),"",LEFT(G911,1)="L","記載要",LEFT(G911,1)="W","",AND(C911,G911=""),"記載要")</f>
        <v/>
      </c>
      <c r="R911" s="21" t="str">
        <f t="shared" si="152"/>
        <v/>
      </c>
      <c r="S911" s="21"/>
      <c r="Z911" s="8"/>
      <c r="AA911">
        <v>1</v>
      </c>
      <c r="AB911">
        <f t="shared" si="148"/>
        <v>0</v>
      </c>
      <c r="AC911">
        <v>1</v>
      </c>
      <c r="AF911">
        <v>1</v>
      </c>
      <c r="AG911" s="8"/>
      <c r="AH911" s="8"/>
      <c r="AK911" cm="1">
        <f t="array" ref="AK911">_xlfn.IFS(B911="","",LEFT(G911,1)="L",1,LEFT(G911,1)="W",1,AND(LEFT(B911,1)="H",G911=""),0)</f>
        <v>1</v>
      </c>
      <c r="AS911" t="str">
        <f t="shared" si="149"/>
        <v/>
      </c>
      <c r="AT911" t="s">
        <v>115</v>
      </c>
      <c r="AU911" t="str">
        <f t="shared" si="150"/>
        <v>0</v>
      </c>
      <c r="BD911" t="str">
        <f t="shared" si="151"/>
        <v>0</v>
      </c>
      <c r="BK911" t="str">
        <f>IFERROR(VLOOKUP(B911,'[1]model_S-フレーム'!$F$5:$R$7000,13,1),"")</f>
        <v>E389460_01</v>
      </c>
      <c r="BL911" s="7">
        <f>IFERROR(VLOOKUP(B911,'[1]model_S-フレーム'!$F$5:$V$7000,17,1),"")</f>
        <v>0</v>
      </c>
      <c r="BM911" t="str" cm="1">
        <f t="array" ref="BM911">_xlfn.IFS(LEFT(G911,1)="L","外注品",LEFT(G911,1)="W","内製品",G911="","購買品")</f>
        <v>内製品</v>
      </c>
    </row>
    <row r="912" spans="1:65">
      <c r="A912" t="str">
        <f t="shared" si="143"/>
        <v>WG01</v>
      </c>
      <c r="B912" t="s">
        <v>1065</v>
      </c>
      <c r="C912" t="s">
        <v>1520</v>
      </c>
      <c r="D912" s="7"/>
      <c r="E912" s="7"/>
      <c r="G912" t="s">
        <v>1939</v>
      </c>
      <c r="H912" t="str" cm="1">
        <f t="array" ref="H912">IFERROR(_xlfn.IFS(B912="","",AND(B912="",G912=""),"",G912="","記載要"),"")</f>
        <v/>
      </c>
      <c r="K912" t="str">
        <f t="shared" si="144"/>
        <v>11WP01008475</v>
      </c>
      <c r="L912" s="3" t="str">
        <f t="shared" si="145"/>
        <v>2001/01/01</v>
      </c>
      <c r="M912" s="3" t="str">
        <f t="shared" si="146"/>
        <v>2199/12/31</v>
      </c>
      <c r="N912" t="str">
        <f t="shared" si="147"/>
        <v>11WP01008475</v>
      </c>
      <c r="O912">
        <v>15</v>
      </c>
      <c r="Q912" t="str" cm="1">
        <f t="array" ref="Q912">_xlfn.IFS(AND(C912="",G912=""),"",LEFT(G912,1)="L","記載要",LEFT(G912,1)="W","",AND(C912,G912=""),"記載要")</f>
        <v/>
      </c>
      <c r="R912" s="21" t="str">
        <f t="shared" si="152"/>
        <v/>
      </c>
      <c r="S912" s="21"/>
      <c r="Z912" s="8"/>
      <c r="AA912">
        <v>1</v>
      </c>
      <c r="AB912">
        <f t="shared" si="148"/>
        <v>0</v>
      </c>
      <c r="AC912">
        <v>1</v>
      </c>
      <c r="AF912">
        <v>1</v>
      </c>
      <c r="AG912" s="8"/>
      <c r="AH912" s="8"/>
      <c r="AK912" cm="1">
        <f t="array" ref="AK912">_xlfn.IFS(B912="","",LEFT(G912,1)="L",1,LEFT(G912,1)="W",1,AND(LEFT(B912,1)="H",G912=""),0)</f>
        <v>1</v>
      </c>
      <c r="AS912" t="str">
        <f t="shared" si="149"/>
        <v/>
      </c>
      <c r="AT912" t="s">
        <v>115</v>
      </c>
      <c r="AU912" t="str">
        <f t="shared" si="150"/>
        <v>0</v>
      </c>
      <c r="BD912" t="str">
        <f t="shared" si="151"/>
        <v>0</v>
      </c>
      <c r="BK912" t="str">
        <f>IFERROR(VLOOKUP(B912,'[1]model_S-フレーム'!$F$5:$R$7000,13,1),"")</f>
        <v>E389460_01</v>
      </c>
      <c r="BL912" s="7">
        <f>IFERROR(VLOOKUP(B912,'[1]model_S-フレーム'!$F$5:$V$7000,17,1),"")</f>
        <v>0</v>
      </c>
      <c r="BM912" t="str" cm="1">
        <f t="array" ref="BM912">_xlfn.IFS(LEFT(G912,1)="L","外注品",LEFT(G912,1)="W","内製品",G912="","購買品")</f>
        <v>内製品</v>
      </c>
    </row>
    <row r="913" spans="1:65">
      <c r="A913" t="str">
        <f t="shared" si="143"/>
        <v>WG01</v>
      </c>
      <c r="B913" t="s">
        <v>1066</v>
      </c>
      <c r="C913" t="s">
        <v>1520</v>
      </c>
      <c r="D913" s="7"/>
      <c r="E913" s="7"/>
      <c r="G913" t="s">
        <v>1939</v>
      </c>
      <c r="H913" t="str" cm="1">
        <f t="array" ref="H913">IFERROR(_xlfn.IFS(B913="","",AND(B913="",G913=""),"",G913="","記載要"),"")</f>
        <v/>
      </c>
      <c r="K913" t="str">
        <f t="shared" si="144"/>
        <v>11WP01008476</v>
      </c>
      <c r="L913" s="3" t="str">
        <f t="shared" si="145"/>
        <v>2001/01/01</v>
      </c>
      <c r="M913" s="3" t="str">
        <f t="shared" si="146"/>
        <v>2199/12/31</v>
      </c>
      <c r="N913" t="str">
        <f t="shared" si="147"/>
        <v>11WP01008476</v>
      </c>
      <c r="O913">
        <v>15</v>
      </c>
      <c r="Q913" t="str" cm="1">
        <f t="array" ref="Q913">_xlfn.IFS(AND(C913="",G913=""),"",LEFT(G913,1)="L","記載要",LEFT(G913,1)="W","",AND(C913,G913=""),"記載要")</f>
        <v/>
      </c>
      <c r="R913" s="21" t="str">
        <f t="shared" si="152"/>
        <v/>
      </c>
      <c r="S913" s="21"/>
      <c r="Z913" s="8"/>
      <c r="AA913">
        <v>1</v>
      </c>
      <c r="AB913">
        <f t="shared" si="148"/>
        <v>0</v>
      </c>
      <c r="AC913">
        <v>1</v>
      </c>
      <c r="AF913">
        <v>1</v>
      </c>
      <c r="AG913" s="8"/>
      <c r="AH913" s="8"/>
      <c r="AK913" cm="1">
        <f t="array" ref="AK913">_xlfn.IFS(B913="","",LEFT(G913,1)="L",1,LEFT(G913,1)="W",1,AND(LEFT(B913,1)="H",G913=""),0)</f>
        <v>1</v>
      </c>
      <c r="AS913" t="str">
        <f t="shared" si="149"/>
        <v/>
      </c>
      <c r="AT913" t="s">
        <v>115</v>
      </c>
      <c r="AU913" t="str">
        <f t="shared" si="150"/>
        <v>0</v>
      </c>
      <c r="BD913" t="str">
        <f t="shared" si="151"/>
        <v>0</v>
      </c>
      <c r="BK913" t="str">
        <f>IFERROR(VLOOKUP(B913,'[1]model_S-フレーム'!$F$5:$R$7000,13,1),"")</f>
        <v>E389460_01</v>
      </c>
      <c r="BL913" s="7">
        <f>IFERROR(VLOOKUP(B913,'[1]model_S-フレーム'!$F$5:$V$7000,17,1),"")</f>
        <v>0</v>
      </c>
      <c r="BM913" t="str" cm="1">
        <f t="array" ref="BM913">_xlfn.IFS(LEFT(G913,1)="L","外注品",LEFT(G913,1)="W","内製品",G913="","購買品")</f>
        <v>内製品</v>
      </c>
    </row>
    <row r="914" spans="1:65">
      <c r="A914" t="str">
        <f t="shared" si="143"/>
        <v>WG01</v>
      </c>
      <c r="B914" t="s">
        <v>1067</v>
      </c>
      <c r="C914" t="s">
        <v>1520</v>
      </c>
      <c r="D914" s="7"/>
      <c r="E914" s="7"/>
      <c r="G914" t="s">
        <v>1939</v>
      </c>
      <c r="H914" t="str" cm="1">
        <f t="array" ref="H914">IFERROR(_xlfn.IFS(B914="","",AND(B914="",G914=""),"",G914="","記載要"),"")</f>
        <v/>
      </c>
      <c r="K914" t="str">
        <f t="shared" si="144"/>
        <v>11WP01008477</v>
      </c>
      <c r="L914" s="3" t="str">
        <f t="shared" si="145"/>
        <v>2001/01/01</v>
      </c>
      <c r="M914" s="3" t="str">
        <f t="shared" si="146"/>
        <v>2199/12/31</v>
      </c>
      <c r="N914" t="str">
        <f t="shared" si="147"/>
        <v>11WP01008477</v>
      </c>
      <c r="O914">
        <v>15</v>
      </c>
      <c r="Q914" t="str" cm="1">
        <f t="array" ref="Q914">_xlfn.IFS(AND(C914="",G914=""),"",LEFT(G914,1)="L","記載要",LEFT(G914,1)="W","",AND(C914,G914=""),"記載要")</f>
        <v/>
      </c>
      <c r="R914" s="21" t="str">
        <f t="shared" si="152"/>
        <v/>
      </c>
      <c r="S914" s="21"/>
      <c r="Z914" s="8"/>
      <c r="AA914">
        <v>1</v>
      </c>
      <c r="AB914">
        <f t="shared" si="148"/>
        <v>0</v>
      </c>
      <c r="AC914">
        <v>1</v>
      </c>
      <c r="AF914">
        <v>1</v>
      </c>
      <c r="AG914" s="8"/>
      <c r="AH914" s="8"/>
      <c r="AK914" cm="1">
        <f t="array" ref="AK914">_xlfn.IFS(B914="","",LEFT(G914,1)="L",1,LEFT(G914,1)="W",1,AND(LEFT(B914,1)="H",G914=""),0)</f>
        <v>1</v>
      </c>
      <c r="AS914" t="str">
        <f t="shared" si="149"/>
        <v/>
      </c>
      <c r="AT914" t="s">
        <v>115</v>
      </c>
      <c r="AU914" t="str">
        <f t="shared" si="150"/>
        <v>0</v>
      </c>
      <c r="BD914" t="str">
        <f t="shared" si="151"/>
        <v>0</v>
      </c>
      <c r="BK914" t="str">
        <f>IFERROR(VLOOKUP(B914,'[1]model_S-フレーム'!$F$5:$R$7000,13,1),"")</f>
        <v>E389460_01</v>
      </c>
      <c r="BL914" s="7">
        <f>IFERROR(VLOOKUP(B914,'[1]model_S-フレーム'!$F$5:$V$7000,17,1),"")</f>
        <v>0</v>
      </c>
      <c r="BM914" t="str" cm="1">
        <f t="array" ref="BM914">_xlfn.IFS(LEFT(G914,1)="L","外注品",LEFT(G914,1)="W","内製品",G914="","購買品")</f>
        <v>内製品</v>
      </c>
    </row>
    <row r="915" spans="1:65">
      <c r="A915" t="str">
        <f t="shared" si="143"/>
        <v>WG01</v>
      </c>
      <c r="B915" t="s">
        <v>1068</v>
      </c>
      <c r="C915" t="s">
        <v>1520</v>
      </c>
      <c r="D915" s="7"/>
      <c r="E915" s="7"/>
      <c r="G915" t="s">
        <v>1939</v>
      </c>
      <c r="H915" t="str" cm="1">
        <f t="array" ref="H915">IFERROR(_xlfn.IFS(B915="","",AND(B915="",G915=""),"",G915="","記載要"),"")</f>
        <v/>
      </c>
      <c r="K915" t="str">
        <f t="shared" si="144"/>
        <v>11WP01008478</v>
      </c>
      <c r="L915" s="3" t="str">
        <f t="shared" si="145"/>
        <v>2001/01/01</v>
      </c>
      <c r="M915" s="3" t="str">
        <f t="shared" si="146"/>
        <v>2199/12/31</v>
      </c>
      <c r="N915" t="str">
        <f t="shared" si="147"/>
        <v>11WP01008478</v>
      </c>
      <c r="O915">
        <v>15</v>
      </c>
      <c r="Q915" t="str" cm="1">
        <f t="array" ref="Q915">_xlfn.IFS(AND(C915="",G915=""),"",LEFT(G915,1)="L","記載要",LEFT(G915,1)="W","",AND(C915,G915=""),"記載要")</f>
        <v/>
      </c>
      <c r="R915" s="21" t="str">
        <f t="shared" si="152"/>
        <v/>
      </c>
      <c r="S915" s="21"/>
      <c r="Z915" s="8"/>
      <c r="AA915">
        <v>1</v>
      </c>
      <c r="AB915">
        <f t="shared" si="148"/>
        <v>0</v>
      </c>
      <c r="AC915">
        <v>1</v>
      </c>
      <c r="AF915">
        <v>1</v>
      </c>
      <c r="AG915" s="8"/>
      <c r="AH915" s="8"/>
      <c r="AK915" cm="1">
        <f t="array" ref="AK915">_xlfn.IFS(B915="","",LEFT(G915,1)="L",1,LEFT(G915,1)="W",1,AND(LEFT(B915,1)="H",G915=""),0)</f>
        <v>1</v>
      </c>
      <c r="AS915" t="str">
        <f t="shared" si="149"/>
        <v/>
      </c>
      <c r="AT915" t="s">
        <v>115</v>
      </c>
      <c r="AU915" t="str">
        <f t="shared" si="150"/>
        <v>0</v>
      </c>
      <c r="BD915" t="str">
        <f t="shared" si="151"/>
        <v>0</v>
      </c>
      <c r="BK915" t="str">
        <f>IFERROR(VLOOKUP(B915,'[1]model_S-フレーム'!$F$5:$R$7000,13,1),"")</f>
        <v>E389460_01</v>
      </c>
      <c r="BL915" s="7">
        <f>IFERROR(VLOOKUP(B915,'[1]model_S-フレーム'!$F$5:$V$7000,17,1),"")</f>
        <v>0</v>
      </c>
      <c r="BM915" t="str" cm="1">
        <f t="array" ref="BM915">_xlfn.IFS(LEFT(G915,1)="L","外注品",LEFT(G915,1)="W","内製品",G915="","購買品")</f>
        <v>内製品</v>
      </c>
    </row>
    <row r="916" spans="1:65">
      <c r="A916" t="str">
        <f t="shared" si="143"/>
        <v>WG01</v>
      </c>
      <c r="B916" t="s">
        <v>1069</v>
      </c>
      <c r="C916" t="s">
        <v>1520</v>
      </c>
      <c r="D916" s="7"/>
      <c r="E916" s="7"/>
      <c r="G916" t="s">
        <v>1939</v>
      </c>
      <c r="H916" t="str" cm="1">
        <f t="array" ref="H916">IFERROR(_xlfn.IFS(B916="","",AND(B916="",G916=""),"",G916="","記載要"),"")</f>
        <v/>
      </c>
      <c r="K916" t="str">
        <f t="shared" si="144"/>
        <v>11WP01008479</v>
      </c>
      <c r="L916" s="3" t="str">
        <f t="shared" si="145"/>
        <v>2001/01/01</v>
      </c>
      <c r="M916" s="3" t="str">
        <f t="shared" si="146"/>
        <v>2199/12/31</v>
      </c>
      <c r="N916" t="str">
        <f t="shared" si="147"/>
        <v>11WP01008479</v>
      </c>
      <c r="O916">
        <v>15</v>
      </c>
      <c r="Q916" t="str" cm="1">
        <f t="array" ref="Q916">_xlfn.IFS(AND(C916="",G916=""),"",LEFT(G916,1)="L","記載要",LEFT(G916,1)="W","",AND(C916,G916=""),"記載要")</f>
        <v/>
      </c>
      <c r="R916" s="21" t="str">
        <f t="shared" si="152"/>
        <v/>
      </c>
      <c r="S916" s="21"/>
      <c r="Z916" s="8"/>
      <c r="AA916">
        <v>1</v>
      </c>
      <c r="AB916">
        <f t="shared" si="148"/>
        <v>0</v>
      </c>
      <c r="AC916">
        <v>1</v>
      </c>
      <c r="AF916">
        <v>1</v>
      </c>
      <c r="AG916" s="8"/>
      <c r="AH916" s="8"/>
      <c r="AK916" cm="1">
        <f t="array" ref="AK916">_xlfn.IFS(B916="","",LEFT(G916,1)="L",1,LEFT(G916,1)="W",1,AND(LEFT(B916,1)="H",G916=""),0)</f>
        <v>1</v>
      </c>
      <c r="AS916" t="str">
        <f t="shared" si="149"/>
        <v/>
      </c>
      <c r="AT916" t="s">
        <v>115</v>
      </c>
      <c r="AU916" t="str">
        <f t="shared" si="150"/>
        <v>0</v>
      </c>
      <c r="BD916" t="str">
        <f t="shared" si="151"/>
        <v>0</v>
      </c>
      <c r="BK916" t="str">
        <f>IFERROR(VLOOKUP(B916,'[1]model_S-フレーム'!$F$5:$R$7000,13,1),"")</f>
        <v>E389460_01</v>
      </c>
      <c r="BL916" s="7">
        <f>IFERROR(VLOOKUP(B916,'[1]model_S-フレーム'!$F$5:$V$7000,17,1),"")</f>
        <v>0</v>
      </c>
      <c r="BM916" t="str" cm="1">
        <f t="array" ref="BM916">_xlfn.IFS(LEFT(G916,1)="L","外注品",LEFT(G916,1)="W","内製品",G916="","購買品")</f>
        <v>内製品</v>
      </c>
    </row>
    <row r="917" spans="1:65">
      <c r="A917" t="str">
        <f t="shared" si="143"/>
        <v>WG01</v>
      </c>
      <c r="B917" t="s">
        <v>1070</v>
      </c>
      <c r="C917" t="s">
        <v>1520</v>
      </c>
      <c r="D917" s="7"/>
      <c r="E917" s="7"/>
      <c r="G917" t="s">
        <v>1939</v>
      </c>
      <c r="H917" t="str" cm="1">
        <f t="array" ref="H917">IFERROR(_xlfn.IFS(B917="","",AND(B917="",G917=""),"",G917="","記載要"),"")</f>
        <v/>
      </c>
      <c r="K917" t="str">
        <f t="shared" si="144"/>
        <v>11WP01008480</v>
      </c>
      <c r="L917" s="3" t="str">
        <f t="shared" si="145"/>
        <v>2001/01/01</v>
      </c>
      <c r="M917" s="3" t="str">
        <f t="shared" si="146"/>
        <v>2199/12/31</v>
      </c>
      <c r="N917" t="str">
        <f t="shared" si="147"/>
        <v>11WP01008480</v>
      </c>
      <c r="O917">
        <v>15</v>
      </c>
      <c r="Q917" t="str" cm="1">
        <f t="array" ref="Q917">_xlfn.IFS(AND(C917="",G917=""),"",LEFT(G917,1)="L","記載要",LEFT(G917,1)="W","",AND(C917,G917=""),"記載要")</f>
        <v/>
      </c>
      <c r="R917" s="21" t="str">
        <f t="shared" si="152"/>
        <v/>
      </c>
      <c r="S917" s="21"/>
      <c r="Z917" s="8"/>
      <c r="AA917">
        <v>1</v>
      </c>
      <c r="AB917">
        <f t="shared" si="148"/>
        <v>0</v>
      </c>
      <c r="AC917">
        <v>1</v>
      </c>
      <c r="AF917">
        <v>1</v>
      </c>
      <c r="AG917" s="8"/>
      <c r="AH917" s="8"/>
      <c r="AK917" cm="1">
        <f t="array" ref="AK917">_xlfn.IFS(B917="","",LEFT(G917,1)="L",1,LEFT(G917,1)="W",1,AND(LEFT(B917,1)="H",G917=""),0)</f>
        <v>1</v>
      </c>
      <c r="AS917" t="str">
        <f t="shared" si="149"/>
        <v/>
      </c>
      <c r="AT917" t="s">
        <v>115</v>
      </c>
      <c r="AU917" t="str">
        <f t="shared" si="150"/>
        <v>0</v>
      </c>
      <c r="BD917" t="str">
        <f t="shared" si="151"/>
        <v>0</v>
      </c>
      <c r="BK917" t="str">
        <f>IFERROR(VLOOKUP(B917,'[1]model_S-フレーム'!$F$5:$R$7000,13,1),"")</f>
        <v>E389460_01</v>
      </c>
      <c r="BL917" s="7">
        <f>IFERROR(VLOOKUP(B917,'[1]model_S-フレーム'!$F$5:$V$7000,17,1),"")</f>
        <v>0</v>
      </c>
      <c r="BM917" t="str" cm="1">
        <f t="array" ref="BM917">_xlfn.IFS(LEFT(G917,1)="L","外注品",LEFT(G917,1)="W","内製品",G917="","購買品")</f>
        <v>内製品</v>
      </c>
    </row>
    <row r="918" spans="1:65">
      <c r="A918" t="str">
        <f t="shared" si="143"/>
        <v>WG01</v>
      </c>
      <c r="B918" t="s">
        <v>1071</v>
      </c>
      <c r="C918" t="s">
        <v>1520</v>
      </c>
      <c r="D918" s="7"/>
      <c r="E918" s="7"/>
      <c r="G918" t="s">
        <v>1939</v>
      </c>
      <c r="H918" t="str" cm="1">
        <f t="array" ref="H918">IFERROR(_xlfn.IFS(B918="","",AND(B918="",G918=""),"",G918="","記載要"),"")</f>
        <v/>
      </c>
      <c r="K918" t="str">
        <f t="shared" si="144"/>
        <v>11WP01008481</v>
      </c>
      <c r="L918" s="3" t="str">
        <f t="shared" si="145"/>
        <v>2001/01/01</v>
      </c>
      <c r="M918" s="3" t="str">
        <f t="shared" si="146"/>
        <v>2199/12/31</v>
      </c>
      <c r="N918" t="str">
        <f t="shared" si="147"/>
        <v>11WP01008481</v>
      </c>
      <c r="O918">
        <v>15</v>
      </c>
      <c r="Q918" t="str" cm="1">
        <f t="array" ref="Q918">_xlfn.IFS(AND(C918="",G918=""),"",LEFT(G918,1)="L","記載要",LEFT(G918,1)="W","",AND(C918,G918=""),"記載要")</f>
        <v/>
      </c>
      <c r="R918" s="21" t="str">
        <f t="shared" si="152"/>
        <v/>
      </c>
      <c r="S918" s="21"/>
      <c r="Z918" s="8"/>
      <c r="AA918">
        <v>1</v>
      </c>
      <c r="AB918">
        <f t="shared" si="148"/>
        <v>0</v>
      </c>
      <c r="AC918">
        <v>1</v>
      </c>
      <c r="AF918">
        <v>1</v>
      </c>
      <c r="AG918" s="8"/>
      <c r="AH918" s="8"/>
      <c r="AK918" cm="1">
        <f t="array" ref="AK918">_xlfn.IFS(B918="","",LEFT(G918,1)="L",1,LEFT(G918,1)="W",1,AND(LEFT(B918,1)="H",G918=""),0)</f>
        <v>1</v>
      </c>
      <c r="AS918" t="str">
        <f t="shared" si="149"/>
        <v/>
      </c>
      <c r="AT918" t="s">
        <v>115</v>
      </c>
      <c r="AU918" t="str">
        <f t="shared" si="150"/>
        <v>0</v>
      </c>
      <c r="BD918" t="str">
        <f t="shared" si="151"/>
        <v>0</v>
      </c>
      <c r="BK918" t="str">
        <f>IFERROR(VLOOKUP(B918,'[1]model_S-フレーム'!$F$5:$R$7000,13,1),"")</f>
        <v>E389460_01</v>
      </c>
      <c r="BL918" s="7">
        <f>IFERROR(VLOOKUP(B918,'[1]model_S-フレーム'!$F$5:$V$7000,17,1),"")</f>
        <v>0</v>
      </c>
      <c r="BM918" t="str" cm="1">
        <f t="array" ref="BM918">_xlfn.IFS(LEFT(G918,1)="L","外注品",LEFT(G918,1)="W","内製品",G918="","購買品")</f>
        <v>内製品</v>
      </c>
    </row>
    <row r="919" spans="1:65">
      <c r="A919" t="str">
        <f t="shared" si="143"/>
        <v>WG01</v>
      </c>
      <c r="B919" t="s">
        <v>1072</v>
      </c>
      <c r="C919" t="s">
        <v>1520</v>
      </c>
      <c r="D919" s="7"/>
      <c r="E919" s="7"/>
      <c r="G919" t="s">
        <v>1939</v>
      </c>
      <c r="H919" t="str" cm="1">
        <f t="array" ref="H919">IFERROR(_xlfn.IFS(B919="","",AND(B919="",G919=""),"",G919="","記載要"),"")</f>
        <v/>
      </c>
      <c r="K919" t="str">
        <f t="shared" si="144"/>
        <v>11WP01008482</v>
      </c>
      <c r="L919" s="3" t="str">
        <f t="shared" si="145"/>
        <v>2001/01/01</v>
      </c>
      <c r="M919" s="3" t="str">
        <f t="shared" si="146"/>
        <v>2199/12/31</v>
      </c>
      <c r="N919" t="str">
        <f t="shared" si="147"/>
        <v>11WP01008482</v>
      </c>
      <c r="O919">
        <v>15</v>
      </c>
      <c r="Q919" t="str" cm="1">
        <f t="array" ref="Q919">_xlfn.IFS(AND(C919="",G919=""),"",LEFT(G919,1)="L","記載要",LEFT(G919,1)="W","",AND(C919,G919=""),"記載要")</f>
        <v/>
      </c>
      <c r="R919" s="21" t="str">
        <f t="shared" si="152"/>
        <v/>
      </c>
      <c r="S919" s="21"/>
      <c r="Z919" s="8"/>
      <c r="AA919">
        <v>1</v>
      </c>
      <c r="AB919">
        <f t="shared" si="148"/>
        <v>0</v>
      </c>
      <c r="AC919">
        <v>1</v>
      </c>
      <c r="AF919">
        <v>1</v>
      </c>
      <c r="AG919" s="8"/>
      <c r="AH919" s="8"/>
      <c r="AK919" cm="1">
        <f t="array" ref="AK919">_xlfn.IFS(B919="","",LEFT(G919,1)="L",1,LEFT(G919,1)="W",1,AND(LEFT(B919,1)="H",G919=""),0)</f>
        <v>1</v>
      </c>
      <c r="AS919" t="str">
        <f t="shared" si="149"/>
        <v/>
      </c>
      <c r="AT919" t="s">
        <v>115</v>
      </c>
      <c r="AU919" t="str">
        <f t="shared" si="150"/>
        <v>0</v>
      </c>
      <c r="BD919" t="str">
        <f t="shared" si="151"/>
        <v>0</v>
      </c>
      <c r="BK919" t="str">
        <f>IFERROR(VLOOKUP(B919,'[1]model_S-フレーム'!$F$5:$R$7000,13,1),"")</f>
        <v>E389460_01</v>
      </c>
      <c r="BL919" s="7">
        <f>IFERROR(VLOOKUP(B919,'[1]model_S-フレーム'!$F$5:$V$7000,17,1),"")</f>
        <v>0</v>
      </c>
      <c r="BM919" t="str" cm="1">
        <f t="array" ref="BM919">_xlfn.IFS(LEFT(G919,1)="L","外注品",LEFT(G919,1)="W","内製品",G919="","購買品")</f>
        <v>内製品</v>
      </c>
    </row>
    <row r="920" spans="1:65">
      <c r="A920" t="str">
        <f t="shared" si="143"/>
        <v>WG01</v>
      </c>
      <c r="B920" t="s">
        <v>1073</v>
      </c>
      <c r="C920" t="s">
        <v>1520</v>
      </c>
      <c r="D920" s="7"/>
      <c r="E920" s="7"/>
      <c r="G920" t="s">
        <v>1939</v>
      </c>
      <c r="H920" t="str" cm="1">
        <f t="array" ref="H920">IFERROR(_xlfn.IFS(B920="","",AND(B920="",G920=""),"",G920="","記載要"),"")</f>
        <v/>
      </c>
      <c r="K920" t="str">
        <f t="shared" si="144"/>
        <v>11WP01008483</v>
      </c>
      <c r="L920" s="3" t="str">
        <f t="shared" si="145"/>
        <v>2001/01/01</v>
      </c>
      <c r="M920" s="3" t="str">
        <f t="shared" si="146"/>
        <v>2199/12/31</v>
      </c>
      <c r="N920" t="str">
        <f t="shared" si="147"/>
        <v>11WP01008483</v>
      </c>
      <c r="O920">
        <v>15</v>
      </c>
      <c r="Q920" t="str" cm="1">
        <f t="array" ref="Q920">_xlfn.IFS(AND(C920="",G920=""),"",LEFT(G920,1)="L","記載要",LEFT(G920,1)="W","",AND(C920,G920=""),"記載要")</f>
        <v/>
      </c>
      <c r="R920" s="21" t="str">
        <f t="shared" si="152"/>
        <v/>
      </c>
      <c r="S920" s="21"/>
      <c r="Z920" s="8"/>
      <c r="AA920">
        <v>1</v>
      </c>
      <c r="AB920">
        <f t="shared" si="148"/>
        <v>0</v>
      </c>
      <c r="AC920">
        <v>1</v>
      </c>
      <c r="AF920">
        <v>1</v>
      </c>
      <c r="AG920" s="8"/>
      <c r="AH920" s="8"/>
      <c r="AK920" cm="1">
        <f t="array" ref="AK920">_xlfn.IFS(B920="","",LEFT(G920,1)="L",1,LEFT(G920,1)="W",1,AND(LEFT(B920,1)="H",G920=""),0)</f>
        <v>1</v>
      </c>
      <c r="AS920" t="str">
        <f t="shared" si="149"/>
        <v/>
      </c>
      <c r="AT920" t="s">
        <v>115</v>
      </c>
      <c r="AU920" t="str">
        <f t="shared" si="150"/>
        <v>0</v>
      </c>
      <c r="BD920" t="str">
        <f t="shared" si="151"/>
        <v>0</v>
      </c>
      <c r="BK920" t="str">
        <f>IFERROR(VLOOKUP(B920,'[1]model_S-フレーム'!$F$5:$R$7000,13,1),"")</f>
        <v>E389460_01</v>
      </c>
      <c r="BL920" s="7">
        <f>IFERROR(VLOOKUP(B920,'[1]model_S-フレーム'!$F$5:$V$7000,17,1),"")</f>
        <v>0</v>
      </c>
      <c r="BM920" t="str" cm="1">
        <f t="array" ref="BM920">_xlfn.IFS(LEFT(G920,1)="L","外注品",LEFT(G920,1)="W","内製品",G920="","購買品")</f>
        <v>内製品</v>
      </c>
    </row>
    <row r="921" spans="1:65">
      <c r="A921" t="str">
        <f t="shared" si="143"/>
        <v>WG01</v>
      </c>
      <c r="B921" t="s">
        <v>1074</v>
      </c>
      <c r="C921" t="s">
        <v>1520</v>
      </c>
      <c r="D921" s="7"/>
      <c r="E921" s="7"/>
      <c r="G921" t="s">
        <v>1939</v>
      </c>
      <c r="H921" t="str" cm="1">
        <f t="array" ref="H921">IFERROR(_xlfn.IFS(B921="","",AND(B921="",G921=""),"",G921="","記載要"),"")</f>
        <v/>
      </c>
      <c r="K921" t="str">
        <f t="shared" si="144"/>
        <v>11WP01008484</v>
      </c>
      <c r="L921" s="3" t="str">
        <f t="shared" si="145"/>
        <v>2001/01/01</v>
      </c>
      <c r="M921" s="3" t="str">
        <f t="shared" si="146"/>
        <v>2199/12/31</v>
      </c>
      <c r="N921" t="str">
        <f t="shared" si="147"/>
        <v>11WP01008484</v>
      </c>
      <c r="O921">
        <v>15</v>
      </c>
      <c r="Q921" t="str" cm="1">
        <f t="array" ref="Q921">_xlfn.IFS(AND(C921="",G921=""),"",LEFT(G921,1)="L","記載要",LEFT(G921,1)="W","",AND(C921,G921=""),"記載要")</f>
        <v/>
      </c>
      <c r="R921" s="21" t="str">
        <f t="shared" si="152"/>
        <v/>
      </c>
      <c r="S921" s="21"/>
      <c r="Z921" s="8"/>
      <c r="AA921">
        <v>1</v>
      </c>
      <c r="AB921">
        <f t="shared" si="148"/>
        <v>0</v>
      </c>
      <c r="AC921">
        <v>1</v>
      </c>
      <c r="AF921">
        <v>1</v>
      </c>
      <c r="AG921" s="8"/>
      <c r="AH921" s="8"/>
      <c r="AK921" cm="1">
        <f t="array" ref="AK921">_xlfn.IFS(B921="","",LEFT(G921,1)="L",1,LEFT(G921,1)="W",1,AND(LEFT(B921,1)="H",G921=""),0)</f>
        <v>1</v>
      </c>
      <c r="AS921" t="str">
        <f t="shared" si="149"/>
        <v/>
      </c>
      <c r="AT921" t="s">
        <v>115</v>
      </c>
      <c r="AU921" t="str">
        <f t="shared" si="150"/>
        <v>0</v>
      </c>
      <c r="BD921" t="str">
        <f t="shared" si="151"/>
        <v>0</v>
      </c>
      <c r="BK921" t="str">
        <f>IFERROR(VLOOKUP(B921,'[1]model_S-フレーム'!$F$5:$R$7000,13,1),"")</f>
        <v>E389460_01</v>
      </c>
      <c r="BL921" s="7">
        <f>IFERROR(VLOOKUP(B921,'[1]model_S-フレーム'!$F$5:$V$7000,17,1),"")</f>
        <v>0</v>
      </c>
      <c r="BM921" t="str" cm="1">
        <f t="array" ref="BM921">_xlfn.IFS(LEFT(G921,1)="L","外注品",LEFT(G921,1)="W","内製品",G921="","購買品")</f>
        <v>内製品</v>
      </c>
    </row>
    <row r="922" spans="1:65">
      <c r="A922" t="str">
        <f t="shared" si="143"/>
        <v>WG01</v>
      </c>
      <c r="B922" t="s">
        <v>1075</v>
      </c>
      <c r="C922" t="s">
        <v>1520</v>
      </c>
      <c r="D922" s="7"/>
      <c r="E922" s="7"/>
      <c r="G922" t="s">
        <v>1939</v>
      </c>
      <c r="H922" t="str" cm="1">
        <f t="array" ref="H922">IFERROR(_xlfn.IFS(B922="","",AND(B922="",G922=""),"",G922="","記載要"),"")</f>
        <v/>
      </c>
      <c r="K922" t="str">
        <f t="shared" si="144"/>
        <v>11WP01008485</v>
      </c>
      <c r="L922" s="3" t="str">
        <f t="shared" si="145"/>
        <v>2001/01/01</v>
      </c>
      <c r="M922" s="3" t="str">
        <f t="shared" si="146"/>
        <v>2199/12/31</v>
      </c>
      <c r="N922" t="str">
        <f t="shared" si="147"/>
        <v>11WP01008485</v>
      </c>
      <c r="O922">
        <v>15</v>
      </c>
      <c r="Q922" t="str" cm="1">
        <f t="array" ref="Q922">_xlfn.IFS(AND(C922="",G922=""),"",LEFT(G922,1)="L","記載要",LEFT(G922,1)="W","",AND(C922,G922=""),"記載要")</f>
        <v/>
      </c>
      <c r="R922" s="21" t="str">
        <f t="shared" si="152"/>
        <v/>
      </c>
      <c r="S922" s="21"/>
      <c r="Z922" s="8"/>
      <c r="AA922">
        <v>1</v>
      </c>
      <c r="AB922">
        <f t="shared" si="148"/>
        <v>0</v>
      </c>
      <c r="AC922">
        <v>1</v>
      </c>
      <c r="AF922">
        <v>1</v>
      </c>
      <c r="AG922" s="8"/>
      <c r="AH922" s="8"/>
      <c r="AK922" cm="1">
        <f t="array" ref="AK922">_xlfn.IFS(B922="","",LEFT(G922,1)="L",1,LEFT(G922,1)="W",1,AND(LEFT(B922,1)="H",G922=""),0)</f>
        <v>1</v>
      </c>
      <c r="AS922" t="str">
        <f t="shared" si="149"/>
        <v/>
      </c>
      <c r="AT922" t="s">
        <v>115</v>
      </c>
      <c r="AU922" t="str">
        <f t="shared" si="150"/>
        <v>0</v>
      </c>
      <c r="BD922" t="str">
        <f t="shared" si="151"/>
        <v>0</v>
      </c>
      <c r="BK922" t="str">
        <f>IFERROR(VLOOKUP(B922,'[1]model_S-フレーム'!$F$5:$R$7000,13,1),"")</f>
        <v>E389460_01</v>
      </c>
      <c r="BL922" s="7">
        <f>IFERROR(VLOOKUP(B922,'[1]model_S-フレーム'!$F$5:$V$7000,17,1),"")</f>
        <v>0</v>
      </c>
      <c r="BM922" t="str" cm="1">
        <f t="array" ref="BM922">_xlfn.IFS(LEFT(G922,1)="L","外注品",LEFT(G922,1)="W","内製品",G922="","購買品")</f>
        <v>内製品</v>
      </c>
    </row>
    <row r="923" spans="1:65">
      <c r="A923" t="str">
        <f t="shared" si="143"/>
        <v>WG01</v>
      </c>
      <c r="B923" t="s">
        <v>1076</v>
      </c>
      <c r="C923" t="s">
        <v>1520</v>
      </c>
      <c r="D923" s="7"/>
      <c r="E923" s="7"/>
      <c r="G923" t="s">
        <v>1939</v>
      </c>
      <c r="H923" t="str" cm="1">
        <f t="array" ref="H923">IFERROR(_xlfn.IFS(B923="","",AND(B923="",G923=""),"",G923="","記載要"),"")</f>
        <v/>
      </c>
      <c r="K923" t="str">
        <f t="shared" si="144"/>
        <v>11WP01008486</v>
      </c>
      <c r="L923" s="3" t="str">
        <f t="shared" si="145"/>
        <v>2001/01/01</v>
      </c>
      <c r="M923" s="3" t="str">
        <f t="shared" si="146"/>
        <v>2199/12/31</v>
      </c>
      <c r="N923" t="str">
        <f t="shared" si="147"/>
        <v>11WP01008486</v>
      </c>
      <c r="O923">
        <v>15</v>
      </c>
      <c r="Q923" t="str" cm="1">
        <f t="array" ref="Q923">_xlfn.IFS(AND(C923="",G923=""),"",LEFT(G923,1)="L","記載要",LEFT(G923,1)="W","",AND(C923,G923=""),"記載要")</f>
        <v/>
      </c>
      <c r="R923" s="21" t="str">
        <f t="shared" si="152"/>
        <v/>
      </c>
      <c r="S923" s="21"/>
      <c r="Z923" s="8"/>
      <c r="AA923">
        <v>1</v>
      </c>
      <c r="AB923">
        <f t="shared" si="148"/>
        <v>0</v>
      </c>
      <c r="AC923">
        <v>1</v>
      </c>
      <c r="AF923">
        <v>1</v>
      </c>
      <c r="AG923" s="8"/>
      <c r="AH923" s="8"/>
      <c r="AK923" cm="1">
        <f t="array" ref="AK923">_xlfn.IFS(B923="","",LEFT(G923,1)="L",1,LEFT(G923,1)="W",1,AND(LEFT(B923,1)="H",G923=""),0)</f>
        <v>1</v>
      </c>
      <c r="AS923" t="str">
        <f t="shared" si="149"/>
        <v/>
      </c>
      <c r="AT923" t="s">
        <v>115</v>
      </c>
      <c r="AU923" t="str">
        <f t="shared" si="150"/>
        <v>0</v>
      </c>
      <c r="BD923" t="str">
        <f t="shared" si="151"/>
        <v>0</v>
      </c>
      <c r="BK923" t="str">
        <f>IFERROR(VLOOKUP(B923,'[1]model_S-フレーム'!$F$5:$R$7000,13,1),"")</f>
        <v>E389460_01</v>
      </c>
      <c r="BL923" s="7">
        <f>IFERROR(VLOOKUP(B923,'[1]model_S-フレーム'!$F$5:$V$7000,17,1),"")</f>
        <v>0</v>
      </c>
      <c r="BM923" t="str" cm="1">
        <f t="array" ref="BM923">_xlfn.IFS(LEFT(G923,1)="L","外注品",LEFT(G923,1)="W","内製品",G923="","購買品")</f>
        <v>内製品</v>
      </c>
    </row>
    <row r="924" spans="1:65">
      <c r="A924" t="str">
        <f t="shared" si="143"/>
        <v>WG01</v>
      </c>
      <c r="B924" t="s">
        <v>1077</v>
      </c>
      <c r="C924" t="s">
        <v>1520</v>
      </c>
      <c r="D924" s="7"/>
      <c r="E924" s="7"/>
      <c r="G924" t="s">
        <v>1939</v>
      </c>
      <c r="H924" t="str" cm="1">
        <f t="array" ref="H924">IFERROR(_xlfn.IFS(B924="","",AND(B924="",G924=""),"",G924="","記載要"),"")</f>
        <v/>
      </c>
      <c r="K924" t="str">
        <f t="shared" si="144"/>
        <v>11WP01008487</v>
      </c>
      <c r="L924" s="3" t="str">
        <f t="shared" si="145"/>
        <v>2001/01/01</v>
      </c>
      <c r="M924" s="3" t="str">
        <f t="shared" si="146"/>
        <v>2199/12/31</v>
      </c>
      <c r="N924" t="str">
        <f t="shared" si="147"/>
        <v>11WP01008487</v>
      </c>
      <c r="O924">
        <v>15</v>
      </c>
      <c r="Q924" t="str" cm="1">
        <f t="array" ref="Q924">_xlfn.IFS(AND(C924="",G924=""),"",LEFT(G924,1)="L","記載要",LEFT(G924,1)="W","",AND(C924,G924=""),"記載要")</f>
        <v/>
      </c>
      <c r="R924" s="21" t="str">
        <f t="shared" si="152"/>
        <v/>
      </c>
      <c r="S924" s="21"/>
      <c r="Z924" s="8"/>
      <c r="AA924">
        <v>1</v>
      </c>
      <c r="AB924">
        <f t="shared" si="148"/>
        <v>0</v>
      </c>
      <c r="AC924">
        <v>1</v>
      </c>
      <c r="AF924">
        <v>1</v>
      </c>
      <c r="AG924" s="8"/>
      <c r="AH924" s="8"/>
      <c r="AK924" cm="1">
        <f t="array" ref="AK924">_xlfn.IFS(B924="","",LEFT(G924,1)="L",1,LEFT(G924,1)="W",1,AND(LEFT(B924,1)="H",G924=""),0)</f>
        <v>1</v>
      </c>
      <c r="AS924" t="str">
        <f t="shared" si="149"/>
        <v/>
      </c>
      <c r="AT924" t="s">
        <v>115</v>
      </c>
      <c r="AU924" t="str">
        <f t="shared" si="150"/>
        <v>0</v>
      </c>
      <c r="BD924" t="str">
        <f t="shared" si="151"/>
        <v>0</v>
      </c>
      <c r="BK924" t="str">
        <f>IFERROR(VLOOKUP(B924,'[1]model_S-フレーム'!$F$5:$R$7000,13,1),"")</f>
        <v>E389460_01</v>
      </c>
      <c r="BL924" s="7">
        <f>IFERROR(VLOOKUP(B924,'[1]model_S-フレーム'!$F$5:$V$7000,17,1),"")</f>
        <v>0</v>
      </c>
      <c r="BM924" t="str" cm="1">
        <f t="array" ref="BM924">_xlfn.IFS(LEFT(G924,1)="L","外注品",LEFT(G924,1)="W","内製品",G924="","購買品")</f>
        <v>内製品</v>
      </c>
    </row>
    <row r="925" spans="1:65">
      <c r="A925" t="str">
        <f t="shared" si="143"/>
        <v>WG01</v>
      </c>
      <c r="B925" t="s">
        <v>1078</v>
      </c>
      <c r="C925" t="s">
        <v>1520</v>
      </c>
      <c r="D925" s="7"/>
      <c r="E925" s="7"/>
      <c r="G925" t="s">
        <v>1939</v>
      </c>
      <c r="H925" t="str" cm="1">
        <f t="array" ref="H925">IFERROR(_xlfn.IFS(B925="","",AND(B925="",G925=""),"",G925="","記載要"),"")</f>
        <v/>
      </c>
      <c r="K925" t="str">
        <f t="shared" si="144"/>
        <v>11WP01008488</v>
      </c>
      <c r="L925" s="3" t="str">
        <f t="shared" si="145"/>
        <v>2001/01/01</v>
      </c>
      <c r="M925" s="3" t="str">
        <f t="shared" si="146"/>
        <v>2199/12/31</v>
      </c>
      <c r="N925" t="str">
        <f t="shared" si="147"/>
        <v>11WP01008488</v>
      </c>
      <c r="O925">
        <v>15</v>
      </c>
      <c r="Q925" t="str" cm="1">
        <f t="array" ref="Q925">_xlfn.IFS(AND(C925="",G925=""),"",LEFT(G925,1)="L","記載要",LEFT(G925,1)="W","",AND(C925,G925=""),"記載要")</f>
        <v/>
      </c>
      <c r="R925" s="21" t="str">
        <f t="shared" si="152"/>
        <v/>
      </c>
      <c r="S925" s="21"/>
      <c r="Z925" s="8"/>
      <c r="AA925">
        <v>1</v>
      </c>
      <c r="AB925">
        <f t="shared" si="148"/>
        <v>0</v>
      </c>
      <c r="AC925">
        <v>1</v>
      </c>
      <c r="AF925">
        <v>1</v>
      </c>
      <c r="AG925" s="8"/>
      <c r="AH925" s="8"/>
      <c r="AK925" cm="1">
        <f t="array" ref="AK925">_xlfn.IFS(B925="","",LEFT(G925,1)="L",1,LEFT(G925,1)="W",1,AND(LEFT(B925,1)="H",G925=""),0)</f>
        <v>1</v>
      </c>
      <c r="AS925" t="str">
        <f t="shared" si="149"/>
        <v/>
      </c>
      <c r="AT925" t="s">
        <v>115</v>
      </c>
      <c r="AU925" t="str">
        <f t="shared" si="150"/>
        <v>0</v>
      </c>
      <c r="BD925" t="str">
        <f t="shared" si="151"/>
        <v>0</v>
      </c>
      <c r="BK925" t="str">
        <f>IFERROR(VLOOKUP(B925,'[1]model_S-フレーム'!$F$5:$R$7000,13,1),"")</f>
        <v>E389460_01</v>
      </c>
      <c r="BL925" s="7">
        <f>IFERROR(VLOOKUP(B925,'[1]model_S-フレーム'!$F$5:$V$7000,17,1),"")</f>
        <v>0</v>
      </c>
      <c r="BM925" t="str" cm="1">
        <f t="array" ref="BM925">_xlfn.IFS(LEFT(G925,1)="L","外注品",LEFT(G925,1)="W","内製品",G925="","購買品")</f>
        <v>内製品</v>
      </c>
    </row>
    <row r="926" spans="1:65">
      <c r="A926" t="str">
        <f t="shared" si="143"/>
        <v>WG01</v>
      </c>
      <c r="B926" t="s">
        <v>1079</v>
      </c>
      <c r="C926" t="s">
        <v>1520</v>
      </c>
      <c r="D926" s="7"/>
      <c r="E926" s="7"/>
      <c r="G926" t="s">
        <v>1939</v>
      </c>
      <c r="H926" t="str" cm="1">
        <f t="array" ref="H926">IFERROR(_xlfn.IFS(B926="","",AND(B926="",G926=""),"",G926="","記載要"),"")</f>
        <v/>
      </c>
      <c r="K926" t="str">
        <f t="shared" si="144"/>
        <v>11WP01008489</v>
      </c>
      <c r="L926" s="3" t="str">
        <f t="shared" si="145"/>
        <v>2001/01/01</v>
      </c>
      <c r="M926" s="3" t="str">
        <f t="shared" si="146"/>
        <v>2199/12/31</v>
      </c>
      <c r="N926" t="str">
        <f t="shared" si="147"/>
        <v>11WP01008489</v>
      </c>
      <c r="O926">
        <v>15</v>
      </c>
      <c r="Q926" t="str" cm="1">
        <f t="array" ref="Q926">_xlfn.IFS(AND(C926="",G926=""),"",LEFT(G926,1)="L","記載要",LEFT(G926,1)="W","",AND(C926,G926=""),"記載要")</f>
        <v/>
      </c>
      <c r="R926" s="21" t="str">
        <f t="shared" si="152"/>
        <v/>
      </c>
      <c r="S926" s="21"/>
      <c r="Z926" s="8"/>
      <c r="AA926">
        <v>1</v>
      </c>
      <c r="AB926">
        <f t="shared" si="148"/>
        <v>0</v>
      </c>
      <c r="AC926">
        <v>1</v>
      </c>
      <c r="AF926">
        <v>1</v>
      </c>
      <c r="AG926" s="8"/>
      <c r="AH926" s="8"/>
      <c r="AK926" cm="1">
        <f t="array" ref="AK926">_xlfn.IFS(B926="","",LEFT(G926,1)="L",1,LEFT(G926,1)="W",1,AND(LEFT(B926,1)="H",G926=""),0)</f>
        <v>1</v>
      </c>
      <c r="AS926" t="str">
        <f t="shared" si="149"/>
        <v/>
      </c>
      <c r="AT926" t="s">
        <v>115</v>
      </c>
      <c r="AU926" t="str">
        <f t="shared" si="150"/>
        <v>0</v>
      </c>
      <c r="BD926" t="str">
        <f t="shared" si="151"/>
        <v>0</v>
      </c>
      <c r="BK926" t="str">
        <f>IFERROR(VLOOKUP(B926,'[1]model_S-フレーム'!$F$5:$R$7000,13,1),"")</f>
        <v>E389460_01</v>
      </c>
      <c r="BL926" s="7">
        <f>IFERROR(VLOOKUP(B926,'[1]model_S-フレーム'!$F$5:$V$7000,17,1),"")</f>
        <v>0</v>
      </c>
      <c r="BM926" t="str" cm="1">
        <f t="array" ref="BM926">_xlfn.IFS(LEFT(G926,1)="L","外注品",LEFT(G926,1)="W","内製品",G926="","購買品")</f>
        <v>内製品</v>
      </c>
    </row>
    <row r="927" spans="1:65">
      <c r="A927" t="str">
        <f t="shared" si="143"/>
        <v>WG01</v>
      </c>
      <c r="B927" t="s">
        <v>1080</v>
      </c>
      <c r="C927" t="s">
        <v>1520</v>
      </c>
      <c r="D927" s="7"/>
      <c r="E927" s="7"/>
      <c r="G927" t="s">
        <v>1939</v>
      </c>
      <c r="H927" t="str" cm="1">
        <f t="array" ref="H927">IFERROR(_xlfn.IFS(B927="","",AND(B927="",G927=""),"",G927="","記載要"),"")</f>
        <v/>
      </c>
      <c r="K927" t="str">
        <f t="shared" si="144"/>
        <v>11WP01008490</v>
      </c>
      <c r="L927" s="3" t="str">
        <f t="shared" si="145"/>
        <v>2001/01/01</v>
      </c>
      <c r="M927" s="3" t="str">
        <f t="shared" si="146"/>
        <v>2199/12/31</v>
      </c>
      <c r="N927" t="str">
        <f t="shared" si="147"/>
        <v>11WP01008490</v>
      </c>
      <c r="O927">
        <v>15</v>
      </c>
      <c r="Q927" t="str" cm="1">
        <f t="array" ref="Q927">_xlfn.IFS(AND(C927="",G927=""),"",LEFT(G927,1)="L","記載要",LEFT(G927,1)="W","",AND(C927,G927=""),"記載要")</f>
        <v/>
      </c>
      <c r="R927" s="21" t="str">
        <f t="shared" si="152"/>
        <v/>
      </c>
      <c r="S927" s="21"/>
      <c r="Z927" s="8"/>
      <c r="AA927">
        <v>1</v>
      </c>
      <c r="AB927">
        <f t="shared" si="148"/>
        <v>0</v>
      </c>
      <c r="AC927">
        <v>1</v>
      </c>
      <c r="AF927">
        <v>1</v>
      </c>
      <c r="AG927" s="8"/>
      <c r="AH927" s="8"/>
      <c r="AK927" cm="1">
        <f t="array" ref="AK927">_xlfn.IFS(B927="","",LEFT(G927,1)="L",1,LEFT(G927,1)="W",1,AND(LEFT(B927,1)="H",G927=""),0)</f>
        <v>1</v>
      </c>
      <c r="AS927" t="str">
        <f t="shared" si="149"/>
        <v/>
      </c>
      <c r="AT927" t="s">
        <v>115</v>
      </c>
      <c r="AU927" t="str">
        <f t="shared" si="150"/>
        <v>0</v>
      </c>
      <c r="BD927" t="str">
        <f t="shared" si="151"/>
        <v>0</v>
      </c>
      <c r="BK927" t="str">
        <f>IFERROR(VLOOKUP(B927,'[1]model_S-フレーム'!$F$5:$R$7000,13,1),"")</f>
        <v>E389460_01</v>
      </c>
      <c r="BL927" s="7">
        <f>IFERROR(VLOOKUP(B927,'[1]model_S-フレーム'!$F$5:$V$7000,17,1),"")</f>
        <v>0</v>
      </c>
      <c r="BM927" t="str" cm="1">
        <f t="array" ref="BM927">_xlfn.IFS(LEFT(G927,1)="L","外注品",LEFT(G927,1)="W","内製品",G927="","購買品")</f>
        <v>内製品</v>
      </c>
    </row>
    <row r="928" spans="1:65">
      <c r="A928" t="str">
        <f t="shared" si="143"/>
        <v>WG01</v>
      </c>
      <c r="B928" t="s">
        <v>1081</v>
      </c>
      <c r="C928" t="s">
        <v>1520</v>
      </c>
      <c r="D928" s="7"/>
      <c r="E928" s="7"/>
      <c r="G928" t="s">
        <v>1939</v>
      </c>
      <c r="H928" t="str" cm="1">
        <f t="array" ref="H928">IFERROR(_xlfn.IFS(B928="","",AND(B928="",G928=""),"",G928="","記載要"),"")</f>
        <v/>
      </c>
      <c r="K928" t="str">
        <f t="shared" si="144"/>
        <v>11WP01008491</v>
      </c>
      <c r="L928" s="3" t="str">
        <f t="shared" si="145"/>
        <v>2001/01/01</v>
      </c>
      <c r="M928" s="3" t="str">
        <f t="shared" si="146"/>
        <v>2199/12/31</v>
      </c>
      <c r="N928" t="str">
        <f t="shared" si="147"/>
        <v>11WP01008491</v>
      </c>
      <c r="O928">
        <v>15</v>
      </c>
      <c r="Q928" t="str" cm="1">
        <f t="array" ref="Q928">_xlfn.IFS(AND(C928="",G928=""),"",LEFT(G928,1)="L","記載要",LEFT(G928,1)="W","",AND(C928,G928=""),"記載要")</f>
        <v/>
      </c>
      <c r="R928" s="21" t="str">
        <f t="shared" si="152"/>
        <v/>
      </c>
      <c r="S928" s="21"/>
      <c r="Z928" s="8"/>
      <c r="AA928">
        <v>1</v>
      </c>
      <c r="AB928">
        <f t="shared" si="148"/>
        <v>0</v>
      </c>
      <c r="AC928">
        <v>1</v>
      </c>
      <c r="AF928">
        <v>1</v>
      </c>
      <c r="AG928" s="8"/>
      <c r="AH928" s="8"/>
      <c r="AK928" cm="1">
        <f t="array" ref="AK928">_xlfn.IFS(B928="","",LEFT(G928,1)="L",1,LEFT(G928,1)="W",1,AND(LEFT(B928,1)="H",G928=""),0)</f>
        <v>1</v>
      </c>
      <c r="AS928" t="str">
        <f t="shared" si="149"/>
        <v/>
      </c>
      <c r="AT928" t="s">
        <v>115</v>
      </c>
      <c r="AU928" t="str">
        <f t="shared" si="150"/>
        <v>0</v>
      </c>
      <c r="BD928" t="str">
        <f t="shared" si="151"/>
        <v>0</v>
      </c>
      <c r="BK928" t="str">
        <f>IFERROR(VLOOKUP(B928,'[1]model_S-フレーム'!$F$5:$R$7000,13,1),"")</f>
        <v>E389460_01</v>
      </c>
      <c r="BL928" s="7">
        <f>IFERROR(VLOOKUP(B928,'[1]model_S-フレーム'!$F$5:$V$7000,17,1),"")</f>
        <v>0</v>
      </c>
      <c r="BM928" t="str" cm="1">
        <f t="array" ref="BM928">_xlfn.IFS(LEFT(G928,1)="L","外注品",LEFT(G928,1)="W","内製品",G928="","購買品")</f>
        <v>内製品</v>
      </c>
    </row>
    <row r="929" spans="1:65">
      <c r="A929" t="str">
        <f t="shared" si="143"/>
        <v>WG01</v>
      </c>
      <c r="B929" t="s">
        <v>1082</v>
      </c>
      <c r="C929" t="s">
        <v>1520</v>
      </c>
      <c r="D929" s="7"/>
      <c r="E929" s="7"/>
      <c r="G929" t="s">
        <v>1939</v>
      </c>
      <c r="H929" t="str" cm="1">
        <f t="array" ref="H929">IFERROR(_xlfn.IFS(B929="","",AND(B929="",G929=""),"",G929="","記載要"),"")</f>
        <v/>
      </c>
      <c r="K929" t="str">
        <f t="shared" si="144"/>
        <v>11WP01008492</v>
      </c>
      <c r="L929" s="3" t="str">
        <f t="shared" si="145"/>
        <v>2001/01/01</v>
      </c>
      <c r="M929" s="3" t="str">
        <f t="shared" si="146"/>
        <v>2199/12/31</v>
      </c>
      <c r="N929" t="str">
        <f t="shared" si="147"/>
        <v>11WP01008492</v>
      </c>
      <c r="O929">
        <v>15</v>
      </c>
      <c r="Q929" t="str" cm="1">
        <f t="array" ref="Q929">_xlfn.IFS(AND(C929="",G929=""),"",LEFT(G929,1)="L","記載要",LEFT(G929,1)="W","",AND(C929,G929=""),"記載要")</f>
        <v/>
      </c>
      <c r="R929" s="21" t="str">
        <f t="shared" si="152"/>
        <v/>
      </c>
      <c r="S929" s="21"/>
      <c r="Z929" s="8"/>
      <c r="AA929">
        <v>1</v>
      </c>
      <c r="AB929">
        <f t="shared" si="148"/>
        <v>0</v>
      </c>
      <c r="AC929">
        <v>1</v>
      </c>
      <c r="AF929">
        <v>1</v>
      </c>
      <c r="AG929" s="8"/>
      <c r="AH929" s="8"/>
      <c r="AK929" cm="1">
        <f t="array" ref="AK929">_xlfn.IFS(B929="","",LEFT(G929,1)="L",1,LEFT(G929,1)="W",1,AND(LEFT(B929,1)="H",G929=""),0)</f>
        <v>1</v>
      </c>
      <c r="AS929" t="str">
        <f t="shared" si="149"/>
        <v/>
      </c>
      <c r="AT929" t="s">
        <v>115</v>
      </c>
      <c r="AU929" t="str">
        <f t="shared" si="150"/>
        <v>0</v>
      </c>
      <c r="BD929" t="str">
        <f t="shared" si="151"/>
        <v>0</v>
      </c>
      <c r="BK929" t="str">
        <f>IFERROR(VLOOKUP(B929,'[1]model_S-フレーム'!$F$5:$R$7000,13,1),"")</f>
        <v>E389460_01</v>
      </c>
      <c r="BL929" s="7">
        <f>IFERROR(VLOOKUP(B929,'[1]model_S-フレーム'!$F$5:$V$7000,17,1),"")</f>
        <v>0</v>
      </c>
      <c r="BM929" t="str" cm="1">
        <f t="array" ref="BM929">_xlfn.IFS(LEFT(G929,1)="L","外注品",LEFT(G929,1)="W","内製品",G929="","購買品")</f>
        <v>内製品</v>
      </c>
    </row>
    <row r="930" spans="1:65">
      <c r="A930" t="str">
        <f t="shared" si="143"/>
        <v>WG01</v>
      </c>
      <c r="B930" t="s">
        <v>1083</v>
      </c>
      <c r="C930" t="s">
        <v>1520</v>
      </c>
      <c r="D930" s="7"/>
      <c r="E930" s="7"/>
      <c r="G930" t="s">
        <v>1939</v>
      </c>
      <c r="H930" t="str" cm="1">
        <f t="array" ref="H930">IFERROR(_xlfn.IFS(B930="","",AND(B930="",G930=""),"",G930="","記載要"),"")</f>
        <v/>
      </c>
      <c r="K930" t="str">
        <f t="shared" si="144"/>
        <v>11WP01008493</v>
      </c>
      <c r="L930" s="3" t="str">
        <f t="shared" si="145"/>
        <v>2001/01/01</v>
      </c>
      <c r="M930" s="3" t="str">
        <f t="shared" si="146"/>
        <v>2199/12/31</v>
      </c>
      <c r="N930" t="str">
        <f t="shared" si="147"/>
        <v>11WP01008493</v>
      </c>
      <c r="O930">
        <v>15</v>
      </c>
      <c r="Q930" t="str" cm="1">
        <f t="array" ref="Q930">_xlfn.IFS(AND(C930="",G930=""),"",LEFT(G930,1)="L","記載要",LEFT(G930,1)="W","",AND(C930,G930=""),"記載要")</f>
        <v/>
      </c>
      <c r="R930" s="21" t="str">
        <f t="shared" si="152"/>
        <v/>
      </c>
      <c r="S930" s="21"/>
      <c r="Z930" s="8"/>
      <c r="AA930">
        <v>1</v>
      </c>
      <c r="AB930">
        <f t="shared" si="148"/>
        <v>0</v>
      </c>
      <c r="AC930">
        <v>1</v>
      </c>
      <c r="AF930">
        <v>1</v>
      </c>
      <c r="AG930" s="8"/>
      <c r="AH930" s="8"/>
      <c r="AK930" cm="1">
        <f t="array" ref="AK930">_xlfn.IFS(B930="","",LEFT(G930,1)="L",1,LEFT(G930,1)="W",1,AND(LEFT(B930,1)="H",G930=""),0)</f>
        <v>1</v>
      </c>
      <c r="AS930" t="str">
        <f t="shared" si="149"/>
        <v/>
      </c>
      <c r="AT930" t="s">
        <v>115</v>
      </c>
      <c r="AU930" t="str">
        <f t="shared" si="150"/>
        <v>0</v>
      </c>
      <c r="BD930" t="str">
        <f t="shared" si="151"/>
        <v>0</v>
      </c>
      <c r="BK930" t="str">
        <f>IFERROR(VLOOKUP(B930,'[1]model_S-フレーム'!$F$5:$R$7000,13,1),"")</f>
        <v>E389460_01</v>
      </c>
      <c r="BL930" s="7">
        <f>IFERROR(VLOOKUP(B930,'[1]model_S-フレーム'!$F$5:$V$7000,17,1),"")</f>
        <v>0</v>
      </c>
      <c r="BM930" t="str" cm="1">
        <f t="array" ref="BM930">_xlfn.IFS(LEFT(G930,1)="L","外注品",LEFT(G930,1)="W","内製品",G930="","購買品")</f>
        <v>内製品</v>
      </c>
    </row>
    <row r="931" spans="1:65">
      <c r="A931" t="str">
        <f t="shared" si="143"/>
        <v>WG01</v>
      </c>
      <c r="B931" t="s">
        <v>1084</v>
      </c>
      <c r="C931" t="s">
        <v>1520</v>
      </c>
      <c r="D931" s="7"/>
      <c r="E931" s="7"/>
      <c r="G931" t="s">
        <v>1939</v>
      </c>
      <c r="H931" t="str" cm="1">
        <f t="array" ref="H931">IFERROR(_xlfn.IFS(B931="","",AND(B931="",G931=""),"",G931="","記載要"),"")</f>
        <v/>
      </c>
      <c r="K931" t="str">
        <f t="shared" si="144"/>
        <v>11WP01008494</v>
      </c>
      <c r="L931" s="3" t="str">
        <f t="shared" si="145"/>
        <v>2001/01/01</v>
      </c>
      <c r="M931" s="3" t="str">
        <f t="shared" si="146"/>
        <v>2199/12/31</v>
      </c>
      <c r="N931" t="str">
        <f t="shared" si="147"/>
        <v>11WP01008494</v>
      </c>
      <c r="O931">
        <v>15</v>
      </c>
      <c r="Q931" t="str" cm="1">
        <f t="array" ref="Q931">_xlfn.IFS(AND(C931="",G931=""),"",LEFT(G931,1)="L","記載要",LEFT(G931,1)="W","",AND(C931,G931=""),"記載要")</f>
        <v/>
      </c>
      <c r="R931" s="21" t="str">
        <f t="shared" si="152"/>
        <v/>
      </c>
      <c r="S931" s="21"/>
      <c r="Z931" s="8"/>
      <c r="AA931">
        <v>1</v>
      </c>
      <c r="AB931">
        <f t="shared" si="148"/>
        <v>0</v>
      </c>
      <c r="AC931">
        <v>1</v>
      </c>
      <c r="AF931">
        <v>1</v>
      </c>
      <c r="AG931" s="8"/>
      <c r="AH931" s="8"/>
      <c r="AK931" cm="1">
        <f t="array" ref="AK931">_xlfn.IFS(B931="","",LEFT(G931,1)="L",1,LEFT(G931,1)="W",1,AND(LEFT(B931,1)="H",G931=""),0)</f>
        <v>1</v>
      </c>
      <c r="AS931" t="str">
        <f t="shared" si="149"/>
        <v/>
      </c>
      <c r="AT931" t="s">
        <v>115</v>
      </c>
      <c r="AU931" t="str">
        <f t="shared" si="150"/>
        <v>0</v>
      </c>
      <c r="BD931" t="str">
        <f t="shared" si="151"/>
        <v>0</v>
      </c>
      <c r="BK931" t="str">
        <f>IFERROR(VLOOKUP(B931,'[1]model_S-フレーム'!$F$5:$R$7000,13,1),"")</f>
        <v>E389460_01</v>
      </c>
      <c r="BL931" s="7">
        <f>IFERROR(VLOOKUP(B931,'[1]model_S-フレーム'!$F$5:$V$7000,17,1),"")</f>
        <v>0</v>
      </c>
      <c r="BM931" t="str" cm="1">
        <f t="array" ref="BM931">_xlfn.IFS(LEFT(G931,1)="L","外注品",LEFT(G931,1)="W","内製品",G931="","購買品")</f>
        <v>内製品</v>
      </c>
    </row>
    <row r="932" spans="1:65">
      <c r="A932" t="str">
        <f t="shared" si="143"/>
        <v>WG01</v>
      </c>
      <c r="B932" t="s">
        <v>1085</v>
      </c>
      <c r="C932" t="s">
        <v>1520</v>
      </c>
      <c r="D932" s="7"/>
      <c r="E932" s="7"/>
      <c r="G932" t="s">
        <v>1939</v>
      </c>
      <c r="H932" t="str" cm="1">
        <f t="array" ref="H932">IFERROR(_xlfn.IFS(B932="","",AND(B932="",G932=""),"",G932="","記載要"),"")</f>
        <v/>
      </c>
      <c r="K932" t="str">
        <f t="shared" si="144"/>
        <v>11WP01008495</v>
      </c>
      <c r="L932" s="3" t="str">
        <f t="shared" si="145"/>
        <v>2001/01/01</v>
      </c>
      <c r="M932" s="3" t="str">
        <f t="shared" si="146"/>
        <v>2199/12/31</v>
      </c>
      <c r="N932" t="str">
        <f t="shared" si="147"/>
        <v>11WP01008495</v>
      </c>
      <c r="O932">
        <v>15</v>
      </c>
      <c r="Q932" t="str" cm="1">
        <f t="array" ref="Q932">_xlfn.IFS(AND(C932="",G932=""),"",LEFT(G932,1)="L","記載要",LEFT(G932,1)="W","",AND(C932,G932=""),"記載要")</f>
        <v/>
      </c>
      <c r="R932" s="21" t="str">
        <f t="shared" si="152"/>
        <v/>
      </c>
      <c r="S932" s="21"/>
      <c r="Z932" s="8"/>
      <c r="AA932">
        <v>1</v>
      </c>
      <c r="AB932">
        <f t="shared" si="148"/>
        <v>0</v>
      </c>
      <c r="AC932">
        <v>1</v>
      </c>
      <c r="AF932">
        <v>1</v>
      </c>
      <c r="AG932" s="8"/>
      <c r="AH932" s="8"/>
      <c r="AK932" cm="1">
        <f t="array" ref="AK932">_xlfn.IFS(B932="","",LEFT(G932,1)="L",1,LEFT(G932,1)="W",1,AND(LEFT(B932,1)="H",G932=""),0)</f>
        <v>1</v>
      </c>
      <c r="AS932" t="str">
        <f t="shared" si="149"/>
        <v/>
      </c>
      <c r="AT932" t="s">
        <v>115</v>
      </c>
      <c r="AU932" t="str">
        <f t="shared" si="150"/>
        <v>0</v>
      </c>
      <c r="BD932" t="str">
        <f t="shared" si="151"/>
        <v>0</v>
      </c>
      <c r="BK932" t="str">
        <f>IFERROR(VLOOKUP(B932,'[1]model_S-フレーム'!$F$5:$R$7000,13,1),"")</f>
        <v>E389460_01</v>
      </c>
      <c r="BL932" s="7">
        <f>IFERROR(VLOOKUP(B932,'[1]model_S-フレーム'!$F$5:$V$7000,17,1),"")</f>
        <v>0</v>
      </c>
      <c r="BM932" t="str" cm="1">
        <f t="array" ref="BM932">_xlfn.IFS(LEFT(G932,1)="L","外注品",LEFT(G932,1)="W","内製品",G932="","購買品")</f>
        <v>内製品</v>
      </c>
    </row>
    <row r="933" spans="1:65">
      <c r="A933" t="str">
        <f t="shared" si="143"/>
        <v>WG01</v>
      </c>
      <c r="B933" t="s">
        <v>1086</v>
      </c>
      <c r="C933" t="s">
        <v>1520</v>
      </c>
      <c r="D933" s="7"/>
      <c r="E933" s="7"/>
      <c r="G933" t="s">
        <v>1939</v>
      </c>
      <c r="H933" t="str" cm="1">
        <f t="array" ref="H933">IFERROR(_xlfn.IFS(B933="","",AND(B933="",G933=""),"",G933="","記載要"),"")</f>
        <v/>
      </c>
      <c r="K933" t="str">
        <f t="shared" si="144"/>
        <v>11WP01008496</v>
      </c>
      <c r="L933" s="3" t="str">
        <f t="shared" si="145"/>
        <v>2001/01/01</v>
      </c>
      <c r="M933" s="3" t="str">
        <f t="shared" si="146"/>
        <v>2199/12/31</v>
      </c>
      <c r="N933" t="str">
        <f t="shared" si="147"/>
        <v>11WP01008496</v>
      </c>
      <c r="O933">
        <v>15</v>
      </c>
      <c r="Q933" t="str" cm="1">
        <f t="array" ref="Q933">_xlfn.IFS(AND(C933="",G933=""),"",LEFT(G933,1)="L","記載要",LEFT(G933,1)="W","",AND(C933,G933=""),"記載要")</f>
        <v/>
      </c>
      <c r="R933" s="21" t="str">
        <f t="shared" si="152"/>
        <v/>
      </c>
      <c r="S933" s="21"/>
      <c r="Z933" s="8"/>
      <c r="AA933">
        <v>1</v>
      </c>
      <c r="AB933">
        <f t="shared" si="148"/>
        <v>0</v>
      </c>
      <c r="AC933">
        <v>1</v>
      </c>
      <c r="AF933">
        <v>1</v>
      </c>
      <c r="AG933" s="8"/>
      <c r="AH933" s="8"/>
      <c r="AK933" cm="1">
        <f t="array" ref="AK933">_xlfn.IFS(B933="","",LEFT(G933,1)="L",1,LEFT(G933,1)="W",1,AND(LEFT(B933,1)="H",G933=""),0)</f>
        <v>1</v>
      </c>
      <c r="AS933" t="str">
        <f t="shared" si="149"/>
        <v/>
      </c>
      <c r="AT933" t="s">
        <v>115</v>
      </c>
      <c r="AU933" t="str">
        <f t="shared" si="150"/>
        <v>0</v>
      </c>
      <c r="BD933" t="str">
        <f t="shared" si="151"/>
        <v>0</v>
      </c>
      <c r="BK933" t="str">
        <f>IFERROR(VLOOKUP(B933,'[1]model_S-フレーム'!$F$5:$R$7000,13,1),"")</f>
        <v>E389460_01</v>
      </c>
      <c r="BL933" s="7">
        <f>IFERROR(VLOOKUP(B933,'[1]model_S-フレーム'!$F$5:$V$7000,17,1),"")</f>
        <v>0</v>
      </c>
      <c r="BM933" t="str" cm="1">
        <f t="array" ref="BM933">_xlfn.IFS(LEFT(G933,1)="L","外注品",LEFT(G933,1)="W","内製品",G933="","購買品")</f>
        <v>内製品</v>
      </c>
    </row>
    <row r="934" spans="1:65">
      <c r="A934" t="str">
        <f t="shared" si="143"/>
        <v>WG01</v>
      </c>
      <c r="B934" t="s">
        <v>1087</v>
      </c>
      <c r="C934" t="s">
        <v>1520</v>
      </c>
      <c r="D934" s="7"/>
      <c r="E934" s="7"/>
      <c r="G934" t="s">
        <v>1939</v>
      </c>
      <c r="H934" t="str" cm="1">
        <f t="array" ref="H934">IFERROR(_xlfn.IFS(B934="","",AND(B934="",G934=""),"",G934="","記載要"),"")</f>
        <v/>
      </c>
      <c r="K934" t="str">
        <f t="shared" si="144"/>
        <v>11WP01008497</v>
      </c>
      <c r="L934" s="3" t="str">
        <f t="shared" si="145"/>
        <v>2001/01/01</v>
      </c>
      <c r="M934" s="3" t="str">
        <f t="shared" si="146"/>
        <v>2199/12/31</v>
      </c>
      <c r="N934" t="str">
        <f t="shared" si="147"/>
        <v>11WP01008497</v>
      </c>
      <c r="O934">
        <v>15</v>
      </c>
      <c r="Q934" t="str" cm="1">
        <f t="array" ref="Q934">_xlfn.IFS(AND(C934="",G934=""),"",LEFT(G934,1)="L","記載要",LEFT(G934,1)="W","",AND(C934,G934=""),"記載要")</f>
        <v/>
      </c>
      <c r="R934" s="21" t="str">
        <f t="shared" si="152"/>
        <v/>
      </c>
      <c r="S934" s="21"/>
      <c r="Z934" s="8"/>
      <c r="AA934">
        <v>1</v>
      </c>
      <c r="AB934">
        <f t="shared" si="148"/>
        <v>0</v>
      </c>
      <c r="AC934">
        <v>1</v>
      </c>
      <c r="AF934">
        <v>1</v>
      </c>
      <c r="AG934" s="8"/>
      <c r="AH934" s="8"/>
      <c r="AK934" cm="1">
        <f t="array" ref="AK934">_xlfn.IFS(B934="","",LEFT(G934,1)="L",1,LEFT(G934,1)="W",1,AND(LEFT(B934,1)="H",G934=""),0)</f>
        <v>1</v>
      </c>
      <c r="AS934" t="str">
        <f t="shared" si="149"/>
        <v/>
      </c>
      <c r="AT934" t="s">
        <v>115</v>
      </c>
      <c r="AU934" t="str">
        <f t="shared" si="150"/>
        <v>0</v>
      </c>
      <c r="BD934" t="str">
        <f t="shared" si="151"/>
        <v>0</v>
      </c>
      <c r="BK934" t="str">
        <f>IFERROR(VLOOKUP(B934,'[1]model_S-フレーム'!$F$5:$R$7000,13,1),"")</f>
        <v>E389460_01</v>
      </c>
      <c r="BL934" s="7">
        <f>IFERROR(VLOOKUP(B934,'[1]model_S-フレーム'!$F$5:$V$7000,17,1),"")</f>
        <v>0</v>
      </c>
      <c r="BM934" t="str" cm="1">
        <f t="array" ref="BM934">_xlfn.IFS(LEFT(G934,1)="L","外注品",LEFT(G934,1)="W","内製品",G934="","購買品")</f>
        <v>内製品</v>
      </c>
    </row>
    <row r="935" spans="1:65">
      <c r="A935" t="str">
        <f t="shared" si="143"/>
        <v>WG01</v>
      </c>
      <c r="B935" t="s">
        <v>1088</v>
      </c>
      <c r="C935" t="s">
        <v>1520</v>
      </c>
      <c r="D935" s="7"/>
      <c r="E935" s="7"/>
      <c r="G935" t="s">
        <v>1939</v>
      </c>
      <c r="H935" t="str" cm="1">
        <f t="array" ref="H935">IFERROR(_xlfn.IFS(B935="","",AND(B935="",G935=""),"",G935="","記載要"),"")</f>
        <v/>
      </c>
      <c r="K935" t="str">
        <f t="shared" si="144"/>
        <v>11WP01008498</v>
      </c>
      <c r="L935" s="3" t="str">
        <f t="shared" si="145"/>
        <v>2001/01/01</v>
      </c>
      <c r="M935" s="3" t="str">
        <f t="shared" si="146"/>
        <v>2199/12/31</v>
      </c>
      <c r="N935" t="str">
        <f t="shared" si="147"/>
        <v>11WP01008498</v>
      </c>
      <c r="O935">
        <v>15</v>
      </c>
      <c r="Q935" t="str" cm="1">
        <f t="array" ref="Q935">_xlfn.IFS(AND(C935="",G935=""),"",LEFT(G935,1)="L","記載要",LEFT(G935,1)="W","",AND(C935,G935=""),"記載要")</f>
        <v/>
      </c>
      <c r="R935" s="21" t="str">
        <f t="shared" si="152"/>
        <v/>
      </c>
      <c r="S935" s="21"/>
      <c r="Z935" s="8"/>
      <c r="AA935">
        <v>1</v>
      </c>
      <c r="AB935">
        <f t="shared" si="148"/>
        <v>0</v>
      </c>
      <c r="AC935">
        <v>1</v>
      </c>
      <c r="AF935">
        <v>1</v>
      </c>
      <c r="AG935" s="8"/>
      <c r="AH935" s="8"/>
      <c r="AK935" cm="1">
        <f t="array" ref="AK935">_xlfn.IFS(B935="","",LEFT(G935,1)="L",1,LEFT(G935,1)="W",1,AND(LEFT(B935,1)="H",G935=""),0)</f>
        <v>1</v>
      </c>
      <c r="AS935" t="str">
        <f t="shared" si="149"/>
        <v/>
      </c>
      <c r="AT935" t="s">
        <v>115</v>
      </c>
      <c r="AU935" t="str">
        <f t="shared" si="150"/>
        <v>0</v>
      </c>
      <c r="BD935" t="str">
        <f t="shared" si="151"/>
        <v>0</v>
      </c>
      <c r="BK935" t="str">
        <f>IFERROR(VLOOKUP(B935,'[1]model_S-フレーム'!$F$5:$R$7000,13,1),"")</f>
        <v>E389460_01</v>
      </c>
      <c r="BL935" s="7">
        <f>IFERROR(VLOOKUP(B935,'[1]model_S-フレーム'!$F$5:$V$7000,17,1),"")</f>
        <v>0</v>
      </c>
      <c r="BM935" t="str" cm="1">
        <f t="array" ref="BM935">_xlfn.IFS(LEFT(G935,1)="L","外注品",LEFT(G935,1)="W","内製品",G935="","購買品")</f>
        <v>内製品</v>
      </c>
    </row>
    <row r="936" spans="1:65">
      <c r="A936" t="str">
        <f t="shared" si="143"/>
        <v>WG01</v>
      </c>
      <c r="B936" t="s">
        <v>1089</v>
      </c>
      <c r="C936" t="s">
        <v>1520</v>
      </c>
      <c r="D936" s="7"/>
      <c r="E936" s="7"/>
      <c r="G936" t="s">
        <v>1939</v>
      </c>
      <c r="H936" t="str" cm="1">
        <f t="array" ref="H936">IFERROR(_xlfn.IFS(B936="","",AND(B936="",G936=""),"",G936="","記載要"),"")</f>
        <v/>
      </c>
      <c r="K936" t="str">
        <f t="shared" si="144"/>
        <v>11WP01008499</v>
      </c>
      <c r="L936" s="3" t="str">
        <f t="shared" si="145"/>
        <v>2001/01/01</v>
      </c>
      <c r="M936" s="3" t="str">
        <f t="shared" si="146"/>
        <v>2199/12/31</v>
      </c>
      <c r="N936" t="str">
        <f t="shared" si="147"/>
        <v>11WP01008499</v>
      </c>
      <c r="O936">
        <v>15</v>
      </c>
      <c r="Q936" t="str" cm="1">
        <f t="array" ref="Q936">_xlfn.IFS(AND(C936="",G936=""),"",LEFT(G936,1)="L","記載要",LEFT(G936,1)="W","",AND(C936,G936=""),"記載要")</f>
        <v/>
      </c>
      <c r="R936" s="21" t="str">
        <f t="shared" si="152"/>
        <v/>
      </c>
      <c r="S936" s="21"/>
      <c r="Z936" s="8"/>
      <c r="AA936">
        <v>1</v>
      </c>
      <c r="AB936">
        <f t="shared" si="148"/>
        <v>0</v>
      </c>
      <c r="AC936">
        <v>1</v>
      </c>
      <c r="AF936">
        <v>1</v>
      </c>
      <c r="AG936" s="8"/>
      <c r="AH936" s="8"/>
      <c r="AK936" cm="1">
        <f t="array" ref="AK936">_xlfn.IFS(B936="","",LEFT(G936,1)="L",1,LEFT(G936,1)="W",1,AND(LEFT(B936,1)="H",G936=""),0)</f>
        <v>1</v>
      </c>
      <c r="AS936" t="str">
        <f t="shared" si="149"/>
        <v/>
      </c>
      <c r="AT936" t="s">
        <v>115</v>
      </c>
      <c r="AU936" t="str">
        <f t="shared" si="150"/>
        <v>0</v>
      </c>
      <c r="BD936" t="str">
        <f t="shared" si="151"/>
        <v>0</v>
      </c>
      <c r="BK936" t="str">
        <f>IFERROR(VLOOKUP(B936,'[1]model_S-フレーム'!$F$5:$R$7000,13,1),"")</f>
        <v>E389460_01</v>
      </c>
      <c r="BL936" s="7">
        <f>IFERROR(VLOOKUP(B936,'[1]model_S-フレーム'!$F$5:$V$7000,17,1),"")</f>
        <v>0</v>
      </c>
      <c r="BM936" t="str" cm="1">
        <f t="array" ref="BM936">_xlfn.IFS(LEFT(G936,1)="L","外注品",LEFT(G936,1)="W","内製品",G936="","購買品")</f>
        <v>内製品</v>
      </c>
    </row>
    <row r="937" spans="1:65">
      <c r="A937" t="str">
        <f t="shared" si="143"/>
        <v>WG01</v>
      </c>
      <c r="B937" t="s">
        <v>1090</v>
      </c>
      <c r="C937" t="s">
        <v>1520</v>
      </c>
      <c r="D937" s="7"/>
      <c r="E937" s="7"/>
      <c r="G937" t="s">
        <v>1939</v>
      </c>
      <c r="H937" t="str" cm="1">
        <f t="array" ref="H937">IFERROR(_xlfn.IFS(B937="","",AND(B937="",G937=""),"",G937="","記載要"),"")</f>
        <v/>
      </c>
      <c r="K937" t="str">
        <f t="shared" si="144"/>
        <v>11WP01008500</v>
      </c>
      <c r="L937" s="3" t="str">
        <f t="shared" si="145"/>
        <v>2001/01/01</v>
      </c>
      <c r="M937" s="3" t="str">
        <f t="shared" si="146"/>
        <v>2199/12/31</v>
      </c>
      <c r="N937" t="str">
        <f t="shared" si="147"/>
        <v>11WP01008500</v>
      </c>
      <c r="O937">
        <v>15</v>
      </c>
      <c r="Q937" t="str" cm="1">
        <f t="array" ref="Q937">_xlfn.IFS(AND(C937="",G937=""),"",LEFT(G937,1)="L","記載要",LEFT(G937,1)="W","",AND(C937,G937=""),"記載要")</f>
        <v/>
      </c>
      <c r="R937" s="21" t="str">
        <f t="shared" si="152"/>
        <v/>
      </c>
      <c r="S937" s="21"/>
      <c r="Z937" s="8"/>
      <c r="AA937">
        <v>1</v>
      </c>
      <c r="AB937">
        <f t="shared" si="148"/>
        <v>0</v>
      </c>
      <c r="AC937">
        <v>1</v>
      </c>
      <c r="AF937">
        <v>1</v>
      </c>
      <c r="AG937" s="8"/>
      <c r="AH937" s="8"/>
      <c r="AK937" cm="1">
        <f t="array" ref="AK937">_xlfn.IFS(B937="","",LEFT(G937,1)="L",1,LEFT(G937,1)="W",1,AND(LEFT(B937,1)="H",G937=""),0)</f>
        <v>1</v>
      </c>
      <c r="AS937" t="str">
        <f t="shared" si="149"/>
        <v/>
      </c>
      <c r="AT937" t="s">
        <v>115</v>
      </c>
      <c r="AU937" t="str">
        <f t="shared" si="150"/>
        <v>0</v>
      </c>
      <c r="BD937" t="str">
        <f t="shared" si="151"/>
        <v>0</v>
      </c>
      <c r="BK937" t="str">
        <f>IFERROR(VLOOKUP(B937,'[1]model_S-フレーム'!$F$5:$R$7000,13,1),"")</f>
        <v>E389460_01</v>
      </c>
      <c r="BL937" s="7">
        <f>IFERROR(VLOOKUP(B937,'[1]model_S-フレーム'!$F$5:$V$7000,17,1),"")</f>
        <v>0</v>
      </c>
      <c r="BM937" t="str" cm="1">
        <f t="array" ref="BM937">_xlfn.IFS(LEFT(G937,1)="L","外注品",LEFT(G937,1)="W","内製品",G937="","購買品")</f>
        <v>内製品</v>
      </c>
    </row>
    <row r="938" spans="1:65">
      <c r="A938" t="str">
        <f t="shared" si="143"/>
        <v>WG01</v>
      </c>
      <c r="B938" t="s">
        <v>1091</v>
      </c>
      <c r="C938" t="s">
        <v>1520</v>
      </c>
      <c r="D938" s="7"/>
      <c r="E938" s="7"/>
      <c r="G938" t="s">
        <v>1939</v>
      </c>
      <c r="H938" t="str" cm="1">
        <f t="array" ref="H938">IFERROR(_xlfn.IFS(B938="","",AND(B938="",G938=""),"",G938="","記載要"),"")</f>
        <v/>
      </c>
      <c r="K938" t="str">
        <f t="shared" si="144"/>
        <v>11WP01008501</v>
      </c>
      <c r="L938" s="3" t="str">
        <f t="shared" si="145"/>
        <v>2001/01/01</v>
      </c>
      <c r="M938" s="3" t="str">
        <f t="shared" si="146"/>
        <v>2199/12/31</v>
      </c>
      <c r="N938" t="str">
        <f t="shared" si="147"/>
        <v>11WP01008501</v>
      </c>
      <c r="O938">
        <v>15</v>
      </c>
      <c r="Q938" t="str" cm="1">
        <f t="array" ref="Q938">_xlfn.IFS(AND(C938="",G938=""),"",LEFT(G938,1)="L","記載要",LEFT(G938,1)="W","",AND(C938,G938=""),"記載要")</f>
        <v/>
      </c>
      <c r="R938" s="21" t="str">
        <f t="shared" si="152"/>
        <v/>
      </c>
      <c r="S938" s="21"/>
      <c r="Z938" s="8"/>
      <c r="AA938">
        <v>1</v>
      </c>
      <c r="AB938">
        <f t="shared" si="148"/>
        <v>0</v>
      </c>
      <c r="AC938">
        <v>1</v>
      </c>
      <c r="AF938">
        <v>1</v>
      </c>
      <c r="AG938" s="8"/>
      <c r="AH938" s="8"/>
      <c r="AK938" cm="1">
        <f t="array" ref="AK938">_xlfn.IFS(B938="","",LEFT(G938,1)="L",1,LEFT(G938,1)="W",1,AND(LEFT(B938,1)="H",G938=""),0)</f>
        <v>1</v>
      </c>
      <c r="AS938" t="str">
        <f t="shared" si="149"/>
        <v/>
      </c>
      <c r="AT938" t="s">
        <v>115</v>
      </c>
      <c r="AU938" t="str">
        <f t="shared" si="150"/>
        <v>0</v>
      </c>
      <c r="BD938" t="str">
        <f t="shared" si="151"/>
        <v>0</v>
      </c>
      <c r="BK938" t="str">
        <f>IFERROR(VLOOKUP(B938,'[1]model_S-フレーム'!$F$5:$R$7000,13,1),"")</f>
        <v>E389460_01</v>
      </c>
      <c r="BL938" s="7">
        <f>IFERROR(VLOOKUP(B938,'[1]model_S-フレーム'!$F$5:$V$7000,17,1),"")</f>
        <v>0</v>
      </c>
      <c r="BM938" t="str" cm="1">
        <f t="array" ref="BM938">_xlfn.IFS(LEFT(G938,1)="L","外注品",LEFT(G938,1)="W","内製品",G938="","購買品")</f>
        <v>内製品</v>
      </c>
    </row>
    <row r="939" spans="1:65">
      <c r="A939" t="str">
        <f t="shared" si="143"/>
        <v>WG01</v>
      </c>
      <c r="B939" t="s">
        <v>1092</v>
      </c>
      <c r="C939" t="s">
        <v>1520</v>
      </c>
      <c r="D939" s="7"/>
      <c r="E939" s="7"/>
      <c r="G939" t="s">
        <v>1939</v>
      </c>
      <c r="H939" t="str" cm="1">
        <f t="array" ref="H939">IFERROR(_xlfn.IFS(B939="","",AND(B939="",G939=""),"",G939="","記載要"),"")</f>
        <v/>
      </c>
      <c r="K939" t="str">
        <f t="shared" si="144"/>
        <v>11WP01008502</v>
      </c>
      <c r="L939" s="3" t="str">
        <f t="shared" si="145"/>
        <v>2001/01/01</v>
      </c>
      <c r="M939" s="3" t="str">
        <f t="shared" si="146"/>
        <v>2199/12/31</v>
      </c>
      <c r="N939" t="str">
        <f t="shared" si="147"/>
        <v>11WP01008502</v>
      </c>
      <c r="O939">
        <v>15</v>
      </c>
      <c r="Q939" t="str" cm="1">
        <f t="array" ref="Q939">_xlfn.IFS(AND(C939="",G939=""),"",LEFT(G939,1)="L","記載要",LEFT(G939,1)="W","",AND(C939,G939=""),"記載要")</f>
        <v/>
      </c>
      <c r="R939" s="21" t="str">
        <f t="shared" si="152"/>
        <v/>
      </c>
      <c r="S939" s="21"/>
      <c r="Z939" s="8"/>
      <c r="AA939">
        <v>1</v>
      </c>
      <c r="AB939">
        <f t="shared" si="148"/>
        <v>0</v>
      </c>
      <c r="AC939">
        <v>1</v>
      </c>
      <c r="AF939">
        <v>1</v>
      </c>
      <c r="AG939" s="8"/>
      <c r="AH939" s="8"/>
      <c r="AK939" cm="1">
        <f t="array" ref="AK939">_xlfn.IFS(B939="","",LEFT(G939,1)="L",1,LEFT(G939,1)="W",1,AND(LEFT(B939,1)="H",G939=""),0)</f>
        <v>1</v>
      </c>
      <c r="AS939" t="str">
        <f t="shared" si="149"/>
        <v/>
      </c>
      <c r="AT939" t="s">
        <v>115</v>
      </c>
      <c r="AU939" t="str">
        <f t="shared" si="150"/>
        <v>0</v>
      </c>
      <c r="BD939" t="str">
        <f t="shared" si="151"/>
        <v>0</v>
      </c>
      <c r="BK939" t="str">
        <f>IFERROR(VLOOKUP(B939,'[1]model_S-フレーム'!$F$5:$R$7000,13,1),"")</f>
        <v>E389460_01</v>
      </c>
      <c r="BL939" s="7">
        <f>IFERROR(VLOOKUP(B939,'[1]model_S-フレーム'!$F$5:$V$7000,17,1),"")</f>
        <v>0</v>
      </c>
      <c r="BM939" t="str" cm="1">
        <f t="array" ref="BM939">_xlfn.IFS(LEFT(G939,1)="L","外注品",LEFT(G939,1)="W","内製品",G939="","購買品")</f>
        <v>内製品</v>
      </c>
    </row>
    <row r="940" spans="1:65">
      <c r="A940" t="str">
        <f t="shared" si="143"/>
        <v>WG01</v>
      </c>
      <c r="B940" t="s">
        <v>1093</v>
      </c>
      <c r="C940" t="s">
        <v>1520</v>
      </c>
      <c r="D940" s="7"/>
      <c r="E940" s="7"/>
      <c r="G940" t="s">
        <v>1939</v>
      </c>
      <c r="H940" t="str" cm="1">
        <f t="array" ref="H940">IFERROR(_xlfn.IFS(B940="","",AND(B940="",G940=""),"",G940="","記載要"),"")</f>
        <v/>
      </c>
      <c r="K940" t="str">
        <f t="shared" si="144"/>
        <v>11WP01008503</v>
      </c>
      <c r="L940" s="3" t="str">
        <f t="shared" si="145"/>
        <v>2001/01/01</v>
      </c>
      <c r="M940" s="3" t="str">
        <f t="shared" si="146"/>
        <v>2199/12/31</v>
      </c>
      <c r="N940" t="str">
        <f t="shared" si="147"/>
        <v>11WP01008503</v>
      </c>
      <c r="O940">
        <v>15</v>
      </c>
      <c r="Q940" t="str" cm="1">
        <f t="array" ref="Q940">_xlfn.IFS(AND(C940="",G940=""),"",LEFT(G940,1)="L","記載要",LEFT(G940,1)="W","",AND(C940,G940=""),"記載要")</f>
        <v/>
      </c>
      <c r="R940" s="21" t="str">
        <f t="shared" si="152"/>
        <v/>
      </c>
      <c r="S940" s="21"/>
      <c r="Z940" s="8"/>
      <c r="AA940">
        <v>1</v>
      </c>
      <c r="AB940">
        <f t="shared" si="148"/>
        <v>0</v>
      </c>
      <c r="AC940">
        <v>1</v>
      </c>
      <c r="AF940">
        <v>1</v>
      </c>
      <c r="AG940" s="8"/>
      <c r="AH940" s="8"/>
      <c r="AK940" cm="1">
        <f t="array" ref="AK940">_xlfn.IFS(B940="","",LEFT(G940,1)="L",1,LEFT(G940,1)="W",1,AND(LEFT(B940,1)="H",G940=""),0)</f>
        <v>1</v>
      </c>
      <c r="AS940" t="str">
        <f t="shared" si="149"/>
        <v/>
      </c>
      <c r="AT940" t="s">
        <v>115</v>
      </c>
      <c r="AU940" t="str">
        <f t="shared" si="150"/>
        <v>0</v>
      </c>
      <c r="BD940" t="str">
        <f t="shared" si="151"/>
        <v>0</v>
      </c>
      <c r="BK940" t="str">
        <f>IFERROR(VLOOKUP(B940,'[1]model_S-フレーム'!$F$5:$R$7000,13,1),"")</f>
        <v>E389460_01</v>
      </c>
      <c r="BL940" s="7">
        <f>IFERROR(VLOOKUP(B940,'[1]model_S-フレーム'!$F$5:$V$7000,17,1),"")</f>
        <v>0</v>
      </c>
      <c r="BM940" t="str" cm="1">
        <f t="array" ref="BM940">_xlfn.IFS(LEFT(G940,1)="L","外注品",LEFT(G940,1)="W","内製品",G940="","購買品")</f>
        <v>内製品</v>
      </c>
    </row>
    <row r="941" spans="1:65">
      <c r="A941" t="str">
        <f t="shared" si="143"/>
        <v>WG01</v>
      </c>
      <c r="B941" t="s">
        <v>1094</v>
      </c>
      <c r="C941" t="s">
        <v>1520</v>
      </c>
      <c r="D941" s="7"/>
      <c r="E941" s="7"/>
      <c r="G941" t="s">
        <v>1939</v>
      </c>
      <c r="H941" t="str" cm="1">
        <f t="array" ref="H941">IFERROR(_xlfn.IFS(B941="","",AND(B941="",G941=""),"",G941="","記載要"),"")</f>
        <v/>
      </c>
      <c r="K941" t="str">
        <f t="shared" si="144"/>
        <v>11WP01008504</v>
      </c>
      <c r="L941" s="3" t="str">
        <f t="shared" si="145"/>
        <v>2001/01/01</v>
      </c>
      <c r="M941" s="3" t="str">
        <f t="shared" si="146"/>
        <v>2199/12/31</v>
      </c>
      <c r="N941" t="str">
        <f t="shared" si="147"/>
        <v>11WP01008504</v>
      </c>
      <c r="O941">
        <v>15</v>
      </c>
      <c r="Q941" t="str" cm="1">
        <f t="array" ref="Q941">_xlfn.IFS(AND(C941="",G941=""),"",LEFT(G941,1)="L","記載要",LEFT(G941,1)="W","",AND(C941,G941=""),"記載要")</f>
        <v/>
      </c>
      <c r="R941" s="21" t="str">
        <f t="shared" si="152"/>
        <v/>
      </c>
      <c r="S941" s="21"/>
      <c r="Z941" s="8"/>
      <c r="AA941">
        <v>1</v>
      </c>
      <c r="AB941">
        <f t="shared" si="148"/>
        <v>0</v>
      </c>
      <c r="AC941">
        <v>1</v>
      </c>
      <c r="AF941">
        <v>1</v>
      </c>
      <c r="AG941" s="8"/>
      <c r="AH941" s="8"/>
      <c r="AK941" cm="1">
        <f t="array" ref="AK941">_xlfn.IFS(B941="","",LEFT(G941,1)="L",1,LEFT(G941,1)="W",1,AND(LEFT(B941,1)="H",G941=""),0)</f>
        <v>1</v>
      </c>
      <c r="AS941" t="str">
        <f t="shared" si="149"/>
        <v/>
      </c>
      <c r="AT941" t="s">
        <v>115</v>
      </c>
      <c r="AU941" t="str">
        <f t="shared" si="150"/>
        <v>0</v>
      </c>
      <c r="BD941" t="str">
        <f t="shared" si="151"/>
        <v>0</v>
      </c>
      <c r="BK941" t="str">
        <f>IFERROR(VLOOKUP(B941,'[1]model_S-フレーム'!$F$5:$R$7000,13,1),"")</f>
        <v>E389460_01</v>
      </c>
      <c r="BL941" s="7">
        <f>IFERROR(VLOOKUP(B941,'[1]model_S-フレーム'!$F$5:$V$7000,17,1),"")</f>
        <v>0</v>
      </c>
      <c r="BM941" t="str" cm="1">
        <f t="array" ref="BM941">_xlfn.IFS(LEFT(G941,1)="L","外注品",LEFT(G941,1)="W","内製品",G941="","購買品")</f>
        <v>内製品</v>
      </c>
    </row>
    <row r="942" spans="1:65">
      <c r="A942" t="str">
        <f t="shared" si="143"/>
        <v>WG01</v>
      </c>
      <c r="B942" t="s">
        <v>1095</v>
      </c>
      <c r="C942" t="s">
        <v>1521</v>
      </c>
      <c r="D942" s="7"/>
      <c r="E942" s="7"/>
      <c r="G942" t="s">
        <v>1939</v>
      </c>
      <c r="H942" t="str" cm="1">
        <f t="array" ref="H942">IFERROR(_xlfn.IFS(B942="","",AND(B942="",G942=""),"",G942="","記載要"),"")</f>
        <v/>
      </c>
      <c r="K942" t="str">
        <f t="shared" si="144"/>
        <v>11WP01008505</v>
      </c>
      <c r="L942" s="3" t="str">
        <f t="shared" si="145"/>
        <v>2001/01/01</v>
      </c>
      <c r="M942" s="3" t="str">
        <f t="shared" si="146"/>
        <v>2199/12/31</v>
      </c>
      <c r="N942" t="str">
        <f t="shared" si="147"/>
        <v>11WP01008505</v>
      </c>
      <c r="O942">
        <v>15</v>
      </c>
      <c r="Q942" t="str" cm="1">
        <f t="array" ref="Q942">_xlfn.IFS(AND(C942="",G942=""),"",LEFT(G942,1)="L","記載要",LEFT(G942,1)="W","",AND(C942,G942=""),"記載要")</f>
        <v/>
      </c>
      <c r="R942" s="21" t="str">
        <f t="shared" si="152"/>
        <v/>
      </c>
      <c r="S942" s="21"/>
      <c r="Z942" s="8"/>
      <c r="AA942">
        <v>1</v>
      </c>
      <c r="AB942">
        <f t="shared" si="148"/>
        <v>0</v>
      </c>
      <c r="AC942">
        <v>1</v>
      </c>
      <c r="AF942">
        <v>1</v>
      </c>
      <c r="AG942" s="8"/>
      <c r="AH942" s="8"/>
      <c r="AK942" cm="1">
        <f t="array" ref="AK942">_xlfn.IFS(B942="","",LEFT(G942,1)="L",1,LEFT(G942,1)="W",1,AND(LEFT(B942,1)="H",G942=""),0)</f>
        <v>1</v>
      </c>
      <c r="AS942" t="str">
        <f t="shared" si="149"/>
        <v/>
      </c>
      <c r="AT942" t="s">
        <v>115</v>
      </c>
      <c r="AU942" t="str">
        <f t="shared" si="150"/>
        <v>0</v>
      </c>
      <c r="BD942" t="str">
        <f t="shared" si="151"/>
        <v>0</v>
      </c>
      <c r="BK942" t="str">
        <f>IFERROR(VLOOKUP(B942,'[1]model_S-フレーム'!$F$5:$R$7000,13,1),"")</f>
        <v>E389460_01</v>
      </c>
      <c r="BL942" s="7">
        <f>IFERROR(VLOOKUP(B942,'[1]model_S-フレーム'!$F$5:$V$7000,17,1),"")</f>
        <v>0</v>
      </c>
      <c r="BM942" t="str" cm="1">
        <f t="array" ref="BM942">_xlfn.IFS(LEFT(G942,1)="L","外注品",LEFT(G942,1)="W","内製品",G942="","購買品")</f>
        <v>内製品</v>
      </c>
    </row>
    <row r="943" spans="1:65">
      <c r="A943" t="str">
        <f t="shared" si="143"/>
        <v>WG01</v>
      </c>
      <c r="B943" t="s">
        <v>1096</v>
      </c>
      <c r="C943" t="s">
        <v>1521</v>
      </c>
      <c r="D943" s="7"/>
      <c r="E943" s="7"/>
      <c r="G943" t="s">
        <v>1939</v>
      </c>
      <c r="H943" t="str" cm="1">
        <f t="array" ref="H943">IFERROR(_xlfn.IFS(B943="","",AND(B943="",G943=""),"",G943="","記載要"),"")</f>
        <v/>
      </c>
      <c r="K943" t="str">
        <f t="shared" si="144"/>
        <v>11WP01008506</v>
      </c>
      <c r="L943" s="3" t="str">
        <f t="shared" si="145"/>
        <v>2001/01/01</v>
      </c>
      <c r="M943" s="3" t="str">
        <f t="shared" si="146"/>
        <v>2199/12/31</v>
      </c>
      <c r="N943" t="str">
        <f t="shared" si="147"/>
        <v>11WP01008506</v>
      </c>
      <c r="O943">
        <v>15</v>
      </c>
      <c r="Q943" t="str" cm="1">
        <f t="array" ref="Q943">_xlfn.IFS(AND(C943="",G943=""),"",LEFT(G943,1)="L","記載要",LEFT(G943,1)="W","",AND(C943,G943=""),"記載要")</f>
        <v/>
      </c>
      <c r="R943" s="21" t="str">
        <f t="shared" si="152"/>
        <v/>
      </c>
      <c r="S943" s="21"/>
      <c r="Z943" s="8"/>
      <c r="AA943">
        <v>1</v>
      </c>
      <c r="AB943">
        <f t="shared" si="148"/>
        <v>0</v>
      </c>
      <c r="AC943">
        <v>1</v>
      </c>
      <c r="AF943">
        <v>1</v>
      </c>
      <c r="AG943" s="8"/>
      <c r="AH943" s="8"/>
      <c r="AK943" cm="1">
        <f t="array" ref="AK943">_xlfn.IFS(B943="","",LEFT(G943,1)="L",1,LEFT(G943,1)="W",1,AND(LEFT(B943,1)="H",G943=""),0)</f>
        <v>1</v>
      </c>
      <c r="AS943" t="str">
        <f t="shared" si="149"/>
        <v/>
      </c>
      <c r="AT943" t="s">
        <v>115</v>
      </c>
      <c r="AU943" t="str">
        <f t="shared" si="150"/>
        <v>0</v>
      </c>
      <c r="BD943" t="str">
        <f t="shared" si="151"/>
        <v>0</v>
      </c>
      <c r="BK943" t="str">
        <f>IFERROR(VLOOKUP(B943,'[1]model_S-フレーム'!$F$5:$R$7000,13,1),"")</f>
        <v>E389460_01</v>
      </c>
      <c r="BL943" s="7">
        <f>IFERROR(VLOOKUP(B943,'[1]model_S-フレーム'!$F$5:$V$7000,17,1),"")</f>
        <v>0</v>
      </c>
      <c r="BM943" t="str" cm="1">
        <f t="array" ref="BM943">_xlfn.IFS(LEFT(G943,1)="L","外注品",LEFT(G943,1)="W","内製品",G943="","購買品")</f>
        <v>内製品</v>
      </c>
    </row>
    <row r="944" spans="1:65">
      <c r="A944" t="str">
        <f t="shared" si="143"/>
        <v>WG01</v>
      </c>
      <c r="B944" t="s">
        <v>1097</v>
      </c>
      <c r="C944" t="s">
        <v>1521</v>
      </c>
      <c r="D944" s="7"/>
      <c r="E944" s="7"/>
      <c r="G944" t="s">
        <v>1939</v>
      </c>
      <c r="H944" t="str" cm="1">
        <f t="array" ref="H944">IFERROR(_xlfn.IFS(B944="","",AND(B944="",G944=""),"",G944="","記載要"),"")</f>
        <v/>
      </c>
      <c r="K944" t="str">
        <f t="shared" si="144"/>
        <v>11WP01008507</v>
      </c>
      <c r="L944" s="3" t="str">
        <f t="shared" si="145"/>
        <v>2001/01/01</v>
      </c>
      <c r="M944" s="3" t="str">
        <f t="shared" si="146"/>
        <v>2199/12/31</v>
      </c>
      <c r="N944" t="str">
        <f t="shared" si="147"/>
        <v>11WP01008507</v>
      </c>
      <c r="O944">
        <v>15</v>
      </c>
      <c r="Q944" t="str" cm="1">
        <f t="array" ref="Q944">_xlfn.IFS(AND(C944="",G944=""),"",LEFT(G944,1)="L","記載要",LEFT(G944,1)="W","",AND(C944,G944=""),"記載要")</f>
        <v/>
      </c>
      <c r="R944" s="21" t="str">
        <f t="shared" si="152"/>
        <v/>
      </c>
      <c r="S944" s="21"/>
      <c r="Z944" s="8"/>
      <c r="AA944">
        <v>1</v>
      </c>
      <c r="AB944">
        <f t="shared" si="148"/>
        <v>0</v>
      </c>
      <c r="AC944">
        <v>1</v>
      </c>
      <c r="AF944">
        <v>1</v>
      </c>
      <c r="AG944" s="8"/>
      <c r="AH944" s="8"/>
      <c r="AK944" cm="1">
        <f t="array" ref="AK944">_xlfn.IFS(B944="","",LEFT(G944,1)="L",1,LEFT(G944,1)="W",1,AND(LEFT(B944,1)="H",G944=""),0)</f>
        <v>1</v>
      </c>
      <c r="AS944" t="str">
        <f t="shared" si="149"/>
        <v/>
      </c>
      <c r="AT944" t="s">
        <v>115</v>
      </c>
      <c r="AU944" t="str">
        <f t="shared" si="150"/>
        <v>0</v>
      </c>
      <c r="BD944" t="str">
        <f t="shared" si="151"/>
        <v>0</v>
      </c>
      <c r="BK944" t="str">
        <f>IFERROR(VLOOKUP(B944,'[1]model_S-フレーム'!$F$5:$R$7000,13,1),"")</f>
        <v>E389460_01</v>
      </c>
      <c r="BL944" s="7">
        <f>IFERROR(VLOOKUP(B944,'[1]model_S-フレーム'!$F$5:$V$7000,17,1),"")</f>
        <v>0</v>
      </c>
      <c r="BM944" t="str" cm="1">
        <f t="array" ref="BM944">_xlfn.IFS(LEFT(G944,1)="L","外注品",LEFT(G944,1)="W","内製品",G944="","購買品")</f>
        <v>内製品</v>
      </c>
    </row>
    <row r="945" spans="1:65">
      <c r="A945" t="str">
        <f t="shared" si="143"/>
        <v>WG01</v>
      </c>
      <c r="B945" t="s">
        <v>1098</v>
      </c>
      <c r="C945" t="s">
        <v>1521</v>
      </c>
      <c r="D945" s="7"/>
      <c r="E945" s="7"/>
      <c r="G945" t="s">
        <v>1939</v>
      </c>
      <c r="H945" t="str" cm="1">
        <f t="array" ref="H945">IFERROR(_xlfn.IFS(B945="","",AND(B945="",G945=""),"",G945="","記載要"),"")</f>
        <v/>
      </c>
      <c r="K945" t="str">
        <f t="shared" si="144"/>
        <v>11WP01008508</v>
      </c>
      <c r="L945" s="3" t="str">
        <f t="shared" si="145"/>
        <v>2001/01/01</v>
      </c>
      <c r="M945" s="3" t="str">
        <f t="shared" si="146"/>
        <v>2199/12/31</v>
      </c>
      <c r="N945" t="str">
        <f t="shared" si="147"/>
        <v>11WP01008508</v>
      </c>
      <c r="O945">
        <v>15</v>
      </c>
      <c r="Q945" t="str" cm="1">
        <f t="array" ref="Q945">_xlfn.IFS(AND(C945="",G945=""),"",LEFT(G945,1)="L","記載要",LEFT(G945,1)="W","",AND(C945,G945=""),"記載要")</f>
        <v/>
      </c>
      <c r="R945" s="21" t="str">
        <f t="shared" si="152"/>
        <v/>
      </c>
      <c r="S945" s="21"/>
      <c r="Z945" s="8"/>
      <c r="AA945">
        <v>1</v>
      </c>
      <c r="AB945">
        <f t="shared" si="148"/>
        <v>0</v>
      </c>
      <c r="AC945">
        <v>1</v>
      </c>
      <c r="AF945">
        <v>1</v>
      </c>
      <c r="AG945" s="8"/>
      <c r="AH945" s="8"/>
      <c r="AK945" cm="1">
        <f t="array" ref="AK945">_xlfn.IFS(B945="","",LEFT(G945,1)="L",1,LEFT(G945,1)="W",1,AND(LEFT(B945,1)="H",G945=""),0)</f>
        <v>1</v>
      </c>
      <c r="AS945" t="str">
        <f t="shared" si="149"/>
        <v/>
      </c>
      <c r="AT945" t="s">
        <v>115</v>
      </c>
      <c r="AU945" t="str">
        <f t="shared" si="150"/>
        <v>0</v>
      </c>
      <c r="BD945" t="str">
        <f t="shared" si="151"/>
        <v>0</v>
      </c>
      <c r="BK945" t="str">
        <f>IFERROR(VLOOKUP(B945,'[1]model_S-フレーム'!$F$5:$R$7000,13,1),"")</f>
        <v>E389460_01</v>
      </c>
      <c r="BL945" s="7">
        <f>IFERROR(VLOOKUP(B945,'[1]model_S-フレーム'!$F$5:$V$7000,17,1),"")</f>
        <v>0</v>
      </c>
      <c r="BM945" t="str" cm="1">
        <f t="array" ref="BM945">_xlfn.IFS(LEFT(G945,1)="L","外注品",LEFT(G945,1)="W","内製品",G945="","購買品")</f>
        <v>内製品</v>
      </c>
    </row>
    <row r="946" spans="1:65">
      <c r="A946" t="str">
        <f t="shared" si="143"/>
        <v>WG01</v>
      </c>
      <c r="B946" t="s">
        <v>1099</v>
      </c>
      <c r="C946" t="s">
        <v>1521</v>
      </c>
      <c r="D946" s="7"/>
      <c r="E946" s="7"/>
      <c r="G946" t="s">
        <v>1939</v>
      </c>
      <c r="H946" t="str" cm="1">
        <f t="array" ref="H946">IFERROR(_xlfn.IFS(B946="","",AND(B946="",G946=""),"",G946="","記載要"),"")</f>
        <v/>
      </c>
      <c r="K946" t="str">
        <f t="shared" si="144"/>
        <v>11WP01008509</v>
      </c>
      <c r="L946" s="3" t="str">
        <f t="shared" si="145"/>
        <v>2001/01/01</v>
      </c>
      <c r="M946" s="3" t="str">
        <f t="shared" si="146"/>
        <v>2199/12/31</v>
      </c>
      <c r="N946" t="str">
        <f t="shared" si="147"/>
        <v>11WP01008509</v>
      </c>
      <c r="O946">
        <v>15</v>
      </c>
      <c r="Q946" t="str" cm="1">
        <f t="array" ref="Q946">_xlfn.IFS(AND(C946="",G946=""),"",LEFT(G946,1)="L","記載要",LEFT(G946,1)="W","",AND(C946,G946=""),"記載要")</f>
        <v/>
      </c>
      <c r="R946" s="21" t="str">
        <f t="shared" si="152"/>
        <v/>
      </c>
      <c r="S946" s="21"/>
      <c r="Z946" s="8"/>
      <c r="AA946">
        <v>1</v>
      </c>
      <c r="AB946">
        <f t="shared" si="148"/>
        <v>0</v>
      </c>
      <c r="AC946">
        <v>1</v>
      </c>
      <c r="AF946">
        <v>1</v>
      </c>
      <c r="AG946" s="8"/>
      <c r="AH946" s="8"/>
      <c r="AK946" cm="1">
        <f t="array" ref="AK946">_xlfn.IFS(B946="","",LEFT(G946,1)="L",1,LEFT(G946,1)="W",1,AND(LEFT(B946,1)="H",G946=""),0)</f>
        <v>1</v>
      </c>
      <c r="AS946" t="str">
        <f t="shared" si="149"/>
        <v/>
      </c>
      <c r="AT946" t="s">
        <v>115</v>
      </c>
      <c r="AU946" t="str">
        <f t="shared" si="150"/>
        <v>0</v>
      </c>
      <c r="BD946" t="str">
        <f t="shared" si="151"/>
        <v>0</v>
      </c>
      <c r="BK946" t="str">
        <f>IFERROR(VLOOKUP(B946,'[1]model_S-フレーム'!$F$5:$R$7000,13,1),"")</f>
        <v>E389460_01</v>
      </c>
      <c r="BL946" s="7">
        <f>IFERROR(VLOOKUP(B946,'[1]model_S-フレーム'!$F$5:$V$7000,17,1),"")</f>
        <v>0</v>
      </c>
      <c r="BM946" t="str" cm="1">
        <f t="array" ref="BM946">_xlfn.IFS(LEFT(G946,1)="L","外注品",LEFT(G946,1)="W","内製品",G946="","購買品")</f>
        <v>内製品</v>
      </c>
    </row>
    <row r="947" spans="1:65">
      <c r="A947" t="str">
        <f t="shared" si="143"/>
        <v>WG01</v>
      </c>
      <c r="B947" t="s">
        <v>1100</v>
      </c>
      <c r="C947" t="s">
        <v>1521</v>
      </c>
      <c r="D947" s="7"/>
      <c r="E947" s="7"/>
      <c r="G947" t="s">
        <v>1939</v>
      </c>
      <c r="H947" t="str" cm="1">
        <f t="array" ref="H947">IFERROR(_xlfn.IFS(B947="","",AND(B947="",G947=""),"",G947="","記載要"),"")</f>
        <v/>
      </c>
      <c r="K947" t="str">
        <f t="shared" si="144"/>
        <v>11WP01008510</v>
      </c>
      <c r="L947" s="3" t="str">
        <f t="shared" si="145"/>
        <v>2001/01/01</v>
      </c>
      <c r="M947" s="3" t="str">
        <f t="shared" si="146"/>
        <v>2199/12/31</v>
      </c>
      <c r="N947" t="str">
        <f t="shared" si="147"/>
        <v>11WP01008510</v>
      </c>
      <c r="O947">
        <v>15</v>
      </c>
      <c r="Q947" t="str" cm="1">
        <f t="array" ref="Q947">_xlfn.IFS(AND(C947="",G947=""),"",LEFT(G947,1)="L","記載要",LEFT(G947,1)="W","",AND(C947,G947=""),"記載要")</f>
        <v/>
      </c>
      <c r="R947" s="21" t="str">
        <f t="shared" si="152"/>
        <v/>
      </c>
      <c r="S947" s="21"/>
      <c r="Z947" s="8"/>
      <c r="AA947">
        <v>1</v>
      </c>
      <c r="AB947">
        <f t="shared" si="148"/>
        <v>0</v>
      </c>
      <c r="AC947">
        <v>1</v>
      </c>
      <c r="AF947">
        <v>1</v>
      </c>
      <c r="AG947" s="8"/>
      <c r="AH947" s="8"/>
      <c r="AK947" cm="1">
        <f t="array" ref="AK947">_xlfn.IFS(B947="","",LEFT(G947,1)="L",1,LEFT(G947,1)="W",1,AND(LEFT(B947,1)="H",G947=""),0)</f>
        <v>1</v>
      </c>
      <c r="AS947" t="str">
        <f t="shared" si="149"/>
        <v/>
      </c>
      <c r="AT947" t="s">
        <v>115</v>
      </c>
      <c r="AU947" t="str">
        <f t="shared" si="150"/>
        <v>0</v>
      </c>
      <c r="BD947" t="str">
        <f t="shared" si="151"/>
        <v>0</v>
      </c>
      <c r="BK947" t="str">
        <f>IFERROR(VLOOKUP(B947,'[1]model_S-フレーム'!$F$5:$R$7000,13,1),"")</f>
        <v>E389460_01</v>
      </c>
      <c r="BL947" s="7">
        <f>IFERROR(VLOOKUP(B947,'[1]model_S-フレーム'!$F$5:$V$7000,17,1),"")</f>
        <v>0</v>
      </c>
      <c r="BM947" t="str" cm="1">
        <f t="array" ref="BM947">_xlfn.IFS(LEFT(G947,1)="L","外注品",LEFT(G947,1)="W","内製品",G947="","購買品")</f>
        <v>内製品</v>
      </c>
    </row>
    <row r="948" spans="1:65">
      <c r="A948" t="str">
        <f t="shared" si="143"/>
        <v>WG01</v>
      </c>
      <c r="B948" t="s">
        <v>1101</v>
      </c>
      <c r="C948" t="s">
        <v>1521</v>
      </c>
      <c r="D948" s="7"/>
      <c r="E948" s="7"/>
      <c r="G948" t="s">
        <v>1939</v>
      </c>
      <c r="H948" t="str" cm="1">
        <f t="array" ref="H948">IFERROR(_xlfn.IFS(B948="","",AND(B948="",G948=""),"",G948="","記載要"),"")</f>
        <v/>
      </c>
      <c r="K948" t="str">
        <f t="shared" si="144"/>
        <v>11WP01008511</v>
      </c>
      <c r="L948" s="3" t="str">
        <f t="shared" si="145"/>
        <v>2001/01/01</v>
      </c>
      <c r="M948" s="3" t="str">
        <f t="shared" si="146"/>
        <v>2199/12/31</v>
      </c>
      <c r="N948" t="str">
        <f t="shared" si="147"/>
        <v>11WP01008511</v>
      </c>
      <c r="O948">
        <v>15</v>
      </c>
      <c r="Q948" t="str" cm="1">
        <f t="array" ref="Q948">_xlfn.IFS(AND(C948="",G948=""),"",LEFT(G948,1)="L","記載要",LEFT(G948,1)="W","",AND(C948,G948=""),"記載要")</f>
        <v/>
      </c>
      <c r="R948" s="21" t="str">
        <f t="shared" si="152"/>
        <v/>
      </c>
      <c r="S948" s="21"/>
      <c r="Z948" s="8"/>
      <c r="AA948">
        <v>1</v>
      </c>
      <c r="AB948">
        <f t="shared" si="148"/>
        <v>0</v>
      </c>
      <c r="AC948">
        <v>1</v>
      </c>
      <c r="AF948">
        <v>1</v>
      </c>
      <c r="AG948" s="8"/>
      <c r="AH948" s="8"/>
      <c r="AK948" cm="1">
        <f t="array" ref="AK948">_xlfn.IFS(B948="","",LEFT(G948,1)="L",1,LEFT(G948,1)="W",1,AND(LEFT(B948,1)="H",G948=""),0)</f>
        <v>1</v>
      </c>
      <c r="AS948" t="str">
        <f t="shared" si="149"/>
        <v/>
      </c>
      <c r="AT948" t="s">
        <v>115</v>
      </c>
      <c r="AU948" t="str">
        <f t="shared" si="150"/>
        <v>0</v>
      </c>
      <c r="BD948" t="str">
        <f t="shared" si="151"/>
        <v>0</v>
      </c>
      <c r="BK948" t="str">
        <f>IFERROR(VLOOKUP(B948,'[1]model_S-フレーム'!$F$5:$R$7000,13,1),"")</f>
        <v>E389460_01</v>
      </c>
      <c r="BL948" s="7">
        <f>IFERROR(VLOOKUP(B948,'[1]model_S-フレーム'!$F$5:$V$7000,17,1),"")</f>
        <v>0</v>
      </c>
      <c r="BM948" t="str" cm="1">
        <f t="array" ref="BM948">_xlfn.IFS(LEFT(G948,1)="L","外注品",LEFT(G948,1)="W","内製品",G948="","購買品")</f>
        <v>内製品</v>
      </c>
    </row>
    <row r="949" spans="1:65">
      <c r="A949" t="str">
        <f t="shared" si="143"/>
        <v>WG01</v>
      </c>
      <c r="B949" t="s">
        <v>1102</v>
      </c>
      <c r="C949" t="s">
        <v>1521</v>
      </c>
      <c r="D949" s="7"/>
      <c r="E949" s="7"/>
      <c r="G949" t="s">
        <v>1939</v>
      </c>
      <c r="H949" t="str" cm="1">
        <f t="array" ref="H949">IFERROR(_xlfn.IFS(B949="","",AND(B949="",G949=""),"",G949="","記載要"),"")</f>
        <v/>
      </c>
      <c r="K949" t="str">
        <f t="shared" si="144"/>
        <v>11WP01008512</v>
      </c>
      <c r="L949" s="3" t="str">
        <f t="shared" si="145"/>
        <v>2001/01/01</v>
      </c>
      <c r="M949" s="3" t="str">
        <f t="shared" si="146"/>
        <v>2199/12/31</v>
      </c>
      <c r="N949" t="str">
        <f t="shared" si="147"/>
        <v>11WP01008512</v>
      </c>
      <c r="O949">
        <v>15</v>
      </c>
      <c r="Q949" t="str" cm="1">
        <f t="array" ref="Q949">_xlfn.IFS(AND(C949="",G949=""),"",LEFT(G949,1)="L","記載要",LEFT(G949,1)="W","",AND(C949,G949=""),"記載要")</f>
        <v/>
      </c>
      <c r="R949" s="21" t="str">
        <f t="shared" si="152"/>
        <v/>
      </c>
      <c r="S949" s="21"/>
      <c r="Z949" s="8"/>
      <c r="AA949">
        <v>1</v>
      </c>
      <c r="AB949">
        <f t="shared" si="148"/>
        <v>0</v>
      </c>
      <c r="AC949">
        <v>1</v>
      </c>
      <c r="AF949">
        <v>1</v>
      </c>
      <c r="AG949" s="8"/>
      <c r="AH949" s="8"/>
      <c r="AK949" cm="1">
        <f t="array" ref="AK949">_xlfn.IFS(B949="","",LEFT(G949,1)="L",1,LEFT(G949,1)="W",1,AND(LEFT(B949,1)="H",G949=""),0)</f>
        <v>1</v>
      </c>
      <c r="AS949" t="str">
        <f t="shared" si="149"/>
        <v/>
      </c>
      <c r="AT949" t="s">
        <v>115</v>
      </c>
      <c r="AU949" t="str">
        <f t="shared" si="150"/>
        <v>0</v>
      </c>
      <c r="BD949" t="str">
        <f t="shared" si="151"/>
        <v>0</v>
      </c>
      <c r="BK949" t="str">
        <f>IFERROR(VLOOKUP(B949,'[1]model_S-フレーム'!$F$5:$R$7000,13,1),"")</f>
        <v>E389460_01</v>
      </c>
      <c r="BL949" s="7">
        <f>IFERROR(VLOOKUP(B949,'[1]model_S-フレーム'!$F$5:$V$7000,17,1),"")</f>
        <v>0</v>
      </c>
      <c r="BM949" t="str" cm="1">
        <f t="array" ref="BM949">_xlfn.IFS(LEFT(G949,1)="L","外注品",LEFT(G949,1)="W","内製品",G949="","購買品")</f>
        <v>内製品</v>
      </c>
    </row>
    <row r="950" spans="1:65">
      <c r="A950" t="str">
        <f t="shared" si="143"/>
        <v>WG01</v>
      </c>
      <c r="B950" t="s">
        <v>1103</v>
      </c>
      <c r="C950" t="s">
        <v>1521</v>
      </c>
      <c r="D950" s="7"/>
      <c r="E950" s="7"/>
      <c r="G950" t="s">
        <v>1939</v>
      </c>
      <c r="H950" t="str" cm="1">
        <f t="array" ref="H950">IFERROR(_xlfn.IFS(B950="","",AND(B950="",G950=""),"",G950="","記載要"),"")</f>
        <v/>
      </c>
      <c r="K950" t="str">
        <f t="shared" si="144"/>
        <v>11WP01008513</v>
      </c>
      <c r="L950" s="3" t="str">
        <f t="shared" si="145"/>
        <v>2001/01/01</v>
      </c>
      <c r="M950" s="3" t="str">
        <f t="shared" si="146"/>
        <v>2199/12/31</v>
      </c>
      <c r="N950" t="str">
        <f t="shared" si="147"/>
        <v>11WP01008513</v>
      </c>
      <c r="O950">
        <v>15</v>
      </c>
      <c r="Q950" t="str" cm="1">
        <f t="array" ref="Q950">_xlfn.IFS(AND(C950="",G950=""),"",LEFT(G950,1)="L","記載要",LEFT(G950,1)="W","",AND(C950,G950=""),"記載要")</f>
        <v/>
      </c>
      <c r="R950" s="21" t="str">
        <f t="shared" si="152"/>
        <v/>
      </c>
      <c r="S950" s="21"/>
      <c r="Z950" s="8"/>
      <c r="AA950">
        <v>1</v>
      </c>
      <c r="AB950">
        <f t="shared" si="148"/>
        <v>0</v>
      </c>
      <c r="AC950">
        <v>1</v>
      </c>
      <c r="AF950">
        <v>1</v>
      </c>
      <c r="AG950" s="8"/>
      <c r="AH950" s="8"/>
      <c r="AK950" cm="1">
        <f t="array" ref="AK950">_xlfn.IFS(B950="","",LEFT(G950,1)="L",1,LEFT(G950,1)="W",1,AND(LEFT(B950,1)="H",G950=""),0)</f>
        <v>1</v>
      </c>
      <c r="AS950" t="str">
        <f t="shared" si="149"/>
        <v/>
      </c>
      <c r="AT950" t="s">
        <v>115</v>
      </c>
      <c r="AU950" t="str">
        <f t="shared" si="150"/>
        <v>0</v>
      </c>
      <c r="BD950" t="str">
        <f t="shared" si="151"/>
        <v>0</v>
      </c>
      <c r="BK950" t="str">
        <f>IFERROR(VLOOKUP(B950,'[1]model_S-フレーム'!$F$5:$R$7000,13,1),"")</f>
        <v>E389460_01</v>
      </c>
      <c r="BL950" s="7">
        <f>IFERROR(VLOOKUP(B950,'[1]model_S-フレーム'!$F$5:$V$7000,17,1),"")</f>
        <v>0</v>
      </c>
      <c r="BM950" t="str" cm="1">
        <f t="array" ref="BM950">_xlfn.IFS(LEFT(G950,1)="L","外注品",LEFT(G950,1)="W","内製品",G950="","購買品")</f>
        <v>内製品</v>
      </c>
    </row>
    <row r="951" spans="1:65">
      <c r="A951" t="str">
        <f t="shared" si="143"/>
        <v>WG01</v>
      </c>
      <c r="B951" t="s">
        <v>1104</v>
      </c>
      <c r="C951" t="s">
        <v>1521</v>
      </c>
      <c r="D951" s="7"/>
      <c r="E951" s="7"/>
      <c r="G951" t="s">
        <v>1939</v>
      </c>
      <c r="H951" t="str" cm="1">
        <f t="array" ref="H951">IFERROR(_xlfn.IFS(B951="","",AND(B951="",G951=""),"",G951="","記載要"),"")</f>
        <v/>
      </c>
      <c r="K951" t="str">
        <f t="shared" si="144"/>
        <v>11WP01008514</v>
      </c>
      <c r="L951" s="3" t="str">
        <f t="shared" si="145"/>
        <v>2001/01/01</v>
      </c>
      <c r="M951" s="3" t="str">
        <f t="shared" si="146"/>
        <v>2199/12/31</v>
      </c>
      <c r="N951" t="str">
        <f t="shared" si="147"/>
        <v>11WP01008514</v>
      </c>
      <c r="O951">
        <v>15</v>
      </c>
      <c r="Q951" t="str" cm="1">
        <f t="array" ref="Q951">_xlfn.IFS(AND(C951="",G951=""),"",LEFT(G951,1)="L","記載要",LEFT(G951,1)="W","",AND(C951,G951=""),"記載要")</f>
        <v/>
      </c>
      <c r="R951" s="21" t="str">
        <f t="shared" si="152"/>
        <v/>
      </c>
      <c r="S951" s="21"/>
      <c r="Z951" s="8"/>
      <c r="AA951">
        <v>1</v>
      </c>
      <c r="AB951">
        <f t="shared" si="148"/>
        <v>0</v>
      </c>
      <c r="AC951">
        <v>1</v>
      </c>
      <c r="AF951">
        <v>1</v>
      </c>
      <c r="AG951" s="8"/>
      <c r="AH951" s="8"/>
      <c r="AK951" cm="1">
        <f t="array" ref="AK951">_xlfn.IFS(B951="","",LEFT(G951,1)="L",1,LEFT(G951,1)="W",1,AND(LEFT(B951,1)="H",G951=""),0)</f>
        <v>1</v>
      </c>
      <c r="AS951" t="str">
        <f t="shared" si="149"/>
        <v/>
      </c>
      <c r="AT951" t="s">
        <v>115</v>
      </c>
      <c r="AU951" t="str">
        <f t="shared" si="150"/>
        <v>0</v>
      </c>
      <c r="BD951" t="str">
        <f t="shared" si="151"/>
        <v>0</v>
      </c>
      <c r="BK951" t="str">
        <f>IFERROR(VLOOKUP(B951,'[1]model_S-フレーム'!$F$5:$R$7000,13,1),"")</f>
        <v>E389460_01</v>
      </c>
      <c r="BL951" s="7">
        <f>IFERROR(VLOOKUP(B951,'[1]model_S-フレーム'!$F$5:$V$7000,17,1),"")</f>
        <v>0</v>
      </c>
      <c r="BM951" t="str" cm="1">
        <f t="array" ref="BM951">_xlfn.IFS(LEFT(G951,1)="L","外注品",LEFT(G951,1)="W","内製品",G951="","購買品")</f>
        <v>内製品</v>
      </c>
    </row>
    <row r="952" spans="1:65">
      <c r="A952" t="str">
        <f t="shared" si="143"/>
        <v>WG01</v>
      </c>
      <c r="B952" t="s">
        <v>1105</v>
      </c>
      <c r="C952" t="s">
        <v>1521</v>
      </c>
      <c r="D952" s="7"/>
      <c r="E952" s="7"/>
      <c r="G952" t="s">
        <v>1939</v>
      </c>
      <c r="H952" t="str" cm="1">
        <f t="array" ref="H952">IFERROR(_xlfn.IFS(B952="","",AND(B952="",G952=""),"",G952="","記載要"),"")</f>
        <v/>
      </c>
      <c r="K952" t="str">
        <f t="shared" si="144"/>
        <v>11WP01008515</v>
      </c>
      <c r="L952" s="3" t="str">
        <f t="shared" si="145"/>
        <v>2001/01/01</v>
      </c>
      <c r="M952" s="3" t="str">
        <f t="shared" si="146"/>
        <v>2199/12/31</v>
      </c>
      <c r="N952" t="str">
        <f t="shared" si="147"/>
        <v>11WP01008515</v>
      </c>
      <c r="O952">
        <v>15</v>
      </c>
      <c r="Q952" t="str" cm="1">
        <f t="array" ref="Q952">_xlfn.IFS(AND(C952="",G952=""),"",LEFT(G952,1)="L","記載要",LEFT(G952,1)="W","",AND(C952,G952=""),"記載要")</f>
        <v/>
      </c>
      <c r="R952" s="21" t="str">
        <f t="shared" si="152"/>
        <v/>
      </c>
      <c r="S952" s="21"/>
      <c r="Z952" s="8"/>
      <c r="AA952">
        <v>1</v>
      </c>
      <c r="AB952">
        <f t="shared" si="148"/>
        <v>0</v>
      </c>
      <c r="AC952">
        <v>1</v>
      </c>
      <c r="AF952">
        <v>1</v>
      </c>
      <c r="AG952" s="8"/>
      <c r="AH952" s="8"/>
      <c r="AK952" cm="1">
        <f t="array" ref="AK952">_xlfn.IFS(B952="","",LEFT(G952,1)="L",1,LEFT(G952,1)="W",1,AND(LEFT(B952,1)="H",G952=""),0)</f>
        <v>1</v>
      </c>
      <c r="AS952" t="str">
        <f t="shared" si="149"/>
        <v/>
      </c>
      <c r="AT952" t="s">
        <v>115</v>
      </c>
      <c r="AU952" t="str">
        <f t="shared" si="150"/>
        <v>0</v>
      </c>
      <c r="BD952" t="str">
        <f t="shared" si="151"/>
        <v>0</v>
      </c>
      <c r="BK952" t="str">
        <f>IFERROR(VLOOKUP(B952,'[1]model_S-フレーム'!$F$5:$R$7000,13,1),"")</f>
        <v>E389460_01</v>
      </c>
      <c r="BL952" s="7">
        <f>IFERROR(VLOOKUP(B952,'[1]model_S-フレーム'!$F$5:$V$7000,17,1),"")</f>
        <v>0</v>
      </c>
      <c r="BM952" t="str" cm="1">
        <f t="array" ref="BM952">_xlfn.IFS(LEFT(G952,1)="L","外注品",LEFT(G952,1)="W","内製品",G952="","購買品")</f>
        <v>内製品</v>
      </c>
    </row>
    <row r="953" spans="1:65">
      <c r="A953" t="str">
        <f t="shared" si="143"/>
        <v>WG01</v>
      </c>
      <c r="B953" t="s">
        <v>1106</v>
      </c>
      <c r="C953" t="s">
        <v>1521</v>
      </c>
      <c r="D953" s="7"/>
      <c r="E953" s="7"/>
      <c r="G953" t="s">
        <v>1939</v>
      </c>
      <c r="H953" t="str" cm="1">
        <f t="array" ref="H953">IFERROR(_xlfn.IFS(B953="","",AND(B953="",G953=""),"",G953="","記載要"),"")</f>
        <v/>
      </c>
      <c r="K953" t="str">
        <f t="shared" si="144"/>
        <v>11WP01008516</v>
      </c>
      <c r="L953" s="3" t="str">
        <f t="shared" si="145"/>
        <v>2001/01/01</v>
      </c>
      <c r="M953" s="3" t="str">
        <f t="shared" si="146"/>
        <v>2199/12/31</v>
      </c>
      <c r="N953" t="str">
        <f t="shared" si="147"/>
        <v>11WP01008516</v>
      </c>
      <c r="O953">
        <v>15</v>
      </c>
      <c r="Q953" t="str" cm="1">
        <f t="array" ref="Q953">_xlfn.IFS(AND(C953="",G953=""),"",LEFT(G953,1)="L","記載要",LEFT(G953,1)="W","",AND(C953,G953=""),"記載要")</f>
        <v/>
      </c>
      <c r="R953" s="21" t="str">
        <f t="shared" si="152"/>
        <v/>
      </c>
      <c r="S953" s="21"/>
      <c r="Z953" s="8"/>
      <c r="AA953">
        <v>1</v>
      </c>
      <c r="AB953">
        <f t="shared" si="148"/>
        <v>0</v>
      </c>
      <c r="AC953">
        <v>1</v>
      </c>
      <c r="AF953">
        <v>1</v>
      </c>
      <c r="AG953" s="8"/>
      <c r="AH953" s="8"/>
      <c r="AK953" cm="1">
        <f t="array" ref="AK953">_xlfn.IFS(B953="","",LEFT(G953,1)="L",1,LEFT(G953,1)="W",1,AND(LEFT(B953,1)="H",G953=""),0)</f>
        <v>1</v>
      </c>
      <c r="AS953" t="str">
        <f t="shared" si="149"/>
        <v/>
      </c>
      <c r="AT953" t="s">
        <v>115</v>
      </c>
      <c r="AU953" t="str">
        <f t="shared" si="150"/>
        <v>0</v>
      </c>
      <c r="BD953" t="str">
        <f t="shared" si="151"/>
        <v>0</v>
      </c>
      <c r="BK953" t="str">
        <f>IFERROR(VLOOKUP(B953,'[1]model_S-フレーム'!$F$5:$R$7000,13,1),"")</f>
        <v>E389460_01</v>
      </c>
      <c r="BL953" s="7">
        <f>IFERROR(VLOOKUP(B953,'[1]model_S-フレーム'!$F$5:$V$7000,17,1),"")</f>
        <v>0</v>
      </c>
      <c r="BM953" t="str" cm="1">
        <f t="array" ref="BM953">_xlfn.IFS(LEFT(G953,1)="L","外注品",LEFT(G953,1)="W","内製品",G953="","購買品")</f>
        <v>内製品</v>
      </c>
    </row>
    <row r="954" spans="1:65">
      <c r="A954" t="str">
        <f t="shared" si="143"/>
        <v>WG01</v>
      </c>
      <c r="B954" t="s">
        <v>1107</v>
      </c>
      <c r="C954" t="s">
        <v>1521</v>
      </c>
      <c r="D954" s="7"/>
      <c r="E954" s="7"/>
      <c r="G954" t="s">
        <v>1939</v>
      </c>
      <c r="H954" t="str" cm="1">
        <f t="array" ref="H954">IFERROR(_xlfn.IFS(B954="","",AND(B954="",G954=""),"",G954="","記載要"),"")</f>
        <v/>
      </c>
      <c r="K954" t="str">
        <f t="shared" si="144"/>
        <v>11WP01008517</v>
      </c>
      <c r="L954" s="3" t="str">
        <f t="shared" si="145"/>
        <v>2001/01/01</v>
      </c>
      <c r="M954" s="3" t="str">
        <f t="shared" si="146"/>
        <v>2199/12/31</v>
      </c>
      <c r="N954" t="str">
        <f t="shared" si="147"/>
        <v>11WP01008517</v>
      </c>
      <c r="O954">
        <v>15</v>
      </c>
      <c r="Q954" t="str" cm="1">
        <f t="array" ref="Q954">_xlfn.IFS(AND(C954="",G954=""),"",LEFT(G954,1)="L","記載要",LEFT(G954,1)="W","",AND(C954,G954=""),"記載要")</f>
        <v/>
      </c>
      <c r="R954" s="21" t="str">
        <f t="shared" si="152"/>
        <v/>
      </c>
      <c r="S954" s="21"/>
      <c r="Z954" s="8"/>
      <c r="AA954">
        <v>1</v>
      </c>
      <c r="AB954">
        <f t="shared" si="148"/>
        <v>0</v>
      </c>
      <c r="AC954">
        <v>1</v>
      </c>
      <c r="AF954">
        <v>1</v>
      </c>
      <c r="AG954" s="8"/>
      <c r="AH954" s="8"/>
      <c r="AK954" cm="1">
        <f t="array" ref="AK954">_xlfn.IFS(B954="","",LEFT(G954,1)="L",1,LEFT(G954,1)="W",1,AND(LEFT(B954,1)="H",G954=""),0)</f>
        <v>1</v>
      </c>
      <c r="AS954" t="str">
        <f t="shared" si="149"/>
        <v/>
      </c>
      <c r="AT954" t="s">
        <v>115</v>
      </c>
      <c r="AU954" t="str">
        <f t="shared" si="150"/>
        <v>0</v>
      </c>
      <c r="BD954" t="str">
        <f t="shared" si="151"/>
        <v>0</v>
      </c>
      <c r="BK954" t="str">
        <f>IFERROR(VLOOKUP(B954,'[1]model_S-フレーム'!$F$5:$R$7000,13,1),"")</f>
        <v>E389460_01</v>
      </c>
      <c r="BL954" s="7">
        <f>IFERROR(VLOOKUP(B954,'[1]model_S-フレーム'!$F$5:$V$7000,17,1),"")</f>
        <v>0</v>
      </c>
      <c r="BM954" t="str" cm="1">
        <f t="array" ref="BM954">_xlfn.IFS(LEFT(G954,1)="L","外注品",LEFT(G954,1)="W","内製品",G954="","購買品")</f>
        <v>内製品</v>
      </c>
    </row>
    <row r="955" spans="1:65">
      <c r="A955" t="str">
        <f t="shared" si="143"/>
        <v>WG01</v>
      </c>
      <c r="B955" t="s">
        <v>1108</v>
      </c>
      <c r="C955" t="s">
        <v>1521</v>
      </c>
      <c r="D955" s="7"/>
      <c r="E955" s="7"/>
      <c r="G955" t="s">
        <v>1939</v>
      </c>
      <c r="H955" t="str" cm="1">
        <f t="array" ref="H955">IFERROR(_xlfn.IFS(B955="","",AND(B955="",G955=""),"",G955="","記載要"),"")</f>
        <v/>
      </c>
      <c r="K955" t="str">
        <f t="shared" si="144"/>
        <v>11WP01008518</v>
      </c>
      <c r="L955" s="3" t="str">
        <f t="shared" si="145"/>
        <v>2001/01/01</v>
      </c>
      <c r="M955" s="3" t="str">
        <f t="shared" si="146"/>
        <v>2199/12/31</v>
      </c>
      <c r="N955" t="str">
        <f t="shared" si="147"/>
        <v>11WP01008518</v>
      </c>
      <c r="O955">
        <v>15</v>
      </c>
      <c r="Q955" t="str" cm="1">
        <f t="array" ref="Q955">_xlfn.IFS(AND(C955="",G955=""),"",LEFT(G955,1)="L","記載要",LEFT(G955,1)="W","",AND(C955,G955=""),"記載要")</f>
        <v/>
      </c>
      <c r="R955" s="21" t="str">
        <f t="shared" si="152"/>
        <v/>
      </c>
      <c r="S955" s="21"/>
      <c r="Z955" s="8"/>
      <c r="AA955">
        <v>1</v>
      </c>
      <c r="AB955">
        <f t="shared" si="148"/>
        <v>0</v>
      </c>
      <c r="AC955">
        <v>1</v>
      </c>
      <c r="AF955">
        <v>1</v>
      </c>
      <c r="AG955" s="8"/>
      <c r="AH955" s="8"/>
      <c r="AK955" cm="1">
        <f t="array" ref="AK955">_xlfn.IFS(B955="","",LEFT(G955,1)="L",1,LEFT(G955,1)="W",1,AND(LEFT(B955,1)="H",G955=""),0)</f>
        <v>1</v>
      </c>
      <c r="AS955" t="str">
        <f t="shared" si="149"/>
        <v/>
      </c>
      <c r="AT955" t="s">
        <v>115</v>
      </c>
      <c r="AU955" t="str">
        <f t="shared" si="150"/>
        <v>0</v>
      </c>
      <c r="BD955" t="str">
        <f t="shared" si="151"/>
        <v>0</v>
      </c>
      <c r="BK955" t="str">
        <f>IFERROR(VLOOKUP(B955,'[1]model_S-フレーム'!$F$5:$R$7000,13,1),"")</f>
        <v>E389460_01</v>
      </c>
      <c r="BL955" s="7">
        <f>IFERROR(VLOOKUP(B955,'[1]model_S-フレーム'!$F$5:$V$7000,17,1),"")</f>
        <v>0</v>
      </c>
      <c r="BM955" t="str" cm="1">
        <f t="array" ref="BM955">_xlfn.IFS(LEFT(G955,1)="L","外注品",LEFT(G955,1)="W","内製品",G955="","購買品")</f>
        <v>内製品</v>
      </c>
    </row>
    <row r="956" spans="1:65">
      <c r="A956" t="str">
        <f t="shared" si="143"/>
        <v>WG01</v>
      </c>
      <c r="B956" t="s">
        <v>1109</v>
      </c>
      <c r="C956" t="s">
        <v>1521</v>
      </c>
      <c r="D956" s="7"/>
      <c r="E956" s="7"/>
      <c r="G956" t="s">
        <v>1939</v>
      </c>
      <c r="H956" t="str" cm="1">
        <f t="array" ref="H956">IFERROR(_xlfn.IFS(B956="","",AND(B956="",G956=""),"",G956="","記載要"),"")</f>
        <v/>
      </c>
      <c r="K956" t="str">
        <f t="shared" si="144"/>
        <v>11WP01008519</v>
      </c>
      <c r="L956" s="3" t="str">
        <f t="shared" si="145"/>
        <v>2001/01/01</v>
      </c>
      <c r="M956" s="3" t="str">
        <f t="shared" si="146"/>
        <v>2199/12/31</v>
      </c>
      <c r="N956" t="str">
        <f t="shared" si="147"/>
        <v>11WP01008519</v>
      </c>
      <c r="O956">
        <v>15</v>
      </c>
      <c r="Q956" t="str" cm="1">
        <f t="array" ref="Q956">_xlfn.IFS(AND(C956="",G956=""),"",LEFT(G956,1)="L","記載要",LEFT(G956,1)="W","",AND(C956,G956=""),"記載要")</f>
        <v/>
      </c>
      <c r="R956" s="21" t="str">
        <f t="shared" si="152"/>
        <v/>
      </c>
      <c r="S956" s="21"/>
      <c r="Z956" s="8"/>
      <c r="AA956">
        <v>1</v>
      </c>
      <c r="AB956">
        <f t="shared" si="148"/>
        <v>0</v>
      </c>
      <c r="AC956">
        <v>1</v>
      </c>
      <c r="AF956">
        <v>1</v>
      </c>
      <c r="AG956" s="8"/>
      <c r="AH956" s="8"/>
      <c r="AK956" cm="1">
        <f t="array" ref="AK956">_xlfn.IFS(B956="","",LEFT(G956,1)="L",1,LEFT(G956,1)="W",1,AND(LEFT(B956,1)="H",G956=""),0)</f>
        <v>1</v>
      </c>
      <c r="AS956" t="str">
        <f t="shared" si="149"/>
        <v/>
      </c>
      <c r="AT956" t="s">
        <v>115</v>
      </c>
      <c r="AU956" t="str">
        <f t="shared" si="150"/>
        <v>0</v>
      </c>
      <c r="BD956" t="str">
        <f t="shared" si="151"/>
        <v>0</v>
      </c>
      <c r="BK956" t="str">
        <f>IFERROR(VLOOKUP(B956,'[1]model_S-フレーム'!$F$5:$R$7000,13,1),"")</f>
        <v>E389460_01</v>
      </c>
      <c r="BL956" s="7">
        <f>IFERROR(VLOOKUP(B956,'[1]model_S-フレーム'!$F$5:$V$7000,17,1),"")</f>
        <v>0</v>
      </c>
      <c r="BM956" t="str" cm="1">
        <f t="array" ref="BM956">_xlfn.IFS(LEFT(G956,1)="L","外注品",LEFT(G956,1)="W","内製品",G956="","購買品")</f>
        <v>内製品</v>
      </c>
    </row>
    <row r="957" spans="1:65">
      <c r="A957" t="str">
        <f t="shared" si="143"/>
        <v>WG01</v>
      </c>
      <c r="B957" t="s">
        <v>1110</v>
      </c>
      <c r="C957" t="s">
        <v>1521</v>
      </c>
      <c r="D957" s="7"/>
      <c r="E957" s="7"/>
      <c r="G957" t="s">
        <v>1939</v>
      </c>
      <c r="H957" t="str" cm="1">
        <f t="array" ref="H957">IFERROR(_xlfn.IFS(B957="","",AND(B957="",G957=""),"",G957="","記載要"),"")</f>
        <v/>
      </c>
      <c r="K957" t="str">
        <f t="shared" si="144"/>
        <v>11WP01008520</v>
      </c>
      <c r="L957" s="3" t="str">
        <f t="shared" si="145"/>
        <v>2001/01/01</v>
      </c>
      <c r="M957" s="3" t="str">
        <f t="shared" si="146"/>
        <v>2199/12/31</v>
      </c>
      <c r="N957" t="str">
        <f t="shared" si="147"/>
        <v>11WP01008520</v>
      </c>
      <c r="O957">
        <v>15</v>
      </c>
      <c r="Q957" t="str" cm="1">
        <f t="array" ref="Q957">_xlfn.IFS(AND(C957="",G957=""),"",LEFT(G957,1)="L","記載要",LEFT(G957,1)="W","",AND(C957,G957=""),"記載要")</f>
        <v/>
      </c>
      <c r="R957" s="21" t="str">
        <f t="shared" si="152"/>
        <v/>
      </c>
      <c r="S957" s="21"/>
      <c r="Z957" s="8"/>
      <c r="AA957">
        <v>1</v>
      </c>
      <c r="AB957">
        <f t="shared" si="148"/>
        <v>0</v>
      </c>
      <c r="AC957">
        <v>1</v>
      </c>
      <c r="AF957">
        <v>1</v>
      </c>
      <c r="AG957" s="8"/>
      <c r="AH957" s="8"/>
      <c r="AK957" cm="1">
        <f t="array" ref="AK957">_xlfn.IFS(B957="","",LEFT(G957,1)="L",1,LEFT(G957,1)="W",1,AND(LEFT(B957,1)="H",G957=""),0)</f>
        <v>1</v>
      </c>
      <c r="AS957" t="str">
        <f t="shared" si="149"/>
        <v/>
      </c>
      <c r="AT957" t="s">
        <v>115</v>
      </c>
      <c r="AU957" t="str">
        <f t="shared" si="150"/>
        <v>0</v>
      </c>
      <c r="BD957" t="str">
        <f t="shared" si="151"/>
        <v>0</v>
      </c>
      <c r="BK957" t="str">
        <f>IFERROR(VLOOKUP(B957,'[1]model_S-フレーム'!$F$5:$R$7000,13,1),"")</f>
        <v>E389460_01</v>
      </c>
      <c r="BL957" s="7">
        <f>IFERROR(VLOOKUP(B957,'[1]model_S-フレーム'!$F$5:$V$7000,17,1),"")</f>
        <v>0</v>
      </c>
      <c r="BM957" t="str" cm="1">
        <f t="array" ref="BM957">_xlfn.IFS(LEFT(G957,1)="L","外注品",LEFT(G957,1)="W","内製品",G957="","購買品")</f>
        <v>内製品</v>
      </c>
    </row>
    <row r="958" spans="1:65">
      <c r="A958" t="str">
        <f t="shared" si="143"/>
        <v>WG01</v>
      </c>
      <c r="B958" t="s">
        <v>1111</v>
      </c>
      <c r="C958" t="s">
        <v>1521</v>
      </c>
      <c r="D958" s="7"/>
      <c r="E958" s="7"/>
      <c r="G958" t="s">
        <v>1939</v>
      </c>
      <c r="H958" t="str" cm="1">
        <f t="array" ref="H958">IFERROR(_xlfn.IFS(B958="","",AND(B958="",G958=""),"",G958="","記載要"),"")</f>
        <v/>
      </c>
      <c r="K958" t="str">
        <f t="shared" si="144"/>
        <v>11WP01008521</v>
      </c>
      <c r="L958" s="3" t="str">
        <f t="shared" si="145"/>
        <v>2001/01/01</v>
      </c>
      <c r="M958" s="3" t="str">
        <f t="shared" si="146"/>
        <v>2199/12/31</v>
      </c>
      <c r="N958" t="str">
        <f t="shared" si="147"/>
        <v>11WP01008521</v>
      </c>
      <c r="O958">
        <v>15</v>
      </c>
      <c r="Q958" t="str" cm="1">
        <f t="array" ref="Q958">_xlfn.IFS(AND(C958="",G958=""),"",LEFT(G958,1)="L","記載要",LEFT(G958,1)="W","",AND(C958,G958=""),"記載要")</f>
        <v/>
      </c>
      <c r="R958" s="21" t="str">
        <f t="shared" si="152"/>
        <v/>
      </c>
      <c r="S958" s="21"/>
      <c r="Z958" s="8"/>
      <c r="AA958">
        <v>1</v>
      </c>
      <c r="AB958">
        <f t="shared" si="148"/>
        <v>0</v>
      </c>
      <c r="AC958">
        <v>1</v>
      </c>
      <c r="AF958">
        <v>1</v>
      </c>
      <c r="AG958" s="8"/>
      <c r="AH958" s="8"/>
      <c r="AK958" cm="1">
        <f t="array" ref="AK958">_xlfn.IFS(B958="","",LEFT(G958,1)="L",1,LEFT(G958,1)="W",1,AND(LEFT(B958,1)="H",G958=""),0)</f>
        <v>1</v>
      </c>
      <c r="AS958" t="str">
        <f t="shared" si="149"/>
        <v/>
      </c>
      <c r="AT958" t="s">
        <v>115</v>
      </c>
      <c r="AU958" t="str">
        <f t="shared" si="150"/>
        <v>0</v>
      </c>
      <c r="BD958" t="str">
        <f t="shared" si="151"/>
        <v>0</v>
      </c>
      <c r="BK958" t="str">
        <f>IFERROR(VLOOKUP(B958,'[1]model_S-フレーム'!$F$5:$R$7000,13,1),"")</f>
        <v>E389460_01</v>
      </c>
      <c r="BL958" s="7">
        <f>IFERROR(VLOOKUP(B958,'[1]model_S-フレーム'!$F$5:$V$7000,17,1),"")</f>
        <v>0</v>
      </c>
      <c r="BM958" t="str" cm="1">
        <f t="array" ref="BM958">_xlfn.IFS(LEFT(G958,1)="L","外注品",LEFT(G958,1)="W","内製品",G958="","購買品")</f>
        <v>内製品</v>
      </c>
    </row>
    <row r="959" spans="1:65">
      <c r="A959" t="str">
        <f t="shared" si="143"/>
        <v>WG01</v>
      </c>
      <c r="B959" t="s">
        <v>1112</v>
      </c>
      <c r="C959" t="s">
        <v>1521</v>
      </c>
      <c r="D959" s="7"/>
      <c r="E959" s="7"/>
      <c r="G959" t="s">
        <v>1939</v>
      </c>
      <c r="H959" t="str" cm="1">
        <f t="array" ref="H959">IFERROR(_xlfn.IFS(B959="","",AND(B959="",G959=""),"",G959="","記載要"),"")</f>
        <v/>
      </c>
      <c r="K959" t="str">
        <f t="shared" si="144"/>
        <v>11WP01008522</v>
      </c>
      <c r="L959" s="3" t="str">
        <f t="shared" si="145"/>
        <v>2001/01/01</v>
      </c>
      <c r="M959" s="3" t="str">
        <f t="shared" si="146"/>
        <v>2199/12/31</v>
      </c>
      <c r="N959" t="str">
        <f t="shared" si="147"/>
        <v>11WP01008522</v>
      </c>
      <c r="O959">
        <v>15</v>
      </c>
      <c r="Q959" t="str" cm="1">
        <f t="array" ref="Q959">_xlfn.IFS(AND(C959="",G959=""),"",LEFT(G959,1)="L","記載要",LEFT(G959,1)="W","",AND(C959,G959=""),"記載要")</f>
        <v/>
      </c>
      <c r="R959" s="21" t="str">
        <f t="shared" si="152"/>
        <v/>
      </c>
      <c r="S959" s="21"/>
      <c r="Z959" s="8"/>
      <c r="AA959">
        <v>1</v>
      </c>
      <c r="AB959">
        <f t="shared" si="148"/>
        <v>0</v>
      </c>
      <c r="AC959">
        <v>1</v>
      </c>
      <c r="AF959">
        <v>1</v>
      </c>
      <c r="AG959" s="8"/>
      <c r="AH959" s="8"/>
      <c r="AK959" cm="1">
        <f t="array" ref="AK959">_xlfn.IFS(B959="","",LEFT(G959,1)="L",1,LEFT(G959,1)="W",1,AND(LEFT(B959,1)="H",G959=""),0)</f>
        <v>1</v>
      </c>
      <c r="AS959" t="str">
        <f t="shared" si="149"/>
        <v/>
      </c>
      <c r="AT959" t="s">
        <v>115</v>
      </c>
      <c r="AU959" t="str">
        <f t="shared" si="150"/>
        <v>0</v>
      </c>
      <c r="BD959" t="str">
        <f t="shared" si="151"/>
        <v>0</v>
      </c>
      <c r="BK959" t="str">
        <f>IFERROR(VLOOKUP(B959,'[1]model_S-フレーム'!$F$5:$R$7000,13,1),"")</f>
        <v>E389460_01</v>
      </c>
      <c r="BL959" s="7">
        <f>IFERROR(VLOOKUP(B959,'[1]model_S-フレーム'!$F$5:$V$7000,17,1),"")</f>
        <v>0</v>
      </c>
      <c r="BM959" t="str" cm="1">
        <f t="array" ref="BM959">_xlfn.IFS(LEFT(G959,1)="L","外注品",LEFT(G959,1)="W","内製品",G959="","購買品")</f>
        <v>内製品</v>
      </c>
    </row>
    <row r="960" spans="1:65">
      <c r="A960" t="str">
        <f t="shared" si="143"/>
        <v>WG01</v>
      </c>
      <c r="B960" t="s">
        <v>1113</v>
      </c>
      <c r="C960" t="s">
        <v>1521</v>
      </c>
      <c r="D960" s="7"/>
      <c r="E960" s="7"/>
      <c r="G960" t="s">
        <v>1939</v>
      </c>
      <c r="H960" t="str" cm="1">
        <f t="array" ref="H960">IFERROR(_xlfn.IFS(B960="","",AND(B960="",G960=""),"",G960="","記載要"),"")</f>
        <v/>
      </c>
      <c r="K960" t="str">
        <f t="shared" si="144"/>
        <v>11WP01008523</v>
      </c>
      <c r="L960" s="3" t="str">
        <f t="shared" si="145"/>
        <v>2001/01/01</v>
      </c>
      <c r="M960" s="3" t="str">
        <f t="shared" si="146"/>
        <v>2199/12/31</v>
      </c>
      <c r="N960" t="str">
        <f t="shared" si="147"/>
        <v>11WP01008523</v>
      </c>
      <c r="O960">
        <v>15</v>
      </c>
      <c r="Q960" t="str" cm="1">
        <f t="array" ref="Q960">_xlfn.IFS(AND(C960="",G960=""),"",LEFT(G960,1)="L","記載要",LEFT(G960,1)="W","",AND(C960,G960=""),"記載要")</f>
        <v/>
      </c>
      <c r="R960" s="21" t="str">
        <f t="shared" si="152"/>
        <v/>
      </c>
      <c r="S960" s="21"/>
      <c r="Z960" s="8"/>
      <c r="AA960">
        <v>1</v>
      </c>
      <c r="AB960">
        <f t="shared" si="148"/>
        <v>0</v>
      </c>
      <c r="AC960">
        <v>1</v>
      </c>
      <c r="AF960">
        <v>1</v>
      </c>
      <c r="AG960" s="8"/>
      <c r="AH960" s="8"/>
      <c r="AK960" cm="1">
        <f t="array" ref="AK960">_xlfn.IFS(B960="","",LEFT(G960,1)="L",1,LEFT(G960,1)="W",1,AND(LEFT(B960,1)="H",G960=""),0)</f>
        <v>1</v>
      </c>
      <c r="AS960" t="str">
        <f t="shared" si="149"/>
        <v/>
      </c>
      <c r="AT960" t="s">
        <v>115</v>
      </c>
      <c r="AU960" t="str">
        <f t="shared" si="150"/>
        <v>0</v>
      </c>
      <c r="BD960" t="str">
        <f t="shared" si="151"/>
        <v>0</v>
      </c>
      <c r="BK960" t="str">
        <f>IFERROR(VLOOKUP(B960,'[1]model_S-フレーム'!$F$5:$R$7000,13,1),"")</f>
        <v>E389460_01</v>
      </c>
      <c r="BL960" s="7">
        <f>IFERROR(VLOOKUP(B960,'[1]model_S-フレーム'!$F$5:$V$7000,17,1),"")</f>
        <v>0</v>
      </c>
      <c r="BM960" t="str" cm="1">
        <f t="array" ref="BM960">_xlfn.IFS(LEFT(G960,1)="L","外注品",LEFT(G960,1)="W","内製品",G960="","購買品")</f>
        <v>内製品</v>
      </c>
    </row>
    <row r="961" spans="1:65">
      <c r="A961" t="str">
        <f t="shared" si="143"/>
        <v>WG01</v>
      </c>
      <c r="B961" t="s">
        <v>1114</v>
      </c>
      <c r="C961" t="s">
        <v>1521</v>
      </c>
      <c r="D961" s="7"/>
      <c r="E961" s="7"/>
      <c r="G961" t="s">
        <v>1939</v>
      </c>
      <c r="H961" t="str" cm="1">
        <f t="array" ref="H961">IFERROR(_xlfn.IFS(B961="","",AND(B961="",G961=""),"",G961="","記載要"),"")</f>
        <v/>
      </c>
      <c r="K961" t="str">
        <f t="shared" si="144"/>
        <v>11WP01008524</v>
      </c>
      <c r="L961" s="3" t="str">
        <f t="shared" si="145"/>
        <v>2001/01/01</v>
      </c>
      <c r="M961" s="3" t="str">
        <f t="shared" si="146"/>
        <v>2199/12/31</v>
      </c>
      <c r="N961" t="str">
        <f t="shared" si="147"/>
        <v>11WP01008524</v>
      </c>
      <c r="O961">
        <v>15</v>
      </c>
      <c r="Q961" t="str" cm="1">
        <f t="array" ref="Q961">_xlfn.IFS(AND(C961="",G961=""),"",LEFT(G961,1)="L","記載要",LEFT(G961,1)="W","",AND(C961,G961=""),"記載要")</f>
        <v/>
      </c>
      <c r="R961" s="21" t="str">
        <f t="shared" si="152"/>
        <v/>
      </c>
      <c r="S961" s="21"/>
      <c r="Z961" s="8"/>
      <c r="AA961">
        <v>1</v>
      </c>
      <c r="AB961">
        <f t="shared" si="148"/>
        <v>0</v>
      </c>
      <c r="AC961">
        <v>1</v>
      </c>
      <c r="AF961">
        <v>1</v>
      </c>
      <c r="AG961" s="8"/>
      <c r="AH961" s="8"/>
      <c r="AK961" cm="1">
        <f t="array" ref="AK961">_xlfn.IFS(B961="","",LEFT(G961,1)="L",1,LEFT(G961,1)="W",1,AND(LEFT(B961,1)="H",G961=""),0)</f>
        <v>1</v>
      </c>
      <c r="AS961" t="str">
        <f t="shared" si="149"/>
        <v/>
      </c>
      <c r="AT961" t="s">
        <v>115</v>
      </c>
      <c r="AU961" t="str">
        <f t="shared" si="150"/>
        <v>0</v>
      </c>
      <c r="BD961" t="str">
        <f t="shared" si="151"/>
        <v>0</v>
      </c>
      <c r="BK961" t="str">
        <f>IFERROR(VLOOKUP(B961,'[1]model_S-フレーム'!$F$5:$R$7000,13,1),"")</f>
        <v>E389460_01</v>
      </c>
      <c r="BL961" s="7">
        <f>IFERROR(VLOOKUP(B961,'[1]model_S-フレーム'!$F$5:$V$7000,17,1),"")</f>
        <v>0</v>
      </c>
      <c r="BM961" t="str" cm="1">
        <f t="array" ref="BM961">_xlfn.IFS(LEFT(G961,1)="L","外注品",LEFT(G961,1)="W","内製品",G961="","購買品")</f>
        <v>内製品</v>
      </c>
    </row>
    <row r="962" spans="1:65">
      <c r="A962" t="str">
        <f t="shared" si="143"/>
        <v>WG01</v>
      </c>
      <c r="B962" t="s">
        <v>1115</v>
      </c>
      <c r="C962" t="s">
        <v>1521</v>
      </c>
      <c r="D962" s="7"/>
      <c r="E962" s="7"/>
      <c r="G962" t="s">
        <v>1939</v>
      </c>
      <c r="H962" t="str" cm="1">
        <f t="array" ref="H962">IFERROR(_xlfn.IFS(B962="","",AND(B962="",G962=""),"",G962="","記載要"),"")</f>
        <v/>
      </c>
      <c r="K962" t="str">
        <f t="shared" si="144"/>
        <v>11WP01008525</v>
      </c>
      <c r="L962" s="3" t="str">
        <f t="shared" si="145"/>
        <v>2001/01/01</v>
      </c>
      <c r="M962" s="3" t="str">
        <f t="shared" si="146"/>
        <v>2199/12/31</v>
      </c>
      <c r="N962" t="str">
        <f t="shared" si="147"/>
        <v>11WP01008525</v>
      </c>
      <c r="O962">
        <v>15</v>
      </c>
      <c r="Q962" t="str" cm="1">
        <f t="array" ref="Q962">_xlfn.IFS(AND(C962="",G962=""),"",LEFT(G962,1)="L","記載要",LEFT(G962,1)="W","",AND(C962,G962=""),"記載要")</f>
        <v/>
      </c>
      <c r="R962" s="21" t="str">
        <f t="shared" si="152"/>
        <v/>
      </c>
      <c r="S962" s="21"/>
      <c r="Z962" s="8"/>
      <c r="AA962">
        <v>1</v>
      </c>
      <c r="AB962">
        <f t="shared" si="148"/>
        <v>0</v>
      </c>
      <c r="AC962">
        <v>1</v>
      </c>
      <c r="AF962">
        <v>1</v>
      </c>
      <c r="AG962" s="8"/>
      <c r="AH962" s="8"/>
      <c r="AK962" cm="1">
        <f t="array" ref="AK962">_xlfn.IFS(B962="","",LEFT(G962,1)="L",1,LEFT(G962,1)="W",1,AND(LEFT(B962,1)="H",G962=""),0)</f>
        <v>1</v>
      </c>
      <c r="AS962" t="str">
        <f t="shared" si="149"/>
        <v/>
      </c>
      <c r="AT962" t="s">
        <v>115</v>
      </c>
      <c r="AU962" t="str">
        <f t="shared" si="150"/>
        <v>0</v>
      </c>
      <c r="BD962" t="str">
        <f t="shared" si="151"/>
        <v>0</v>
      </c>
      <c r="BK962" t="str">
        <f>IFERROR(VLOOKUP(B962,'[1]model_S-フレーム'!$F$5:$R$7000,13,1),"")</f>
        <v>E389460_01</v>
      </c>
      <c r="BL962" s="7">
        <f>IFERROR(VLOOKUP(B962,'[1]model_S-フレーム'!$F$5:$V$7000,17,1),"")</f>
        <v>0</v>
      </c>
      <c r="BM962" t="str" cm="1">
        <f t="array" ref="BM962">_xlfn.IFS(LEFT(G962,1)="L","外注品",LEFT(G962,1)="W","内製品",G962="","購買品")</f>
        <v>内製品</v>
      </c>
    </row>
    <row r="963" spans="1:65">
      <c r="A963" t="str">
        <f t="shared" ref="A963:A1026" si="153">IF(B963="","","WG01")</f>
        <v>WG01</v>
      </c>
      <c r="B963" t="s">
        <v>1116</v>
      </c>
      <c r="C963" t="s">
        <v>1521</v>
      </c>
      <c r="D963" s="7"/>
      <c r="E963" s="7"/>
      <c r="G963" t="s">
        <v>1939</v>
      </c>
      <c r="H963" t="str" cm="1">
        <f t="array" ref="H963">IFERROR(_xlfn.IFS(B963="","",AND(B963="",G963=""),"",G963="","記載要"),"")</f>
        <v/>
      </c>
      <c r="K963" t="str">
        <f t="shared" ref="K963:K1026" si="154">IF(G963="","","11"&amp;G963&amp;RIGHT(B963,5))</f>
        <v>11WP01008526</v>
      </c>
      <c r="L963" s="3" t="str">
        <f t="shared" ref="L963:L1026" si="155">IF(B963="","","2001/01/01")</f>
        <v>2001/01/01</v>
      </c>
      <c r="M963" s="3" t="str">
        <f t="shared" ref="M963:M1026" si="156">IF(C963="","","2199/12/31")</f>
        <v>2199/12/31</v>
      </c>
      <c r="N963" t="str">
        <f t="shared" ref="N963:N1026" si="157">IF(LEFT(G963,1)="W",K963,"")</f>
        <v>11WP01008526</v>
      </c>
      <c r="O963">
        <v>15</v>
      </c>
      <c r="Q963" t="str" cm="1">
        <f t="array" ref="Q963">_xlfn.IFS(AND(C963="",G963=""),"",LEFT(G963,1)="L","記載要",LEFT(G963,1)="W","",AND(C963,G963=""),"記載要")</f>
        <v/>
      </c>
      <c r="R963" s="21" t="str">
        <f t="shared" si="152"/>
        <v/>
      </c>
      <c r="S963" s="21"/>
      <c r="Z963" s="8"/>
      <c r="AA963">
        <v>1</v>
      </c>
      <c r="AB963">
        <f t="shared" ref="AB963:AB1026" si="158">IF(B963="","",0)</f>
        <v>0</v>
      </c>
      <c r="AC963">
        <v>1</v>
      </c>
      <c r="AF963">
        <v>1</v>
      </c>
      <c r="AG963" s="8"/>
      <c r="AH963" s="8"/>
      <c r="AK963" cm="1">
        <f t="array" ref="AK963">_xlfn.IFS(B963="","",LEFT(G963,1)="L",1,LEFT(G963,1)="W",1,AND(LEFT(B963,1)="H",G963=""),0)</f>
        <v>1</v>
      </c>
      <c r="AS963" t="str">
        <f t="shared" ref="AS963:AS1026" si="159">IF(Q963="","",1)</f>
        <v/>
      </c>
      <c r="AT963" t="s">
        <v>115</v>
      </c>
      <c r="AU963" t="str">
        <f t="shared" ref="AU963:AU1026" si="160">IF(B963="","","0")</f>
        <v>0</v>
      </c>
      <c r="BD963" t="str">
        <f t="shared" ref="BD963:BD1026" si="161">IF(B963="","","0")</f>
        <v>0</v>
      </c>
      <c r="BK963" t="str">
        <f>IFERROR(VLOOKUP(B963,'[1]model_S-フレーム'!$F$5:$R$7000,13,1),"")</f>
        <v>E389460_01</v>
      </c>
      <c r="BL963" s="7">
        <f>IFERROR(VLOOKUP(B963,'[1]model_S-フレーム'!$F$5:$V$7000,17,1),"")</f>
        <v>0</v>
      </c>
      <c r="BM963" t="str" cm="1">
        <f t="array" ref="BM963">_xlfn.IFS(LEFT(G963,1)="L","外注品",LEFT(G963,1)="W","内製品",G963="","購買品")</f>
        <v>内製品</v>
      </c>
    </row>
    <row r="964" spans="1:65">
      <c r="A964" t="str">
        <f t="shared" si="153"/>
        <v>WG01</v>
      </c>
      <c r="B964" t="s">
        <v>1117</v>
      </c>
      <c r="C964" t="s">
        <v>1521</v>
      </c>
      <c r="D964" s="7"/>
      <c r="E964" s="7"/>
      <c r="G964" t="s">
        <v>1939</v>
      </c>
      <c r="H964" t="str" cm="1">
        <f t="array" ref="H964">IFERROR(_xlfn.IFS(B964="","",AND(B964="",G964=""),"",G964="","記載要"),"")</f>
        <v/>
      </c>
      <c r="K964" t="str">
        <f t="shared" si="154"/>
        <v>11WP01008527</v>
      </c>
      <c r="L964" s="3" t="str">
        <f t="shared" si="155"/>
        <v>2001/01/01</v>
      </c>
      <c r="M964" s="3" t="str">
        <f t="shared" si="156"/>
        <v>2199/12/31</v>
      </c>
      <c r="N964" t="str">
        <f t="shared" si="157"/>
        <v>11WP01008527</v>
      </c>
      <c r="O964">
        <v>15</v>
      </c>
      <c r="Q964" t="str" cm="1">
        <f t="array" ref="Q964">_xlfn.IFS(AND(C964="",G964=""),"",LEFT(G964,1)="L","記載要",LEFT(G964,1)="W","",AND(C964,G964=""),"記載要")</f>
        <v/>
      </c>
      <c r="R964" s="21" t="str">
        <f t="shared" ref="R964:R1027" si="162">IF(H964="","","記載要")</f>
        <v/>
      </c>
      <c r="S964" s="21"/>
      <c r="Z964" s="8"/>
      <c r="AA964">
        <v>1</v>
      </c>
      <c r="AB964">
        <f t="shared" si="158"/>
        <v>0</v>
      </c>
      <c r="AC964">
        <v>1</v>
      </c>
      <c r="AF964">
        <v>1</v>
      </c>
      <c r="AG964" s="8"/>
      <c r="AH964" s="8"/>
      <c r="AK964" cm="1">
        <f t="array" ref="AK964">_xlfn.IFS(B964="","",LEFT(G964,1)="L",1,LEFT(G964,1)="W",1,AND(LEFT(B964,1)="H",G964=""),0)</f>
        <v>1</v>
      </c>
      <c r="AS964" t="str">
        <f t="shared" si="159"/>
        <v/>
      </c>
      <c r="AT964" t="s">
        <v>115</v>
      </c>
      <c r="AU964" t="str">
        <f t="shared" si="160"/>
        <v>0</v>
      </c>
      <c r="BD964" t="str">
        <f t="shared" si="161"/>
        <v>0</v>
      </c>
      <c r="BK964" t="str">
        <f>IFERROR(VLOOKUP(B964,'[1]model_S-フレーム'!$F$5:$R$7000,13,1),"")</f>
        <v>E389460_01</v>
      </c>
      <c r="BL964" s="7">
        <f>IFERROR(VLOOKUP(B964,'[1]model_S-フレーム'!$F$5:$V$7000,17,1),"")</f>
        <v>0</v>
      </c>
      <c r="BM964" t="str" cm="1">
        <f t="array" ref="BM964">_xlfn.IFS(LEFT(G964,1)="L","外注品",LEFT(G964,1)="W","内製品",G964="","購買品")</f>
        <v>内製品</v>
      </c>
    </row>
    <row r="965" spans="1:65">
      <c r="A965" t="str">
        <f t="shared" si="153"/>
        <v>WG01</v>
      </c>
      <c r="B965" t="s">
        <v>1118</v>
      </c>
      <c r="C965" t="s">
        <v>1521</v>
      </c>
      <c r="D965" s="7"/>
      <c r="E965" s="7"/>
      <c r="G965" t="s">
        <v>1939</v>
      </c>
      <c r="H965" t="str" cm="1">
        <f t="array" ref="H965">IFERROR(_xlfn.IFS(B965="","",AND(B965="",G965=""),"",G965="","記載要"),"")</f>
        <v/>
      </c>
      <c r="K965" t="str">
        <f t="shared" si="154"/>
        <v>11WP01008528</v>
      </c>
      <c r="L965" s="3" t="str">
        <f t="shared" si="155"/>
        <v>2001/01/01</v>
      </c>
      <c r="M965" s="3" t="str">
        <f t="shared" si="156"/>
        <v>2199/12/31</v>
      </c>
      <c r="N965" t="str">
        <f t="shared" si="157"/>
        <v>11WP01008528</v>
      </c>
      <c r="O965">
        <v>15</v>
      </c>
      <c r="Q965" t="str" cm="1">
        <f t="array" ref="Q965">_xlfn.IFS(AND(C965="",G965=""),"",LEFT(G965,1)="L","記載要",LEFT(G965,1)="W","",AND(C965,G965=""),"記載要")</f>
        <v/>
      </c>
      <c r="R965" s="21" t="str">
        <f t="shared" si="162"/>
        <v/>
      </c>
      <c r="S965" s="21"/>
      <c r="Z965" s="8"/>
      <c r="AA965">
        <v>1</v>
      </c>
      <c r="AB965">
        <f t="shared" si="158"/>
        <v>0</v>
      </c>
      <c r="AC965">
        <v>1</v>
      </c>
      <c r="AF965">
        <v>1</v>
      </c>
      <c r="AG965" s="8"/>
      <c r="AH965" s="8"/>
      <c r="AK965" cm="1">
        <f t="array" ref="AK965">_xlfn.IFS(B965="","",LEFT(G965,1)="L",1,LEFT(G965,1)="W",1,AND(LEFT(B965,1)="H",G965=""),0)</f>
        <v>1</v>
      </c>
      <c r="AS965" t="str">
        <f t="shared" si="159"/>
        <v/>
      </c>
      <c r="AT965" t="s">
        <v>115</v>
      </c>
      <c r="AU965" t="str">
        <f t="shared" si="160"/>
        <v>0</v>
      </c>
      <c r="BD965" t="str">
        <f t="shared" si="161"/>
        <v>0</v>
      </c>
      <c r="BK965" t="str">
        <f>IFERROR(VLOOKUP(B965,'[1]model_S-フレーム'!$F$5:$R$7000,13,1),"")</f>
        <v>E389460_01</v>
      </c>
      <c r="BL965" s="7">
        <f>IFERROR(VLOOKUP(B965,'[1]model_S-フレーム'!$F$5:$V$7000,17,1),"")</f>
        <v>0</v>
      </c>
      <c r="BM965" t="str" cm="1">
        <f t="array" ref="BM965">_xlfn.IFS(LEFT(G965,1)="L","外注品",LEFT(G965,1)="W","内製品",G965="","購買品")</f>
        <v>内製品</v>
      </c>
    </row>
    <row r="966" spans="1:65">
      <c r="A966" t="str">
        <f t="shared" si="153"/>
        <v>WG01</v>
      </c>
      <c r="B966" t="s">
        <v>1119</v>
      </c>
      <c r="C966" t="s">
        <v>1521</v>
      </c>
      <c r="D966" s="7"/>
      <c r="E966" s="7"/>
      <c r="G966" t="s">
        <v>1939</v>
      </c>
      <c r="H966" t="str" cm="1">
        <f t="array" ref="H966">IFERROR(_xlfn.IFS(B966="","",AND(B966="",G966=""),"",G966="","記載要"),"")</f>
        <v/>
      </c>
      <c r="K966" t="str">
        <f t="shared" si="154"/>
        <v>11WP01008529</v>
      </c>
      <c r="L966" s="3" t="str">
        <f t="shared" si="155"/>
        <v>2001/01/01</v>
      </c>
      <c r="M966" s="3" t="str">
        <f t="shared" si="156"/>
        <v>2199/12/31</v>
      </c>
      <c r="N966" t="str">
        <f t="shared" si="157"/>
        <v>11WP01008529</v>
      </c>
      <c r="O966">
        <v>15</v>
      </c>
      <c r="Q966" t="str" cm="1">
        <f t="array" ref="Q966">_xlfn.IFS(AND(C966="",G966=""),"",LEFT(G966,1)="L","記載要",LEFT(G966,1)="W","",AND(C966,G966=""),"記載要")</f>
        <v/>
      </c>
      <c r="R966" s="21" t="str">
        <f t="shared" si="162"/>
        <v/>
      </c>
      <c r="S966" s="21"/>
      <c r="Z966" s="8"/>
      <c r="AA966">
        <v>1</v>
      </c>
      <c r="AB966">
        <f t="shared" si="158"/>
        <v>0</v>
      </c>
      <c r="AC966">
        <v>1</v>
      </c>
      <c r="AF966">
        <v>1</v>
      </c>
      <c r="AG966" s="8"/>
      <c r="AH966" s="8"/>
      <c r="AK966" cm="1">
        <f t="array" ref="AK966">_xlfn.IFS(B966="","",LEFT(G966,1)="L",1,LEFT(G966,1)="W",1,AND(LEFT(B966,1)="H",G966=""),0)</f>
        <v>1</v>
      </c>
      <c r="AS966" t="str">
        <f t="shared" si="159"/>
        <v/>
      </c>
      <c r="AT966" t="s">
        <v>115</v>
      </c>
      <c r="AU966" t="str">
        <f t="shared" si="160"/>
        <v>0</v>
      </c>
      <c r="BD966" t="str">
        <f t="shared" si="161"/>
        <v>0</v>
      </c>
      <c r="BK966" t="str">
        <f>IFERROR(VLOOKUP(B966,'[1]model_S-フレーム'!$F$5:$R$7000,13,1),"")</f>
        <v>E389460_01</v>
      </c>
      <c r="BL966" s="7">
        <f>IFERROR(VLOOKUP(B966,'[1]model_S-フレーム'!$F$5:$V$7000,17,1),"")</f>
        <v>0</v>
      </c>
      <c r="BM966" t="str" cm="1">
        <f t="array" ref="BM966">_xlfn.IFS(LEFT(G966,1)="L","外注品",LEFT(G966,1)="W","内製品",G966="","購買品")</f>
        <v>内製品</v>
      </c>
    </row>
    <row r="967" spans="1:65">
      <c r="A967" t="str">
        <f t="shared" si="153"/>
        <v>WG01</v>
      </c>
      <c r="B967" t="s">
        <v>1120</v>
      </c>
      <c r="C967" t="s">
        <v>1521</v>
      </c>
      <c r="D967" s="7"/>
      <c r="E967" s="7"/>
      <c r="G967" t="s">
        <v>1939</v>
      </c>
      <c r="H967" t="str" cm="1">
        <f t="array" ref="H967">IFERROR(_xlfn.IFS(B967="","",AND(B967="",G967=""),"",G967="","記載要"),"")</f>
        <v/>
      </c>
      <c r="K967" t="str">
        <f t="shared" si="154"/>
        <v>11WP01008530</v>
      </c>
      <c r="L967" s="3" t="str">
        <f t="shared" si="155"/>
        <v>2001/01/01</v>
      </c>
      <c r="M967" s="3" t="str">
        <f t="shared" si="156"/>
        <v>2199/12/31</v>
      </c>
      <c r="N967" t="str">
        <f t="shared" si="157"/>
        <v>11WP01008530</v>
      </c>
      <c r="O967">
        <v>15</v>
      </c>
      <c r="Q967" t="str" cm="1">
        <f t="array" ref="Q967">_xlfn.IFS(AND(C967="",G967=""),"",LEFT(G967,1)="L","記載要",LEFT(G967,1)="W","",AND(C967,G967=""),"記載要")</f>
        <v/>
      </c>
      <c r="R967" s="21" t="str">
        <f t="shared" si="162"/>
        <v/>
      </c>
      <c r="S967" s="21"/>
      <c r="Z967" s="8"/>
      <c r="AA967">
        <v>1</v>
      </c>
      <c r="AB967">
        <f t="shared" si="158"/>
        <v>0</v>
      </c>
      <c r="AC967">
        <v>1</v>
      </c>
      <c r="AF967">
        <v>1</v>
      </c>
      <c r="AG967" s="8"/>
      <c r="AH967" s="8"/>
      <c r="AK967" cm="1">
        <f t="array" ref="AK967">_xlfn.IFS(B967="","",LEFT(G967,1)="L",1,LEFT(G967,1)="W",1,AND(LEFT(B967,1)="H",G967=""),0)</f>
        <v>1</v>
      </c>
      <c r="AS967" t="str">
        <f t="shared" si="159"/>
        <v/>
      </c>
      <c r="AT967" t="s">
        <v>115</v>
      </c>
      <c r="AU967" t="str">
        <f t="shared" si="160"/>
        <v>0</v>
      </c>
      <c r="BD967" t="str">
        <f t="shared" si="161"/>
        <v>0</v>
      </c>
      <c r="BK967" t="str">
        <f>IFERROR(VLOOKUP(B967,'[1]model_S-フレーム'!$F$5:$R$7000,13,1),"")</f>
        <v>E389460_01</v>
      </c>
      <c r="BL967" s="7">
        <f>IFERROR(VLOOKUP(B967,'[1]model_S-フレーム'!$F$5:$V$7000,17,1),"")</f>
        <v>0</v>
      </c>
      <c r="BM967" t="str" cm="1">
        <f t="array" ref="BM967">_xlfn.IFS(LEFT(G967,1)="L","外注品",LEFT(G967,1)="W","内製品",G967="","購買品")</f>
        <v>内製品</v>
      </c>
    </row>
    <row r="968" spans="1:65">
      <c r="A968" t="str">
        <f t="shared" si="153"/>
        <v>WG01</v>
      </c>
      <c r="B968" t="s">
        <v>1121</v>
      </c>
      <c r="C968" t="s">
        <v>1521</v>
      </c>
      <c r="D968" s="7"/>
      <c r="E968" s="7"/>
      <c r="G968" t="s">
        <v>1939</v>
      </c>
      <c r="H968" t="str" cm="1">
        <f t="array" ref="H968">IFERROR(_xlfn.IFS(B968="","",AND(B968="",G968=""),"",G968="","記載要"),"")</f>
        <v/>
      </c>
      <c r="K968" t="str">
        <f t="shared" si="154"/>
        <v>11WP01008531</v>
      </c>
      <c r="L968" s="3" t="str">
        <f t="shared" si="155"/>
        <v>2001/01/01</v>
      </c>
      <c r="M968" s="3" t="str">
        <f t="shared" si="156"/>
        <v>2199/12/31</v>
      </c>
      <c r="N968" t="str">
        <f t="shared" si="157"/>
        <v>11WP01008531</v>
      </c>
      <c r="O968">
        <v>15</v>
      </c>
      <c r="Q968" t="str" cm="1">
        <f t="array" ref="Q968">_xlfn.IFS(AND(C968="",G968=""),"",LEFT(G968,1)="L","記載要",LEFT(G968,1)="W","",AND(C968,G968=""),"記載要")</f>
        <v/>
      </c>
      <c r="R968" s="21" t="str">
        <f t="shared" si="162"/>
        <v/>
      </c>
      <c r="S968" s="21"/>
      <c r="Z968" s="8"/>
      <c r="AA968">
        <v>1</v>
      </c>
      <c r="AB968">
        <f t="shared" si="158"/>
        <v>0</v>
      </c>
      <c r="AC968">
        <v>1</v>
      </c>
      <c r="AF968">
        <v>1</v>
      </c>
      <c r="AG968" s="8"/>
      <c r="AH968" s="8"/>
      <c r="AK968" cm="1">
        <f t="array" ref="AK968">_xlfn.IFS(B968="","",LEFT(G968,1)="L",1,LEFT(G968,1)="W",1,AND(LEFT(B968,1)="H",G968=""),0)</f>
        <v>1</v>
      </c>
      <c r="AS968" t="str">
        <f t="shared" si="159"/>
        <v/>
      </c>
      <c r="AT968" t="s">
        <v>115</v>
      </c>
      <c r="AU968" t="str">
        <f t="shared" si="160"/>
        <v>0</v>
      </c>
      <c r="BD968" t="str">
        <f t="shared" si="161"/>
        <v>0</v>
      </c>
      <c r="BK968" t="str">
        <f>IFERROR(VLOOKUP(B968,'[1]model_S-フレーム'!$F$5:$R$7000,13,1),"")</f>
        <v>E389460_01</v>
      </c>
      <c r="BL968" s="7">
        <f>IFERROR(VLOOKUP(B968,'[1]model_S-フレーム'!$F$5:$V$7000,17,1),"")</f>
        <v>0</v>
      </c>
      <c r="BM968" t="str" cm="1">
        <f t="array" ref="BM968">_xlfn.IFS(LEFT(G968,1)="L","外注品",LEFT(G968,1)="W","内製品",G968="","購買品")</f>
        <v>内製品</v>
      </c>
    </row>
    <row r="969" spans="1:65">
      <c r="A969" t="str">
        <f t="shared" si="153"/>
        <v>WG01</v>
      </c>
      <c r="B969" t="s">
        <v>1122</v>
      </c>
      <c r="C969" t="s">
        <v>1521</v>
      </c>
      <c r="D969" s="7"/>
      <c r="E969" s="7"/>
      <c r="G969" t="s">
        <v>1939</v>
      </c>
      <c r="H969" t="str" cm="1">
        <f t="array" ref="H969">IFERROR(_xlfn.IFS(B969="","",AND(B969="",G969=""),"",G969="","記載要"),"")</f>
        <v/>
      </c>
      <c r="K969" t="str">
        <f t="shared" si="154"/>
        <v>11WP01008532</v>
      </c>
      <c r="L969" s="3" t="str">
        <f t="shared" si="155"/>
        <v>2001/01/01</v>
      </c>
      <c r="M969" s="3" t="str">
        <f t="shared" si="156"/>
        <v>2199/12/31</v>
      </c>
      <c r="N969" t="str">
        <f t="shared" si="157"/>
        <v>11WP01008532</v>
      </c>
      <c r="O969">
        <v>15</v>
      </c>
      <c r="Q969" t="str" cm="1">
        <f t="array" ref="Q969">_xlfn.IFS(AND(C969="",G969=""),"",LEFT(G969,1)="L","記載要",LEFT(G969,1)="W","",AND(C969,G969=""),"記載要")</f>
        <v/>
      </c>
      <c r="R969" s="21" t="str">
        <f t="shared" si="162"/>
        <v/>
      </c>
      <c r="S969" s="21"/>
      <c r="Z969" s="8"/>
      <c r="AA969">
        <v>1</v>
      </c>
      <c r="AB969">
        <f t="shared" si="158"/>
        <v>0</v>
      </c>
      <c r="AC969">
        <v>1</v>
      </c>
      <c r="AF969">
        <v>1</v>
      </c>
      <c r="AG969" s="8"/>
      <c r="AH969" s="8"/>
      <c r="AK969" cm="1">
        <f t="array" ref="AK969">_xlfn.IFS(B969="","",LEFT(G969,1)="L",1,LEFT(G969,1)="W",1,AND(LEFT(B969,1)="H",G969=""),0)</f>
        <v>1</v>
      </c>
      <c r="AS969" t="str">
        <f t="shared" si="159"/>
        <v/>
      </c>
      <c r="AT969" t="s">
        <v>115</v>
      </c>
      <c r="AU969" t="str">
        <f t="shared" si="160"/>
        <v>0</v>
      </c>
      <c r="BD969" t="str">
        <f t="shared" si="161"/>
        <v>0</v>
      </c>
      <c r="BK969" t="str">
        <f>IFERROR(VLOOKUP(B969,'[1]model_S-フレーム'!$F$5:$R$7000,13,1),"")</f>
        <v>E389460_01</v>
      </c>
      <c r="BL969" s="7">
        <f>IFERROR(VLOOKUP(B969,'[1]model_S-フレーム'!$F$5:$V$7000,17,1),"")</f>
        <v>0</v>
      </c>
      <c r="BM969" t="str" cm="1">
        <f t="array" ref="BM969">_xlfn.IFS(LEFT(G969,1)="L","外注品",LEFT(G969,1)="W","内製品",G969="","購買品")</f>
        <v>内製品</v>
      </c>
    </row>
    <row r="970" spans="1:65">
      <c r="A970" t="str">
        <f t="shared" si="153"/>
        <v>WG01</v>
      </c>
      <c r="B970" t="s">
        <v>1123</v>
      </c>
      <c r="C970" t="s">
        <v>1521</v>
      </c>
      <c r="D970" s="7"/>
      <c r="E970" s="7"/>
      <c r="G970" t="s">
        <v>1939</v>
      </c>
      <c r="H970" t="str" cm="1">
        <f t="array" ref="H970">IFERROR(_xlfn.IFS(B970="","",AND(B970="",G970=""),"",G970="","記載要"),"")</f>
        <v/>
      </c>
      <c r="K970" t="str">
        <f t="shared" si="154"/>
        <v>11WP01008533</v>
      </c>
      <c r="L970" s="3" t="str">
        <f t="shared" si="155"/>
        <v>2001/01/01</v>
      </c>
      <c r="M970" s="3" t="str">
        <f t="shared" si="156"/>
        <v>2199/12/31</v>
      </c>
      <c r="N970" t="str">
        <f t="shared" si="157"/>
        <v>11WP01008533</v>
      </c>
      <c r="O970">
        <v>15</v>
      </c>
      <c r="Q970" t="str" cm="1">
        <f t="array" ref="Q970">_xlfn.IFS(AND(C970="",G970=""),"",LEFT(G970,1)="L","記載要",LEFT(G970,1)="W","",AND(C970,G970=""),"記載要")</f>
        <v/>
      </c>
      <c r="R970" s="21" t="str">
        <f t="shared" si="162"/>
        <v/>
      </c>
      <c r="S970" s="21"/>
      <c r="Z970" s="8"/>
      <c r="AA970">
        <v>1</v>
      </c>
      <c r="AB970">
        <f t="shared" si="158"/>
        <v>0</v>
      </c>
      <c r="AC970">
        <v>1</v>
      </c>
      <c r="AF970">
        <v>1</v>
      </c>
      <c r="AG970" s="8"/>
      <c r="AH970" s="8"/>
      <c r="AK970" cm="1">
        <f t="array" ref="AK970">_xlfn.IFS(B970="","",LEFT(G970,1)="L",1,LEFT(G970,1)="W",1,AND(LEFT(B970,1)="H",G970=""),0)</f>
        <v>1</v>
      </c>
      <c r="AS970" t="str">
        <f t="shared" si="159"/>
        <v/>
      </c>
      <c r="AT970" t="s">
        <v>115</v>
      </c>
      <c r="AU970" t="str">
        <f t="shared" si="160"/>
        <v>0</v>
      </c>
      <c r="BD970" t="str">
        <f t="shared" si="161"/>
        <v>0</v>
      </c>
      <c r="BK970" t="str">
        <f>IFERROR(VLOOKUP(B970,'[1]model_S-フレーム'!$F$5:$R$7000,13,1),"")</f>
        <v>E389460_01</v>
      </c>
      <c r="BL970" s="7">
        <f>IFERROR(VLOOKUP(B970,'[1]model_S-フレーム'!$F$5:$V$7000,17,1),"")</f>
        <v>0</v>
      </c>
      <c r="BM970" t="str" cm="1">
        <f t="array" ref="BM970">_xlfn.IFS(LEFT(G970,1)="L","外注品",LEFT(G970,1)="W","内製品",G970="","購買品")</f>
        <v>内製品</v>
      </c>
    </row>
    <row r="971" spans="1:65">
      <c r="A971" t="str">
        <f t="shared" si="153"/>
        <v>WG01</v>
      </c>
      <c r="B971" t="s">
        <v>1124</v>
      </c>
      <c r="C971" t="s">
        <v>1521</v>
      </c>
      <c r="D971" s="7"/>
      <c r="E971" s="7"/>
      <c r="G971" t="s">
        <v>1939</v>
      </c>
      <c r="H971" t="str" cm="1">
        <f t="array" ref="H971">IFERROR(_xlfn.IFS(B971="","",AND(B971="",G971=""),"",G971="","記載要"),"")</f>
        <v/>
      </c>
      <c r="K971" t="str">
        <f t="shared" si="154"/>
        <v>11WP01008534</v>
      </c>
      <c r="L971" s="3" t="str">
        <f t="shared" si="155"/>
        <v>2001/01/01</v>
      </c>
      <c r="M971" s="3" t="str">
        <f t="shared" si="156"/>
        <v>2199/12/31</v>
      </c>
      <c r="N971" t="str">
        <f t="shared" si="157"/>
        <v>11WP01008534</v>
      </c>
      <c r="O971">
        <v>15</v>
      </c>
      <c r="Q971" t="str" cm="1">
        <f t="array" ref="Q971">_xlfn.IFS(AND(C971="",G971=""),"",LEFT(G971,1)="L","記載要",LEFT(G971,1)="W","",AND(C971,G971=""),"記載要")</f>
        <v/>
      </c>
      <c r="R971" s="21" t="str">
        <f t="shared" si="162"/>
        <v/>
      </c>
      <c r="S971" s="21"/>
      <c r="Z971" s="8"/>
      <c r="AA971">
        <v>1</v>
      </c>
      <c r="AB971">
        <f t="shared" si="158"/>
        <v>0</v>
      </c>
      <c r="AC971">
        <v>1</v>
      </c>
      <c r="AF971">
        <v>1</v>
      </c>
      <c r="AG971" s="8"/>
      <c r="AH971" s="8"/>
      <c r="AK971" cm="1">
        <f t="array" ref="AK971">_xlfn.IFS(B971="","",LEFT(G971,1)="L",1,LEFT(G971,1)="W",1,AND(LEFT(B971,1)="H",G971=""),0)</f>
        <v>1</v>
      </c>
      <c r="AS971" t="str">
        <f t="shared" si="159"/>
        <v/>
      </c>
      <c r="AT971" t="s">
        <v>115</v>
      </c>
      <c r="AU971" t="str">
        <f t="shared" si="160"/>
        <v>0</v>
      </c>
      <c r="BD971" t="str">
        <f t="shared" si="161"/>
        <v>0</v>
      </c>
      <c r="BK971" t="str">
        <f>IFERROR(VLOOKUP(B971,'[1]model_S-フレーム'!$F$5:$R$7000,13,1),"")</f>
        <v>E389460_01</v>
      </c>
      <c r="BL971" s="7">
        <f>IFERROR(VLOOKUP(B971,'[1]model_S-フレーム'!$F$5:$V$7000,17,1),"")</f>
        <v>0</v>
      </c>
      <c r="BM971" t="str" cm="1">
        <f t="array" ref="BM971">_xlfn.IFS(LEFT(G971,1)="L","外注品",LEFT(G971,1)="W","内製品",G971="","購買品")</f>
        <v>内製品</v>
      </c>
    </row>
    <row r="972" spans="1:65">
      <c r="A972" t="str">
        <f t="shared" si="153"/>
        <v>WG01</v>
      </c>
      <c r="B972" t="s">
        <v>1125</v>
      </c>
      <c r="C972" t="s">
        <v>1521</v>
      </c>
      <c r="D972" s="7"/>
      <c r="E972" s="7"/>
      <c r="G972" t="s">
        <v>1939</v>
      </c>
      <c r="H972" t="str" cm="1">
        <f t="array" ref="H972">IFERROR(_xlfn.IFS(B972="","",AND(B972="",G972=""),"",G972="","記載要"),"")</f>
        <v/>
      </c>
      <c r="K972" t="str">
        <f t="shared" si="154"/>
        <v>11WP01008535</v>
      </c>
      <c r="L972" s="3" t="str">
        <f t="shared" si="155"/>
        <v>2001/01/01</v>
      </c>
      <c r="M972" s="3" t="str">
        <f t="shared" si="156"/>
        <v>2199/12/31</v>
      </c>
      <c r="N972" t="str">
        <f t="shared" si="157"/>
        <v>11WP01008535</v>
      </c>
      <c r="O972">
        <v>15</v>
      </c>
      <c r="Q972" t="str" cm="1">
        <f t="array" ref="Q972">_xlfn.IFS(AND(C972="",G972=""),"",LEFT(G972,1)="L","記載要",LEFT(G972,1)="W","",AND(C972,G972=""),"記載要")</f>
        <v/>
      </c>
      <c r="R972" s="21" t="str">
        <f t="shared" si="162"/>
        <v/>
      </c>
      <c r="S972" s="21"/>
      <c r="Z972" s="8"/>
      <c r="AA972">
        <v>1</v>
      </c>
      <c r="AB972">
        <f t="shared" si="158"/>
        <v>0</v>
      </c>
      <c r="AC972">
        <v>1</v>
      </c>
      <c r="AF972">
        <v>1</v>
      </c>
      <c r="AG972" s="8"/>
      <c r="AH972" s="8"/>
      <c r="AK972" cm="1">
        <f t="array" ref="AK972">_xlfn.IFS(B972="","",LEFT(G972,1)="L",1,LEFT(G972,1)="W",1,AND(LEFT(B972,1)="H",G972=""),0)</f>
        <v>1</v>
      </c>
      <c r="AS972" t="str">
        <f t="shared" si="159"/>
        <v/>
      </c>
      <c r="AT972" t="s">
        <v>115</v>
      </c>
      <c r="AU972" t="str">
        <f t="shared" si="160"/>
        <v>0</v>
      </c>
      <c r="BD972" t="str">
        <f t="shared" si="161"/>
        <v>0</v>
      </c>
      <c r="BK972" t="str">
        <f>IFERROR(VLOOKUP(B972,'[1]model_S-フレーム'!$F$5:$R$7000,13,1),"")</f>
        <v>E389460_01</v>
      </c>
      <c r="BL972" s="7">
        <f>IFERROR(VLOOKUP(B972,'[1]model_S-フレーム'!$F$5:$V$7000,17,1),"")</f>
        <v>0</v>
      </c>
      <c r="BM972" t="str" cm="1">
        <f t="array" ref="BM972">_xlfn.IFS(LEFT(G972,1)="L","外注品",LEFT(G972,1)="W","内製品",G972="","購買品")</f>
        <v>内製品</v>
      </c>
    </row>
    <row r="973" spans="1:65">
      <c r="A973" t="str">
        <f t="shared" si="153"/>
        <v>WG01</v>
      </c>
      <c r="B973" t="s">
        <v>1126</v>
      </c>
      <c r="C973" t="s">
        <v>1521</v>
      </c>
      <c r="D973" s="7"/>
      <c r="E973" s="7"/>
      <c r="G973" t="s">
        <v>1939</v>
      </c>
      <c r="H973" t="str" cm="1">
        <f t="array" ref="H973">IFERROR(_xlfn.IFS(B973="","",AND(B973="",G973=""),"",G973="","記載要"),"")</f>
        <v/>
      </c>
      <c r="K973" t="str">
        <f t="shared" si="154"/>
        <v>11WP01008536</v>
      </c>
      <c r="L973" s="3" t="str">
        <f t="shared" si="155"/>
        <v>2001/01/01</v>
      </c>
      <c r="M973" s="3" t="str">
        <f t="shared" si="156"/>
        <v>2199/12/31</v>
      </c>
      <c r="N973" t="str">
        <f t="shared" si="157"/>
        <v>11WP01008536</v>
      </c>
      <c r="O973">
        <v>15</v>
      </c>
      <c r="Q973" t="str" cm="1">
        <f t="array" ref="Q973">_xlfn.IFS(AND(C973="",G973=""),"",LEFT(G973,1)="L","記載要",LEFT(G973,1)="W","",AND(C973,G973=""),"記載要")</f>
        <v/>
      </c>
      <c r="R973" s="21" t="str">
        <f t="shared" si="162"/>
        <v/>
      </c>
      <c r="S973" s="21"/>
      <c r="Z973" s="8"/>
      <c r="AA973">
        <v>1</v>
      </c>
      <c r="AB973">
        <f t="shared" si="158"/>
        <v>0</v>
      </c>
      <c r="AC973">
        <v>1</v>
      </c>
      <c r="AF973">
        <v>1</v>
      </c>
      <c r="AG973" s="8"/>
      <c r="AH973" s="8"/>
      <c r="AK973" cm="1">
        <f t="array" ref="AK973">_xlfn.IFS(B973="","",LEFT(G973,1)="L",1,LEFT(G973,1)="W",1,AND(LEFT(B973,1)="H",G973=""),0)</f>
        <v>1</v>
      </c>
      <c r="AS973" t="str">
        <f t="shared" si="159"/>
        <v/>
      </c>
      <c r="AT973" t="s">
        <v>115</v>
      </c>
      <c r="AU973" t="str">
        <f t="shared" si="160"/>
        <v>0</v>
      </c>
      <c r="BD973" t="str">
        <f t="shared" si="161"/>
        <v>0</v>
      </c>
      <c r="BK973" t="str">
        <f>IFERROR(VLOOKUP(B973,'[1]model_S-フレーム'!$F$5:$R$7000,13,1),"")</f>
        <v>E389460_01</v>
      </c>
      <c r="BL973" s="7">
        <f>IFERROR(VLOOKUP(B973,'[1]model_S-フレーム'!$F$5:$V$7000,17,1),"")</f>
        <v>0</v>
      </c>
      <c r="BM973" t="str" cm="1">
        <f t="array" ref="BM973">_xlfn.IFS(LEFT(G973,1)="L","外注品",LEFT(G973,1)="W","内製品",G973="","購買品")</f>
        <v>内製品</v>
      </c>
    </row>
    <row r="974" spans="1:65">
      <c r="A974" t="str">
        <f t="shared" si="153"/>
        <v>WG01</v>
      </c>
      <c r="B974" t="s">
        <v>1127</v>
      </c>
      <c r="C974" t="s">
        <v>1521</v>
      </c>
      <c r="D974" s="7"/>
      <c r="E974" s="7"/>
      <c r="G974" t="s">
        <v>1939</v>
      </c>
      <c r="H974" t="str" cm="1">
        <f t="array" ref="H974">IFERROR(_xlfn.IFS(B974="","",AND(B974="",G974=""),"",G974="","記載要"),"")</f>
        <v/>
      </c>
      <c r="K974" t="str">
        <f t="shared" si="154"/>
        <v>11WP01008537</v>
      </c>
      <c r="L974" s="3" t="str">
        <f t="shared" si="155"/>
        <v>2001/01/01</v>
      </c>
      <c r="M974" s="3" t="str">
        <f t="shared" si="156"/>
        <v>2199/12/31</v>
      </c>
      <c r="N974" t="str">
        <f t="shared" si="157"/>
        <v>11WP01008537</v>
      </c>
      <c r="O974">
        <v>15</v>
      </c>
      <c r="Q974" t="str" cm="1">
        <f t="array" ref="Q974">_xlfn.IFS(AND(C974="",G974=""),"",LEFT(G974,1)="L","記載要",LEFT(G974,1)="W","",AND(C974,G974=""),"記載要")</f>
        <v/>
      </c>
      <c r="R974" s="21" t="str">
        <f t="shared" si="162"/>
        <v/>
      </c>
      <c r="S974" s="21"/>
      <c r="Z974" s="8"/>
      <c r="AA974">
        <v>1</v>
      </c>
      <c r="AB974">
        <f t="shared" si="158"/>
        <v>0</v>
      </c>
      <c r="AC974">
        <v>1</v>
      </c>
      <c r="AF974">
        <v>1</v>
      </c>
      <c r="AG974" s="8"/>
      <c r="AH974" s="8"/>
      <c r="AK974" cm="1">
        <f t="array" ref="AK974">_xlfn.IFS(B974="","",LEFT(G974,1)="L",1,LEFT(G974,1)="W",1,AND(LEFT(B974,1)="H",G974=""),0)</f>
        <v>1</v>
      </c>
      <c r="AS974" t="str">
        <f t="shared" si="159"/>
        <v/>
      </c>
      <c r="AT974" t="s">
        <v>115</v>
      </c>
      <c r="AU974" t="str">
        <f t="shared" si="160"/>
        <v>0</v>
      </c>
      <c r="BD974" t="str">
        <f t="shared" si="161"/>
        <v>0</v>
      </c>
      <c r="BK974" t="str">
        <f>IFERROR(VLOOKUP(B974,'[1]model_S-フレーム'!$F$5:$R$7000,13,1),"")</f>
        <v>E389460_01</v>
      </c>
      <c r="BL974" s="7">
        <f>IFERROR(VLOOKUP(B974,'[1]model_S-フレーム'!$F$5:$V$7000,17,1),"")</f>
        <v>0</v>
      </c>
      <c r="BM974" t="str" cm="1">
        <f t="array" ref="BM974">_xlfn.IFS(LEFT(G974,1)="L","外注品",LEFT(G974,1)="W","内製品",G974="","購買品")</f>
        <v>内製品</v>
      </c>
    </row>
    <row r="975" spans="1:65">
      <c r="A975" t="str">
        <f t="shared" si="153"/>
        <v>WG01</v>
      </c>
      <c r="B975" t="s">
        <v>1128</v>
      </c>
      <c r="C975" t="s">
        <v>1521</v>
      </c>
      <c r="D975" s="7"/>
      <c r="E975" s="7"/>
      <c r="G975" t="s">
        <v>1939</v>
      </c>
      <c r="H975" t="str" cm="1">
        <f t="array" ref="H975">IFERROR(_xlfn.IFS(B975="","",AND(B975="",G975=""),"",G975="","記載要"),"")</f>
        <v/>
      </c>
      <c r="K975" t="str">
        <f t="shared" si="154"/>
        <v>11WP01008538</v>
      </c>
      <c r="L975" s="3" t="str">
        <f t="shared" si="155"/>
        <v>2001/01/01</v>
      </c>
      <c r="M975" s="3" t="str">
        <f t="shared" si="156"/>
        <v>2199/12/31</v>
      </c>
      <c r="N975" t="str">
        <f t="shared" si="157"/>
        <v>11WP01008538</v>
      </c>
      <c r="O975">
        <v>15</v>
      </c>
      <c r="Q975" t="str" cm="1">
        <f t="array" ref="Q975">_xlfn.IFS(AND(C975="",G975=""),"",LEFT(G975,1)="L","記載要",LEFT(G975,1)="W","",AND(C975,G975=""),"記載要")</f>
        <v/>
      </c>
      <c r="R975" s="21" t="str">
        <f t="shared" si="162"/>
        <v/>
      </c>
      <c r="S975" s="21"/>
      <c r="Z975" s="8"/>
      <c r="AA975">
        <v>1</v>
      </c>
      <c r="AB975">
        <f t="shared" si="158"/>
        <v>0</v>
      </c>
      <c r="AC975">
        <v>1</v>
      </c>
      <c r="AF975">
        <v>1</v>
      </c>
      <c r="AG975" s="8"/>
      <c r="AH975" s="8"/>
      <c r="AK975" cm="1">
        <f t="array" ref="AK975">_xlfn.IFS(B975="","",LEFT(G975,1)="L",1,LEFT(G975,1)="W",1,AND(LEFT(B975,1)="H",G975=""),0)</f>
        <v>1</v>
      </c>
      <c r="AS975" t="str">
        <f t="shared" si="159"/>
        <v/>
      </c>
      <c r="AT975" t="s">
        <v>115</v>
      </c>
      <c r="AU975" t="str">
        <f t="shared" si="160"/>
        <v>0</v>
      </c>
      <c r="BD975" t="str">
        <f t="shared" si="161"/>
        <v>0</v>
      </c>
      <c r="BK975" t="str">
        <f>IFERROR(VLOOKUP(B975,'[1]model_S-フレーム'!$F$5:$R$7000,13,1),"")</f>
        <v>E389460_01</v>
      </c>
      <c r="BL975" s="7">
        <f>IFERROR(VLOOKUP(B975,'[1]model_S-フレーム'!$F$5:$V$7000,17,1),"")</f>
        <v>0</v>
      </c>
      <c r="BM975" t="str" cm="1">
        <f t="array" ref="BM975">_xlfn.IFS(LEFT(G975,1)="L","外注品",LEFT(G975,1)="W","内製品",G975="","購買品")</f>
        <v>内製品</v>
      </c>
    </row>
    <row r="976" spans="1:65">
      <c r="A976" t="str">
        <f t="shared" si="153"/>
        <v>WG01</v>
      </c>
      <c r="B976" t="s">
        <v>1129</v>
      </c>
      <c r="C976" t="s">
        <v>1521</v>
      </c>
      <c r="D976" s="7"/>
      <c r="E976" s="7"/>
      <c r="G976" t="s">
        <v>1939</v>
      </c>
      <c r="H976" t="str" cm="1">
        <f t="array" ref="H976">IFERROR(_xlfn.IFS(B976="","",AND(B976="",G976=""),"",G976="","記載要"),"")</f>
        <v/>
      </c>
      <c r="K976" t="str">
        <f t="shared" si="154"/>
        <v>11WP01008539</v>
      </c>
      <c r="L976" s="3" t="str">
        <f t="shared" si="155"/>
        <v>2001/01/01</v>
      </c>
      <c r="M976" s="3" t="str">
        <f t="shared" si="156"/>
        <v>2199/12/31</v>
      </c>
      <c r="N976" t="str">
        <f t="shared" si="157"/>
        <v>11WP01008539</v>
      </c>
      <c r="O976">
        <v>15</v>
      </c>
      <c r="Q976" t="str" cm="1">
        <f t="array" ref="Q976">_xlfn.IFS(AND(C976="",G976=""),"",LEFT(G976,1)="L","記載要",LEFT(G976,1)="W","",AND(C976,G976=""),"記載要")</f>
        <v/>
      </c>
      <c r="R976" s="21" t="str">
        <f t="shared" si="162"/>
        <v/>
      </c>
      <c r="S976" s="21"/>
      <c r="Z976" s="8"/>
      <c r="AA976">
        <v>1</v>
      </c>
      <c r="AB976">
        <f t="shared" si="158"/>
        <v>0</v>
      </c>
      <c r="AC976">
        <v>1</v>
      </c>
      <c r="AF976">
        <v>1</v>
      </c>
      <c r="AG976" s="8"/>
      <c r="AH976" s="8"/>
      <c r="AK976" cm="1">
        <f t="array" ref="AK976">_xlfn.IFS(B976="","",LEFT(G976,1)="L",1,LEFT(G976,1)="W",1,AND(LEFT(B976,1)="H",G976=""),0)</f>
        <v>1</v>
      </c>
      <c r="AS976" t="str">
        <f t="shared" si="159"/>
        <v/>
      </c>
      <c r="AT976" t="s">
        <v>115</v>
      </c>
      <c r="AU976" t="str">
        <f t="shared" si="160"/>
        <v>0</v>
      </c>
      <c r="BD976" t="str">
        <f t="shared" si="161"/>
        <v>0</v>
      </c>
      <c r="BK976" t="str">
        <f>IFERROR(VLOOKUP(B976,'[1]model_S-フレーム'!$F$5:$R$7000,13,1),"")</f>
        <v>E389460_01</v>
      </c>
      <c r="BL976" s="7">
        <f>IFERROR(VLOOKUP(B976,'[1]model_S-フレーム'!$F$5:$V$7000,17,1),"")</f>
        <v>0</v>
      </c>
      <c r="BM976" t="str" cm="1">
        <f t="array" ref="BM976">_xlfn.IFS(LEFT(G976,1)="L","外注品",LEFT(G976,1)="W","内製品",G976="","購買品")</f>
        <v>内製品</v>
      </c>
    </row>
    <row r="977" spans="1:65">
      <c r="A977" t="str">
        <f t="shared" si="153"/>
        <v>WG01</v>
      </c>
      <c r="B977" t="s">
        <v>1130</v>
      </c>
      <c r="C977" t="s">
        <v>1521</v>
      </c>
      <c r="D977" s="7"/>
      <c r="E977" s="7"/>
      <c r="G977" t="s">
        <v>1939</v>
      </c>
      <c r="H977" t="str" cm="1">
        <f t="array" ref="H977">IFERROR(_xlfn.IFS(B977="","",AND(B977="",G977=""),"",G977="","記載要"),"")</f>
        <v/>
      </c>
      <c r="K977" t="str">
        <f t="shared" si="154"/>
        <v>11WP01008540</v>
      </c>
      <c r="L977" s="3" t="str">
        <f t="shared" si="155"/>
        <v>2001/01/01</v>
      </c>
      <c r="M977" s="3" t="str">
        <f t="shared" si="156"/>
        <v>2199/12/31</v>
      </c>
      <c r="N977" t="str">
        <f t="shared" si="157"/>
        <v>11WP01008540</v>
      </c>
      <c r="O977">
        <v>15</v>
      </c>
      <c r="Q977" t="str" cm="1">
        <f t="array" ref="Q977">_xlfn.IFS(AND(C977="",G977=""),"",LEFT(G977,1)="L","記載要",LEFT(G977,1)="W","",AND(C977,G977=""),"記載要")</f>
        <v/>
      </c>
      <c r="R977" s="21" t="str">
        <f t="shared" si="162"/>
        <v/>
      </c>
      <c r="S977" s="21"/>
      <c r="Z977" s="8"/>
      <c r="AA977">
        <v>1</v>
      </c>
      <c r="AB977">
        <f t="shared" si="158"/>
        <v>0</v>
      </c>
      <c r="AC977">
        <v>1</v>
      </c>
      <c r="AF977">
        <v>1</v>
      </c>
      <c r="AG977" s="8"/>
      <c r="AH977" s="8"/>
      <c r="AK977" cm="1">
        <f t="array" ref="AK977">_xlfn.IFS(B977="","",LEFT(G977,1)="L",1,LEFT(G977,1)="W",1,AND(LEFT(B977,1)="H",G977=""),0)</f>
        <v>1</v>
      </c>
      <c r="AS977" t="str">
        <f t="shared" si="159"/>
        <v/>
      </c>
      <c r="AT977" t="s">
        <v>115</v>
      </c>
      <c r="AU977" t="str">
        <f t="shared" si="160"/>
        <v>0</v>
      </c>
      <c r="BD977" t="str">
        <f t="shared" si="161"/>
        <v>0</v>
      </c>
      <c r="BK977" t="str">
        <f>IFERROR(VLOOKUP(B977,'[1]model_S-フレーム'!$F$5:$R$7000,13,1),"")</f>
        <v>E389460_01</v>
      </c>
      <c r="BL977" s="7">
        <f>IFERROR(VLOOKUP(B977,'[1]model_S-フレーム'!$F$5:$V$7000,17,1),"")</f>
        <v>0</v>
      </c>
      <c r="BM977" t="str" cm="1">
        <f t="array" ref="BM977">_xlfn.IFS(LEFT(G977,1)="L","外注品",LEFT(G977,1)="W","内製品",G977="","購買品")</f>
        <v>内製品</v>
      </c>
    </row>
    <row r="978" spans="1:65">
      <c r="A978" t="str">
        <f t="shared" si="153"/>
        <v>WG01</v>
      </c>
      <c r="B978" t="s">
        <v>1131</v>
      </c>
      <c r="C978" t="s">
        <v>1522</v>
      </c>
      <c r="D978" s="7"/>
      <c r="E978" s="7"/>
      <c r="G978" t="s">
        <v>1939</v>
      </c>
      <c r="H978" t="str" cm="1">
        <f t="array" ref="H978">IFERROR(_xlfn.IFS(B978="","",AND(B978="",G978=""),"",G978="","記載要"),"")</f>
        <v/>
      </c>
      <c r="K978" t="str">
        <f t="shared" si="154"/>
        <v>11WP01008541</v>
      </c>
      <c r="L978" s="3" t="str">
        <f t="shared" si="155"/>
        <v>2001/01/01</v>
      </c>
      <c r="M978" s="3" t="str">
        <f t="shared" si="156"/>
        <v>2199/12/31</v>
      </c>
      <c r="N978" t="str">
        <f t="shared" si="157"/>
        <v>11WP01008541</v>
      </c>
      <c r="O978">
        <v>15</v>
      </c>
      <c r="Q978" t="str" cm="1">
        <f t="array" ref="Q978">_xlfn.IFS(AND(C978="",G978=""),"",LEFT(G978,1)="L","記載要",LEFT(G978,1)="W","",AND(C978,G978=""),"記載要")</f>
        <v/>
      </c>
      <c r="R978" s="21" t="str">
        <f t="shared" si="162"/>
        <v/>
      </c>
      <c r="S978" s="21"/>
      <c r="Z978" s="8"/>
      <c r="AA978">
        <v>1</v>
      </c>
      <c r="AB978">
        <f t="shared" si="158"/>
        <v>0</v>
      </c>
      <c r="AC978">
        <v>1</v>
      </c>
      <c r="AF978">
        <v>1</v>
      </c>
      <c r="AG978" s="8"/>
      <c r="AH978" s="8"/>
      <c r="AK978" cm="1">
        <f t="array" ref="AK978">_xlfn.IFS(B978="","",LEFT(G978,1)="L",1,LEFT(G978,1)="W",1,AND(LEFT(B978,1)="H",G978=""),0)</f>
        <v>1</v>
      </c>
      <c r="AS978" t="str">
        <f t="shared" si="159"/>
        <v/>
      </c>
      <c r="AT978" t="s">
        <v>115</v>
      </c>
      <c r="AU978" t="str">
        <f t="shared" si="160"/>
        <v>0</v>
      </c>
      <c r="BD978" t="str">
        <f t="shared" si="161"/>
        <v>0</v>
      </c>
      <c r="BK978" t="str">
        <f>IFERROR(VLOOKUP(B978,'[1]model_S-フレーム'!$F$5:$R$7000,13,1),"")</f>
        <v>E389460_01</v>
      </c>
      <c r="BL978" s="7">
        <f>IFERROR(VLOOKUP(B978,'[1]model_S-フレーム'!$F$5:$V$7000,17,1),"")</f>
        <v>0</v>
      </c>
      <c r="BM978" t="str" cm="1">
        <f t="array" ref="BM978">_xlfn.IFS(LEFT(G978,1)="L","外注品",LEFT(G978,1)="W","内製品",G978="","購買品")</f>
        <v>内製品</v>
      </c>
    </row>
    <row r="979" spans="1:65">
      <c r="A979" t="str">
        <f t="shared" si="153"/>
        <v>WG01</v>
      </c>
      <c r="B979" t="s">
        <v>1132</v>
      </c>
      <c r="C979" t="s">
        <v>1522</v>
      </c>
      <c r="D979" s="7"/>
      <c r="E979" s="7"/>
      <c r="G979" t="s">
        <v>1939</v>
      </c>
      <c r="H979" t="str" cm="1">
        <f t="array" ref="H979">IFERROR(_xlfn.IFS(B979="","",AND(B979="",G979=""),"",G979="","記載要"),"")</f>
        <v/>
      </c>
      <c r="K979" t="str">
        <f t="shared" si="154"/>
        <v>11WP01008542</v>
      </c>
      <c r="L979" s="3" t="str">
        <f t="shared" si="155"/>
        <v>2001/01/01</v>
      </c>
      <c r="M979" s="3" t="str">
        <f t="shared" si="156"/>
        <v>2199/12/31</v>
      </c>
      <c r="N979" t="str">
        <f t="shared" si="157"/>
        <v>11WP01008542</v>
      </c>
      <c r="O979">
        <v>15</v>
      </c>
      <c r="Q979" t="str" cm="1">
        <f t="array" ref="Q979">_xlfn.IFS(AND(C979="",G979=""),"",LEFT(G979,1)="L","記載要",LEFT(G979,1)="W","",AND(C979,G979=""),"記載要")</f>
        <v/>
      </c>
      <c r="R979" s="21" t="str">
        <f t="shared" si="162"/>
        <v/>
      </c>
      <c r="S979" s="21"/>
      <c r="Z979" s="8"/>
      <c r="AA979">
        <v>1</v>
      </c>
      <c r="AB979">
        <f t="shared" si="158"/>
        <v>0</v>
      </c>
      <c r="AC979">
        <v>1</v>
      </c>
      <c r="AF979">
        <v>1</v>
      </c>
      <c r="AG979" s="8"/>
      <c r="AH979" s="8"/>
      <c r="AK979" cm="1">
        <f t="array" ref="AK979">_xlfn.IFS(B979="","",LEFT(G979,1)="L",1,LEFT(G979,1)="W",1,AND(LEFT(B979,1)="H",G979=""),0)</f>
        <v>1</v>
      </c>
      <c r="AS979" t="str">
        <f t="shared" si="159"/>
        <v/>
      </c>
      <c r="AT979" t="s">
        <v>115</v>
      </c>
      <c r="AU979" t="str">
        <f t="shared" si="160"/>
        <v>0</v>
      </c>
      <c r="BD979" t="str">
        <f t="shared" si="161"/>
        <v>0</v>
      </c>
      <c r="BK979" t="str">
        <f>IFERROR(VLOOKUP(B979,'[1]model_S-フレーム'!$F$5:$R$7000,13,1),"")</f>
        <v>E389460_01</v>
      </c>
      <c r="BL979" s="7">
        <f>IFERROR(VLOOKUP(B979,'[1]model_S-フレーム'!$F$5:$V$7000,17,1),"")</f>
        <v>0</v>
      </c>
      <c r="BM979" t="str" cm="1">
        <f t="array" ref="BM979">_xlfn.IFS(LEFT(G979,1)="L","外注品",LEFT(G979,1)="W","内製品",G979="","購買品")</f>
        <v>内製品</v>
      </c>
    </row>
    <row r="980" spans="1:65">
      <c r="A980" t="str">
        <f t="shared" si="153"/>
        <v>WG01</v>
      </c>
      <c r="B980" t="s">
        <v>1133</v>
      </c>
      <c r="C980" t="s">
        <v>1522</v>
      </c>
      <c r="D980" s="7"/>
      <c r="E980" s="7"/>
      <c r="G980" t="s">
        <v>1939</v>
      </c>
      <c r="H980" t="str" cm="1">
        <f t="array" ref="H980">IFERROR(_xlfn.IFS(B980="","",AND(B980="",G980=""),"",G980="","記載要"),"")</f>
        <v/>
      </c>
      <c r="K980" t="str">
        <f t="shared" si="154"/>
        <v>11WP01008543</v>
      </c>
      <c r="L980" s="3" t="str">
        <f t="shared" si="155"/>
        <v>2001/01/01</v>
      </c>
      <c r="M980" s="3" t="str">
        <f t="shared" si="156"/>
        <v>2199/12/31</v>
      </c>
      <c r="N980" t="str">
        <f t="shared" si="157"/>
        <v>11WP01008543</v>
      </c>
      <c r="O980">
        <v>15</v>
      </c>
      <c r="Q980" t="str" cm="1">
        <f t="array" ref="Q980">_xlfn.IFS(AND(C980="",G980=""),"",LEFT(G980,1)="L","記載要",LEFT(G980,1)="W","",AND(C980,G980=""),"記載要")</f>
        <v/>
      </c>
      <c r="R980" s="21" t="str">
        <f t="shared" si="162"/>
        <v/>
      </c>
      <c r="S980" s="21"/>
      <c r="Z980" s="8"/>
      <c r="AA980">
        <v>1</v>
      </c>
      <c r="AB980">
        <f t="shared" si="158"/>
        <v>0</v>
      </c>
      <c r="AC980">
        <v>1</v>
      </c>
      <c r="AF980">
        <v>1</v>
      </c>
      <c r="AG980" s="8"/>
      <c r="AH980" s="8"/>
      <c r="AK980" cm="1">
        <f t="array" ref="AK980">_xlfn.IFS(B980="","",LEFT(G980,1)="L",1,LEFT(G980,1)="W",1,AND(LEFT(B980,1)="H",G980=""),0)</f>
        <v>1</v>
      </c>
      <c r="AS980" t="str">
        <f t="shared" si="159"/>
        <v/>
      </c>
      <c r="AT980" t="s">
        <v>115</v>
      </c>
      <c r="AU980" t="str">
        <f t="shared" si="160"/>
        <v>0</v>
      </c>
      <c r="BD980" t="str">
        <f t="shared" si="161"/>
        <v>0</v>
      </c>
      <c r="BK980" t="str">
        <f>IFERROR(VLOOKUP(B980,'[1]model_S-フレーム'!$F$5:$R$7000,13,1),"")</f>
        <v>E389460_01</v>
      </c>
      <c r="BL980" s="7">
        <f>IFERROR(VLOOKUP(B980,'[1]model_S-フレーム'!$F$5:$V$7000,17,1),"")</f>
        <v>0</v>
      </c>
      <c r="BM980" t="str" cm="1">
        <f t="array" ref="BM980">_xlfn.IFS(LEFT(G980,1)="L","外注品",LEFT(G980,1)="W","内製品",G980="","購買品")</f>
        <v>内製品</v>
      </c>
    </row>
    <row r="981" spans="1:65">
      <c r="A981" t="str">
        <f t="shared" si="153"/>
        <v>WG01</v>
      </c>
      <c r="B981" t="s">
        <v>1134</v>
      </c>
      <c r="C981" t="s">
        <v>1522</v>
      </c>
      <c r="D981" s="7"/>
      <c r="E981" s="7"/>
      <c r="G981" t="s">
        <v>1939</v>
      </c>
      <c r="H981" t="str" cm="1">
        <f t="array" ref="H981">IFERROR(_xlfn.IFS(B981="","",AND(B981="",G981=""),"",G981="","記載要"),"")</f>
        <v/>
      </c>
      <c r="K981" t="str">
        <f t="shared" si="154"/>
        <v>11WP01008544</v>
      </c>
      <c r="L981" s="3" t="str">
        <f t="shared" si="155"/>
        <v>2001/01/01</v>
      </c>
      <c r="M981" s="3" t="str">
        <f t="shared" si="156"/>
        <v>2199/12/31</v>
      </c>
      <c r="N981" t="str">
        <f t="shared" si="157"/>
        <v>11WP01008544</v>
      </c>
      <c r="O981">
        <v>15</v>
      </c>
      <c r="Q981" t="str" cm="1">
        <f t="array" ref="Q981">_xlfn.IFS(AND(C981="",G981=""),"",LEFT(G981,1)="L","記載要",LEFT(G981,1)="W","",AND(C981,G981=""),"記載要")</f>
        <v/>
      </c>
      <c r="R981" s="21" t="str">
        <f t="shared" si="162"/>
        <v/>
      </c>
      <c r="S981" s="21"/>
      <c r="Z981" s="8"/>
      <c r="AA981">
        <v>1</v>
      </c>
      <c r="AB981">
        <f t="shared" si="158"/>
        <v>0</v>
      </c>
      <c r="AC981">
        <v>1</v>
      </c>
      <c r="AF981">
        <v>1</v>
      </c>
      <c r="AG981" s="8"/>
      <c r="AH981" s="8"/>
      <c r="AK981" cm="1">
        <f t="array" ref="AK981">_xlfn.IFS(B981="","",LEFT(G981,1)="L",1,LEFT(G981,1)="W",1,AND(LEFT(B981,1)="H",G981=""),0)</f>
        <v>1</v>
      </c>
      <c r="AS981" t="str">
        <f t="shared" si="159"/>
        <v/>
      </c>
      <c r="AT981" t="s">
        <v>115</v>
      </c>
      <c r="AU981" t="str">
        <f t="shared" si="160"/>
        <v>0</v>
      </c>
      <c r="BD981" t="str">
        <f t="shared" si="161"/>
        <v>0</v>
      </c>
      <c r="BK981" t="str">
        <f>IFERROR(VLOOKUP(B981,'[1]model_S-フレーム'!$F$5:$R$7000,13,1),"")</f>
        <v>E389460_01</v>
      </c>
      <c r="BL981" s="7">
        <f>IFERROR(VLOOKUP(B981,'[1]model_S-フレーム'!$F$5:$V$7000,17,1),"")</f>
        <v>0</v>
      </c>
      <c r="BM981" t="str" cm="1">
        <f t="array" ref="BM981">_xlfn.IFS(LEFT(G981,1)="L","外注品",LEFT(G981,1)="W","内製品",G981="","購買品")</f>
        <v>内製品</v>
      </c>
    </row>
    <row r="982" spans="1:65">
      <c r="A982" t="str">
        <f t="shared" si="153"/>
        <v>WG01</v>
      </c>
      <c r="B982" t="s">
        <v>1135</v>
      </c>
      <c r="C982" t="s">
        <v>1522</v>
      </c>
      <c r="D982" s="7"/>
      <c r="E982" s="7"/>
      <c r="G982" t="s">
        <v>1939</v>
      </c>
      <c r="H982" t="str" cm="1">
        <f t="array" ref="H982">IFERROR(_xlfn.IFS(B982="","",AND(B982="",G982=""),"",G982="","記載要"),"")</f>
        <v/>
      </c>
      <c r="K982" t="str">
        <f t="shared" si="154"/>
        <v>11WP01008545</v>
      </c>
      <c r="L982" s="3" t="str">
        <f t="shared" si="155"/>
        <v>2001/01/01</v>
      </c>
      <c r="M982" s="3" t="str">
        <f t="shared" si="156"/>
        <v>2199/12/31</v>
      </c>
      <c r="N982" t="str">
        <f t="shared" si="157"/>
        <v>11WP01008545</v>
      </c>
      <c r="O982">
        <v>15</v>
      </c>
      <c r="Q982" t="str" cm="1">
        <f t="array" ref="Q982">_xlfn.IFS(AND(C982="",G982=""),"",LEFT(G982,1)="L","記載要",LEFT(G982,1)="W","",AND(C982,G982=""),"記載要")</f>
        <v/>
      </c>
      <c r="R982" s="21" t="str">
        <f t="shared" si="162"/>
        <v/>
      </c>
      <c r="S982" s="21"/>
      <c r="Z982" s="8"/>
      <c r="AA982">
        <v>1</v>
      </c>
      <c r="AB982">
        <f t="shared" si="158"/>
        <v>0</v>
      </c>
      <c r="AC982">
        <v>1</v>
      </c>
      <c r="AF982">
        <v>1</v>
      </c>
      <c r="AG982" s="8"/>
      <c r="AH982" s="8"/>
      <c r="AK982" cm="1">
        <f t="array" ref="AK982">_xlfn.IFS(B982="","",LEFT(G982,1)="L",1,LEFT(G982,1)="W",1,AND(LEFT(B982,1)="H",G982=""),0)</f>
        <v>1</v>
      </c>
      <c r="AS982" t="str">
        <f t="shared" si="159"/>
        <v/>
      </c>
      <c r="AT982" t="s">
        <v>115</v>
      </c>
      <c r="AU982" t="str">
        <f t="shared" si="160"/>
        <v>0</v>
      </c>
      <c r="BD982" t="str">
        <f t="shared" si="161"/>
        <v>0</v>
      </c>
      <c r="BK982" t="str">
        <f>IFERROR(VLOOKUP(B982,'[1]model_S-フレーム'!$F$5:$R$7000,13,1),"")</f>
        <v>E389460_01</v>
      </c>
      <c r="BL982" s="7">
        <f>IFERROR(VLOOKUP(B982,'[1]model_S-フレーム'!$F$5:$V$7000,17,1),"")</f>
        <v>0</v>
      </c>
      <c r="BM982" t="str" cm="1">
        <f t="array" ref="BM982">_xlfn.IFS(LEFT(G982,1)="L","外注品",LEFT(G982,1)="W","内製品",G982="","購買品")</f>
        <v>内製品</v>
      </c>
    </row>
    <row r="983" spans="1:65">
      <c r="A983" t="str">
        <f t="shared" si="153"/>
        <v>WG01</v>
      </c>
      <c r="B983" t="s">
        <v>1136</v>
      </c>
      <c r="C983" t="s">
        <v>1522</v>
      </c>
      <c r="D983" s="7"/>
      <c r="E983" s="7"/>
      <c r="G983" t="s">
        <v>1939</v>
      </c>
      <c r="H983" t="str" cm="1">
        <f t="array" ref="H983">IFERROR(_xlfn.IFS(B983="","",AND(B983="",G983=""),"",G983="","記載要"),"")</f>
        <v/>
      </c>
      <c r="K983" t="str">
        <f t="shared" si="154"/>
        <v>11WP01008546</v>
      </c>
      <c r="L983" s="3" t="str">
        <f t="shared" si="155"/>
        <v>2001/01/01</v>
      </c>
      <c r="M983" s="3" t="str">
        <f t="shared" si="156"/>
        <v>2199/12/31</v>
      </c>
      <c r="N983" t="str">
        <f t="shared" si="157"/>
        <v>11WP01008546</v>
      </c>
      <c r="O983">
        <v>15</v>
      </c>
      <c r="Q983" t="str" cm="1">
        <f t="array" ref="Q983">_xlfn.IFS(AND(C983="",G983=""),"",LEFT(G983,1)="L","記載要",LEFT(G983,1)="W","",AND(C983,G983=""),"記載要")</f>
        <v/>
      </c>
      <c r="R983" s="21" t="str">
        <f t="shared" si="162"/>
        <v/>
      </c>
      <c r="S983" s="21"/>
      <c r="Z983" s="8"/>
      <c r="AA983">
        <v>1</v>
      </c>
      <c r="AB983">
        <f t="shared" si="158"/>
        <v>0</v>
      </c>
      <c r="AC983">
        <v>1</v>
      </c>
      <c r="AF983">
        <v>1</v>
      </c>
      <c r="AG983" s="8"/>
      <c r="AH983" s="8"/>
      <c r="AK983" cm="1">
        <f t="array" ref="AK983">_xlfn.IFS(B983="","",LEFT(G983,1)="L",1,LEFT(G983,1)="W",1,AND(LEFT(B983,1)="H",G983=""),0)</f>
        <v>1</v>
      </c>
      <c r="AS983" t="str">
        <f t="shared" si="159"/>
        <v/>
      </c>
      <c r="AT983" t="s">
        <v>115</v>
      </c>
      <c r="AU983" t="str">
        <f t="shared" si="160"/>
        <v>0</v>
      </c>
      <c r="BD983" t="str">
        <f t="shared" si="161"/>
        <v>0</v>
      </c>
      <c r="BK983" t="str">
        <f>IFERROR(VLOOKUP(B983,'[1]model_S-フレーム'!$F$5:$R$7000,13,1),"")</f>
        <v>E389460_01</v>
      </c>
      <c r="BL983" s="7">
        <f>IFERROR(VLOOKUP(B983,'[1]model_S-フレーム'!$F$5:$V$7000,17,1),"")</f>
        <v>0</v>
      </c>
      <c r="BM983" t="str" cm="1">
        <f t="array" ref="BM983">_xlfn.IFS(LEFT(G983,1)="L","外注品",LEFT(G983,1)="W","内製品",G983="","購買品")</f>
        <v>内製品</v>
      </c>
    </row>
    <row r="984" spans="1:65">
      <c r="A984" t="str">
        <f t="shared" si="153"/>
        <v>WG01</v>
      </c>
      <c r="B984" t="s">
        <v>1137</v>
      </c>
      <c r="C984" t="s">
        <v>1522</v>
      </c>
      <c r="D984" s="7"/>
      <c r="E984" s="7"/>
      <c r="G984" t="s">
        <v>1939</v>
      </c>
      <c r="H984" t="str" cm="1">
        <f t="array" ref="H984">IFERROR(_xlfn.IFS(B984="","",AND(B984="",G984=""),"",G984="","記載要"),"")</f>
        <v/>
      </c>
      <c r="K984" t="str">
        <f t="shared" si="154"/>
        <v>11WP01008547</v>
      </c>
      <c r="L984" s="3" t="str">
        <f t="shared" si="155"/>
        <v>2001/01/01</v>
      </c>
      <c r="M984" s="3" t="str">
        <f t="shared" si="156"/>
        <v>2199/12/31</v>
      </c>
      <c r="N984" t="str">
        <f t="shared" si="157"/>
        <v>11WP01008547</v>
      </c>
      <c r="O984">
        <v>15</v>
      </c>
      <c r="Q984" t="str" cm="1">
        <f t="array" ref="Q984">_xlfn.IFS(AND(C984="",G984=""),"",LEFT(G984,1)="L","記載要",LEFT(G984,1)="W","",AND(C984,G984=""),"記載要")</f>
        <v/>
      </c>
      <c r="R984" s="21" t="str">
        <f t="shared" si="162"/>
        <v/>
      </c>
      <c r="S984" s="21"/>
      <c r="Z984" s="8"/>
      <c r="AA984">
        <v>1</v>
      </c>
      <c r="AB984">
        <f t="shared" si="158"/>
        <v>0</v>
      </c>
      <c r="AC984">
        <v>1</v>
      </c>
      <c r="AF984">
        <v>1</v>
      </c>
      <c r="AG984" s="8"/>
      <c r="AH984" s="8"/>
      <c r="AK984" cm="1">
        <f t="array" ref="AK984">_xlfn.IFS(B984="","",LEFT(G984,1)="L",1,LEFT(G984,1)="W",1,AND(LEFT(B984,1)="H",G984=""),0)</f>
        <v>1</v>
      </c>
      <c r="AS984" t="str">
        <f t="shared" si="159"/>
        <v/>
      </c>
      <c r="AT984" t="s">
        <v>115</v>
      </c>
      <c r="AU984" t="str">
        <f t="shared" si="160"/>
        <v>0</v>
      </c>
      <c r="BD984" t="str">
        <f t="shared" si="161"/>
        <v>0</v>
      </c>
      <c r="BK984" t="str">
        <f>IFERROR(VLOOKUP(B984,'[1]model_S-フレーム'!$F$5:$R$7000,13,1),"")</f>
        <v>E389460_01</v>
      </c>
      <c r="BL984" s="7">
        <f>IFERROR(VLOOKUP(B984,'[1]model_S-フレーム'!$F$5:$V$7000,17,1),"")</f>
        <v>0</v>
      </c>
      <c r="BM984" t="str" cm="1">
        <f t="array" ref="BM984">_xlfn.IFS(LEFT(G984,1)="L","外注品",LEFT(G984,1)="W","内製品",G984="","購買品")</f>
        <v>内製品</v>
      </c>
    </row>
    <row r="985" spans="1:65">
      <c r="A985" t="str">
        <f t="shared" si="153"/>
        <v>WG01</v>
      </c>
      <c r="B985" t="s">
        <v>1138</v>
      </c>
      <c r="C985" t="s">
        <v>1522</v>
      </c>
      <c r="D985" s="7"/>
      <c r="E985" s="7"/>
      <c r="G985" t="s">
        <v>1939</v>
      </c>
      <c r="H985" t="str" cm="1">
        <f t="array" ref="H985">IFERROR(_xlfn.IFS(B985="","",AND(B985="",G985=""),"",G985="","記載要"),"")</f>
        <v/>
      </c>
      <c r="K985" t="str">
        <f t="shared" si="154"/>
        <v>11WP01008548</v>
      </c>
      <c r="L985" s="3" t="str">
        <f t="shared" si="155"/>
        <v>2001/01/01</v>
      </c>
      <c r="M985" s="3" t="str">
        <f t="shared" si="156"/>
        <v>2199/12/31</v>
      </c>
      <c r="N985" t="str">
        <f t="shared" si="157"/>
        <v>11WP01008548</v>
      </c>
      <c r="O985">
        <v>15</v>
      </c>
      <c r="Q985" t="str" cm="1">
        <f t="array" ref="Q985">_xlfn.IFS(AND(C985="",G985=""),"",LEFT(G985,1)="L","記載要",LEFT(G985,1)="W","",AND(C985,G985=""),"記載要")</f>
        <v/>
      </c>
      <c r="R985" s="21" t="str">
        <f t="shared" si="162"/>
        <v/>
      </c>
      <c r="S985" s="21"/>
      <c r="Z985" s="8"/>
      <c r="AA985">
        <v>1</v>
      </c>
      <c r="AB985">
        <f t="shared" si="158"/>
        <v>0</v>
      </c>
      <c r="AC985">
        <v>1</v>
      </c>
      <c r="AF985">
        <v>1</v>
      </c>
      <c r="AG985" s="8"/>
      <c r="AH985" s="8"/>
      <c r="AK985" cm="1">
        <f t="array" ref="AK985">_xlfn.IFS(B985="","",LEFT(G985,1)="L",1,LEFT(G985,1)="W",1,AND(LEFT(B985,1)="H",G985=""),0)</f>
        <v>1</v>
      </c>
      <c r="AS985" t="str">
        <f t="shared" si="159"/>
        <v/>
      </c>
      <c r="AT985" t="s">
        <v>115</v>
      </c>
      <c r="AU985" t="str">
        <f t="shared" si="160"/>
        <v>0</v>
      </c>
      <c r="BD985" t="str">
        <f t="shared" si="161"/>
        <v>0</v>
      </c>
      <c r="BK985" t="str">
        <f>IFERROR(VLOOKUP(B985,'[1]model_S-フレーム'!$F$5:$R$7000,13,1),"")</f>
        <v>E389460_01</v>
      </c>
      <c r="BL985" s="7">
        <f>IFERROR(VLOOKUP(B985,'[1]model_S-フレーム'!$F$5:$V$7000,17,1),"")</f>
        <v>0</v>
      </c>
      <c r="BM985" t="str" cm="1">
        <f t="array" ref="BM985">_xlfn.IFS(LEFT(G985,1)="L","外注品",LEFT(G985,1)="W","内製品",G985="","購買品")</f>
        <v>内製品</v>
      </c>
    </row>
    <row r="986" spans="1:65">
      <c r="A986" t="str">
        <f t="shared" si="153"/>
        <v>WG01</v>
      </c>
      <c r="B986" t="s">
        <v>1139</v>
      </c>
      <c r="C986" t="s">
        <v>1522</v>
      </c>
      <c r="D986" s="7"/>
      <c r="E986" s="7"/>
      <c r="G986" t="s">
        <v>1939</v>
      </c>
      <c r="H986" t="str" cm="1">
        <f t="array" ref="H986">IFERROR(_xlfn.IFS(B986="","",AND(B986="",G986=""),"",G986="","記載要"),"")</f>
        <v/>
      </c>
      <c r="K986" t="str">
        <f t="shared" si="154"/>
        <v>11WP01008549</v>
      </c>
      <c r="L986" s="3" t="str">
        <f t="shared" si="155"/>
        <v>2001/01/01</v>
      </c>
      <c r="M986" s="3" t="str">
        <f t="shared" si="156"/>
        <v>2199/12/31</v>
      </c>
      <c r="N986" t="str">
        <f t="shared" si="157"/>
        <v>11WP01008549</v>
      </c>
      <c r="O986">
        <v>15</v>
      </c>
      <c r="Q986" t="str" cm="1">
        <f t="array" ref="Q986">_xlfn.IFS(AND(C986="",G986=""),"",LEFT(G986,1)="L","記載要",LEFT(G986,1)="W","",AND(C986,G986=""),"記載要")</f>
        <v/>
      </c>
      <c r="R986" s="21" t="str">
        <f t="shared" si="162"/>
        <v/>
      </c>
      <c r="S986" s="21"/>
      <c r="Z986" s="8"/>
      <c r="AA986">
        <v>1</v>
      </c>
      <c r="AB986">
        <f t="shared" si="158"/>
        <v>0</v>
      </c>
      <c r="AC986">
        <v>1</v>
      </c>
      <c r="AF986">
        <v>1</v>
      </c>
      <c r="AG986" s="8"/>
      <c r="AH986" s="8"/>
      <c r="AK986" cm="1">
        <f t="array" ref="AK986">_xlfn.IFS(B986="","",LEFT(G986,1)="L",1,LEFT(G986,1)="W",1,AND(LEFT(B986,1)="H",G986=""),0)</f>
        <v>1</v>
      </c>
      <c r="AS986" t="str">
        <f t="shared" si="159"/>
        <v/>
      </c>
      <c r="AT986" t="s">
        <v>115</v>
      </c>
      <c r="AU986" t="str">
        <f t="shared" si="160"/>
        <v>0</v>
      </c>
      <c r="BD986" t="str">
        <f t="shared" si="161"/>
        <v>0</v>
      </c>
      <c r="BK986" t="str">
        <f>IFERROR(VLOOKUP(B986,'[1]model_S-フレーム'!$F$5:$R$7000,13,1),"")</f>
        <v>E389460_01</v>
      </c>
      <c r="BL986" s="7">
        <f>IFERROR(VLOOKUP(B986,'[1]model_S-フレーム'!$F$5:$V$7000,17,1),"")</f>
        <v>0</v>
      </c>
      <c r="BM986" t="str" cm="1">
        <f t="array" ref="BM986">_xlfn.IFS(LEFT(G986,1)="L","外注品",LEFT(G986,1)="W","内製品",G986="","購買品")</f>
        <v>内製品</v>
      </c>
    </row>
    <row r="987" spans="1:65">
      <c r="A987" t="str">
        <f t="shared" si="153"/>
        <v>WG01</v>
      </c>
      <c r="B987" t="s">
        <v>1140</v>
      </c>
      <c r="C987" t="s">
        <v>1522</v>
      </c>
      <c r="D987" s="7"/>
      <c r="E987" s="7"/>
      <c r="G987" t="s">
        <v>1939</v>
      </c>
      <c r="H987" t="str" cm="1">
        <f t="array" ref="H987">IFERROR(_xlfn.IFS(B987="","",AND(B987="",G987=""),"",G987="","記載要"),"")</f>
        <v/>
      </c>
      <c r="K987" t="str">
        <f t="shared" si="154"/>
        <v>11WP01008550</v>
      </c>
      <c r="L987" s="3" t="str">
        <f t="shared" si="155"/>
        <v>2001/01/01</v>
      </c>
      <c r="M987" s="3" t="str">
        <f t="shared" si="156"/>
        <v>2199/12/31</v>
      </c>
      <c r="N987" t="str">
        <f t="shared" si="157"/>
        <v>11WP01008550</v>
      </c>
      <c r="O987">
        <v>15</v>
      </c>
      <c r="Q987" t="str" cm="1">
        <f t="array" ref="Q987">_xlfn.IFS(AND(C987="",G987=""),"",LEFT(G987,1)="L","記載要",LEFT(G987,1)="W","",AND(C987,G987=""),"記載要")</f>
        <v/>
      </c>
      <c r="R987" s="21" t="str">
        <f t="shared" si="162"/>
        <v/>
      </c>
      <c r="S987" s="21"/>
      <c r="Z987" s="8"/>
      <c r="AA987">
        <v>1</v>
      </c>
      <c r="AB987">
        <f t="shared" si="158"/>
        <v>0</v>
      </c>
      <c r="AC987">
        <v>1</v>
      </c>
      <c r="AF987">
        <v>1</v>
      </c>
      <c r="AG987" s="8"/>
      <c r="AH987" s="8"/>
      <c r="AK987" cm="1">
        <f t="array" ref="AK987">_xlfn.IFS(B987="","",LEFT(G987,1)="L",1,LEFT(G987,1)="W",1,AND(LEFT(B987,1)="H",G987=""),0)</f>
        <v>1</v>
      </c>
      <c r="AS987" t="str">
        <f t="shared" si="159"/>
        <v/>
      </c>
      <c r="AT987" t="s">
        <v>115</v>
      </c>
      <c r="AU987" t="str">
        <f t="shared" si="160"/>
        <v>0</v>
      </c>
      <c r="BD987" t="str">
        <f t="shared" si="161"/>
        <v>0</v>
      </c>
      <c r="BK987" t="str">
        <f>IFERROR(VLOOKUP(B987,'[1]model_S-フレーム'!$F$5:$R$7000,13,1),"")</f>
        <v>E389460_01</v>
      </c>
      <c r="BL987" s="7">
        <f>IFERROR(VLOOKUP(B987,'[1]model_S-フレーム'!$F$5:$V$7000,17,1),"")</f>
        <v>0</v>
      </c>
      <c r="BM987" t="str" cm="1">
        <f t="array" ref="BM987">_xlfn.IFS(LEFT(G987,1)="L","外注品",LEFT(G987,1)="W","内製品",G987="","購買品")</f>
        <v>内製品</v>
      </c>
    </row>
    <row r="988" spans="1:65">
      <c r="A988" t="str">
        <f t="shared" si="153"/>
        <v>WG01</v>
      </c>
      <c r="B988" t="s">
        <v>1141</v>
      </c>
      <c r="C988" t="s">
        <v>1522</v>
      </c>
      <c r="D988" s="7"/>
      <c r="E988" s="7"/>
      <c r="G988" t="s">
        <v>1939</v>
      </c>
      <c r="H988" t="str" cm="1">
        <f t="array" ref="H988">IFERROR(_xlfn.IFS(B988="","",AND(B988="",G988=""),"",G988="","記載要"),"")</f>
        <v/>
      </c>
      <c r="K988" t="str">
        <f t="shared" si="154"/>
        <v>11WP01008551</v>
      </c>
      <c r="L988" s="3" t="str">
        <f t="shared" si="155"/>
        <v>2001/01/01</v>
      </c>
      <c r="M988" s="3" t="str">
        <f t="shared" si="156"/>
        <v>2199/12/31</v>
      </c>
      <c r="N988" t="str">
        <f t="shared" si="157"/>
        <v>11WP01008551</v>
      </c>
      <c r="O988">
        <v>15</v>
      </c>
      <c r="Q988" t="str" cm="1">
        <f t="array" ref="Q988">_xlfn.IFS(AND(C988="",G988=""),"",LEFT(G988,1)="L","記載要",LEFT(G988,1)="W","",AND(C988,G988=""),"記載要")</f>
        <v/>
      </c>
      <c r="R988" s="21" t="str">
        <f t="shared" si="162"/>
        <v/>
      </c>
      <c r="S988" s="21"/>
      <c r="Z988" s="8"/>
      <c r="AA988">
        <v>1</v>
      </c>
      <c r="AB988">
        <f t="shared" si="158"/>
        <v>0</v>
      </c>
      <c r="AC988">
        <v>1</v>
      </c>
      <c r="AF988">
        <v>1</v>
      </c>
      <c r="AG988" s="8"/>
      <c r="AH988" s="8"/>
      <c r="AK988" cm="1">
        <f t="array" ref="AK988">_xlfn.IFS(B988="","",LEFT(G988,1)="L",1,LEFT(G988,1)="W",1,AND(LEFT(B988,1)="H",G988=""),0)</f>
        <v>1</v>
      </c>
      <c r="AS988" t="str">
        <f t="shared" si="159"/>
        <v/>
      </c>
      <c r="AT988" t="s">
        <v>115</v>
      </c>
      <c r="AU988" t="str">
        <f t="shared" si="160"/>
        <v>0</v>
      </c>
      <c r="BD988" t="str">
        <f t="shared" si="161"/>
        <v>0</v>
      </c>
      <c r="BK988" t="str">
        <f>IFERROR(VLOOKUP(B988,'[1]model_S-フレーム'!$F$5:$R$7000,13,1),"")</f>
        <v>E389460_01</v>
      </c>
      <c r="BL988" s="7">
        <f>IFERROR(VLOOKUP(B988,'[1]model_S-フレーム'!$F$5:$V$7000,17,1),"")</f>
        <v>0</v>
      </c>
      <c r="BM988" t="str" cm="1">
        <f t="array" ref="BM988">_xlfn.IFS(LEFT(G988,1)="L","外注品",LEFT(G988,1)="W","内製品",G988="","購買品")</f>
        <v>内製品</v>
      </c>
    </row>
    <row r="989" spans="1:65">
      <c r="A989" t="str">
        <f t="shared" si="153"/>
        <v>WG01</v>
      </c>
      <c r="B989" t="s">
        <v>1142</v>
      </c>
      <c r="C989" t="s">
        <v>1522</v>
      </c>
      <c r="D989" s="7"/>
      <c r="E989" s="7"/>
      <c r="G989" t="s">
        <v>1939</v>
      </c>
      <c r="H989" t="str" cm="1">
        <f t="array" ref="H989">IFERROR(_xlfn.IFS(B989="","",AND(B989="",G989=""),"",G989="","記載要"),"")</f>
        <v/>
      </c>
      <c r="K989" t="str">
        <f t="shared" si="154"/>
        <v>11WP01008552</v>
      </c>
      <c r="L989" s="3" t="str">
        <f t="shared" si="155"/>
        <v>2001/01/01</v>
      </c>
      <c r="M989" s="3" t="str">
        <f t="shared" si="156"/>
        <v>2199/12/31</v>
      </c>
      <c r="N989" t="str">
        <f t="shared" si="157"/>
        <v>11WP01008552</v>
      </c>
      <c r="O989">
        <v>15</v>
      </c>
      <c r="Q989" t="str" cm="1">
        <f t="array" ref="Q989">_xlfn.IFS(AND(C989="",G989=""),"",LEFT(G989,1)="L","記載要",LEFT(G989,1)="W","",AND(C989,G989=""),"記載要")</f>
        <v/>
      </c>
      <c r="R989" s="21" t="str">
        <f t="shared" si="162"/>
        <v/>
      </c>
      <c r="S989" s="21"/>
      <c r="Z989" s="8"/>
      <c r="AA989">
        <v>1</v>
      </c>
      <c r="AB989">
        <f t="shared" si="158"/>
        <v>0</v>
      </c>
      <c r="AC989">
        <v>1</v>
      </c>
      <c r="AF989">
        <v>1</v>
      </c>
      <c r="AG989" s="8"/>
      <c r="AH989" s="8"/>
      <c r="AK989" cm="1">
        <f t="array" ref="AK989">_xlfn.IFS(B989="","",LEFT(G989,1)="L",1,LEFT(G989,1)="W",1,AND(LEFT(B989,1)="H",G989=""),0)</f>
        <v>1</v>
      </c>
      <c r="AS989" t="str">
        <f t="shared" si="159"/>
        <v/>
      </c>
      <c r="AT989" t="s">
        <v>115</v>
      </c>
      <c r="AU989" t="str">
        <f t="shared" si="160"/>
        <v>0</v>
      </c>
      <c r="BD989" t="str">
        <f t="shared" si="161"/>
        <v>0</v>
      </c>
      <c r="BK989" t="str">
        <f>IFERROR(VLOOKUP(B989,'[1]model_S-フレーム'!$F$5:$R$7000,13,1),"")</f>
        <v>E389460_01</v>
      </c>
      <c r="BL989" s="7">
        <f>IFERROR(VLOOKUP(B989,'[1]model_S-フレーム'!$F$5:$V$7000,17,1),"")</f>
        <v>0</v>
      </c>
      <c r="BM989" t="str" cm="1">
        <f t="array" ref="BM989">_xlfn.IFS(LEFT(G989,1)="L","外注品",LEFT(G989,1)="W","内製品",G989="","購買品")</f>
        <v>内製品</v>
      </c>
    </row>
    <row r="990" spans="1:65">
      <c r="A990" t="str">
        <f t="shared" si="153"/>
        <v>WG01</v>
      </c>
      <c r="B990" t="s">
        <v>1143</v>
      </c>
      <c r="C990" t="s">
        <v>1522</v>
      </c>
      <c r="D990" s="7"/>
      <c r="E990" s="7"/>
      <c r="G990" t="s">
        <v>1939</v>
      </c>
      <c r="H990" t="str" cm="1">
        <f t="array" ref="H990">IFERROR(_xlfn.IFS(B990="","",AND(B990="",G990=""),"",G990="","記載要"),"")</f>
        <v/>
      </c>
      <c r="K990" t="str">
        <f t="shared" si="154"/>
        <v>11WP01008553</v>
      </c>
      <c r="L990" s="3" t="str">
        <f t="shared" si="155"/>
        <v>2001/01/01</v>
      </c>
      <c r="M990" s="3" t="str">
        <f t="shared" si="156"/>
        <v>2199/12/31</v>
      </c>
      <c r="N990" t="str">
        <f t="shared" si="157"/>
        <v>11WP01008553</v>
      </c>
      <c r="O990">
        <v>15</v>
      </c>
      <c r="Q990" t="str" cm="1">
        <f t="array" ref="Q990">_xlfn.IFS(AND(C990="",G990=""),"",LEFT(G990,1)="L","記載要",LEFT(G990,1)="W","",AND(C990,G990=""),"記載要")</f>
        <v/>
      </c>
      <c r="R990" s="21" t="str">
        <f t="shared" si="162"/>
        <v/>
      </c>
      <c r="S990" s="21"/>
      <c r="Z990" s="8"/>
      <c r="AA990">
        <v>1</v>
      </c>
      <c r="AB990">
        <f t="shared" si="158"/>
        <v>0</v>
      </c>
      <c r="AC990">
        <v>1</v>
      </c>
      <c r="AF990">
        <v>1</v>
      </c>
      <c r="AG990" s="8"/>
      <c r="AH990" s="8"/>
      <c r="AK990" cm="1">
        <f t="array" ref="AK990">_xlfn.IFS(B990="","",LEFT(G990,1)="L",1,LEFT(G990,1)="W",1,AND(LEFT(B990,1)="H",G990=""),0)</f>
        <v>1</v>
      </c>
      <c r="AS990" t="str">
        <f t="shared" si="159"/>
        <v/>
      </c>
      <c r="AT990" t="s">
        <v>115</v>
      </c>
      <c r="AU990" t="str">
        <f t="shared" si="160"/>
        <v>0</v>
      </c>
      <c r="BD990" t="str">
        <f t="shared" si="161"/>
        <v>0</v>
      </c>
      <c r="BK990" t="str">
        <f>IFERROR(VLOOKUP(B990,'[1]model_S-フレーム'!$F$5:$R$7000,13,1),"")</f>
        <v>E389460_01</v>
      </c>
      <c r="BL990" s="7">
        <f>IFERROR(VLOOKUP(B990,'[1]model_S-フレーム'!$F$5:$V$7000,17,1),"")</f>
        <v>0</v>
      </c>
      <c r="BM990" t="str" cm="1">
        <f t="array" ref="BM990">_xlfn.IFS(LEFT(G990,1)="L","外注品",LEFT(G990,1)="W","内製品",G990="","購買品")</f>
        <v>内製品</v>
      </c>
    </row>
    <row r="991" spans="1:65">
      <c r="A991" t="str">
        <f t="shared" si="153"/>
        <v>WG01</v>
      </c>
      <c r="B991" t="s">
        <v>1144</v>
      </c>
      <c r="C991" t="s">
        <v>1522</v>
      </c>
      <c r="D991" s="7"/>
      <c r="E991" s="7"/>
      <c r="G991" t="s">
        <v>1939</v>
      </c>
      <c r="H991" t="str" cm="1">
        <f t="array" ref="H991">IFERROR(_xlfn.IFS(B991="","",AND(B991="",G991=""),"",G991="","記載要"),"")</f>
        <v/>
      </c>
      <c r="K991" t="str">
        <f t="shared" si="154"/>
        <v>11WP01008554</v>
      </c>
      <c r="L991" s="3" t="str">
        <f t="shared" si="155"/>
        <v>2001/01/01</v>
      </c>
      <c r="M991" s="3" t="str">
        <f t="shared" si="156"/>
        <v>2199/12/31</v>
      </c>
      <c r="N991" t="str">
        <f t="shared" si="157"/>
        <v>11WP01008554</v>
      </c>
      <c r="O991">
        <v>15</v>
      </c>
      <c r="Q991" t="str" cm="1">
        <f t="array" ref="Q991">_xlfn.IFS(AND(C991="",G991=""),"",LEFT(G991,1)="L","記載要",LEFT(G991,1)="W","",AND(C991,G991=""),"記載要")</f>
        <v/>
      </c>
      <c r="R991" s="21" t="str">
        <f t="shared" si="162"/>
        <v/>
      </c>
      <c r="S991" s="21"/>
      <c r="Z991" s="8"/>
      <c r="AA991">
        <v>1</v>
      </c>
      <c r="AB991">
        <f t="shared" si="158"/>
        <v>0</v>
      </c>
      <c r="AC991">
        <v>1</v>
      </c>
      <c r="AF991">
        <v>1</v>
      </c>
      <c r="AG991" s="8"/>
      <c r="AH991" s="8"/>
      <c r="AK991" cm="1">
        <f t="array" ref="AK991">_xlfn.IFS(B991="","",LEFT(G991,1)="L",1,LEFT(G991,1)="W",1,AND(LEFT(B991,1)="H",G991=""),0)</f>
        <v>1</v>
      </c>
      <c r="AS991" t="str">
        <f t="shared" si="159"/>
        <v/>
      </c>
      <c r="AT991" t="s">
        <v>115</v>
      </c>
      <c r="AU991" t="str">
        <f t="shared" si="160"/>
        <v>0</v>
      </c>
      <c r="BD991" t="str">
        <f t="shared" si="161"/>
        <v>0</v>
      </c>
      <c r="BK991" t="str">
        <f>IFERROR(VLOOKUP(B991,'[1]model_S-フレーム'!$F$5:$R$7000,13,1),"")</f>
        <v>E389460_01</v>
      </c>
      <c r="BL991" s="7">
        <f>IFERROR(VLOOKUP(B991,'[1]model_S-フレーム'!$F$5:$V$7000,17,1),"")</f>
        <v>0</v>
      </c>
      <c r="BM991" t="str" cm="1">
        <f t="array" ref="BM991">_xlfn.IFS(LEFT(G991,1)="L","外注品",LEFT(G991,1)="W","内製品",G991="","購買品")</f>
        <v>内製品</v>
      </c>
    </row>
    <row r="992" spans="1:65">
      <c r="A992" t="str">
        <f t="shared" si="153"/>
        <v>WG01</v>
      </c>
      <c r="B992" t="s">
        <v>1145</v>
      </c>
      <c r="C992" t="s">
        <v>1522</v>
      </c>
      <c r="D992" s="7"/>
      <c r="E992" s="7"/>
      <c r="G992" t="s">
        <v>1939</v>
      </c>
      <c r="H992" t="str" cm="1">
        <f t="array" ref="H992">IFERROR(_xlfn.IFS(B992="","",AND(B992="",G992=""),"",G992="","記載要"),"")</f>
        <v/>
      </c>
      <c r="K992" t="str">
        <f t="shared" si="154"/>
        <v>11WP01008555</v>
      </c>
      <c r="L992" s="3" t="str">
        <f t="shared" si="155"/>
        <v>2001/01/01</v>
      </c>
      <c r="M992" s="3" t="str">
        <f t="shared" si="156"/>
        <v>2199/12/31</v>
      </c>
      <c r="N992" t="str">
        <f t="shared" si="157"/>
        <v>11WP01008555</v>
      </c>
      <c r="O992">
        <v>15</v>
      </c>
      <c r="Q992" t="str" cm="1">
        <f t="array" ref="Q992">_xlfn.IFS(AND(C992="",G992=""),"",LEFT(G992,1)="L","記載要",LEFT(G992,1)="W","",AND(C992,G992=""),"記載要")</f>
        <v/>
      </c>
      <c r="R992" s="21" t="str">
        <f t="shared" si="162"/>
        <v/>
      </c>
      <c r="S992" s="21"/>
      <c r="Z992" s="8"/>
      <c r="AA992">
        <v>1</v>
      </c>
      <c r="AB992">
        <f t="shared" si="158"/>
        <v>0</v>
      </c>
      <c r="AC992">
        <v>1</v>
      </c>
      <c r="AF992">
        <v>1</v>
      </c>
      <c r="AG992" s="8"/>
      <c r="AH992" s="8"/>
      <c r="AK992" cm="1">
        <f t="array" ref="AK992">_xlfn.IFS(B992="","",LEFT(G992,1)="L",1,LEFT(G992,1)="W",1,AND(LEFT(B992,1)="H",G992=""),0)</f>
        <v>1</v>
      </c>
      <c r="AS992" t="str">
        <f t="shared" si="159"/>
        <v/>
      </c>
      <c r="AT992" t="s">
        <v>115</v>
      </c>
      <c r="AU992" t="str">
        <f t="shared" si="160"/>
        <v>0</v>
      </c>
      <c r="BD992" t="str">
        <f t="shared" si="161"/>
        <v>0</v>
      </c>
      <c r="BK992" t="str">
        <f>IFERROR(VLOOKUP(B992,'[1]model_S-フレーム'!$F$5:$R$7000,13,1),"")</f>
        <v>E389460_01</v>
      </c>
      <c r="BL992" s="7">
        <f>IFERROR(VLOOKUP(B992,'[1]model_S-フレーム'!$F$5:$V$7000,17,1),"")</f>
        <v>0</v>
      </c>
      <c r="BM992" t="str" cm="1">
        <f t="array" ref="BM992">_xlfn.IFS(LEFT(G992,1)="L","外注品",LEFT(G992,1)="W","内製品",G992="","購買品")</f>
        <v>内製品</v>
      </c>
    </row>
    <row r="993" spans="1:65">
      <c r="A993" t="str">
        <f t="shared" si="153"/>
        <v>WG01</v>
      </c>
      <c r="B993" t="s">
        <v>1146</v>
      </c>
      <c r="C993" t="s">
        <v>1522</v>
      </c>
      <c r="D993" s="7"/>
      <c r="E993" s="7"/>
      <c r="G993" t="s">
        <v>1939</v>
      </c>
      <c r="H993" t="str" cm="1">
        <f t="array" ref="H993">IFERROR(_xlfn.IFS(B993="","",AND(B993="",G993=""),"",G993="","記載要"),"")</f>
        <v/>
      </c>
      <c r="K993" t="str">
        <f t="shared" si="154"/>
        <v>11WP01008556</v>
      </c>
      <c r="L993" s="3" t="str">
        <f t="shared" si="155"/>
        <v>2001/01/01</v>
      </c>
      <c r="M993" s="3" t="str">
        <f t="shared" si="156"/>
        <v>2199/12/31</v>
      </c>
      <c r="N993" t="str">
        <f t="shared" si="157"/>
        <v>11WP01008556</v>
      </c>
      <c r="O993">
        <v>15</v>
      </c>
      <c r="Q993" t="str" cm="1">
        <f t="array" ref="Q993">_xlfn.IFS(AND(C993="",G993=""),"",LEFT(G993,1)="L","記載要",LEFT(G993,1)="W","",AND(C993,G993=""),"記載要")</f>
        <v/>
      </c>
      <c r="R993" s="21" t="str">
        <f t="shared" si="162"/>
        <v/>
      </c>
      <c r="S993" s="21"/>
      <c r="Z993" s="8"/>
      <c r="AA993">
        <v>1</v>
      </c>
      <c r="AB993">
        <f t="shared" si="158"/>
        <v>0</v>
      </c>
      <c r="AC993">
        <v>1</v>
      </c>
      <c r="AF993">
        <v>1</v>
      </c>
      <c r="AG993" s="8"/>
      <c r="AH993" s="8"/>
      <c r="AK993" cm="1">
        <f t="array" ref="AK993">_xlfn.IFS(B993="","",LEFT(G993,1)="L",1,LEFT(G993,1)="W",1,AND(LEFT(B993,1)="H",G993=""),0)</f>
        <v>1</v>
      </c>
      <c r="AS993" t="str">
        <f t="shared" si="159"/>
        <v/>
      </c>
      <c r="AT993" t="s">
        <v>115</v>
      </c>
      <c r="AU993" t="str">
        <f t="shared" si="160"/>
        <v>0</v>
      </c>
      <c r="BD993" t="str">
        <f t="shared" si="161"/>
        <v>0</v>
      </c>
      <c r="BK993" t="str">
        <f>IFERROR(VLOOKUP(B993,'[1]model_S-フレーム'!$F$5:$R$7000,13,1),"")</f>
        <v>E389460_01</v>
      </c>
      <c r="BL993" s="7">
        <f>IFERROR(VLOOKUP(B993,'[1]model_S-フレーム'!$F$5:$V$7000,17,1),"")</f>
        <v>0</v>
      </c>
      <c r="BM993" t="str" cm="1">
        <f t="array" ref="BM993">_xlfn.IFS(LEFT(G993,1)="L","外注品",LEFT(G993,1)="W","内製品",G993="","購買品")</f>
        <v>内製品</v>
      </c>
    </row>
    <row r="994" spans="1:65">
      <c r="A994" t="str">
        <f t="shared" si="153"/>
        <v>WG01</v>
      </c>
      <c r="B994" t="s">
        <v>1147</v>
      </c>
      <c r="C994" t="s">
        <v>1522</v>
      </c>
      <c r="D994" s="7"/>
      <c r="E994" s="7"/>
      <c r="G994" t="s">
        <v>1939</v>
      </c>
      <c r="H994" t="str" cm="1">
        <f t="array" ref="H994">IFERROR(_xlfn.IFS(B994="","",AND(B994="",G994=""),"",G994="","記載要"),"")</f>
        <v/>
      </c>
      <c r="K994" t="str">
        <f t="shared" si="154"/>
        <v>11WP01008557</v>
      </c>
      <c r="L994" s="3" t="str">
        <f t="shared" si="155"/>
        <v>2001/01/01</v>
      </c>
      <c r="M994" s="3" t="str">
        <f t="shared" si="156"/>
        <v>2199/12/31</v>
      </c>
      <c r="N994" t="str">
        <f t="shared" si="157"/>
        <v>11WP01008557</v>
      </c>
      <c r="O994">
        <v>15</v>
      </c>
      <c r="Q994" t="str" cm="1">
        <f t="array" ref="Q994">_xlfn.IFS(AND(C994="",G994=""),"",LEFT(G994,1)="L","記載要",LEFT(G994,1)="W","",AND(C994,G994=""),"記載要")</f>
        <v/>
      </c>
      <c r="R994" s="21" t="str">
        <f t="shared" si="162"/>
        <v/>
      </c>
      <c r="S994" s="21"/>
      <c r="Z994" s="8"/>
      <c r="AA994">
        <v>1</v>
      </c>
      <c r="AB994">
        <f t="shared" si="158"/>
        <v>0</v>
      </c>
      <c r="AC994">
        <v>1</v>
      </c>
      <c r="AF994">
        <v>1</v>
      </c>
      <c r="AG994" s="8"/>
      <c r="AH994" s="8"/>
      <c r="AK994" cm="1">
        <f t="array" ref="AK994">_xlfn.IFS(B994="","",LEFT(G994,1)="L",1,LEFT(G994,1)="W",1,AND(LEFT(B994,1)="H",G994=""),0)</f>
        <v>1</v>
      </c>
      <c r="AS994" t="str">
        <f t="shared" si="159"/>
        <v/>
      </c>
      <c r="AT994" t="s">
        <v>115</v>
      </c>
      <c r="AU994" t="str">
        <f t="shared" si="160"/>
        <v>0</v>
      </c>
      <c r="BD994" t="str">
        <f t="shared" si="161"/>
        <v>0</v>
      </c>
      <c r="BK994" t="str">
        <f>IFERROR(VLOOKUP(B994,'[1]model_S-フレーム'!$F$5:$R$7000,13,1),"")</f>
        <v>E389460_01</v>
      </c>
      <c r="BL994" s="7">
        <f>IFERROR(VLOOKUP(B994,'[1]model_S-フレーム'!$F$5:$V$7000,17,1),"")</f>
        <v>0</v>
      </c>
      <c r="BM994" t="str" cm="1">
        <f t="array" ref="BM994">_xlfn.IFS(LEFT(G994,1)="L","外注品",LEFT(G994,1)="W","内製品",G994="","購買品")</f>
        <v>内製品</v>
      </c>
    </row>
    <row r="995" spans="1:65">
      <c r="A995" t="str">
        <f t="shared" si="153"/>
        <v>WG01</v>
      </c>
      <c r="B995" t="s">
        <v>1148</v>
      </c>
      <c r="C995" t="s">
        <v>1522</v>
      </c>
      <c r="D995" s="7"/>
      <c r="E995" s="7"/>
      <c r="G995" t="s">
        <v>1939</v>
      </c>
      <c r="H995" t="str" cm="1">
        <f t="array" ref="H995">IFERROR(_xlfn.IFS(B995="","",AND(B995="",G995=""),"",G995="","記載要"),"")</f>
        <v/>
      </c>
      <c r="K995" t="str">
        <f t="shared" si="154"/>
        <v>11WP01008558</v>
      </c>
      <c r="L995" s="3" t="str">
        <f t="shared" si="155"/>
        <v>2001/01/01</v>
      </c>
      <c r="M995" s="3" t="str">
        <f t="shared" si="156"/>
        <v>2199/12/31</v>
      </c>
      <c r="N995" t="str">
        <f t="shared" si="157"/>
        <v>11WP01008558</v>
      </c>
      <c r="O995">
        <v>15</v>
      </c>
      <c r="Q995" t="str" cm="1">
        <f t="array" ref="Q995">_xlfn.IFS(AND(C995="",G995=""),"",LEFT(G995,1)="L","記載要",LEFT(G995,1)="W","",AND(C995,G995=""),"記載要")</f>
        <v/>
      </c>
      <c r="R995" s="21" t="str">
        <f t="shared" si="162"/>
        <v/>
      </c>
      <c r="S995" s="21"/>
      <c r="Z995" s="8"/>
      <c r="AA995">
        <v>1</v>
      </c>
      <c r="AB995">
        <f t="shared" si="158"/>
        <v>0</v>
      </c>
      <c r="AC995">
        <v>1</v>
      </c>
      <c r="AF995">
        <v>1</v>
      </c>
      <c r="AG995" s="8"/>
      <c r="AH995" s="8"/>
      <c r="AK995" cm="1">
        <f t="array" ref="AK995">_xlfn.IFS(B995="","",LEFT(G995,1)="L",1,LEFT(G995,1)="W",1,AND(LEFT(B995,1)="H",G995=""),0)</f>
        <v>1</v>
      </c>
      <c r="AS995" t="str">
        <f t="shared" si="159"/>
        <v/>
      </c>
      <c r="AT995" t="s">
        <v>115</v>
      </c>
      <c r="AU995" t="str">
        <f t="shared" si="160"/>
        <v>0</v>
      </c>
      <c r="BD995" t="str">
        <f t="shared" si="161"/>
        <v>0</v>
      </c>
      <c r="BK995" t="str">
        <f>IFERROR(VLOOKUP(B995,'[1]model_S-フレーム'!$F$5:$R$7000,13,1),"")</f>
        <v>E389460_01</v>
      </c>
      <c r="BL995" s="7">
        <f>IFERROR(VLOOKUP(B995,'[1]model_S-フレーム'!$F$5:$V$7000,17,1),"")</f>
        <v>0</v>
      </c>
      <c r="BM995" t="str" cm="1">
        <f t="array" ref="BM995">_xlfn.IFS(LEFT(G995,1)="L","外注品",LEFT(G995,1)="W","内製品",G995="","購買品")</f>
        <v>内製品</v>
      </c>
    </row>
    <row r="996" spans="1:65">
      <c r="A996" t="str">
        <f t="shared" si="153"/>
        <v>WG01</v>
      </c>
      <c r="B996" t="s">
        <v>1149</v>
      </c>
      <c r="C996" t="s">
        <v>1522</v>
      </c>
      <c r="D996" s="7"/>
      <c r="E996" s="7"/>
      <c r="G996" t="s">
        <v>1939</v>
      </c>
      <c r="H996" t="str" cm="1">
        <f t="array" ref="H996">IFERROR(_xlfn.IFS(B996="","",AND(B996="",G996=""),"",G996="","記載要"),"")</f>
        <v/>
      </c>
      <c r="K996" t="str">
        <f t="shared" si="154"/>
        <v>11WP01008559</v>
      </c>
      <c r="L996" s="3" t="str">
        <f t="shared" si="155"/>
        <v>2001/01/01</v>
      </c>
      <c r="M996" s="3" t="str">
        <f t="shared" si="156"/>
        <v>2199/12/31</v>
      </c>
      <c r="N996" t="str">
        <f t="shared" si="157"/>
        <v>11WP01008559</v>
      </c>
      <c r="O996">
        <v>15</v>
      </c>
      <c r="Q996" t="str" cm="1">
        <f t="array" ref="Q996">_xlfn.IFS(AND(C996="",G996=""),"",LEFT(G996,1)="L","記載要",LEFT(G996,1)="W","",AND(C996,G996=""),"記載要")</f>
        <v/>
      </c>
      <c r="R996" s="21" t="str">
        <f t="shared" si="162"/>
        <v/>
      </c>
      <c r="S996" s="21"/>
      <c r="Z996" s="8"/>
      <c r="AA996">
        <v>1</v>
      </c>
      <c r="AB996">
        <f t="shared" si="158"/>
        <v>0</v>
      </c>
      <c r="AC996">
        <v>1</v>
      </c>
      <c r="AF996">
        <v>1</v>
      </c>
      <c r="AG996" s="8"/>
      <c r="AH996" s="8"/>
      <c r="AK996" cm="1">
        <f t="array" ref="AK996">_xlfn.IFS(B996="","",LEFT(G996,1)="L",1,LEFT(G996,1)="W",1,AND(LEFT(B996,1)="H",G996=""),0)</f>
        <v>1</v>
      </c>
      <c r="AS996" t="str">
        <f t="shared" si="159"/>
        <v/>
      </c>
      <c r="AT996" t="s">
        <v>115</v>
      </c>
      <c r="AU996" t="str">
        <f t="shared" si="160"/>
        <v>0</v>
      </c>
      <c r="BD996" t="str">
        <f t="shared" si="161"/>
        <v>0</v>
      </c>
      <c r="BK996" t="str">
        <f>IFERROR(VLOOKUP(B996,'[1]model_S-フレーム'!$F$5:$R$7000,13,1),"")</f>
        <v>E389460_01</v>
      </c>
      <c r="BL996" s="7">
        <f>IFERROR(VLOOKUP(B996,'[1]model_S-フレーム'!$F$5:$V$7000,17,1),"")</f>
        <v>0</v>
      </c>
      <c r="BM996" t="str" cm="1">
        <f t="array" ref="BM996">_xlfn.IFS(LEFT(G996,1)="L","外注品",LEFT(G996,1)="W","内製品",G996="","購買品")</f>
        <v>内製品</v>
      </c>
    </row>
    <row r="997" spans="1:65">
      <c r="A997" t="str">
        <f t="shared" si="153"/>
        <v>WG01</v>
      </c>
      <c r="B997" t="s">
        <v>1150</v>
      </c>
      <c r="C997" t="s">
        <v>1522</v>
      </c>
      <c r="D997" s="7"/>
      <c r="E997" s="7"/>
      <c r="G997" t="s">
        <v>1939</v>
      </c>
      <c r="H997" t="str" cm="1">
        <f t="array" ref="H997">IFERROR(_xlfn.IFS(B997="","",AND(B997="",G997=""),"",G997="","記載要"),"")</f>
        <v/>
      </c>
      <c r="K997" t="str">
        <f t="shared" si="154"/>
        <v>11WP01008560</v>
      </c>
      <c r="L997" s="3" t="str">
        <f t="shared" si="155"/>
        <v>2001/01/01</v>
      </c>
      <c r="M997" s="3" t="str">
        <f t="shared" si="156"/>
        <v>2199/12/31</v>
      </c>
      <c r="N997" t="str">
        <f t="shared" si="157"/>
        <v>11WP01008560</v>
      </c>
      <c r="O997">
        <v>15</v>
      </c>
      <c r="Q997" t="str" cm="1">
        <f t="array" ref="Q997">_xlfn.IFS(AND(C997="",G997=""),"",LEFT(G997,1)="L","記載要",LEFT(G997,1)="W","",AND(C997,G997=""),"記載要")</f>
        <v/>
      </c>
      <c r="R997" s="21" t="str">
        <f t="shared" si="162"/>
        <v/>
      </c>
      <c r="S997" s="21"/>
      <c r="Z997" s="8"/>
      <c r="AA997">
        <v>1</v>
      </c>
      <c r="AB997">
        <f t="shared" si="158"/>
        <v>0</v>
      </c>
      <c r="AC997">
        <v>1</v>
      </c>
      <c r="AF997">
        <v>1</v>
      </c>
      <c r="AG997" s="8"/>
      <c r="AH997" s="8"/>
      <c r="AK997" cm="1">
        <f t="array" ref="AK997">_xlfn.IFS(B997="","",LEFT(G997,1)="L",1,LEFT(G997,1)="W",1,AND(LEFT(B997,1)="H",G997=""),0)</f>
        <v>1</v>
      </c>
      <c r="AS997" t="str">
        <f t="shared" si="159"/>
        <v/>
      </c>
      <c r="AT997" t="s">
        <v>115</v>
      </c>
      <c r="AU997" t="str">
        <f t="shared" si="160"/>
        <v>0</v>
      </c>
      <c r="BD997" t="str">
        <f t="shared" si="161"/>
        <v>0</v>
      </c>
      <c r="BK997" t="str">
        <f>IFERROR(VLOOKUP(B997,'[1]model_S-フレーム'!$F$5:$R$7000,13,1),"")</f>
        <v>E389460_01</v>
      </c>
      <c r="BL997" s="7">
        <f>IFERROR(VLOOKUP(B997,'[1]model_S-フレーム'!$F$5:$V$7000,17,1),"")</f>
        <v>0</v>
      </c>
      <c r="BM997" t="str" cm="1">
        <f t="array" ref="BM997">_xlfn.IFS(LEFT(G997,1)="L","外注品",LEFT(G997,1)="W","内製品",G997="","購買品")</f>
        <v>内製品</v>
      </c>
    </row>
    <row r="998" spans="1:65">
      <c r="A998" t="str">
        <f t="shared" si="153"/>
        <v>WG01</v>
      </c>
      <c r="B998" t="s">
        <v>1151</v>
      </c>
      <c r="C998" t="s">
        <v>1522</v>
      </c>
      <c r="D998" s="7"/>
      <c r="E998" s="7"/>
      <c r="G998" t="s">
        <v>1939</v>
      </c>
      <c r="H998" t="str" cm="1">
        <f t="array" ref="H998">IFERROR(_xlfn.IFS(B998="","",AND(B998="",G998=""),"",G998="","記載要"),"")</f>
        <v/>
      </c>
      <c r="K998" t="str">
        <f t="shared" si="154"/>
        <v>11WP01008561</v>
      </c>
      <c r="L998" s="3" t="str">
        <f t="shared" si="155"/>
        <v>2001/01/01</v>
      </c>
      <c r="M998" s="3" t="str">
        <f t="shared" si="156"/>
        <v>2199/12/31</v>
      </c>
      <c r="N998" t="str">
        <f t="shared" si="157"/>
        <v>11WP01008561</v>
      </c>
      <c r="O998">
        <v>15</v>
      </c>
      <c r="Q998" t="str" cm="1">
        <f t="array" ref="Q998">_xlfn.IFS(AND(C998="",G998=""),"",LEFT(G998,1)="L","記載要",LEFT(G998,1)="W","",AND(C998,G998=""),"記載要")</f>
        <v/>
      </c>
      <c r="R998" s="21" t="str">
        <f t="shared" si="162"/>
        <v/>
      </c>
      <c r="S998" s="21"/>
      <c r="Z998" s="8"/>
      <c r="AA998">
        <v>1</v>
      </c>
      <c r="AB998">
        <f t="shared" si="158"/>
        <v>0</v>
      </c>
      <c r="AC998">
        <v>1</v>
      </c>
      <c r="AF998">
        <v>1</v>
      </c>
      <c r="AG998" s="8"/>
      <c r="AH998" s="8"/>
      <c r="AK998" cm="1">
        <f t="array" ref="AK998">_xlfn.IFS(B998="","",LEFT(G998,1)="L",1,LEFT(G998,1)="W",1,AND(LEFT(B998,1)="H",G998=""),0)</f>
        <v>1</v>
      </c>
      <c r="AS998" t="str">
        <f t="shared" si="159"/>
        <v/>
      </c>
      <c r="AT998" t="s">
        <v>115</v>
      </c>
      <c r="AU998" t="str">
        <f t="shared" si="160"/>
        <v>0</v>
      </c>
      <c r="BD998" t="str">
        <f t="shared" si="161"/>
        <v>0</v>
      </c>
      <c r="BK998" t="str">
        <f>IFERROR(VLOOKUP(B998,'[1]model_S-フレーム'!$F$5:$R$7000,13,1),"")</f>
        <v>E389460_01</v>
      </c>
      <c r="BL998" s="7">
        <f>IFERROR(VLOOKUP(B998,'[1]model_S-フレーム'!$F$5:$V$7000,17,1),"")</f>
        <v>0</v>
      </c>
      <c r="BM998" t="str" cm="1">
        <f t="array" ref="BM998">_xlfn.IFS(LEFT(G998,1)="L","外注品",LEFT(G998,1)="W","内製品",G998="","購買品")</f>
        <v>内製品</v>
      </c>
    </row>
    <row r="999" spans="1:65">
      <c r="A999" t="str">
        <f t="shared" si="153"/>
        <v>WG01</v>
      </c>
      <c r="B999" t="s">
        <v>1152</v>
      </c>
      <c r="C999" t="s">
        <v>1522</v>
      </c>
      <c r="D999" s="7"/>
      <c r="E999" s="7"/>
      <c r="G999" t="s">
        <v>1939</v>
      </c>
      <c r="H999" t="str" cm="1">
        <f t="array" ref="H999">IFERROR(_xlfn.IFS(B999="","",AND(B999="",G999=""),"",G999="","記載要"),"")</f>
        <v/>
      </c>
      <c r="K999" t="str">
        <f t="shared" si="154"/>
        <v>11WP01008562</v>
      </c>
      <c r="L999" s="3" t="str">
        <f t="shared" si="155"/>
        <v>2001/01/01</v>
      </c>
      <c r="M999" s="3" t="str">
        <f t="shared" si="156"/>
        <v>2199/12/31</v>
      </c>
      <c r="N999" t="str">
        <f t="shared" si="157"/>
        <v>11WP01008562</v>
      </c>
      <c r="O999">
        <v>15</v>
      </c>
      <c r="Q999" t="str" cm="1">
        <f t="array" ref="Q999">_xlfn.IFS(AND(C999="",G999=""),"",LEFT(G999,1)="L","記載要",LEFT(G999,1)="W","",AND(C999,G999=""),"記載要")</f>
        <v/>
      </c>
      <c r="R999" s="21" t="str">
        <f t="shared" si="162"/>
        <v/>
      </c>
      <c r="S999" s="21"/>
      <c r="Z999" s="8"/>
      <c r="AA999">
        <v>1</v>
      </c>
      <c r="AB999">
        <f t="shared" si="158"/>
        <v>0</v>
      </c>
      <c r="AC999">
        <v>1</v>
      </c>
      <c r="AF999">
        <v>1</v>
      </c>
      <c r="AG999" s="8"/>
      <c r="AH999" s="8"/>
      <c r="AK999" cm="1">
        <f t="array" ref="AK999">_xlfn.IFS(B999="","",LEFT(G999,1)="L",1,LEFT(G999,1)="W",1,AND(LEFT(B999,1)="H",G999=""),0)</f>
        <v>1</v>
      </c>
      <c r="AS999" t="str">
        <f t="shared" si="159"/>
        <v/>
      </c>
      <c r="AT999" t="s">
        <v>115</v>
      </c>
      <c r="AU999" t="str">
        <f t="shared" si="160"/>
        <v>0</v>
      </c>
      <c r="BD999" t="str">
        <f t="shared" si="161"/>
        <v>0</v>
      </c>
      <c r="BK999" t="str">
        <f>IFERROR(VLOOKUP(B999,'[1]model_S-フレーム'!$F$5:$R$7000,13,1),"")</f>
        <v>E389460_01</v>
      </c>
      <c r="BL999" s="7">
        <f>IFERROR(VLOOKUP(B999,'[1]model_S-フレーム'!$F$5:$V$7000,17,1),"")</f>
        <v>0</v>
      </c>
      <c r="BM999" t="str" cm="1">
        <f t="array" ref="BM999">_xlfn.IFS(LEFT(G999,1)="L","外注品",LEFT(G999,1)="W","内製品",G999="","購買品")</f>
        <v>内製品</v>
      </c>
    </row>
    <row r="1000" spans="1:65">
      <c r="A1000" t="str">
        <f t="shared" si="153"/>
        <v>WG01</v>
      </c>
      <c r="B1000" t="s">
        <v>1153</v>
      </c>
      <c r="C1000" t="s">
        <v>1522</v>
      </c>
      <c r="D1000" s="7"/>
      <c r="E1000" s="7"/>
      <c r="G1000" t="s">
        <v>1939</v>
      </c>
      <c r="H1000" t="str" cm="1">
        <f t="array" ref="H1000">IFERROR(_xlfn.IFS(B1000="","",AND(B1000="",G1000=""),"",G1000="","記載要"),"")</f>
        <v/>
      </c>
      <c r="K1000" t="str">
        <f t="shared" si="154"/>
        <v>11WP01008563</v>
      </c>
      <c r="L1000" s="3" t="str">
        <f t="shared" si="155"/>
        <v>2001/01/01</v>
      </c>
      <c r="M1000" s="3" t="str">
        <f t="shared" si="156"/>
        <v>2199/12/31</v>
      </c>
      <c r="N1000" t="str">
        <f t="shared" si="157"/>
        <v>11WP01008563</v>
      </c>
      <c r="O1000">
        <v>15</v>
      </c>
      <c r="Q1000" t="str" cm="1">
        <f t="array" ref="Q1000">_xlfn.IFS(AND(C1000="",G1000=""),"",LEFT(G1000,1)="L","記載要",LEFT(G1000,1)="W","",AND(C1000,G1000=""),"記載要")</f>
        <v/>
      </c>
      <c r="R1000" s="21" t="str">
        <f t="shared" si="162"/>
        <v/>
      </c>
      <c r="S1000" s="21"/>
      <c r="Z1000" s="8"/>
      <c r="AA1000">
        <v>1</v>
      </c>
      <c r="AB1000">
        <f t="shared" si="158"/>
        <v>0</v>
      </c>
      <c r="AC1000">
        <v>1</v>
      </c>
      <c r="AF1000">
        <v>1</v>
      </c>
      <c r="AG1000" s="8"/>
      <c r="AH1000" s="8"/>
      <c r="AK1000" cm="1">
        <f t="array" ref="AK1000">_xlfn.IFS(B1000="","",LEFT(G1000,1)="L",1,LEFT(G1000,1)="W",1,AND(LEFT(B1000,1)="H",G1000=""),0)</f>
        <v>1</v>
      </c>
      <c r="AS1000" t="str">
        <f t="shared" si="159"/>
        <v/>
      </c>
      <c r="AT1000" t="s">
        <v>115</v>
      </c>
      <c r="AU1000" t="str">
        <f t="shared" si="160"/>
        <v>0</v>
      </c>
      <c r="BD1000" t="str">
        <f t="shared" si="161"/>
        <v>0</v>
      </c>
      <c r="BK1000" t="str">
        <f>IFERROR(VLOOKUP(B1000,'[1]model_S-フレーム'!$F$5:$R$7000,13,1),"")</f>
        <v>E389460_01</v>
      </c>
      <c r="BL1000" s="7">
        <f>IFERROR(VLOOKUP(B1000,'[1]model_S-フレーム'!$F$5:$V$7000,17,1),"")</f>
        <v>0</v>
      </c>
      <c r="BM1000" t="str" cm="1">
        <f t="array" ref="BM1000">_xlfn.IFS(LEFT(G1000,1)="L","外注品",LEFT(G1000,1)="W","内製品",G1000="","購買品")</f>
        <v>内製品</v>
      </c>
    </row>
    <row r="1001" spans="1:65">
      <c r="A1001" t="str">
        <f t="shared" si="153"/>
        <v>WG01</v>
      </c>
      <c r="B1001" t="s">
        <v>1154</v>
      </c>
      <c r="C1001" t="s">
        <v>1522</v>
      </c>
      <c r="D1001" s="7"/>
      <c r="E1001" s="7"/>
      <c r="G1001" t="s">
        <v>1939</v>
      </c>
      <c r="H1001" t="str" cm="1">
        <f t="array" ref="H1001">IFERROR(_xlfn.IFS(B1001="","",AND(B1001="",G1001=""),"",G1001="","記載要"),"")</f>
        <v/>
      </c>
      <c r="K1001" t="str">
        <f t="shared" si="154"/>
        <v>11WP01008564</v>
      </c>
      <c r="L1001" s="3" t="str">
        <f t="shared" si="155"/>
        <v>2001/01/01</v>
      </c>
      <c r="M1001" s="3" t="str">
        <f t="shared" si="156"/>
        <v>2199/12/31</v>
      </c>
      <c r="N1001" t="str">
        <f t="shared" si="157"/>
        <v>11WP01008564</v>
      </c>
      <c r="O1001">
        <v>15</v>
      </c>
      <c r="Q1001" t="str" cm="1">
        <f t="array" ref="Q1001">_xlfn.IFS(AND(C1001="",G1001=""),"",LEFT(G1001,1)="L","記載要",LEFT(G1001,1)="W","",AND(C1001,G1001=""),"記載要")</f>
        <v/>
      </c>
      <c r="R1001" s="21" t="str">
        <f t="shared" si="162"/>
        <v/>
      </c>
      <c r="S1001" s="21"/>
      <c r="Z1001" s="8"/>
      <c r="AA1001">
        <v>1</v>
      </c>
      <c r="AB1001">
        <f t="shared" si="158"/>
        <v>0</v>
      </c>
      <c r="AC1001">
        <v>1</v>
      </c>
      <c r="AF1001">
        <v>1</v>
      </c>
      <c r="AG1001" s="8"/>
      <c r="AH1001" s="8"/>
      <c r="AK1001" cm="1">
        <f t="array" ref="AK1001">_xlfn.IFS(B1001="","",LEFT(G1001,1)="L",1,LEFT(G1001,1)="W",1,AND(LEFT(B1001,1)="H",G1001=""),0)</f>
        <v>1</v>
      </c>
      <c r="AS1001" t="str">
        <f t="shared" si="159"/>
        <v/>
      </c>
      <c r="AT1001" t="s">
        <v>115</v>
      </c>
      <c r="AU1001" t="str">
        <f t="shared" si="160"/>
        <v>0</v>
      </c>
      <c r="BD1001" t="str">
        <f t="shared" si="161"/>
        <v>0</v>
      </c>
      <c r="BK1001" t="str">
        <f>IFERROR(VLOOKUP(B1001,'[1]model_S-フレーム'!$F$5:$R$7000,13,1),"")</f>
        <v>E389460_01</v>
      </c>
      <c r="BL1001" s="7">
        <f>IFERROR(VLOOKUP(B1001,'[1]model_S-フレーム'!$F$5:$V$7000,17,1),"")</f>
        <v>0</v>
      </c>
      <c r="BM1001" t="str" cm="1">
        <f t="array" ref="BM1001">_xlfn.IFS(LEFT(G1001,1)="L","外注品",LEFT(G1001,1)="W","内製品",G1001="","購買品")</f>
        <v>内製品</v>
      </c>
    </row>
    <row r="1002" spans="1:65">
      <c r="A1002" t="str">
        <f t="shared" si="153"/>
        <v>WG01</v>
      </c>
      <c r="B1002" t="s">
        <v>1155</v>
      </c>
      <c r="C1002" t="s">
        <v>1522</v>
      </c>
      <c r="D1002" s="7"/>
      <c r="E1002" s="7"/>
      <c r="G1002" t="s">
        <v>1939</v>
      </c>
      <c r="H1002" t="str" cm="1">
        <f t="array" ref="H1002">IFERROR(_xlfn.IFS(B1002="","",AND(B1002="",G1002=""),"",G1002="","記載要"),"")</f>
        <v/>
      </c>
      <c r="K1002" t="str">
        <f t="shared" si="154"/>
        <v>11WP01008565</v>
      </c>
      <c r="L1002" s="3" t="str">
        <f t="shared" si="155"/>
        <v>2001/01/01</v>
      </c>
      <c r="M1002" s="3" t="str">
        <f t="shared" si="156"/>
        <v>2199/12/31</v>
      </c>
      <c r="N1002" t="str">
        <f t="shared" si="157"/>
        <v>11WP01008565</v>
      </c>
      <c r="O1002">
        <v>15</v>
      </c>
      <c r="Q1002" t="str" cm="1">
        <f t="array" ref="Q1002">_xlfn.IFS(AND(C1002="",G1002=""),"",LEFT(G1002,1)="L","記載要",LEFT(G1002,1)="W","",AND(C1002,G1002=""),"記載要")</f>
        <v/>
      </c>
      <c r="R1002" s="21" t="str">
        <f t="shared" si="162"/>
        <v/>
      </c>
      <c r="S1002" s="21"/>
      <c r="Z1002" s="8"/>
      <c r="AA1002">
        <v>1</v>
      </c>
      <c r="AB1002">
        <f t="shared" si="158"/>
        <v>0</v>
      </c>
      <c r="AC1002">
        <v>1</v>
      </c>
      <c r="AF1002">
        <v>1</v>
      </c>
      <c r="AG1002" s="8"/>
      <c r="AH1002" s="8"/>
      <c r="AK1002" cm="1">
        <f t="array" ref="AK1002">_xlfn.IFS(B1002="","",LEFT(G1002,1)="L",1,LEFT(G1002,1)="W",1,AND(LEFT(B1002,1)="H",G1002=""),0)</f>
        <v>1</v>
      </c>
      <c r="AS1002" t="str">
        <f t="shared" si="159"/>
        <v/>
      </c>
      <c r="AT1002" t="s">
        <v>115</v>
      </c>
      <c r="AU1002" t="str">
        <f t="shared" si="160"/>
        <v>0</v>
      </c>
      <c r="BD1002" t="str">
        <f t="shared" si="161"/>
        <v>0</v>
      </c>
      <c r="BK1002" t="str">
        <f>IFERROR(VLOOKUP(B1002,'[1]model_S-フレーム'!$F$5:$R$7000,13,1),"")</f>
        <v>E389460_01</v>
      </c>
      <c r="BL1002" s="7">
        <f>IFERROR(VLOOKUP(B1002,'[1]model_S-フレーム'!$F$5:$V$7000,17,1),"")</f>
        <v>0</v>
      </c>
      <c r="BM1002" t="str" cm="1">
        <f t="array" ref="BM1002">_xlfn.IFS(LEFT(G1002,1)="L","外注品",LEFT(G1002,1)="W","内製品",G1002="","購買品")</f>
        <v>内製品</v>
      </c>
    </row>
    <row r="1003" spans="1:65">
      <c r="A1003" t="str">
        <f t="shared" si="153"/>
        <v>WG01</v>
      </c>
      <c r="B1003" t="s">
        <v>1156</v>
      </c>
      <c r="C1003" t="s">
        <v>1522</v>
      </c>
      <c r="D1003" s="7"/>
      <c r="E1003" s="7"/>
      <c r="G1003" t="s">
        <v>1939</v>
      </c>
      <c r="H1003" t="str" cm="1">
        <f t="array" ref="H1003">IFERROR(_xlfn.IFS(B1003="","",AND(B1003="",G1003=""),"",G1003="","記載要"),"")</f>
        <v/>
      </c>
      <c r="K1003" t="str">
        <f t="shared" si="154"/>
        <v>11WP01008566</v>
      </c>
      <c r="L1003" s="3" t="str">
        <f t="shared" si="155"/>
        <v>2001/01/01</v>
      </c>
      <c r="M1003" s="3" t="str">
        <f t="shared" si="156"/>
        <v>2199/12/31</v>
      </c>
      <c r="N1003" t="str">
        <f t="shared" si="157"/>
        <v>11WP01008566</v>
      </c>
      <c r="O1003">
        <v>15</v>
      </c>
      <c r="Q1003" t="str" cm="1">
        <f t="array" ref="Q1003">_xlfn.IFS(AND(C1003="",G1003=""),"",LEFT(G1003,1)="L","記載要",LEFT(G1003,1)="W","",AND(C1003,G1003=""),"記載要")</f>
        <v/>
      </c>
      <c r="R1003" s="21" t="str">
        <f t="shared" si="162"/>
        <v/>
      </c>
      <c r="S1003" s="21"/>
      <c r="Z1003" s="8"/>
      <c r="AA1003">
        <v>1</v>
      </c>
      <c r="AB1003">
        <f t="shared" si="158"/>
        <v>0</v>
      </c>
      <c r="AC1003">
        <v>1</v>
      </c>
      <c r="AF1003">
        <v>1</v>
      </c>
      <c r="AG1003" s="8"/>
      <c r="AH1003" s="8"/>
      <c r="AK1003" cm="1">
        <f t="array" ref="AK1003">_xlfn.IFS(B1003="","",LEFT(G1003,1)="L",1,LEFT(G1003,1)="W",1,AND(LEFT(B1003,1)="H",G1003=""),0)</f>
        <v>1</v>
      </c>
      <c r="AS1003" t="str">
        <f t="shared" si="159"/>
        <v/>
      </c>
      <c r="AT1003" t="s">
        <v>115</v>
      </c>
      <c r="AU1003" t="str">
        <f t="shared" si="160"/>
        <v>0</v>
      </c>
      <c r="BD1003" t="str">
        <f t="shared" si="161"/>
        <v>0</v>
      </c>
      <c r="BK1003" t="str">
        <f>IFERROR(VLOOKUP(B1003,'[1]model_S-フレーム'!$F$5:$R$7000,13,1),"")</f>
        <v>E389460_01</v>
      </c>
      <c r="BL1003" s="7">
        <f>IFERROR(VLOOKUP(B1003,'[1]model_S-フレーム'!$F$5:$V$7000,17,1),"")</f>
        <v>0</v>
      </c>
      <c r="BM1003" t="str" cm="1">
        <f t="array" ref="BM1003">_xlfn.IFS(LEFT(G1003,1)="L","外注品",LEFT(G1003,1)="W","内製品",G1003="","購買品")</f>
        <v>内製品</v>
      </c>
    </row>
    <row r="1004" spans="1:65">
      <c r="A1004" t="str">
        <f t="shared" si="153"/>
        <v>WG01</v>
      </c>
      <c r="B1004" t="s">
        <v>1157</v>
      </c>
      <c r="C1004" t="s">
        <v>1522</v>
      </c>
      <c r="D1004" s="7"/>
      <c r="E1004" s="7"/>
      <c r="G1004" t="s">
        <v>1939</v>
      </c>
      <c r="H1004" t="str" cm="1">
        <f t="array" ref="H1004">IFERROR(_xlfn.IFS(B1004="","",AND(B1004="",G1004=""),"",G1004="","記載要"),"")</f>
        <v/>
      </c>
      <c r="K1004" t="str">
        <f t="shared" si="154"/>
        <v>11WP01008567</v>
      </c>
      <c r="L1004" s="3" t="str">
        <f t="shared" si="155"/>
        <v>2001/01/01</v>
      </c>
      <c r="M1004" s="3" t="str">
        <f t="shared" si="156"/>
        <v>2199/12/31</v>
      </c>
      <c r="N1004" t="str">
        <f t="shared" si="157"/>
        <v>11WP01008567</v>
      </c>
      <c r="O1004">
        <v>15</v>
      </c>
      <c r="Q1004" t="str" cm="1">
        <f t="array" ref="Q1004">_xlfn.IFS(AND(C1004="",G1004=""),"",LEFT(G1004,1)="L","記載要",LEFT(G1004,1)="W","",AND(C1004,G1004=""),"記載要")</f>
        <v/>
      </c>
      <c r="R1004" s="21" t="str">
        <f t="shared" si="162"/>
        <v/>
      </c>
      <c r="S1004" s="21"/>
      <c r="Z1004" s="8"/>
      <c r="AA1004">
        <v>1</v>
      </c>
      <c r="AB1004">
        <f t="shared" si="158"/>
        <v>0</v>
      </c>
      <c r="AC1004">
        <v>1</v>
      </c>
      <c r="AF1004">
        <v>1</v>
      </c>
      <c r="AG1004" s="8"/>
      <c r="AH1004" s="8"/>
      <c r="AK1004" cm="1">
        <f t="array" ref="AK1004">_xlfn.IFS(B1004="","",LEFT(G1004,1)="L",1,LEFT(G1004,1)="W",1,AND(LEFT(B1004,1)="H",G1004=""),0)</f>
        <v>1</v>
      </c>
      <c r="AS1004" t="str">
        <f t="shared" si="159"/>
        <v/>
      </c>
      <c r="AT1004" t="s">
        <v>115</v>
      </c>
      <c r="AU1004" t="str">
        <f t="shared" si="160"/>
        <v>0</v>
      </c>
      <c r="BD1004" t="str">
        <f t="shared" si="161"/>
        <v>0</v>
      </c>
      <c r="BK1004" t="str">
        <f>IFERROR(VLOOKUP(B1004,'[1]model_S-フレーム'!$F$5:$R$7000,13,1),"")</f>
        <v>E389460_01</v>
      </c>
      <c r="BL1004" s="7">
        <f>IFERROR(VLOOKUP(B1004,'[1]model_S-フレーム'!$F$5:$V$7000,17,1),"")</f>
        <v>0</v>
      </c>
      <c r="BM1004" t="str" cm="1">
        <f t="array" ref="BM1004">_xlfn.IFS(LEFT(G1004,1)="L","外注品",LEFT(G1004,1)="W","内製品",G1004="","購買品")</f>
        <v>内製品</v>
      </c>
    </row>
    <row r="1005" spans="1:65">
      <c r="A1005" t="str">
        <f t="shared" si="153"/>
        <v>WG01</v>
      </c>
      <c r="B1005" t="s">
        <v>1158</v>
      </c>
      <c r="C1005" t="s">
        <v>1522</v>
      </c>
      <c r="D1005" s="7"/>
      <c r="E1005" s="7"/>
      <c r="G1005" t="s">
        <v>1939</v>
      </c>
      <c r="H1005" t="str" cm="1">
        <f t="array" ref="H1005">IFERROR(_xlfn.IFS(B1005="","",AND(B1005="",G1005=""),"",G1005="","記載要"),"")</f>
        <v/>
      </c>
      <c r="K1005" t="str">
        <f t="shared" si="154"/>
        <v>11WP01008568</v>
      </c>
      <c r="L1005" s="3" t="str">
        <f t="shared" si="155"/>
        <v>2001/01/01</v>
      </c>
      <c r="M1005" s="3" t="str">
        <f t="shared" si="156"/>
        <v>2199/12/31</v>
      </c>
      <c r="N1005" t="str">
        <f t="shared" si="157"/>
        <v>11WP01008568</v>
      </c>
      <c r="O1005">
        <v>15</v>
      </c>
      <c r="Q1005" t="str" cm="1">
        <f t="array" ref="Q1005">_xlfn.IFS(AND(C1005="",G1005=""),"",LEFT(G1005,1)="L","記載要",LEFT(G1005,1)="W","",AND(C1005,G1005=""),"記載要")</f>
        <v/>
      </c>
      <c r="R1005" s="21" t="str">
        <f t="shared" si="162"/>
        <v/>
      </c>
      <c r="S1005" s="21"/>
      <c r="Z1005" s="8"/>
      <c r="AA1005">
        <v>1</v>
      </c>
      <c r="AB1005">
        <f t="shared" si="158"/>
        <v>0</v>
      </c>
      <c r="AC1005">
        <v>1</v>
      </c>
      <c r="AF1005">
        <v>1</v>
      </c>
      <c r="AG1005" s="8"/>
      <c r="AH1005" s="8"/>
      <c r="AK1005" cm="1">
        <f t="array" ref="AK1005">_xlfn.IFS(B1005="","",LEFT(G1005,1)="L",1,LEFT(G1005,1)="W",1,AND(LEFT(B1005,1)="H",G1005=""),0)</f>
        <v>1</v>
      </c>
      <c r="AS1005" t="str">
        <f t="shared" si="159"/>
        <v/>
      </c>
      <c r="AT1005" t="s">
        <v>115</v>
      </c>
      <c r="AU1005" t="str">
        <f t="shared" si="160"/>
        <v>0</v>
      </c>
      <c r="BD1005" t="str">
        <f t="shared" si="161"/>
        <v>0</v>
      </c>
      <c r="BK1005" t="str">
        <f>IFERROR(VLOOKUP(B1005,'[1]model_S-フレーム'!$F$5:$R$7000,13,1),"")</f>
        <v>E389460_01</v>
      </c>
      <c r="BL1005" s="7">
        <f>IFERROR(VLOOKUP(B1005,'[1]model_S-フレーム'!$F$5:$V$7000,17,1),"")</f>
        <v>0</v>
      </c>
      <c r="BM1005" t="str" cm="1">
        <f t="array" ref="BM1005">_xlfn.IFS(LEFT(G1005,1)="L","外注品",LEFT(G1005,1)="W","内製品",G1005="","購買品")</f>
        <v>内製品</v>
      </c>
    </row>
    <row r="1006" spans="1:65">
      <c r="A1006" t="str">
        <f t="shared" si="153"/>
        <v>WG01</v>
      </c>
      <c r="B1006" t="s">
        <v>1159</v>
      </c>
      <c r="C1006" t="s">
        <v>1522</v>
      </c>
      <c r="D1006" s="7"/>
      <c r="E1006" s="7"/>
      <c r="G1006" t="s">
        <v>1939</v>
      </c>
      <c r="H1006" t="str" cm="1">
        <f t="array" ref="H1006">IFERROR(_xlfn.IFS(B1006="","",AND(B1006="",G1006=""),"",G1006="","記載要"),"")</f>
        <v/>
      </c>
      <c r="K1006" t="str">
        <f t="shared" si="154"/>
        <v>11WP01008569</v>
      </c>
      <c r="L1006" s="3" t="str">
        <f t="shared" si="155"/>
        <v>2001/01/01</v>
      </c>
      <c r="M1006" s="3" t="str">
        <f t="shared" si="156"/>
        <v>2199/12/31</v>
      </c>
      <c r="N1006" t="str">
        <f t="shared" si="157"/>
        <v>11WP01008569</v>
      </c>
      <c r="O1006">
        <v>15</v>
      </c>
      <c r="Q1006" t="str" cm="1">
        <f t="array" ref="Q1006">_xlfn.IFS(AND(C1006="",G1006=""),"",LEFT(G1006,1)="L","記載要",LEFT(G1006,1)="W","",AND(C1006,G1006=""),"記載要")</f>
        <v/>
      </c>
      <c r="R1006" s="21" t="str">
        <f t="shared" si="162"/>
        <v/>
      </c>
      <c r="S1006" s="21"/>
      <c r="Z1006" s="8"/>
      <c r="AA1006">
        <v>1</v>
      </c>
      <c r="AB1006">
        <f t="shared" si="158"/>
        <v>0</v>
      </c>
      <c r="AC1006">
        <v>1</v>
      </c>
      <c r="AF1006">
        <v>1</v>
      </c>
      <c r="AG1006" s="8"/>
      <c r="AH1006" s="8"/>
      <c r="AK1006" cm="1">
        <f t="array" ref="AK1006">_xlfn.IFS(B1006="","",LEFT(G1006,1)="L",1,LEFT(G1006,1)="W",1,AND(LEFT(B1006,1)="H",G1006=""),0)</f>
        <v>1</v>
      </c>
      <c r="AS1006" t="str">
        <f t="shared" si="159"/>
        <v/>
      </c>
      <c r="AT1006" t="s">
        <v>115</v>
      </c>
      <c r="AU1006" t="str">
        <f t="shared" si="160"/>
        <v>0</v>
      </c>
      <c r="BD1006" t="str">
        <f t="shared" si="161"/>
        <v>0</v>
      </c>
      <c r="BK1006" t="str">
        <f>IFERROR(VLOOKUP(B1006,'[1]model_S-フレーム'!$F$5:$R$7000,13,1),"")</f>
        <v>E389460_01</v>
      </c>
      <c r="BL1006" s="7">
        <f>IFERROR(VLOOKUP(B1006,'[1]model_S-フレーム'!$F$5:$V$7000,17,1),"")</f>
        <v>0</v>
      </c>
      <c r="BM1006" t="str" cm="1">
        <f t="array" ref="BM1006">_xlfn.IFS(LEFT(G1006,1)="L","外注品",LEFT(G1006,1)="W","内製品",G1006="","購買品")</f>
        <v>内製品</v>
      </c>
    </row>
    <row r="1007" spans="1:65">
      <c r="A1007" t="str">
        <f t="shared" si="153"/>
        <v>WG01</v>
      </c>
      <c r="B1007" t="s">
        <v>1160</v>
      </c>
      <c r="C1007" t="s">
        <v>1522</v>
      </c>
      <c r="D1007" s="7"/>
      <c r="E1007" s="7"/>
      <c r="G1007" t="s">
        <v>1939</v>
      </c>
      <c r="H1007" t="str" cm="1">
        <f t="array" ref="H1007">IFERROR(_xlfn.IFS(B1007="","",AND(B1007="",G1007=""),"",G1007="","記載要"),"")</f>
        <v/>
      </c>
      <c r="K1007" t="str">
        <f t="shared" si="154"/>
        <v>11WP01008570</v>
      </c>
      <c r="L1007" s="3" t="str">
        <f t="shared" si="155"/>
        <v>2001/01/01</v>
      </c>
      <c r="M1007" s="3" t="str">
        <f t="shared" si="156"/>
        <v>2199/12/31</v>
      </c>
      <c r="N1007" t="str">
        <f t="shared" si="157"/>
        <v>11WP01008570</v>
      </c>
      <c r="O1007">
        <v>15</v>
      </c>
      <c r="Q1007" t="str" cm="1">
        <f t="array" ref="Q1007">_xlfn.IFS(AND(C1007="",G1007=""),"",LEFT(G1007,1)="L","記載要",LEFT(G1007,1)="W","",AND(C1007,G1007=""),"記載要")</f>
        <v/>
      </c>
      <c r="R1007" s="21" t="str">
        <f t="shared" si="162"/>
        <v/>
      </c>
      <c r="S1007" s="21"/>
      <c r="Z1007" s="8"/>
      <c r="AA1007">
        <v>1</v>
      </c>
      <c r="AB1007">
        <f t="shared" si="158"/>
        <v>0</v>
      </c>
      <c r="AC1007">
        <v>1</v>
      </c>
      <c r="AF1007">
        <v>1</v>
      </c>
      <c r="AG1007" s="8"/>
      <c r="AH1007" s="8"/>
      <c r="AK1007" cm="1">
        <f t="array" ref="AK1007">_xlfn.IFS(B1007="","",LEFT(G1007,1)="L",1,LEFT(G1007,1)="W",1,AND(LEFT(B1007,1)="H",G1007=""),0)</f>
        <v>1</v>
      </c>
      <c r="AS1007" t="str">
        <f t="shared" si="159"/>
        <v/>
      </c>
      <c r="AT1007" t="s">
        <v>115</v>
      </c>
      <c r="AU1007" t="str">
        <f t="shared" si="160"/>
        <v>0</v>
      </c>
      <c r="BD1007" t="str">
        <f t="shared" si="161"/>
        <v>0</v>
      </c>
      <c r="BK1007" t="str">
        <f>IFERROR(VLOOKUP(B1007,'[1]model_S-フレーム'!$F$5:$R$7000,13,1),"")</f>
        <v>E389460_01</v>
      </c>
      <c r="BL1007" s="7">
        <f>IFERROR(VLOOKUP(B1007,'[1]model_S-フレーム'!$F$5:$V$7000,17,1),"")</f>
        <v>0</v>
      </c>
      <c r="BM1007" t="str" cm="1">
        <f t="array" ref="BM1007">_xlfn.IFS(LEFT(G1007,1)="L","外注品",LEFT(G1007,1)="W","内製品",G1007="","購買品")</f>
        <v>内製品</v>
      </c>
    </row>
    <row r="1008" spans="1:65">
      <c r="A1008" t="str">
        <f t="shared" si="153"/>
        <v>WG01</v>
      </c>
      <c r="B1008" t="s">
        <v>1161</v>
      </c>
      <c r="C1008" t="s">
        <v>1522</v>
      </c>
      <c r="D1008" s="7"/>
      <c r="E1008" s="7"/>
      <c r="G1008" t="s">
        <v>1939</v>
      </c>
      <c r="H1008" t="str" cm="1">
        <f t="array" ref="H1008">IFERROR(_xlfn.IFS(B1008="","",AND(B1008="",G1008=""),"",G1008="","記載要"),"")</f>
        <v/>
      </c>
      <c r="K1008" t="str">
        <f t="shared" si="154"/>
        <v>11WP01008571</v>
      </c>
      <c r="L1008" s="3" t="str">
        <f t="shared" si="155"/>
        <v>2001/01/01</v>
      </c>
      <c r="M1008" s="3" t="str">
        <f t="shared" si="156"/>
        <v>2199/12/31</v>
      </c>
      <c r="N1008" t="str">
        <f t="shared" si="157"/>
        <v>11WP01008571</v>
      </c>
      <c r="O1008">
        <v>15</v>
      </c>
      <c r="Q1008" t="str" cm="1">
        <f t="array" ref="Q1008">_xlfn.IFS(AND(C1008="",G1008=""),"",LEFT(G1008,1)="L","記載要",LEFT(G1008,1)="W","",AND(C1008,G1008=""),"記載要")</f>
        <v/>
      </c>
      <c r="R1008" s="21" t="str">
        <f t="shared" si="162"/>
        <v/>
      </c>
      <c r="S1008" s="21"/>
      <c r="Z1008" s="8"/>
      <c r="AA1008">
        <v>1</v>
      </c>
      <c r="AB1008">
        <f t="shared" si="158"/>
        <v>0</v>
      </c>
      <c r="AC1008">
        <v>1</v>
      </c>
      <c r="AF1008">
        <v>1</v>
      </c>
      <c r="AG1008" s="8"/>
      <c r="AH1008" s="8"/>
      <c r="AK1008" cm="1">
        <f t="array" ref="AK1008">_xlfn.IFS(B1008="","",LEFT(G1008,1)="L",1,LEFT(G1008,1)="W",1,AND(LEFT(B1008,1)="H",G1008=""),0)</f>
        <v>1</v>
      </c>
      <c r="AS1008" t="str">
        <f t="shared" si="159"/>
        <v/>
      </c>
      <c r="AT1008" t="s">
        <v>115</v>
      </c>
      <c r="AU1008" t="str">
        <f t="shared" si="160"/>
        <v>0</v>
      </c>
      <c r="BD1008" t="str">
        <f t="shared" si="161"/>
        <v>0</v>
      </c>
      <c r="BK1008" t="str">
        <f>IFERROR(VLOOKUP(B1008,'[1]model_S-フレーム'!$F$5:$R$7000,13,1),"")</f>
        <v>E389460_01</v>
      </c>
      <c r="BL1008" s="7">
        <f>IFERROR(VLOOKUP(B1008,'[1]model_S-フレーム'!$F$5:$V$7000,17,1),"")</f>
        <v>0</v>
      </c>
      <c r="BM1008" t="str" cm="1">
        <f t="array" ref="BM1008">_xlfn.IFS(LEFT(G1008,1)="L","外注品",LEFT(G1008,1)="W","内製品",G1008="","購買品")</f>
        <v>内製品</v>
      </c>
    </row>
    <row r="1009" spans="1:65">
      <c r="A1009" t="str">
        <f t="shared" si="153"/>
        <v>WG01</v>
      </c>
      <c r="B1009" t="s">
        <v>1162</v>
      </c>
      <c r="C1009" t="s">
        <v>1522</v>
      </c>
      <c r="D1009" s="7"/>
      <c r="E1009" s="7"/>
      <c r="G1009" t="s">
        <v>1939</v>
      </c>
      <c r="H1009" t="str" cm="1">
        <f t="array" ref="H1009">IFERROR(_xlfn.IFS(B1009="","",AND(B1009="",G1009=""),"",G1009="","記載要"),"")</f>
        <v/>
      </c>
      <c r="K1009" t="str">
        <f t="shared" si="154"/>
        <v>11WP01008572</v>
      </c>
      <c r="L1009" s="3" t="str">
        <f t="shared" si="155"/>
        <v>2001/01/01</v>
      </c>
      <c r="M1009" s="3" t="str">
        <f t="shared" si="156"/>
        <v>2199/12/31</v>
      </c>
      <c r="N1009" t="str">
        <f t="shared" si="157"/>
        <v>11WP01008572</v>
      </c>
      <c r="O1009">
        <v>15</v>
      </c>
      <c r="Q1009" t="str" cm="1">
        <f t="array" ref="Q1009">_xlfn.IFS(AND(C1009="",G1009=""),"",LEFT(G1009,1)="L","記載要",LEFT(G1009,1)="W","",AND(C1009,G1009=""),"記載要")</f>
        <v/>
      </c>
      <c r="R1009" s="21" t="str">
        <f t="shared" si="162"/>
        <v/>
      </c>
      <c r="S1009" s="21"/>
      <c r="Z1009" s="8"/>
      <c r="AA1009">
        <v>1</v>
      </c>
      <c r="AB1009">
        <f t="shared" si="158"/>
        <v>0</v>
      </c>
      <c r="AC1009">
        <v>1</v>
      </c>
      <c r="AF1009">
        <v>1</v>
      </c>
      <c r="AG1009" s="8"/>
      <c r="AH1009" s="8"/>
      <c r="AK1009" cm="1">
        <f t="array" ref="AK1009">_xlfn.IFS(B1009="","",LEFT(G1009,1)="L",1,LEFT(G1009,1)="W",1,AND(LEFT(B1009,1)="H",G1009=""),0)</f>
        <v>1</v>
      </c>
      <c r="AS1009" t="str">
        <f t="shared" si="159"/>
        <v/>
      </c>
      <c r="AT1009" t="s">
        <v>115</v>
      </c>
      <c r="AU1009" t="str">
        <f t="shared" si="160"/>
        <v>0</v>
      </c>
      <c r="BD1009" t="str">
        <f t="shared" si="161"/>
        <v>0</v>
      </c>
      <c r="BK1009" t="str">
        <f>IFERROR(VLOOKUP(B1009,'[1]model_S-フレーム'!$F$5:$R$7000,13,1),"")</f>
        <v>E389460_01</v>
      </c>
      <c r="BL1009" s="7">
        <f>IFERROR(VLOOKUP(B1009,'[1]model_S-フレーム'!$F$5:$V$7000,17,1),"")</f>
        <v>0</v>
      </c>
      <c r="BM1009" t="str" cm="1">
        <f t="array" ref="BM1009">_xlfn.IFS(LEFT(G1009,1)="L","外注品",LEFT(G1009,1)="W","内製品",G1009="","購買品")</f>
        <v>内製品</v>
      </c>
    </row>
    <row r="1010" spans="1:65">
      <c r="A1010" t="str">
        <f t="shared" si="153"/>
        <v>WG01</v>
      </c>
      <c r="B1010" t="s">
        <v>1163</v>
      </c>
      <c r="C1010" t="s">
        <v>1522</v>
      </c>
      <c r="D1010" s="7"/>
      <c r="E1010" s="7"/>
      <c r="G1010" t="s">
        <v>1939</v>
      </c>
      <c r="H1010" t="str" cm="1">
        <f t="array" ref="H1010">IFERROR(_xlfn.IFS(B1010="","",AND(B1010="",G1010=""),"",G1010="","記載要"),"")</f>
        <v/>
      </c>
      <c r="K1010" t="str">
        <f t="shared" si="154"/>
        <v>11WP01008573</v>
      </c>
      <c r="L1010" s="3" t="str">
        <f t="shared" si="155"/>
        <v>2001/01/01</v>
      </c>
      <c r="M1010" s="3" t="str">
        <f t="shared" si="156"/>
        <v>2199/12/31</v>
      </c>
      <c r="N1010" t="str">
        <f t="shared" si="157"/>
        <v>11WP01008573</v>
      </c>
      <c r="O1010">
        <v>15</v>
      </c>
      <c r="Q1010" t="str" cm="1">
        <f t="array" ref="Q1010">_xlfn.IFS(AND(C1010="",G1010=""),"",LEFT(G1010,1)="L","記載要",LEFT(G1010,1)="W","",AND(C1010,G1010=""),"記載要")</f>
        <v/>
      </c>
      <c r="R1010" s="21" t="str">
        <f t="shared" si="162"/>
        <v/>
      </c>
      <c r="S1010" s="21"/>
      <c r="Z1010" s="8"/>
      <c r="AA1010">
        <v>1</v>
      </c>
      <c r="AB1010">
        <f t="shared" si="158"/>
        <v>0</v>
      </c>
      <c r="AC1010">
        <v>1</v>
      </c>
      <c r="AF1010">
        <v>1</v>
      </c>
      <c r="AG1010" s="8"/>
      <c r="AH1010" s="8"/>
      <c r="AK1010" cm="1">
        <f t="array" ref="AK1010">_xlfn.IFS(B1010="","",LEFT(G1010,1)="L",1,LEFT(G1010,1)="W",1,AND(LEFT(B1010,1)="H",G1010=""),0)</f>
        <v>1</v>
      </c>
      <c r="AS1010" t="str">
        <f t="shared" si="159"/>
        <v/>
      </c>
      <c r="AT1010" t="s">
        <v>115</v>
      </c>
      <c r="AU1010" t="str">
        <f t="shared" si="160"/>
        <v>0</v>
      </c>
      <c r="BD1010" t="str">
        <f t="shared" si="161"/>
        <v>0</v>
      </c>
      <c r="BK1010" t="str">
        <f>IFERROR(VLOOKUP(B1010,'[1]model_S-フレーム'!$F$5:$R$7000,13,1),"")</f>
        <v>E389460_01</v>
      </c>
      <c r="BL1010" s="7">
        <f>IFERROR(VLOOKUP(B1010,'[1]model_S-フレーム'!$F$5:$V$7000,17,1),"")</f>
        <v>0</v>
      </c>
      <c r="BM1010" t="str" cm="1">
        <f t="array" ref="BM1010">_xlfn.IFS(LEFT(G1010,1)="L","外注品",LEFT(G1010,1)="W","内製品",G1010="","購買品")</f>
        <v>内製品</v>
      </c>
    </row>
    <row r="1011" spans="1:65">
      <c r="A1011" t="str">
        <f t="shared" si="153"/>
        <v>WG01</v>
      </c>
      <c r="B1011" t="s">
        <v>1164</v>
      </c>
      <c r="C1011" t="s">
        <v>1522</v>
      </c>
      <c r="D1011" s="7"/>
      <c r="E1011" s="7"/>
      <c r="G1011" t="s">
        <v>1939</v>
      </c>
      <c r="H1011" t="str" cm="1">
        <f t="array" ref="H1011">IFERROR(_xlfn.IFS(B1011="","",AND(B1011="",G1011=""),"",G1011="","記載要"),"")</f>
        <v/>
      </c>
      <c r="K1011" t="str">
        <f t="shared" si="154"/>
        <v>11WP01008574</v>
      </c>
      <c r="L1011" s="3" t="str">
        <f t="shared" si="155"/>
        <v>2001/01/01</v>
      </c>
      <c r="M1011" s="3" t="str">
        <f t="shared" si="156"/>
        <v>2199/12/31</v>
      </c>
      <c r="N1011" t="str">
        <f t="shared" si="157"/>
        <v>11WP01008574</v>
      </c>
      <c r="O1011">
        <v>15</v>
      </c>
      <c r="Q1011" t="str" cm="1">
        <f t="array" ref="Q1011">_xlfn.IFS(AND(C1011="",G1011=""),"",LEFT(G1011,1)="L","記載要",LEFT(G1011,1)="W","",AND(C1011,G1011=""),"記載要")</f>
        <v/>
      </c>
      <c r="R1011" s="21" t="str">
        <f t="shared" si="162"/>
        <v/>
      </c>
      <c r="S1011" s="21"/>
      <c r="Z1011" s="8"/>
      <c r="AA1011">
        <v>1</v>
      </c>
      <c r="AB1011">
        <f t="shared" si="158"/>
        <v>0</v>
      </c>
      <c r="AC1011">
        <v>1</v>
      </c>
      <c r="AF1011">
        <v>1</v>
      </c>
      <c r="AG1011" s="8"/>
      <c r="AH1011" s="8"/>
      <c r="AK1011" cm="1">
        <f t="array" ref="AK1011">_xlfn.IFS(B1011="","",LEFT(G1011,1)="L",1,LEFT(G1011,1)="W",1,AND(LEFT(B1011,1)="H",G1011=""),0)</f>
        <v>1</v>
      </c>
      <c r="AS1011" t="str">
        <f t="shared" si="159"/>
        <v/>
      </c>
      <c r="AT1011" t="s">
        <v>115</v>
      </c>
      <c r="AU1011" t="str">
        <f t="shared" si="160"/>
        <v>0</v>
      </c>
      <c r="BD1011" t="str">
        <f t="shared" si="161"/>
        <v>0</v>
      </c>
      <c r="BK1011" t="str">
        <f>IFERROR(VLOOKUP(B1011,'[1]model_S-フレーム'!$F$5:$R$7000,13,1),"")</f>
        <v>E389460_01</v>
      </c>
      <c r="BL1011" s="7">
        <f>IFERROR(VLOOKUP(B1011,'[1]model_S-フレーム'!$F$5:$V$7000,17,1),"")</f>
        <v>0</v>
      </c>
      <c r="BM1011" t="str" cm="1">
        <f t="array" ref="BM1011">_xlfn.IFS(LEFT(G1011,1)="L","外注品",LEFT(G1011,1)="W","内製品",G1011="","購買品")</f>
        <v>内製品</v>
      </c>
    </row>
    <row r="1012" spans="1:65">
      <c r="A1012" t="str">
        <f t="shared" si="153"/>
        <v>WG01</v>
      </c>
      <c r="B1012" t="s">
        <v>1165</v>
      </c>
      <c r="C1012" t="s">
        <v>1522</v>
      </c>
      <c r="D1012" s="7"/>
      <c r="E1012" s="7"/>
      <c r="G1012" t="s">
        <v>1939</v>
      </c>
      <c r="H1012" t="str" cm="1">
        <f t="array" ref="H1012">IFERROR(_xlfn.IFS(B1012="","",AND(B1012="",G1012=""),"",G1012="","記載要"),"")</f>
        <v/>
      </c>
      <c r="K1012" t="str">
        <f t="shared" si="154"/>
        <v>11WP01008575</v>
      </c>
      <c r="L1012" s="3" t="str">
        <f t="shared" si="155"/>
        <v>2001/01/01</v>
      </c>
      <c r="M1012" s="3" t="str">
        <f t="shared" si="156"/>
        <v>2199/12/31</v>
      </c>
      <c r="N1012" t="str">
        <f t="shared" si="157"/>
        <v>11WP01008575</v>
      </c>
      <c r="O1012">
        <v>15</v>
      </c>
      <c r="Q1012" t="str" cm="1">
        <f t="array" ref="Q1012">_xlfn.IFS(AND(C1012="",G1012=""),"",LEFT(G1012,1)="L","記載要",LEFT(G1012,1)="W","",AND(C1012,G1012=""),"記載要")</f>
        <v/>
      </c>
      <c r="R1012" s="21" t="str">
        <f t="shared" si="162"/>
        <v/>
      </c>
      <c r="S1012" s="21"/>
      <c r="Z1012" s="8"/>
      <c r="AA1012">
        <v>1</v>
      </c>
      <c r="AB1012">
        <f t="shared" si="158"/>
        <v>0</v>
      </c>
      <c r="AC1012">
        <v>1</v>
      </c>
      <c r="AF1012">
        <v>1</v>
      </c>
      <c r="AG1012" s="8"/>
      <c r="AH1012" s="8"/>
      <c r="AK1012" cm="1">
        <f t="array" ref="AK1012">_xlfn.IFS(B1012="","",LEFT(G1012,1)="L",1,LEFT(G1012,1)="W",1,AND(LEFT(B1012,1)="H",G1012=""),0)</f>
        <v>1</v>
      </c>
      <c r="AS1012" t="str">
        <f t="shared" si="159"/>
        <v/>
      </c>
      <c r="AT1012" t="s">
        <v>115</v>
      </c>
      <c r="AU1012" t="str">
        <f t="shared" si="160"/>
        <v>0</v>
      </c>
      <c r="BD1012" t="str">
        <f t="shared" si="161"/>
        <v>0</v>
      </c>
      <c r="BK1012" t="str">
        <f>IFERROR(VLOOKUP(B1012,'[1]model_S-フレーム'!$F$5:$R$7000,13,1),"")</f>
        <v>E389460_01</v>
      </c>
      <c r="BL1012" s="7">
        <f>IFERROR(VLOOKUP(B1012,'[1]model_S-フレーム'!$F$5:$V$7000,17,1),"")</f>
        <v>0</v>
      </c>
      <c r="BM1012" t="str" cm="1">
        <f t="array" ref="BM1012">_xlfn.IFS(LEFT(G1012,1)="L","外注品",LEFT(G1012,1)="W","内製品",G1012="","購買品")</f>
        <v>内製品</v>
      </c>
    </row>
    <row r="1013" spans="1:65">
      <c r="A1013" t="str">
        <f t="shared" si="153"/>
        <v>WG01</v>
      </c>
      <c r="B1013" t="s">
        <v>1166</v>
      </c>
      <c r="C1013" t="s">
        <v>1522</v>
      </c>
      <c r="D1013" s="7"/>
      <c r="E1013" s="7"/>
      <c r="G1013" t="s">
        <v>1939</v>
      </c>
      <c r="H1013" t="str" cm="1">
        <f t="array" ref="H1013">IFERROR(_xlfn.IFS(B1013="","",AND(B1013="",G1013=""),"",G1013="","記載要"),"")</f>
        <v/>
      </c>
      <c r="K1013" t="str">
        <f t="shared" si="154"/>
        <v>11WP01008576</v>
      </c>
      <c r="L1013" s="3" t="str">
        <f t="shared" si="155"/>
        <v>2001/01/01</v>
      </c>
      <c r="M1013" s="3" t="str">
        <f t="shared" si="156"/>
        <v>2199/12/31</v>
      </c>
      <c r="N1013" t="str">
        <f t="shared" si="157"/>
        <v>11WP01008576</v>
      </c>
      <c r="O1013">
        <v>15</v>
      </c>
      <c r="Q1013" t="str" cm="1">
        <f t="array" ref="Q1013">_xlfn.IFS(AND(C1013="",G1013=""),"",LEFT(G1013,1)="L","記載要",LEFT(G1013,1)="W","",AND(C1013,G1013=""),"記載要")</f>
        <v/>
      </c>
      <c r="R1013" s="21" t="str">
        <f t="shared" si="162"/>
        <v/>
      </c>
      <c r="S1013" s="21"/>
      <c r="Z1013" s="8"/>
      <c r="AA1013">
        <v>1</v>
      </c>
      <c r="AB1013">
        <f t="shared" si="158"/>
        <v>0</v>
      </c>
      <c r="AC1013">
        <v>1</v>
      </c>
      <c r="AF1013">
        <v>1</v>
      </c>
      <c r="AG1013" s="8"/>
      <c r="AH1013" s="8"/>
      <c r="AK1013" cm="1">
        <f t="array" ref="AK1013">_xlfn.IFS(B1013="","",LEFT(G1013,1)="L",1,LEFT(G1013,1)="W",1,AND(LEFT(B1013,1)="H",G1013=""),0)</f>
        <v>1</v>
      </c>
      <c r="AS1013" t="str">
        <f t="shared" si="159"/>
        <v/>
      </c>
      <c r="AT1013" t="s">
        <v>115</v>
      </c>
      <c r="AU1013" t="str">
        <f t="shared" si="160"/>
        <v>0</v>
      </c>
      <c r="BD1013" t="str">
        <f t="shared" si="161"/>
        <v>0</v>
      </c>
      <c r="BK1013" t="str">
        <f>IFERROR(VLOOKUP(B1013,'[1]model_S-フレーム'!$F$5:$R$7000,13,1),"")</f>
        <v>E389460_01</v>
      </c>
      <c r="BL1013" s="7">
        <f>IFERROR(VLOOKUP(B1013,'[1]model_S-フレーム'!$F$5:$V$7000,17,1),"")</f>
        <v>0</v>
      </c>
      <c r="BM1013" t="str" cm="1">
        <f t="array" ref="BM1013">_xlfn.IFS(LEFT(G1013,1)="L","外注品",LEFT(G1013,1)="W","内製品",G1013="","購買品")</f>
        <v>内製品</v>
      </c>
    </row>
    <row r="1014" spans="1:65">
      <c r="A1014" t="str">
        <f t="shared" si="153"/>
        <v>WG01</v>
      </c>
      <c r="B1014" t="s">
        <v>1167</v>
      </c>
      <c r="C1014" t="s">
        <v>1523</v>
      </c>
      <c r="D1014" s="7"/>
      <c r="E1014" s="7"/>
      <c r="G1014" t="s">
        <v>1939</v>
      </c>
      <c r="H1014" t="str" cm="1">
        <f t="array" ref="H1014">IFERROR(_xlfn.IFS(B1014="","",AND(B1014="",G1014=""),"",G1014="","記載要"),"")</f>
        <v/>
      </c>
      <c r="K1014" t="str">
        <f t="shared" si="154"/>
        <v>11WP01008577</v>
      </c>
      <c r="L1014" s="3" t="str">
        <f t="shared" si="155"/>
        <v>2001/01/01</v>
      </c>
      <c r="M1014" s="3" t="str">
        <f t="shared" si="156"/>
        <v>2199/12/31</v>
      </c>
      <c r="N1014" t="str">
        <f t="shared" si="157"/>
        <v>11WP01008577</v>
      </c>
      <c r="O1014">
        <v>15</v>
      </c>
      <c r="Q1014" t="str" cm="1">
        <f t="array" ref="Q1014">_xlfn.IFS(AND(C1014="",G1014=""),"",LEFT(G1014,1)="L","記載要",LEFT(G1014,1)="W","",AND(C1014,G1014=""),"記載要")</f>
        <v/>
      </c>
      <c r="R1014" s="21" t="str">
        <f t="shared" si="162"/>
        <v/>
      </c>
      <c r="S1014" s="21"/>
      <c r="Z1014" s="8"/>
      <c r="AA1014">
        <v>1</v>
      </c>
      <c r="AB1014">
        <f t="shared" si="158"/>
        <v>0</v>
      </c>
      <c r="AC1014">
        <v>1</v>
      </c>
      <c r="AF1014">
        <v>1</v>
      </c>
      <c r="AG1014" s="8"/>
      <c r="AH1014" s="8"/>
      <c r="AK1014" cm="1">
        <f t="array" ref="AK1014">_xlfn.IFS(B1014="","",LEFT(G1014,1)="L",1,LEFT(G1014,1)="W",1,AND(LEFT(B1014,1)="H",G1014=""),0)</f>
        <v>1</v>
      </c>
      <c r="AS1014" t="str">
        <f t="shared" si="159"/>
        <v/>
      </c>
      <c r="AT1014" t="s">
        <v>115</v>
      </c>
      <c r="AU1014" t="str">
        <f t="shared" si="160"/>
        <v>0</v>
      </c>
      <c r="BD1014" t="str">
        <f t="shared" si="161"/>
        <v>0</v>
      </c>
      <c r="BK1014" t="str">
        <f>IFERROR(VLOOKUP(B1014,'[1]model_S-フレーム'!$F$5:$R$7000,13,1),"")</f>
        <v>E389460_01</v>
      </c>
      <c r="BL1014" s="7">
        <f>IFERROR(VLOOKUP(B1014,'[1]model_S-フレーム'!$F$5:$V$7000,17,1),"")</f>
        <v>0</v>
      </c>
      <c r="BM1014" t="str" cm="1">
        <f t="array" ref="BM1014">_xlfn.IFS(LEFT(G1014,1)="L","外注品",LEFT(G1014,1)="W","内製品",G1014="","購買品")</f>
        <v>内製品</v>
      </c>
    </row>
    <row r="1015" spans="1:65">
      <c r="A1015" t="str">
        <f t="shared" si="153"/>
        <v>WG01</v>
      </c>
      <c r="B1015" t="s">
        <v>1168</v>
      </c>
      <c r="C1015" t="s">
        <v>1523</v>
      </c>
      <c r="D1015" s="7"/>
      <c r="E1015" s="7"/>
      <c r="G1015" t="s">
        <v>1939</v>
      </c>
      <c r="H1015" t="str" cm="1">
        <f t="array" ref="H1015">IFERROR(_xlfn.IFS(B1015="","",AND(B1015="",G1015=""),"",G1015="","記載要"),"")</f>
        <v/>
      </c>
      <c r="K1015" t="str">
        <f t="shared" si="154"/>
        <v>11WP01008578</v>
      </c>
      <c r="L1015" s="3" t="str">
        <f t="shared" si="155"/>
        <v>2001/01/01</v>
      </c>
      <c r="M1015" s="3" t="str">
        <f t="shared" si="156"/>
        <v>2199/12/31</v>
      </c>
      <c r="N1015" t="str">
        <f t="shared" si="157"/>
        <v>11WP01008578</v>
      </c>
      <c r="O1015">
        <v>15</v>
      </c>
      <c r="Q1015" t="str" cm="1">
        <f t="array" ref="Q1015">_xlfn.IFS(AND(C1015="",G1015=""),"",LEFT(G1015,1)="L","記載要",LEFT(G1015,1)="W","",AND(C1015,G1015=""),"記載要")</f>
        <v/>
      </c>
      <c r="R1015" s="21" t="str">
        <f t="shared" si="162"/>
        <v/>
      </c>
      <c r="S1015" s="21"/>
      <c r="Z1015" s="8"/>
      <c r="AA1015">
        <v>1</v>
      </c>
      <c r="AB1015">
        <f t="shared" si="158"/>
        <v>0</v>
      </c>
      <c r="AC1015">
        <v>1</v>
      </c>
      <c r="AF1015">
        <v>1</v>
      </c>
      <c r="AG1015" s="8"/>
      <c r="AH1015" s="8"/>
      <c r="AK1015" cm="1">
        <f t="array" ref="AK1015">_xlfn.IFS(B1015="","",LEFT(G1015,1)="L",1,LEFT(G1015,1)="W",1,AND(LEFT(B1015,1)="H",G1015=""),0)</f>
        <v>1</v>
      </c>
      <c r="AS1015" t="str">
        <f t="shared" si="159"/>
        <v/>
      </c>
      <c r="AT1015" t="s">
        <v>115</v>
      </c>
      <c r="AU1015" t="str">
        <f t="shared" si="160"/>
        <v>0</v>
      </c>
      <c r="BD1015" t="str">
        <f t="shared" si="161"/>
        <v>0</v>
      </c>
      <c r="BK1015" t="str">
        <f>IFERROR(VLOOKUP(B1015,'[1]model_S-フレーム'!$F$5:$R$7000,13,1),"")</f>
        <v>E389460_01</v>
      </c>
      <c r="BL1015" s="7">
        <f>IFERROR(VLOOKUP(B1015,'[1]model_S-フレーム'!$F$5:$V$7000,17,1),"")</f>
        <v>0</v>
      </c>
      <c r="BM1015" t="str" cm="1">
        <f t="array" ref="BM1015">_xlfn.IFS(LEFT(G1015,1)="L","外注品",LEFT(G1015,1)="W","内製品",G1015="","購買品")</f>
        <v>内製品</v>
      </c>
    </row>
    <row r="1016" spans="1:65">
      <c r="A1016" t="str">
        <f t="shared" si="153"/>
        <v>WG01</v>
      </c>
      <c r="B1016" t="s">
        <v>1169</v>
      </c>
      <c r="C1016" t="s">
        <v>1523</v>
      </c>
      <c r="D1016" s="7"/>
      <c r="E1016" s="7"/>
      <c r="G1016" t="s">
        <v>1939</v>
      </c>
      <c r="H1016" t="str" cm="1">
        <f t="array" ref="H1016">IFERROR(_xlfn.IFS(B1016="","",AND(B1016="",G1016=""),"",G1016="","記載要"),"")</f>
        <v/>
      </c>
      <c r="K1016" t="str">
        <f t="shared" si="154"/>
        <v>11WP01008579</v>
      </c>
      <c r="L1016" s="3" t="str">
        <f t="shared" si="155"/>
        <v>2001/01/01</v>
      </c>
      <c r="M1016" s="3" t="str">
        <f t="shared" si="156"/>
        <v>2199/12/31</v>
      </c>
      <c r="N1016" t="str">
        <f t="shared" si="157"/>
        <v>11WP01008579</v>
      </c>
      <c r="O1016">
        <v>15</v>
      </c>
      <c r="Q1016" t="str" cm="1">
        <f t="array" ref="Q1016">_xlfn.IFS(AND(C1016="",G1016=""),"",LEFT(G1016,1)="L","記載要",LEFT(G1016,1)="W","",AND(C1016,G1016=""),"記載要")</f>
        <v/>
      </c>
      <c r="R1016" s="21" t="str">
        <f t="shared" si="162"/>
        <v/>
      </c>
      <c r="S1016" s="21"/>
      <c r="Z1016" s="8"/>
      <c r="AA1016">
        <v>1</v>
      </c>
      <c r="AB1016">
        <f t="shared" si="158"/>
        <v>0</v>
      </c>
      <c r="AC1016">
        <v>1</v>
      </c>
      <c r="AF1016">
        <v>1</v>
      </c>
      <c r="AG1016" s="8"/>
      <c r="AH1016" s="8"/>
      <c r="AK1016" cm="1">
        <f t="array" ref="AK1016">_xlfn.IFS(B1016="","",LEFT(G1016,1)="L",1,LEFT(G1016,1)="W",1,AND(LEFT(B1016,1)="H",G1016=""),0)</f>
        <v>1</v>
      </c>
      <c r="AS1016" t="str">
        <f t="shared" si="159"/>
        <v/>
      </c>
      <c r="AT1016" t="s">
        <v>115</v>
      </c>
      <c r="AU1016" t="str">
        <f t="shared" si="160"/>
        <v>0</v>
      </c>
      <c r="BD1016" t="str">
        <f t="shared" si="161"/>
        <v>0</v>
      </c>
      <c r="BK1016" t="str">
        <f>IFERROR(VLOOKUP(B1016,'[1]model_S-フレーム'!$F$5:$R$7000,13,1),"")</f>
        <v>E389460_01</v>
      </c>
      <c r="BL1016" s="7">
        <f>IFERROR(VLOOKUP(B1016,'[1]model_S-フレーム'!$F$5:$V$7000,17,1),"")</f>
        <v>0</v>
      </c>
      <c r="BM1016" t="str" cm="1">
        <f t="array" ref="BM1016">_xlfn.IFS(LEFT(G1016,1)="L","外注品",LEFT(G1016,1)="W","内製品",G1016="","購買品")</f>
        <v>内製品</v>
      </c>
    </row>
    <row r="1017" spans="1:65">
      <c r="A1017" t="str">
        <f t="shared" si="153"/>
        <v>WG01</v>
      </c>
      <c r="B1017" t="s">
        <v>1170</v>
      </c>
      <c r="C1017" t="s">
        <v>1523</v>
      </c>
      <c r="D1017" s="7"/>
      <c r="E1017" s="7"/>
      <c r="G1017" t="s">
        <v>1939</v>
      </c>
      <c r="H1017" t="str" cm="1">
        <f t="array" ref="H1017">IFERROR(_xlfn.IFS(B1017="","",AND(B1017="",G1017=""),"",G1017="","記載要"),"")</f>
        <v/>
      </c>
      <c r="K1017" t="str">
        <f t="shared" si="154"/>
        <v>11WP01008580</v>
      </c>
      <c r="L1017" s="3" t="str">
        <f t="shared" si="155"/>
        <v>2001/01/01</v>
      </c>
      <c r="M1017" s="3" t="str">
        <f t="shared" si="156"/>
        <v>2199/12/31</v>
      </c>
      <c r="N1017" t="str">
        <f t="shared" si="157"/>
        <v>11WP01008580</v>
      </c>
      <c r="O1017">
        <v>15</v>
      </c>
      <c r="Q1017" t="str" cm="1">
        <f t="array" ref="Q1017">_xlfn.IFS(AND(C1017="",G1017=""),"",LEFT(G1017,1)="L","記載要",LEFT(G1017,1)="W","",AND(C1017,G1017=""),"記載要")</f>
        <v/>
      </c>
      <c r="R1017" s="21" t="str">
        <f t="shared" si="162"/>
        <v/>
      </c>
      <c r="S1017" s="21"/>
      <c r="Z1017" s="8"/>
      <c r="AA1017">
        <v>1</v>
      </c>
      <c r="AB1017">
        <f t="shared" si="158"/>
        <v>0</v>
      </c>
      <c r="AC1017">
        <v>1</v>
      </c>
      <c r="AF1017">
        <v>1</v>
      </c>
      <c r="AG1017" s="8"/>
      <c r="AH1017" s="8"/>
      <c r="AK1017" cm="1">
        <f t="array" ref="AK1017">_xlfn.IFS(B1017="","",LEFT(G1017,1)="L",1,LEFT(G1017,1)="W",1,AND(LEFT(B1017,1)="H",G1017=""),0)</f>
        <v>1</v>
      </c>
      <c r="AS1017" t="str">
        <f t="shared" si="159"/>
        <v/>
      </c>
      <c r="AT1017" t="s">
        <v>115</v>
      </c>
      <c r="AU1017" t="str">
        <f t="shared" si="160"/>
        <v>0</v>
      </c>
      <c r="BD1017" t="str">
        <f t="shared" si="161"/>
        <v>0</v>
      </c>
      <c r="BK1017" t="str">
        <f>IFERROR(VLOOKUP(B1017,'[1]model_S-フレーム'!$F$5:$R$7000,13,1),"")</f>
        <v>E389460_01</v>
      </c>
      <c r="BL1017" s="7">
        <f>IFERROR(VLOOKUP(B1017,'[1]model_S-フレーム'!$F$5:$V$7000,17,1),"")</f>
        <v>0</v>
      </c>
      <c r="BM1017" t="str" cm="1">
        <f t="array" ref="BM1017">_xlfn.IFS(LEFT(G1017,1)="L","外注品",LEFT(G1017,1)="W","内製品",G1017="","購買品")</f>
        <v>内製品</v>
      </c>
    </row>
    <row r="1018" spans="1:65">
      <c r="A1018" t="str">
        <f t="shared" si="153"/>
        <v>WG01</v>
      </c>
      <c r="B1018" t="s">
        <v>1171</v>
      </c>
      <c r="C1018" t="s">
        <v>1523</v>
      </c>
      <c r="D1018" s="7"/>
      <c r="E1018" s="7"/>
      <c r="G1018" t="s">
        <v>1939</v>
      </c>
      <c r="H1018" t="str" cm="1">
        <f t="array" ref="H1018">IFERROR(_xlfn.IFS(B1018="","",AND(B1018="",G1018=""),"",G1018="","記載要"),"")</f>
        <v/>
      </c>
      <c r="K1018" t="str">
        <f t="shared" si="154"/>
        <v>11WP01008581</v>
      </c>
      <c r="L1018" s="3" t="str">
        <f t="shared" si="155"/>
        <v>2001/01/01</v>
      </c>
      <c r="M1018" s="3" t="str">
        <f t="shared" si="156"/>
        <v>2199/12/31</v>
      </c>
      <c r="N1018" t="str">
        <f t="shared" si="157"/>
        <v>11WP01008581</v>
      </c>
      <c r="O1018">
        <v>15</v>
      </c>
      <c r="Q1018" t="str" cm="1">
        <f t="array" ref="Q1018">_xlfn.IFS(AND(C1018="",G1018=""),"",LEFT(G1018,1)="L","記載要",LEFT(G1018,1)="W","",AND(C1018,G1018=""),"記載要")</f>
        <v/>
      </c>
      <c r="R1018" s="21" t="str">
        <f t="shared" si="162"/>
        <v/>
      </c>
      <c r="S1018" s="21"/>
      <c r="Z1018" s="8"/>
      <c r="AA1018">
        <v>1</v>
      </c>
      <c r="AB1018">
        <f t="shared" si="158"/>
        <v>0</v>
      </c>
      <c r="AC1018">
        <v>1</v>
      </c>
      <c r="AF1018">
        <v>1</v>
      </c>
      <c r="AG1018" s="8"/>
      <c r="AH1018" s="8"/>
      <c r="AK1018" cm="1">
        <f t="array" ref="AK1018">_xlfn.IFS(B1018="","",LEFT(G1018,1)="L",1,LEFT(G1018,1)="W",1,AND(LEFT(B1018,1)="H",G1018=""),0)</f>
        <v>1</v>
      </c>
      <c r="AS1018" t="str">
        <f t="shared" si="159"/>
        <v/>
      </c>
      <c r="AT1018" t="s">
        <v>115</v>
      </c>
      <c r="AU1018" t="str">
        <f t="shared" si="160"/>
        <v>0</v>
      </c>
      <c r="BD1018" t="str">
        <f t="shared" si="161"/>
        <v>0</v>
      </c>
      <c r="BK1018" t="str">
        <f>IFERROR(VLOOKUP(B1018,'[1]model_S-フレーム'!$F$5:$R$7000,13,1),"")</f>
        <v>E389460_01</v>
      </c>
      <c r="BL1018" s="7">
        <f>IFERROR(VLOOKUP(B1018,'[1]model_S-フレーム'!$F$5:$V$7000,17,1),"")</f>
        <v>0</v>
      </c>
      <c r="BM1018" t="str" cm="1">
        <f t="array" ref="BM1018">_xlfn.IFS(LEFT(G1018,1)="L","外注品",LEFT(G1018,1)="W","内製品",G1018="","購買品")</f>
        <v>内製品</v>
      </c>
    </row>
    <row r="1019" spans="1:65">
      <c r="A1019" t="str">
        <f t="shared" si="153"/>
        <v>WG01</v>
      </c>
      <c r="B1019" t="s">
        <v>1172</v>
      </c>
      <c r="C1019" t="s">
        <v>1523</v>
      </c>
      <c r="D1019" s="7"/>
      <c r="E1019" s="7"/>
      <c r="G1019" t="s">
        <v>1939</v>
      </c>
      <c r="H1019" t="str" cm="1">
        <f t="array" ref="H1019">IFERROR(_xlfn.IFS(B1019="","",AND(B1019="",G1019=""),"",G1019="","記載要"),"")</f>
        <v/>
      </c>
      <c r="K1019" t="str">
        <f t="shared" si="154"/>
        <v>11WP01008582</v>
      </c>
      <c r="L1019" s="3" t="str">
        <f t="shared" si="155"/>
        <v>2001/01/01</v>
      </c>
      <c r="M1019" s="3" t="str">
        <f t="shared" si="156"/>
        <v>2199/12/31</v>
      </c>
      <c r="N1019" t="str">
        <f t="shared" si="157"/>
        <v>11WP01008582</v>
      </c>
      <c r="O1019">
        <v>15</v>
      </c>
      <c r="Q1019" t="str" cm="1">
        <f t="array" ref="Q1019">_xlfn.IFS(AND(C1019="",G1019=""),"",LEFT(G1019,1)="L","記載要",LEFT(G1019,1)="W","",AND(C1019,G1019=""),"記載要")</f>
        <v/>
      </c>
      <c r="R1019" s="21" t="str">
        <f t="shared" si="162"/>
        <v/>
      </c>
      <c r="S1019" s="21"/>
      <c r="Z1019" s="8"/>
      <c r="AA1019">
        <v>1</v>
      </c>
      <c r="AB1019">
        <f t="shared" si="158"/>
        <v>0</v>
      </c>
      <c r="AC1019">
        <v>1</v>
      </c>
      <c r="AF1019">
        <v>1</v>
      </c>
      <c r="AG1019" s="8"/>
      <c r="AH1019" s="8"/>
      <c r="AK1019" cm="1">
        <f t="array" ref="AK1019">_xlfn.IFS(B1019="","",LEFT(G1019,1)="L",1,LEFT(G1019,1)="W",1,AND(LEFT(B1019,1)="H",G1019=""),0)</f>
        <v>1</v>
      </c>
      <c r="AS1019" t="str">
        <f t="shared" si="159"/>
        <v/>
      </c>
      <c r="AT1019" t="s">
        <v>115</v>
      </c>
      <c r="AU1019" t="str">
        <f t="shared" si="160"/>
        <v>0</v>
      </c>
      <c r="BD1019" t="str">
        <f t="shared" si="161"/>
        <v>0</v>
      </c>
      <c r="BK1019" t="str">
        <f>IFERROR(VLOOKUP(B1019,'[1]model_S-フレーム'!$F$5:$R$7000,13,1),"")</f>
        <v>E389460_01</v>
      </c>
      <c r="BL1019" s="7">
        <f>IFERROR(VLOOKUP(B1019,'[1]model_S-フレーム'!$F$5:$V$7000,17,1),"")</f>
        <v>0</v>
      </c>
      <c r="BM1019" t="str" cm="1">
        <f t="array" ref="BM1019">_xlfn.IFS(LEFT(G1019,1)="L","外注品",LEFT(G1019,1)="W","内製品",G1019="","購買品")</f>
        <v>内製品</v>
      </c>
    </row>
    <row r="1020" spans="1:65">
      <c r="A1020" t="str">
        <f t="shared" si="153"/>
        <v>WG01</v>
      </c>
      <c r="B1020" t="s">
        <v>1173</v>
      </c>
      <c r="C1020" t="s">
        <v>1523</v>
      </c>
      <c r="D1020" s="7"/>
      <c r="E1020" s="7"/>
      <c r="G1020" t="s">
        <v>1939</v>
      </c>
      <c r="H1020" t="str" cm="1">
        <f t="array" ref="H1020">IFERROR(_xlfn.IFS(B1020="","",AND(B1020="",G1020=""),"",G1020="","記載要"),"")</f>
        <v/>
      </c>
      <c r="K1020" t="str">
        <f t="shared" si="154"/>
        <v>11WP01008583</v>
      </c>
      <c r="L1020" s="3" t="str">
        <f t="shared" si="155"/>
        <v>2001/01/01</v>
      </c>
      <c r="M1020" s="3" t="str">
        <f t="shared" si="156"/>
        <v>2199/12/31</v>
      </c>
      <c r="N1020" t="str">
        <f t="shared" si="157"/>
        <v>11WP01008583</v>
      </c>
      <c r="O1020">
        <v>15</v>
      </c>
      <c r="Q1020" t="str" cm="1">
        <f t="array" ref="Q1020">_xlfn.IFS(AND(C1020="",G1020=""),"",LEFT(G1020,1)="L","記載要",LEFT(G1020,1)="W","",AND(C1020,G1020=""),"記載要")</f>
        <v/>
      </c>
      <c r="R1020" s="21" t="str">
        <f t="shared" si="162"/>
        <v/>
      </c>
      <c r="S1020" s="21"/>
      <c r="Z1020" s="8"/>
      <c r="AA1020">
        <v>1</v>
      </c>
      <c r="AB1020">
        <f t="shared" si="158"/>
        <v>0</v>
      </c>
      <c r="AC1020">
        <v>1</v>
      </c>
      <c r="AF1020">
        <v>1</v>
      </c>
      <c r="AG1020" s="8"/>
      <c r="AH1020" s="8"/>
      <c r="AK1020" cm="1">
        <f t="array" ref="AK1020">_xlfn.IFS(B1020="","",LEFT(G1020,1)="L",1,LEFT(G1020,1)="W",1,AND(LEFT(B1020,1)="H",G1020=""),0)</f>
        <v>1</v>
      </c>
      <c r="AS1020" t="str">
        <f t="shared" si="159"/>
        <v/>
      </c>
      <c r="AT1020" t="s">
        <v>115</v>
      </c>
      <c r="AU1020" t="str">
        <f t="shared" si="160"/>
        <v>0</v>
      </c>
      <c r="BD1020" t="str">
        <f t="shared" si="161"/>
        <v>0</v>
      </c>
      <c r="BK1020" t="str">
        <f>IFERROR(VLOOKUP(B1020,'[1]model_S-フレーム'!$F$5:$R$7000,13,1),"")</f>
        <v>E389460_01</v>
      </c>
      <c r="BL1020" s="7">
        <f>IFERROR(VLOOKUP(B1020,'[1]model_S-フレーム'!$F$5:$V$7000,17,1),"")</f>
        <v>0</v>
      </c>
      <c r="BM1020" t="str" cm="1">
        <f t="array" ref="BM1020">_xlfn.IFS(LEFT(G1020,1)="L","外注品",LEFT(G1020,1)="W","内製品",G1020="","購買品")</f>
        <v>内製品</v>
      </c>
    </row>
    <row r="1021" spans="1:65">
      <c r="A1021" t="str">
        <f t="shared" si="153"/>
        <v>WG01</v>
      </c>
      <c r="B1021" t="s">
        <v>1174</v>
      </c>
      <c r="C1021" t="s">
        <v>1523</v>
      </c>
      <c r="D1021" s="7"/>
      <c r="E1021" s="7"/>
      <c r="G1021" t="s">
        <v>1939</v>
      </c>
      <c r="H1021" t="str" cm="1">
        <f t="array" ref="H1021">IFERROR(_xlfn.IFS(B1021="","",AND(B1021="",G1021=""),"",G1021="","記載要"),"")</f>
        <v/>
      </c>
      <c r="K1021" t="str">
        <f t="shared" si="154"/>
        <v>11WP01008584</v>
      </c>
      <c r="L1021" s="3" t="str">
        <f t="shared" si="155"/>
        <v>2001/01/01</v>
      </c>
      <c r="M1021" s="3" t="str">
        <f t="shared" si="156"/>
        <v>2199/12/31</v>
      </c>
      <c r="N1021" t="str">
        <f t="shared" si="157"/>
        <v>11WP01008584</v>
      </c>
      <c r="O1021">
        <v>15</v>
      </c>
      <c r="Q1021" t="str" cm="1">
        <f t="array" ref="Q1021">_xlfn.IFS(AND(C1021="",G1021=""),"",LEFT(G1021,1)="L","記載要",LEFT(G1021,1)="W","",AND(C1021,G1021=""),"記載要")</f>
        <v/>
      </c>
      <c r="R1021" s="21" t="str">
        <f t="shared" si="162"/>
        <v/>
      </c>
      <c r="S1021" s="21"/>
      <c r="Z1021" s="8"/>
      <c r="AA1021">
        <v>1</v>
      </c>
      <c r="AB1021">
        <f t="shared" si="158"/>
        <v>0</v>
      </c>
      <c r="AC1021">
        <v>1</v>
      </c>
      <c r="AF1021">
        <v>1</v>
      </c>
      <c r="AG1021" s="8"/>
      <c r="AH1021" s="8"/>
      <c r="AK1021" cm="1">
        <f t="array" ref="AK1021">_xlfn.IFS(B1021="","",LEFT(G1021,1)="L",1,LEFT(G1021,1)="W",1,AND(LEFT(B1021,1)="H",G1021=""),0)</f>
        <v>1</v>
      </c>
      <c r="AS1021" t="str">
        <f t="shared" si="159"/>
        <v/>
      </c>
      <c r="AT1021" t="s">
        <v>115</v>
      </c>
      <c r="AU1021" t="str">
        <f t="shared" si="160"/>
        <v>0</v>
      </c>
      <c r="BD1021" t="str">
        <f t="shared" si="161"/>
        <v>0</v>
      </c>
      <c r="BK1021" t="str">
        <f>IFERROR(VLOOKUP(B1021,'[1]model_S-フレーム'!$F$5:$R$7000,13,1),"")</f>
        <v>E389460_01</v>
      </c>
      <c r="BL1021" s="7">
        <f>IFERROR(VLOOKUP(B1021,'[1]model_S-フレーム'!$F$5:$V$7000,17,1),"")</f>
        <v>0</v>
      </c>
      <c r="BM1021" t="str" cm="1">
        <f t="array" ref="BM1021">_xlfn.IFS(LEFT(G1021,1)="L","外注品",LEFT(G1021,1)="W","内製品",G1021="","購買品")</f>
        <v>内製品</v>
      </c>
    </row>
    <row r="1022" spans="1:65">
      <c r="A1022" t="str">
        <f t="shared" si="153"/>
        <v>WG01</v>
      </c>
      <c r="B1022" t="s">
        <v>1175</v>
      </c>
      <c r="C1022" t="s">
        <v>1523</v>
      </c>
      <c r="D1022" s="7"/>
      <c r="E1022" s="7"/>
      <c r="G1022" t="s">
        <v>1939</v>
      </c>
      <c r="H1022" t="str" cm="1">
        <f t="array" ref="H1022">IFERROR(_xlfn.IFS(B1022="","",AND(B1022="",G1022=""),"",G1022="","記載要"),"")</f>
        <v/>
      </c>
      <c r="K1022" t="str">
        <f t="shared" si="154"/>
        <v>11WP01008585</v>
      </c>
      <c r="L1022" s="3" t="str">
        <f t="shared" si="155"/>
        <v>2001/01/01</v>
      </c>
      <c r="M1022" s="3" t="str">
        <f t="shared" si="156"/>
        <v>2199/12/31</v>
      </c>
      <c r="N1022" t="str">
        <f t="shared" si="157"/>
        <v>11WP01008585</v>
      </c>
      <c r="O1022">
        <v>15</v>
      </c>
      <c r="Q1022" t="str" cm="1">
        <f t="array" ref="Q1022">_xlfn.IFS(AND(C1022="",G1022=""),"",LEFT(G1022,1)="L","記載要",LEFT(G1022,1)="W","",AND(C1022,G1022=""),"記載要")</f>
        <v/>
      </c>
      <c r="R1022" s="21" t="str">
        <f t="shared" si="162"/>
        <v/>
      </c>
      <c r="S1022" s="21"/>
      <c r="Z1022" s="8"/>
      <c r="AA1022">
        <v>1</v>
      </c>
      <c r="AB1022">
        <f t="shared" si="158"/>
        <v>0</v>
      </c>
      <c r="AC1022">
        <v>1</v>
      </c>
      <c r="AF1022">
        <v>1</v>
      </c>
      <c r="AG1022" s="8"/>
      <c r="AH1022" s="8"/>
      <c r="AK1022" cm="1">
        <f t="array" ref="AK1022">_xlfn.IFS(B1022="","",LEFT(G1022,1)="L",1,LEFT(G1022,1)="W",1,AND(LEFT(B1022,1)="H",G1022=""),0)</f>
        <v>1</v>
      </c>
      <c r="AS1022" t="str">
        <f t="shared" si="159"/>
        <v/>
      </c>
      <c r="AT1022" t="s">
        <v>115</v>
      </c>
      <c r="AU1022" t="str">
        <f t="shared" si="160"/>
        <v>0</v>
      </c>
      <c r="BD1022" t="str">
        <f t="shared" si="161"/>
        <v>0</v>
      </c>
      <c r="BK1022" t="str">
        <f>IFERROR(VLOOKUP(B1022,'[1]model_S-フレーム'!$F$5:$R$7000,13,1),"")</f>
        <v>E389460_01</v>
      </c>
      <c r="BL1022" s="7">
        <f>IFERROR(VLOOKUP(B1022,'[1]model_S-フレーム'!$F$5:$V$7000,17,1),"")</f>
        <v>0</v>
      </c>
      <c r="BM1022" t="str" cm="1">
        <f t="array" ref="BM1022">_xlfn.IFS(LEFT(G1022,1)="L","外注品",LEFT(G1022,1)="W","内製品",G1022="","購買品")</f>
        <v>内製品</v>
      </c>
    </row>
    <row r="1023" spans="1:65">
      <c r="A1023" t="str">
        <f t="shared" si="153"/>
        <v>WG01</v>
      </c>
      <c r="B1023" t="s">
        <v>1176</v>
      </c>
      <c r="C1023" t="s">
        <v>1523</v>
      </c>
      <c r="D1023" s="7"/>
      <c r="E1023" s="7"/>
      <c r="G1023" t="s">
        <v>1939</v>
      </c>
      <c r="H1023" t="str" cm="1">
        <f t="array" ref="H1023">IFERROR(_xlfn.IFS(B1023="","",AND(B1023="",G1023=""),"",G1023="","記載要"),"")</f>
        <v/>
      </c>
      <c r="K1023" t="str">
        <f t="shared" si="154"/>
        <v>11WP01008586</v>
      </c>
      <c r="L1023" s="3" t="str">
        <f t="shared" si="155"/>
        <v>2001/01/01</v>
      </c>
      <c r="M1023" s="3" t="str">
        <f t="shared" si="156"/>
        <v>2199/12/31</v>
      </c>
      <c r="N1023" t="str">
        <f t="shared" si="157"/>
        <v>11WP01008586</v>
      </c>
      <c r="O1023">
        <v>15</v>
      </c>
      <c r="Q1023" t="str" cm="1">
        <f t="array" ref="Q1023">_xlfn.IFS(AND(C1023="",G1023=""),"",LEFT(G1023,1)="L","記載要",LEFT(G1023,1)="W","",AND(C1023,G1023=""),"記載要")</f>
        <v/>
      </c>
      <c r="R1023" s="21" t="str">
        <f t="shared" si="162"/>
        <v/>
      </c>
      <c r="S1023" s="21"/>
      <c r="Z1023" s="8"/>
      <c r="AA1023">
        <v>1</v>
      </c>
      <c r="AB1023">
        <f t="shared" si="158"/>
        <v>0</v>
      </c>
      <c r="AC1023">
        <v>1</v>
      </c>
      <c r="AF1023">
        <v>1</v>
      </c>
      <c r="AG1023" s="8"/>
      <c r="AH1023" s="8"/>
      <c r="AK1023" cm="1">
        <f t="array" ref="AK1023">_xlfn.IFS(B1023="","",LEFT(G1023,1)="L",1,LEFT(G1023,1)="W",1,AND(LEFT(B1023,1)="H",G1023=""),0)</f>
        <v>1</v>
      </c>
      <c r="AS1023" t="str">
        <f t="shared" si="159"/>
        <v/>
      </c>
      <c r="AT1023" t="s">
        <v>115</v>
      </c>
      <c r="AU1023" t="str">
        <f t="shared" si="160"/>
        <v>0</v>
      </c>
      <c r="BD1023" t="str">
        <f t="shared" si="161"/>
        <v>0</v>
      </c>
      <c r="BK1023" t="str">
        <f>IFERROR(VLOOKUP(B1023,'[1]model_S-フレーム'!$F$5:$R$7000,13,1),"")</f>
        <v>E389460_01</v>
      </c>
      <c r="BL1023" s="7">
        <f>IFERROR(VLOOKUP(B1023,'[1]model_S-フレーム'!$F$5:$V$7000,17,1),"")</f>
        <v>0</v>
      </c>
      <c r="BM1023" t="str" cm="1">
        <f t="array" ref="BM1023">_xlfn.IFS(LEFT(G1023,1)="L","外注品",LEFT(G1023,1)="W","内製品",G1023="","購買品")</f>
        <v>内製品</v>
      </c>
    </row>
    <row r="1024" spans="1:65">
      <c r="A1024" t="str">
        <f t="shared" si="153"/>
        <v>WG01</v>
      </c>
      <c r="B1024" t="s">
        <v>1177</v>
      </c>
      <c r="C1024" t="s">
        <v>1523</v>
      </c>
      <c r="D1024" s="7"/>
      <c r="E1024" s="7"/>
      <c r="G1024" t="s">
        <v>1939</v>
      </c>
      <c r="H1024" t="str" cm="1">
        <f t="array" ref="H1024">IFERROR(_xlfn.IFS(B1024="","",AND(B1024="",G1024=""),"",G1024="","記載要"),"")</f>
        <v/>
      </c>
      <c r="K1024" t="str">
        <f t="shared" si="154"/>
        <v>11WP01008587</v>
      </c>
      <c r="L1024" s="3" t="str">
        <f t="shared" si="155"/>
        <v>2001/01/01</v>
      </c>
      <c r="M1024" s="3" t="str">
        <f t="shared" si="156"/>
        <v>2199/12/31</v>
      </c>
      <c r="N1024" t="str">
        <f t="shared" si="157"/>
        <v>11WP01008587</v>
      </c>
      <c r="O1024">
        <v>15</v>
      </c>
      <c r="Q1024" t="str" cm="1">
        <f t="array" ref="Q1024">_xlfn.IFS(AND(C1024="",G1024=""),"",LEFT(G1024,1)="L","記載要",LEFT(G1024,1)="W","",AND(C1024,G1024=""),"記載要")</f>
        <v/>
      </c>
      <c r="R1024" s="21" t="str">
        <f t="shared" si="162"/>
        <v/>
      </c>
      <c r="S1024" s="21"/>
      <c r="Z1024" s="8"/>
      <c r="AA1024">
        <v>1</v>
      </c>
      <c r="AB1024">
        <f t="shared" si="158"/>
        <v>0</v>
      </c>
      <c r="AC1024">
        <v>1</v>
      </c>
      <c r="AF1024">
        <v>1</v>
      </c>
      <c r="AG1024" s="8"/>
      <c r="AH1024" s="8"/>
      <c r="AK1024" cm="1">
        <f t="array" ref="AK1024">_xlfn.IFS(B1024="","",LEFT(G1024,1)="L",1,LEFT(G1024,1)="W",1,AND(LEFT(B1024,1)="H",G1024=""),0)</f>
        <v>1</v>
      </c>
      <c r="AS1024" t="str">
        <f t="shared" si="159"/>
        <v/>
      </c>
      <c r="AT1024" t="s">
        <v>115</v>
      </c>
      <c r="AU1024" t="str">
        <f t="shared" si="160"/>
        <v>0</v>
      </c>
      <c r="BD1024" t="str">
        <f t="shared" si="161"/>
        <v>0</v>
      </c>
      <c r="BK1024" t="str">
        <f>IFERROR(VLOOKUP(B1024,'[1]model_S-フレーム'!$F$5:$R$7000,13,1),"")</f>
        <v>E389460_01</v>
      </c>
      <c r="BL1024" s="7">
        <f>IFERROR(VLOOKUP(B1024,'[1]model_S-フレーム'!$F$5:$V$7000,17,1),"")</f>
        <v>0</v>
      </c>
      <c r="BM1024" t="str" cm="1">
        <f t="array" ref="BM1024">_xlfn.IFS(LEFT(G1024,1)="L","外注品",LEFT(G1024,1)="W","内製品",G1024="","購買品")</f>
        <v>内製品</v>
      </c>
    </row>
    <row r="1025" spans="1:65">
      <c r="A1025" t="str">
        <f t="shared" si="153"/>
        <v>WG01</v>
      </c>
      <c r="B1025" t="s">
        <v>1178</v>
      </c>
      <c r="C1025" t="s">
        <v>1523</v>
      </c>
      <c r="D1025" s="7"/>
      <c r="E1025" s="7"/>
      <c r="G1025" t="s">
        <v>1939</v>
      </c>
      <c r="H1025" t="str" cm="1">
        <f t="array" ref="H1025">IFERROR(_xlfn.IFS(B1025="","",AND(B1025="",G1025=""),"",G1025="","記載要"),"")</f>
        <v/>
      </c>
      <c r="K1025" t="str">
        <f t="shared" si="154"/>
        <v>11WP01008588</v>
      </c>
      <c r="L1025" s="3" t="str">
        <f t="shared" si="155"/>
        <v>2001/01/01</v>
      </c>
      <c r="M1025" s="3" t="str">
        <f t="shared" si="156"/>
        <v>2199/12/31</v>
      </c>
      <c r="N1025" t="str">
        <f t="shared" si="157"/>
        <v>11WP01008588</v>
      </c>
      <c r="O1025">
        <v>15</v>
      </c>
      <c r="Q1025" t="str" cm="1">
        <f t="array" ref="Q1025">_xlfn.IFS(AND(C1025="",G1025=""),"",LEFT(G1025,1)="L","記載要",LEFT(G1025,1)="W","",AND(C1025,G1025=""),"記載要")</f>
        <v/>
      </c>
      <c r="R1025" s="21" t="str">
        <f t="shared" si="162"/>
        <v/>
      </c>
      <c r="S1025" s="21"/>
      <c r="Z1025" s="8"/>
      <c r="AA1025">
        <v>1</v>
      </c>
      <c r="AB1025">
        <f t="shared" si="158"/>
        <v>0</v>
      </c>
      <c r="AC1025">
        <v>1</v>
      </c>
      <c r="AF1025">
        <v>1</v>
      </c>
      <c r="AG1025" s="8"/>
      <c r="AH1025" s="8"/>
      <c r="AK1025" cm="1">
        <f t="array" ref="AK1025">_xlfn.IFS(B1025="","",LEFT(G1025,1)="L",1,LEFT(G1025,1)="W",1,AND(LEFT(B1025,1)="H",G1025=""),0)</f>
        <v>1</v>
      </c>
      <c r="AS1025" t="str">
        <f t="shared" si="159"/>
        <v/>
      </c>
      <c r="AT1025" t="s">
        <v>115</v>
      </c>
      <c r="AU1025" t="str">
        <f t="shared" si="160"/>
        <v>0</v>
      </c>
      <c r="BD1025" t="str">
        <f t="shared" si="161"/>
        <v>0</v>
      </c>
      <c r="BK1025" t="str">
        <f>IFERROR(VLOOKUP(B1025,'[1]model_S-フレーム'!$F$5:$R$7000,13,1),"")</f>
        <v>E389460_01</v>
      </c>
      <c r="BL1025" s="7">
        <f>IFERROR(VLOOKUP(B1025,'[1]model_S-フレーム'!$F$5:$V$7000,17,1),"")</f>
        <v>0</v>
      </c>
      <c r="BM1025" t="str" cm="1">
        <f t="array" ref="BM1025">_xlfn.IFS(LEFT(G1025,1)="L","外注品",LEFT(G1025,1)="W","内製品",G1025="","購買品")</f>
        <v>内製品</v>
      </c>
    </row>
    <row r="1026" spans="1:65">
      <c r="A1026" t="str">
        <f t="shared" si="153"/>
        <v>WG01</v>
      </c>
      <c r="B1026" t="s">
        <v>1179</v>
      </c>
      <c r="C1026" t="s">
        <v>1523</v>
      </c>
      <c r="D1026" s="7"/>
      <c r="E1026" s="7"/>
      <c r="G1026" t="s">
        <v>1939</v>
      </c>
      <c r="H1026" t="str" cm="1">
        <f t="array" ref="H1026">IFERROR(_xlfn.IFS(B1026="","",AND(B1026="",G1026=""),"",G1026="","記載要"),"")</f>
        <v/>
      </c>
      <c r="K1026" t="str">
        <f t="shared" si="154"/>
        <v>11WP01008589</v>
      </c>
      <c r="L1026" s="3" t="str">
        <f t="shared" si="155"/>
        <v>2001/01/01</v>
      </c>
      <c r="M1026" s="3" t="str">
        <f t="shared" si="156"/>
        <v>2199/12/31</v>
      </c>
      <c r="N1026" t="str">
        <f t="shared" si="157"/>
        <v>11WP01008589</v>
      </c>
      <c r="O1026">
        <v>15</v>
      </c>
      <c r="Q1026" t="str" cm="1">
        <f t="array" ref="Q1026">_xlfn.IFS(AND(C1026="",G1026=""),"",LEFT(G1026,1)="L","記載要",LEFT(G1026,1)="W","",AND(C1026,G1026=""),"記載要")</f>
        <v/>
      </c>
      <c r="R1026" s="21" t="str">
        <f t="shared" si="162"/>
        <v/>
      </c>
      <c r="S1026" s="21"/>
      <c r="Z1026" s="8"/>
      <c r="AA1026">
        <v>1</v>
      </c>
      <c r="AB1026">
        <f t="shared" si="158"/>
        <v>0</v>
      </c>
      <c r="AC1026">
        <v>1</v>
      </c>
      <c r="AF1026">
        <v>1</v>
      </c>
      <c r="AG1026" s="8"/>
      <c r="AH1026" s="8"/>
      <c r="AK1026" cm="1">
        <f t="array" ref="AK1026">_xlfn.IFS(B1026="","",LEFT(G1026,1)="L",1,LEFT(G1026,1)="W",1,AND(LEFT(B1026,1)="H",G1026=""),0)</f>
        <v>1</v>
      </c>
      <c r="AS1026" t="str">
        <f t="shared" si="159"/>
        <v/>
      </c>
      <c r="AT1026" t="s">
        <v>115</v>
      </c>
      <c r="AU1026" t="str">
        <f t="shared" si="160"/>
        <v>0</v>
      </c>
      <c r="BD1026" t="str">
        <f t="shared" si="161"/>
        <v>0</v>
      </c>
      <c r="BK1026" t="str">
        <f>IFERROR(VLOOKUP(B1026,'[1]model_S-フレーム'!$F$5:$R$7000,13,1),"")</f>
        <v>E389460_01</v>
      </c>
      <c r="BL1026" s="7">
        <f>IFERROR(VLOOKUP(B1026,'[1]model_S-フレーム'!$F$5:$V$7000,17,1),"")</f>
        <v>0</v>
      </c>
      <c r="BM1026" t="str" cm="1">
        <f t="array" ref="BM1026">_xlfn.IFS(LEFT(G1026,1)="L","外注品",LEFT(G1026,1)="W","内製品",G1026="","購買品")</f>
        <v>内製品</v>
      </c>
    </row>
    <row r="1027" spans="1:65">
      <c r="A1027" t="str">
        <f t="shared" ref="A1027:A1090" si="163">IF(B1027="","","WG01")</f>
        <v>WG01</v>
      </c>
      <c r="B1027" t="s">
        <v>1180</v>
      </c>
      <c r="C1027" t="s">
        <v>1523</v>
      </c>
      <c r="D1027" s="7"/>
      <c r="E1027" s="7"/>
      <c r="G1027" t="s">
        <v>1939</v>
      </c>
      <c r="H1027" t="str" cm="1">
        <f t="array" ref="H1027">IFERROR(_xlfn.IFS(B1027="","",AND(B1027="",G1027=""),"",G1027="","記載要"),"")</f>
        <v/>
      </c>
      <c r="K1027" t="str">
        <f t="shared" ref="K1027:K1090" si="164">IF(G1027="","","11"&amp;G1027&amp;RIGHT(B1027,5))</f>
        <v>11WP01008590</v>
      </c>
      <c r="L1027" s="3" t="str">
        <f t="shared" ref="L1027:L1090" si="165">IF(B1027="","","2001/01/01")</f>
        <v>2001/01/01</v>
      </c>
      <c r="M1027" s="3" t="str">
        <f t="shared" ref="M1027:M1090" si="166">IF(C1027="","","2199/12/31")</f>
        <v>2199/12/31</v>
      </c>
      <c r="N1027" t="str">
        <f t="shared" ref="N1027:N1090" si="167">IF(LEFT(G1027,1)="W",K1027,"")</f>
        <v>11WP01008590</v>
      </c>
      <c r="O1027">
        <v>15</v>
      </c>
      <c r="Q1027" t="str" cm="1">
        <f t="array" ref="Q1027">_xlfn.IFS(AND(C1027="",G1027=""),"",LEFT(G1027,1)="L","記載要",LEFT(G1027,1)="W","",AND(C1027,G1027=""),"記載要")</f>
        <v/>
      </c>
      <c r="R1027" s="21" t="str">
        <f t="shared" si="162"/>
        <v/>
      </c>
      <c r="S1027" s="21"/>
      <c r="Z1027" s="8"/>
      <c r="AA1027">
        <v>1</v>
      </c>
      <c r="AB1027">
        <f t="shared" ref="AB1027:AB1090" si="168">IF(B1027="","",0)</f>
        <v>0</v>
      </c>
      <c r="AC1027">
        <v>1</v>
      </c>
      <c r="AF1027">
        <v>1</v>
      </c>
      <c r="AG1027" s="8"/>
      <c r="AH1027" s="8"/>
      <c r="AK1027" cm="1">
        <f t="array" ref="AK1027">_xlfn.IFS(B1027="","",LEFT(G1027,1)="L",1,LEFT(G1027,1)="W",1,AND(LEFT(B1027,1)="H",G1027=""),0)</f>
        <v>1</v>
      </c>
      <c r="AS1027" t="str">
        <f t="shared" ref="AS1027:AS1090" si="169">IF(Q1027="","",1)</f>
        <v/>
      </c>
      <c r="AT1027" t="s">
        <v>115</v>
      </c>
      <c r="AU1027" t="str">
        <f t="shared" ref="AU1027:AU1090" si="170">IF(B1027="","","0")</f>
        <v>0</v>
      </c>
      <c r="BD1027" t="str">
        <f t="shared" ref="BD1027:BD1090" si="171">IF(B1027="","","0")</f>
        <v>0</v>
      </c>
      <c r="BK1027" t="str">
        <f>IFERROR(VLOOKUP(B1027,'[1]model_S-フレーム'!$F$5:$R$7000,13,1),"")</f>
        <v>E389460_01</v>
      </c>
      <c r="BL1027" s="7">
        <f>IFERROR(VLOOKUP(B1027,'[1]model_S-フレーム'!$F$5:$V$7000,17,1),"")</f>
        <v>0</v>
      </c>
      <c r="BM1027" t="str" cm="1">
        <f t="array" ref="BM1027">_xlfn.IFS(LEFT(G1027,1)="L","外注品",LEFT(G1027,1)="W","内製品",G1027="","購買品")</f>
        <v>内製品</v>
      </c>
    </row>
    <row r="1028" spans="1:65">
      <c r="A1028" t="str">
        <f t="shared" si="163"/>
        <v>WG01</v>
      </c>
      <c r="B1028" t="s">
        <v>1181</v>
      </c>
      <c r="C1028" t="s">
        <v>1523</v>
      </c>
      <c r="D1028" s="7"/>
      <c r="E1028" s="7"/>
      <c r="G1028" t="s">
        <v>1939</v>
      </c>
      <c r="H1028" t="str" cm="1">
        <f t="array" ref="H1028">IFERROR(_xlfn.IFS(B1028="","",AND(B1028="",G1028=""),"",G1028="","記載要"),"")</f>
        <v/>
      </c>
      <c r="K1028" t="str">
        <f t="shared" si="164"/>
        <v>11WP01008591</v>
      </c>
      <c r="L1028" s="3" t="str">
        <f t="shared" si="165"/>
        <v>2001/01/01</v>
      </c>
      <c r="M1028" s="3" t="str">
        <f t="shared" si="166"/>
        <v>2199/12/31</v>
      </c>
      <c r="N1028" t="str">
        <f t="shared" si="167"/>
        <v>11WP01008591</v>
      </c>
      <c r="O1028">
        <v>15</v>
      </c>
      <c r="Q1028" t="str" cm="1">
        <f t="array" ref="Q1028">_xlfn.IFS(AND(C1028="",G1028=""),"",LEFT(G1028,1)="L","記載要",LEFT(G1028,1)="W","",AND(C1028,G1028=""),"記載要")</f>
        <v/>
      </c>
      <c r="R1028" s="21" t="str">
        <f t="shared" ref="R1028:R1091" si="172">IF(H1028="","","記載要")</f>
        <v/>
      </c>
      <c r="S1028" s="21"/>
      <c r="Z1028" s="8"/>
      <c r="AA1028">
        <v>1</v>
      </c>
      <c r="AB1028">
        <f t="shared" si="168"/>
        <v>0</v>
      </c>
      <c r="AC1028">
        <v>1</v>
      </c>
      <c r="AF1028">
        <v>1</v>
      </c>
      <c r="AG1028" s="8"/>
      <c r="AH1028" s="8"/>
      <c r="AK1028" cm="1">
        <f t="array" ref="AK1028">_xlfn.IFS(B1028="","",LEFT(G1028,1)="L",1,LEFT(G1028,1)="W",1,AND(LEFT(B1028,1)="H",G1028=""),0)</f>
        <v>1</v>
      </c>
      <c r="AS1028" t="str">
        <f t="shared" si="169"/>
        <v/>
      </c>
      <c r="AT1028" t="s">
        <v>115</v>
      </c>
      <c r="AU1028" t="str">
        <f t="shared" si="170"/>
        <v>0</v>
      </c>
      <c r="BD1028" t="str">
        <f t="shared" si="171"/>
        <v>0</v>
      </c>
      <c r="BK1028" t="str">
        <f>IFERROR(VLOOKUP(B1028,'[1]model_S-フレーム'!$F$5:$R$7000,13,1),"")</f>
        <v>E389460_01</v>
      </c>
      <c r="BL1028" s="7">
        <f>IFERROR(VLOOKUP(B1028,'[1]model_S-フレーム'!$F$5:$V$7000,17,1),"")</f>
        <v>0</v>
      </c>
      <c r="BM1028" t="str" cm="1">
        <f t="array" ref="BM1028">_xlfn.IFS(LEFT(G1028,1)="L","外注品",LEFT(G1028,1)="W","内製品",G1028="","購買品")</f>
        <v>内製品</v>
      </c>
    </row>
    <row r="1029" spans="1:65">
      <c r="A1029" t="str">
        <f t="shared" si="163"/>
        <v>WG01</v>
      </c>
      <c r="B1029" t="s">
        <v>1182</v>
      </c>
      <c r="C1029" t="s">
        <v>1523</v>
      </c>
      <c r="D1029" s="7"/>
      <c r="E1029" s="7"/>
      <c r="G1029" t="s">
        <v>1939</v>
      </c>
      <c r="H1029" t="str" cm="1">
        <f t="array" ref="H1029">IFERROR(_xlfn.IFS(B1029="","",AND(B1029="",G1029=""),"",G1029="","記載要"),"")</f>
        <v/>
      </c>
      <c r="K1029" t="str">
        <f t="shared" si="164"/>
        <v>11WP01008592</v>
      </c>
      <c r="L1029" s="3" t="str">
        <f t="shared" si="165"/>
        <v>2001/01/01</v>
      </c>
      <c r="M1029" s="3" t="str">
        <f t="shared" si="166"/>
        <v>2199/12/31</v>
      </c>
      <c r="N1029" t="str">
        <f t="shared" si="167"/>
        <v>11WP01008592</v>
      </c>
      <c r="O1029">
        <v>15</v>
      </c>
      <c r="Q1029" t="str" cm="1">
        <f t="array" ref="Q1029">_xlfn.IFS(AND(C1029="",G1029=""),"",LEFT(G1029,1)="L","記載要",LEFT(G1029,1)="W","",AND(C1029,G1029=""),"記載要")</f>
        <v/>
      </c>
      <c r="R1029" s="21" t="str">
        <f t="shared" si="172"/>
        <v/>
      </c>
      <c r="S1029" s="21"/>
      <c r="Z1029" s="8"/>
      <c r="AA1029">
        <v>1</v>
      </c>
      <c r="AB1029">
        <f t="shared" si="168"/>
        <v>0</v>
      </c>
      <c r="AC1029">
        <v>1</v>
      </c>
      <c r="AF1029">
        <v>1</v>
      </c>
      <c r="AG1029" s="8"/>
      <c r="AH1029" s="8"/>
      <c r="AK1029" cm="1">
        <f t="array" ref="AK1029">_xlfn.IFS(B1029="","",LEFT(G1029,1)="L",1,LEFT(G1029,1)="W",1,AND(LEFT(B1029,1)="H",G1029=""),0)</f>
        <v>1</v>
      </c>
      <c r="AS1029" t="str">
        <f t="shared" si="169"/>
        <v/>
      </c>
      <c r="AT1029" t="s">
        <v>115</v>
      </c>
      <c r="AU1029" t="str">
        <f t="shared" si="170"/>
        <v>0</v>
      </c>
      <c r="BD1029" t="str">
        <f t="shared" si="171"/>
        <v>0</v>
      </c>
      <c r="BK1029" t="str">
        <f>IFERROR(VLOOKUP(B1029,'[1]model_S-フレーム'!$F$5:$R$7000,13,1),"")</f>
        <v>E389460_01</v>
      </c>
      <c r="BL1029" s="7">
        <f>IFERROR(VLOOKUP(B1029,'[1]model_S-フレーム'!$F$5:$V$7000,17,1),"")</f>
        <v>0</v>
      </c>
      <c r="BM1029" t="str" cm="1">
        <f t="array" ref="BM1029">_xlfn.IFS(LEFT(G1029,1)="L","外注品",LEFT(G1029,1)="W","内製品",G1029="","購買品")</f>
        <v>内製品</v>
      </c>
    </row>
    <row r="1030" spans="1:65">
      <c r="A1030" t="str">
        <f t="shared" si="163"/>
        <v>WG01</v>
      </c>
      <c r="B1030" t="s">
        <v>1183</v>
      </c>
      <c r="C1030" t="s">
        <v>1523</v>
      </c>
      <c r="D1030" s="7"/>
      <c r="E1030" s="7"/>
      <c r="G1030" t="s">
        <v>1939</v>
      </c>
      <c r="H1030" t="str" cm="1">
        <f t="array" ref="H1030">IFERROR(_xlfn.IFS(B1030="","",AND(B1030="",G1030=""),"",G1030="","記載要"),"")</f>
        <v/>
      </c>
      <c r="K1030" t="str">
        <f t="shared" si="164"/>
        <v>11WP01008593</v>
      </c>
      <c r="L1030" s="3" t="str">
        <f t="shared" si="165"/>
        <v>2001/01/01</v>
      </c>
      <c r="M1030" s="3" t="str">
        <f t="shared" si="166"/>
        <v>2199/12/31</v>
      </c>
      <c r="N1030" t="str">
        <f t="shared" si="167"/>
        <v>11WP01008593</v>
      </c>
      <c r="O1030">
        <v>15</v>
      </c>
      <c r="Q1030" t="str" cm="1">
        <f t="array" ref="Q1030">_xlfn.IFS(AND(C1030="",G1030=""),"",LEFT(G1030,1)="L","記載要",LEFT(G1030,1)="W","",AND(C1030,G1030=""),"記載要")</f>
        <v/>
      </c>
      <c r="R1030" s="21" t="str">
        <f t="shared" si="172"/>
        <v/>
      </c>
      <c r="S1030" s="21"/>
      <c r="Z1030" s="8"/>
      <c r="AA1030">
        <v>1</v>
      </c>
      <c r="AB1030">
        <f t="shared" si="168"/>
        <v>0</v>
      </c>
      <c r="AC1030">
        <v>1</v>
      </c>
      <c r="AF1030">
        <v>1</v>
      </c>
      <c r="AG1030" s="8"/>
      <c r="AH1030" s="8"/>
      <c r="AK1030" cm="1">
        <f t="array" ref="AK1030">_xlfn.IFS(B1030="","",LEFT(G1030,1)="L",1,LEFT(G1030,1)="W",1,AND(LEFT(B1030,1)="H",G1030=""),0)</f>
        <v>1</v>
      </c>
      <c r="AS1030" t="str">
        <f t="shared" si="169"/>
        <v/>
      </c>
      <c r="AT1030" t="s">
        <v>115</v>
      </c>
      <c r="AU1030" t="str">
        <f t="shared" si="170"/>
        <v>0</v>
      </c>
      <c r="BD1030" t="str">
        <f t="shared" si="171"/>
        <v>0</v>
      </c>
      <c r="BK1030" t="str">
        <f>IFERROR(VLOOKUP(B1030,'[1]model_S-フレーム'!$F$5:$R$7000,13,1),"")</f>
        <v>E389460_01</v>
      </c>
      <c r="BL1030" s="7">
        <f>IFERROR(VLOOKUP(B1030,'[1]model_S-フレーム'!$F$5:$V$7000,17,1),"")</f>
        <v>0</v>
      </c>
      <c r="BM1030" t="str" cm="1">
        <f t="array" ref="BM1030">_xlfn.IFS(LEFT(G1030,1)="L","外注品",LEFT(G1030,1)="W","内製品",G1030="","購買品")</f>
        <v>内製品</v>
      </c>
    </row>
    <row r="1031" spans="1:65">
      <c r="A1031" t="str">
        <f t="shared" si="163"/>
        <v>WG01</v>
      </c>
      <c r="B1031" t="s">
        <v>1184</v>
      </c>
      <c r="C1031" t="s">
        <v>1523</v>
      </c>
      <c r="D1031" s="7"/>
      <c r="E1031" s="7"/>
      <c r="G1031" t="s">
        <v>1939</v>
      </c>
      <c r="H1031" t="str" cm="1">
        <f t="array" ref="H1031">IFERROR(_xlfn.IFS(B1031="","",AND(B1031="",G1031=""),"",G1031="","記載要"),"")</f>
        <v/>
      </c>
      <c r="K1031" t="str">
        <f t="shared" si="164"/>
        <v>11WP01008594</v>
      </c>
      <c r="L1031" s="3" t="str">
        <f t="shared" si="165"/>
        <v>2001/01/01</v>
      </c>
      <c r="M1031" s="3" t="str">
        <f t="shared" si="166"/>
        <v>2199/12/31</v>
      </c>
      <c r="N1031" t="str">
        <f t="shared" si="167"/>
        <v>11WP01008594</v>
      </c>
      <c r="O1031">
        <v>15</v>
      </c>
      <c r="Q1031" t="str" cm="1">
        <f t="array" ref="Q1031">_xlfn.IFS(AND(C1031="",G1031=""),"",LEFT(G1031,1)="L","記載要",LEFT(G1031,1)="W","",AND(C1031,G1031=""),"記載要")</f>
        <v/>
      </c>
      <c r="R1031" s="21" t="str">
        <f t="shared" si="172"/>
        <v/>
      </c>
      <c r="S1031" s="21"/>
      <c r="Z1031" s="8"/>
      <c r="AA1031">
        <v>1</v>
      </c>
      <c r="AB1031">
        <f t="shared" si="168"/>
        <v>0</v>
      </c>
      <c r="AC1031">
        <v>1</v>
      </c>
      <c r="AF1031">
        <v>1</v>
      </c>
      <c r="AG1031" s="8"/>
      <c r="AH1031" s="8"/>
      <c r="AK1031" cm="1">
        <f t="array" ref="AK1031">_xlfn.IFS(B1031="","",LEFT(G1031,1)="L",1,LEFT(G1031,1)="W",1,AND(LEFT(B1031,1)="H",G1031=""),0)</f>
        <v>1</v>
      </c>
      <c r="AS1031" t="str">
        <f t="shared" si="169"/>
        <v/>
      </c>
      <c r="AT1031" t="s">
        <v>115</v>
      </c>
      <c r="AU1031" t="str">
        <f t="shared" si="170"/>
        <v>0</v>
      </c>
      <c r="BD1031" t="str">
        <f t="shared" si="171"/>
        <v>0</v>
      </c>
      <c r="BK1031" t="str">
        <f>IFERROR(VLOOKUP(B1031,'[1]model_S-フレーム'!$F$5:$R$7000,13,1),"")</f>
        <v>E389460_01</v>
      </c>
      <c r="BL1031" s="7">
        <f>IFERROR(VLOOKUP(B1031,'[1]model_S-フレーム'!$F$5:$V$7000,17,1),"")</f>
        <v>0</v>
      </c>
      <c r="BM1031" t="str" cm="1">
        <f t="array" ref="BM1031">_xlfn.IFS(LEFT(G1031,1)="L","外注品",LEFT(G1031,1)="W","内製品",G1031="","購買品")</f>
        <v>内製品</v>
      </c>
    </row>
    <row r="1032" spans="1:65">
      <c r="A1032" t="str">
        <f t="shared" si="163"/>
        <v>WG01</v>
      </c>
      <c r="B1032" t="s">
        <v>1185</v>
      </c>
      <c r="C1032" t="s">
        <v>1523</v>
      </c>
      <c r="D1032" s="7"/>
      <c r="E1032" s="7"/>
      <c r="G1032" t="s">
        <v>1939</v>
      </c>
      <c r="H1032" t="str" cm="1">
        <f t="array" ref="H1032">IFERROR(_xlfn.IFS(B1032="","",AND(B1032="",G1032=""),"",G1032="","記載要"),"")</f>
        <v/>
      </c>
      <c r="K1032" t="str">
        <f t="shared" si="164"/>
        <v>11WP01008595</v>
      </c>
      <c r="L1032" s="3" t="str">
        <f t="shared" si="165"/>
        <v>2001/01/01</v>
      </c>
      <c r="M1032" s="3" t="str">
        <f t="shared" si="166"/>
        <v>2199/12/31</v>
      </c>
      <c r="N1032" t="str">
        <f t="shared" si="167"/>
        <v>11WP01008595</v>
      </c>
      <c r="O1032">
        <v>15</v>
      </c>
      <c r="Q1032" t="str" cm="1">
        <f t="array" ref="Q1032">_xlfn.IFS(AND(C1032="",G1032=""),"",LEFT(G1032,1)="L","記載要",LEFT(G1032,1)="W","",AND(C1032,G1032=""),"記載要")</f>
        <v/>
      </c>
      <c r="R1032" s="21" t="str">
        <f t="shared" si="172"/>
        <v/>
      </c>
      <c r="S1032" s="21"/>
      <c r="Z1032" s="8"/>
      <c r="AA1032">
        <v>1</v>
      </c>
      <c r="AB1032">
        <f t="shared" si="168"/>
        <v>0</v>
      </c>
      <c r="AC1032">
        <v>1</v>
      </c>
      <c r="AF1032">
        <v>1</v>
      </c>
      <c r="AG1032" s="8"/>
      <c r="AH1032" s="8"/>
      <c r="AK1032" cm="1">
        <f t="array" ref="AK1032">_xlfn.IFS(B1032="","",LEFT(G1032,1)="L",1,LEFT(G1032,1)="W",1,AND(LEFT(B1032,1)="H",G1032=""),0)</f>
        <v>1</v>
      </c>
      <c r="AS1032" t="str">
        <f t="shared" si="169"/>
        <v/>
      </c>
      <c r="AT1032" t="s">
        <v>115</v>
      </c>
      <c r="AU1032" t="str">
        <f t="shared" si="170"/>
        <v>0</v>
      </c>
      <c r="BD1032" t="str">
        <f t="shared" si="171"/>
        <v>0</v>
      </c>
      <c r="BK1032" t="str">
        <f>IFERROR(VLOOKUP(B1032,'[1]model_S-フレーム'!$F$5:$R$7000,13,1),"")</f>
        <v>E389460_01</v>
      </c>
      <c r="BL1032" s="7">
        <f>IFERROR(VLOOKUP(B1032,'[1]model_S-フレーム'!$F$5:$V$7000,17,1),"")</f>
        <v>0</v>
      </c>
      <c r="BM1032" t="str" cm="1">
        <f t="array" ref="BM1032">_xlfn.IFS(LEFT(G1032,1)="L","外注品",LEFT(G1032,1)="W","内製品",G1032="","購買品")</f>
        <v>内製品</v>
      </c>
    </row>
    <row r="1033" spans="1:65">
      <c r="A1033" t="str">
        <f t="shared" si="163"/>
        <v>WG01</v>
      </c>
      <c r="B1033" t="s">
        <v>1186</v>
      </c>
      <c r="C1033" t="s">
        <v>1523</v>
      </c>
      <c r="D1033" s="7"/>
      <c r="E1033" s="7"/>
      <c r="G1033" t="s">
        <v>1939</v>
      </c>
      <c r="H1033" t="str" cm="1">
        <f t="array" ref="H1033">IFERROR(_xlfn.IFS(B1033="","",AND(B1033="",G1033=""),"",G1033="","記載要"),"")</f>
        <v/>
      </c>
      <c r="K1033" t="str">
        <f t="shared" si="164"/>
        <v>11WP01008596</v>
      </c>
      <c r="L1033" s="3" t="str">
        <f t="shared" si="165"/>
        <v>2001/01/01</v>
      </c>
      <c r="M1033" s="3" t="str">
        <f t="shared" si="166"/>
        <v>2199/12/31</v>
      </c>
      <c r="N1033" t="str">
        <f t="shared" si="167"/>
        <v>11WP01008596</v>
      </c>
      <c r="O1033">
        <v>15</v>
      </c>
      <c r="Q1033" t="str" cm="1">
        <f t="array" ref="Q1033">_xlfn.IFS(AND(C1033="",G1033=""),"",LEFT(G1033,1)="L","記載要",LEFT(G1033,1)="W","",AND(C1033,G1033=""),"記載要")</f>
        <v/>
      </c>
      <c r="R1033" s="21" t="str">
        <f t="shared" si="172"/>
        <v/>
      </c>
      <c r="S1033" s="21"/>
      <c r="Z1033" s="8"/>
      <c r="AA1033">
        <v>1</v>
      </c>
      <c r="AB1033">
        <f t="shared" si="168"/>
        <v>0</v>
      </c>
      <c r="AC1033">
        <v>1</v>
      </c>
      <c r="AF1033">
        <v>1</v>
      </c>
      <c r="AG1033" s="8"/>
      <c r="AH1033" s="8"/>
      <c r="AK1033" cm="1">
        <f t="array" ref="AK1033">_xlfn.IFS(B1033="","",LEFT(G1033,1)="L",1,LEFT(G1033,1)="W",1,AND(LEFT(B1033,1)="H",G1033=""),0)</f>
        <v>1</v>
      </c>
      <c r="AS1033" t="str">
        <f t="shared" si="169"/>
        <v/>
      </c>
      <c r="AT1033" t="s">
        <v>115</v>
      </c>
      <c r="AU1033" t="str">
        <f t="shared" si="170"/>
        <v>0</v>
      </c>
      <c r="BD1033" t="str">
        <f t="shared" si="171"/>
        <v>0</v>
      </c>
      <c r="BK1033" t="str">
        <f>IFERROR(VLOOKUP(B1033,'[1]model_S-フレーム'!$F$5:$R$7000,13,1),"")</f>
        <v>E389460_01</v>
      </c>
      <c r="BL1033" s="7">
        <f>IFERROR(VLOOKUP(B1033,'[1]model_S-フレーム'!$F$5:$V$7000,17,1),"")</f>
        <v>0</v>
      </c>
      <c r="BM1033" t="str" cm="1">
        <f t="array" ref="BM1033">_xlfn.IFS(LEFT(G1033,1)="L","外注品",LEFT(G1033,1)="W","内製品",G1033="","購買品")</f>
        <v>内製品</v>
      </c>
    </row>
    <row r="1034" spans="1:65">
      <c r="A1034" t="str">
        <f t="shared" si="163"/>
        <v>WG01</v>
      </c>
      <c r="B1034" t="s">
        <v>1187</v>
      </c>
      <c r="C1034" t="s">
        <v>1523</v>
      </c>
      <c r="D1034" s="7"/>
      <c r="E1034" s="7"/>
      <c r="G1034" t="s">
        <v>1939</v>
      </c>
      <c r="H1034" t="str" cm="1">
        <f t="array" ref="H1034">IFERROR(_xlfn.IFS(B1034="","",AND(B1034="",G1034=""),"",G1034="","記載要"),"")</f>
        <v/>
      </c>
      <c r="K1034" t="str">
        <f t="shared" si="164"/>
        <v>11WP01008597</v>
      </c>
      <c r="L1034" s="3" t="str">
        <f t="shared" si="165"/>
        <v>2001/01/01</v>
      </c>
      <c r="M1034" s="3" t="str">
        <f t="shared" si="166"/>
        <v>2199/12/31</v>
      </c>
      <c r="N1034" t="str">
        <f t="shared" si="167"/>
        <v>11WP01008597</v>
      </c>
      <c r="O1034">
        <v>15</v>
      </c>
      <c r="Q1034" t="str" cm="1">
        <f t="array" ref="Q1034">_xlfn.IFS(AND(C1034="",G1034=""),"",LEFT(G1034,1)="L","記載要",LEFT(G1034,1)="W","",AND(C1034,G1034=""),"記載要")</f>
        <v/>
      </c>
      <c r="R1034" s="21" t="str">
        <f t="shared" si="172"/>
        <v/>
      </c>
      <c r="S1034" s="21"/>
      <c r="Z1034" s="8"/>
      <c r="AA1034">
        <v>1</v>
      </c>
      <c r="AB1034">
        <f t="shared" si="168"/>
        <v>0</v>
      </c>
      <c r="AC1034">
        <v>1</v>
      </c>
      <c r="AF1034">
        <v>1</v>
      </c>
      <c r="AG1034" s="8"/>
      <c r="AH1034" s="8"/>
      <c r="AK1034" cm="1">
        <f t="array" ref="AK1034">_xlfn.IFS(B1034="","",LEFT(G1034,1)="L",1,LEFT(G1034,1)="W",1,AND(LEFT(B1034,1)="H",G1034=""),0)</f>
        <v>1</v>
      </c>
      <c r="AS1034" t="str">
        <f t="shared" si="169"/>
        <v/>
      </c>
      <c r="AT1034" t="s">
        <v>115</v>
      </c>
      <c r="AU1034" t="str">
        <f t="shared" si="170"/>
        <v>0</v>
      </c>
      <c r="BD1034" t="str">
        <f t="shared" si="171"/>
        <v>0</v>
      </c>
      <c r="BK1034" t="str">
        <f>IFERROR(VLOOKUP(B1034,'[1]model_S-フレーム'!$F$5:$R$7000,13,1),"")</f>
        <v>E389460_01</v>
      </c>
      <c r="BL1034" s="7">
        <f>IFERROR(VLOOKUP(B1034,'[1]model_S-フレーム'!$F$5:$V$7000,17,1),"")</f>
        <v>0</v>
      </c>
      <c r="BM1034" t="str" cm="1">
        <f t="array" ref="BM1034">_xlfn.IFS(LEFT(G1034,1)="L","外注品",LEFT(G1034,1)="W","内製品",G1034="","購買品")</f>
        <v>内製品</v>
      </c>
    </row>
    <row r="1035" spans="1:65">
      <c r="A1035" t="str">
        <f t="shared" si="163"/>
        <v>WG01</v>
      </c>
      <c r="B1035" t="s">
        <v>1188</v>
      </c>
      <c r="C1035" t="s">
        <v>1523</v>
      </c>
      <c r="D1035" s="7"/>
      <c r="E1035" s="7"/>
      <c r="G1035" t="s">
        <v>1939</v>
      </c>
      <c r="H1035" t="str" cm="1">
        <f t="array" ref="H1035">IFERROR(_xlfn.IFS(B1035="","",AND(B1035="",G1035=""),"",G1035="","記載要"),"")</f>
        <v/>
      </c>
      <c r="K1035" t="str">
        <f t="shared" si="164"/>
        <v>11WP01008598</v>
      </c>
      <c r="L1035" s="3" t="str">
        <f t="shared" si="165"/>
        <v>2001/01/01</v>
      </c>
      <c r="M1035" s="3" t="str">
        <f t="shared" si="166"/>
        <v>2199/12/31</v>
      </c>
      <c r="N1035" t="str">
        <f t="shared" si="167"/>
        <v>11WP01008598</v>
      </c>
      <c r="O1035">
        <v>15</v>
      </c>
      <c r="Q1035" t="str" cm="1">
        <f t="array" ref="Q1035">_xlfn.IFS(AND(C1035="",G1035=""),"",LEFT(G1035,1)="L","記載要",LEFT(G1035,1)="W","",AND(C1035,G1035=""),"記載要")</f>
        <v/>
      </c>
      <c r="R1035" s="21" t="str">
        <f t="shared" si="172"/>
        <v/>
      </c>
      <c r="S1035" s="21"/>
      <c r="Z1035" s="8"/>
      <c r="AA1035">
        <v>1</v>
      </c>
      <c r="AB1035">
        <f t="shared" si="168"/>
        <v>0</v>
      </c>
      <c r="AC1035">
        <v>1</v>
      </c>
      <c r="AF1035">
        <v>1</v>
      </c>
      <c r="AG1035" s="8"/>
      <c r="AH1035" s="8"/>
      <c r="AK1035" cm="1">
        <f t="array" ref="AK1035">_xlfn.IFS(B1035="","",LEFT(G1035,1)="L",1,LEFT(G1035,1)="W",1,AND(LEFT(B1035,1)="H",G1035=""),0)</f>
        <v>1</v>
      </c>
      <c r="AS1035" t="str">
        <f t="shared" si="169"/>
        <v/>
      </c>
      <c r="AT1035" t="s">
        <v>115</v>
      </c>
      <c r="AU1035" t="str">
        <f t="shared" si="170"/>
        <v>0</v>
      </c>
      <c r="BD1035" t="str">
        <f t="shared" si="171"/>
        <v>0</v>
      </c>
      <c r="BK1035" t="str">
        <f>IFERROR(VLOOKUP(B1035,'[1]model_S-フレーム'!$F$5:$R$7000,13,1),"")</f>
        <v>E389460_01</v>
      </c>
      <c r="BL1035" s="7">
        <f>IFERROR(VLOOKUP(B1035,'[1]model_S-フレーム'!$F$5:$V$7000,17,1),"")</f>
        <v>0</v>
      </c>
      <c r="BM1035" t="str" cm="1">
        <f t="array" ref="BM1035">_xlfn.IFS(LEFT(G1035,1)="L","外注品",LEFT(G1035,1)="W","内製品",G1035="","購買品")</f>
        <v>内製品</v>
      </c>
    </row>
    <row r="1036" spans="1:65">
      <c r="A1036" t="str">
        <f t="shared" si="163"/>
        <v>WG01</v>
      </c>
      <c r="B1036" t="s">
        <v>1189</v>
      </c>
      <c r="C1036" t="s">
        <v>1523</v>
      </c>
      <c r="D1036" s="7"/>
      <c r="E1036" s="7"/>
      <c r="G1036" t="s">
        <v>1939</v>
      </c>
      <c r="H1036" t="str" cm="1">
        <f t="array" ref="H1036">IFERROR(_xlfn.IFS(B1036="","",AND(B1036="",G1036=""),"",G1036="","記載要"),"")</f>
        <v/>
      </c>
      <c r="K1036" t="str">
        <f t="shared" si="164"/>
        <v>11WP01008599</v>
      </c>
      <c r="L1036" s="3" t="str">
        <f t="shared" si="165"/>
        <v>2001/01/01</v>
      </c>
      <c r="M1036" s="3" t="str">
        <f t="shared" si="166"/>
        <v>2199/12/31</v>
      </c>
      <c r="N1036" t="str">
        <f t="shared" si="167"/>
        <v>11WP01008599</v>
      </c>
      <c r="O1036">
        <v>15</v>
      </c>
      <c r="Q1036" t="str" cm="1">
        <f t="array" ref="Q1036">_xlfn.IFS(AND(C1036="",G1036=""),"",LEFT(G1036,1)="L","記載要",LEFT(G1036,1)="W","",AND(C1036,G1036=""),"記載要")</f>
        <v/>
      </c>
      <c r="R1036" s="21" t="str">
        <f t="shared" si="172"/>
        <v/>
      </c>
      <c r="S1036" s="21"/>
      <c r="Z1036" s="8"/>
      <c r="AA1036">
        <v>1</v>
      </c>
      <c r="AB1036">
        <f t="shared" si="168"/>
        <v>0</v>
      </c>
      <c r="AC1036">
        <v>1</v>
      </c>
      <c r="AF1036">
        <v>1</v>
      </c>
      <c r="AG1036" s="8"/>
      <c r="AH1036" s="8"/>
      <c r="AK1036" cm="1">
        <f t="array" ref="AK1036">_xlfn.IFS(B1036="","",LEFT(G1036,1)="L",1,LEFT(G1036,1)="W",1,AND(LEFT(B1036,1)="H",G1036=""),0)</f>
        <v>1</v>
      </c>
      <c r="AS1036" t="str">
        <f t="shared" si="169"/>
        <v/>
      </c>
      <c r="AT1036" t="s">
        <v>115</v>
      </c>
      <c r="AU1036" t="str">
        <f t="shared" si="170"/>
        <v>0</v>
      </c>
      <c r="BD1036" t="str">
        <f t="shared" si="171"/>
        <v>0</v>
      </c>
      <c r="BK1036" t="str">
        <f>IFERROR(VLOOKUP(B1036,'[1]model_S-フレーム'!$F$5:$R$7000,13,1),"")</f>
        <v>E389460_01</v>
      </c>
      <c r="BL1036" s="7">
        <f>IFERROR(VLOOKUP(B1036,'[1]model_S-フレーム'!$F$5:$V$7000,17,1),"")</f>
        <v>0</v>
      </c>
      <c r="BM1036" t="str" cm="1">
        <f t="array" ref="BM1036">_xlfn.IFS(LEFT(G1036,1)="L","外注品",LEFT(G1036,1)="W","内製品",G1036="","購買品")</f>
        <v>内製品</v>
      </c>
    </row>
    <row r="1037" spans="1:65">
      <c r="A1037" t="str">
        <f t="shared" si="163"/>
        <v>WG01</v>
      </c>
      <c r="B1037" t="s">
        <v>1190</v>
      </c>
      <c r="C1037" t="s">
        <v>1523</v>
      </c>
      <c r="D1037" s="7"/>
      <c r="E1037" s="7"/>
      <c r="G1037" t="s">
        <v>1939</v>
      </c>
      <c r="H1037" t="str" cm="1">
        <f t="array" ref="H1037">IFERROR(_xlfn.IFS(B1037="","",AND(B1037="",G1037=""),"",G1037="","記載要"),"")</f>
        <v/>
      </c>
      <c r="K1037" t="str">
        <f t="shared" si="164"/>
        <v>11WP01008600</v>
      </c>
      <c r="L1037" s="3" t="str">
        <f t="shared" si="165"/>
        <v>2001/01/01</v>
      </c>
      <c r="M1037" s="3" t="str">
        <f t="shared" si="166"/>
        <v>2199/12/31</v>
      </c>
      <c r="N1037" t="str">
        <f t="shared" si="167"/>
        <v>11WP01008600</v>
      </c>
      <c r="O1037">
        <v>15</v>
      </c>
      <c r="Q1037" t="str" cm="1">
        <f t="array" ref="Q1037">_xlfn.IFS(AND(C1037="",G1037=""),"",LEFT(G1037,1)="L","記載要",LEFT(G1037,1)="W","",AND(C1037,G1037=""),"記載要")</f>
        <v/>
      </c>
      <c r="R1037" s="21" t="str">
        <f t="shared" si="172"/>
        <v/>
      </c>
      <c r="S1037" s="21"/>
      <c r="Z1037" s="8"/>
      <c r="AA1037">
        <v>1</v>
      </c>
      <c r="AB1037">
        <f t="shared" si="168"/>
        <v>0</v>
      </c>
      <c r="AC1037">
        <v>1</v>
      </c>
      <c r="AF1037">
        <v>1</v>
      </c>
      <c r="AG1037" s="8"/>
      <c r="AH1037" s="8"/>
      <c r="AK1037" cm="1">
        <f t="array" ref="AK1037">_xlfn.IFS(B1037="","",LEFT(G1037,1)="L",1,LEFT(G1037,1)="W",1,AND(LEFT(B1037,1)="H",G1037=""),0)</f>
        <v>1</v>
      </c>
      <c r="AS1037" t="str">
        <f t="shared" si="169"/>
        <v/>
      </c>
      <c r="AT1037" t="s">
        <v>115</v>
      </c>
      <c r="AU1037" t="str">
        <f t="shared" si="170"/>
        <v>0</v>
      </c>
      <c r="BD1037" t="str">
        <f t="shared" si="171"/>
        <v>0</v>
      </c>
      <c r="BK1037" t="str">
        <f>IFERROR(VLOOKUP(B1037,'[1]model_S-フレーム'!$F$5:$R$7000,13,1),"")</f>
        <v>E389460_01</v>
      </c>
      <c r="BL1037" s="7">
        <f>IFERROR(VLOOKUP(B1037,'[1]model_S-フレーム'!$F$5:$V$7000,17,1),"")</f>
        <v>0</v>
      </c>
      <c r="BM1037" t="str" cm="1">
        <f t="array" ref="BM1037">_xlfn.IFS(LEFT(G1037,1)="L","外注品",LEFT(G1037,1)="W","内製品",G1037="","購買品")</f>
        <v>内製品</v>
      </c>
    </row>
    <row r="1038" spans="1:65">
      <c r="A1038" t="str">
        <f t="shared" si="163"/>
        <v>WG01</v>
      </c>
      <c r="B1038" t="s">
        <v>1191</v>
      </c>
      <c r="C1038" t="s">
        <v>1523</v>
      </c>
      <c r="D1038" s="7"/>
      <c r="E1038" s="7"/>
      <c r="G1038" t="s">
        <v>1939</v>
      </c>
      <c r="H1038" t="str" cm="1">
        <f t="array" ref="H1038">IFERROR(_xlfn.IFS(B1038="","",AND(B1038="",G1038=""),"",G1038="","記載要"),"")</f>
        <v/>
      </c>
      <c r="K1038" t="str">
        <f t="shared" si="164"/>
        <v>11WP01008601</v>
      </c>
      <c r="L1038" s="3" t="str">
        <f t="shared" si="165"/>
        <v>2001/01/01</v>
      </c>
      <c r="M1038" s="3" t="str">
        <f t="shared" si="166"/>
        <v>2199/12/31</v>
      </c>
      <c r="N1038" t="str">
        <f t="shared" si="167"/>
        <v>11WP01008601</v>
      </c>
      <c r="O1038">
        <v>15</v>
      </c>
      <c r="Q1038" t="str" cm="1">
        <f t="array" ref="Q1038">_xlfn.IFS(AND(C1038="",G1038=""),"",LEFT(G1038,1)="L","記載要",LEFT(G1038,1)="W","",AND(C1038,G1038=""),"記載要")</f>
        <v/>
      </c>
      <c r="R1038" s="21" t="str">
        <f t="shared" si="172"/>
        <v/>
      </c>
      <c r="S1038" s="21"/>
      <c r="Z1038" s="8"/>
      <c r="AA1038">
        <v>1</v>
      </c>
      <c r="AB1038">
        <f t="shared" si="168"/>
        <v>0</v>
      </c>
      <c r="AC1038">
        <v>1</v>
      </c>
      <c r="AF1038">
        <v>1</v>
      </c>
      <c r="AG1038" s="8"/>
      <c r="AH1038" s="8"/>
      <c r="AK1038" cm="1">
        <f t="array" ref="AK1038">_xlfn.IFS(B1038="","",LEFT(G1038,1)="L",1,LEFT(G1038,1)="W",1,AND(LEFT(B1038,1)="H",G1038=""),0)</f>
        <v>1</v>
      </c>
      <c r="AS1038" t="str">
        <f t="shared" si="169"/>
        <v/>
      </c>
      <c r="AT1038" t="s">
        <v>115</v>
      </c>
      <c r="AU1038" t="str">
        <f t="shared" si="170"/>
        <v>0</v>
      </c>
      <c r="BD1038" t="str">
        <f t="shared" si="171"/>
        <v>0</v>
      </c>
      <c r="BK1038" t="str">
        <f>IFERROR(VLOOKUP(B1038,'[1]model_S-フレーム'!$F$5:$R$7000,13,1),"")</f>
        <v>E389460_01</v>
      </c>
      <c r="BL1038" s="7">
        <f>IFERROR(VLOOKUP(B1038,'[1]model_S-フレーム'!$F$5:$V$7000,17,1),"")</f>
        <v>0</v>
      </c>
      <c r="BM1038" t="str" cm="1">
        <f t="array" ref="BM1038">_xlfn.IFS(LEFT(G1038,1)="L","外注品",LEFT(G1038,1)="W","内製品",G1038="","購買品")</f>
        <v>内製品</v>
      </c>
    </row>
    <row r="1039" spans="1:65">
      <c r="A1039" t="str">
        <f t="shared" si="163"/>
        <v>WG01</v>
      </c>
      <c r="B1039" t="s">
        <v>1192</v>
      </c>
      <c r="C1039" t="s">
        <v>1523</v>
      </c>
      <c r="D1039" s="7"/>
      <c r="E1039" s="7"/>
      <c r="G1039" t="s">
        <v>1939</v>
      </c>
      <c r="H1039" t="str" cm="1">
        <f t="array" ref="H1039">IFERROR(_xlfn.IFS(B1039="","",AND(B1039="",G1039=""),"",G1039="","記載要"),"")</f>
        <v/>
      </c>
      <c r="K1039" t="str">
        <f t="shared" si="164"/>
        <v>11WP01008602</v>
      </c>
      <c r="L1039" s="3" t="str">
        <f t="shared" si="165"/>
        <v>2001/01/01</v>
      </c>
      <c r="M1039" s="3" t="str">
        <f t="shared" si="166"/>
        <v>2199/12/31</v>
      </c>
      <c r="N1039" t="str">
        <f t="shared" si="167"/>
        <v>11WP01008602</v>
      </c>
      <c r="O1039">
        <v>15</v>
      </c>
      <c r="Q1039" t="str" cm="1">
        <f t="array" ref="Q1039">_xlfn.IFS(AND(C1039="",G1039=""),"",LEFT(G1039,1)="L","記載要",LEFT(G1039,1)="W","",AND(C1039,G1039=""),"記載要")</f>
        <v/>
      </c>
      <c r="R1039" s="21" t="str">
        <f t="shared" si="172"/>
        <v/>
      </c>
      <c r="S1039" s="21"/>
      <c r="Z1039" s="8"/>
      <c r="AA1039">
        <v>1</v>
      </c>
      <c r="AB1039">
        <f t="shared" si="168"/>
        <v>0</v>
      </c>
      <c r="AC1039">
        <v>1</v>
      </c>
      <c r="AF1039">
        <v>1</v>
      </c>
      <c r="AG1039" s="8"/>
      <c r="AH1039" s="8"/>
      <c r="AK1039" cm="1">
        <f t="array" ref="AK1039">_xlfn.IFS(B1039="","",LEFT(G1039,1)="L",1,LEFT(G1039,1)="W",1,AND(LEFT(B1039,1)="H",G1039=""),0)</f>
        <v>1</v>
      </c>
      <c r="AS1039" t="str">
        <f t="shared" si="169"/>
        <v/>
      </c>
      <c r="AT1039" t="s">
        <v>115</v>
      </c>
      <c r="AU1039" t="str">
        <f t="shared" si="170"/>
        <v>0</v>
      </c>
      <c r="BD1039" t="str">
        <f t="shared" si="171"/>
        <v>0</v>
      </c>
      <c r="BK1039" t="str">
        <f>IFERROR(VLOOKUP(B1039,'[1]model_S-フレーム'!$F$5:$R$7000,13,1),"")</f>
        <v>E389460_01</v>
      </c>
      <c r="BL1039" s="7">
        <f>IFERROR(VLOOKUP(B1039,'[1]model_S-フレーム'!$F$5:$V$7000,17,1),"")</f>
        <v>0</v>
      </c>
      <c r="BM1039" t="str" cm="1">
        <f t="array" ref="BM1039">_xlfn.IFS(LEFT(G1039,1)="L","外注品",LEFT(G1039,1)="W","内製品",G1039="","購買品")</f>
        <v>内製品</v>
      </c>
    </row>
    <row r="1040" spans="1:65">
      <c r="A1040" t="str">
        <f t="shared" si="163"/>
        <v>WG01</v>
      </c>
      <c r="B1040" t="s">
        <v>1193</v>
      </c>
      <c r="C1040" t="s">
        <v>1523</v>
      </c>
      <c r="D1040" s="7"/>
      <c r="E1040" s="7"/>
      <c r="G1040" t="s">
        <v>1939</v>
      </c>
      <c r="H1040" t="str" cm="1">
        <f t="array" ref="H1040">IFERROR(_xlfn.IFS(B1040="","",AND(B1040="",G1040=""),"",G1040="","記載要"),"")</f>
        <v/>
      </c>
      <c r="K1040" t="str">
        <f t="shared" si="164"/>
        <v>11WP01008603</v>
      </c>
      <c r="L1040" s="3" t="str">
        <f t="shared" si="165"/>
        <v>2001/01/01</v>
      </c>
      <c r="M1040" s="3" t="str">
        <f t="shared" si="166"/>
        <v>2199/12/31</v>
      </c>
      <c r="N1040" t="str">
        <f t="shared" si="167"/>
        <v>11WP01008603</v>
      </c>
      <c r="O1040">
        <v>15</v>
      </c>
      <c r="Q1040" t="str" cm="1">
        <f t="array" ref="Q1040">_xlfn.IFS(AND(C1040="",G1040=""),"",LEFT(G1040,1)="L","記載要",LEFT(G1040,1)="W","",AND(C1040,G1040=""),"記載要")</f>
        <v/>
      </c>
      <c r="R1040" s="21" t="str">
        <f t="shared" si="172"/>
        <v/>
      </c>
      <c r="S1040" s="21"/>
      <c r="Z1040" s="8"/>
      <c r="AA1040">
        <v>1</v>
      </c>
      <c r="AB1040">
        <f t="shared" si="168"/>
        <v>0</v>
      </c>
      <c r="AC1040">
        <v>1</v>
      </c>
      <c r="AF1040">
        <v>1</v>
      </c>
      <c r="AG1040" s="8"/>
      <c r="AH1040" s="8"/>
      <c r="AK1040" cm="1">
        <f t="array" ref="AK1040">_xlfn.IFS(B1040="","",LEFT(G1040,1)="L",1,LEFT(G1040,1)="W",1,AND(LEFT(B1040,1)="H",G1040=""),0)</f>
        <v>1</v>
      </c>
      <c r="AS1040" t="str">
        <f t="shared" si="169"/>
        <v/>
      </c>
      <c r="AT1040" t="s">
        <v>115</v>
      </c>
      <c r="AU1040" t="str">
        <f t="shared" si="170"/>
        <v>0</v>
      </c>
      <c r="BD1040" t="str">
        <f t="shared" si="171"/>
        <v>0</v>
      </c>
      <c r="BK1040" t="str">
        <f>IFERROR(VLOOKUP(B1040,'[1]model_S-フレーム'!$F$5:$R$7000,13,1),"")</f>
        <v>E389460_01</v>
      </c>
      <c r="BL1040" s="7">
        <f>IFERROR(VLOOKUP(B1040,'[1]model_S-フレーム'!$F$5:$V$7000,17,1),"")</f>
        <v>0</v>
      </c>
      <c r="BM1040" t="str" cm="1">
        <f t="array" ref="BM1040">_xlfn.IFS(LEFT(G1040,1)="L","外注品",LEFT(G1040,1)="W","内製品",G1040="","購買品")</f>
        <v>内製品</v>
      </c>
    </row>
    <row r="1041" spans="1:65">
      <c r="A1041" t="str">
        <f t="shared" si="163"/>
        <v>WG01</v>
      </c>
      <c r="B1041" t="s">
        <v>1194</v>
      </c>
      <c r="C1041" t="s">
        <v>1523</v>
      </c>
      <c r="D1041" s="7"/>
      <c r="E1041" s="7"/>
      <c r="G1041" t="s">
        <v>1939</v>
      </c>
      <c r="H1041" t="str" cm="1">
        <f t="array" ref="H1041">IFERROR(_xlfn.IFS(B1041="","",AND(B1041="",G1041=""),"",G1041="","記載要"),"")</f>
        <v/>
      </c>
      <c r="K1041" t="str">
        <f t="shared" si="164"/>
        <v>11WP01008604</v>
      </c>
      <c r="L1041" s="3" t="str">
        <f t="shared" si="165"/>
        <v>2001/01/01</v>
      </c>
      <c r="M1041" s="3" t="str">
        <f t="shared" si="166"/>
        <v>2199/12/31</v>
      </c>
      <c r="N1041" t="str">
        <f t="shared" si="167"/>
        <v>11WP01008604</v>
      </c>
      <c r="O1041">
        <v>15</v>
      </c>
      <c r="Q1041" t="str" cm="1">
        <f t="array" ref="Q1041">_xlfn.IFS(AND(C1041="",G1041=""),"",LEFT(G1041,1)="L","記載要",LEFT(G1041,1)="W","",AND(C1041,G1041=""),"記載要")</f>
        <v/>
      </c>
      <c r="R1041" s="21" t="str">
        <f t="shared" si="172"/>
        <v/>
      </c>
      <c r="S1041" s="21"/>
      <c r="Z1041" s="8"/>
      <c r="AA1041">
        <v>1</v>
      </c>
      <c r="AB1041">
        <f t="shared" si="168"/>
        <v>0</v>
      </c>
      <c r="AC1041">
        <v>1</v>
      </c>
      <c r="AF1041">
        <v>1</v>
      </c>
      <c r="AG1041" s="8"/>
      <c r="AH1041" s="8"/>
      <c r="AK1041" cm="1">
        <f t="array" ref="AK1041">_xlfn.IFS(B1041="","",LEFT(G1041,1)="L",1,LEFT(G1041,1)="W",1,AND(LEFT(B1041,1)="H",G1041=""),0)</f>
        <v>1</v>
      </c>
      <c r="AS1041" t="str">
        <f t="shared" si="169"/>
        <v/>
      </c>
      <c r="AT1041" t="s">
        <v>115</v>
      </c>
      <c r="AU1041" t="str">
        <f t="shared" si="170"/>
        <v>0</v>
      </c>
      <c r="BD1041" t="str">
        <f t="shared" si="171"/>
        <v>0</v>
      </c>
      <c r="BK1041" t="str">
        <f>IFERROR(VLOOKUP(B1041,'[1]model_S-フレーム'!$F$5:$R$7000,13,1),"")</f>
        <v>E389460_01</v>
      </c>
      <c r="BL1041" s="7">
        <f>IFERROR(VLOOKUP(B1041,'[1]model_S-フレーム'!$F$5:$V$7000,17,1),"")</f>
        <v>0</v>
      </c>
      <c r="BM1041" t="str" cm="1">
        <f t="array" ref="BM1041">_xlfn.IFS(LEFT(G1041,1)="L","外注品",LEFT(G1041,1)="W","内製品",G1041="","購買品")</f>
        <v>内製品</v>
      </c>
    </row>
    <row r="1042" spans="1:65">
      <c r="A1042" t="str">
        <f t="shared" si="163"/>
        <v>WG01</v>
      </c>
      <c r="B1042" t="s">
        <v>1195</v>
      </c>
      <c r="C1042" t="s">
        <v>1523</v>
      </c>
      <c r="D1042" s="7"/>
      <c r="E1042" s="7"/>
      <c r="G1042" t="s">
        <v>1939</v>
      </c>
      <c r="H1042" t="str" cm="1">
        <f t="array" ref="H1042">IFERROR(_xlfn.IFS(B1042="","",AND(B1042="",G1042=""),"",G1042="","記載要"),"")</f>
        <v/>
      </c>
      <c r="K1042" t="str">
        <f t="shared" si="164"/>
        <v>11WP01008605</v>
      </c>
      <c r="L1042" s="3" t="str">
        <f t="shared" si="165"/>
        <v>2001/01/01</v>
      </c>
      <c r="M1042" s="3" t="str">
        <f t="shared" si="166"/>
        <v>2199/12/31</v>
      </c>
      <c r="N1042" t="str">
        <f t="shared" si="167"/>
        <v>11WP01008605</v>
      </c>
      <c r="O1042">
        <v>15</v>
      </c>
      <c r="Q1042" t="str" cm="1">
        <f t="array" ref="Q1042">_xlfn.IFS(AND(C1042="",G1042=""),"",LEFT(G1042,1)="L","記載要",LEFT(G1042,1)="W","",AND(C1042,G1042=""),"記載要")</f>
        <v/>
      </c>
      <c r="R1042" s="21" t="str">
        <f t="shared" si="172"/>
        <v/>
      </c>
      <c r="S1042" s="21"/>
      <c r="Z1042" s="8"/>
      <c r="AA1042">
        <v>1</v>
      </c>
      <c r="AB1042">
        <f t="shared" si="168"/>
        <v>0</v>
      </c>
      <c r="AC1042">
        <v>1</v>
      </c>
      <c r="AF1042">
        <v>1</v>
      </c>
      <c r="AG1042" s="8"/>
      <c r="AH1042" s="8"/>
      <c r="AK1042" cm="1">
        <f t="array" ref="AK1042">_xlfn.IFS(B1042="","",LEFT(G1042,1)="L",1,LEFT(G1042,1)="W",1,AND(LEFT(B1042,1)="H",G1042=""),0)</f>
        <v>1</v>
      </c>
      <c r="AS1042" t="str">
        <f t="shared" si="169"/>
        <v/>
      </c>
      <c r="AT1042" t="s">
        <v>115</v>
      </c>
      <c r="AU1042" t="str">
        <f t="shared" si="170"/>
        <v>0</v>
      </c>
      <c r="BD1042" t="str">
        <f t="shared" si="171"/>
        <v>0</v>
      </c>
      <c r="BK1042" t="str">
        <f>IFERROR(VLOOKUP(B1042,'[1]model_S-フレーム'!$F$5:$R$7000,13,1),"")</f>
        <v>E389460_01</v>
      </c>
      <c r="BL1042" s="7">
        <f>IFERROR(VLOOKUP(B1042,'[1]model_S-フレーム'!$F$5:$V$7000,17,1),"")</f>
        <v>0</v>
      </c>
      <c r="BM1042" t="str" cm="1">
        <f t="array" ref="BM1042">_xlfn.IFS(LEFT(G1042,1)="L","外注品",LEFT(G1042,1)="W","内製品",G1042="","購買品")</f>
        <v>内製品</v>
      </c>
    </row>
    <row r="1043" spans="1:65">
      <c r="A1043" t="str">
        <f t="shared" si="163"/>
        <v>WG01</v>
      </c>
      <c r="B1043" t="s">
        <v>1196</v>
      </c>
      <c r="C1043" t="s">
        <v>1523</v>
      </c>
      <c r="D1043" s="7"/>
      <c r="E1043" s="7"/>
      <c r="G1043" t="s">
        <v>1939</v>
      </c>
      <c r="H1043" t="str" cm="1">
        <f t="array" ref="H1043">IFERROR(_xlfn.IFS(B1043="","",AND(B1043="",G1043=""),"",G1043="","記載要"),"")</f>
        <v/>
      </c>
      <c r="K1043" t="str">
        <f t="shared" si="164"/>
        <v>11WP01008606</v>
      </c>
      <c r="L1043" s="3" t="str">
        <f t="shared" si="165"/>
        <v>2001/01/01</v>
      </c>
      <c r="M1043" s="3" t="str">
        <f t="shared" si="166"/>
        <v>2199/12/31</v>
      </c>
      <c r="N1043" t="str">
        <f t="shared" si="167"/>
        <v>11WP01008606</v>
      </c>
      <c r="O1043">
        <v>15</v>
      </c>
      <c r="Q1043" t="str" cm="1">
        <f t="array" ref="Q1043">_xlfn.IFS(AND(C1043="",G1043=""),"",LEFT(G1043,1)="L","記載要",LEFT(G1043,1)="W","",AND(C1043,G1043=""),"記載要")</f>
        <v/>
      </c>
      <c r="R1043" s="21" t="str">
        <f t="shared" si="172"/>
        <v/>
      </c>
      <c r="S1043" s="21"/>
      <c r="Z1043" s="8"/>
      <c r="AA1043">
        <v>1</v>
      </c>
      <c r="AB1043">
        <f t="shared" si="168"/>
        <v>0</v>
      </c>
      <c r="AC1043">
        <v>1</v>
      </c>
      <c r="AF1043">
        <v>1</v>
      </c>
      <c r="AG1043" s="8"/>
      <c r="AH1043" s="8"/>
      <c r="AK1043" cm="1">
        <f t="array" ref="AK1043">_xlfn.IFS(B1043="","",LEFT(G1043,1)="L",1,LEFT(G1043,1)="W",1,AND(LEFT(B1043,1)="H",G1043=""),0)</f>
        <v>1</v>
      </c>
      <c r="AS1043" t="str">
        <f t="shared" si="169"/>
        <v/>
      </c>
      <c r="AT1043" t="s">
        <v>115</v>
      </c>
      <c r="AU1043" t="str">
        <f t="shared" si="170"/>
        <v>0</v>
      </c>
      <c r="BD1043" t="str">
        <f t="shared" si="171"/>
        <v>0</v>
      </c>
      <c r="BK1043" t="str">
        <f>IFERROR(VLOOKUP(B1043,'[1]model_S-フレーム'!$F$5:$R$7000,13,1),"")</f>
        <v>E389460_01</v>
      </c>
      <c r="BL1043" s="7">
        <f>IFERROR(VLOOKUP(B1043,'[1]model_S-フレーム'!$F$5:$V$7000,17,1),"")</f>
        <v>0</v>
      </c>
      <c r="BM1043" t="str" cm="1">
        <f t="array" ref="BM1043">_xlfn.IFS(LEFT(G1043,1)="L","外注品",LEFT(G1043,1)="W","内製品",G1043="","購買品")</f>
        <v>内製品</v>
      </c>
    </row>
    <row r="1044" spans="1:65">
      <c r="A1044" t="str">
        <f t="shared" si="163"/>
        <v>WG01</v>
      </c>
      <c r="B1044" t="s">
        <v>1197</v>
      </c>
      <c r="C1044" t="s">
        <v>1523</v>
      </c>
      <c r="D1044" s="7"/>
      <c r="E1044" s="7"/>
      <c r="G1044" t="s">
        <v>1939</v>
      </c>
      <c r="H1044" t="str" cm="1">
        <f t="array" ref="H1044">IFERROR(_xlfn.IFS(B1044="","",AND(B1044="",G1044=""),"",G1044="","記載要"),"")</f>
        <v/>
      </c>
      <c r="K1044" t="str">
        <f t="shared" si="164"/>
        <v>11WP01008607</v>
      </c>
      <c r="L1044" s="3" t="str">
        <f t="shared" si="165"/>
        <v>2001/01/01</v>
      </c>
      <c r="M1044" s="3" t="str">
        <f t="shared" si="166"/>
        <v>2199/12/31</v>
      </c>
      <c r="N1044" t="str">
        <f t="shared" si="167"/>
        <v>11WP01008607</v>
      </c>
      <c r="O1044">
        <v>15</v>
      </c>
      <c r="Q1044" t="str" cm="1">
        <f t="array" ref="Q1044">_xlfn.IFS(AND(C1044="",G1044=""),"",LEFT(G1044,1)="L","記載要",LEFT(G1044,1)="W","",AND(C1044,G1044=""),"記載要")</f>
        <v/>
      </c>
      <c r="R1044" s="21" t="str">
        <f t="shared" si="172"/>
        <v/>
      </c>
      <c r="S1044" s="21"/>
      <c r="Z1044" s="8"/>
      <c r="AA1044">
        <v>1</v>
      </c>
      <c r="AB1044">
        <f t="shared" si="168"/>
        <v>0</v>
      </c>
      <c r="AC1044">
        <v>1</v>
      </c>
      <c r="AF1044">
        <v>1</v>
      </c>
      <c r="AG1044" s="8"/>
      <c r="AH1044" s="8"/>
      <c r="AK1044" cm="1">
        <f t="array" ref="AK1044">_xlfn.IFS(B1044="","",LEFT(G1044,1)="L",1,LEFT(G1044,1)="W",1,AND(LEFT(B1044,1)="H",G1044=""),0)</f>
        <v>1</v>
      </c>
      <c r="AS1044" t="str">
        <f t="shared" si="169"/>
        <v/>
      </c>
      <c r="AT1044" t="s">
        <v>115</v>
      </c>
      <c r="AU1044" t="str">
        <f t="shared" si="170"/>
        <v>0</v>
      </c>
      <c r="BD1044" t="str">
        <f t="shared" si="171"/>
        <v>0</v>
      </c>
      <c r="BK1044" t="str">
        <f>IFERROR(VLOOKUP(B1044,'[1]model_S-フレーム'!$F$5:$R$7000,13,1),"")</f>
        <v>E389460_01</v>
      </c>
      <c r="BL1044" s="7">
        <f>IFERROR(VLOOKUP(B1044,'[1]model_S-フレーム'!$F$5:$V$7000,17,1),"")</f>
        <v>0</v>
      </c>
      <c r="BM1044" t="str" cm="1">
        <f t="array" ref="BM1044">_xlfn.IFS(LEFT(G1044,1)="L","外注品",LEFT(G1044,1)="W","内製品",G1044="","購買品")</f>
        <v>内製品</v>
      </c>
    </row>
    <row r="1045" spans="1:65">
      <c r="A1045" t="str">
        <f t="shared" si="163"/>
        <v>WG01</v>
      </c>
      <c r="B1045" t="s">
        <v>1198</v>
      </c>
      <c r="C1045" t="s">
        <v>1523</v>
      </c>
      <c r="D1045" s="7"/>
      <c r="E1045" s="7"/>
      <c r="G1045" t="s">
        <v>1939</v>
      </c>
      <c r="H1045" t="str" cm="1">
        <f t="array" ref="H1045">IFERROR(_xlfn.IFS(B1045="","",AND(B1045="",G1045=""),"",G1045="","記載要"),"")</f>
        <v/>
      </c>
      <c r="K1045" t="str">
        <f t="shared" si="164"/>
        <v>11WP01008608</v>
      </c>
      <c r="L1045" s="3" t="str">
        <f t="shared" si="165"/>
        <v>2001/01/01</v>
      </c>
      <c r="M1045" s="3" t="str">
        <f t="shared" si="166"/>
        <v>2199/12/31</v>
      </c>
      <c r="N1045" t="str">
        <f t="shared" si="167"/>
        <v>11WP01008608</v>
      </c>
      <c r="O1045">
        <v>15</v>
      </c>
      <c r="Q1045" t="str" cm="1">
        <f t="array" ref="Q1045">_xlfn.IFS(AND(C1045="",G1045=""),"",LEFT(G1045,1)="L","記載要",LEFT(G1045,1)="W","",AND(C1045,G1045=""),"記載要")</f>
        <v/>
      </c>
      <c r="R1045" s="21" t="str">
        <f t="shared" si="172"/>
        <v/>
      </c>
      <c r="S1045" s="21"/>
      <c r="Z1045" s="8"/>
      <c r="AA1045">
        <v>1</v>
      </c>
      <c r="AB1045">
        <f t="shared" si="168"/>
        <v>0</v>
      </c>
      <c r="AC1045">
        <v>1</v>
      </c>
      <c r="AF1045">
        <v>1</v>
      </c>
      <c r="AG1045" s="8"/>
      <c r="AH1045" s="8"/>
      <c r="AK1045" cm="1">
        <f t="array" ref="AK1045">_xlfn.IFS(B1045="","",LEFT(G1045,1)="L",1,LEFT(G1045,1)="W",1,AND(LEFT(B1045,1)="H",G1045=""),0)</f>
        <v>1</v>
      </c>
      <c r="AS1045" t="str">
        <f t="shared" si="169"/>
        <v/>
      </c>
      <c r="AT1045" t="s">
        <v>115</v>
      </c>
      <c r="AU1045" t="str">
        <f t="shared" si="170"/>
        <v>0</v>
      </c>
      <c r="BD1045" t="str">
        <f t="shared" si="171"/>
        <v>0</v>
      </c>
      <c r="BK1045" t="str">
        <f>IFERROR(VLOOKUP(B1045,'[1]model_S-フレーム'!$F$5:$R$7000,13,1),"")</f>
        <v>E389460_01</v>
      </c>
      <c r="BL1045" s="7">
        <f>IFERROR(VLOOKUP(B1045,'[1]model_S-フレーム'!$F$5:$V$7000,17,1),"")</f>
        <v>0</v>
      </c>
      <c r="BM1045" t="str" cm="1">
        <f t="array" ref="BM1045">_xlfn.IFS(LEFT(G1045,1)="L","外注品",LEFT(G1045,1)="W","内製品",G1045="","購買品")</f>
        <v>内製品</v>
      </c>
    </row>
    <row r="1046" spans="1:65">
      <c r="A1046" t="str">
        <f t="shared" si="163"/>
        <v>WG01</v>
      </c>
      <c r="B1046" t="s">
        <v>1199</v>
      </c>
      <c r="C1046" t="s">
        <v>1523</v>
      </c>
      <c r="D1046" s="7"/>
      <c r="E1046" s="7"/>
      <c r="G1046" t="s">
        <v>1939</v>
      </c>
      <c r="H1046" t="str" cm="1">
        <f t="array" ref="H1046">IFERROR(_xlfn.IFS(B1046="","",AND(B1046="",G1046=""),"",G1046="","記載要"),"")</f>
        <v/>
      </c>
      <c r="K1046" t="str">
        <f t="shared" si="164"/>
        <v>11WP01008609</v>
      </c>
      <c r="L1046" s="3" t="str">
        <f t="shared" si="165"/>
        <v>2001/01/01</v>
      </c>
      <c r="M1046" s="3" t="str">
        <f t="shared" si="166"/>
        <v>2199/12/31</v>
      </c>
      <c r="N1046" t="str">
        <f t="shared" si="167"/>
        <v>11WP01008609</v>
      </c>
      <c r="O1046">
        <v>15</v>
      </c>
      <c r="Q1046" t="str" cm="1">
        <f t="array" ref="Q1046">_xlfn.IFS(AND(C1046="",G1046=""),"",LEFT(G1046,1)="L","記載要",LEFT(G1046,1)="W","",AND(C1046,G1046=""),"記載要")</f>
        <v/>
      </c>
      <c r="R1046" s="21" t="str">
        <f t="shared" si="172"/>
        <v/>
      </c>
      <c r="S1046" s="21"/>
      <c r="Z1046" s="8"/>
      <c r="AA1046">
        <v>1</v>
      </c>
      <c r="AB1046">
        <f t="shared" si="168"/>
        <v>0</v>
      </c>
      <c r="AC1046">
        <v>1</v>
      </c>
      <c r="AF1046">
        <v>1</v>
      </c>
      <c r="AG1046" s="8"/>
      <c r="AH1046" s="8"/>
      <c r="AK1046" cm="1">
        <f t="array" ref="AK1046">_xlfn.IFS(B1046="","",LEFT(G1046,1)="L",1,LEFT(G1046,1)="W",1,AND(LEFT(B1046,1)="H",G1046=""),0)</f>
        <v>1</v>
      </c>
      <c r="AS1046" t="str">
        <f t="shared" si="169"/>
        <v/>
      </c>
      <c r="AT1046" t="s">
        <v>115</v>
      </c>
      <c r="AU1046" t="str">
        <f t="shared" si="170"/>
        <v>0</v>
      </c>
      <c r="BD1046" t="str">
        <f t="shared" si="171"/>
        <v>0</v>
      </c>
      <c r="BK1046" t="str">
        <f>IFERROR(VLOOKUP(B1046,'[1]model_S-フレーム'!$F$5:$R$7000,13,1),"")</f>
        <v>E389460_01</v>
      </c>
      <c r="BL1046" s="7">
        <f>IFERROR(VLOOKUP(B1046,'[1]model_S-フレーム'!$F$5:$V$7000,17,1),"")</f>
        <v>0</v>
      </c>
      <c r="BM1046" t="str" cm="1">
        <f t="array" ref="BM1046">_xlfn.IFS(LEFT(G1046,1)="L","外注品",LEFT(G1046,1)="W","内製品",G1046="","購買品")</f>
        <v>内製品</v>
      </c>
    </row>
    <row r="1047" spans="1:65">
      <c r="A1047" t="str">
        <f t="shared" si="163"/>
        <v>WG01</v>
      </c>
      <c r="B1047" t="s">
        <v>1200</v>
      </c>
      <c r="C1047" t="s">
        <v>1523</v>
      </c>
      <c r="D1047" s="7"/>
      <c r="E1047" s="7"/>
      <c r="G1047" t="s">
        <v>1939</v>
      </c>
      <c r="H1047" t="str" cm="1">
        <f t="array" ref="H1047">IFERROR(_xlfn.IFS(B1047="","",AND(B1047="",G1047=""),"",G1047="","記載要"),"")</f>
        <v/>
      </c>
      <c r="K1047" t="str">
        <f t="shared" si="164"/>
        <v>11WP01008610</v>
      </c>
      <c r="L1047" s="3" t="str">
        <f t="shared" si="165"/>
        <v>2001/01/01</v>
      </c>
      <c r="M1047" s="3" t="str">
        <f t="shared" si="166"/>
        <v>2199/12/31</v>
      </c>
      <c r="N1047" t="str">
        <f t="shared" si="167"/>
        <v>11WP01008610</v>
      </c>
      <c r="O1047">
        <v>15</v>
      </c>
      <c r="Q1047" t="str" cm="1">
        <f t="array" ref="Q1047">_xlfn.IFS(AND(C1047="",G1047=""),"",LEFT(G1047,1)="L","記載要",LEFT(G1047,1)="W","",AND(C1047,G1047=""),"記載要")</f>
        <v/>
      </c>
      <c r="R1047" s="21" t="str">
        <f t="shared" si="172"/>
        <v/>
      </c>
      <c r="S1047" s="21"/>
      <c r="Z1047" s="8"/>
      <c r="AA1047">
        <v>1</v>
      </c>
      <c r="AB1047">
        <f t="shared" si="168"/>
        <v>0</v>
      </c>
      <c r="AC1047">
        <v>1</v>
      </c>
      <c r="AF1047">
        <v>1</v>
      </c>
      <c r="AG1047" s="8"/>
      <c r="AH1047" s="8"/>
      <c r="AK1047" cm="1">
        <f t="array" ref="AK1047">_xlfn.IFS(B1047="","",LEFT(G1047,1)="L",1,LEFT(G1047,1)="W",1,AND(LEFT(B1047,1)="H",G1047=""),0)</f>
        <v>1</v>
      </c>
      <c r="AS1047" t="str">
        <f t="shared" si="169"/>
        <v/>
      </c>
      <c r="AT1047" t="s">
        <v>115</v>
      </c>
      <c r="AU1047" t="str">
        <f t="shared" si="170"/>
        <v>0</v>
      </c>
      <c r="BD1047" t="str">
        <f t="shared" si="171"/>
        <v>0</v>
      </c>
      <c r="BK1047" t="str">
        <f>IFERROR(VLOOKUP(B1047,'[1]model_S-フレーム'!$F$5:$R$7000,13,1),"")</f>
        <v>E389460_01</v>
      </c>
      <c r="BL1047" s="7">
        <f>IFERROR(VLOOKUP(B1047,'[1]model_S-フレーム'!$F$5:$V$7000,17,1),"")</f>
        <v>0</v>
      </c>
      <c r="BM1047" t="str" cm="1">
        <f t="array" ref="BM1047">_xlfn.IFS(LEFT(G1047,1)="L","外注品",LEFT(G1047,1)="W","内製品",G1047="","購買品")</f>
        <v>内製品</v>
      </c>
    </row>
    <row r="1048" spans="1:65">
      <c r="A1048" t="str">
        <f t="shared" si="163"/>
        <v>WG01</v>
      </c>
      <c r="B1048" t="s">
        <v>1201</v>
      </c>
      <c r="C1048" t="s">
        <v>1523</v>
      </c>
      <c r="D1048" s="7"/>
      <c r="E1048" s="7"/>
      <c r="G1048" t="s">
        <v>1939</v>
      </c>
      <c r="H1048" t="str" cm="1">
        <f t="array" ref="H1048">IFERROR(_xlfn.IFS(B1048="","",AND(B1048="",G1048=""),"",G1048="","記載要"),"")</f>
        <v/>
      </c>
      <c r="K1048" t="str">
        <f t="shared" si="164"/>
        <v>11WP01008611</v>
      </c>
      <c r="L1048" s="3" t="str">
        <f t="shared" si="165"/>
        <v>2001/01/01</v>
      </c>
      <c r="M1048" s="3" t="str">
        <f t="shared" si="166"/>
        <v>2199/12/31</v>
      </c>
      <c r="N1048" t="str">
        <f t="shared" si="167"/>
        <v>11WP01008611</v>
      </c>
      <c r="O1048">
        <v>15</v>
      </c>
      <c r="Q1048" t="str" cm="1">
        <f t="array" ref="Q1048">_xlfn.IFS(AND(C1048="",G1048=""),"",LEFT(G1048,1)="L","記載要",LEFT(G1048,1)="W","",AND(C1048,G1048=""),"記載要")</f>
        <v/>
      </c>
      <c r="R1048" s="21" t="str">
        <f t="shared" si="172"/>
        <v/>
      </c>
      <c r="S1048" s="21"/>
      <c r="Z1048" s="8"/>
      <c r="AA1048">
        <v>1</v>
      </c>
      <c r="AB1048">
        <f t="shared" si="168"/>
        <v>0</v>
      </c>
      <c r="AC1048">
        <v>1</v>
      </c>
      <c r="AF1048">
        <v>1</v>
      </c>
      <c r="AG1048" s="8"/>
      <c r="AH1048" s="8"/>
      <c r="AK1048" cm="1">
        <f t="array" ref="AK1048">_xlfn.IFS(B1048="","",LEFT(G1048,1)="L",1,LEFT(G1048,1)="W",1,AND(LEFT(B1048,1)="H",G1048=""),0)</f>
        <v>1</v>
      </c>
      <c r="AS1048" t="str">
        <f t="shared" si="169"/>
        <v/>
      </c>
      <c r="AT1048" t="s">
        <v>115</v>
      </c>
      <c r="AU1048" t="str">
        <f t="shared" si="170"/>
        <v>0</v>
      </c>
      <c r="BD1048" t="str">
        <f t="shared" si="171"/>
        <v>0</v>
      </c>
      <c r="BK1048" t="str">
        <f>IFERROR(VLOOKUP(B1048,'[1]model_S-フレーム'!$F$5:$R$7000,13,1),"")</f>
        <v>E389460_01</v>
      </c>
      <c r="BL1048" s="7">
        <f>IFERROR(VLOOKUP(B1048,'[1]model_S-フレーム'!$F$5:$V$7000,17,1),"")</f>
        <v>0</v>
      </c>
      <c r="BM1048" t="str" cm="1">
        <f t="array" ref="BM1048">_xlfn.IFS(LEFT(G1048,1)="L","外注品",LEFT(G1048,1)="W","内製品",G1048="","購買品")</f>
        <v>内製品</v>
      </c>
    </row>
    <row r="1049" spans="1:65">
      <c r="A1049" t="str">
        <f t="shared" si="163"/>
        <v>WG01</v>
      </c>
      <c r="B1049" t="s">
        <v>1202</v>
      </c>
      <c r="C1049" t="s">
        <v>1523</v>
      </c>
      <c r="D1049" s="7"/>
      <c r="E1049" s="7"/>
      <c r="G1049" t="s">
        <v>1939</v>
      </c>
      <c r="H1049" t="str" cm="1">
        <f t="array" ref="H1049">IFERROR(_xlfn.IFS(B1049="","",AND(B1049="",G1049=""),"",G1049="","記載要"),"")</f>
        <v/>
      </c>
      <c r="K1049" t="str">
        <f t="shared" si="164"/>
        <v>11WP01008612</v>
      </c>
      <c r="L1049" s="3" t="str">
        <f t="shared" si="165"/>
        <v>2001/01/01</v>
      </c>
      <c r="M1049" s="3" t="str">
        <f t="shared" si="166"/>
        <v>2199/12/31</v>
      </c>
      <c r="N1049" t="str">
        <f t="shared" si="167"/>
        <v>11WP01008612</v>
      </c>
      <c r="O1049">
        <v>15</v>
      </c>
      <c r="Q1049" t="str" cm="1">
        <f t="array" ref="Q1049">_xlfn.IFS(AND(C1049="",G1049=""),"",LEFT(G1049,1)="L","記載要",LEFT(G1049,1)="W","",AND(C1049,G1049=""),"記載要")</f>
        <v/>
      </c>
      <c r="R1049" s="21" t="str">
        <f t="shared" si="172"/>
        <v/>
      </c>
      <c r="S1049" s="21"/>
      <c r="Z1049" s="8"/>
      <c r="AA1049">
        <v>1</v>
      </c>
      <c r="AB1049">
        <f t="shared" si="168"/>
        <v>0</v>
      </c>
      <c r="AC1049">
        <v>1</v>
      </c>
      <c r="AF1049">
        <v>1</v>
      </c>
      <c r="AG1049" s="8"/>
      <c r="AH1049" s="8"/>
      <c r="AK1049" cm="1">
        <f t="array" ref="AK1049">_xlfn.IFS(B1049="","",LEFT(G1049,1)="L",1,LEFT(G1049,1)="W",1,AND(LEFT(B1049,1)="H",G1049=""),0)</f>
        <v>1</v>
      </c>
      <c r="AS1049" t="str">
        <f t="shared" si="169"/>
        <v/>
      </c>
      <c r="AT1049" t="s">
        <v>115</v>
      </c>
      <c r="AU1049" t="str">
        <f t="shared" si="170"/>
        <v>0</v>
      </c>
      <c r="BD1049" t="str">
        <f t="shared" si="171"/>
        <v>0</v>
      </c>
      <c r="BK1049" t="str">
        <f>IFERROR(VLOOKUP(B1049,'[1]model_S-フレーム'!$F$5:$R$7000,13,1),"")</f>
        <v>E389460_01</v>
      </c>
      <c r="BL1049" s="7">
        <f>IFERROR(VLOOKUP(B1049,'[1]model_S-フレーム'!$F$5:$V$7000,17,1),"")</f>
        <v>0</v>
      </c>
      <c r="BM1049" t="str" cm="1">
        <f t="array" ref="BM1049">_xlfn.IFS(LEFT(G1049,1)="L","外注品",LEFT(G1049,1)="W","内製品",G1049="","購買品")</f>
        <v>内製品</v>
      </c>
    </row>
    <row r="1050" spans="1:65" s="13" customFormat="1">
      <c r="A1050" t="str">
        <f t="shared" si="163"/>
        <v>WG01</v>
      </c>
      <c r="B1050" t="s">
        <v>1203</v>
      </c>
      <c r="C1050" t="s">
        <v>1524</v>
      </c>
      <c r="D1050" s="7"/>
      <c r="E1050" s="7"/>
      <c r="F1050"/>
      <c r="G1050"/>
      <c r="H1050">
        <v>27616</v>
      </c>
      <c r="I1050"/>
      <c r="J1050"/>
      <c r="K1050" t="str">
        <f t="shared" si="164"/>
        <v/>
      </c>
      <c r="L1050" s="3" t="str">
        <f t="shared" si="165"/>
        <v>2001/01/01</v>
      </c>
      <c r="M1050" s="3" t="str">
        <f t="shared" si="166"/>
        <v>2199/12/31</v>
      </c>
      <c r="N1050" t="str">
        <f t="shared" si="167"/>
        <v/>
      </c>
      <c r="O1050" t="str">
        <f>IF(G1050="","","記載要")</f>
        <v/>
      </c>
      <c r="P1050"/>
      <c r="Q1050">
        <v>15</v>
      </c>
      <c r="R1050" s="21">
        <v>100000000</v>
      </c>
      <c r="S1050" s="21" t="str" cm="1">
        <f t="array" ref="S1050">_xlfn.IFS(LEFT(G1050,1)="L","記載要",LEFT(G1050,1)="W","記載要",G1050="","")</f>
        <v/>
      </c>
      <c r="T1050"/>
      <c r="U1050"/>
      <c r="V1050"/>
      <c r="W1050"/>
      <c r="X1050"/>
      <c r="Y1050"/>
      <c r="Z1050" s="8"/>
      <c r="AA1050" s="8">
        <v>1</v>
      </c>
      <c r="AB1050">
        <f t="shared" si="168"/>
        <v>0</v>
      </c>
      <c r="AC1050" s="8">
        <v>1</v>
      </c>
      <c r="AD1050"/>
      <c r="AE1050"/>
      <c r="AF1050">
        <v>1</v>
      </c>
      <c r="AG1050" s="8"/>
      <c r="AH1050" s="8"/>
      <c r="AI1050"/>
      <c r="AJ1050"/>
      <c r="AK1050" cm="1">
        <f t="array" ref="AK1050">_xlfn.IFS(B1050="","",LEFT(G1050,1)="L",1,LEFT(G1050,1)="W",1,AND(LEFT(B1050,1)="H",G1050=""),0)</f>
        <v>0</v>
      </c>
      <c r="AL1050"/>
      <c r="AM1050"/>
      <c r="AN1050"/>
      <c r="AO1050"/>
      <c r="AP1050"/>
      <c r="AQ1050"/>
      <c r="AR1050"/>
      <c r="AS1050">
        <f t="shared" si="169"/>
        <v>1</v>
      </c>
      <c r="AT1050" t="s">
        <v>115</v>
      </c>
      <c r="AU1050" t="str">
        <f t="shared" si="170"/>
        <v>0</v>
      </c>
      <c r="AV1050"/>
      <c r="AW1050"/>
      <c r="AX1050"/>
      <c r="AY1050"/>
      <c r="AZ1050"/>
      <c r="BA1050"/>
      <c r="BB1050"/>
      <c r="BC1050"/>
      <c r="BD1050" t="str">
        <f t="shared" si="171"/>
        <v>0</v>
      </c>
      <c r="BE1050"/>
      <c r="BF1050"/>
      <c r="BG1050"/>
      <c r="BH1050"/>
      <c r="BI1050"/>
      <c r="BJ1050"/>
      <c r="BK1050" s="13" t="str">
        <f>IFERROR(VLOOKUP(B1050,'[1]model_S-フレーム'!$F$5:$R$7000,13,1),"")</f>
        <v>E389460_01</v>
      </c>
      <c r="BL1050" s="14">
        <f>IFERROR(VLOOKUP(B1050,'[1]model_S-フレーム'!$F$5:$V$7000,17,1),"")</f>
        <v>0</v>
      </c>
      <c r="BM1050" s="13" t="str" cm="1">
        <f t="array" ref="BM1050">_xlfn.IFS(LEFT(G1050,1)="L","外注品",LEFT(G1050,1)="W","内製品",G1050="","購買品")</f>
        <v>購買品</v>
      </c>
    </row>
    <row r="1051" spans="1:65" s="13" customFormat="1">
      <c r="A1051" t="str">
        <f t="shared" si="163"/>
        <v>WG01</v>
      </c>
      <c r="B1051" t="s">
        <v>1203</v>
      </c>
      <c r="C1051" t="s">
        <v>1524</v>
      </c>
      <c r="D1051" s="7"/>
      <c r="E1051" s="7"/>
      <c r="F1051"/>
      <c r="G1051"/>
      <c r="H1051">
        <v>43453</v>
      </c>
      <c r="I1051"/>
      <c r="J1051"/>
      <c r="K1051" t="str">
        <f t="shared" si="164"/>
        <v/>
      </c>
      <c r="L1051" s="3" t="str">
        <f t="shared" si="165"/>
        <v>2001/01/01</v>
      </c>
      <c r="M1051" s="3" t="str">
        <f t="shared" si="166"/>
        <v>2199/12/31</v>
      </c>
      <c r="N1051" t="str">
        <f t="shared" si="167"/>
        <v/>
      </c>
      <c r="O1051" t="str">
        <f>IF(G1051="","","記載要")</f>
        <v/>
      </c>
      <c r="P1051"/>
      <c r="Q1051">
        <v>15</v>
      </c>
      <c r="R1051" s="21">
        <v>100000000</v>
      </c>
      <c r="S1051" s="21" t="str" cm="1">
        <f t="array" ref="S1051">_xlfn.IFS(LEFT(G1051,1)="L","記載要",LEFT(G1051,1)="W","記載要",G1051="","")</f>
        <v/>
      </c>
      <c r="T1051"/>
      <c r="U1051"/>
      <c r="V1051"/>
      <c r="W1051"/>
      <c r="X1051"/>
      <c r="Y1051"/>
      <c r="Z1051" s="8"/>
      <c r="AA1051" s="8">
        <v>1</v>
      </c>
      <c r="AB1051">
        <f t="shared" si="168"/>
        <v>0</v>
      </c>
      <c r="AC1051" s="8">
        <v>1</v>
      </c>
      <c r="AD1051"/>
      <c r="AE1051"/>
      <c r="AF1051">
        <v>0</v>
      </c>
      <c r="AG1051" s="8"/>
      <c r="AH1051" s="8"/>
      <c r="AI1051"/>
      <c r="AJ1051"/>
      <c r="AK1051" cm="1">
        <f t="array" ref="AK1051">_xlfn.IFS(B1051="","",LEFT(G1051,1)="L",1,LEFT(G1051,1)="W",1,AND(LEFT(B1051,1)="H",G1051=""),0)</f>
        <v>0</v>
      </c>
      <c r="AL1051"/>
      <c r="AM1051"/>
      <c r="AN1051"/>
      <c r="AO1051"/>
      <c r="AP1051"/>
      <c r="AQ1051"/>
      <c r="AR1051"/>
      <c r="AS1051">
        <f t="shared" si="169"/>
        <v>1</v>
      </c>
      <c r="AT1051" t="s">
        <v>115</v>
      </c>
      <c r="AU1051" t="str">
        <f t="shared" si="170"/>
        <v>0</v>
      </c>
      <c r="AV1051"/>
      <c r="AW1051"/>
      <c r="AX1051"/>
      <c r="AY1051"/>
      <c r="AZ1051"/>
      <c r="BA1051"/>
      <c r="BB1051"/>
      <c r="BC1051"/>
      <c r="BD1051" t="str">
        <f t="shared" si="171"/>
        <v>0</v>
      </c>
      <c r="BE1051"/>
      <c r="BF1051"/>
      <c r="BG1051"/>
      <c r="BH1051"/>
      <c r="BI1051"/>
      <c r="BJ1051"/>
      <c r="BK1051" s="13" t="str">
        <f>IFERROR(VLOOKUP(B1051,'[1]model_S-フレーム'!$F$5:$R$7000,13,1),"")</f>
        <v>E389460_01</v>
      </c>
      <c r="BL1051" s="14">
        <f>IFERROR(VLOOKUP(B1051,'[1]model_S-フレーム'!$F$5:$V$7000,17,1),"")</f>
        <v>0</v>
      </c>
      <c r="BM1051" s="13" t="str" cm="1">
        <f t="array" ref="BM1051">_xlfn.IFS(LEFT(G1051,1)="L","外注品",LEFT(G1051,1)="W","内製品",G1051="","購買品")</f>
        <v>購買品</v>
      </c>
    </row>
    <row r="1052" spans="1:65" s="13" customFormat="1">
      <c r="A1052" t="str">
        <f t="shared" si="163"/>
        <v>WG01</v>
      </c>
      <c r="B1052" t="s">
        <v>1203</v>
      </c>
      <c r="C1052" t="s">
        <v>1524</v>
      </c>
      <c r="D1052" s="7"/>
      <c r="E1052" s="7"/>
      <c r="F1052"/>
      <c r="G1052"/>
      <c r="H1052">
        <v>47081</v>
      </c>
      <c r="I1052"/>
      <c r="J1052"/>
      <c r="K1052" t="str">
        <f t="shared" si="164"/>
        <v/>
      </c>
      <c r="L1052" s="3" t="str">
        <f t="shared" si="165"/>
        <v>2001/01/01</v>
      </c>
      <c r="M1052" s="3" t="str">
        <f t="shared" si="166"/>
        <v>2199/12/31</v>
      </c>
      <c r="N1052" t="str">
        <f t="shared" si="167"/>
        <v/>
      </c>
      <c r="O1052" t="str">
        <f>IF(G1052="","","記載要")</f>
        <v/>
      </c>
      <c r="P1052"/>
      <c r="Q1052">
        <v>15</v>
      </c>
      <c r="R1052" s="21">
        <v>100000000</v>
      </c>
      <c r="S1052" s="21" t="str" cm="1">
        <f t="array" ref="S1052">_xlfn.IFS(LEFT(G1052,1)="L","記載要",LEFT(G1052,1)="W","記載要",G1052="","")</f>
        <v/>
      </c>
      <c r="T1052"/>
      <c r="U1052"/>
      <c r="V1052"/>
      <c r="W1052"/>
      <c r="X1052"/>
      <c r="Y1052"/>
      <c r="Z1052" s="8"/>
      <c r="AA1052" s="8">
        <v>1</v>
      </c>
      <c r="AB1052">
        <f t="shared" si="168"/>
        <v>0</v>
      </c>
      <c r="AC1052" s="8">
        <v>1</v>
      </c>
      <c r="AD1052"/>
      <c r="AE1052"/>
      <c r="AF1052">
        <v>0</v>
      </c>
      <c r="AG1052" s="8"/>
      <c r="AH1052" s="8"/>
      <c r="AI1052"/>
      <c r="AJ1052"/>
      <c r="AK1052" cm="1">
        <f t="array" ref="AK1052">_xlfn.IFS(B1052="","",LEFT(G1052,1)="L",1,LEFT(G1052,1)="W",1,AND(LEFT(B1052,1)="H",G1052=""),0)</f>
        <v>0</v>
      </c>
      <c r="AL1052"/>
      <c r="AM1052"/>
      <c r="AN1052"/>
      <c r="AO1052"/>
      <c r="AP1052"/>
      <c r="AQ1052"/>
      <c r="AR1052"/>
      <c r="AS1052">
        <f t="shared" si="169"/>
        <v>1</v>
      </c>
      <c r="AT1052" t="s">
        <v>115</v>
      </c>
      <c r="AU1052" t="str">
        <f t="shared" si="170"/>
        <v>0</v>
      </c>
      <c r="AV1052"/>
      <c r="AW1052"/>
      <c r="AX1052"/>
      <c r="AY1052"/>
      <c r="AZ1052"/>
      <c r="BA1052"/>
      <c r="BB1052"/>
      <c r="BC1052"/>
      <c r="BD1052" t="str">
        <f t="shared" si="171"/>
        <v>0</v>
      </c>
      <c r="BE1052"/>
      <c r="BF1052"/>
      <c r="BG1052"/>
      <c r="BH1052"/>
      <c r="BI1052"/>
      <c r="BJ1052"/>
      <c r="BK1052" s="13" t="str">
        <f>IFERROR(VLOOKUP(B1052,'[1]model_S-フレーム'!$F$5:$R$7000,13,1),"")</f>
        <v>E389460_01</v>
      </c>
      <c r="BL1052" s="14">
        <f>IFERROR(VLOOKUP(B1052,'[1]model_S-フレーム'!$F$5:$V$7000,17,1),"")</f>
        <v>0</v>
      </c>
      <c r="BM1052" s="13" t="str" cm="1">
        <f t="array" ref="BM1052">_xlfn.IFS(LEFT(G1052,1)="L","外注品",LEFT(G1052,1)="W","内製品",G1052="","購買品")</f>
        <v>購買品</v>
      </c>
    </row>
    <row r="1053" spans="1:65">
      <c r="A1053" t="str">
        <f t="shared" si="163"/>
        <v>WG01</v>
      </c>
      <c r="B1053" t="s">
        <v>1203</v>
      </c>
      <c r="C1053" t="s">
        <v>1524</v>
      </c>
      <c r="D1053" s="7"/>
      <c r="E1053" s="7"/>
      <c r="H1053" s="19" t="s">
        <v>1937</v>
      </c>
      <c r="K1053" t="str">
        <f t="shared" si="164"/>
        <v/>
      </c>
      <c r="L1053" s="3" t="str">
        <f t="shared" si="165"/>
        <v>2001/01/01</v>
      </c>
      <c r="M1053" s="3" t="str">
        <f t="shared" si="166"/>
        <v>2199/12/31</v>
      </c>
      <c r="N1053" t="str">
        <f t="shared" si="167"/>
        <v/>
      </c>
      <c r="O1053" t="str">
        <f>IF(G1053="","","記載要")</f>
        <v/>
      </c>
      <c r="Q1053">
        <v>15</v>
      </c>
      <c r="R1053" s="21">
        <v>100000000</v>
      </c>
      <c r="S1053" s="21" t="str" cm="1">
        <f t="array" ref="S1053">_xlfn.IFS(LEFT(G1053,1)="L","記載要",LEFT(G1053,1)="W","記載要",G1053="","")</f>
        <v/>
      </c>
      <c r="Z1053" s="8"/>
      <c r="AA1053" s="8">
        <v>1</v>
      </c>
      <c r="AB1053">
        <f t="shared" si="168"/>
        <v>0</v>
      </c>
      <c r="AC1053" s="8">
        <v>1</v>
      </c>
      <c r="AF1053">
        <v>1</v>
      </c>
      <c r="AG1053" s="8"/>
      <c r="AH1053" s="8"/>
      <c r="AK1053" cm="1">
        <f t="array" ref="AK1053">_xlfn.IFS(B1053="","",LEFT(G1053,1)="L",1,LEFT(G1053,1)="W",1,AND(LEFT(B1053,1)="H",G1053=""),0)</f>
        <v>0</v>
      </c>
      <c r="AS1053">
        <f t="shared" si="169"/>
        <v>1</v>
      </c>
      <c r="AT1053" t="s">
        <v>115</v>
      </c>
      <c r="AU1053" t="str">
        <f t="shared" si="170"/>
        <v>0</v>
      </c>
      <c r="BD1053" t="str">
        <f t="shared" si="171"/>
        <v>0</v>
      </c>
      <c r="BK1053" t="str">
        <f>IFERROR(VLOOKUP(B1053,'[1]model_S-フレーム'!$F$5:$R$7000,13,1),"")</f>
        <v>E389460_01</v>
      </c>
      <c r="BL1053" s="7">
        <f>IFERROR(VLOOKUP(B1053,'[1]model_S-フレーム'!$F$5:$V$7000,17,1),"")</f>
        <v>0</v>
      </c>
      <c r="BM1053" t="str" cm="1">
        <f t="array" ref="BM1053">_xlfn.IFS(LEFT(G1053,1)="L","外注品",LEFT(G1053,1)="W","内製品",G1053="","購買品")</f>
        <v>購買品</v>
      </c>
    </row>
    <row r="1054" spans="1:65">
      <c r="A1054" t="str">
        <f t="shared" si="163"/>
        <v>WG01</v>
      </c>
      <c r="B1054" t="s">
        <v>1204</v>
      </c>
      <c r="C1054" t="s">
        <v>1525</v>
      </c>
      <c r="D1054" s="7"/>
      <c r="E1054" s="7"/>
      <c r="G1054" t="s">
        <v>1939</v>
      </c>
      <c r="H1054" t="str" cm="1">
        <f t="array" ref="H1054">IFERROR(_xlfn.IFS(B1054="","",AND(B1054="",G1054=""),"",G1054="","記載要"),"")</f>
        <v/>
      </c>
      <c r="K1054" t="str">
        <f t="shared" si="164"/>
        <v>11WP01008614</v>
      </c>
      <c r="L1054" s="3" t="str">
        <f t="shared" si="165"/>
        <v>2001/01/01</v>
      </c>
      <c r="M1054" s="3" t="str">
        <f t="shared" si="166"/>
        <v>2199/12/31</v>
      </c>
      <c r="N1054" t="str">
        <f t="shared" si="167"/>
        <v>11WP01008614</v>
      </c>
      <c r="O1054">
        <v>15</v>
      </c>
      <c r="Q1054" t="str" cm="1">
        <f t="array" ref="Q1054">_xlfn.IFS(AND(C1054="",G1054=""),"",LEFT(G1054,1)="L","記載要",LEFT(G1054,1)="W","",AND(C1054,G1054=""),"記載要")</f>
        <v/>
      </c>
      <c r="R1054" s="21" t="str">
        <f t="shared" si="172"/>
        <v/>
      </c>
      <c r="S1054" s="21"/>
      <c r="Z1054" s="8"/>
      <c r="AA1054">
        <v>1</v>
      </c>
      <c r="AB1054">
        <f t="shared" si="168"/>
        <v>0</v>
      </c>
      <c r="AC1054">
        <v>1</v>
      </c>
      <c r="AF1054">
        <v>1</v>
      </c>
      <c r="AG1054" s="8"/>
      <c r="AH1054" s="8"/>
      <c r="AK1054" cm="1">
        <f t="array" ref="AK1054">_xlfn.IFS(B1054="","",LEFT(G1054,1)="L",1,LEFT(G1054,1)="W",1,AND(LEFT(B1054,1)="H",G1054=""),0)</f>
        <v>1</v>
      </c>
      <c r="AS1054" t="str">
        <f t="shared" si="169"/>
        <v/>
      </c>
      <c r="AT1054" t="s">
        <v>115</v>
      </c>
      <c r="AU1054" t="str">
        <f t="shared" si="170"/>
        <v>0</v>
      </c>
      <c r="BD1054" t="str">
        <f t="shared" si="171"/>
        <v>0</v>
      </c>
      <c r="BK1054" t="str">
        <f>IFERROR(VLOOKUP(B1054,'[1]model_S-フレーム'!$F$5:$R$7000,13,1),"")</f>
        <v>E389460_01</v>
      </c>
      <c r="BL1054" s="7">
        <f>IFERROR(VLOOKUP(B1054,'[1]model_S-フレーム'!$F$5:$V$7000,17,1),"")</f>
        <v>0</v>
      </c>
      <c r="BM1054" t="str" cm="1">
        <f t="array" ref="BM1054">_xlfn.IFS(LEFT(G1054,1)="L","外注品",LEFT(G1054,1)="W","内製品",G1054="","購買品")</f>
        <v>内製品</v>
      </c>
    </row>
    <row r="1055" spans="1:65">
      <c r="A1055" t="str">
        <f t="shared" si="163"/>
        <v>WG01</v>
      </c>
      <c r="B1055" t="s">
        <v>1205</v>
      </c>
      <c r="C1055" t="s">
        <v>1525</v>
      </c>
      <c r="D1055" s="7"/>
      <c r="E1055" s="7"/>
      <c r="G1055" t="s">
        <v>1939</v>
      </c>
      <c r="H1055" t="str" cm="1">
        <f t="array" ref="H1055">IFERROR(_xlfn.IFS(B1055="","",AND(B1055="",G1055=""),"",G1055="","記載要"),"")</f>
        <v/>
      </c>
      <c r="K1055" t="str">
        <f t="shared" si="164"/>
        <v>11WP01008615</v>
      </c>
      <c r="L1055" s="3" t="str">
        <f t="shared" si="165"/>
        <v>2001/01/01</v>
      </c>
      <c r="M1055" s="3" t="str">
        <f t="shared" si="166"/>
        <v>2199/12/31</v>
      </c>
      <c r="N1055" t="str">
        <f t="shared" si="167"/>
        <v>11WP01008615</v>
      </c>
      <c r="O1055">
        <v>15</v>
      </c>
      <c r="Q1055" t="str" cm="1">
        <f t="array" ref="Q1055">_xlfn.IFS(AND(C1055="",G1055=""),"",LEFT(G1055,1)="L","記載要",LEFT(G1055,1)="W","",AND(C1055,G1055=""),"記載要")</f>
        <v/>
      </c>
      <c r="R1055" s="21" t="str">
        <f t="shared" si="172"/>
        <v/>
      </c>
      <c r="S1055" s="21"/>
      <c r="Z1055" s="8"/>
      <c r="AA1055">
        <v>1</v>
      </c>
      <c r="AB1055">
        <f t="shared" si="168"/>
        <v>0</v>
      </c>
      <c r="AC1055">
        <v>1</v>
      </c>
      <c r="AF1055">
        <v>1</v>
      </c>
      <c r="AG1055" s="8"/>
      <c r="AH1055" s="8"/>
      <c r="AK1055" cm="1">
        <f t="array" ref="AK1055">_xlfn.IFS(B1055="","",LEFT(G1055,1)="L",1,LEFT(G1055,1)="W",1,AND(LEFT(B1055,1)="H",G1055=""),0)</f>
        <v>1</v>
      </c>
      <c r="AS1055" t="str">
        <f t="shared" si="169"/>
        <v/>
      </c>
      <c r="AT1055" t="s">
        <v>115</v>
      </c>
      <c r="AU1055" t="str">
        <f t="shared" si="170"/>
        <v>0</v>
      </c>
      <c r="BD1055" t="str">
        <f t="shared" si="171"/>
        <v>0</v>
      </c>
      <c r="BK1055" t="str">
        <f>IFERROR(VLOOKUP(B1055,'[1]model_S-フレーム'!$F$5:$R$7000,13,1),"")</f>
        <v>E389460_01</v>
      </c>
      <c r="BL1055" s="7">
        <f>IFERROR(VLOOKUP(B1055,'[1]model_S-フレーム'!$F$5:$V$7000,17,1),"")</f>
        <v>0</v>
      </c>
      <c r="BM1055" t="str" cm="1">
        <f t="array" ref="BM1055">_xlfn.IFS(LEFT(G1055,1)="L","外注品",LEFT(G1055,1)="W","内製品",G1055="","購買品")</f>
        <v>内製品</v>
      </c>
    </row>
    <row r="1056" spans="1:65">
      <c r="A1056" t="str">
        <f t="shared" si="163"/>
        <v>WG01</v>
      </c>
      <c r="B1056" t="s">
        <v>1206</v>
      </c>
      <c r="C1056" t="s">
        <v>1525</v>
      </c>
      <c r="D1056" s="7"/>
      <c r="E1056" s="7"/>
      <c r="G1056" t="s">
        <v>1939</v>
      </c>
      <c r="H1056" t="str" cm="1">
        <f t="array" ref="H1056">IFERROR(_xlfn.IFS(B1056="","",AND(B1056="",G1056=""),"",G1056="","記載要"),"")</f>
        <v/>
      </c>
      <c r="K1056" t="str">
        <f t="shared" si="164"/>
        <v>11WP01008616</v>
      </c>
      <c r="L1056" s="3" t="str">
        <f t="shared" si="165"/>
        <v>2001/01/01</v>
      </c>
      <c r="M1056" s="3" t="str">
        <f t="shared" si="166"/>
        <v>2199/12/31</v>
      </c>
      <c r="N1056" t="str">
        <f t="shared" si="167"/>
        <v>11WP01008616</v>
      </c>
      <c r="O1056">
        <v>15</v>
      </c>
      <c r="Q1056" t="str" cm="1">
        <f t="array" ref="Q1056">_xlfn.IFS(AND(C1056="",G1056=""),"",LEFT(G1056,1)="L","記載要",LEFT(G1056,1)="W","",AND(C1056,G1056=""),"記載要")</f>
        <v/>
      </c>
      <c r="R1056" s="21" t="str">
        <f t="shared" si="172"/>
        <v/>
      </c>
      <c r="S1056" s="21"/>
      <c r="Z1056" s="8"/>
      <c r="AA1056">
        <v>1</v>
      </c>
      <c r="AB1056">
        <f t="shared" si="168"/>
        <v>0</v>
      </c>
      <c r="AC1056">
        <v>1</v>
      </c>
      <c r="AF1056">
        <v>1</v>
      </c>
      <c r="AG1056" s="8"/>
      <c r="AH1056" s="8"/>
      <c r="AK1056" cm="1">
        <f t="array" ref="AK1056">_xlfn.IFS(B1056="","",LEFT(G1056,1)="L",1,LEFT(G1056,1)="W",1,AND(LEFT(B1056,1)="H",G1056=""),0)</f>
        <v>1</v>
      </c>
      <c r="AS1056" t="str">
        <f t="shared" si="169"/>
        <v/>
      </c>
      <c r="AT1056" t="s">
        <v>115</v>
      </c>
      <c r="AU1056" t="str">
        <f t="shared" si="170"/>
        <v>0</v>
      </c>
      <c r="BD1056" t="str">
        <f t="shared" si="171"/>
        <v>0</v>
      </c>
      <c r="BK1056" t="str">
        <f>IFERROR(VLOOKUP(B1056,'[1]model_S-フレーム'!$F$5:$R$7000,13,1),"")</f>
        <v>E389460_01</v>
      </c>
      <c r="BL1056" s="7">
        <f>IFERROR(VLOOKUP(B1056,'[1]model_S-フレーム'!$F$5:$V$7000,17,1),"")</f>
        <v>0</v>
      </c>
      <c r="BM1056" t="str" cm="1">
        <f t="array" ref="BM1056">_xlfn.IFS(LEFT(G1056,1)="L","外注品",LEFT(G1056,1)="W","内製品",G1056="","購買品")</f>
        <v>内製品</v>
      </c>
    </row>
    <row r="1057" spans="1:65">
      <c r="A1057" t="str">
        <f t="shared" si="163"/>
        <v>WG01</v>
      </c>
      <c r="B1057" t="s">
        <v>1207</v>
      </c>
      <c r="C1057" t="s">
        <v>1525</v>
      </c>
      <c r="D1057" s="7"/>
      <c r="E1057" s="7"/>
      <c r="G1057" t="s">
        <v>1939</v>
      </c>
      <c r="H1057" t="str" cm="1">
        <f t="array" ref="H1057">IFERROR(_xlfn.IFS(B1057="","",AND(B1057="",G1057=""),"",G1057="","記載要"),"")</f>
        <v/>
      </c>
      <c r="K1057" t="str">
        <f t="shared" si="164"/>
        <v>11WP01008617</v>
      </c>
      <c r="L1057" s="3" t="str">
        <f t="shared" si="165"/>
        <v>2001/01/01</v>
      </c>
      <c r="M1057" s="3" t="str">
        <f t="shared" si="166"/>
        <v>2199/12/31</v>
      </c>
      <c r="N1057" t="str">
        <f t="shared" si="167"/>
        <v>11WP01008617</v>
      </c>
      <c r="O1057">
        <v>15</v>
      </c>
      <c r="Q1057" t="str" cm="1">
        <f t="array" ref="Q1057">_xlfn.IFS(AND(C1057="",G1057=""),"",LEFT(G1057,1)="L","記載要",LEFT(G1057,1)="W","",AND(C1057,G1057=""),"記載要")</f>
        <v/>
      </c>
      <c r="R1057" s="21" t="str">
        <f t="shared" si="172"/>
        <v/>
      </c>
      <c r="S1057" s="21"/>
      <c r="Z1057" s="8"/>
      <c r="AA1057">
        <v>1</v>
      </c>
      <c r="AB1057">
        <f t="shared" si="168"/>
        <v>0</v>
      </c>
      <c r="AC1057">
        <v>1</v>
      </c>
      <c r="AF1057">
        <v>1</v>
      </c>
      <c r="AG1057" s="8"/>
      <c r="AH1057" s="8"/>
      <c r="AK1057" cm="1">
        <f t="array" ref="AK1057">_xlfn.IFS(B1057="","",LEFT(G1057,1)="L",1,LEFT(G1057,1)="W",1,AND(LEFT(B1057,1)="H",G1057=""),0)</f>
        <v>1</v>
      </c>
      <c r="AS1057" t="str">
        <f t="shared" si="169"/>
        <v/>
      </c>
      <c r="AT1057" t="s">
        <v>115</v>
      </c>
      <c r="AU1057" t="str">
        <f t="shared" si="170"/>
        <v>0</v>
      </c>
      <c r="BD1057" t="str">
        <f t="shared" si="171"/>
        <v>0</v>
      </c>
      <c r="BK1057" t="str">
        <f>IFERROR(VLOOKUP(B1057,'[1]model_S-フレーム'!$F$5:$R$7000,13,1),"")</f>
        <v>E389460_01</v>
      </c>
      <c r="BL1057" s="7">
        <f>IFERROR(VLOOKUP(B1057,'[1]model_S-フレーム'!$F$5:$V$7000,17,1),"")</f>
        <v>0</v>
      </c>
      <c r="BM1057" t="str" cm="1">
        <f t="array" ref="BM1057">_xlfn.IFS(LEFT(G1057,1)="L","外注品",LEFT(G1057,1)="W","内製品",G1057="","購買品")</f>
        <v>内製品</v>
      </c>
    </row>
    <row r="1058" spans="1:65">
      <c r="A1058" t="str">
        <f t="shared" si="163"/>
        <v>WG01</v>
      </c>
      <c r="B1058" t="s">
        <v>1208</v>
      </c>
      <c r="C1058" t="s">
        <v>1525</v>
      </c>
      <c r="D1058" s="7"/>
      <c r="E1058" s="7"/>
      <c r="G1058" t="s">
        <v>1939</v>
      </c>
      <c r="H1058" t="str" cm="1">
        <f t="array" ref="H1058">IFERROR(_xlfn.IFS(B1058="","",AND(B1058="",G1058=""),"",G1058="","記載要"),"")</f>
        <v/>
      </c>
      <c r="K1058" t="str">
        <f t="shared" si="164"/>
        <v>11WP01008618</v>
      </c>
      <c r="L1058" s="3" t="str">
        <f t="shared" si="165"/>
        <v>2001/01/01</v>
      </c>
      <c r="M1058" s="3" t="str">
        <f t="shared" si="166"/>
        <v>2199/12/31</v>
      </c>
      <c r="N1058" t="str">
        <f t="shared" si="167"/>
        <v>11WP01008618</v>
      </c>
      <c r="O1058">
        <v>15</v>
      </c>
      <c r="Q1058" t="str" cm="1">
        <f t="array" ref="Q1058">_xlfn.IFS(AND(C1058="",G1058=""),"",LEFT(G1058,1)="L","記載要",LEFT(G1058,1)="W","",AND(C1058,G1058=""),"記載要")</f>
        <v/>
      </c>
      <c r="R1058" s="21" t="str">
        <f t="shared" si="172"/>
        <v/>
      </c>
      <c r="S1058" s="21"/>
      <c r="Z1058" s="8"/>
      <c r="AA1058">
        <v>1</v>
      </c>
      <c r="AB1058">
        <f t="shared" si="168"/>
        <v>0</v>
      </c>
      <c r="AC1058">
        <v>1</v>
      </c>
      <c r="AF1058">
        <v>1</v>
      </c>
      <c r="AG1058" s="8"/>
      <c r="AH1058" s="8"/>
      <c r="AK1058" cm="1">
        <f t="array" ref="AK1058">_xlfn.IFS(B1058="","",LEFT(G1058,1)="L",1,LEFT(G1058,1)="W",1,AND(LEFT(B1058,1)="H",G1058=""),0)</f>
        <v>1</v>
      </c>
      <c r="AS1058" t="str">
        <f t="shared" si="169"/>
        <v/>
      </c>
      <c r="AT1058" t="s">
        <v>115</v>
      </c>
      <c r="AU1058" t="str">
        <f t="shared" si="170"/>
        <v>0</v>
      </c>
      <c r="BD1058" t="str">
        <f t="shared" si="171"/>
        <v>0</v>
      </c>
      <c r="BK1058" t="str">
        <f>IFERROR(VLOOKUP(B1058,'[1]model_S-フレーム'!$F$5:$R$7000,13,1),"")</f>
        <v>E389460_01</v>
      </c>
      <c r="BL1058" s="7">
        <f>IFERROR(VLOOKUP(B1058,'[1]model_S-フレーム'!$F$5:$V$7000,17,1),"")</f>
        <v>0</v>
      </c>
      <c r="BM1058" t="str" cm="1">
        <f t="array" ref="BM1058">_xlfn.IFS(LEFT(G1058,1)="L","外注品",LEFT(G1058,1)="W","内製品",G1058="","購買品")</f>
        <v>内製品</v>
      </c>
    </row>
    <row r="1059" spans="1:65">
      <c r="A1059" t="str">
        <f t="shared" si="163"/>
        <v>WG01</v>
      </c>
      <c r="B1059" t="s">
        <v>1209</v>
      </c>
      <c r="C1059" t="s">
        <v>1525</v>
      </c>
      <c r="D1059" s="7"/>
      <c r="E1059" s="7"/>
      <c r="G1059" t="s">
        <v>1939</v>
      </c>
      <c r="H1059" t="str" cm="1">
        <f t="array" ref="H1059">IFERROR(_xlfn.IFS(B1059="","",AND(B1059="",G1059=""),"",G1059="","記載要"),"")</f>
        <v/>
      </c>
      <c r="K1059" t="str">
        <f t="shared" si="164"/>
        <v>11WP01008619</v>
      </c>
      <c r="L1059" s="3" t="str">
        <f t="shared" si="165"/>
        <v>2001/01/01</v>
      </c>
      <c r="M1059" s="3" t="str">
        <f t="shared" si="166"/>
        <v>2199/12/31</v>
      </c>
      <c r="N1059" t="str">
        <f t="shared" si="167"/>
        <v>11WP01008619</v>
      </c>
      <c r="O1059">
        <v>15</v>
      </c>
      <c r="Q1059" t="str" cm="1">
        <f t="array" ref="Q1059">_xlfn.IFS(AND(C1059="",G1059=""),"",LEFT(G1059,1)="L","記載要",LEFT(G1059,1)="W","",AND(C1059,G1059=""),"記載要")</f>
        <v/>
      </c>
      <c r="R1059" s="21" t="str">
        <f t="shared" si="172"/>
        <v/>
      </c>
      <c r="S1059" s="21"/>
      <c r="Z1059" s="8"/>
      <c r="AA1059">
        <v>1</v>
      </c>
      <c r="AB1059">
        <f t="shared" si="168"/>
        <v>0</v>
      </c>
      <c r="AC1059">
        <v>1</v>
      </c>
      <c r="AF1059">
        <v>1</v>
      </c>
      <c r="AG1059" s="8"/>
      <c r="AH1059" s="8"/>
      <c r="AK1059" cm="1">
        <f t="array" ref="AK1059">_xlfn.IFS(B1059="","",LEFT(G1059,1)="L",1,LEFT(G1059,1)="W",1,AND(LEFT(B1059,1)="H",G1059=""),0)</f>
        <v>1</v>
      </c>
      <c r="AS1059" t="str">
        <f t="shared" si="169"/>
        <v/>
      </c>
      <c r="AT1059" t="s">
        <v>115</v>
      </c>
      <c r="AU1059" t="str">
        <f t="shared" si="170"/>
        <v>0</v>
      </c>
      <c r="BD1059" t="str">
        <f t="shared" si="171"/>
        <v>0</v>
      </c>
      <c r="BK1059" t="str">
        <f>IFERROR(VLOOKUP(B1059,'[1]model_S-フレーム'!$F$5:$R$7000,13,1),"")</f>
        <v>E389460_01</v>
      </c>
      <c r="BL1059" s="7">
        <f>IFERROR(VLOOKUP(B1059,'[1]model_S-フレーム'!$F$5:$V$7000,17,1),"")</f>
        <v>0</v>
      </c>
      <c r="BM1059" t="str" cm="1">
        <f t="array" ref="BM1059">_xlfn.IFS(LEFT(G1059,1)="L","外注品",LEFT(G1059,1)="W","内製品",G1059="","購買品")</f>
        <v>内製品</v>
      </c>
    </row>
    <row r="1060" spans="1:65">
      <c r="A1060" t="str">
        <f t="shared" si="163"/>
        <v>WG01</v>
      </c>
      <c r="B1060" t="s">
        <v>1210</v>
      </c>
      <c r="C1060" t="s">
        <v>1525</v>
      </c>
      <c r="D1060" s="7"/>
      <c r="E1060" s="7"/>
      <c r="G1060" t="s">
        <v>1939</v>
      </c>
      <c r="H1060" t="str" cm="1">
        <f t="array" ref="H1060">IFERROR(_xlfn.IFS(B1060="","",AND(B1060="",G1060=""),"",G1060="","記載要"),"")</f>
        <v/>
      </c>
      <c r="K1060" t="str">
        <f t="shared" si="164"/>
        <v>11WP01008620</v>
      </c>
      <c r="L1060" s="3" t="str">
        <f t="shared" si="165"/>
        <v>2001/01/01</v>
      </c>
      <c r="M1060" s="3" t="str">
        <f t="shared" si="166"/>
        <v>2199/12/31</v>
      </c>
      <c r="N1060" t="str">
        <f t="shared" si="167"/>
        <v>11WP01008620</v>
      </c>
      <c r="O1060">
        <v>15</v>
      </c>
      <c r="Q1060" t="str" cm="1">
        <f t="array" ref="Q1060">_xlfn.IFS(AND(C1060="",G1060=""),"",LEFT(G1060,1)="L","記載要",LEFT(G1060,1)="W","",AND(C1060,G1060=""),"記載要")</f>
        <v/>
      </c>
      <c r="R1060" s="21" t="str">
        <f t="shared" si="172"/>
        <v/>
      </c>
      <c r="S1060" s="21"/>
      <c r="Z1060" s="8"/>
      <c r="AA1060">
        <v>1</v>
      </c>
      <c r="AB1060">
        <f t="shared" si="168"/>
        <v>0</v>
      </c>
      <c r="AC1060">
        <v>1</v>
      </c>
      <c r="AF1060">
        <v>1</v>
      </c>
      <c r="AG1060" s="8"/>
      <c r="AH1060" s="8"/>
      <c r="AK1060" cm="1">
        <f t="array" ref="AK1060">_xlfn.IFS(B1060="","",LEFT(G1060,1)="L",1,LEFT(G1060,1)="W",1,AND(LEFT(B1060,1)="H",G1060=""),0)</f>
        <v>1</v>
      </c>
      <c r="AS1060" t="str">
        <f t="shared" si="169"/>
        <v/>
      </c>
      <c r="AT1060" t="s">
        <v>115</v>
      </c>
      <c r="AU1060" t="str">
        <f t="shared" si="170"/>
        <v>0</v>
      </c>
      <c r="BD1060" t="str">
        <f t="shared" si="171"/>
        <v>0</v>
      </c>
      <c r="BK1060" t="str">
        <f>IFERROR(VLOOKUP(B1060,'[1]model_S-フレーム'!$F$5:$R$7000,13,1),"")</f>
        <v>E389460_01</v>
      </c>
      <c r="BL1060" s="7">
        <f>IFERROR(VLOOKUP(B1060,'[1]model_S-フレーム'!$F$5:$V$7000,17,1),"")</f>
        <v>0</v>
      </c>
      <c r="BM1060" t="str" cm="1">
        <f t="array" ref="BM1060">_xlfn.IFS(LEFT(G1060,1)="L","外注品",LEFT(G1060,1)="W","内製品",G1060="","購買品")</f>
        <v>内製品</v>
      </c>
    </row>
    <row r="1061" spans="1:65">
      <c r="A1061" t="str">
        <f t="shared" si="163"/>
        <v>WG01</v>
      </c>
      <c r="B1061" t="s">
        <v>1211</v>
      </c>
      <c r="C1061" t="s">
        <v>1525</v>
      </c>
      <c r="D1061" s="7"/>
      <c r="E1061" s="7"/>
      <c r="G1061" t="s">
        <v>1939</v>
      </c>
      <c r="H1061" t="str" cm="1">
        <f t="array" ref="H1061">IFERROR(_xlfn.IFS(B1061="","",AND(B1061="",G1061=""),"",G1061="","記載要"),"")</f>
        <v/>
      </c>
      <c r="K1061" t="str">
        <f t="shared" si="164"/>
        <v>11WP01008621</v>
      </c>
      <c r="L1061" s="3" t="str">
        <f t="shared" si="165"/>
        <v>2001/01/01</v>
      </c>
      <c r="M1061" s="3" t="str">
        <f t="shared" si="166"/>
        <v>2199/12/31</v>
      </c>
      <c r="N1061" t="str">
        <f t="shared" si="167"/>
        <v>11WP01008621</v>
      </c>
      <c r="O1061">
        <v>15</v>
      </c>
      <c r="Q1061" t="str" cm="1">
        <f t="array" ref="Q1061">_xlfn.IFS(AND(C1061="",G1061=""),"",LEFT(G1061,1)="L","記載要",LEFT(G1061,1)="W","",AND(C1061,G1061=""),"記載要")</f>
        <v/>
      </c>
      <c r="R1061" s="21" t="str">
        <f t="shared" si="172"/>
        <v/>
      </c>
      <c r="S1061" s="21"/>
      <c r="Z1061" s="8"/>
      <c r="AA1061">
        <v>1</v>
      </c>
      <c r="AB1061">
        <f t="shared" si="168"/>
        <v>0</v>
      </c>
      <c r="AC1061">
        <v>1</v>
      </c>
      <c r="AF1061">
        <v>1</v>
      </c>
      <c r="AG1061" s="8"/>
      <c r="AH1061" s="8"/>
      <c r="AK1061" cm="1">
        <f t="array" ref="AK1061">_xlfn.IFS(B1061="","",LEFT(G1061,1)="L",1,LEFT(G1061,1)="W",1,AND(LEFT(B1061,1)="H",G1061=""),0)</f>
        <v>1</v>
      </c>
      <c r="AS1061" t="str">
        <f t="shared" si="169"/>
        <v/>
      </c>
      <c r="AT1061" t="s">
        <v>115</v>
      </c>
      <c r="AU1061" t="str">
        <f t="shared" si="170"/>
        <v>0</v>
      </c>
      <c r="BD1061" t="str">
        <f t="shared" si="171"/>
        <v>0</v>
      </c>
      <c r="BK1061" t="str">
        <f>IFERROR(VLOOKUP(B1061,'[1]model_S-フレーム'!$F$5:$R$7000,13,1),"")</f>
        <v>E389460_01</v>
      </c>
      <c r="BL1061" s="7">
        <f>IFERROR(VLOOKUP(B1061,'[1]model_S-フレーム'!$F$5:$V$7000,17,1),"")</f>
        <v>0</v>
      </c>
      <c r="BM1061" t="str" cm="1">
        <f t="array" ref="BM1061">_xlfn.IFS(LEFT(G1061,1)="L","外注品",LEFT(G1061,1)="W","内製品",G1061="","購買品")</f>
        <v>内製品</v>
      </c>
    </row>
    <row r="1062" spans="1:65">
      <c r="A1062" t="str">
        <f t="shared" si="163"/>
        <v>WG01</v>
      </c>
      <c r="B1062" t="s">
        <v>1212</v>
      </c>
      <c r="C1062" t="s">
        <v>1525</v>
      </c>
      <c r="D1062" s="7"/>
      <c r="E1062" s="7"/>
      <c r="G1062" t="s">
        <v>1939</v>
      </c>
      <c r="H1062" t="str" cm="1">
        <f t="array" ref="H1062">IFERROR(_xlfn.IFS(B1062="","",AND(B1062="",G1062=""),"",G1062="","記載要"),"")</f>
        <v/>
      </c>
      <c r="K1062" t="str">
        <f t="shared" si="164"/>
        <v>11WP01008622</v>
      </c>
      <c r="L1062" s="3" t="str">
        <f t="shared" si="165"/>
        <v>2001/01/01</v>
      </c>
      <c r="M1062" s="3" t="str">
        <f t="shared" si="166"/>
        <v>2199/12/31</v>
      </c>
      <c r="N1062" t="str">
        <f t="shared" si="167"/>
        <v>11WP01008622</v>
      </c>
      <c r="O1062">
        <v>15</v>
      </c>
      <c r="Q1062" t="str" cm="1">
        <f t="array" ref="Q1062">_xlfn.IFS(AND(C1062="",G1062=""),"",LEFT(G1062,1)="L","記載要",LEFT(G1062,1)="W","",AND(C1062,G1062=""),"記載要")</f>
        <v/>
      </c>
      <c r="R1062" s="21" t="str">
        <f t="shared" si="172"/>
        <v/>
      </c>
      <c r="S1062" s="21"/>
      <c r="Z1062" s="8"/>
      <c r="AA1062">
        <v>1</v>
      </c>
      <c r="AB1062">
        <f t="shared" si="168"/>
        <v>0</v>
      </c>
      <c r="AC1062">
        <v>1</v>
      </c>
      <c r="AF1062">
        <v>1</v>
      </c>
      <c r="AG1062" s="8"/>
      <c r="AH1062" s="8"/>
      <c r="AK1062" cm="1">
        <f t="array" ref="AK1062">_xlfn.IFS(B1062="","",LEFT(G1062,1)="L",1,LEFT(G1062,1)="W",1,AND(LEFT(B1062,1)="H",G1062=""),0)</f>
        <v>1</v>
      </c>
      <c r="AS1062" t="str">
        <f t="shared" si="169"/>
        <v/>
      </c>
      <c r="AT1062" t="s">
        <v>115</v>
      </c>
      <c r="AU1062" t="str">
        <f t="shared" si="170"/>
        <v>0</v>
      </c>
      <c r="BD1062" t="str">
        <f t="shared" si="171"/>
        <v>0</v>
      </c>
      <c r="BK1062" t="str">
        <f>IFERROR(VLOOKUP(B1062,'[1]model_S-フレーム'!$F$5:$R$7000,13,1),"")</f>
        <v>E389460_01</v>
      </c>
      <c r="BL1062" s="7">
        <f>IFERROR(VLOOKUP(B1062,'[1]model_S-フレーム'!$F$5:$V$7000,17,1),"")</f>
        <v>0</v>
      </c>
      <c r="BM1062" t="str" cm="1">
        <f t="array" ref="BM1062">_xlfn.IFS(LEFT(G1062,1)="L","外注品",LEFT(G1062,1)="W","内製品",G1062="","購買品")</f>
        <v>内製品</v>
      </c>
    </row>
    <row r="1063" spans="1:65">
      <c r="A1063" t="str">
        <f t="shared" si="163"/>
        <v>WG01</v>
      </c>
      <c r="B1063" t="s">
        <v>1213</v>
      </c>
      <c r="C1063" t="s">
        <v>1525</v>
      </c>
      <c r="D1063" s="7"/>
      <c r="E1063" s="7"/>
      <c r="G1063" t="s">
        <v>1939</v>
      </c>
      <c r="H1063" t="str" cm="1">
        <f t="array" ref="H1063">IFERROR(_xlfn.IFS(B1063="","",AND(B1063="",G1063=""),"",G1063="","記載要"),"")</f>
        <v/>
      </c>
      <c r="K1063" t="str">
        <f t="shared" si="164"/>
        <v>11WP01008623</v>
      </c>
      <c r="L1063" s="3" t="str">
        <f t="shared" si="165"/>
        <v>2001/01/01</v>
      </c>
      <c r="M1063" s="3" t="str">
        <f t="shared" si="166"/>
        <v>2199/12/31</v>
      </c>
      <c r="N1063" t="str">
        <f t="shared" si="167"/>
        <v>11WP01008623</v>
      </c>
      <c r="O1063">
        <v>15</v>
      </c>
      <c r="Q1063" t="str" cm="1">
        <f t="array" ref="Q1063">_xlfn.IFS(AND(C1063="",G1063=""),"",LEFT(G1063,1)="L","記載要",LEFT(G1063,1)="W","",AND(C1063,G1063=""),"記載要")</f>
        <v/>
      </c>
      <c r="R1063" s="21" t="str">
        <f t="shared" si="172"/>
        <v/>
      </c>
      <c r="S1063" s="21"/>
      <c r="Z1063" s="8"/>
      <c r="AA1063">
        <v>1</v>
      </c>
      <c r="AB1063">
        <f t="shared" si="168"/>
        <v>0</v>
      </c>
      <c r="AC1063">
        <v>1</v>
      </c>
      <c r="AF1063">
        <v>1</v>
      </c>
      <c r="AG1063" s="8"/>
      <c r="AH1063" s="8"/>
      <c r="AK1063" cm="1">
        <f t="array" ref="AK1063">_xlfn.IFS(B1063="","",LEFT(G1063,1)="L",1,LEFT(G1063,1)="W",1,AND(LEFT(B1063,1)="H",G1063=""),0)</f>
        <v>1</v>
      </c>
      <c r="AS1063" t="str">
        <f t="shared" si="169"/>
        <v/>
      </c>
      <c r="AT1063" t="s">
        <v>115</v>
      </c>
      <c r="AU1063" t="str">
        <f t="shared" si="170"/>
        <v>0</v>
      </c>
      <c r="BD1063" t="str">
        <f t="shared" si="171"/>
        <v>0</v>
      </c>
      <c r="BK1063" t="str">
        <f>IFERROR(VLOOKUP(B1063,'[1]model_S-フレーム'!$F$5:$R$7000,13,1),"")</f>
        <v>E389460_01</v>
      </c>
      <c r="BL1063" s="7">
        <f>IFERROR(VLOOKUP(B1063,'[1]model_S-フレーム'!$F$5:$V$7000,17,1),"")</f>
        <v>0</v>
      </c>
      <c r="BM1063" t="str" cm="1">
        <f t="array" ref="BM1063">_xlfn.IFS(LEFT(G1063,1)="L","外注品",LEFT(G1063,1)="W","内製品",G1063="","購買品")</f>
        <v>内製品</v>
      </c>
    </row>
    <row r="1064" spans="1:65">
      <c r="A1064" t="str">
        <f t="shared" si="163"/>
        <v>WG01</v>
      </c>
      <c r="B1064" t="s">
        <v>1214</v>
      </c>
      <c r="C1064" t="s">
        <v>1525</v>
      </c>
      <c r="D1064" s="7"/>
      <c r="E1064" s="7"/>
      <c r="G1064" t="s">
        <v>1939</v>
      </c>
      <c r="H1064" t="str" cm="1">
        <f t="array" ref="H1064">IFERROR(_xlfn.IFS(B1064="","",AND(B1064="",G1064=""),"",G1064="","記載要"),"")</f>
        <v/>
      </c>
      <c r="K1064" t="str">
        <f t="shared" si="164"/>
        <v>11WP01008624</v>
      </c>
      <c r="L1064" s="3" t="str">
        <f t="shared" si="165"/>
        <v>2001/01/01</v>
      </c>
      <c r="M1064" s="3" t="str">
        <f t="shared" si="166"/>
        <v>2199/12/31</v>
      </c>
      <c r="N1064" t="str">
        <f t="shared" si="167"/>
        <v>11WP01008624</v>
      </c>
      <c r="O1064">
        <v>15</v>
      </c>
      <c r="Q1064" t="str" cm="1">
        <f t="array" ref="Q1064">_xlfn.IFS(AND(C1064="",G1064=""),"",LEFT(G1064,1)="L","記載要",LEFT(G1064,1)="W","",AND(C1064,G1064=""),"記載要")</f>
        <v/>
      </c>
      <c r="R1064" s="21" t="str">
        <f t="shared" si="172"/>
        <v/>
      </c>
      <c r="S1064" s="21"/>
      <c r="Z1064" s="8"/>
      <c r="AA1064">
        <v>1</v>
      </c>
      <c r="AB1064">
        <f t="shared" si="168"/>
        <v>0</v>
      </c>
      <c r="AC1064">
        <v>1</v>
      </c>
      <c r="AF1064">
        <v>1</v>
      </c>
      <c r="AG1064" s="8"/>
      <c r="AH1064" s="8"/>
      <c r="AK1064" cm="1">
        <f t="array" ref="AK1064">_xlfn.IFS(B1064="","",LEFT(G1064,1)="L",1,LEFT(G1064,1)="W",1,AND(LEFT(B1064,1)="H",G1064=""),0)</f>
        <v>1</v>
      </c>
      <c r="AS1064" t="str">
        <f t="shared" si="169"/>
        <v/>
      </c>
      <c r="AT1064" t="s">
        <v>115</v>
      </c>
      <c r="AU1064" t="str">
        <f t="shared" si="170"/>
        <v>0</v>
      </c>
      <c r="BD1064" t="str">
        <f t="shared" si="171"/>
        <v>0</v>
      </c>
      <c r="BK1064" t="str">
        <f>IFERROR(VLOOKUP(B1064,'[1]model_S-フレーム'!$F$5:$R$7000,13,1),"")</f>
        <v>E389460_01</v>
      </c>
      <c r="BL1064" s="7">
        <f>IFERROR(VLOOKUP(B1064,'[1]model_S-フレーム'!$F$5:$V$7000,17,1),"")</f>
        <v>0</v>
      </c>
      <c r="BM1064" t="str" cm="1">
        <f t="array" ref="BM1064">_xlfn.IFS(LEFT(G1064,1)="L","外注品",LEFT(G1064,1)="W","内製品",G1064="","購買品")</f>
        <v>内製品</v>
      </c>
    </row>
    <row r="1065" spans="1:65">
      <c r="A1065" t="str">
        <f t="shared" si="163"/>
        <v>WG01</v>
      </c>
      <c r="B1065" t="s">
        <v>1215</v>
      </c>
      <c r="C1065" t="s">
        <v>1525</v>
      </c>
      <c r="D1065" s="7"/>
      <c r="E1065" s="7"/>
      <c r="G1065" t="s">
        <v>1939</v>
      </c>
      <c r="H1065" t="str" cm="1">
        <f t="array" ref="H1065">IFERROR(_xlfn.IFS(B1065="","",AND(B1065="",G1065=""),"",G1065="","記載要"),"")</f>
        <v/>
      </c>
      <c r="K1065" t="str">
        <f t="shared" si="164"/>
        <v>11WP01008625</v>
      </c>
      <c r="L1065" s="3" t="str">
        <f t="shared" si="165"/>
        <v>2001/01/01</v>
      </c>
      <c r="M1065" s="3" t="str">
        <f t="shared" si="166"/>
        <v>2199/12/31</v>
      </c>
      <c r="N1065" t="str">
        <f t="shared" si="167"/>
        <v>11WP01008625</v>
      </c>
      <c r="O1065">
        <v>15</v>
      </c>
      <c r="Q1065" t="str" cm="1">
        <f t="array" ref="Q1065">_xlfn.IFS(AND(C1065="",G1065=""),"",LEFT(G1065,1)="L","記載要",LEFT(G1065,1)="W","",AND(C1065,G1065=""),"記載要")</f>
        <v/>
      </c>
      <c r="R1065" s="21" t="str">
        <f t="shared" si="172"/>
        <v/>
      </c>
      <c r="S1065" s="21"/>
      <c r="Z1065" s="8"/>
      <c r="AA1065">
        <v>1</v>
      </c>
      <c r="AB1065">
        <f t="shared" si="168"/>
        <v>0</v>
      </c>
      <c r="AC1065">
        <v>1</v>
      </c>
      <c r="AF1065">
        <v>1</v>
      </c>
      <c r="AG1065" s="8"/>
      <c r="AH1065" s="8"/>
      <c r="AK1065" cm="1">
        <f t="array" ref="AK1065">_xlfn.IFS(B1065="","",LEFT(G1065,1)="L",1,LEFT(G1065,1)="W",1,AND(LEFT(B1065,1)="H",G1065=""),0)</f>
        <v>1</v>
      </c>
      <c r="AS1065" t="str">
        <f t="shared" si="169"/>
        <v/>
      </c>
      <c r="AT1065" t="s">
        <v>115</v>
      </c>
      <c r="AU1065" t="str">
        <f t="shared" si="170"/>
        <v>0</v>
      </c>
      <c r="BD1065" t="str">
        <f t="shared" si="171"/>
        <v>0</v>
      </c>
      <c r="BK1065" t="str">
        <f>IFERROR(VLOOKUP(B1065,'[1]model_S-フレーム'!$F$5:$R$7000,13,1),"")</f>
        <v>E389460_01</v>
      </c>
      <c r="BL1065" s="7">
        <f>IFERROR(VLOOKUP(B1065,'[1]model_S-フレーム'!$F$5:$V$7000,17,1),"")</f>
        <v>0</v>
      </c>
      <c r="BM1065" t="str" cm="1">
        <f t="array" ref="BM1065">_xlfn.IFS(LEFT(G1065,1)="L","外注品",LEFT(G1065,1)="W","内製品",G1065="","購買品")</f>
        <v>内製品</v>
      </c>
    </row>
    <row r="1066" spans="1:65">
      <c r="A1066" t="str">
        <f t="shared" si="163"/>
        <v>WG01</v>
      </c>
      <c r="B1066" t="s">
        <v>1216</v>
      </c>
      <c r="C1066" t="s">
        <v>1525</v>
      </c>
      <c r="D1066" s="7"/>
      <c r="E1066" s="7"/>
      <c r="G1066" t="s">
        <v>1939</v>
      </c>
      <c r="H1066" t="str" cm="1">
        <f t="array" ref="H1066">IFERROR(_xlfn.IFS(B1066="","",AND(B1066="",G1066=""),"",G1066="","記載要"),"")</f>
        <v/>
      </c>
      <c r="K1066" t="str">
        <f t="shared" si="164"/>
        <v>11WP01008626</v>
      </c>
      <c r="L1066" s="3" t="str">
        <f t="shared" si="165"/>
        <v>2001/01/01</v>
      </c>
      <c r="M1066" s="3" t="str">
        <f t="shared" si="166"/>
        <v>2199/12/31</v>
      </c>
      <c r="N1066" t="str">
        <f t="shared" si="167"/>
        <v>11WP01008626</v>
      </c>
      <c r="O1066">
        <v>15</v>
      </c>
      <c r="Q1066" t="str" cm="1">
        <f t="array" ref="Q1066">_xlfn.IFS(AND(C1066="",G1066=""),"",LEFT(G1066,1)="L","記載要",LEFT(G1066,1)="W","",AND(C1066,G1066=""),"記載要")</f>
        <v/>
      </c>
      <c r="R1066" s="21" t="str">
        <f t="shared" si="172"/>
        <v/>
      </c>
      <c r="S1066" s="21"/>
      <c r="Z1066" s="8"/>
      <c r="AA1066">
        <v>1</v>
      </c>
      <c r="AB1066">
        <f t="shared" si="168"/>
        <v>0</v>
      </c>
      <c r="AC1066">
        <v>1</v>
      </c>
      <c r="AF1066">
        <v>1</v>
      </c>
      <c r="AG1066" s="8"/>
      <c r="AH1066" s="8"/>
      <c r="AK1066" cm="1">
        <f t="array" ref="AK1066">_xlfn.IFS(B1066="","",LEFT(G1066,1)="L",1,LEFT(G1066,1)="W",1,AND(LEFT(B1066,1)="H",G1066=""),0)</f>
        <v>1</v>
      </c>
      <c r="AS1066" t="str">
        <f t="shared" si="169"/>
        <v/>
      </c>
      <c r="AT1066" t="s">
        <v>115</v>
      </c>
      <c r="AU1066" t="str">
        <f t="shared" si="170"/>
        <v>0</v>
      </c>
      <c r="BD1066" t="str">
        <f t="shared" si="171"/>
        <v>0</v>
      </c>
      <c r="BK1066" t="str">
        <f>IFERROR(VLOOKUP(B1066,'[1]model_S-フレーム'!$F$5:$R$7000,13,1),"")</f>
        <v>E389460_01</v>
      </c>
      <c r="BL1066" s="7">
        <f>IFERROR(VLOOKUP(B1066,'[1]model_S-フレーム'!$F$5:$V$7000,17,1),"")</f>
        <v>0</v>
      </c>
      <c r="BM1066" t="str" cm="1">
        <f t="array" ref="BM1066">_xlfn.IFS(LEFT(G1066,1)="L","外注品",LEFT(G1066,1)="W","内製品",G1066="","購買品")</f>
        <v>内製品</v>
      </c>
    </row>
    <row r="1067" spans="1:65">
      <c r="A1067" t="str">
        <f t="shared" si="163"/>
        <v>WG01</v>
      </c>
      <c r="B1067" t="s">
        <v>1217</v>
      </c>
      <c r="C1067" t="s">
        <v>1525</v>
      </c>
      <c r="D1067" s="7"/>
      <c r="E1067" s="7"/>
      <c r="G1067" t="s">
        <v>1939</v>
      </c>
      <c r="H1067" t="str" cm="1">
        <f t="array" ref="H1067">IFERROR(_xlfn.IFS(B1067="","",AND(B1067="",G1067=""),"",G1067="","記載要"),"")</f>
        <v/>
      </c>
      <c r="K1067" t="str">
        <f t="shared" si="164"/>
        <v>11WP01008627</v>
      </c>
      <c r="L1067" s="3" t="str">
        <f t="shared" si="165"/>
        <v>2001/01/01</v>
      </c>
      <c r="M1067" s="3" t="str">
        <f t="shared" si="166"/>
        <v>2199/12/31</v>
      </c>
      <c r="N1067" t="str">
        <f t="shared" si="167"/>
        <v>11WP01008627</v>
      </c>
      <c r="O1067">
        <v>15</v>
      </c>
      <c r="Q1067" t="str" cm="1">
        <f t="array" ref="Q1067">_xlfn.IFS(AND(C1067="",G1067=""),"",LEFT(G1067,1)="L","記載要",LEFT(G1067,1)="W","",AND(C1067,G1067=""),"記載要")</f>
        <v/>
      </c>
      <c r="R1067" s="21" t="str">
        <f t="shared" si="172"/>
        <v/>
      </c>
      <c r="S1067" s="21"/>
      <c r="Z1067" s="8"/>
      <c r="AA1067">
        <v>1</v>
      </c>
      <c r="AB1067">
        <f t="shared" si="168"/>
        <v>0</v>
      </c>
      <c r="AC1067">
        <v>1</v>
      </c>
      <c r="AF1067">
        <v>1</v>
      </c>
      <c r="AG1067" s="8"/>
      <c r="AH1067" s="8"/>
      <c r="AK1067" cm="1">
        <f t="array" ref="AK1067">_xlfn.IFS(B1067="","",LEFT(G1067,1)="L",1,LEFT(G1067,1)="W",1,AND(LEFT(B1067,1)="H",G1067=""),0)</f>
        <v>1</v>
      </c>
      <c r="AS1067" t="str">
        <f t="shared" si="169"/>
        <v/>
      </c>
      <c r="AT1067" t="s">
        <v>115</v>
      </c>
      <c r="AU1067" t="str">
        <f t="shared" si="170"/>
        <v>0</v>
      </c>
      <c r="BD1067" t="str">
        <f t="shared" si="171"/>
        <v>0</v>
      </c>
      <c r="BK1067" t="str">
        <f>IFERROR(VLOOKUP(B1067,'[1]model_S-フレーム'!$F$5:$R$7000,13,1),"")</f>
        <v>E389460_01</v>
      </c>
      <c r="BL1067" s="7">
        <f>IFERROR(VLOOKUP(B1067,'[1]model_S-フレーム'!$F$5:$V$7000,17,1),"")</f>
        <v>0</v>
      </c>
      <c r="BM1067" t="str" cm="1">
        <f t="array" ref="BM1067">_xlfn.IFS(LEFT(G1067,1)="L","外注品",LEFT(G1067,1)="W","内製品",G1067="","購買品")</f>
        <v>内製品</v>
      </c>
    </row>
    <row r="1068" spans="1:65">
      <c r="A1068" t="str">
        <f t="shared" si="163"/>
        <v>WG01</v>
      </c>
      <c r="B1068" t="s">
        <v>1218</v>
      </c>
      <c r="C1068" t="s">
        <v>1525</v>
      </c>
      <c r="D1068" s="7"/>
      <c r="E1068" s="7"/>
      <c r="G1068" t="s">
        <v>1939</v>
      </c>
      <c r="H1068" t="str" cm="1">
        <f t="array" ref="H1068">IFERROR(_xlfn.IFS(B1068="","",AND(B1068="",G1068=""),"",G1068="","記載要"),"")</f>
        <v/>
      </c>
      <c r="K1068" t="str">
        <f t="shared" si="164"/>
        <v>11WP01008628</v>
      </c>
      <c r="L1068" s="3" t="str">
        <f t="shared" si="165"/>
        <v>2001/01/01</v>
      </c>
      <c r="M1068" s="3" t="str">
        <f t="shared" si="166"/>
        <v>2199/12/31</v>
      </c>
      <c r="N1068" t="str">
        <f t="shared" si="167"/>
        <v>11WP01008628</v>
      </c>
      <c r="O1068">
        <v>15</v>
      </c>
      <c r="Q1068" t="str" cm="1">
        <f t="array" ref="Q1068">_xlfn.IFS(AND(C1068="",G1068=""),"",LEFT(G1068,1)="L","記載要",LEFT(G1068,1)="W","",AND(C1068,G1068=""),"記載要")</f>
        <v/>
      </c>
      <c r="R1068" s="21" t="str">
        <f t="shared" si="172"/>
        <v/>
      </c>
      <c r="S1068" s="21"/>
      <c r="Z1068" s="8"/>
      <c r="AA1068">
        <v>1</v>
      </c>
      <c r="AB1068">
        <f t="shared" si="168"/>
        <v>0</v>
      </c>
      <c r="AC1068">
        <v>1</v>
      </c>
      <c r="AF1068">
        <v>1</v>
      </c>
      <c r="AG1068" s="8"/>
      <c r="AH1068" s="8"/>
      <c r="AK1068" cm="1">
        <f t="array" ref="AK1068">_xlfn.IFS(B1068="","",LEFT(G1068,1)="L",1,LEFT(G1068,1)="W",1,AND(LEFT(B1068,1)="H",G1068=""),0)</f>
        <v>1</v>
      </c>
      <c r="AS1068" t="str">
        <f t="shared" si="169"/>
        <v/>
      </c>
      <c r="AT1068" t="s">
        <v>115</v>
      </c>
      <c r="AU1068" t="str">
        <f t="shared" si="170"/>
        <v>0</v>
      </c>
      <c r="BD1068" t="str">
        <f t="shared" si="171"/>
        <v>0</v>
      </c>
      <c r="BK1068" t="str">
        <f>IFERROR(VLOOKUP(B1068,'[1]model_S-フレーム'!$F$5:$R$7000,13,1),"")</f>
        <v>E389460_01</v>
      </c>
      <c r="BL1068" s="7">
        <f>IFERROR(VLOOKUP(B1068,'[1]model_S-フレーム'!$F$5:$V$7000,17,1),"")</f>
        <v>0</v>
      </c>
      <c r="BM1068" t="str" cm="1">
        <f t="array" ref="BM1068">_xlfn.IFS(LEFT(G1068,1)="L","外注品",LEFT(G1068,1)="W","内製品",G1068="","購買品")</f>
        <v>内製品</v>
      </c>
    </row>
    <row r="1069" spans="1:65">
      <c r="A1069" t="str">
        <f t="shared" si="163"/>
        <v>WG01</v>
      </c>
      <c r="B1069" t="s">
        <v>1219</v>
      </c>
      <c r="C1069" t="s">
        <v>1525</v>
      </c>
      <c r="D1069" s="7"/>
      <c r="E1069" s="7"/>
      <c r="G1069" t="s">
        <v>1939</v>
      </c>
      <c r="H1069" t="str" cm="1">
        <f t="array" ref="H1069">IFERROR(_xlfn.IFS(B1069="","",AND(B1069="",G1069=""),"",G1069="","記載要"),"")</f>
        <v/>
      </c>
      <c r="K1069" t="str">
        <f t="shared" si="164"/>
        <v>11WP01008629</v>
      </c>
      <c r="L1069" s="3" t="str">
        <f t="shared" si="165"/>
        <v>2001/01/01</v>
      </c>
      <c r="M1069" s="3" t="str">
        <f t="shared" si="166"/>
        <v>2199/12/31</v>
      </c>
      <c r="N1069" t="str">
        <f t="shared" si="167"/>
        <v>11WP01008629</v>
      </c>
      <c r="O1069">
        <v>15</v>
      </c>
      <c r="Q1069" t="str" cm="1">
        <f t="array" ref="Q1069">_xlfn.IFS(AND(C1069="",G1069=""),"",LEFT(G1069,1)="L","記載要",LEFT(G1069,1)="W","",AND(C1069,G1069=""),"記載要")</f>
        <v/>
      </c>
      <c r="R1069" s="21" t="str">
        <f t="shared" si="172"/>
        <v/>
      </c>
      <c r="S1069" s="21"/>
      <c r="Z1069" s="8"/>
      <c r="AA1069">
        <v>1</v>
      </c>
      <c r="AB1069">
        <f t="shared" si="168"/>
        <v>0</v>
      </c>
      <c r="AC1069">
        <v>1</v>
      </c>
      <c r="AF1069">
        <v>1</v>
      </c>
      <c r="AG1069" s="8"/>
      <c r="AH1069" s="8"/>
      <c r="AK1069" cm="1">
        <f t="array" ref="AK1069">_xlfn.IFS(B1069="","",LEFT(G1069,1)="L",1,LEFT(G1069,1)="W",1,AND(LEFT(B1069,1)="H",G1069=""),0)</f>
        <v>1</v>
      </c>
      <c r="AS1069" t="str">
        <f t="shared" si="169"/>
        <v/>
      </c>
      <c r="AT1069" t="s">
        <v>115</v>
      </c>
      <c r="AU1069" t="str">
        <f t="shared" si="170"/>
        <v>0</v>
      </c>
      <c r="BD1069" t="str">
        <f t="shared" si="171"/>
        <v>0</v>
      </c>
      <c r="BK1069" t="str">
        <f>IFERROR(VLOOKUP(B1069,'[1]model_S-フレーム'!$F$5:$R$7000,13,1),"")</f>
        <v>E389460_01</v>
      </c>
      <c r="BL1069" s="7">
        <f>IFERROR(VLOOKUP(B1069,'[1]model_S-フレーム'!$F$5:$V$7000,17,1),"")</f>
        <v>0</v>
      </c>
      <c r="BM1069" t="str" cm="1">
        <f t="array" ref="BM1069">_xlfn.IFS(LEFT(G1069,1)="L","外注品",LEFT(G1069,1)="W","内製品",G1069="","購買品")</f>
        <v>内製品</v>
      </c>
    </row>
    <row r="1070" spans="1:65">
      <c r="A1070" t="str">
        <f t="shared" si="163"/>
        <v>WG01</v>
      </c>
      <c r="B1070" t="s">
        <v>1220</v>
      </c>
      <c r="C1070" t="s">
        <v>1525</v>
      </c>
      <c r="D1070" s="7"/>
      <c r="E1070" s="7"/>
      <c r="G1070" t="s">
        <v>1939</v>
      </c>
      <c r="H1070" t="str" cm="1">
        <f t="array" ref="H1070">IFERROR(_xlfn.IFS(B1070="","",AND(B1070="",G1070=""),"",G1070="","記載要"),"")</f>
        <v/>
      </c>
      <c r="K1070" t="str">
        <f t="shared" si="164"/>
        <v>11WP01008630</v>
      </c>
      <c r="L1070" s="3" t="str">
        <f t="shared" si="165"/>
        <v>2001/01/01</v>
      </c>
      <c r="M1070" s="3" t="str">
        <f t="shared" si="166"/>
        <v>2199/12/31</v>
      </c>
      <c r="N1070" t="str">
        <f t="shared" si="167"/>
        <v>11WP01008630</v>
      </c>
      <c r="O1070">
        <v>15</v>
      </c>
      <c r="Q1070" t="str" cm="1">
        <f t="array" ref="Q1070">_xlfn.IFS(AND(C1070="",G1070=""),"",LEFT(G1070,1)="L","記載要",LEFT(G1070,1)="W","",AND(C1070,G1070=""),"記載要")</f>
        <v/>
      </c>
      <c r="R1070" s="21" t="str">
        <f t="shared" si="172"/>
        <v/>
      </c>
      <c r="S1070" s="21"/>
      <c r="Z1070" s="8"/>
      <c r="AA1070">
        <v>1</v>
      </c>
      <c r="AB1070">
        <f t="shared" si="168"/>
        <v>0</v>
      </c>
      <c r="AC1070">
        <v>1</v>
      </c>
      <c r="AF1070">
        <v>1</v>
      </c>
      <c r="AG1070" s="8"/>
      <c r="AH1070" s="8"/>
      <c r="AK1070" cm="1">
        <f t="array" ref="AK1070">_xlfn.IFS(B1070="","",LEFT(G1070,1)="L",1,LEFT(G1070,1)="W",1,AND(LEFT(B1070,1)="H",G1070=""),0)</f>
        <v>1</v>
      </c>
      <c r="AS1070" t="str">
        <f t="shared" si="169"/>
        <v/>
      </c>
      <c r="AT1070" t="s">
        <v>115</v>
      </c>
      <c r="AU1070" t="str">
        <f t="shared" si="170"/>
        <v>0</v>
      </c>
      <c r="BD1070" t="str">
        <f t="shared" si="171"/>
        <v>0</v>
      </c>
      <c r="BK1070" t="str">
        <f>IFERROR(VLOOKUP(B1070,'[1]model_S-フレーム'!$F$5:$R$7000,13,1),"")</f>
        <v>E389460_01</v>
      </c>
      <c r="BL1070" s="7">
        <f>IFERROR(VLOOKUP(B1070,'[1]model_S-フレーム'!$F$5:$V$7000,17,1),"")</f>
        <v>0</v>
      </c>
      <c r="BM1070" t="str" cm="1">
        <f t="array" ref="BM1070">_xlfn.IFS(LEFT(G1070,1)="L","外注品",LEFT(G1070,1)="W","内製品",G1070="","購買品")</f>
        <v>内製品</v>
      </c>
    </row>
    <row r="1071" spans="1:65">
      <c r="A1071" t="str">
        <f t="shared" si="163"/>
        <v>WG01</v>
      </c>
      <c r="B1071" t="s">
        <v>1221</v>
      </c>
      <c r="C1071" t="s">
        <v>1525</v>
      </c>
      <c r="D1071" s="7"/>
      <c r="E1071" s="7"/>
      <c r="G1071" t="s">
        <v>1939</v>
      </c>
      <c r="H1071" t="str" cm="1">
        <f t="array" ref="H1071">IFERROR(_xlfn.IFS(B1071="","",AND(B1071="",G1071=""),"",G1071="","記載要"),"")</f>
        <v/>
      </c>
      <c r="K1071" t="str">
        <f t="shared" si="164"/>
        <v>11WP01008631</v>
      </c>
      <c r="L1071" s="3" t="str">
        <f t="shared" si="165"/>
        <v>2001/01/01</v>
      </c>
      <c r="M1071" s="3" t="str">
        <f t="shared" si="166"/>
        <v>2199/12/31</v>
      </c>
      <c r="N1071" t="str">
        <f t="shared" si="167"/>
        <v>11WP01008631</v>
      </c>
      <c r="O1071">
        <v>15</v>
      </c>
      <c r="Q1071" t="str" cm="1">
        <f t="array" ref="Q1071">_xlfn.IFS(AND(C1071="",G1071=""),"",LEFT(G1071,1)="L","記載要",LEFT(G1071,1)="W","",AND(C1071,G1071=""),"記載要")</f>
        <v/>
      </c>
      <c r="R1071" s="21" t="str">
        <f t="shared" si="172"/>
        <v/>
      </c>
      <c r="S1071" s="21"/>
      <c r="Z1071" s="8"/>
      <c r="AA1071">
        <v>1</v>
      </c>
      <c r="AB1071">
        <f t="shared" si="168"/>
        <v>0</v>
      </c>
      <c r="AC1071">
        <v>1</v>
      </c>
      <c r="AF1071">
        <v>1</v>
      </c>
      <c r="AG1071" s="8"/>
      <c r="AH1071" s="8"/>
      <c r="AK1071" cm="1">
        <f t="array" ref="AK1071">_xlfn.IFS(B1071="","",LEFT(G1071,1)="L",1,LEFT(G1071,1)="W",1,AND(LEFT(B1071,1)="H",G1071=""),0)</f>
        <v>1</v>
      </c>
      <c r="AS1071" t="str">
        <f t="shared" si="169"/>
        <v/>
      </c>
      <c r="AT1071" t="s">
        <v>115</v>
      </c>
      <c r="AU1071" t="str">
        <f t="shared" si="170"/>
        <v>0</v>
      </c>
      <c r="BD1071" t="str">
        <f t="shared" si="171"/>
        <v>0</v>
      </c>
      <c r="BK1071" t="str">
        <f>IFERROR(VLOOKUP(B1071,'[1]model_S-フレーム'!$F$5:$R$7000,13,1),"")</f>
        <v>E389460_01</v>
      </c>
      <c r="BL1071" s="7">
        <f>IFERROR(VLOOKUP(B1071,'[1]model_S-フレーム'!$F$5:$V$7000,17,1),"")</f>
        <v>0</v>
      </c>
      <c r="BM1071" t="str" cm="1">
        <f t="array" ref="BM1071">_xlfn.IFS(LEFT(G1071,1)="L","外注品",LEFT(G1071,1)="W","内製品",G1071="","購買品")</f>
        <v>内製品</v>
      </c>
    </row>
    <row r="1072" spans="1:65">
      <c r="A1072" t="str">
        <f t="shared" si="163"/>
        <v>WG01</v>
      </c>
      <c r="B1072" t="s">
        <v>1222</v>
      </c>
      <c r="C1072" t="s">
        <v>1525</v>
      </c>
      <c r="D1072" s="7"/>
      <c r="E1072" s="7"/>
      <c r="G1072" t="s">
        <v>1939</v>
      </c>
      <c r="H1072" t="str" cm="1">
        <f t="array" ref="H1072">IFERROR(_xlfn.IFS(B1072="","",AND(B1072="",G1072=""),"",G1072="","記載要"),"")</f>
        <v/>
      </c>
      <c r="K1072" t="str">
        <f t="shared" si="164"/>
        <v>11WP01008632</v>
      </c>
      <c r="L1072" s="3" t="str">
        <f t="shared" si="165"/>
        <v>2001/01/01</v>
      </c>
      <c r="M1072" s="3" t="str">
        <f t="shared" si="166"/>
        <v>2199/12/31</v>
      </c>
      <c r="N1072" t="str">
        <f t="shared" si="167"/>
        <v>11WP01008632</v>
      </c>
      <c r="O1072">
        <v>15</v>
      </c>
      <c r="Q1072" t="str" cm="1">
        <f t="array" ref="Q1072">_xlfn.IFS(AND(C1072="",G1072=""),"",LEFT(G1072,1)="L","記載要",LEFT(G1072,1)="W","",AND(C1072,G1072=""),"記載要")</f>
        <v/>
      </c>
      <c r="R1072" s="21" t="str">
        <f t="shared" si="172"/>
        <v/>
      </c>
      <c r="S1072" s="21"/>
      <c r="Z1072" s="8"/>
      <c r="AA1072">
        <v>1</v>
      </c>
      <c r="AB1072">
        <f t="shared" si="168"/>
        <v>0</v>
      </c>
      <c r="AC1072">
        <v>1</v>
      </c>
      <c r="AF1072">
        <v>1</v>
      </c>
      <c r="AG1072" s="8"/>
      <c r="AH1072" s="8"/>
      <c r="AK1072" cm="1">
        <f t="array" ref="AK1072">_xlfn.IFS(B1072="","",LEFT(G1072,1)="L",1,LEFT(G1072,1)="W",1,AND(LEFT(B1072,1)="H",G1072=""),0)</f>
        <v>1</v>
      </c>
      <c r="AS1072" t="str">
        <f t="shared" si="169"/>
        <v/>
      </c>
      <c r="AT1072" t="s">
        <v>115</v>
      </c>
      <c r="AU1072" t="str">
        <f t="shared" si="170"/>
        <v>0</v>
      </c>
      <c r="BD1072" t="str">
        <f t="shared" si="171"/>
        <v>0</v>
      </c>
      <c r="BK1072" t="str">
        <f>IFERROR(VLOOKUP(B1072,'[1]model_S-フレーム'!$F$5:$R$7000,13,1),"")</f>
        <v>E389460_01</v>
      </c>
      <c r="BL1072" s="7">
        <f>IFERROR(VLOOKUP(B1072,'[1]model_S-フレーム'!$F$5:$V$7000,17,1),"")</f>
        <v>0</v>
      </c>
      <c r="BM1072" t="str" cm="1">
        <f t="array" ref="BM1072">_xlfn.IFS(LEFT(G1072,1)="L","外注品",LEFT(G1072,1)="W","内製品",G1072="","購買品")</f>
        <v>内製品</v>
      </c>
    </row>
    <row r="1073" spans="1:65">
      <c r="A1073" t="str">
        <f t="shared" si="163"/>
        <v>WG01</v>
      </c>
      <c r="B1073" t="s">
        <v>1223</v>
      </c>
      <c r="C1073" t="s">
        <v>1525</v>
      </c>
      <c r="D1073" s="7"/>
      <c r="E1073" s="7"/>
      <c r="G1073" t="s">
        <v>1939</v>
      </c>
      <c r="H1073" t="str" cm="1">
        <f t="array" ref="H1073">IFERROR(_xlfn.IFS(B1073="","",AND(B1073="",G1073=""),"",G1073="","記載要"),"")</f>
        <v/>
      </c>
      <c r="K1073" t="str">
        <f t="shared" si="164"/>
        <v>11WP01008633</v>
      </c>
      <c r="L1073" s="3" t="str">
        <f t="shared" si="165"/>
        <v>2001/01/01</v>
      </c>
      <c r="M1073" s="3" t="str">
        <f t="shared" si="166"/>
        <v>2199/12/31</v>
      </c>
      <c r="N1073" t="str">
        <f t="shared" si="167"/>
        <v>11WP01008633</v>
      </c>
      <c r="O1073">
        <v>15</v>
      </c>
      <c r="Q1073" t="str" cm="1">
        <f t="array" ref="Q1073">_xlfn.IFS(AND(C1073="",G1073=""),"",LEFT(G1073,1)="L","記載要",LEFT(G1073,1)="W","",AND(C1073,G1073=""),"記載要")</f>
        <v/>
      </c>
      <c r="R1073" s="21" t="str">
        <f t="shared" si="172"/>
        <v/>
      </c>
      <c r="S1073" s="21"/>
      <c r="Z1073" s="8"/>
      <c r="AA1073">
        <v>1</v>
      </c>
      <c r="AB1073">
        <f t="shared" si="168"/>
        <v>0</v>
      </c>
      <c r="AC1073">
        <v>1</v>
      </c>
      <c r="AF1073">
        <v>1</v>
      </c>
      <c r="AG1073" s="8"/>
      <c r="AH1073" s="8"/>
      <c r="AK1073" cm="1">
        <f t="array" ref="AK1073">_xlfn.IFS(B1073="","",LEFT(G1073,1)="L",1,LEFT(G1073,1)="W",1,AND(LEFT(B1073,1)="H",G1073=""),0)</f>
        <v>1</v>
      </c>
      <c r="AS1073" t="str">
        <f t="shared" si="169"/>
        <v/>
      </c>
      <c r="AT1073" t="s">
        <v>115</v>
      </c>
      <c r="AU1073" t="str">
        <f t="shared" si="170"/>
        <v>0</v>
      </c>
      <c r="BD1073" t="str">
        <f t="shared" si="171"/>
        <v>0</v>
      </c>
      <c r="BK1073" t="str">
        <f>IFERROR(VLOOKUP(B1073,'[1]model_S-フレーム'!$F$5:$R$7000,13,1),"")</f>
        <v>E389460_01</v>
      </c>
      <c r="BL1073" s="7">
        <f>IFERROR(VLOOKUP(B1073,'[1]model_S-フレーム'!$F$5:$V$7000,17,1),"")</f>
        <v>0</v>
      </c>
      <c r="BM1073" t="str" cm="1">
        <f t="array" ref="BM1073">_xlfn.IFS(LEFT(G1073,1)="L","外注品",LEFT(G1073,1)="W","内製品",G1073="","購買品")</f>
        <v>内製品</v>
      </c>
    </row>
    <row r="1074" spans="1:65">
      <c r="A1074" t="str">
        <f t="shared" si="163"/>
        <v>WG01</v>
      </c>
      <c r="B1074" t="s">
        <v>1224</v>
      </c>
      <c r="C1074" t="s">
        <v>1525</v>
      </c>
      <c r="D1074" s="7"/>
      <c r="E1074" s="7"/>
      <c r="G1074" t="s">
        <v>1939</v>
      </c>
      <c r="H1074" t="str" cm="1">
        <f t="array" ref="H1074">IFERROR(_xlfn.IFS(B1074="","",AND(B1074="",G1074=""),"",G1074="","記載要"),"")</f>
        <v/>
      </c>
      <c r="K1074" t="str">
        <f t="shared" si="164"/>
        <v>11WP01008634</v>
      </c>
      <c r="L1074" s="3" t="str">
        <f t="shared" si="165"/>
        <v>2001/01/01</v>
      </c>
      <c r="M1074" s="3" t="str">
        <f t="shared" si="166"/>
        <v>2199/12/31</v>
      </c>
      <c r="N1074" t="str">
        <f t="shared" si="167"/>
        <v>11WP01008634</v>
      </c>
      <c r="O1074">
        <v>15</v>
      </c>
      <c r="Q1074" t="str" cm="1">
        <f t="array" ref="Q1074">_xlfn.IFS(AND(C1074="",G1074=""),"",LEFT(G1074,1)="L","記載要",LEFT(G1074,1)="W","",AND(C1074,G1074=""),"記載要")</f>
        <v/>
      </c>
      <c r="R1074" s="21" t="str">
        <f t="shared" si="172"/>
        <v/>
      </c>
      <c r="S1074" s="21"/>
      <c r="Z1074" s="8"/>
      <c r="AA1074">
        <v>1</v>
      </c>
      <c r="AB1074">
        <f t="shared" si="168"/>
        <v>0</v>
      </c>
      <c r="AC1074">
        <v>1</v>
      </c>
      <c r="AF1074">
        <v>1</v>
      </c>
      <c r="AG1074" s="8"/>
      <c r="AH1074" s="8"/>
      <c r="AK1074" cm="1">
        <f t="array" ref="AK1074">_xlfn.IFS(B1074="","",LEFT(G1074,1)="L",1,LEFT(G1074,1)="W",1,AND(LEFT(B1074,1)="H",G1074=""),0)</f>
        <v>1</v>
      </c>
      <c r="AS1074" t="str">
        <f t="shared" si="169"/>
        <v/>
      </c>
      <c r="AT1074" t="s">
        <v>115</v>
      </c>
      <c r="AU1074" t="str">
        <f t="shared" si="170"/>
        <v>0</v>
      </c>
      <c r="BD1074" t="str">
        <f t="shared" si="171"/>
        <v>0</v>
      </c>
      <c r="BK1074" t="str">
        <f>IFERROR(VLOOKUP(B1074,'[1]model_S-フレーム'!$F$5:$R$7000,13,1),"")</f>
        <v>E389460_01</v>
      </c>
      <c r="BL1074" s="7">
        <f>IFERROR(VLOOKUP(B1074,'[1]model_S-フレーム'!$F$5:$V$7000,17,1),"")</f>
        <v>0</v>
      </c>
      <c r="BM1074" t="str" cm="1">
        <f t="array" ref="BM1074">_xlfn.IFS(LEFT(G1074,1)="L","外注品",LEFT(G1074,1)="W","内製品",G1074="","購買品")</f>
        <v>内製品</v>
      </c>
    </row>
    <row r="1075" spans="1:65">
      <c r="A1075" t="str">
        <f t="shared" si="163"/>
        <v>WG01</v>
      </c>
      <c r="B1075" t="s">
        <v>1225</v>
      </c>
      <c r="C1075" t="s">
        <v>1525</v>
      </c>
      <c r="D1075" s="7"/>
      <c r="E1075" s="7"/>
      <c r="G1075" t="s">
        <v>1939</v>
      </c>
      <c r="H1075" t="str" cm="1">
        <f t="array" ref="H1075">IFERROR(_xlfn.IFS(B1075="","",AND(B1075="",G1075=""),"",G1075="","記載要"),"")</f>
        <v/>
      </c>
      <c r="K1075" t="str">
        <f t="shared" si="164"/>
        <v>11WP01008635</v>
      </c>
      <c r="L1075" s="3" t="str">
        <f t="shared" si="165"/>
        <v>2001/01/01</v>
      </c>
      <c r="M1075" s="3" t="str">
        <f t="shared" si="166"/>
        <v>2199/12/31</v>
      </c>
      <c r="N1075" t="str">
        <f t="shared" si="167"/>
        <v>11WP01008635</v>
      </c>
      <c r="O1075">
        <v>15</v>
      </c>
      <c r="Q1075" t="str" cm="1">
        <f t="array" ref="Q1075">_xlfn.IFS(AND(C1075="",G1075=""),"",LEFT(G1075,1)="L","記載要",LEFT(G1075,1)="W","",AND(C1075,G1075=""),"記載要")</f>
        <v/>
      </c>
      <c r="R1075" s="21" t="str">
        <f t="shared" si="172"/>
        <v/>
      </c>
      <c r="S1075" s="21"/>
      <c r="Z1075" s="8"/>
      <c r="AA1075">
        <v>1</v>
      </c>
      <c r="AB1075">
        <f t="shared" si="168"/>
        <v>0</v>
      </c>
      <c r="AC1075">
        <v>1</v>
      </c>
      <c r="AF1075">
        <v>1</v>
      </c>
      <c r="AG1075" s="8"/>
      <c r="AH1075" s="8"/>
      <c r="AK1075" cm="1">
        <f t="array" ref="AK1075">_xlfn.IFS(B1075="","",LEFT(G1075,1)="L",1,LEFT(G1075,1)="W",1,AND(LEFT(B1075,1)="H",G1075=""),0)</f>
        <v>1</v>
      </c>
      <c r="AS1075" t="str">
        <f t="shared" si="169"/>
        <v/>
      </c>
      <c r="AT1075" t="s">
        <v>115</v>
      </c>
      <c r="AU1075" t="str">
        <f t="shared" si="170"/>
        <v>0</v>
      </c>
      <c r="BD1075" t="str">
        <f t="shared" si="171"/>
        <v>0</v>
      </c>
      <c r="BK1075" t="str">
        <f>IFERROR(VLOOKUP(B1075,'[1]model_S-フレーム'!$F$5:$R$7000,13,1),"")</f>
        <v>E389460_01</v>
      </c>
      <c r="BL1075" s="7">
        <f>IFERROR(VLOOKUP(B1075,'[1]model_S-フレーム'!$F$5:$V$7000,17,1),"")</f>
        <v>0</v>
      </c>
      <c r="BM1075" t="str" cm="1">
        <f t="array" ref="BM1075">_xlfn.IFS(LEFT(G1075,1)="L","外注品",LEFT(G1075,1)="W","内製品",G1075="","購買品")</f>
        <v>内製品</v>
      </c>
    </row>
    <row r="1076" spans="1:65">
      <c r="A1076" t="str">
        <f t="shared" si="163"/>
        <v>WG01</v>
      </c>
      <c r="B1076" t="s">
        <v>1226</v>
      </c>
      <c r="C1076" t="s">
        <v>1525</v>
      </c>
      <c r="D1076" s="7"/>
      <c r="E1076" s="7"/>
      <c r="G1076" t="s">
        <v>1939</v>
      </c>
      <c r="H1076" t="str" cm="1">
        <f t="array" ref="H1076">IFERROR(_xlfn.IFS(B1076="","",AND(B1076="",G1076=""),"",G1076="","記載要"),"")</f>
        <v/>
      </c>
      <c r="K1076" t="str">
        <f t="shared" si="164"/>
        <v>11WP01008636</v>
      </c>
      <c r="L1076" s="3" t="str">
        <f t="shared" si="165"/>
        <v>2001/01/01</v>
      </c>
      <c r="M1076" s="3" t="str">
        <f t="shared" si="166"/>
        <v>2199/12/31</v>
      </c>
      <c r="N1076" t="str">
        <f t="shared" si="167"/>
        <v>11WP01008636</v>
      </c>
      <c r="O1076">
        <v>15</v>
      </c>
      <c r="Q1076" t="str" cm="1">
        <f t="array" ref="Q1076">_xlfn.IFS(AND(C1076="",G1076=""),"",LEFT(G1076,1)="L","記載要",LEFT(G1076,1)="W","",AND(C1076,G1076=""),"記載要")</f>
        <v/>
      </c>
      <c r="R1076" s="21" t="str">
        <f t="shared" si="172"/>
        <v/>
      </c>
      <c r="S1076" s="21"/>
      <c r="Z1076" s="8"/>
      <c r="AA1076">
        <v>1</v>
      </c>
      <c r="AB1076">
        <f t="shared" si="168"/>
        <v>0</v>
      </c>
      <c r="AC1076">
        <v>1</v>
      </c>
      <c r="AF1076">
        <v>1</v>
      </c>
      <c r="AG1076" s="8"/>
      <c r="AH1076" s="8"/>
      <c r="AK1076" cm="1">
        <f t="array" ref="AK1076">_xlfn.IFS(B1076="","",LEFT(G1076,1)="L",1,LEFT(G1076,1)="W",1,AND(LEFT(B1076,1)="H",G1076=""),0)</f>
        <v>1</v>
      </c>
      <c r="AS1076" t="str">
        <f t="shared" si="169"/>
        <v/>
      </c>
      <c r="AT1076" t="s">
        <v>115</v>
      </c>
      <c r="AU1076" t="str">
        <f t="shared" si="170"/>
        <v>0</v>
      </c>
      <c r="BD1076" t="str">
        <f t="shared" si="171"/>
        <v>0</v>
      </c>
      <c r="BK1076" t="str">
        <f>IFERROR(VLOOKUP(B1076,'[1]model_S-フレーム'!$F$5:$R$7000,13,1),"")</f>
        <v>E389460_01</v>
      </c>
      <c r="BL1076" s="7">
        <f>IFERROR(VLOOKUP(B1076,'[1]model_S-フレーム'!$F$5:$V$7000,17,1),"")</f>
        <v>0</v>
      </c>
      <c r="BM1076" t="str" cm="1">
        <f t="array" ref="BM1076">_xlfn.IFS(LEFT(G1076,1)="L","外注品",LEFT(G1076,1)="W","内製品",G1076="","購買品")</f>
        <v>内製品</v>
      </c>
    </row>
    <row r="1077" spans="1:65">
      <c r="A1077" t="str">
        <f t="shared" si="163"/>
        <v>WG01</v>
      </c>
      <c r="B1077" t="s">
        <v>1227</v>
      </c>
      <c r="C1077" t="s">
        <v>1525</v>
      </c>
      <c r="D1077" s="7"/>
      <c r="E1077" s="7"/>
      <c r="G1077" t="s">
        <v>1939</v>
      </c>
      <c r="H1077" t="str" cm="1">
        <f t="array" ref="H1077">IFERROR(_xlfn.IFS(B1077="","",AND(B1077="",G1077=""),"",G1077="","記載要"),"")</f>
        <v/>
      </c>
      <c r="K1077" t="str">
        <f t="shared" si="164"/>
        <v>11WP01008637</v>
      </c>
      <c r="L1077" s="3" t="str">
        <f t="shared" si="165"/>
        <v>2001/01/01</v>
      </c>
      <c r="M1077" s="3" t="str">
        <f t="shared" si="166"/>
        <v>2199/12/31</v>
      </c>
      <c r="N1077" t="str">
        <f t="shared" si="167"/>
        <v>11WP01008637</v>
      </c>
      <c r="O1077">
        <v>15</v>
      </c>
      <c r="Q1077" t="str" cm="1">
        <f t="array" ref="Q1077">_xlfn.IFS(AND(C1077="",G1077=""),"",LEFT(G1077,1)="L","記載要",LEFT(G1077,1)="W","",AND(C1077,G1077=""),"記載要")</f>
        <v/>
      </c>
      <c r="R1077" s="21" t="str">
        <f t="shared" si="172"/>
        <v/>
      </c>
      <c r="S1077" s="21"/>
      <c r="Z1077" s="8"/>
      <c r="AA1077">
        <v>1</v>
      </c>
      <c r="AB1077">
        <f t="shared" si="168"/>
        <v>0</v>
      </c>
      <c r="AC1077">
        <v>1</v>
      </c>
      <c r="AF1077">
        <v>1</v>
      </c>
      <c r="AG1077" s="8"/>
      <c r="AH1077" s="8"/>
      <c r="AK1077" cm="1">
        <f t="array" ref="AK1077">_xlfn.IFS(B1077="","",LEFT(G1077,1)="L",1,LEFT(G1077,1)="W",1,AND(LEFT(B1077,1)="H",G1077=""),0)</f>
        <v>1</v>
      </c>
      <c r="AS1077" t="str">
        <f t="shared" si="169"/>
        <v/>
      </c>
      <c r="AT1077" t="s">
        <v>115</v>
      </c>
      <c r="AU1077" t="str">
        <f t="shared" si="170"/>
        <v>0</v>
      </c>
      <c r="BD1077" t="str">
        <f t="shared" si="171"/>
        <v>0</v>
      </c>
      <c r="BK1077" t="str">
        <f>IFERROR(VLOOKUP(B1077,'[1]model_S-フレーム'!$F$5:$R$7000,13,1),"")</f>
        <v>E389460_01</v>
      </c>
      <c r="BL1077" s="7">
        <f>IFERROR(VLOOKUP(B1077,'[1]model_S-フレーム'!$F$5:$V$7000,17,1),"")</f>
        <v>0</v>
      </c>
      <c r="BM1077" t="str" cm="1">
        <f t="array" ref="BM1077">_xlfn.IFS(LEFT(G1077,1)="L","外注品",LEFT(G1077,1)="W","内製品",G1077="","購買品")</f>
        <v>内製品</v>
      </c>
    </row>
    <row r="1078" spans="1:65">
      <c r="A1078" t="str">
        <f t="shared" si="163"/>
        <v>WG01</v>
      </c>
      <c r="B1078" t="s">
        <v>1228</v>
      </c>
      <c r="C1078" t="s">
        <v>1525</v>
      </c>
      <c r="D1078" s="7"/>
      <c r="E1078" s="7"/>
      <c r="G1078" t="s">
        <v>1939</v>
      </c>
      <c r="H1078" t="str" cm="1">
        <f t="array" ref="H1078">IFERROR(_xlfn.IFS(B1078="","",AND(B1078="",G1078=""),"",G1078="","記載要"),"")</f>
        <v/>
      </c>
      <c r="K1078" t="str">
        <f t="shared" si="164"/>
        <v>11WP01008638</v>
      </c>
      <c r="L1078" s="3" t="str">
        <f t="shared" si="165"/>
        <v>2001/01/01</v>
      </c>
      <c r="M1078" s="3" t="str">
        <f t="shared" si="166"/>
        <v>2199/12/31</v>
      </c>
      <c r="N1078" t="str">
        <f t="shared" si="167"/>
        <v>11WP01008638</v>
      </c>
      <c r="O1078">
        <v>15</v>
      </c>
      <c r="Q1078" t="str" cm="1">
        <f t="array" ref="Q1078">_xlfn.IFS(AND(C1078="",G1078=""),"",LEFT(G1078,1)="L","記載要",LEFT(G1078,1)="W","",AND(C1078,G1078=""),"記載要")</f>
        <v/>
      </c>
      <c r="R1078" s="21" t="str">
        <f t="shared" si="172"/>
        <v/>
      </c>
      <c r="S1078" s="21"/>
      <c r="Z1078" s="8"/>
      <c r="AA1078">
        <v>1</v>
      </c>
      <c r="AB1078">
        <f t="shared" si="168"/>
        <v>0</v>
      </c>
      <c r="AC1078">
        <v>1</v>
      </c>
      <c r="AF1078">
        <v>1</v>
      </c>
      <c r="AG1078" s="8"/>
      <c r="AH1078" s="8"/>
      <c r="AK1078" cm="1">
        <f t="array" ref="AK1078">_xlfn.IFS(B1078="","",LEFT(G1078,1)="L",1,LEFT(G1078,1)="W",1,AND(LEFT(B1078,1)="H",G1078=""),0)</f>
        <v>1</v>
      </c>
      <c r="AS1078" t="str">
        <f t="shared" si="169"/>
        <v/>
      </c>
      <c r="AT1078" t="s">
        <v>115</v>
      </c>
      <c r="AU1078" t="str">
        <f t="shared" si="170"/>
        <v>0</v>
      </c>
      <c r="BD1078" t="str">
        <f t="shared" si="171"/>
        <v>0</v>
      </c>
      <c r="BK1078" t="str">
        <f>IFERROR(VLOOKUP(B1078,'[1]model_S-フレーム'!$F$5:$R$7000,13,1),"")</f>
        <v>E389460_01</v>
      </c>
      <c r="BL1078" s="7">
        <f>IFERROR(VLOOKUP(B1078,'[1]model_S-フレーム'!$F$5:$V$7000,17,1),"")</f>
        <v>0</v>
      </c>
      <c r="BM1078" t="str" cm="1">
        <f t="array" ref="BM1078">_xlfn.IFS(LEFT(G1078,1)="L","外注品",LEFT(G1078,1)="W","内製品",G1078="","購買品")</f>
        <v>内製品</v>
      </c>
    </row>
    <row r="1079" spans="1:65">
      <c r="A1079" t="str">
        <f t="shared" si="163"/>
        <v>WG01</v>
      </c>
      <c r="B1079" t="s">
        <v>1229</v>
      </c>
      <c r="C1079" t="s">
        <v>1525</v>
      </c>
      <c r="D1079" s="7"/>
      <c r="E1079" s="7"/>
      <c r="G1079" t="s">
        <v>1939</v>
      </c>
      <c r="H1079" t="str" cm="1">
        <f t="array" ref="H1079">IFERROR(_xlfn.IFS(B1079="","",AND(B1079="",G1079=""),"",G1079="","記載要"),"")</f>
        <v/>
      </c>
      <c r="K1079" t="str">
        <f t="shared" si="164"/>
        <v>11WP01008639</v>
      </c>
      <c r="L1079" s="3" t="str">
        <f t="shared" si="165"/>
        <v>2001/01/01</v>
      </c>
      <c r="M1079" s="3" t="str">
        <f t="shared" si="166"/>
        <v>2199/12/31</v>
      </c>
      <c r="N1079" t="str">
        <f t="shared" si="167"/>
        <v>11WP01008639</v>
      </c>
      <c r="O1079">
        <v>15</v>
      </c>
      <c r="Q1079" t="str" cm="1">
        <f t="array" ref="Q1079">_xlfn.IFS(AND(C1079="",G1079=""),"",LEFT(G1079,1)="L","記載要",LEFT(G1079,1)="W","",AND(C1079,G1079=""),"記載要")</f>
        <v/>
      </c>
      <c r="R1079" s="21" t="str">
        <f t="shared" si="172"/>
        <v/>
      </c>
      <c r="S1079" s="21"/>
      <c r="Z1079" s="8"/>
      <c r="AA1079">
        <v>1</v>
      </c>
      <c r="AB1079">
        <f t="shared" si="168"/>
        <v>0</v>
      </c>
      <c r="AC1079">
        <v>1</v>
      </c>
      <c r="AF1079">
        <v>1</v>
      </c>
      <c r="AG1079" s="8"/>
      <c r="AH1079" s="8"/>
      <c r="AK1079" cm="1">
        <f t="array" ref="AK1079">_xlfn.IFS(B1079="","",LEFT(G1079,1)="L",1,LEFT(G1079,1)="W",1,AND(LEFT(B1079,1)="H",G1079=""),0)</f>
        <v>1</v>
      </c>
      <c r="AS1079" t="str">
        <f t="shared" si="169"/>
        <v/>
      </c>
      <c r="AT1079" t="s">
        <v>115</v>
      </c>
      <c r="AU1079" t="str">
        <f t="shared" si="170"/>
        <v>0</v>
      </c>
      <c r="BD1079" t="str">
        <f t="shared" si="171"/>
        <v>0</v>
      </c>
      <c r="BK1079" t="str">
        <f>IFERROR(VLOOKUP(B1079,'[1]model_S-フレーム'!$F$5:$R$7000,13,1),"")</f>
        <v>E389460_01</v>
      </c>
      <c r="BL1079" s="7">
        <f>IFERROR(VLOOKUP(B1079,'[1]model_S-フレーム'!$F$5:$V$7000,17,1),"")</f>
        <v>0</v>
      </c>
      <c r="BM1079" t="str" cm="1">
        <f t="array" ref="BM1079">_xlfn.IFS(LEFT(G1079,1)="L","外注品",LEFT(G1079,1)="W","内製品",G1079="","購買品")</f>
        <v>内製品</v>
      </c>
    </row>
    <row r="1080" spans="1:65">
      <c r="A1080" t="str">
        <f t="shared" si="163"/>
        <v>WG01</v>
      </c>
      <c r="B1080" t="s">
        <v>1230</v>
      </c>
      <c r="C1080" t="s">
        <v>1525</v>
      </c>
      <c r="D1080" s="7"/>
      <c r="E1080" s="7"/>
      <c r="G1080" t="s">
        <v>1939</v>
      </c>
      <c r="H1080" t="str" cm="1">
        <f t="array" ref="H1080">IFERROR(_xlfn.IFS(B1080="","",AND(B1080="",G1080=""),"",G1080="","記載要"),"")</f>
        <v/>
      </c>
      <c r="K1080" t="str">
        <f t="shared" si="164"/>
        <v>11WP01008640</v>
      </c>
      <c r="L1080" s="3" t="str">
        <f t="shared" si="165"/>
        <v>2001/01/01</v>
      </c>
      <c r="M1080" s="3" t="str">
        <f t="shared" si="166"/>
        <v>2199/12/31</v>
      </c>
      <c r="N1080" t="str">
        <f t="shared" si="167"/>
        <v>11WP01008640</v>
      </c>
      <c r="O1080">
        <v>15</v>
      </c>
      <c r="Q1080" t="str" cm="1">
        <f t="array" ref="Q1080">_xlfn.IFS(AND(C1080="",G1080=""),"",LEFT(G1080,1)="L","記載要",LEFT(G1080,1)="W","",AND(C1080,G1080=""),"記載要")</f>
        <v/>
      </c>
      <c r="R1080" s="21" t="str">
        <f t="shared" si="172"/>
        <v/>
      </c>
      <c r="S1080" s="21"/>
      <c r="Z1080" s="8"/>
      <c r="AA1080">
        <v>1</v>
      </c>
      <c r="AB1080">
        <f t="shared" si="168"/>
        <v>0</v>
      </c>
      <c r="AC1080">
        <v>1</v>
      </c>
      <c r="AF1080">
        <v>1</v>
      </c>
      <c r="AG1080" s="8"/>
      <c r="AH1080" s="8"/>
      <c r="AK1080" cm="1">
        <f t="array" ref="AK1080">_xlfn.IFS(B1080="","",LEFT(G1080,1)="L",1,LEFT(G1080,1)="W",1,AND(LEFT(B1080,1)="H",G1080=""),0)</f>
        <v>1</v>
      </c>
      <c r="AS1080" t="str">
        <f t="shared" si="169"/>
        <v/>
      </c>
      <c r="AT1080" t="s">
        <v>115</v>
      </c>
      <c r="AU1080" t="str">
        <f t="shared" si="170"/>
        <v>0</v>
      </c>
      <c r="BD1080" t="str">
        <f t="shared" si="171"/>
        <v>0</v>
      </c>
      <c r="BK1080" t="str">
        <f>IFERROR(VLOOKUP(B1080,'[1]model_S-フレーム'!$F$5:$R$7000,13,1),"")</f>
        <v>E389460_01</v>
      </c>
      <c r="BL1080" s="7">
        <f>IFERROR(VLOOKUP(B1080,'[1]model_S-フレーム'!$F$5:$V$7000,17,1),"")</f>
        <v>0</v>
      </c>
      <c r="BM1080" t="str" cm="1">
        <f t="array" ref="BM1080">_xlfn.IFS(LEFT(G1080,1)="L","外注品",LEFT(G1080,1)="W","内製品",G1080="","購買品")</f>
        <v>内製品</v>
      </c>
    </row>
    <row r="1081" spans="1:65">
      <c r="A1081" t="str">
        <f t="shared" si="163"/>
        <v>WG01</v>
      </c>
      <c r="B1081" t="s">
        <v>1231</v>
      </c>
      <c r="C1081" t="s">
        <v>1525</v>
      </c>
      <c r="D1081" s="7"/>
      <c r="E1081" s="7"/>
      <c r="G1081" t="s">
        <v>1939</v>
      </c>
      <c r="H1081" t="str" cm="1">
        <f t="array" ref="H1081">IFERROR(_xlfn.IFS(B1081="","",AND(B1081="",G1081=""),"",G1081="","記載要"),"")</f>
        <v/>
      </c>
      <c r="K1081" t="str">
        <f t="shared" si="164"/>
        <v>11WP01008641</v>
      </c>
      <c r="L1081" s="3" t="str">
        <f t="shared" si="165"/>
        <v>2001/01/01</v>
      </c>
      <c r="M1081" s="3" t="str">
        <f t="shared" si="166"/>
        <v>2199/12/31</v>
      </c>
      <c r="N1081" t="str">
        <f t="shared" si="167"/>
        <v>11WP01008641</v>
      </c>
      <c r="O1081">
        <v>15</v>
      </c>
      <c r="Q1081" t="str" cm="1">
        <f t="array" ref="Q1081">_xlfn.IFS(AND(C1081="",G1081=""),"",LEFT(G1081,1)="L","記載要",LEFT(G1081,1)="W","",AND(C1081,G1081=""),"記載要")</f>
        <v/>
      </c>
      <c r="R1081" s="21" t="str">
        <f t="shared" si="172"/>
        <v/>
      </c>
      <c r="S1081" s="21"/>
      <c r="Z1081" s="8"/>
      <c r="AA1081">
        <v>1</v>
      </c>
      <c r="AB1081">
        <f t="shared" si="168"/>
        <v>0</v>
      </c>
      <c r="AC1081">
        <v>1</v>
      </c>
      <c r="AF1081">
        <v>1</v>
      </c>
      <c r="AG1081" s="8"/>
      <c r="AH1081" s="8"/>
      <c r="AK1081" cm="1">
        <f t="array" ref="AK1081">_xlfn.IFS(B1081="","",LEFT(G1081,1)="L",1,LEFT(G1081,1)="W",1,AND(LEFT(B1081,1)="H",G1081=""),0)</f>
        <v>1</v>
      </c>
      <c r="AS1081" t="str">
        <f t="shared" si="169"/>
        <v/>
      </c>
      <c r="AT1081" t="s">
        <v>115</v>
      </c>
      <c r="AU1081" t="str">
        <f t="shared" si="170"/>
        <v>0</v>
      </c>
      <c r="BD1081" t="str">
        <f t="shared" si="171"/>
        <v>0</v>
      </c>
      <c r="BK1081" t="str">
        <f>IFERROR(VLOOKUP(B1081,'[1]model_S-フレーム'!$F$5:$R$7000,13,1),"")</f>
        <v>E389460_01</v>
      </c>
      <c r="BL1081" s="7">
        <f>IFERROR(VLOOKUP(B1081,'[1]model_S-フレーム'!$F$5:$V$7000,17,1),"")</f>
        <v>0</v>
      </c>
      <c r="BM1081" t="str" cm="1">
        <f t="array" ref="BM1081">_xlfn.IFS(LEFT(G1081,1)="L","外注品",LEFT(G1081,1)="W","内製品",G1081="","購買品")</f>
        <v>内製品</v>
      </c>
    </row>
    <row r="1082" spans="1:65">
      <c r="A1082" t="str">
        <f t="shared" si="163"/>
        <v>WG01</v>
      </c>
      <c r="B1082" t="s">
        <v>1232</v>
      </c>
      <c r="C1082" t="s">
        <v>1525</v>
      </c>
      <c r="D1082" s="7"/>
      <c r="E1082" s="7"/>
      <c r="G1082" t="s">
        <v>1939</v>
      </c>
      <c r="H1082" t="str" cm="1">
        <f t="array" ref="H1082">IFERROR(_xlfn.IFS(B1082="","",AND(B1082="",G1082=""),"",G1082="","記載要"),"")</f>
        <v/>
      </c>
      <c r="K1082" t="str">
        <f t="shared" si="164"/>
        <v>11WP01008642</v>
      </c>
      <c r="L1082" s="3" t="str">
        <f t="shared" si="165"/>
        <v>2001/01/01</v>
      </c>
      <c r="M1082" s="3" t="str">
        <f t="shared" si="166"/>
        <v>2199/12/31</v>
      </c>
      <c r="N1082" t="str">
        <f t="shared" si="167"/>
        <v>11WP01008642</v>
      </c>
      <c r="O1082">
        <v>15</v>
      </c>
      <c r="Q1082" t="str" cm="1">
        <f t="array" ref="Q1082">_xlfn.IFS(AND(C1082="",G1082=""),"",LEFT(G1082,1)="L","記載要",LEFT(G1082,1)="W","",AND(C1082,G1082=""),"記載要")</f>
        <v/>
      </c>
      <c r="R1082" s="21" t="str">
        <f t="shared" si="172"/>
        <v/>
      </c>
      <c r="S1082" s="21"/>
      <c r="Z1082" s="8"/>
      <c r="AA1082">
        <v>1</v>
      </c>
      <c r="AB1082">
        <f t="shared" si="168"/>
        <v>0</v>
      </c>
      <c r="AC1082">
        <v>1</v>
      </c>
      <c r="AF1082">
        <v>1</v>
      </c>
      <c r="AG1082" s="8"/>
      <c r="AH1082" s="8"/>
      <c r="AK1082" cm="1">
        <f t="array" ref="AK1082">_xlfn.IFS(B1082="","",LEFT(G1082,1)="L",1,LEFT(G1082,1)="W",1,AND(LEFT(B1082,1)="H",G1082=""),0)</f>
        <v>1</v>
      </c>
      <c r="AS1082" t="str">
        <f t="shared" si="169"/>
        <v/>
      </c>
      <c r="AT1082" t="s">
        <v>115</v>
      </c>
      <c r="AU1082" t="str">
        <f t="shared" si="170"/>
        <v>0</v>
      </c>
      <c r="BD1082" t="str">
        <f t="shared" si="171"/>
        <v>0</v>
      </c>
      <c r="BK1082" t="str">
        <f>IFERROR(VLOOKUP(B1082,'[1]model_S-フレーム'!$F$5:$R$7000,13,1),"")</f>
        <v>E389460_01</v>
      </c>
      <c r="BL1082" s="7">
        <f>IFERROR(VLOOKUP(B1082,'[1]model_S-フレーム'!$F$5:$V$7000,17,1),"")</f>
        <v>0</v>
      </c>
      <c r="BM1082" t="str" cm="1">
        <f t="array" ref="BM1082">_xlfn.IFS(LEFT(G1082,1)="L","外注品",LEFT(G1082,1)="W","内製品",G1082="","購買品")</f>
        <v>内製品</v>
      </c>
    </row>
    <row r="1083" spans="1:65">
      <c r="A1083" t="str">
        <f t="shared" si="163"/>
        <v>WG01</v>
      </c>
      <c r="B1083" t="s">
        <v>1233</v>
      </c>
      <c r="C1083" t="s">
        <v>1525</v>
      </c>
      <c r="D1083" s="7"/>
      <c r="E1083" s="7"/>
      <c r="G1083" t="s">
        <v>1939</v>
      </c>
      <c r="H1083" t="str" cm="1">
        <f t="array" ref="H1083">IFERROR(_xlfn.IFS(B1083="","",AND(B1083="",G1083=""),"",G1083="","記載要"),"")</f>
        <v/>
      </c>
      <c r="K1083" t="str">
        <f t="shared" si="164"/>
        <v>11WP01008643</v>
      </c>
      <c r="L1083" s="3" t="str">
        <f t="shared" si="165"/>
        <v>2001/01/01</v>
      </c>
      <c r="M1083" s="3" t="str">
        <f t="shared" si="166"/>
        <v>2199/12/31</v>
      </c>
      <c r="N1083" t="str">
        <f t="shared" si="167"/>
        <v>11WP01008643</v>
      </c>
      <c r="O1083">
        <v>15</v>
      </c>
      <c r="Q1083" t="str" cm="1">
        <f t="array" ref="Q1083">_xlfn.IFS(AND(C1083="",G1083=""),"",LEFT(G1083,1)="L","記載要",LEFT(G1083,1)="W","",AND(C1083,G1083=""),"記載要")</f>
        <v/>
      </c>
      <c r="R1083" s="21" t="str">
        <f t="shared" si="172"/>
        <v/>
      </c>
      <c r="S1083" s="21"/>
      <c r="Z1083" s="8"/>
      <c r="AA1083">
        <v>1</v>
      </c>
      <c r="AB1083">
        <f t="shared" si="168"/>
        <v>0</v>
      </c>
      <c r="AC1083">
        <v>1</v>
      </c>
      <c r="AF1083">
        <v>1</v>
      </c>
      <c r="AG1083" s="8"/>
      <c r="AH1083" s="8"/>
      <c r="AK1083" cm="1">
        <f t="array" ref="AK1083">_xlfn.IFS(B1083="","",LEFT(G1083,1)="L",1,LEFT(G1083,1)="W",1,AND(LEFT(B1083,1)="H",G1083=""),0)</f>
        <v>1</v>
      </c>
      <c r="AS1083" t="str">
        <f t="shared" si="169"/>
        <v/>
      </c>
      <c r="AT1083" t="s">
        <v>115</v>
      </c>
      <c r="AU1083" t="str">
        <f t="shared" si="170"/>
        <v>0</v>
      </c>
      <c r="BD1083" t="str">
        <f t="shared" si="171"/>
        <v>0</v>
      </c>
      <c r="BK1083" t="str">
        <f>IFERROR(VLOOKUP(B1083,'[1]model_S-フレーム'!$F$5:$R$7000,13,1),"")</f>
        <v>E389460_01</v>
      </c>
      <c r="BL1083" s="7">
        <f>IFERROR(VLOOKUP(B1083,'[1]model_S-フレーム'!$F$5:$V$7000,17,1),"")</f>
        <v>0</v>
      </c>
      <c r="BM1083" t="str" cm="1">
        <f t="array" ref="BM1083">_xlfn.IFS(LEFT(G1083,1)="L","外注品",LEFT(G1083,1)="W","内製品",G1083="","購買品")</f>
        <v>内製品</v>
      </c>
    </row>
    <row r="1084" spans="1:65">
      <c r="A1084" t="str">
        <f t="shared" si="163"/>
        <v>WG01</v>
      </c>
      <c r="B1084" t="s">
        <v>1234</v>
      </c>
      <c r="C1084" t="s">
        <v>1525</v>
      </c>
      <c r="D1084" s="7"/>
      <c r="E1084" s="7"/>
      <c r="G1084" t="s">
        <v>1939</v>
      </c>
      <c r="H1084" t="str" cm="1">
        <f t="array" ref="H1084">IFERROR(_xlfn.IFS(B1084="","",AND(B1084="",G1084=""),"",G1084="","記載要"),"")</f>
        <v/>
      </c>
      <c r="K1084" t="str">
        <f t="shared" si="164"/>
        <v>11WP01008644</v>
      </c>
      <c r="L1084" s="3" t="str">
        <f t="shared" si="165"/>
        <v>2001/01/01</v>
      </c>
      <c r="M1084" s="3" t="str">
        <f t="shared" si="166"/>
        <v>2199/12/31</v>
      </c>
      <c r="N1084" t="str">
        <f t="shared" si="167"/>
        <v>11WP01008644</v>
      </c>
      <c r="O1084">
        <v>15</v>
      </c>
      <c r="Q1084" t="str" cm="1">
        <f t="array" ref="Q1084">_xlfn.IFS(AND(C1084="",G1084=""),"",LEFT(G1084,1)="L","記載要",LEFT(G1084,1)="W","",AND(C1084,G1084=""),"記載要")</f>
        <v/>
      </c>
      <c r="R1084" s="21" t="str">
        <f t="shared" si="172"/>
        <v/>
      </c>
      <c r="S1084" s="21"/>
      <c r="Z1084" s="8"/>
      <c r="AA1084">
        <v>1</v>
      </c>
      <c r="AB1084">
        <f t="shared" si="168"/>
        <v>0</v>
      </c>
      <c r="AC1084">
        <v>1</v>
      </c>
      <c r="AF1084">
        <v>1</v>
      </c>
      <c r="AG1084" s="8"/>
      <c r="AH1084" s="8"/>
      <c r="AK1084" cm="1">
        <f t="array" ref="AK1084">_xlfn.IFS(B1084="","",LEFT(G1084,1)="L",1,LEFT(G1084,1)="W",1,AND(LEFT(B1084,1)="H",G1084=""),0)</f>
        <v>1</v>
      </c>
      <c r="AS1084" t="str">
        <f t="shared" si="169"/>
        <v/>
      </c>
      <c r="AT1084" t="s">
        <v>115</v>
      </c>
      <c r="AU1084" t="str">
        <f t="shared" si="170"/>
        <v>0</v>
      </c>
      <c r="BD1084" t="str">
        <f t="shared" si="171"/>
        <v>0</v>
      </c>
      <c r="BK1084" t="str">
        <f>IFERROR(VLOOKUP(B1084,'[1]model_S-フレーム'!$F$5:$R$7000,13,1),"")</f>
        <v>E389460_01</v>
      </c>
      <c r="BL1084" s="7">
        <f>IFERROR(VLOOKUP(B1084,'[1]model_S-フレーム'!$F$5:$V$7000,17,1),"")</f>
        <v>0</v>
      </c>
      <c r="BM1084" t="str" cm="1">
        <f t="array" ref="BM1084">_xlfn.IFS(LEFT(G1084,1)="L","外注品",LEFT(G1084,1)="W","内製品",G1084="","購買品")</f>
        <v>内製品</v>
      </c>
    </row>
    <row r="1085" spans="1:65">
      <c r="A1085" t="str">
        <f t="shared" si="163"/>
        <v>WG01</v>
      </c>
      <c r="B1085" t="s">
        <v>1235</v>
      </c>
      <c r="C1085" t="s">
        <v>1525</v>
      </c>
      <c r="D1085" s="7"/>
      <c r="E1085" s="7"/>
      <c r="G1085" t="s">
        <v>1939</v>
      </c>
      <c r="H1085" t="str" cm="1">
        <f t="array" ref="H1085">IFERROR(_xlfn.IFS(B1085="","",AND(B1085="",G1085=""),"",G1085="","記載要"),"")</f>
        <v/>
      </c>
      <c r="K1085" t="str">
        <f t="shared" si="164"/>
        <v>11WP01008645</v>
      </c>
      <c r="L1085" s="3" t="str">
        <f t="shared" si="165"/>
        <v>2001/01/01</v>
      </c>
      <c r="M1085" s="3" t="str">
        <f t="shared" si="166"/>
        <v>2199/12/31</v>
      </c>
      <c r="N1085" t="str">
        <f t="shared" si="167"/>
        <v>11WP01008645</v>
      </c>
      <c r="O1085">
        <v>15</v>
      </c>
      <c r="Q1085" t="str" cm="1">
        <f t="array" ref="Q1085">_xlfn.IFS(AND(C1085="",G1085=""),"",LEFT(G1085,1)="L","記載要",LEFT(G1085,1)="W","",AND(C1085,G1085=""),"記載要")</f>
        <v/>
      </c>
      <c r="R1085" s="21" t="str">
        <f t="shared" si="172"/>
        <v/>
      </c>
      <c r="S1085" s="21"/>
      <c r="Z1085" s="8"/>
      <c r="AA1085">
        <v>1</v>
      </c>
      <c r="AB1085">
        <f t="shared" si="168"/>
        <v>0</v>
      </c>
      <c r="AC1085">
        <v>1</v>
      </c>
      <c r="AF1085">
        <v>1</v>
      </c>
      <c r="AG1085" s="8"/>
      <c r="AH1085" s="8"/>
      <c r="AK1085" cm="1">
        <f t="array" ref="AK1085">_xlfn.IFS(B1085="","",LEFT(G1085,1)="L",1,LEFT(G1085,1)="W",1,AND(LEFT(B1085,1)="H",G1085=""),0)</f>
        <v>1</v>
      </c>
      <c r="AS1085" t="str">
        <f t="shared" si="169"/>
        <v/>
      </c>
      <c r="AT1085" t="s">
        <v>115</v>
      </c>
      <c r="AU1085" t="str">
        <f t="shared" si="170"/>
        <v>0</v>
      </c>
      <c r="BD1085" t="str">
        <f t="shared" si="171"/>
        <v>0</v>
      </c>
      <c r="BK1085" t="str">
        <f>IFERROR(VLOOKUP(B1085,'[1]model_S-フレーム'!$F$5:$R$7000,13,1),"")</f>
        <v>E389460_01</v>
      </c>
      <c r="BL1085" s="7">
        <f>IFERROR(VLOOKUP(B1085,'[1]model_S-フレーム'!$F$5:$V$7000,17,1),"")</f>
        <v>0</v>
      </c>
      <c r="BM1085" t="str" cm="1">
        <f t="array" ref="BM1085">_xlfn.IFS(LEFT(G1085,1)="L","外注品",LEFT(G1085,1)="W","内製品",G1085="","購買品")</f>
        <v>内製品</v>
      </c>
    </row>
    <row r="1086" spans="1:65">
      <c r="A1086" t="str">
        <f t="shared" si="163"/>
        <v>WG01</v>
      </c>
      <c r="B1086" t="s">
        <v>1236</v>
      </c>
      <c r="C1086" t="s">
        <v>1525</v>
      </c>
      <c r="D1086" s="7"/>
      <c r="E1086" s="7"/>
      <c r="G1086" t="s">
        <v>1939</v>
      </c>
      <c r="H1086" t="str" cm="1">
        <f t="array" ref="H1086">IFERROR(_xlfn.IFS(B1086="","",AND(B1086="",G1086=""),"",G1086="","記載要"),"")</f>
        <v/>
      </c>
      <c r="K1086" t="str">
        <f t="shared" si="164"/>
        <v>11WP01008646</v>
      </c>
      <c r="L1086" s="3" t="str">
        <f t="shared" si="165"/>
        <v>2001/01/01</v>
      </c>
      <c r="M1086" s="3" t="str">
        <f t="shared" si="166"/>
        <v>2199/12/31</v>
      </c>
      <c r="N1086" t="str">
        <f t="shared" si="167"/>
        <v>11WP01008646</v>
      </c>
      <c r="O1086">
        <v>15</v>
      </c>
      <c r="Q1086" t="str" cm="1">
        <f t="array" ref="Q1086">_xlfn.IFS(AND(C1086="",G1086=""),"",LEFT(G1086,1)="L","記載要",LEFT(G1086,1)="W","",AND(C1086,G1086=""),"記載要")</f>
        <v/>
      </c>
      <c r="R1086" s="21" t="str">
        <f t="shared" si="172"/>
        <v/>
      </c>
      <c r="S1086" s="21"/>
      <c r="Z1086" s="8"/>
      <c r="AA1086">
        <v>1</v>
      </c>
      <c r="AB1086">
        <f t="shared" si="168"/>
        <v>0</v>
      </c>
      <c r="AC1086">
        <v>1</v>
      </c>
      <c r="AF1086">
        <v>1</v>
      </c>
      <c r="AG1086" s="8"/>
      <c r="AH1086" s="8"/>
      <c r="AK1086" cm="1">
        <f t="array" ref="AK1086">_xlfn.IFS(B1086="","",LEFT(G1086,1)="L",1,LEFT(G1086,1)="W",1,AND(LEFT(B1086,1)="H",G1086=""),0)</f>
        <v>1</v>
      </c>
      <c r="AS1086" t="str">
        <f t="shared" si="169"/>
        <v/>
      </c>
      <c r="AT1086" t="s">
        <v>115</v>
      </c>
      <c r="AU1086" t="str">
        <f t="shared" si="170"/>
        <v>0</v>
      </c>
      <c r="BD1086" t="str">
        <f t="shared" si="171"/>
        <v>0</v>
      </c>
      <c r="BK1086" t="str">
        <f>IFERROR(VLOOKUP(B1086,'[1]model_S-フレーム'!$F$5:$R$7000,13,1),"")</f>
        <v>E389460_01</v>
      </c>
      <c r="BL1086" s="7">
        <f>IFERROR(VLOOKUP(B1086,'[1]model_S-フレーム'!$F$5:$V$7000,17,1),"")</f>
        <v>0</v>
      </c>
      <c r="BM1086" t="str" cm="1">
        <f t="array" ref="BM1086">_xlfn.IFS(LEFT(G1086,1)="L","外注品",LEFT(G1086,1)="W","内製品",G1086="","購買品")</f>
        <v>内製品</v>
      </c>
    </row>
    <row r="1087" spans="1:65">
      <c r="A1087" t="str">
        <f t="shared" si="163"/>
        <v>WG01</v>
      </c>
      <c r="B1087" t="s">
        <v>1237</v>
      </c>
      <c r="C1087" t="s">
        <v>1525</v>
      </c>
      <c r="D1087" s="7"/>
      <c r="E1087" s="7"/>
      <c r="G1087" t="s">
        <v>1939</v>
      </c>
      <c r="H1087" t="str" cm="1">
        <f t="array" ref="H1087">IFERROR(_xlfn.IFS(B1087="","",AND(B1087="",G1087=""),"",G1087="","記載要"),"")</f>
        <v/>
      </c>
      <c r="K1087" t="str">
        <f t="shared" si="164"/>
        <v>11WP01008647</v>
      </c>
      <c r="L1087" s="3" t="str">
        <f t="shared" si="165"/>
        <v>2001/01/01</v>
      </c>
      <c r="M1087" s="3" t="str">
        <f t="shared" si="166"/>
        <v>2199/12/31</v>
      </c>
      <c r="N1087" t="str">
        <f t="shared" si="167"/>
        <v>11WP01008647</v>
      </c>
      <c r="O1087">
        <v>15</v>
      </c>
      <c r="Q1087" t="str" cm="1">
        <f t="array" ref="Q1087">_xlfn.IFS(AND(C1087="",G1087=""),"",LEFT(G1087,1)="L","記載要",LEFT(G1087,1)="W","",AND(C1087,G1087=""),"記載要")</f>
        <v/>
      </c>
      <c r="R1087" s="21" t="str">
        <f t="shared" si="172"/>
        <v/>
      </c>
      <c r="S1087" s="21"/>
      <c r="Z1087" s="8"/>
      <c r="AA1087">
        <v>1</v>
      </c>
      <c r="AB1087">
        <f t="shared" si="168"/>
        <v>0</v>
      </c>
      <c r="AC1087">
        <v>1</v>
      </c>
      <c r="AF1087">
        <v>1</v>
      </c>
      <c r="AG1087" s="8"/>
      <c r="AH1087" s="8"/>
      <c r="AK1087" cm="1">
        <f t="array" ref="AK1087">_xlfn.IFS(B1087="","",LEFT(G1087,1)="L",1,LEFT(G1087,1)="W",1,AND(LEFT(B1087,1)="H",G1087=""),0)</f>
        <v>1</v>
      </c>
      <c r="AS1087" t="str">
        <f t="shared" si="169"/>
        <v/>
      </c>
      <c r="AT1087" t="s">
        <v>115</v>
      </c>
      <c r="AU1087" t="str">
        <f t="shared" si="170"/>
        <v>0</v>
      </c>
      <c r="BD1087" t="str">
        <f t="shared" si="171"/>
        <v>0</v>
      </c>
      <c r="BK1087" t="str">
        <f>IFERROR(VLOOKUP(B1087,'[1]model_S-フレーム'!$F$5:$R$7000,13,1),"")</f>
        <v>E389460_01</v>
      </c>
      <c r="BL1087" s="7">
        <f>IFERROR(VLOOKUP(B1087,'[1]model_S-フレーム'!$F$5:$V$7000,17,1),"")</f>
        <v>0</v>
      </c>
      <c r="BM1087" t="str" cm="1">
        <f t="array" ref="BM1087">_xlfn.IFS(LEFT(G1087,1)="L","外注品",LEFT(G1087,1)="W","内製品",G1087="","購買品")</f>
        <v>内製品</v>
      </c>
    </row>
    <row r="1088" spans="1:65">
      <c r="A1088" t="str">
        <f t="shared" si="163"/>
        <v>WG01</v>
      </c>
      <c r="B1088" t="s">
        <v>1238</v>
      </c>
      <c r="C1088" t="s">
        <v>1525</v>
      </c>
      <c r="D1088" s="7"/>
      <c r="E1088" s="7"/>
      <c r="G1088" t="s">
        <v>1939</v>
      </c>
      <c r="H1088" t="str" cm="1">
        <f t="array" ref="H1088">IFERROR(_xlfn.IFS(B1088="","",AND(B1088="",G1088=""),"",G1088="","記載要"),"")</f>
        <v/>
      </c>
      <c r="K1088" t="str">
        <f t="shared" si="164"/>
        <v>11WP01008648</v>
      </c>
      <c r="L1088" s="3" t="str">
        <f t="shared" si="165"/>
        <v>2001/01/01</v>
      </c>
      <c r="M1088" s="3" t="str">
        <f t="shared" si="166"/>
        <v>2199/12/31</v>
      </c>
      <c r="N1088" t="str">
        <f t="shared" si="167"/>
        <v>11WP01008648</v>
      </c>
      <c r="O1088">
        <v>15</v>
      </c>
      <c r="Q1088" t="str" cm="1">
        <f t="array" ref="Q1088">_xlfn.IFS(AND(C1088="",G1088=""),"",LEFT(G1088,1)="L","記載要",LEFT(G1088,1)="W","",AND(C1088,G1088=""),"記載要")</f>
        <v/>
      </c>
      <c r="R1088" s="21" t="str">
        <f t="shared" si="172"/>
        <v/>
      </c>
      <c r="S1088" s="21"/>
      <c r="Z1088" s="8"/>
      <c r="AA1088">
        <v>1</v>
      </c>
      <c r="AB1088">
        <f t="shared" si="168"/>
        <v>0</v>
      </c>
      <c r="AC1088">
        <v>1</v>
      </c>
      <c r="AF1088">
        <v>1</v>
      </c>
      <c r="AG1088" s="8"/>
      <c r="AH1088" s="8"/>
      <c r="AK1088" cm="1">
        <f t="array" ref="AK1088">_xlfn.IFS(B1088="","",LEFT(G1088,1)="L",1,LEFT(G1088,1)="W",1,AND(LEFT(B1088,1)="H",G1088=""),0)</f>
        <v>1</v>
      </c>
      <c r="AS1088" t="str">
        <f t="shared" si="169"/>
        <v/>
      </c>
      <c r="AT1088" t="s">
        <v>115</v>
      </c>
      <c r="AU1088" t="str">
        <f t="shared" si="170"/>
        <v>0</v>
      </c>
      <c r="BD1088" t="str">
        <f t="shared" si="171"/>
        <v>0</v>
      </c>
      <c r="BK1088" t="str">
        <f>IFERROR(VLOOKUP(B1088,'[1]model_S-フレーム'!$F$5:$R$7000,13,1),"")</f>
        <v>E389460_01</v>
      </c>
      <c r="BL1088" s="7">
        <f>IFERROR(VLOOKUP(B1088,'[1]model_S-フレーム'!$F$5:$V$7000,17,1),"")</f>
        <v>0</v>
      </c>
      <c r="BM1088" t="str" cm="1">
        <f t="array" ref="BM1088">_xlfn.IFS(LEFT(G1088,1)="L","外注品",LEFT(G1088,1)="W","内製品",G1088="","購買品")</f>
        <v>内製品</v>
      </c>
    </row>
    <row r="1089" spans="1:65">
      <c r="A1089" t="str">
        <f t="shared" si="163"/>
        <v>WG01</v>
      </c>
      <c r="B1089" t="s">
        <v>1239</v>
      </c>
      <c r="C1089" t="s">
        <v>1525</v>
      </c>
      <c r="D1089" s="7"/>
      <c r="E1089" s="7"/>
      <c r="G1089" t="s">
        <v>1939</v>
      </c>
      <c r="H1089" t="str" cm="1">
        <f t="array" ref="H1089">IFERROR(_xlfn.IFS(B1089="","",AND(B1089="",G1089=""),"",G1089="","記載要"),"")</f>
        <v/>
      </c>
      <c r="K1089" t="str">
        <f t="shared" si="164"/>
        <v>11WP01008649</v>
      </c>
      <c r="L1089" s="3" t="str">
        <f t="shared" si="165"/>
        <v>2001/01/01</v>
      </c>
      <c r="M1089" s="3" t="str">
        <f t="shared" si="166"/>
        <v>2199/12/31</v>
      </c>
      <c r="N1089" t="str">
        <f t="shared" si="167"/>
        <v>11WP01008649</v>
      </c>
      <c r="O1089">
        <v>15</v>
      </c>
      <c r="Q1089" t="str" cm="1">
        <f t="array" ref="Q1089">_xlfn.IFS(AND(C1089="",G1089=""),"",LEFT(G1089,1)="L","記載要",LEFT(G1089,1)="W","",AND(C1089,G1089=""),"記載要")</f>
        <v/>
      </c>
      <c r="R1089" s="21" t="str">
        <f t="shared" si="172"/>
        <v/>
      </c>
      <c r="S1089" s="21"/>
      <c r="Z1089" s="8"/>
      <c r="AA1089">
        <v>1</v>
      </c>
      <c r="AB1089">
        <f t="shared" si="168"/>
        <v>0</v>
      </c>
      <c r="AC1089">
        <v>1</v>
      </c>
      <c r="AF1089">
        <v>1</v>
      </c>
      <c r="AG1089" s="8"/>
      <c r="AH1089" s="8"/>
      <c r="AK1089" cm="1">
        <f t="array" ref="AK1089">_xlfn.IFS(B1089="","",LEFT(G1089,1)="L",1,LEFT(G1089,1)="W",1,AND(LEFT(B1089,1)="H",G1089=""),0)</f>
        <v>1</v>
      </c>
      <c r="AS1089" t="str">
        <f t="shared" si="169"/>
        <v/>
      </c>
      <c r="AT1089" t="s">
        <v>115</v>
      </c>
      <c r="AU1089" t="str">
        <f t="shared" si="170"/>
        <v>0</v>
      </c>
      <c r="BD1089" t="str">
        <f t="shared" si="171"/>
        <v>0</v>
      </c>
      <c r="BK1089" t="str">
        <f>IFERROR(VLOOKUP(B1089,'[1]model_S-フレーム'!$F$5:$R$7000,13,1),"")</f>
        <v>E389460_01</v>
      </c>
      <c r="BL1089" s="7">
        <f>IFERROR(VLOOKUP(B1089,'[1]model_S-フレーム'!$F$5:$V$7000,17,1),"")</f>
        <v>0</v>
      </c>
      <c r="BM1089" t="str" cm="1">
        <f t="array" ref="BM1089">_xlfn.IFS(LEFT(G1089,1)="L","外注品",LEFT(G1089,1)="W","内製品",G1089="","購買品")</f>
        <v>内製品</v>
      </c>
    </row>
    <row r="1090" spans="1:65">
      <c r="A1090" t="str">
        <f t="shared" si="163"/>
        <v>WG01</v>
      </c>
      <c r="B1090" t="s">
        <v>1240</v>
      </c>
      <c r="C1090" t="s">
        <v>1526</v>
      </c>
      <c r="D1090" s="7"/>
      <c r="E1090" s="7"/>
      <c r="G1090" t="s">
        <v>1939</v>
      </c>
      <c r="H1090" t="str" cm="1">
        <f t="array" ref="H1090">IFERROR(_xlfn.IFS(B1090="","",AND(B1090="",G1090=""),"",G1090="","記載要"),"")</f>
        <v/>
      </c>
      <c r="K1090" t="str">
        <f t="shared" si="164"/>
        <v>11WP01008650</v>
      </c>
      <c r="L1090" s="3" t="str">
        <f t="shared" si="165"/>
        <v>2001/01/01</v>
      </c>
      <c r="M1090" s="3" t="str">
        <f t="shared" si="166"/>
        <v>2199/12/31</v>
      </c>
      <c r="N1090" t="str">
        <f t="shared" si="167"/>
        <v>11WP01008650</v>
      </c>
      <c r="O1090">
        <v>15</v>
      </c>
      <c r="Q1090" t="str" cm="1">
        <f t="array" ref="Q1090">_xlfn.IFS(AND(C1090="",G1090=""),"",LEFT(G1090,1)="L","記載要",LEFT(G1090,1)="W","",AND(C1090,G1090=""),"記載要")</f>
        <v/>
      </c>
      <c r="R1090" s="21" t="str">
        <f t="shared" si="172"/>
        <v/>
      </c>
      <c r="S1090" s="21"/>
      <c r="Z1090" s="8"/>
      <c r="AA1090">
        <v>1</v>
      </c>
      <c r="AB1090">
        <f t="shared" si="168"/>
        <v>0</v>
      </c>
      <c r="AC1090">
        <v>1</v>
      </c>
      <c r="AF1090">
        <v>1</v>
      </c>
      <c r="AG1090" s="8"/>
      <c r="AH1090" s="8"/>
      <c r="AK1090" cm="1">
        <f t="array" ref="AK1090">_xlfn.IFS(B1090="","",LEFT(G1090,1)="L",1,LEFT(G1090,1)="W",1,AND(LEFT(B1090,1)="H",G1090=""),0)</f>
        <v>1</v>
      </c>
      <c r="AS1090" t="str">
        <f t="shared" si="169"/>
        <v/>
      </c>
      <c r="AT1090" t="s">
        <v>115</v>
      </c>
      <c r="AU1090" t="str">
        <f t="shared" si="170"/>
        <v>0</v>
      </c>
      <c r="BD1090" t="str">
        <f t="shared" si="171"/>
        <v>0</v>
      </c>
      <c r="BK1090" t="str">
        <f>IFERROR(VLOOKUP(B1090,'[1]model_S-フレーム'!$F$5:$R$7000,13,1),"")</f>
        <v>E389460_01</v>
      </c>
      <c r="BL1090" s="7">
        <f>IFERROR(VLOOKUP(B1090,'[1]model_S-フレーム'!$F$5:$V$7000,17,1),"")</f>
        <v>0</v>
      </c>
      <c r="BM1090" t="str" cm="1">
        <f t="array" ref="BM1090">_xlfn.IFS(LEFT(G1090,1)="L","外注品",LEFT(G1090,1)="W","内製品",G1090="","購買品")</f>
        <v>内製品</v>
      </c>
    </row>
    <row r="1091" spans="1:65">
      <c r="A1091" t="str">
        <f t="shared" ref="A1091:A1154" si="173">IF(B1091="","","WG01")</f>
        <v>WG01</v>
      </c>
      <c r="B1091" t="s">
        <v>1241</v>
      </c>
      <c r="C1091" t="s">
        <v>1526</v>
      </c>
      <c r="D1091" s="7"/>
      <c r="E1091" s="7"/>
      <c r="G1091" t="s">
        <v>1939</v>
      </c>
      <c r="H1091" t="str" cm="1">
        <f t="array" ref="H1091">IFERROR(_xlfn.IFS(B1091="","",AND(B1091="",G1091=""),"",G1091="","記載要"),"")</f>
        <v/>
      </c>
      <c r="K1091" t="str">
        <f t="shared" ref="K1091:K1154" si="174">IF(G1091="","","11"&amp;G1091&amp;RIGHT(B1091,5))</f>
        <v>11WP01008651</v>
      </c>
      <c r="L1091" s="3" t="str">
        <f t="shared" ref="L1091:L1154" si="175">IF(B1091="","","2001/01/01")</f>
        <v>2001/01/01</v>
      </c>
      <c r="M1091" s="3" t="str">
        <f t="shared" ref="M1091:M1154" si="176">IF(C1091="","","2199/12/31")</f>
        <v>2199/12/31</v>
      </c>
      <c r="N1091" t="str">
        <f t="shared" ref="N1091:N1154" si="177">IF(LEFT(G1091,1)="W",K1091,"")</f>
        <v>11WP01008651</v>
      </c>
      <c r="O1091">
        <v>15</v>
      </c>
      <c r="Q1091" t="str" cm="1">
        <f t="array" ref="Q1091">_xlfn.IFS(AND(C1091="",G1091=""),"",LEFT(G1091,1)="L","記載要",LEFT(G1091,1)="W","",AND(C1091,G1091=""),"記載要")</f>
        <v/>
      </c>
      <c r="R1091" s="21" t="str">
        <f t="shared" si="172"/>
        <v/>
      </c>
      <c r="S1091" s="21"/>
      <c r="Z1091" s="8"/>
      <c r="AA1091">
        <v>1</v>
      </c>
      <c r="AB1091">
        <f t="shared" ref="AB1091:AB1154" si="178">IF(B1091="","",0)</f>
        <v>0</v>
      </c>
      <c r="AC1091">
        <v>1</v>
      </c>
      <c r="AF1091">
        <v>1</v>
      </c>
      <c r="AG1091" s="8"/>
      <c r="AH1091" s="8"/>
      <c r="AK1091" cm="1">
        <f t="array" ref="AK1091">_xlfn.IFS(B1091="","",LEFT(G1091,1)="L",1,LEFT(G1091,1)="W",1,AND(LEFT(B1091,1)="H",G1091=""),0)</f>
        <v>1</v>
      </c>
      <c r="AS1091" t="str">
        <f t="shared" ref="AS1091:AS1154" si="179">IF(Q1091="","",1)</f>
        <v/>
      </c>
      <c r="AT1091" t="s">
        <v>115</v>
      </c>
      <c r="AU1091" t="str">
        <f t="shared" ref="AU1091:AU1154" si="180">IF(B1091="","","0")</f>
        <v>0</v>
      </c>
      <c r="BD1091" t="str">
        <f t="shared" ref="BD1091:BD1154" si="181">IF(B1091="","","0")</f>
        <v>0</v>
      </c>
      <c r="BK1091" t="str">
        <f>IFERROR(VLOOKUP(B1091,'[1]model_S-フレーム'!$F$5:$R$7000,13,1),"")</f>
        <v>E389460_01</v>
      </c>
      <c r="BL1091" s="7">
        <f>IFERROR(VLOOKUP(B1091,'[1]model_S-フレーム'!$F$5:$V$7000,17,1),"")</f>
        <v>0</v>
      </c>
      <c r="BM1091" t="str" cm="1">
        <f t="array" ref="BM1091">_xlfn.IFS(LEFT(G1091,1)="L","外注品",LEFT(G1091,1)="W","内製品",G1091="","購買品")</f>
        <v>内製品</v>
      </c>
    </row>
    <row r="1092" spans="1:65">
      <c r="A1092" t="str">
        <f t="shared" si="173"/>
        <v>WG01</v>
      </c>
      <c r="B1092" t="s">
        <v>1242</v>
      </c>
      <c r="C1092" t="s">
        <v>1526</v>
      </c>
      <c r="D1092" s="7"/>
      <c r="E1092" s="7"/>
      <c r="G1092" t="s">
        <v>1939</v>
      </c>
      <c r="H1092" t="str" cm="1">
        <f t="array" ref="H1092">IFERROR(_xlfn.IFS(B1092="","",AND(B1092="",G1092=""),"",G1092="","記載要"),"")</f>
        <v/>
      </c>
      <c r="K1092" t="str">
        <f t="shared" si="174"/>
        <v>11WP01008652</v>
      </c>
      <c r="L1092" s="3" t="str">
        <f t="shared" si="175"/>
        <v>2001/01/01</v>
      </c>
      <c r="M1092" s="3" t="str">
        <f t="shared" si="176"/>
        <v>2199/12/31</v>
      </c>
      <c r="N1092" t="str">
        <f t="shared" si="177"/>
        <v>11WP01008652</v>
      </c>
      <c r="O1092">
        <v>15</v>
      </c>
      <c r="Q1092" t="str" cm="1">
        <f t="array" ref="Q1092">_xlfn.IFS(AND(C1092="",G1092=""),"",LEFT(G1092,1)="L","記載要",LEFT(G1092,1)="W","",AND(C1092,G1092=""),"記載要")</f>
        <v/>
      </c>
      <c r="R1092" s="21" t="str">
        <f t="shared" ref="R1092:R1155" si="182">IF(H1092="","","記載要")</f>
        <v/>
      </c>
      <c r="S1092" s="21"/>
      <c r="Z1092" s="8"/>
      <c r="AA1092">
        <v>1</v>
      </c>
      <c r="AB1092">
        <f t="shared" si="178"/>
        <v>0</v>
      </c>
      <c r="AC1092">
        <v>1</v>
      </c>
      <c r="AF1092">
        <v>1</v>
      </c>
      <c r="AG1092" s="8"/>
      <c r="AH1092" s="8"/>
      <c r="AK1092" cm="1">
        <f t="array" ref="AK1092">_xlfn.IFS(B1092="","",LEFT(G1092,1)="L",1,LEFT(G1092,1)="W",1,AND(LEFT(B1092,1)="H",G1092=""),0)</f>
        <v>1</v>
      </c>
      <c r="AS1092" t="str">
        <f t="shared" si="179"/>
        <v/>
      </c>
      <c r="AT1092" t="s">
        <v>115</v>
      </c>
      <c r="AU1092" t="str">
        <f t="shared" si="180"/>
        <v>0</v>
      </c>
      <c r="BD1092" t="str">
        <f t="shared" si="181"/>
        <v>0</v>
      </c>
      <c r="BK1092" t="str">
        <f>IFERROR(VLOOKUP(B1092,'[1]model_S-フレーム'!$F$5:$R$7000,13,1),"")</f>
        <v>E389460_01</v>
      </c>
      <c r="BL1092" s="7">
        <f>IFERROR(VLOOKUP(B1092,'[1]model_S-フレーム'!$F$5:$V$7000,17,1),"")</f>
        <v>0</v>
      </c>
      <c r="BM1092" t="str" cm="1">
        <f t="array" ref="BM1092">_xlfn.IFS(LEFT(G1092,1)="L","外注品",LEFT(G1092,1)="W","内製品",G1092="","購買品")</f>
        <v>内製品</v>
      </c>
    </row>
    <row r="1093" spans="1:65">
      <c r="A1093" t="str">
        <f t="shared" si="173"/>
        <v>WG01</v>
      </c>
      <c r="B1093" t="s">
        <v>1243</v>
      </c>
      <c r="C1093" t="s">
        <v>1526</v>
      </c>
      <c r="D1093" s="7"/>
      <c r="E1093" s="7"/>
      <c r="G1093" t="s">
        <v>1939</v>
      </c>
      <c r="H1093" t="str" cm="1">
        <f t="array" ref="H1093">IFERROR(_xlfn.IFS(B1093="","",AND(B1093="",G1093=""),"",G1093="","記載要"),"")</f>
        <v/>
      </c>
      <c r="K1093" t="str">
        <f t="shared" si="174"/>
        <v>11WP01008653</v>
      </c>
      <c r="L1093" s="3" t="str">
        <f t="shared" si="175"/>
        <v>2001/01/01</v>
      </c>
      <c r="M1093" s="3" t="str">
        <f t="shared" si="176"/>
        <v>2199/12/31</v>
      </c>
      <c r="N1093" t="str">
        <f t="shared" si="177"/>
        <v>11WP01008653</v>
      </c>
      <c r="O1093">
        <v>15</v>
      </c>
      <c r="Q1093" t="str" cm="1">
        <f t="array" ref="Q1093">_xlfn.IFS(AND(C1093="",G1093=""),"",LEFT(G1093,1)="L","記載要",LEFT(G1093,1)="W","",AND(C1093,G1093=""),"記載要")</f>
        <v/>
      </c>
      <c r="R1093" s="21" t="str">
        <f t="shared" si="182"/>
        <v/>
      </c>
      <c r="S1093" s="21"/>
      <c r="Z1093" s="8"/>
      <c r="AA1093">
        <v>1</v>
      </c>
      <c r="AB1093">
        <f t="shared" si="178"/>
        <v>0</v>
      </c>
      <c r="AC1093">
        <v>1</v>
      </c>
      <c r="AF1093">
        <v>1</v>
      </c>
      <c r="AG1093" s="8"/>
      <c r="AH1093" s="8"/>
      <c r="AK1093" cm="1">
        <f t="array" ref="AK1093">_xlfn.IFS(B1093="","",LEFT(G1093,1)="L",1,LEFT(G1093,1)="W",1,AND(LEFT(B1093,1)="H",G1093=""),0)</f>
        <v>1</v>
      </c>
      <c r="AS1093" t="str">
        <f t="shared" si="179"/>
        <v/>
      </c>
      <c r="AT1093" t="s">
        <v>115</v>
      </c>
      <c r="AU1093" t="str">
        <f t="shared" si="180"/>
        <v>0</v>
      </c>
      <c r="BD1093" t="str">
        <f t="shared" si="181"/>
        <v>0</v>
      </c>
      <c r="BK1093" t="str">
        <f>IFERROR(VLOOKUP(B1093,'[1]model_S-フレーム'!$F$5:$R$7000,13,1),"")</f>
        <v>E389460_01</v>
      </c>
      <c r="BL1093" s="7">
        <f>IFERROR(VLOOKUP(B1093,'[1]model_S-フレーム'!$F$5:$V$7000,17,1),"")</f>
        <v>0</v>
      </c>
      <c r="BM1093" t="str" cm="1">
        <f t="array" ref="BM1093">_xlfn.IFS(LEFT(G1093,1)="L","外注品",LEFT(G1093,1)="W","内製品",G1093="","購買品")</f>
        <v>内製品</v>
      </c>
    </row>
    <row r="1094" spans="1:65">
      <c r="A1094" t="str">
        <f t="shared" si="173"/>
        <v>WG01</v>
      </c>
      <c r="B1094" t="s">
        <v>1244</v>
      </c>
      <c r="C1094" t="s">
        <v>1526</v>
      </c>
      <c r="D1094" s="7"/>
      <c r="E1094" s="7"/>
      <c r="G1094" t="s">
        <v>1939</v>
      </c>
      <c r="H1094" t="str" cm="1">
        <f t="array" ref="H1094">IFERROR(_xlfn.IFS(B1094="","",AND(B1094="",G1094=""),"",G1094="","記載要"),"")</f>
        <v/>
      </c>
      <c r="K1094" t="str">
        <f t="shared" si="174"/>
        <v>11WP01008654</v>
      </c>
      <c r="L1094" s="3" t="str">
        <f t="shared" si="175"/>
        <v>2001/01/01</v>
      </c>
      <c r="M1094" s="3" t="str">
        <f t="shared" si="176"/>
        <v>2199/12/31</v>
      </c>
      <c r="N1094" t="str">
        <f t="shared" si="177"/>
        <v>11WP01008654</v>
      </c>
      <c r="O1094">
        <v>15</v>
      </c>
      <c r="Q1094" t="str" cm="1">
        <f t="array" ref="Q1094">_xlfn.IFS(AND(C1094="",G1094=""),"",LEFT(G1094,1)="L","記載要",LEFT(G1094,1)="W","",AND(C1094,G1094=""),"記載要")</f>
        <v/>
      </c>
      <c r="R1094" s="21" t="str">
        <f t="shared" si="182"/>
        <v/>
      </c>
      <c r="S1094" s="21"/>
      <c r="Z1094" s="8"/>
      <c r="AA1094">
        <v>1</v>
      </c>
      <c r="AB1094">
        <f t="shared" si="178"/>
        <v>0</v>
      </c>
      <c r="AC1094">
        <v>1</v>
      </c>
      <c r="AF1094">
        <v>1</v>
      </c>
      <c r="AG1094" s="8"/>
      <c r="AH1094" s="8"/>
      <c r="AK1094" cm="1">
        <f t="array" ref="AK1094">_xlfn.IFS(B1094="","",LEFT(G1094,1)="L",1,LEFT(G1094,1)="W",1,AND(LEFT(B1094,1)="H",G1094=""),0)</f>
        <v>1</v>
      </c>
      <c r="AS1094" t="str">
        <f t="shared" si="179"/>
        <v/>
      </c>
      <c r="AT1094" t="s">
        <v>115</v>
      </c>
      <c r="AU1094" t="str">
        <f t="shared" si="180"/>
        <v>0</v>
      </c>
      <c r="BD1094" t="str">
        <f t="shared" si="181"/>
        <v>0</v>
      </c>
      <c r="BK1094" t="str">
        <f>IFERROR(VLOOKUP(B1094,'[1]model_S-フレーム'!$F$5:$R$7000,13,1),"")</f>
        <v>E389460_01</v>
      </c>
      <c r="BL1094" s="7">
        <f>IFERROR(VLOOKUP(B1094,'[1]model_S-フレーム'!$F$5:$V$7000,17,1),"")</f>
        <v>0</v>
      </c>
      <c r="BM1094" t="str" cm="1">
        <f t="array" ref="BM1094">_xlfn.IFS(LEFT(G1094,1)="L","外注品",LEFT(G1094,1)="W","内製品",G1094="","購買品")</f>
        <v>内製品</v>
      </c>
    </row>
    <row r="1095" spans="1:65">
      <c r="A1095" t="str">
        <f t="shared" si="173"/>
        <v>WG01</v>
      </c>
      <c r="B1095" t="s">
        <v>1245</v>
      </c>
      <c r="C1095" t="s">
        <v>1526</v>
      </c>
      <c r="D1095" s="7"/>
      <c r="E1095" s="7"/>
      <c r="G1095" t="s">
        <v>1939</v>
      </c>
      <c r="H1095" t="str" cm="1">
        <f t="array" ref="H1095">IFERROR(_xlfn.IFS(B1095="","",AND(B1095="",G1095=""),"",G1095="","記載要"),"")</f>
        <v/>
      </c>
      <c r="K1095" t="str">
        <f t="shared" si="174"/>
        <v>11WP01008655</v>
      </c>
      <c r="L1095" s="3" t="str">
        <f t="shared" si="175"/>
        <v>2001/01/01</v>
      </c>
      <c r="M1095" s="3" t="str">
        <f t="shared" si="176"/>
        <v>2199/12/31</v>
      </c>
      <c r="N1095" t="str">
        <f t="shared" si="177"/>
        <v>11WP01008655</v>
      </c>
      <c r="O1095">
        <v>15</v>
      </c>
      <c r="Q1095" t="str" cm="1">
        <f t="array" ref="Q1095">_xlfn.IFS(AND(C1095="",G1095=""),"",LEFT(G1095,1)="L","記載要",LEFT(G1095,1)="W","",AND(C1095,G1095=""),"記載要")</f>
        <v/>
      </c>
      <c r="R1095" s="21" t="str">
        <f t="shared" si="182"/>
        <v/>
      </c>
      <c r="S1095" s="21"/>
      <c r="Z1095" s="8"/>
      <c r="AA1095">
        <v>1</v>
      </c>
      <c r="AB1095">
        <f t="shared" si="178"/>
        <v>0</v>
      </c>
      <c r="AC1095">
        <v>1</v>
      </c>
      <c r="AF1095">
        <v>1</v>
      </c>
      <c r="AG1095" s="8"/>
      <c r="AH1095" s="8"/>
      <c r="AK1095" cm="1">
        <f t="array" ref="AK1095">_xlfn.IFS(B1095="","",LEFT(G1095,1)="L",1,LEFT(G1095,1)="W",1,AND(LEFT(B1095,1)="H",G1095=""),0)</f>
        <v>1</v>
      </c>
      <c r="AS1095" t="str">
        <f t="shared" si="179"/>
        <v/>
      </c>
      <c r="AT1095" t="s">
        <v>115</v>
      </c>
      <c r="AU1095" t="str">
        <f t="shared" si="180"/>
        <v>0</v>
      </c>
      <c r="BD1095" t="str">
        <f t="shared" si="181"/>
        <v>0</v>
      </c>
      <c r="BK1095" t="str">
        <f>IFERROR(VLOOKUP(B1095,'[1]model_S-フレーム'!$F$5:$R$7000,13,1),"")</f>
        <v>E389460_01</v>
      </c>
      <c r="BL1095" s="7">
        <f>IFERROR(VLOOKUP(B1095,'[1]model_S-フレーム'!$F$5:$V$7000,17,1),"")</f>
        <v>0</v>
      </c>
      <c r="BM1095" t="str" cm="1">
        <f t="array" ref="BM1095">_xlfn.IFS(LEFT(G1095,1)="L","外注品",LEFT(G1095,1)="W","内製品",G1095="","購買品")</f>
        <v>内製品</v>
      </c>
    </row>
    <row r="1096" spans="1:65">
      <c r="A1096" t="str">
        <f t="shared" si="173"/>
        <v>WG01</v>
      </c>
      <c r="B1096" t="s">
        <v>1246</v>
      </c>
      <c r="C1096" t="s">
        <v>1526</v>
      </c>
      <c r="D1096" s="7"/>
      <c r="E1096" s="7"/>
      <c r="G1096" t="s">
        <v>1939</v>
      </c>
      <c r="H1096" t="str" cm="1">
        <f t="array" ref="H1096">IFERROR(_xlfn.IFS(B1096="","",AND(B1096="",G1096=""),"",G1096="","記載要"),"")</f>
        <v/>
      </c>
      <c r="K1096" t="str">
        <f t="shared" si="174"/>
        <v>11WP01008656</v>
      </c>
      <c r="L1096" s="3" t="str">
        <f t="shared" si="175"/>
        <v>2001/01/01</v>
      </c>
      <c r="M1096" s="3" t="str">
        <f t="shared" si="176"/>
        <v>2199/12/31</v>
      </c>
      <c r="N1096" t="str">
        <f t="shared" si="177"/>
        <v>11WP01008656</v>
      </c>
      <c r="O1096">
        <v>15</v>
      </c>
      <c r="Q1096" t="str" cm="1">
        <f t="array" ref="Q1096">_xlfn.IFS(AND(C1096="",G1096=""),"",LEFT(G1096,1)="L","記載要",LEFT(G1096,1)="W","",AND(C1096,G1096=""),"記載要")</f>
        <v/>
      </c>
      <c r="R1096" s="21" t="str">
        <f t="shared" si="182"/>
        <v/>
      </c>
      <c r="S1096" s="21"/>
      <c r="Z1096" s="8"/>
      <c r="AA1096">
        <v>1</v>
      </c>
      <c r="AB1096">
        <f t="shared" si="178"/>
        <v>0</v>
      </c>
      <c r="AC1096">
        <v>1</v>
      </c>
      <c r="AF1096">
        <v>1</v>
      </c>
      <c r="AG1096" s="8"/>
      <c r="AH1096" s="8"/>
      <c r="AK1096" cm="1">
        <f t="array" ref="AK1096">_xlfn.IFS(B1096="","",LEFT(G1096,1)="L",1,LEFT(G1096,1)="W",1,AND(LEFT(B1096,1)="H",G1096=""),0)</f>
        <v>1</v>
      </c>
      <c r="AS1096" t="str">
        <f t="shared" si="179"/>
        <v/>
      </c>
      <c r="AT1096" t="s">
        <v>115</v>
      </c>
      <c r="AU1096" t="str">
        <f t="shared" si="180"/>
        <v>0</v>
      </c>
      <c r="BD1096" t="str">
        <f t="shared" si="181"/>
        <v>0</v>
      </c>
      <c r="BK1096" t="str">
        <f>IFERROR(VLOOKUP(B1096,'[1]model_S-フレーム'!$F$5:$R$7000,13,1),"")</f>
        <v>E389460_01</v>
      </c>
      <c r="BL1096" s="7">
        <f>IFERROR(VLOOKUP(B1096,'[1]model_S-フレーム'!$F$5:$V$7000,17,1),"")</f>
        <v>0</v>
      </c>
      <c r="BM1096" t="str" cm="1">
        <f t="array" ref="BM1096">_xlfn.IFS(LEFT(G1096,1)="L","外注品",LEFT(G1096,1)="W","内製品",G1096="","購買品")</f>
        <v>内製品</v>
      </c>
    </row>
    <row r="1097" spans="1:65">
      <c r="A1097" t="str">
        <f t="shared" si="173"/>
        <v>WG01</v>
      </c>
      <c r="B1097" t="s">
        <v>1247</v>
      </c>
      <c r="C1097" t="s">
        <v>1526</v>
      </c>
      <c r="D1097" s="7"/>
      <c r="E1097" s="7"/>
      <c r="G1097" t="s">
        <v>1939</v>
      </c>
      <c r="H1097" t="str" cm="1">
        <f t="array" ref="H1097">IFERROR(_xlfn.IFS(B1097="","",AND(B1097="",G1097=""),"",G1097="","記載要"),"")</f>
        <v/>
      </c>
      <c r="K1097" t="str">
        <f t="shared" si="174"/>
        <v>11WP01008657</v>
      </c>
      <c r="L1097" s="3" t="str">
        <f t="shared" si="175"/>
        <v>2001/01/01</v>
      </c>
      <c r="M1097" s="3" t="str">
        <f t="shared" si="176"/>
        <v>2199/12/31</v>
      </c>
      <c r="N1097" t="str">
        <f t="shared" si="177"/>
        <v>11WP01008657</v>
      </c>
      <c r="O1097">
        <v>15</v>
      </c>
      <c r="Q1097" t="str" cm="1">
        <f t="array" ref="Q1097">_xlfn.IFS(AND(C1097="",G1097=""),"",LEFT(G1097,1)="L","記載要",LEFT(G1097,1)="W","",AND(C1097,G1097=""),"記載要")</f>
        <v/>
      </c>
      <c r="R1097" s="21" t="str">
        <f t="shared" si="182"/>
        <v/>
      </c>
      <c r="S1097" s="21"/>
      <c r="Z1097" s="8"/>
      <c r="AA1097">
        <v>1</v>
      </c>
      <c r="AB1097">
        <f t="shared" si="178"/>
        <v>0</v>
      </c>
      <c r="AC1097">
        <v>1</v>
      </c>
      <c r="AF1097">
        <v>1</v>
      </c>
      <c r="AG1097" s="8"/>
      <c r="AH1097" s="8"/>
      <c r="AK1097" cm="1">
        <f t="array" ref="AK1097">_xlfn.IFS(B1097="","",LEFT(G1097,1)="L",1,LEFT(G1097,1)="W",1,AND(LEFT(B1097,1)="H",G1097=""),0)</f>
        <v>1</v>
      </c>
      <c r="AS1097" t="str">
        <f t="shared" si="179"/>
        <v/>
      </c>
      <c r="AT1097" t="s">
        <v>115</v>
      </c>
      <c r="AU1097" t="str">
        <f t="shared" si="180"/>
        <v>0</v>
      </c>
      <c r="BD1097" t="str">
        <f t="shared" si="181"/>
        <v>0</v>
      </c>
      <c r="BK1097" t="str">
        <f>IFERROR(VLOOKUP(B1097,'[1]model_S-フレーム'!$F$5:$R$7000,13,1),"")</f>
        <v>E389460_01</v>
      </c>
      <c r="BL1097" s="7">
        <f>IFERROR(VLOOKUP(B1097,'[1]model_S-フレーム'!$F$5:$V$7000,17,1),"")</f>
        <v>0</v>
      </c>
      <c r="BM1097" t="str" cm="1">
        <f t="array" ref="BM1097">_xlfn.IFS(LEFT(G1097,1)="L","外注品",LEFT(G1097,1)="W","内製品",G1097="","購買品")</f>
        <v>内製品</v>
      </c>
    </row>
    <row r="1098" spans="1:65">
      <c r="A1098" t="str">
        <f t="shared" si="173"/>
        <v>WG01</v>
      </c>
      <c r="B1098" t="s">
        <v>1248</v>
      </c>
      <c r="C1098" t="s">
        <v>1526</v>
      </c>
      <c r="D1098" s="7"/>
      <c r="E1098" s="7"/>
      <c r="G1098" t="s">
        <v>1939</v>
      </c>
      <c r="H1098" t="str" cm="1">
        <f t="array" ref="H1098">IFERROR(_xlfn.IFS(B1098="","",AND(B1098="",G1098=""),"",G1098="","記載要"),"")</f>
        <v/>
      </c>
      <c r="K1098" t="str">
        <f t="shared" si="174"/>
        <v>11WP01008658</v>
      </c>
      <c r="L1098" s="3" t="str">
        <f t="shared" si="175"/>
        <v>2001/01/01</v>
      </c>
      <c r="M1098" s="3" t="str">
        <f t="shared" si="176"/>
        <v>2199/12/31</v>
      </c>
      <c r="N1098" t="str">
        <f t="shared" si="177"/>
        <v>11WP01008658</v>
      </c>
      <c r="O1098">
        <v>15</v>
      </c>
      <c r="Q1098" t="str" cm="1">
        <f t="array" ref="Q1098">_xlfn.IFS(AND(C1098="",G1098=""),"",LEFT(G1098,1)="L","記載要",LEFT(G1098,1)="W","",AND(C1098,G1098=""),"記載要")</f>
        <v/>
      </c>
      <c r="R1098" s="21" t="str">
        <f t="shared" si="182"/>
        <v/>
      </c>
      <c r="S1098" s="21"/>
      <c r="Z1098" s="8"/>
      <c r="AA1098">
        <v>1</v>
      </c>
      <c r="AB1098">
        <f t="shared" si="178"/>
        <v>0</v>
      </c>
      <c r="AC1098">
        <v>1</v>
      </c>
      <c r="AF1098">
        <v>1</v>
      </c>
      <c r="AG1098" s="8"/>
      <c r="AH1098" s="8"/>
      <c r="AK1098" cm="1">
        <f t="array" ref="AK1098">_xlfn.IFS(B1098="","",LEFT(G1098,1)="L",1,LEFT(G1098,1)="W",1,AND(LEFT(B1098,1)="H",G1098=""),0)</f>
        <v>1</v>
      </c>
      <c r="AS1098" t="str">
        <f t="shared" si="179"/>
        <v/>
      </c>
      <c r="AT1098" t="s">
        <v>115</v>
      </c>
      <c r="AU1098" t="str">
        <f t="shared" si="180"/>
        <v>0</v>
      </c>
      <c r="BD1098" t="str">
        <f t="shared" si="181"/>
        <v>0</v>
      </c>
      <c r="BK1098" t="str">
        <f>IFERROR(VLOOKUP(B1098,'[1]model_S-フレーム'!$F$5:$R$7000,13,1),"")</f>
        <v>E389460_01</v>
      </c>
      <c r="BL1098" s="7">
        <f>IFERROR(VLOOKUP(B1098,'[1]model_S-フレーム'!$F$5:$V$7000,17,1),"")</f>
        <v>0</v>
      </c>
      <c r="BM1098" t="str" cm="1">
        <f t="array" ref="BM1098">_xlfn.IFS(LEFT(G1098,1)="L","外注品",LEFT(G1098,1)="W","内製品",G1098="","購買品")</f>
        <v>内製品</v>
      </c>
    </row>
    <row r="1099" spans="1:65">
      <c r="A1099" t="str">
        <f t="shared" si="173"/>
        <v>WG01</v>
      </c>
      <c r="B1099" t="s">
        <v>1249</v>
      </c>
      <c r="C1099" t="s">
        <v>1526</v>
      </c>
      <c r="D1099" s="7"/>
      <c r="E1099" s="7"/>
      <c r="G1099" t="s">
        <v>1939</v>
      </c>
      <c r="H1099" t="str" cm="1">
        <f t="array" ref="H1099">IFERROR(_xlfn.IFS(B1099="","",AND(B1099="",G1099=""),"",G1099="","記載要"),"")</f>
        <v/>
      </c>
      <c r="K1099" t="str">
        <f t="shared" si="174"/>
        <v>11WP01008659</v>
      </c>
      <c r="L1099" s="3" t="str">
        <f t="shared" si="175"/>
        <v>2001/01/01</v>
      </c>
      <c r="M1099" s="3" t="str">
        <f t="shared" si="176"/>
        <v>2199/12/31</v>
      </c>
      <c r="N1099" t="str">
        <f t="shared" si="177"/>
        <v>11WP01008659</v>
      </c>
      <c r="O1099">
        <v>15</v>
      </c>
      <c r="Q1099" t="str" cm="1">
        <f t="array" ref="Q1099">_xlfn.IFS(AND(C1099="",G1099=""),"",LEFT(G1099,1)="L","記載要",LEFT(G1099,1)="W","",AND(C1099,G1099=""),"記載要")</f>
        <v/>
      </c>
      <c r="R1099" s="21" t="str">
        <f t="shared" si="182"/>
        <v/>
      </c>
      <c r="S1099" s="21"/>
      <c r="Z1099" s="8"/>
      <c r="AA1099">
        <v>1</v>
      </c>
      <c r="AB1099">
        <f t="shared" si="178"/>
        <v>0</v>
      </c>
      <c r="AC1099">
        <v>1</v>
      </c>
      <c r="AF1099">
        <v>1</v>
      </c>
      <c r="AG1099" s="8"/>
      <c r="AH1099" s="8"/>
      <c r="AK1099" cm="1">
        <f t="array" ref="AK1099">_xlfn.IFS(B1099="","",LEFT(G1099,1)="L",1,LEFT(G1099,1)="W",1,AND(LEFT(B1099,1)="H",G1099=""),0)</f>
        <v>1</v>
      </c>
      <c r="AS1099" t="str">
        <f t="shared" si="179"/>
        <v/>
      </c>
      <c r="AT1099" t="s">
        <v>115</v>
      </c>
      <c r="AU1099" t="str">
        <f t="shared" si="180"/>
        <v>0</v>
      </c>
      <c r="BD1099" t="str">
        <f t="shared" si="181"/>
        <v>0</v>
      </c>
      <c r="BK1099" t="str">
        <f>IFERROR(VLOOKUP(B1099,'[1]model_S-フレーム'!$F$5:$R$7000,13,1),"")</f>
        <v>E389460_01</v>
      </c>
      <c r="BL1099" s="7">
        <f>IFERROR(VLOOKUP(B1099,'[1]model_S-フレーム'!$F$5:$V$7000,17,1),"")</f>
        <v>0</v>
      </c>
      <c r="BM1099" t="str" cm="1">
        <f t="array" ref="BM1099">_xlfn.IFS(LEFT(G1099,1)="L","外注品",LEFT(G1099,1)="W","内製品",G1099="","購買品")</f>
        <v>内製品</v>
      </c>
    </row>
    <row r="1100" spans="1:65">
      <c r="A1100" t="str">
        <f t="shared" si="173"/>
        <v>WG01</v>
      </c>
      <c r="B1100" t="s">
        <v>1250</v>
      </c>
      <c r="C1100" t="s">
        <v>1526</v>
      </c>
      <c r="D1100" s="7"/>
      <c r="E1100" s="7"/>
      <c r="G1100" t="s">
        <v>1939</v>
      </c>
      <c r="H1100" t="str" cm="1">
        <f t="array" ref="H1100">IFERROR(_xlfn.IFS(B1100="","",AND(B1100="",G1100=""),"",G1100="","記載要"),"")</f>
        <v/>
      </c>
      <c r="K1100" t="str">
        <f t="shared" si="174"/>
        <v>11WP01008660</v>
      </c>
      <c r="L1100" s="3" t="str">
        <f t="shared" si="175"/>
        <v>2001/01/01</v>
      </c>
      <c r="M1100" s="3" t="str">
        <f t="shared" si="176"/>
        <v>2199/12/31</v>
      </c>
      <c r="N1100" t="str">
        <f t="shared" si="177"/>
        <v>11WP01008660</v>
      </c>
      <c r="O1100">
        <v>15</v>
      </c>
      <c r="Q1100" t="str" cm="1">
        <f t="array" ref="Q1100">_xlfn.IFS(AND(C1100="",G1100=""),"",LEFT(G1100,1)="L","記載要",LEFT(G1100,1)="W","",AND(C1100,G1100=""),"記載要")</f>
        <v/>
      </c>
      <c r="R1100" s="21" t="str">
        <f t="shared" si="182"/>
        <v/>
      </c>
      <c r="S1100" s="21"/>
      <c r="Z1100" s="8"/>
      <c r="AA1100">
        <v>1</v>
      </c>
      <c r="AB1100">
        <f t="shared" si="178"/>
        <v>0</v>
      </c>
      <c r="AC1100">
        <v>1</v>
      </c>
      <c r="AF1100">
        <v>1</v>
      </c>
      <c r="AG1100" s="8"/>
      <c r="AH1100" s="8"/>
      <c r="AK1100" cm="1">
        <f t="array" ref="AK1100">_xlfn.IFS(B1100="","",LEFT(G1100,1)="L",1,LEFT(G1100,1)="W",1,AND(LEFT(B1100,1)="H",G1100=""),0)</f>
        <v>1</v>
      </c>
      <c r="AS1100" t="str">
        <f t="shared" si="179"/>
        <v/>
      </c>
      <c r="AT1100" t="s">
        <v>115</v>
      </c>
      <c r="AU1100" t="str">
        <f t="shared" si="180"/>
        <v>0</v>
      </c>
      <c r="BD1100" t="str">
        <f t="shared" si="181"/>
        <v>0</v>
      </c>
      <c r="BK1100" t="str">
        <f>IFERROR(VLOOKUP(B1100,'[1]model_S-フレーム'!$F$5:$R$7000,13,1),"")</f>
        <v>E389460_01</v>
      </c>
      <c r="BL1100" s="7">
        <f>IFERROR(VLOOKUP(B1100,'[1]model_S-フレーム'!$F$5:$V$7000,17,1),"")</f>
        <v>0</v>
      </c>
      <c r="BM1100" t="str" cm="1">
        <f t="array" ref="BM1100">_xlfn.IFS(LEFT(G1100,1)="L","外注品",LEFT(G1100,1)="W","内製品",G1100="","購買品")</f>
        <v>内製品</v>
      </c>
    </row>
    <row r="1101" spans="1:65">
      <c r="A1101" t="str">
        <f t="shared" si="173"/>
        <v>WG01</v>
      </c>
      <c r="B1101" t="s">
        <v>1251</v>
      </c>
      <c r="C1101" t="s">
        <v>1526</v>
      </c>
      <c r="D1101" s="7"/>
      <c r="E1101" s="7"/>
      <c r="G1101" t="s">
        <v>1939</v>
      </c>
      <c r="H1101" t="str" cm="1">
        <f t="array" ref="H1101">IFERROR(_xlfn.IFS(B1101="","",AND(B1101="",G1101=""),"",G1101="","記載要"),"")</f>
        <v/>
      </c>
      <c r="K1101" t="str">
        <f t="shared" si="174"/>
        <v>11WP01008661</v>
      </c>
      <c r="L1101" s="3" t="str">
        <f t="shared" si="175"/>
        <v>2001/01/01</v>
      </c>
      <c r="M1101" s="3" t="str">
        <f t="shared" si="176"/>
        <v>2199/12/31</v>
      </c>
      <c r="N1101" t="str">
        <f t="shared" si="177"/>
        <v>11WP01008661</v>
      </c>
      <c r="O1101">
        <v>15</v>
      </c>
      <c r="Q1101" t="str" cm="1">
        <f t="array" ref="Q1101">_xlfn.IFS(AND(C1101="",G1101=""),"",LEFT(G1101,1)="L","記載要",LEFT(G1101,1)="W","",AND(C1101,G1101=""),"記載要")</f>
        <v/>
      </c>
      <c r="R1101" s="21" t="str">
        <f t="shared" si="182"/>
        <v/>
      </c>
      <c r="S1101" s="21"/>
      <c r="Z1101" s="8"/>
      <c r="AA1101">
        <v>1</v>
      </c>
      <c r="AB1101">
        <f t="shared" si="178"/>
        <v>0</v>
      </c>
      <c r="AC1101">
        <v>1</v>
      </c>
      <c r="AF1101">
        <v>1</v>
      </c>
      <c r="AG1101" s="8"/>
      <c r="AH1101" s="8"/>
      <c r="AK1101" cm="1">
        <f t="array" ref="AK1101">_xlfn.IFS(B1101="","",LEFT(G1101,1)="L",1,LEFT(G1101,1)="W",1,AND(LEFT(B1101,1)="H",G1101=""),0)</f>
        <v>1</v>
      </c>
      <c r="AS1101" t="str">
        <f t="shared" si="179"/>
        <v/>
      </c>
      <c r="AT1101" t="s">
        <v>115</v>
      </c>
      <c r="AU1101" t="str">
        <f t="shared" si="180"/>
        <v>0</v>
      </c>
      <c r="BD1101" t="str">
        <f t="shared" si="181"/>
        <v>0</v>
      </c>
      <c r="BK1101" t="str">
        <f>IFERROR(VLOOKUP(B1101,'[1]model_S-フレーム'!$F$5:$R$7000,13,1),"")</f>
        <v>E389460_01</v>
      </c>
      <c r="BL1101" s="7">
        <f>IFERROR(VLOOKUP(B1101,'[1]model_S-フレーム'!$F$5:$V$7000,17,1),"")</f>
        <v>0</v>
      </c>
      <c r="BM1101" t="str" cm="1">
        <f t="array" ref="BM1101">_xlfn.IFS(LEFT(G1101,1)="L","外注品",LEFT(G1101,1)="W","内製品",G1101="","購買品")</f>
        <v>内製品</v>
      </c>
    </row>
    <row r="1102" spans="1:65">
      <c r="A1102" t="str">
        <f t="shared" si="173"/>
        <v>WG01</v>
      </c>
      <c r="B1102" t="s">
        <v>1252</v>
      </c>
      <c r="C1102" t="s">
        <v>1526</v>
      </c>
      <c r="D1102" s="7"/>
      <c r="E1102" s="7"/>
      <c r="G1102" t="s">
        <v>1939</v>
      </c>
      <c r="H1102" t="str" cm="1">
        <f t="array" ref="H1102">IFERROR(_xlfn.IFS(B1102="","",AND(B1102="",G1102=""),"",G1102="","記載要"),"")</f>
        <v/>
      </c>
      <c r="K1102" t="str">
        <f t="shared" si="174"/>
        <v>11WP01008662</v>
      </c>
      <c r="L1102" s="3" t="str">
        <f t="shared" si="175"/>
        <v>2001/01/01</v>
      </c>
      <c r="M1102" s="3" t="str">
        <f t="shared" si="176"/>
        <v>2199/12/31</v>
      </c>
      <c r="N1102" t="str">
        <f t="shared" si="177"/>
        <v>11WP01008662</v>
      </c>
      <c r="O1102">
        <v>15</v>
      </c>
      <c r="Q1102" t="str" cm="1">
        <f t="array" ref="Q1102">_xlfn.IFS(AND(C1102="",G1102=""),"",LEFT(G1102,1)="L","記載要",LEFT(G1102,1)="W","",AND(C1102,G1102=""),"記載要")</f>
        <v/>
      </c>
      <c r="R1102" s="21" t="str">
        <f t="shared" si="182"/>
        <v/>
      </c>
      <c r="S1102" s="21"/>
      <c r="Z1102" s="8"/>
      <c r="AA1102">
        <v>1</v>
      </c>
      <c r="AB1102">
        <f t="shared" si="178"/>
        <v>0</v>
      </c>
      <c r="AC1102">
        <v>1</v>
      </c>
      <c r="AF1102">
        <v>1</v>
      </c>
      <c r="AG1102" s="8"/>
      <c r="AH1102" s="8"/>
      <c r="AK1102" cm="1">
        <f t="array" ref="AK1102">_xlfn.IFS(B1102="","",LEFT(G1102,1)="L",1,LEFT(G1102,1)="W",1,AND(LEFT(B1102,1)="H",G1102=""),0)</f>
        <v>1</v>
      </c>
      <c r="AS1102" t="str">
        <f t="shared" si="179"/>
        <v/>
      </c>
      <c r="AT1102" t="s">
        <v>115</v>
      </c>
      <c r="AU1102" t="str">
        <f t="shared" si="180"/>
        <v>0</v>
      </c>
      <c r="BD1102" t="str">
        <f t="shared" si="181"/>
        <v>0</v>
      </c>
      <c r="BK1102" t="str">
        <f>IFERROR(VLOOKUP(B1102,'[1]model_S-フレーム'!$F$5:$R$7000,13,1),"")</f>
        <v>E389460_01</v>
      </c>
      <c r="BL1102" s="7">
        <f>IFERROR(VLOOKUP(B1102,'[1]model_S-フレーム'!$F$5:$V$7000,17,1),"")</f>
        <v>0</v>
      </c>
      <c r="BM1102" t="str" cm="1">
        <f t="array" ref="BM1102">_xlfn.IFS(LEFT(G1102,1)="L","外注品",LEFT(G1102,1)="W","内製品",G1102="","購買品")</f>
        <v>内製品</v>
      </c>
    </row>
    <row r="1103" spans="1:65">
      <c r="A1103" t="str">
        <f t="shared" si="173"/>
        <v>WG01</v>
      </c>
      <c r="B1103" t="s">
        <v>1253</v>
      </c>
      <c r="C1103" t="s">
        <v>1526</v>
      </c>
      <c r="D1103" s="7"/>
      <c r="E1103" s="7"/>
      <c r="G1103" t="s">
        <v>1939</v>
      </c>
      <c r="H1103" t="str" cm="1">
        <f t="array" ref="H1103">IFERROR(_xlfn.IFS(B1103="","",AND(B1103="",G1103=""),"",G1103="","記載要"),"")</f>
        <v/>
      </c>
      <c r="K1103" t="str">
        <f t="shared" si="174"/>
        <v>11WP01008663</v>
      </c>
      <c r="L1103" s="3" t="str">
        <f t="shared" si="175"/>
        <v>2001/01/01</v>
      </c>
      <c r="M1103" s="3" t="str">
        <f t="shared" si="176"/>
        <v>2199/12/31</v>
      </c>
      <c r="N1103" t="str">
        <f t="shared" si="177"/>
        <v>11WP01008663</v>
      </c>
      <c r="O1103">
        <v>15</v>
      </c>
      <c r="Q1103" t="str" cm="1">
        <f t="array" ref="Q1103">_xlfn.IFS(AND(C1103="",G1103=""),"",LEFT(G1103,1)="L","記載要",LEFT(G1103,1)="W","",AND(C1103,G1103=""),"記載要")</f>
        <v/>
      </c>
      <c r="R1103" s="21" t="str">
        <f t="shared" si="182"/>
        <v/>
      </c>
      <c r="S1103" s="21"/>
      <c r="Z1103" s="8"/>
      <c r="AA1103">
        <v>1</v>
      </c>
      <c r="AB1103">
        <f t="shared" si="178"/>
        <v>0</v>
      </c>
      <c r="AC1103">
        <v>1</v>
      </c>
      <c r="AF1103">
        <v>1</v>
      </c>
      <c r="AG1103" s="8"/>
      <c r="AH1103" s="8"/>
      <c r="AK1103" cm="1">
        <f t="array" ref="AK1103">_xlfn.IFS(B1103="","",LEFT(G1103,1)="L",1,LEFT(G1103,1)="W",1,AND(LEFT(B1103,1)="H",G1103=""),0)</f>
        <v>1</v>
      </c>
      <c r="AS1103" t="str">
        <f t="shared" si="179"/>
        <v/>
      </c>
      <c r="AT1103" t="s">
        <v>115</v>
      </c>
      <c r="AU1103" t="str">
        <f t="shared" si="180"/>
        <v>0</v>
      </c>
      <c r="BD1103" t="str">
        <f t="shared" si="181"/>
        <v>0</v>
      </c>
      <c r="BK1103" t="str">
        <f>IFERROR(VLOOKUP(B1103,'[1]model_S-フレーム'!$F$5:$R$7000,13,1),"")</f>
        <v>E389460_01</v>
      </c>
      <c r="BL1103" s="7">
        <f>IFERROR(VLOOKUP(B1103,'[1]model_S-フレーム'!$F$5:$V$7000,17,1),"")</f>
        <v>0</v>
      </c>
      <c r="BM1103" t="str" cm="1">
        <f t="array" ref="BM1103">_xlfn.IFS(LEFT(G1103,1)="L","外注品",LEFT(G1103,1)="W","内製品",G1103="","購買品")</f>
        <v>内製品</v>
      </c>
    </row>
    <row r="1104" spans="1:65">
      <c r="A1104" t="str">
        <f t="shared" si="173"/>
        <v>WG01</v>
      </c>
      <c r="B1104" t="s">
        <v>1254</v>
      </c>
      <c r="C1104" t="s">
        <v>1526</v>
      </c>
      <c r="D1104" s="7"/>
      <c r="E1104" s="7"/>
      <c r="G1104" t="s">
        <v>1939</v>
      </c>
      <c r="H1104" t="str" cm="1">
        <f t="array" ref="H1104">IFERROR(_xlfn.IFS(B1104="","",AND(B1104="",G1104=""),"",G1104="","記載要"),"")</f>
        <v/>
      </c>
      <c r="K1104" t="str">
        <f t="shared" si="174"/>
        <v>11WP01008664</v>
      </c>
      <c r="L1104" s="3" t="str">
        <f t="shared" si="175"/>
        <v>2001/01/01</v>
      </c>
      <c r="M1104" s="3" t="str">
        <f t="shared" si="176"/>
        <v>2199/12/31</v>
      </c>
      <c r="N1104" t="str">
        <f t="shared" si="177"/>
        <v>11WP01008664</v>
      </c>
      <c r="O1104">
        <v>15</v>
      </c>
      <c r="Q1104" t="str" cm="1">
        <f t="array" ref="Q1104">_xlfn.IFS(AND(C1104="",G1104=""),"",LEFT(G1104,1)="L","記載要",LEFT(G1104,1)="W","",AND(C1104,G1104=""),"記載要")</f>
        <v/>
      </c>
      <c r="R1104" s="21" t="str">
        <f t="shared" si="182"/>
        <v/>
      </c>
      <c r="S1104" s="21"/>
      <c r="Z1104" s="8"/>
      <c r="AA1104">
        <v>1</v>
      </c>
      <c r="AB1104">
        <f t="shared" si="178"/>
        <v>0</v>
      </c>
      <c r="AC1104">
        <v>1</v>
      </c>
      <c r="AF1104">
        <v>1</v>
      </c>
      <c r="AG1104" s="8"/>
      <c r="AH1104" s="8"/>
      <c r="AK1104" cm="1">
        <f t="array" ref="AK1104">_xlfn.IFS(B1104="","",LEFT(G1104,1)="L",1,LEFT(G1104,1)="W",1,AND(LEFT(B1104,1)="H",G1104=""),0)</f>
        <v>1</v>
      </c>
      <c r="AS1104" t="str">
        <f t="shared" si="179"/>
        <v/>
      </c>
      <c r="AT1104" t="s">
        <v>115</v>
      </c>
      <c r="AU1104" t="str">
        <f t="shared" si="180"/>
        <v>0</v>
      </c>
      <c r="BD1104" t="str">
        <f t="shared" si="181"/>
        <v>0</v>
      </c>
      <c r="BK1104" t="str">
        <f>IFERROR(VLOOKUP(B1104,'[1]model_S-フレーム'!$F$5:$R$7000,13,1),"")</f>
        <v>E389460_01</v>
      </c>
      <c r="BL1104" s="7">
        <f>IFERROR(VLOOKUP(B1104,'[1]model_S-フレーム'!$F$5:$V$7000,17,1),"")</f>
        <v>0</v>
      </c>
      <c r="BM1104" t="str" cm="1">
        <f t="array" ref="BM1104">_xlfn.IFS(LEFT(G1104,1)="L","外注品",LEFT(G1104,1)="W","内製品",G1104="","購買品")</f>
        <v>内製品</v>
      </c>
    </row>
    <row r="1105" spans="1:65">
      <c r="A1105" t="str">
        <f t="shared" si="173"/>
        <v>WG01</v>
      </c>
      <c r="B1105" t="s">
        <v>1255</v>
      </c>
      <c r="C1105" t="s">
        <v>1526</v>
      </c>
      <c r="D1105" s="7"/>
      <c r="E1105" s="7"/>
      <c r="G1105" t="s">
        <v>1939</v>
      </c>
      <c r="H1105" t="str" cm="1">
        <f t="array" ref="H1105">IFERROR(_xlfn.IFS(B1105="","",AND(B1105="",G1105=""),"",G1105="","記載要"),"")</f>
        <v/>
      </c>
      <c r="K1105" t="str">
        <f t="shared" si="174"/>
        <v>11WP01008665</v>
      </c>
      <c r="L1105" s="3" t="str">
        <f t="shared" si="175"/>
        <v>2001/01/01</v>
      </c>
      <c r="M1105" s="3" t="str">
        <f t="shared" si="176"/>
        <v>2199/12/31</v>
      </c>
      <c r="N1105" t="str">
        <f t="shared" si="177"/>
        <v>11WP01008665</v>
      </c>
      <c r="O1105">
        <v>15</v>
      </c>
      <c r="Q1105" t="str" cm="1">
        <f t="array" ref="Q1105">_xlfn.IFS(AND(C1105="",G1105=""),"",LEFT(G1105,1)="L","記載要",LEFT(G1105,1)="W","",AND(C1105,G1105=""),"記載要")</f>
        <v/>
      </c>
      <c r="R1105" s="21" t="str">
        <f t="shared" si="182"/>
        <v/>
      </c>
      <c r="S1105" s="21"/>
      <c r="Z1105" s="8"/>
      <c r="AA1105">
        <v>1</v>
      </c>
      <c r="AB1105">
        <f t="shared" si="178"/>
        <v>0</v>
      </c>
      <c r="AC1105">
        <v>1</v>
      </c>
      <c r="AF1105">
        <v>1</v>
      </c>
      <c r="AG1105" s="8"/>
      <c r="AH1105" s="8"/>
      <c r="AK1105" cm="1">
        <f t="array" ref="AK1105">_xlfn.IFS(B1105="","",LEFT(G1105,1)="L",1,LEFT(G1105,1)="W",1,AND(LEFT(B1105,1)="H",G1105=""),0)</f>
        <v>1</v>
      </c>
      <c r="AS1105" t="str">
        <f t="shared" si="179"/>
        <v/>
      </c>
      <c r="AT1105" t="s">
        <v>115</v>
      </c>
      <c r="AU1105" t="str">
        <f t="shared" si="180"/>
        <v>0</v>
      </c>
      <c r="BD1105" t="str">
        <f t="shared" si="181"/>
        <v>0</v>
      </c>
      <c r="BK1105" t="str">
        <f>IFERROR(VLOOKUP(B1105,'[1]model_S-フレーム'!$F$5:$R$7000,13,1),"")</f>
        <v>E389460_01</v>
      </c>
      <c r="BL1105" s="7">
        <f>IFERROR(VLOOKUP(B1105,'[1]model_S-フレーム'!$F$5:$V$7000,17,1),"")</f>
        <v>0</v>
      </c>
      <c r="BM1105" t="str" cm="1">
        <f t="array" ref="BM1105">_xlfn.IFS(LEFT(G1105,1)="L","外注品",LEFT(G1105,1)="W","内製品",G1105="","購買品")</f>
        <v>内製品</v>
      </c>
    </row>
    <row r="1106" spans="1:65">
      <c r="A1106" t="str">
        <f t="shared" si="173"/>
        <v>WG01</v>
      </c>
      <c r="B1106" t="s">
        <v>1256</v>
      </c>
      <c r="C1106" t="s">
        <v>1526</v>
      </c>
      <c r="D1106" s="7"/>
      <c r="E1106" s="7"/>
      <c r="G1106" t="s">
        <v>1939</v>
      </c>
      <c r="H1106" t="str" cm="1">
        <f t="array" ref="H1106">IFERROR(_xlfn.IFS(B1106="","",AND(B1106="",G1106=""),"",G1106="","記載要"),"")</f>
        <v/>
      </c>
      <c r="K1106" t="str">
        <f t="shared" si="174"/>
        <v>11WP01008666</v>
      </c>
      <c r="L1106" s="3" t="str">
        <f t="shared" si="175"/>
        <v>2001/01/01</v>
      </c>
      <c r="M1106" s="3" t="str">
        <f t="shared" si="176"/>
        <v>2199/12/31</v>
      </c>
      <c r="N1106" t="str">
        <f t="shared" si="177"/>
        <v>11WP01008666</v>
      </c>
      <c r="O1106">
        <v>15</v>
      </c>
      <c r="Q1106" t="str" cm="1">
        <f t="array" ref="Q1106">_xlfn.IFS(AND(C1106="",G1106=""),"",LEFT(G1106,1)="L","記載要",LEFT(G1106,1)="W","",AND(C1106,G1106=""),"記載要")</f>
        <v/>
      </c>
      <c r="R1106" s="21" t="str">
        <f t="shared" si="182"/>
        <v/>
      </c>
      <c r="S1106" s="21"/>
      <c r="Z1106" s="8"/>
      <c r="AA1106">
        <v>1</v>
      </c>
      <c r="AB1106">
        <f t="shared" si="178"/>
        <v>0</v>
      </c>
      <c r="AC1106">
        <v>1</v>
      </c>
      <c r="AF1106">
        <v>1</v>
      </c>
      <c r="AG1106" s="8"/>
      <c r="AH1106" s="8"/>
      <c r="AK1106" cm="1">
        <f t="array" ref="AK1106">_xlfn.IFS(B1106="","",LEFT(G1106,1)="L",1,LEFT(G1106,1)="W",1,AND(LEFT(B1106,1)="H",G1106=""),0)</f>
        <v>1</v>
      </c>
      <c r="AS1106" t="str">
        <f t="shared" si="179"/>
        <v/>
      </c>
      <c r="AT1106" t="s">
        <v>115</v>
      </c>
      <c r="AU1106" t="str">
        <f t="shared" si="180"/>
        <v>0</v>
      </c>
      <c r="BD1106" t="str">
        <f t="shared" si="181"/>
        <v>0</v>
      </c>
      <c r="BK1106" t="str">
        <f>IFERROR(VLOOKUP(B1106,'[1]model_S-フレーム'!$F$5:$R$7000,13,1),"")</f>
        <v>E389460_01</v>
      </c>
      <c r="BL1106" s="7">
        <f>IFERROR(VLOOKUP(B1106,'[1]model_S-フレーム'!$F$5:$V$7000,17,1),"")</f>
        <v>0</v>
      </c>
      <c r="BM1106" t="str" cm="1">
        <f t="array" ref="BM1106">_xlfn.IFS(LEFT(G1106,1)="L","外注品",LEFT(G1106,1)="W","内製品",G1106="","購買品")</f>
        <v>内製品</v>
      </c>
    </row>
    <row r="1107" spans="1:65">
      <c r="A1107" t="str">
        <f t="shared" si="173"/>
        <v>WG01</v>
      </c>
      <c r="B1107" t="s">
        <v>1257</v>
      </c>
      <c r="C1107" t="s">
        <v>1526</v>
      </c>
      <c r="D1107" s="7"/>
      <c r="E1107" s="7"/>
      <c r="G1107" t="s">
        <v>1939</v>
      </c>
      <c r="H1107" t="str" cm="1">
        <f t="array" ref="H1107">IFERROR(_xlfn.IFS(B1107="","",AND(B1107="",G1107=""),"",G1107="","記載要"),"")</f>
        <v/>
      </c>
      <c r="K1107" t="str">
        <f t="shared" si="174"/>
        <v>11WP01008667</v>
      </c>
      <c r="L1107" s="3" t="str">
        <f t="shared" si="175"/>
        <v>2001/01/01</v>
      </c>
      <c r="M1107" s="3" t="str">
        <f t="shared" si="176"/>
        <v>2199/12/31</v>
      </c>
      <c r="N1107" t="str">
        <f t="shared" si="177"/>
        <v>11WP01008667</v>
      </c>
      <c r="O1107">
        <v>15</v>
      </c>
      <c r="Q1107" t="str" cm="1">
        <f t="array" ref="Q1107">_xlfn.IFS(AND(C1107="",G1107=""),"",LEFT(G1107,1)="L","記載要",LEFT(G1107,1)="W","",AND(C1107,G1107=""),"記載要")</f>
        <v/>
      </c>
      <c r="R1107" s="21" t="str">
        <f t="shared" si="182"/>
        <v/>
      </c>
      <c r="S1107" s="21"/>
      <c r="Z1107" s="8"/>
      <c r="AA1107">
        <v>1</v>
      </c>
      <c r="AB1107">
        <f t="shared" si="178"/>
        <v>0</v>
      </c>
      <c r="AC1107">
        <v>1</v>
      </c>
      <c r="AF1107">
        <v>1</v>
      </c>
      <c r="AG1107" s="8"/>
      <c r="AH1107" s="8"/>
      <c r="AK1107" cm="1">
        <f t="array" ref="AK1107">_xlfn.IFS(B1107="","",LEFT(G1107,1)="L",1,LEFT(G1107,1)="W",1,AND(LEFT(B1107,1)="H",G1107=""),0)</f>
        <v>1</v>
      </c>
      <c r="AS1107" t="str">
        <f t="shared" si="179"/>
        <v/>
      </c>
      <c r="AT1107" t="s">
        <v>115</v>
      </c>
      <c r="AU1107" t="str">
        <f t="shared" si="180"/>
        <v>0</v>
      </c>
      <c r="BD1107" t="str">
        <f t="shared" si="181"/>
        <v>0</v>
      </c>
      <c r="BK1107" t="str">
        <f>IFERROR(VLOOKUP(B1107,'[1]model_S-フレーム'!$F$5:$R$7000,13,1),"")</f>
        <v>E389460_01</v>
      </c>
      <c r="BL1107" s="7">
        <f>IFERROR(VLOOKUP(B1107,'[1]model_S-フレーム'!$F$5:$V$7000,17,1),"")</f>
        <v>0</v>
      </c>
      <c r="BM1107" t="str" cm="1">
        <f t="array" ref="BM1107">_xlfn.IFS(LEFT(G1107,1)="L","外注品",LEFT(G1107,1)="W","内製品",G1107="","購買品")</f>
        <v>内製品</v>
      </c>
    </row>
    <row r="1108" spans="1:65">
      <c r="A1108" t="str">
        <f t="shared" si="173"/>
        <v>WG01</v>
      </c>
      <c r="B1108" t="s">
        <v>1258</v>
      </c>
      <c r="C1108" t="s">
        <v>1526</v>
      </c>
      <c r="D1108" s="7"/>
      <c r="E1108" s="7"/>
      <c r="G1108" t="s">
        <v>1939</v>
      </c>
      <c r="H1108" t="str" cm="1">
        <f t="array" ref="H1108">IFERROR(_xlfn.IFS(B1108="","",AND(B1108="",G1108=""),"",G1108="","記載要"),"")</f>
        <v/>
      </c>
      <c r="K1108" t="str">
        <f t="shared" si="174"/>
        <v>11WP01008668</v>
      </c>
      <c r="L1108" s="3" t="str">
        <f t="shared" si="175"/>
        <v>2001/01/01</v>
      </c>
      <c r="M1108" s="3" t="str">
        <f t="shared" si="176"/>
        <v>2199/12/31</v>
      </c>
      <c r="N1108" t="str">
        <f t="shared" si="177"/>
        <v>11WP01008668</v>
      </c>
      <c r="O1108">
        <v>15</v>
      </c>
      <c r="Q1108" t="str" cm="1">
        <f t="array" ref="Q1108">_xlfn.IFS(AND(C1108="",G1108=""),"",LEFT(G1108,1)="L","記載要",LEFT(G1108,1)="W","",AND(C1108,G1108=""),"記載要")</f>
        <v/>
      </c>
      <c r="R1108" s="21" t="str">
        <f t="shared" si="182"/>
        <v/>
      </c>
      <c r="S1108" s="21"/>
      <c r="Z1108" s="8"/>
      <c r="AA1108">
        <v>1</v>
      </c>
      <c r="AB1108">
        <f t="shared" si="178"/>
        <v>0</v>
      </c>
      <c r="AC1108">
        <v>1</v>
      </c>
      <c r="AF1108">
        <v>1</v>
      </c>
      <c r="AG1108" s="8"/>
      <c r="AH1108" s="8"/>
      <c r="AK1108" cm="1">
        <f t="array" ref="AK1108">_xlfn.IFS(B1108="","",LEFT(G1108,1)="L",1,LEFT(G1108,1)="W",1,AND(LEFT(B1108,1)="H",G1108=""),0)</f>
        <v>1</v>
      </c>
      <c r="AS1108" t="str">
        <f t="shared" si="179"/>
        <v/>
      </c>
      <c r="AT1108" t="s">
        <v>115</v>
      </c>
      <c r="AU1108" t="str">
        <f t="shared" si="180"/>
        <v>0</v>
      </c>
      <c r="BD1108" t="str">
        <f t="shared" si="181"/>
        <v>0</v>
      </c>
      <c r="BK1108" t="str">
        <f>IFERROR(VLOOKUP(B1108,'[1]model_S-フレーム'!$F$5:$R$7000,13,1),"")</f>
        <v>E389460_01</v>
      </c>
      <c r="BL1108" s="7">
        <f>IFERROR(VLOOKUP(B1108,'[1]model_S-フレーム'!$F$5:$V$7000,17,1),"")</f>
        <v>0</v>
      </c>
      <c r="BM1108" t="str" cm="1">
        <f t="array" ref="BM1108">_xlfn.IFS(LEFT(G1108,1)="L","外注品",LEFT(G1108,1)="W","内製品",G1108="","購買品")</f>
        <v>内製品</v>
      </c>
    </row>
    <row r="1109" spans="1:65">
      <c r="A1109" t="str">
        <f t="shared" si="173"/>
        <v>WG01</v>
      </c>
      <c r="B1109" t="s">
        <v>1259</v>
      </c>
      <c r="C1109" t="s">
        <v>1526</v>
      </c>
      <c r="D1109" s="7"/>
      <c r="E1109" s="7"/>
      <c r="G1109" t="s">
        <v>1939</v>
      </c>
      <c r="H1109" t="str" cm="1">
        <f t="array" ref="H1109">IFERROR(_xlfn.IFS(B1109="","",AND(B1109="",G1109=""),"",G1109="","記載要"),"")</f>
        <v/>
      </c>
      <c r="K1109" t="str">
        <f t="shared" si="174"/>
        <v>11WP01008669</v>
      </c>
      <c r="L1109" s="3" t="str">
        <f t="shared" si="175"/>
        <v>2001/01/01</v>
      </c>
      <c r="M1109" s="3" t="str">
        <f t="shared" si="176"/>
        <v>2199/12/31</v>
      </c>
      <c r="N1109" t="str">
        <f t="shared" si="177"/>
        <v>11WP01008669</v>
      </c>
      <c r="O1109">
        <v>15</v>
      </c>
      <c r="Q1109" t="str" cm="1">
        <f t="array" ref="Q1109">_xlfn.IFS(AND(C1109="",G1109=""),"",LEFT(G1109,1)="L","記載要",LEFT(G1109,1)="W","",AND(C1109,G1109=""),"記載要")</f>
        <v/>
      </c>
      <c r="R1109" s="21" t="str">
        <f t="shared" si="182"/>
        <v/>
      </c>
      <c r="S1109" s="21"/>
      <c r="Z1109" s="8"/>
      <c r="AA1109">
        <v>1</v>
      </c>
      <c r="AB1109">
        <f t="shared" si="178"/>
        <v>0</v>
      </c>
      <c r="AC1109">
        <v>1</v>
      </c>
      <c r="AF1109">
        <v>1</v>
      </c>
      <c r="AG1109" s="8"/>
      <c r="AH1109" s="8"/>
      <c r="AK1109" cm="1">
        <f t="array" ref="AK1109">_xlfn.IFS(B1109="","",LEFT(G1109,1)="L",1,LEFT(G1109,1)="W",1,AND(LEFT(B1109,1)="H",G1109=""),0)</f>
        <v>1</v>
      </c>
      <c r="AS1109" t="str">
        <f t="shared" si="179"/>
        <v/>
      </c>
      <c r="AT1109" t="s">
        <v>115</v>
      </c>
      <c r="AU1109" t="str">
        <f t="shared" si="180"/>
        <v>0</v>
      </c>
      <c r="BD1109" t="str">
        <f t="shared" si="181"/>
        <v>0</v>
      </c>
      <c r="BK1109" t="str">
        <f>IFERROR(VLOOKUP(B1109,'[1]model_S-フレーム'!$F$5:$R$7000,13,1),"")</f>
        <v>E389460_01</v>
      </c>
      <c r="BL1109" s="7">
        <f>IFERROR(VLOOKUP(B1109,'[1]model_S-フレーム'!$F$5:$V$7000,17,1),"")</f>
        <v>0</v>
      </c>
      <c r="BM1109" t="str" cm="1">
        <f t="array" ref="BM1109">_xlfn.IFS(LEFT(G1109,1)="L","外注品",LEFT(G1109,1)="W","内製品",G1109="","購買品")</f>
        <v>内製品</v>
      </c>
    </row>
    <row r="1110" spans="1:65">
      <c r="A1110" t="str">
        <f t="shared" si="173"/>
        <v>WG01</v>
      </c>
      <c r="B1110" t="s">
        <v>1260</v>
      </c>
      <c r="C1110" t="s">
        <v>1526</v>
      </c>
      <c r="D1110" s="7"/>
      <c r="E1110" s="7"/>
      <c r="G1110" t="s">
        <v>1939</v>
      </c>
      <c r="H1110" t="str" cm="1">
        <f t="array" ref="H1110">IFERROR(_xlfn.IFS(B1110="","",AND(B1110="",G1110=""),"",G1110="","記載要"),"")</f>
        <v/>
      </c>
      <c r="K1110" t="str">
        <f t="shared" si="174"/>
        <v>11WP01008670</v>
      </c>
      <c r="L1110" s="3" t="str">
        <f t="shared" si="175"/>
        <v>2001/01/01</v>
      </c>
      <c r="M1110" s="3" t="str">
        <f t="shared" si="176"/>
        <v>2199/12/31</v>
      </c>
      <c r="N1110" t="str">
        <f t="shared" si="177"/>
        <v>11WP01008670</v>
      </c>
      <c r="O1110">
        <v>15</v>
      </c>
      <c r="Q1110" t="str" cm="1">
        <f t="array" ref="Q1110">_xlfn.IFS(AND(C1110="",G1110=""),"",LEFT(G1110,1)="L","記載要",LEFT(G1110,1)="W","",AND(C1110,G1110=""),"記載要")</f>
        <v/>
      </c>
      <c r="R1110" s="21" t="str">
        <f t="shared" si="182"/>
        <v/>
      </c>
      <c r="S1110" s="21"/>
      <c r="Z1110" s="8"/>
      <c r="AA1110">
        <v>1</v>
      </c>
      <c r="AB1110">
        <f t="shared" si="178"/>
        <v>0</v>
      </c>
      <c r="AC1110">
        <v>1</v>
      </c>
      <c r="AF1110">
        <v>1</v>
      </c>
      <c r="AG1110" s="8"/>
      <c r="AH1110" s="8"/>
      <c r="AK1110" cm="1">
        <f t="array" ref="AK1110">_xlfn.IFS(B1110="","",LEFT(G1110,1)="L",1,LEFT(G1110,1)="W",1,AND(LEFT(B1110,1)="H",G1110=""),0)</f>
        <v>1</v>
      </c>
      <c r="AS1110" t="str">
        <f t="shared" si="179"/>
        <v/>
      </c>
      <c r="AT1110" t="s">
        <v>115</v>
      </c>
      <c r="AU1110" t="str">
        <f t="shared" si="180"/>
        <v>0</v>
      </c>
      <c r="BD1110" t="str">
        <f t="shared" si="181"/>
        <v>0</v>
      </c>
      <c r="BK1110" t="str">
        <f>IFERROR(VLOOKUP(B1110,'[1]model_S-フレーム'!$F$5:$R$7000,13,1),"")</f>
        <v>E389460_01</v>
      </c>
      <c r="BL1110" s="7">
        <f>IFERROR(VLOOKUP(B1110,'[1]model_S-フレーム'!$F$5:$V$7000,17,1),"")</f>
        <v>0</v>
      </c>
      <c r="BM1110" t="str" cm="1">
        <f t="array" ref="BM1110">_xlfn.IFS(LEFT(G1110,1)="L","外注品",LEFT(G1110,1)="W","内製品",G1110="","購買品")</f>
        <v>内製品</v>
      </c>
    </row>
    <row r="1111" spans="1:65">
      <c r="A1111" t="str">
        <f t="shared" si="173"/>
        <v>WG01</v>
      </c>
      <c r="B1111" t="s">
        <v>1261</v>
      </c>
      <c r="C1111" t="s">
        <v>1526</v>
      </c>
      <c r="D1111" s="7"/>
      <c r="E1111" s="7"/>
      <c r="G1111" t="s">
        <v>1939</v>
      </c>
      <c r="H1111" t="str" cm="1">
        <f t="array" ref="H1111">IFERROR(_xlfn.IFS(B1111="","",AND(B1111="",G1111=""),"",G1111="","記載要"),"")</f>
        <v/>
      </c>
      <c r="K1111" t="str">
        <f t="shared" si="174"/>
        <v>11WP01008671</v>
      </c>
      <c r="L1111" s="3" t="str">
        <f t="shared" si="175"/>
        <v>2001/01/01</v>
      </c>
      <c r="M1111" s="3" t="str">
        <f t="shared" si="176"/>
        <v>2199/12/31</v>
      </c>
      <c r="N1111" t="str">
        <f t="shared" si="177"/>
        <v>11WP01008671</v>
      </c>
      <c r="O1111">
        <v>15</v>
      </c>
      <c r="Q1111" t="str" cm="1">
        <f t="array" ref="Q1111">_xlfn.IFS(AND(C1111="",G1111=""),"",LEFT(G1111,1)="L","記載要",LEFT(G1111,1)="W","",AND(C1111,G1111=""),"記載要")</f>
        <v/>
      </c>
      <c r="R1111" s="21" t="str">
        <f t="shared" si="182"/>
        <v/>
      </c>
      <c r="S1111" s="21"/>
      <c r="Z1111" s="8"/>
      <c r="AA1111">
        <v>1</v>
      </c>
      <c r="AB1111">
        <f t="shared" si="178"/>
        <v>0</v>
      </c>
      <c r="AC1111">
        <v>1</v>
      </c>
      <c r="AF1111">
        <v>1</v>
      </c>
      <c r="AG1111" s="8"/>
      <c r="AH1111" s="8"/>
      <c r="AK1111" cm="1">
        <f t="array" ref="AK1111">_xlfn.IFS(B1111="","",LEFT(G1111,1)="L",1,LEFT(G1111,1)="W",1,AND(LEFT(B1111,1)="H",G1111=""),0)</f>
        <v>1</v>
      </c>
      <c r="AS1111" t="str">
        <f t="shared" si="179"/>
        <v/>
      </c>
      <c r="AT1111" t="s">
        <v>115</v>
      </c>
      <c r="AU1111" t="str">
        <f t="shared" si="180"/>
        <v>0</v>
      </c>
      <c r="BD1111" t="str">
        <f t="shared" si="181"/>
        <v>0</v>
      </c>
      <c r="BK1111" t="str">
        <f>IFERROR(VLOOKUP(B1111,'[1]model_S-フレーム'!$F$5:$R$7000,13,1),"")</f>
        <v>E389460_01</v>
      </c>
      <c r="BL1111" s="7">
        <f>IFERROR(VLOOKUP(B1111,'[1]model_S-フレーム'!$F$5:$V$7000,17,1),"")</f>
        <v>0</v>
      </c>
      <c r="BM1111" t="str" cm="1">
        <f t="array" ref="BM1111">_xlfn.IFS(LEFT(G1111,1)="L","外注品",LEFT(G1111,1)="W","内製品",G1111="","購買品")</f>
        <v>内製品</v>
      </c>
    </row>
    <row r="1112" spans="1:65">
      <c r="A1112" t="str">
        <f t="shared" si="173"/>
        <v>WG01</v>
      </c>
      <c r="B1112" t="s">
        <v>1262</v>
      </c>
      <c r="C1112" t="s">
        <v>1526</v>
      </c>
      <c r="D1112" s="7"/>
      <c r="E1112" s="7"/>
      <c r="G1112" t="s">
        <v>1939</v>
      </c>
      <c r="H1112" t="str" cm="1">
        <f t="array" ref="H1112">IFERROR(_xlfn.IFS(B1112="","",AND(B1112="",G1112=""),"",G1112="","記載要"),"")</f>
        <v/>
      </c>
      <c r="K1112" t="str">
        <f t="shared" si="174"/>
        <v>11WP01008672</v>
      </c>
      <c r="L1112" s="3" t="str">
        <f t="shared" si="175"/>
        <v>2001/01/01</v>
      </c>
      <c r="M1112" s="3" t="str">
        <f t="shared" si="176"/>
        <v>2199/12/31</v>
      </c>
      <c r="N1112" t="str">
        <f t="shared" si="177"/>
        <v>11WP01008672</v>
      </c>
      <c r="O1112">
        <v>15</v>
      </c>
      <c r="Q1112" t="str" cm="1">
        <f t="array" ref="Q1112">_xlfn.IFS(AND(C1112="",G1112=""),"",LEFT(G1112,1)="L","記載要",LEFT(G1112,1)="W","",AND(C1112,G1112=""),"記載要")</f>
        <v/>
      </c>
      <c r="R1112" s="21" t="str">
        <f t="shared" si="182"/>
        <v/>
      </c>
      <c r="S1112" s="21"/>
      <c r="Z1112" s="8"/>
      <c r="AA1112">
        <v>1</v>
      </c>
      <c r="AB1112">
        <f t="shared" si="178"/>
        <v>0</v>
      </c>
      <c r="AC1112">
        <v>1</v>
      </c>
      <c r="AF1112">
        <v>1</v>
      </c>
      <c r="AG1112" s="8"/>
      <c r="AH1112" s="8"/>
      <c r="AK1112" cm="1">
        <f t="array" ref="AK1112">_xlfn.IFS(B1112="","",LEFT(G1112,1)="L",1,LEFT(G1112,1)="W",1,AND(LEFT(B1112,1)="H",G1112=""),0)</f>
        <v>1</v>
      </c>
      <c r="AS1112" t="str">
        <f t="shared" si="179"/>
        <v/>
      </c>
      <c r="AT1112" t="s">
        <v>115</v>
      </c>
      <c r="AU1112" t="str">
        <f t="shared" si="180"/>
        <v>0</v>
      </c>
      <c r="BD1112" t="str">
        <f t="shared" si="181"/>
        <v>0</v>
      </c>
      <c r="BK1112" t="str">
        <f>IFERROR(VLOOKUP(B1112,'[1]model_S-フレーム'!$F$5:$R$7000,13,1),"")</f>
        <v>E389460_01</v>
      </c>
      <c r="BL1112" s="7">
        <f>IFERROR(VLOOKUP(B1112,'[1]model_S-フレーム'!$F$5:$V$7000,17,1),"")</f>
        <v>0</v>
      </c>
      <c r="BM1112" t="str" cm="1">
        <f t="array" ref="BM1112">_xlfn.IFS(LEFT(G1112,1)="L","外注品",LEFT(G1112,1)="W","内製品",G1112="","購買品")</f>
        <v>内製品</v>
      </c>
    </row>
    <row r="1113" spans="1:65">
      <c r="A1113" t="str">
        <f t="shared" si="173"/>
        <v>WG01</v>
      </c>
      <c r="B1113" t="s">
        <v>1263</v>
      </c>
      <c r="C1113" t="s">
        <v>1526</v>
      </c>
      <c r="D1113" s="7"/>
      <c r="E1113" s="7"/>
      <c r="G1113" t="s">
        <v>1939</v>
      </c>
      <c r="H1113" t="str" cm="1">
        <f t="array" ref="H1113">IFERROR(_xlfn.IFS(B1113="","",AND(B1113="",G1113=""),"",G1113="","記載要"),"")</f>
        <v/>
      </c>
      <c r="K1113" t="str">
        <f t="shared" si="174"/>
        <v>11WP01008673</v>
      </c>
      <c r="L1113" s="3" t="str">
        <f t="shared" si="175"/>
        <v>2001/01/01</v>
      </c>
      <c r="M1113" s="3" t="str">
        <f t="shared" si="176"/>
        <v>2199/12/31</v>
      </c>
      <c r="N1113" t="str">
        <f t="shared" si="177"/>
        <v>11WP01008673</v>
      </c>
      <c r="O1113">
        <v>15</v>
      </c>
      <c r="Q1113" t="str" cm="1">
        <f t="array" ref="Q1113">_xlfn.IFS(AND(C1113="",G1113=""),"",LEFT(G1113,1)="L","記載要",LEFT(G1113,1)="W","",AND(C1113,G1113=""),"記載要")</f>
        <v/>
      </c>
      <c r="R1113" s="21" t="str">
        <f t="shared" si="182"/>
        <v/>
      </c>
      <c r="S1113" s="21"/>
      <c r="Z1113" s="8"/>
      <c r="AA1113">
        <v>1</v>
      </c>
      <c r="AB1113">
        <f t="shared" si="178"/>
        <v>0</v>
      </c>
      <c r="AC1113">
        <v>1</v>
      </c>
      <c r="AF1113">
        <v>1</v>
      </c>
      <c r="AG1113" s="8"/>
      <c r="AH1113" s="8"/>
      <c r="AK1113" cm="1">
        <f t="array" ref="AK1113">_xlfn.IFS(B1113="","",LEFT(G1113,1)="L",1,LEFT(G1113,1)="W",1,AND(LEFT(B1113,1)="H",G1113=""),0)</f>
        <v>1</v>
      </c>
      <c r="AS1113" t="str">
        <f t="shared" si="179"/>
        <v/>
      </c>
      <c r="AT1113" t="s">
        <v>115</v>
      </c>
      <c r="AU1113" t="str">
        <f t="shared" si="180"/>
        <v>0</v>
      </c>
      <c r="BD1113" t="str">
        <f t="shared" si="181"/>
        <v>0</v>
      </c>
      <c r="BK1113" t="str">
        <f>IFERROR(VLOOKUP(B1113,'[1]model_S-フレーム'!$F$5:$R$7000,13,1),"")</f>
        <v>E389460_01</v>
      </c>
      <c r="BL1113" s="7">
        <f>IFERROR(VLOOKUP(B1113,'[1]model_S-フレーム'!$F$5:$V$7000,17,1),"")</f>
        <v>0</v>
      </c>
      <c r="BM1113" t="str" cm="1">
        <f t="array" ref="BM1113">_xlfn.IFS(LEFT(G1113,1)="L","外注品",LEFT(G1113,1)="W","内製品",G1113="","購買品")</f>
        <v>内製品</v>
      </c>
    </row>
    <row r="1114" spans="1:65">
      <c r="A1114" t="str">
        <f t="shared" si="173"/>
        <v>WG01</v>
      </c>
      <c r="B1114" t="s">
        <v>1264</v>
      </c>
      <c r="C1114" t="s">
        <v>1526</v>
      </c>
      <c r="D1114" s="7"/>
      <c r="E1114" s="7"/>
      <c r="G1114" t="s">
        <v>1939</v>
      </c>
      <c r="H1114" t="str" cm="1">
        <f t="array" ref="H1114">IFERROR(_xlfn.IFS(B1114="","",AND(B1114="",G1114=""),"",G1114="","記載要"),"")</f>
        <v/>
      </c>
      <c r="K1114" t="str">
        <f t="shared" si="174"/>
        <v>11WP01008674</v>
      </c>
      <c r="L1114" s="3" t="str">
        <f t="shared" si="175"/>
        <v>2001/01/01</v>
      </c>
      <c r="M1114" s="3" t="str">
        <f t="shared" si="176"/>
        <v>2199/12/31</v>
      </c>
      <c r="N1114" t="str">
        <f t="shared" si="177"/>
        <v>11WP01008674</v>
      </c>
      <c r="O1114">
        <v>15</v>
      </c>
      <c r="Q1114" t="str" cm="1">
        <f t="array" ref="Q1114">_xlfn.IFS(AND(C1114="",G1114=""),"",LEFT(G1114,1)="L","記載要",LEFT(G1114,1)="W","",AND(C1114,G1114=""),"記載要")</f>
        <v/>
      </c>
      <c r="R1114" s="21" t="str">
        <f t="shared" si="182"/>
        <v/>
      </c>
      <c r="S1114" s="21"/>
      <c r="Z1114" s="8"/>
      <c r="AA1114">
        <v>1</v>
      </c>
      <c r="AB1114">
        <f t="shared" si="178"/>
        <v>0</v>
      </c>
      <c r="AC1114">
        <v>1</v>
      </c>
      <c r="AF1114">
        <v>1</v>
      </c>
      <c r="AG1114" s="8"/>
      <c r="AH1114" s="8"/>
      <c r="AK1114" cm="1">
        <f t="array" ref="AK1114">_xlfn.IFS(B1114="","",LEFT(G1114,1)="L",1,LEFT(G1114,1)="W",1,AND(LEFT(B1114,1)="H",G1114=""),0)</f>
        <v>1</v>
      </c>
      <c r="AS1114" t="str">
        <f t="shared" si="179"/>
        <v/>
      </c>
      <c r="AT1114" t="s">
        <v>115</v>
      </c>
      <c r="AU1114" t="str">
        <f t="shared" si="180"/>
        <v>0</v>
      </c>
      <c r="BD1114" t="str">
        <f t="shared" si="181"/>
        <v>0</v>
      </c>
      <c r="BK1114" t="str">
        <f>IFERROR(VLOOKUP(B1114,'[1]model_S-フレーム'!$F$5:$R$7000,13,1),"")</f>
        <v>E389460_01</v>
      </c>
      <c r="BL1114" s="7">
        <f>IFERROR(VLOOKUP(B1114,'[1]model_S-フレーム'!$F$5:$V$7000,17,1),"")</f>
        <v>0</v>
      </c>
      <c r="BM1114" t="str" cm="1">
        <f t="array" ref="BM1114">_xlfn.IFS(LEFT(G1114,1)="L","外注品",LEFT(G1114,1)="W","内製品",G1114="","購買品")</f>
        <v>内製品</v>
      </c>
    </row>
    <row r="1115" spans="1:65">
      <c r="A1115" t="str">
        <f t="shared" si="173"/>
        <v>WG01</v>
      </c>
      <c r="B1115" t="s">
        <v>1265</v>
      </c>
      <c r="C1115" t="s">
        <v>1526</v>
      </c>
      <c r="D1115" s="7"/>
      <c r="E1115" s="7"/>
      <c r="G1115" t="s">
        <v>1939</v>
      </c>
      <c r="H1115" t="str" cm="1">
        <f t="array" ref="H1115">IFERROR(_xlfn.IFS(B1115="","",AND(B1115="",G1115=""),"",G1115="","記載要"),"")</f>
        <v/>
      </c>
      <c r="K1115" t="str">
        <f t="shared" si="174"/>
        <v>11WP01008675</v>
      </c>
      <c r="L1115" s="3" t="str">
        <f t="shared" si="175"/>
        <v>2001/01/01</v>
      </c>
      <c r="M1115" s="3" t="str">
        <f t="shared" si="176"/>
        <v>2199/12/31</v>
      </c>
      <c r="N1115" t="str">
        <f t="shared" si="177"/>
        <v>11WP01008675</v>
      </c>
      <c r="O1115">
        <v>15</v>
      </c>
      <c r="Q1115" t="str" cm="1">
        <f t="array" ref="Q1115">_xlfn.IFS(AND(C1115="",G1115=""),"",LEFT(G1115,1)="L","記載要",LEFT(G1115,1)="W","",AND(C1115,G1115=""),"記載要")</f>
        <v/>
      </c>
      <c r="R1115" s="21" t="str">
        <f t="shared" si="182"/>
        <v/>
      </c>
      <c r="S1115" s="21"/>
      <c r="Z1115" s="8"/>
      <c r="AA1115">
        <v>1</v>
      </c>
      <c r="AB1115">
        <f t="shared" si="178"/>
        <v>0</v>
      </c>
      <c r="AC1115">
        <v>1</v>
      </c>
      <c r="AF1115">
        <v>1</v>
      </c>
      <c r="AG1115" s="8"/>
      <c r="AH1115" s="8"/>
      <c r="AK1115" cm="1">
        <f t="array" ref="AK1115">_xlfn.IFS(B1115="","",LEFT(G1115,1)="L",1,LEFT(G1115,1)="W",1,AND(LEFT(B1115,1)="H",G1115=""),0)</f>
        <v>1</v>
      </c>
      <c r="AS1115" t="str">
        <f t="shared" si="179"/>
        <v/>
      </c>
      <c r="AT1115" t="s">
        <v>115</v>
      </c>
      <c r="AU1115" t="str">
        <f t="shared" si="180"/>
        <v>0</v>
      </c>
      <c r="BD1115" t="str">
        <f t="shared" si="181"/>
        <v>0</v>
      </c>
      <c r="BK1115" t="str">
        <f>IFERROR(VLOOKUP(B1115,'[1]model_S-フレーム'!$F$5:$R$7000,13,1),"")</f>
        <v>E389460_01</v>
      </c>
      <c r="BL1115" s="7">
        <f>IFERROR(VLOOKUP(B1115,'[1]model_S-フレーム'!$F$5:$V$7000,17,1),"")</f>
        <v>0</v>
      </c>
      <c r="BM1115" t="str" cm="1">
        <f t="array" ref="BM1115">_xlfn.IFS(LEFT(G1115,1)="L","外注品",LEFT(G1115,1)="W","内製品",G1115="","購買品")</f>
        <v>内製品</v>
      </c>
    </row>
    <row r="1116" spans="1:65">
      <c r="A1116" t="str">
        <f t="shared" si="173"/>
        <v>WG01</v>
      </c>
      <c r="B1116" t="s">
        <v>1266</v>
      </c>
      <c r="C1116" t="s">
        <v>1526</v>
      </c>
      <c r="D1116" s="7"/>
      <c r="E1116" s="7"/>
      <c r="G1116" t="s">
        <v>1939</v>
      </c>
      <c r="H1116" t="str" cm="1">
        <f t="array" ref="H1116">IFERROR(_xlfn.IFS(B1116="","",AND(B1116="",G1116=""),"",G1116="","記載要"),"")</f>
        <v/>
      </c>
      <c r="K1116" t="str">
        <f t="shared" si="174"/>
        <v>11WP01008676</v>
      </c>
      <c r="L1116" s="3" t="str">
        <f t="shared" si="175"/>
        <v>2001/01/01</v>
      </c>
      <c r="M1116" s="3" t="str">
        <f t="shared" si="176"/>
        <v>2199/12/31</v>
      </c>
      <c r="N1116" t="str">
        <f t="shared" si="177"/>
        <v>11WP01008676</v>
      </c>
      <c r="O1116">
        <v>15</v>
      </c>
      <c r="Q1116" t="str" cm="1">
        <f t="array" ref="Q1116">_xlfn.IFS(AND(C1116="",G1116=""),"",LEFT(G1116,1)="L","記載要",LEFT(G1116,1)="W","",AND(C1116,G1116=""),"記載要")</f>
        <v/>
      </c>
      <c r="R1116" s="21" t="str">
        <f t="shared" si="182"/>
        <v/>
      </c>
      <c r="S1116" s="21"/>
      <c r="Z1116" s="8"/>
      <c r="AA1116">
        <v>1</v>
      </c>
      <c r="AB1116">
        <f t="shared" si="178"/>
        <v>0</v>
      </c>
      <c r="AC1116">
        <v>1</v>
      </c>
      <c r="AF1116">
        <v>1</v>
      </c>
      <c r="AG1116" s="8"/>
      <c r="AH1116" s="8"/>
      <c r="AK1116" cm="1">
        <f t="array" ref="AK1116">_xlfn.IFS(B1116="","",LEFT(G1116,1)="L",1,LEFT(G1116,1)="W",1,AND(LEFT(B1116,1)="H",G1116=""),0)</f>
        <v>1</v>
      </c>
      <c r="AS1116" t="str">
        <f t="shared" si="179"/>
        <v/>
      </c>
      <c r="AT1116" t="s">
        <v>115</v>
      </c>
      <c r="AU1116" t="str">
        <f t="shared" si="180"/>
        <v>0</v>
      </c>
      <c r="BD1116" t="str">
        <f t="shared" si="181"/>
        <v>0</v>
      </c>
      <c r="BK1116" t="str">
        <f>IFERROR(VLOOKUP(B1116,'[1]model_S-フレーム'!$F$5:$R$7000,13,1),"")</f>
        <v>E389460_01</v>
      </c>
      <c r="BL1116" s="7">
        <f>IFERROR(VLOOKUP(B1116,'[1]model_S-フレーム'!$F$5:$V$7000,17,1),"")</f>
        <v>0</v>
      </c>
      <c r="BM1116" t="str" cm="1">
        <f t="array" ref="BM1116">_xlfn.IFS(LEFT(G1116,1)="L","外注品",LEFT(G1116,1)="W","内製品",G1116="","購買品")</f>
        <v>内製品</v>
      </c>
    </row>
    <row r="1117" spans="1:65">
      <c r="A1117" t="str">
        <f t="shared" si="173"/>
        <v>WG01</v>
      </c>
      <c r="B1117" t="s">
        <v>1267</v>
      </c>
      <c r="C1117" t="s">
        <v>1526</v>
      </c>
      <c r="D1117" s="7"/>
      <c r="E1117" s="7"/>
      <c r="G1117" t="s">
        <v>1939</v>
      </c>
      <c r="H1117" t="str" cm="1">
        <f t="array" ref="H1117">IFERROR(_xlfn.IFS(B1117="","",AND(B1117="",G1117=""),"",G1117="","記載要"),"")</f>
        <v/>
      </c>
      <c r="K1117" t="str">
        <f t="shared" si="174"/>
        <v>11WP01008677</v>
      </c>
      <c r="L1117" s="3" t="str">
        <f t="shared" si="175"/>
        <v>2001/01/01</v>
      </c>
      <c r="M1117" s="3" t="str">
        <f t="shared" si="176"/>
        <v>2199/12/31</v>
      </c>
      <c r="N1117" t="str">
        <f t="shared" si="177"/>
        <v>11WP01008677</v>
      </c>
      <c r="O1117">
        <v>15</v>
      </c>
      <c r="Q1117" t="str" cm="1">
        <f t="array" ref="Q1117">_xlfn.IFS(AND(C1117="",G1117=""),"",LEFT(G1117,1)="L","記載要",LEFT(G1117,1)="W","",AND(C1117,G1117=""),"記載要")</f>
        <v/>
      </c>
      <c r="R1117" s="21" t="str">
        <f t="shared" si="182"/>
        <v/>
      </c>
      <c r="S1117" s="21"/>
      <c r="Z1117" s="8"/>
      <c r="AA1117">
        <v>1</v>
      </c>
      <c r="AB1117">
        <f t="shared" si="178"/>
        <v>0</v>
      </c>
      <c r="AC1117">
        <v>1</v>
      </c>
      <c r="AF1117">
        <v>1</v>
      </c>
      <c r="AG1117" s="8"/>
      <c r="AH1117" s="8"/>
      <c r="AK1117" cm="1">
        <f t="array" ref="AK1117">_xlfn.IFS(B1117="","",LEFT(G1117,1)="L",1,LEFT(G1117,1)="W",1,AND(LEFT(B1117,1)="H",G1117=""),0)</f>
        <v>1</v>
      </c>
      <c r="AS1117" t="str">
        <f t="shared" si="179"/>
        <v/>
      </c>
      <c r="AT1117" t="s">
        <v>115</v>
      </c>
      <c r="AU1117" t="str">
        <f t="shared" si="180"/>
        <v>0</v>
      </c>
      <c r="BD1117" t="str">
        <f t="shared" si="181"/>
        <v>0</v>
      </c>
      <c r="BK1117" t="str">
        <f>IFERROR(VLOOKUP(B1117,'[1]model_S-フレーム'!$F$5:$R$7000,13,1),"")</f>
        <v>E389460_01</v>
      </c>
      <c r="BL1117" s="7">
        <f>IFERROR(VLOOKUP(B1117,'[1]model_S-フレーム'!$F$5:$V$7000,17,1),"")</f>
        <v>0</v>
      </c>
      <c r="BM1117" t="str" cm="1">
        <f t="array" ref="BM1117">_xlfn.IFS(LEFT(G1117,1)="L","外注品",LEFT(G1117,1)="W","内製品",G1117="","購買品")</f>
        <v>内製品</v>
      </c>
    </row>
    <row r="1118" spans="1:65">
      <c r="A1118" t="str">
        <f t="shared" si="173"/>
        <v>WG01</v>
      </c>
      <c r="B1118" t="s">
        <v>1268</v>
      </c>
      <c r="C1118" t="s">
        <v>1526</v>
      </c>
      <c r="D1118" s="7"/>
      <c r="E1118" s="7"/>
      <c r="G1118" t="s">
        <v>1939</v>
      </c>
      <c r="H1118" t="str" cm="1">
        <f t="array" ref="H1118">IFERROR(_xlfn.IFS(B1118="","",AND(B1118="",G1118=""),"",G1118="","記載要"),"")</f>
        <v/>
      </c>
      <c r="K1118" t="str">
        <f t="shared" si="174"/>
        <v>11WP01008678</v>
      </c>
      <c r="L1118" s="3" t="str">
        <f t="shared" si="175"/>
        <v>2001/01/01</v>
      </c>
      <c r="M1118" s="3" t="str">
        <f t="shared" si="176"/>
        <v>2199/12/31</v>
      </c>
      <c r="N1118" t="str">
        <f t="shared" si="177"/>
        <v>11WP01008678</v>
      </c>
      <c r="O1118">
        <v>15</v>
      </c>
      <c r="Q1118" t="str" cm="1">
        <f t="array" ref="Q1118">_xlfn.IFS(AND(C1118="",G1118=""),"",LEFT(G1118,1)="L","記載要",LEFT(G1118,1)="W","",AND(C1118,G1118=""),"記載要")</f>
        <v/>
      </c>
      <c r="R1118" s="21" t="str">
        <f t="shared" si="182"/>
        <v/>
      </c>
      <c r="S1118" s="21"/>
      <c r="Z1118" s="8"/>
      <c r="AA1118">
        <v>1</v>
      </c>
      <c r="AB1118">
        <f t="shared" si="178"/>
        <v>0</v>
      </c>
      <c r="AC1118">
        <v>1</v>
      </c>
      <c r="AF1118">
        <v>1</v>
      </c>
      <c r="AG1118" s="8"/>
      <c r="AH1118" s="8"/>
      <c r="AK1118" cm="1">
        <f t="array" ref="AK1118">_xlfn.IFS(B1118="","",LEFT(G1118,1)="L",1,LEFT(G1118,1)="W",1,AND(LEFT(B1118,1)="H",G1118=""),0)</f>
        <v>1</v>
      </c>
      <c r="AS1118" t="str">
        <f t="shared" si="179"/>
        <v/>
      </c>
      <c r="AT1118" t="s">
        <v>115</v>
      </c>
      <c r="AU1118" t="str">
        <f t="shared" si="180"/>
        <v>0</v>
      </c>
      <c r="BD1118" t="str">
        <f t="shared" si="181"/>
        <v>0</v>
      </c>
      <c r="BK1118" t="str">
        <f>IFERROR(VLOOKUP(B1118,'[1]model_S-フレーム'!$F$5:$R$7000,13,1),"")</f>
        <v>E389460_01</v>
      </c>
      <c r="BL1118" s="7">
        <f>IFERROR(VLOOKUP(B1118,'[1]model_S-フレーム'!$F$5:$V$7000,17,1),"")</f>
        <v>0</v>
      </c>
      <c r="BM1118" t="str" cm="1">
        <f t="array" ref="BM1118">_xlfn.IFS(LEFT(G1118,1)="L","外注品",LEFT(G1118,1)="W","内製品",G1118="","購買品")</f>
        <v>内製品</v>
      </c>
    </row>
    <row r="1119" spans="1:65">
      <c r="A1119" t="str">
        <f t="shared" si="173"/>
        <v>WG01</v>
      </c>
      <c r="B1119" t="s">
        <v>1269</v>
      </c>
      <c r="C1119" t="s">
        <v>1526</v>
      </c>
      <c r="D1119" s="7"/>
      <c r="E1119" s="7"/>
      <c r="G1119" t="s">
        <v>1939</v>
      </c>
      <c r="H1119" t="str" cm="1">
        <f t="array" ref="H1119">IFERROR(_xlfn.IFS(B1119="","",AND(B1119="",G1119=""),"",G1119="","記載要"),"")</f>
        <v/>
      </c>
      <c r="K1119" t="str">
        <f t="shared" si="174"/>
        <v>11WP01008679</v>
      </c>
      <c r="L1119" s="3" t="str">
        <f t="shared" si="175"/>
        <v>2001/01/01</v>
      </c>
      <c r="M1119" s="3" t="str">
        <f t="shared" si="176"/>
        <v>2199/12/31</v>
      </c>
      <c r="N1119" t="str">
        <f t="shared" si="177"/>
        <v>11WP01008679</v>
      </c>
      <c r="O1119">
        <v>15</v>
      </c>
      <c r="Q1119" t="str" cm="1">
        <f t="array" ref="Q1119">_xlfn.IFS(AND(C1119="",G1119=""),"",LEFT(G1119,1)="L","記載要",LEFT(G1119,1)="W","",AND(C1119,G1119=""),"記載要")</f>
        <v/>
      </c>
      <c r="R1119" s="21" t="str">
        <f t="shared" si="182"/>
        <v/>
      </c>
      <c r="S1119" s="21"/>
      <c r="Z1119" s="8"/>
      <c r="AA1119">
        <v>1</v>
      </c>
      <c r="AB1119">
        <f t="shared" si="178"/>
        <v>0</v>
      </c>
      <c r="AC1119">
        <v>1</v>
      </c>
      <c r="AF1119">
        <v>1</v>
      </c>
      <c r="AG1119" s="8"/>
      <c r="AH1119" s="8"/>
      <c r="AK1119" cm="1">
        <f t="array" ref="AK1119">_xlfn.IFS(B1119="","",LEFT(G1119,1)="L",1,LEFT(G1119,1)="W",1,AND(LEFT(B1119,1)="H",G1119=""),0)</f>
        <v>1</v>
      </c>
      <c r="AS1119" t="str">
        <f t="shared" si="179"/>
        <v/>
      </c>
      <c r="AT1119" t="s">
        <v>115</v>
      </c>
      <c r="AU1119" t="str">
        <f t="shared" si="180"/>
        <v>0</v>
      </c>
      <c r="BD1119" t="str">
        <f t="shared" si="181"/>
        <v>0</v>
      </c>
      <c r="BK1119" t="str">
        <f>IFERROR(VLOOKUP(B1119,'[1]model_S-フレーム'!$F$5:$R$7000,13,1),"")</f>
        <v>E389460_01</v>
      </c>
      <c r="BL1119" s="7">
        <f>IFERROR(VLOOKUP(B1119,'[1]model_S-フレーム'!$F$5:$V$7000,17,1),"")</f>
        <v>0</v>
      </c>
      <c r="BM1119" t="str" cm="1">
        <f t="array" ref="BM1119">_xlfn.IFS(LEFT(G1119,1)="L","外注品",LEFT(G1119,1)="W","内製品",G1119="","購買品")</f>
        <v>内製品</v>
      </c>
    </row>
    <row r="1120" spans="1:65">
      <c r="A1120" t="str">
        <f t="shared" si="173"/>
        <v>WG01</v>
      </c>
      <c r="B1120" t="s">
        <v>1270</v>
      </c>
      <c r="C1120" t="s">
        <v>1526</v>
      </c>
      <c r="D1120" s="7"/>
      <c r="E1120" s="7"/>
      <c r="G1120" t="s">
        <v>1939</v>
      </c>
      <c r="H1120" t="str" cm="1">
        <f t="array" ref="H1120">IFERROR(_xlfn.IFS(B1120="","",AND(B1120="",G1120=""),"",G1120="","記載要"),"")</f>
        <v/>
      </c>
      <c r="K1120" t="str">
        <f t="shared" si="174"/>
        <v>11WP01008680</v>
      </c>
      <c r="L1120" s="3" t="str">
        <f t="shared" si="175"/>
        <v>2001/01/01</v>
      </c>
      <c r="M1120" s="3" t="str">
        <f t="shared" si="176"/>
        <v>2199/12/31</v>
      </c>
      <c r="N1120" t="str">
        <f t="shared" si="177"/>
        <v>11WP01008680</v>
      </c>
      <c r="O1120">
        <v>15</v>
      </c>
      <c r="Q1120" t="str" cm="1">
        <f t="array" ref="Q1120">_xlfn.IFS(AND(C1120="",G1120=""),"",LEFT(G1120,1)="L","記載要",LEFT(G1120,1)="W","",AND(C1120,G1120=""),"記載要")</f>
        <v/>
      </c>
      <c r="R1120" s="21" t="str">
        <f t="shared" si="182"/>
        <v/>
      </c>
      <c r="S1120" s="21"/>
      <c r="Z1120" s="8"/>
      <c r="AA1120">
        <v>1</v>
      </c>
      <c r="AB1120">
        <f t="shared" si="178"/>
        <v>0</v>
      </c>
      <c r="AC1120">
        <v>1</v>
      </c>
      <c r="AF1120">
        <v>1</v>
      </c>
      <c r="AG1120" s="8"/>
      <c r="AH1120" s="8"/>
      <c r="AK1120" cm="1">
        <f t="array" ref="AK1120">_xlfn.IFS(B1120="","",LEFT(G1120,1)="L",1,LEFT(G1120,1)="W",1,AND(LEFT(B1120,1)="H",G1120=""),0)</f>
        <v>1</v>
      </c>
      <c r="AS1120" t="str">
        <f t="shared" si="179"/>
        <v/>
      </c>
      <c r="AT1120" t="s">
        <v>115</v>
      </c>
      <c r="AU1120" t="str">
        <f t="shared" si="180"/>
        <v>0</v>
      </c>
      <c r="BD1120" t="str">
        <f t="shared" si="181"/>
        <v>0</v>
      </c>
      <c r="BK1120" t="str">
        <f>IFERROR(VLOOKUP(B1120,'[1]model_S-フレーム'!$F$5:$R$7000,13,1),"")</f>
        <v>E389460_01</v>
      </c>
      <c r="BL1120" s="7">
        <f>IFERROR(VLOOKUP(B1120,'[1]model_S-フレーム'!$F$5:$V$7000,17,1),"")</f>
        <v>0</v>
      </c>
      <c r="BM1120" t="str" cm="1">
        <f t="array" ref="BM1120">_xlfn.IFS(LEFT(G1120,1)="L","外注品",LEFT(G1120,1)="W","内製品",G1120="","購買品")</f>
        <v>内製品</v>
      </c>
    </row>
    <row r="1121" spans="1:65">
      <c r="A1121" t="str">
        <f t="shared" si="173"/>
        <v>WG01</v>
      </c>
      <c r="B1121" t="s">
        <v>1271</v>
      </c>
      <c r="C1121" t="s">
        <v>1526</v>
      </c>
      <c r="D1121" s="7"/>
      <c r="E1121" s="7"/>
      <c r="G1121" t="s">
        <v>1939</v>
      </c>
      <c r="H1121" t="str" cm="1">
        <f t="array" ref="H1121">IFERROR(_xlfn.IFS(B1121="","",AND(B1121="",G1121=""),"",G1121="","記載要"),"")</f>
        <v/>
      </c>
      <c r="K1121" t="str">
        <f t="shared" si="174"/>
        <v>11WP01008681</v>
      </c>
      <c r="L1121" s="3" t="str">
        <f t="shared" si="175"/>
        <v>2001/01/01</v>
      </c>
      <c r="M1121" s="3" t="str">
        <f t="shared" si="176"/>
        <v>2199/12/31</v>
      </c>
      <c r="N1121" t="str">
        <f t="shared" si="177"/>
        <v>11WP01008681</v>
      </c>
      <c r="O1121">
        <v>15</v>
      </c>
      <c r="Q1121" t="str" cm="1">
        <f t="array" ref="Q1121">_xlfn.IFS(AND(C1121="",G1121=""),"",LEFT(G1121,1)="L","記載要",LEFT(G1121,1)="W","",AND(C1121,G1121=""),"記載要")</f>
        <v/>
      </c>
      <c r="R1121" s="21" t="str">
        <f t="shared" si="182"/>
        <v/>
      </c>
      <c r="S1121" s="21"/>
      <c r="Z1121" s="8"/>
      <c r="AA1121">
        <v>1</v>
      </c>
      <c r="AB1121">
        <f t="shared" si="178"/>
        <v>0</v>
      </c>
      <c r="AC1121">
        <v>1</v>
      </c>
      <c r="AF1121">
        <v>1</v>
      </c>
      <c r="AG1121" s="8"/>
      <c r="AH1121" s="8"/>
      <c r="AK1121" cm="1">
        <f t="array" ref="AK1121">_xlfn.IFS(B1121="","",LEFT(G1121,1)="L",1,LEFT(G1121,1)="W",1,AND(LEFT(B1121,1)="H",G1121=""),0)</f>
        <v>1</v>
      </c>
      <c r="AS1121" t="str">
        <f t="shared" si="179"/>
        <v/>
      </c>
      <c r="AT1121" t="s">
        <v>115</v>
      </c>
      <c r="AU1121" t="str">
        <f t="shared" si="180"/>
        <v>0</v>
      </c>
      <c r="BD1121" t="str">
        <f t="shared" si="181"/>
        <v>0</v>
      </c>
      <c r="BK1121" t="str">
        <f>IFERROR(VLOOKUP(B1121,'[1]model_S-フレーム'!$F$5:$R$7000,13,1),"")</f>
        <v>E389460_01</v>
      </c>
      <c r="BL1121" s="7">
        <f>IFERROR(VLOOKUP(B1121,'[1]model_S-フレーム'!$F$5:$V$7000,17,1),"")</f>
        <v>0</v>
      </c>
      <c r="BM1121" t="str" cm="1">
        <f t="array" ref="BM1121">_xlfn.IFS(LEFT(G1121,1)="L","外注品",LEFT(G1121,1)="W","内製品",G1121="","購買品")</f>
        <v>内製品</v>
      </c>
    </row>
    <row r="1122" spans="1:65">
      <c r="A1122" t="str">
        <f t="shared" si="173"/>
        <v>WG01</v>
      </c>
      <c r="B1122" t="s">
        <v>1272</v>
      </c>
      <c r="C1122" t="s">
        <v>1526</v>
      </c>
      <c r="D1122" s="7"/>
      <c r="E1122" s="7"/>
      <c r="G1122" t="s">
        <v>1939</v>
      </c>
      <c r="H1122" t="str" cm="1">
        <f t="array" ref="H1122">IFERROR(_xlfn.IFS(B1122="","",AND(B1122="",G1122=""),"",G1122="","記載要"),"")</f>
        <v/>
      </c>
      <c r="K1122" t="str">
        <f t="shared" si="174"/>
        <v>11WP01008682</v>
      </c>
      <c r="L1122" s="3" t="str">
        <f t="shared" si="175"/>
        <v>2001/01/01</v>
      </c>
      <c r="M1122" s="3" t="str">
        <f t="shared" si="176"/>
        <v>2199/12/31</v>
      </c>
      <c r="N1122" t="str">
        <f t="shared" si="177"/>
        <v>11WP01008682</v>
      </c>
      <c r="O1122">
        <v>15</v>
      </c>
      <c r="Q1122" t="str" cm="1">
        <f t="array" ref="Q1122">_xlfn.IFS(AND(C1122="",G1122=""),"",LEFT(G1122,1)="L","記載要",LEFT(G1122,1)="W","",AND(C1122,G1122=""),"記載要")</f>
        <v/>
      </c>
      <c r="R1122" s="21" t="str">
        <f t="shared" si="182"/>
        <v/>
      </c>
      <c r="S1122" s="21"/>
      <c r="Z1122" s="8"/>
      <c r="AA1122">
        <v>1</v>
      </c>
      <c r="AB1122">
        <f t="shared" si="178"/>
        <v>0</v>
      </c>
      <c r="AC1122">
        <v>1</v>
      </c>
      <c r="AF1122">
        <v>1</v>
      </c>
      <c r="AG1122" s="8"/>
      <c r="AH1122" s="8"/>
      <c r="AK1122" cm="1">
        <f t="array" ref="AK1122">_xlfn.IFS(B1122="","",LEFT(G1122,1)="L",1,LEFT(G1122,1)="W",1,AND(LEFT(B1122,1)="H",G1122=""),0)</f>
        <v>1</v>
      </c>
      <c r="AS1122" t="str">
        <f t="shared" si="179"/>
        <v/>
      </c>
      <c r="AT1122" t="s">
        <v>115</v>
      </c>
      <c r="AU1122" t="str">
        <f t="shared" si="180"/>
        <v>0</v>
      </c>
      <c r="BD1122" t="str">
        <f t="shared" si="181"/>
        <v>0</v>
      </c>
      <c r="BK1122" t="str">
        <f>IFERROR(VLOOKUP(B1122,'[1]model_S-フレーム'!$F$5:$R$7000,13,1),"")</f>
        <v>E389460_01</v>
      </c>
      <c r="BL1122" s="7">
        <f>IFERROR(VLOOKUP(B1122,'[1]model_S-フレーム'!$F$5:$V$7000,17,1),"")</f>
        <v>0</v>
      </c>
      <c r="BM1122" t="str" cm="1">
        <f t="array" ref="BM1122">_xlfn.IFS(LEFT(G1122,1)="L","外注品",LEFT(G1122,1)="W","内製品",G1122="","購買品")</f>
        <v>内製品</v>
      </c>
    </row>
    <row r="1123" spans="1:65">
      <c r="A1123" t="str">
        <f t="shared" si="173"/>
        <v>WG01</v>
      </c>
      <c r="B1123" t="s">
        <v>1273</v>
      </c>
      <c r="C1123" t="s">
        <v>1526</v>
      </c>
      <c r="D1123" s="7"/>
      <c r="E1123" s="7"/>
      <c r="G1123" t="s">
        <v>1939</v>
      </c>
      <c r="H1123" t="str" cm="1">
        <f t="array" ref="H1123">IFERROR(_xlfn.IFS(B1123="","",AND(B1123="",G1123=""),"",G1123="","記載要"),"")</f>
        <v/>
      </c>
      <c r="K1123" t="str">
        <f t="shared" si="174"/>
        <v>11WP01008683</v>
      </c>
      <c r="L1123" s="3" t="str">
        <f t="shared" si="175"/>
        <v>2001/01/01</v>
      </c>
      <c r="M1123" s="3" t="str">
        <f t="shared" si="176"/>
        <v>2199/12/31</v>
      </c>
      <c r="N1123" t="str">
        <f t="shared" si="177"/>
        <v>11WP01008683</v>
      </c>
      <c r="O1123">
        <v>15</v>
      </c>
      <c r="Q1123" t="str" cm="1">
        <f t="array" ref="Q1123">_xlfn.IFS(AND(C1123="",G1123=""),"",LEFT(G1123,1)="L","記載要",LEFT(G1123,1)="W","",AND(C1123,G1123=""),"記載要")</f>
        <v/>
      </c>
      <c r="R1123" s="21" t="str">
        <f t="shared" si="182"/>
        <v/>
      </c>
      <c r="S1123" s="21"/>
      <c r="Z1123" s="8"/>
      <c r="AA1123">
        <v>1</v>
      </c>
      <c r="AB1123">
        <f t="shared" si="178"/>
        <v>0</v>
      </c>
      <c r="AC1123">
        <v>1</v>
      </c>
      <c r="AF1123">
        <v>1</v>
      </c>
      <c r="AG1123" s="8"/>
      <c r="AH1123" s="8"/>
      <c r="AK1123" cm="1">
        <f t="array" ref="AK1123">_xlfn.IFS(B1123="","",LEFT(G1123,1)="L",1,LEFT(G1123,1)="W",1,AND(LEFT(B1123,1)="H",G1123=""),0)</f>
        <v>1</v>
      </c>
      <c r="AS1123" t="str">
        <f t="shared" si="179"/>
        <v/>
      </c>
      <c r="AT1123" t="s">
        <v>115</v>
      </c>
      <c r="AU1123" t="str">
        <f t="shared" si="180"/>
        <v>0</v>
      </c>
      <c r="BD1123" t="str">
        <f t="shared" si="181"/>
        <v>0</v>
      </c>
      <c r="BK1123" t="str">
        <f>IFERROR(VLOOKUP(B1123,'[1]model_S-フレーム'!$F$5:$R$7000,13,1),"")</f>
        <v>E389460_01</v>
      </c>
      <c r="BL1123" s="7">
        <f>IFERROR(VLOOKUP(B1123,'[1]model_S-フレーム'!$F$5:$V$7000,17,1),"")</f>
        <v>0</v>
      </c>
      <c r="BM1123" t="str" cm="1">
        <f t="array" ref="BM1123">_xlfn.IFS(LEFT(G1123,1)="L","外注品",LEFT(G1123,1)="W","内製品",G1123="","購買品")</f>
        <v>内製品</v>
      </c>
    </row>
    <row r="1124" spans="1:65">
      <c r="A1124" t="str">
        <f t="shared" si="173"/>
        <v>WG01</v>
      </c>
      <c r="B1124" t="s">
        <v>1274</v>
      </c>
      <c r="C1124" t="s">
        <v>1526</v>
      </c>
      <c r="D1124" s="7"/>
      <c r="E1124" s="7"/>
      <c r="G1124" t="s">
        <v>1939</v>
      </c>
      <c r="H1124" t="str" cm="1">
        <f t="array" ref="H1124">IFERROR(_xlfn.IFS(B1124="","",AND(B1124="",G1124=""),"",G1124="","記載要"),"")</f>
        <v/>
      </c>
      <c r="K1124" t="str">
        <f t="shared" si="174"/>
        <v>11WP01008684</v>
      </c>
      <c r="L1124" s="3" t="str">
        <f t="shared" si="175"/>
        <v>2001/01/01</v>
      </c>
      <c r="M1124" s="3" t="str">
        <f t="shared" si="176"/>
        <v>2199/12/31</v>
      </c>
      <c r="N1124" t="str">
        <f t="shared" si="177"/>
        <v>11WP01008684</v>
      </c>
      <c r="O1124">
        <v>15</v>
      </c>
      <c r="Q1124" t="str" cm="1">
        <f t="array" ref="Q1124">_xlfn.IFS(AND(C1124="",G1124=""),"",LEFT(G1124,1)="L","記載要",LEFT(G1124,1)="W","",AND(C1124,G1124=""),"記載要")</f>
        <v/>
      </c>
      <c r="R1124" s="21" t="str">
        <f t="shared" si="182"/>
        <v/>
      </c>
      <c r="S1124" s="21"/>
      <c r="Z1124" s="8"/>
      <c r="AA1124">
        <v>1</v>
      </c>
      <c r="AB1124">
        <f t="shared" si="178"/>
        <v>0</v>
      </c>
      <c r="AC1124">
        <v>1</v>
      </c>
      <c r="AF1124">
        <v>1</v>
      </c>
      <c r="AG1124" s="8"/>
      <c r="AH1124" s="8"/>
      <c r="AK1124" cm="1">
        <f t="array" ref="AK1124">_xlfn.IFS(B1124="","",LEFT(G1124,1)="L",1,LEFT(G1124,1)="W",1,AND(LEFT(B1124,1)="H",G1124=""),0)</f>
        <v>1</v>
      </c>
      <c r="AS1124" t="str">
        <f t="shared" si="179"/>
        <v/>
      </c>
      <c r="AT1124" t="s">
        <v>115</v>
      </c>
      <c r="AU1124" t="str">
        <f t="shared" si="180"/>
        <v>0</v>
      </c>
      <c r="BD1124" t="str">
        <f t="shared" si="181"/>
        <v>0</v>
      </c>
      <c r="BK1124" t="str">
        <f>IFERROR(VLOOKUP(B1124,'[1]model_S-フレーム'!$F$5:$R$7000,13,1),"")</f>
        <v>E389460_01</v>
      </c>
      <c r="BL1124" s="7">
        <f>IFERROR(VLOOKUP(B1124,'[1]model_S-フレーム'!$F$5:$V$7000,17,1),"")</f>
        <v>0</v>
      </c>
      <c r="BM1124" t="str" cm="1">
        <f t="array" ref="BM1124">_xlfn.IFS(LEFT(G1124,1)="L","外注品",LEFT(G1124,1)="W","内製品",G1124="","購買品")</f>
        <v>内製品</v>
      </c>
    </row>
    <row r="1125" spans="1:65">
      <c r="A1125" t="str">
        <f t="shared" si="173"/>
        <v>WG01</v>
      </c>
      <c r="B1125" t="s">
        <v>1275</v>
      </c>
      <c r="C1125" t="s">
        <v>1526</v>
      </c>
      <c r="D1125" s="7"/>
      <c r="E1125" s="7"/>
      <c r="G1125" t="s">
        <v>1939</v>
      </c>
      <c r="H1125" t="str" cm="1">
        <f t="array" ref="H1125">IFERROR(_xlfn.IFS(B1125="","",AND(B1125="",G1125=""),"",G1125="","記載要"),"")</f>
        <v/>
      </c>
      <c r="K1125" t="str">
        <f t="shared" si="174"/>
        <v>11WP01008685</v>
      </c>
      <c r="L1125" s="3" t="str">
        <f t="shared" si="175"/>
        <v>2001/01/01</v>
      </c>
      <c r="M1125" s="3" t="str">
        <f t="shared" si="176"/>
        <v>2199/12/31</v>
      </c>
      <c r="N1125" t="str">
        <f t="shared" si="177"/>
        <v>11WP01008685</v>
      </c>
      <c r="O1125">
        <v>15</v>
      </c>
      <c r="Q1125" t="str" cm="1">
        <f t="array" ref="Q1125">_xlfn.IFS(AND(C1125="",G1125=""),"",LEFT(G1125,1)="L","記載要",LEFT(G1125,1)="W","",AND(C1125,G1125=""),"記載要")</f>
        <v/>
      </c>
      <c r="R1125" s="21" t="str">
        <f t="shared" si="182"/>
        <v/>
      </c>
      <c r="S1125" s="21"/>
      <c r="Z1125" s="8"/>
      <c r="AA1125">
        <v>1</v>
      </c>
      <c r="AB1125">
        <f t="shared" si="178"/>
        <v>0</v>
      </c>
      <c r="AC1125">
        <v>1</v>
      </c>
      <c r="AF1125">
        <v>1</v>
      </c>
      <c r="AG1125" s="8"/>
      <c r="AH1125" s="8"/>
      <c r="AK1125" cm="1">
        <f t="array" ref="AK1125">_xlfn.IFS(B1125="","",LEFT(G1125,1)="L",1,LEFT(G1125,1)="W",1,AND(LEFT(B1125,1)="H",G1125=""),0)</f>
        <v>1</v>
      </c>
      <c r="AS1125" t="str">
        <f t="shared" si="179"/>
        <v/>
      </c>
      <c r="AT1125" t="s">
        <v>115</v>
      </c>
      <c r="AU1125" t="str">
        <f t="shared" si="180"/>
        <v>0</v>
      </c>
      <c r="BD1125" t="str">
        <f t="shared" si="181"/>
        <v>0</v>
      </c>
      <c r="BK1125" t="str">
        <f>IFERROR(VLOOKUP(B1125,'[1]model_S-フレーム'!$F$5:$R$7000,13,1),"")</f>
        <v>E389460_01</v>
      </c>
      <c r="BL1125" s="7">
        <f>IFERROR(VLOOKUP(B1125,'[1]model_S-フレーム'!$F$5:$V$7000,17,1),"")</f>
        <v>0</v>
      </c>
      <c r="BM1125" t="str" cm="1">
        <f t="array" ref="BM1125">_xlfn.IFS(LEFT(G1125,1)="L","外注品",LEFT(G1125,1)="W","内製品",G1125="","購買品")</f>
        <v>内製品</v>
      </c>
    </row>
    <row r="1126" spans="1:65">
      <c r="A1126" t="str">
        <f t="shared" si="173"/>
        <v>WG01</v>
      </c>
      <c r="B1126" t="s">
        <v>1276</v>
      </c>
      <c r="C1126" t="s">
        <v>1527</v>
      </c>
      <c r="D1126" s="7"/>
      <c r="E1126" s="7"/>
      <c r="G1126" t="s">
        <v>1939</v>
      </c>
      <c r="H1126" t="str" cm="1">
        <f t="array" ref="H1126">IFERROR(_xlfn.IFS(B1126="","",AND(B1126="",G1126=""),"",G1126="","記載要"),"")</f>
        <v/>
      </c>
      <c r="K1126" t="str">
        <f t="shared" si="174"/>
        <v>11WP01008686</v>
      </c>
      <c r="L1126" s="3" t="str">
        <f t="shared" si="175"/>
        <v>2001/01/01</v>
      </c>
      <c r="M1126" s="3" t="str">
        <f t="shared" si="176"/>
        <v>2199/12/31</v>
      </c>
      <c r="N1126" t="str">
        <f t="shared" si="177"/>
        <v>11WP01008686</v>
      </c>
      <c r="O1126">
        <v>15</v>
      </c>
      <c r="Q1126" t="str" cm="1">
        <f t="array" ref="Q1126">_xlfn.IFS(AND(C1126="",G1126=""),"",LEFT(G1126,1)="L","記載要",LEFT(G1126,1)="W","",AND(C1126,G1126=""),"記載要")</f>
        <v/>
      </c>
      <c r="R1126" s="21" t="str">
        <f t="shared" si="182"/>
        <v/>
      </c>
      <c r="S1126" s="21"/>
      <c r="Z1126" s="8"/>
      <c r="AA1126">
        <v>1</v>
      </c>
      <c r="AB1126">
        <f t="shared" si="178"/>
        <v>0</v>
      </c>
      <c r="AC1126">
        <v>1</v>
      </c>
      <c r="AF1126">
        <v>1</v>
      </c>
      <c r="AG1126" s="8"/>
      <c r="AH1126" s="8"/>
      <c r="AK1126" cm="1">
        <f t="array" ref="AK1126">_xlfn.IFS(B1126="","",LEFT(G1126,1)="L",1,LEFT(G1126,1)="W",1,AND(LEFT(B1126,1)="H",G1126=""),0)</f>
        <v>1</v>
      </c>
      <c r="AS1126" t="str">
        <f t="shared" si="179"/>
        <v/>
      </c>
      <c r="AT1126" t="s">
        <v>115</v>
      </c>
      <c r="AU1126" t="str">
        <f t="shared" si="180"/>
        <v>0</v>
      </c>
      <c r="BD1126" t="str">
        <f t="shared" si="181"/>
        <v>0</v>
      </c>
      <c r="BK1126" t="str">
        <f>IFERROR(VLOOKUP(B1126,'[1]model_S-フレーム'!$F$5:$R$7000,13,1),"")</f>
        <v>E389460_01</v>
      </c>
      <c r="BL1126" s="7">
        <f>IFERROR(VLOOKUP(B1126,'[1]model_S-フレーム'!$F$5:$V$7000,17,1),"")</f>
        <v>0</v>
      </c>
      <c r="BM1126" t="str" cm="1">
        <f t="array" ref="BM1126">_xlfn.IFS(LEFT(G1126,1)="L","外注品",LEFT(G1126,1)="W","内製品",G1126="","購買品")</f>
        <v>内製品</v>
      </c>
    </row>
    <row r="1127" spans="1:65">
      <c r="A1127" t="str">
        <f t="shared" si="173"/>
        <v>WG01</v>
      </c>
      <c r="B1127" t="s">
        <v>1277</v>
      </c>
      <c r="C1127" t="s">
        <v>1527</v>
      </c>
      <c r="D1127" s="7"/>
      <c r="E1127" s="7"/>
      <c r="G1127" t="s">
        <v>1939</v>
      </c>
      <c r="H1127" t="str" cm="1">
        <f t="array" ref="H1127">IFERROR(_xlfn.IFS(B1127="","",AND(B1127="",G1127=""),"",G1127="","記載要"),"")</f>
        <v/>
      </c>
      <c r="K1127" t="str">
        <f t="shared" si="174"/>
        <v>11WP01008687</v>
      </c>
      <c r="L1127" s="3" t="str">
        <f t="shared" si="175"/>
        <v>2001/01/01</v>
      </c>
      <c r="M1127" s="3" t="str">
        <f t="shared" si="176"/>
        <v>2199/12/31</v>
      </c>
      <c r="N1127" t="str">
        <f t="shared" si="177"/>
        <v>11WP01008687</v>
      </c>
      <c r="O1127">
        <v>15</v>
      </c>
      <c r="Q1127" t="str" cm="1">
        <f t="array" ref="Q1127">_xlfn.IFS(AND(C1127="",G1127=""),"",LEFT(G1127,1)="L","記載要",LEFT(G1127,1)="W","",AND(C1127,G1127=""),"記載要")</f>
        <v/>
      </c>
      <c r="R1127" s="21" t="str">
        <f t="shared" si="182"/>
        <v/>
      </c>
      <c r="S1127" s="21"/>
      <c r="Z1127" s="8"/>
      <c r="AA1127">
        <v>1</v>
      </c>
      <c r="AB1127">
        <f t="shared" si="178"/>
        <v>0</v>
      </c>
      <c r="AC1127">
        <v>1</v>
      </c>
      <c r="AF1127">
        <v>1</v>
      </c>
      <c r="AG1127" s="8"/>
      <c r="AH1127" s="8"/>
      <c r="AK1127" cm="1">
        <f t="array" ref="AK1127">_xlfn.IFS(B1127="","",LEFT(G1127,1)="L",1,LEFT(G1127,1)="W",1,AND(LEFT(B1127,1)="H",G1127=""),0)</f>
        <v>1</v>
      </c>
      <c r="AS1127" t="str">
        <f t="shared" si="179"/>
        <v/>
      </c>
      <c r="AT1127" t="s">
        <v>115</v>
      </c>
      <c r="AU1127" t="str">
        <f t="shared" si="180"/>
        <v>0</v>
      </c>
      <c r="BD1127" t="str">
        <f t="shared" si="181"/>
        <v>0</v>
      </c>
      <c r="BK1127" t="str">
        <f>IFERROR(VLOOKUP(B1127,'[1]model_S-フレーム'!$F$5:$R$7000,13,1),"")</f>
        <v>E389460_01</v>
      </c>
      <c r="BL1127" s="7">
        <f>IFERROR(VLOOKUP(B1127,'[1]model_S-フレーム'!$F$5:$V$7000,17,1),"")</f>
        <v>0</v>
      </c>
      <c r="BM1127" t="str" cm="1">
        <f t="array" ref="BM1127">_xlfn.IFS(LEFT(G1127,1)="L","外注品",LEFT(G1127,1)="W","内製品",G1127="","購買品")</f>
        <v>内製品</v>
      </c>
    </row>
    <row r="1128" spans="1:65">
      <c r="A1128" t="str">
        <f t="shared" si="173"/>
        <v>WG01</v>
      </c>
      <c r="B1128" t="s">
        <v>1278</v>
      </c>
      <c r="C1128" t="s">
        <v>1527</v>
      </c>
      <c r="D1128" s="7"/>
      <c r="E1128" s="7"/>
      <c r="G1128" t="s">
        <v>1939</v>
      </c>
      <c r="H1128" t="str" cm="1">
        <f t="array" ref="H1128">IFERROR(_xlfn.IFS(B1128="","",AND(B1128="",G1128=""),"",G1128="","記載要"),"")</f>
        <v/>
      </c>
      <c r="K1128" t="str">
        <f t="shared" si="174"/>
        <v>11WP01008688</v>
      </c>
      <c r="L1128" s="3" t="str">
        <f t="shared" si="175"/>
        <v>2001/01/01</v>
      </c>
      <c r="M1128" s="3" t="str">
        <f t="shared" si="176"/>
        <v>2199/12/31</v>
      </c>
      <c r="N1128" t="str">
        <f t="shared" si="177"/>
        <v>11WP01008688</v>
      </c>
      <c r="O1128">
        <v>15</v>
      </c>
      <c r="Q1128" t="str" cm="1">
        <f t="array" ref="Q1128">_xlfn.IFS(AND(C1128="",G1128=""),"",LEFT(G1128,1)="L","記載要",LEFT(G1128,1)="W","",AND(C1128,G1128=""),"記載要")</f>
        <v/>
      </c>
      <c r="R1128" s="21" t="str">
        <f t="shared" si="182"/>
        <v/>
      </c>
      <c r="S1128" s="21"/>
      <c r="Z1128" s="8"/>
      <c r="AA1128">
        <v>1</v>
      </c>
      <c r="AB1128">
        <f t="shared" si="178"/>
        <v>0</v>
      </c>
      <c r="AC1128">
        <v>1</v>
      </c>
      <c r="AF1128">
        <v>1</v>
      </c>
      <c r="AG1128" s="8"/>
      <c r="AH1128" s="8"/>
      <c r="AK1128" cm="1">
        <f t="array" ref="AK1128">_xlfn.IFS(B1128="","",LEFT(G1128,1)="L",1,LEFT(G1128,1)="W",1,AND(LEFT(B1128,1)="H",G1128=""),0)</f>
        <v>1</v>
      </c>
      <c r="AS1128" t="str">
        <f t="shared" si="179"/>
        <v/>
      </c>
      <c r="AT1128" t="s">
        <v>115</v>
      </c>
      <c r="AU1128" t="str">
        <f t="shared" si="180"/>
        <v>0</v>
      </c>
      <c r="BD1128" t="str">
        <f t="shared" si="181"/>
        <v>0</v>
      </c>
      <c r="BK1128" t="str">
        <f>IFERROR(VLOOKUP(B1128,'[1]model_S-フレーム'!$F$5:$R$7000,13,1),"")</f>
        <v>E389460_01</v>
      </c>
      <c r="BL1128" s="7">
        <f>IFERROR(VLOOKUP(B1128,'[1]model_S-フレーム'!$F$5:$V$7000,17,1),"")</f>
        <v>0</v>
      </c>
      <c r="BM1128" t="str" cm="1">
        <f t="array" ref="BM1128">_xlfn.IFS(LEFT(G1128,1)="L","外注品",LEFT(G1128,1)="W","内製品",G1128="","購買品")</f>
        <v>内製品</v>
      </c>
    </row>
    <row r="1129" spans="1:65">
      <c r="A1129" t="str">
        <f t="shared" si="173"/>
        <v>WG01</v>
      </c>
      <c r="B1129" t="s">
        <v>1279</v>
      </c>
      <c r="C1129" t="s">
        <v>1527</v>
      </c>
      <c r="D1129" s="7"/>
      <c r="E1129" s="7"/>
      <c r="G1129" t="s">
        <v>1939</v>
      </c>
      <c r="H1129" t="str" cm="1">
        <f t="array" ref="H1129">IFERROR(_xlfn.IFS(B1129="","",AND(B1129="",G1129=""),"",G1129="","記載要"),"")</f>
        <v/>
      </c>
      <c r="K1129" t="str">
        <f t="shared" si="174"/>
        <v>11WP01008689</v>
      </c>
      <c r="L1129" s="3" t="str">
        <f t="shared" si="175"/>
        <v>2001/01/01</v>
      </c>
      <c r="M1129" s="3" t="str">
        <f t="shared" si="176"/>
        <v>2199/12/31</v>
      </c>
      <c r="N1129" t="str">
        <f t="shared" si="177"/>
        <v>11WP01008689</v>
      </c>
      <c r="O1129">
        <v>15</v>
      </c>
      <c r="Q1129" t="str" cm="1">
        <f t="array" ref="Q1129">_xlfn.IFS(AND(C1129="",G1129=""),"",LEFT(G1129,1)="L","記載要",LEFT(G1129,1)="W","",AND(C1129,G1129=""),"記載要")</f>
        <v/>
      </c>
      <c r="R1129" s="21" t="str">
        <f t="shared" si="182"/>
        <v/>
      </c>
      <c r="S1129" s="21"/>
      <c r="Z1129" s="8"/>
      <c r="AA1129">
        <v>1</v>
      </c>
      <c r="AB1129">
        <f t="shared" si="178"/>
        <v>0</v>
      </c>
      <c r="AC1129">
        <v>1</v>
      </c>
      <c r="AF1129">
        <v>1</v>
      </c>
      <c r="AG1129" s="8"/>
      <c r="AH1129" s="8"/>
      <c r="AK1129" cm="1">
        <f t="array" ref="AK1129">_xlfn.IFS(B1129="","",LEFT(G1129,1)="L",1,LEFT(G1129,1)="W",1,AND(LEFT(B1129,1)="H",G1129=""),0)</f>
        <v>1</v>
      </c>
      <c r="AS1129" t="str">
        <f t="shared" si="179"/>
        <v/>
      </c>
      <c r="AT1129" t="s">
        <v>115</v>
      </c>
      <c r="AU1129" t="str">
        <f t="shared" si="180"/>
        <v>0</v>
      </c>
      <c r="BD1129" t="str">
        <f t="shared" si="181"/>
        <v>0</v>
      </c>
      <c r="BK1129" t="str">
        <f>IFERROR(VLOOKUP(B1129,'[1]model_S-フレーム'!$F$5:$R$7000,13,1),"")</f>
        <v>E389460_01</v>
      </c>
      <c r="BL1129" s="7">
        <f>IFERROR(VLOOKUP(B1129,'[1]model_S-フレーム'!$F$5:$V$7000,17,1),"")</f>
        <v>0</v>
      </c>
      <c r="BM1129" t="str" cm="1">
        <f t="array" ref="BM1129">_xlfn.IFS(LEFT(G1129,1)="L","外注品",LEFT(G1129,1)="W","内製品",G1129="","購買品")</f>
        <v>内製品</v>
      </c>
    </row>
    <row r="1130" spans="1:65">
      <c r="A1130" t="str">
        <f t="shared" si="173"/>
        <v>WG01</v>
      </c>
      <c r="B1130" t="s">
        <v>1280</v>
      </c>
      <c r="C1130" t="s">
        <v>1527</v>
      </c>
      <c r="D1130" s="7"/>
      <c r="E1130" s="7"/>
      <c r="G1130" t="s">
        <v>1939</v>
      </c>
      <c r="H1130" t="str" cm="1">
        <f t="array" ref="H1130">IFERROR(_xlfn.IFS(B1130="","",AND(B1130="",G1130=""),"",G1130="","記載要"),"")</f>
        <v/>
      </c>
      <c r="K1130" t="str">
        <f t="shared" si="174"/>
        <v>11WP01008690</v>
      </c>
      <c r="L1130" s="3" t="str">
        <f t="shared" si="175"/>
        <v>2001/01/01</v>
      </c>
      <c r="M1130" s="3" t="str">
        <f t="shared" si="176"/>
        <v>2199/12/31</v>
      </c>
      <c r="N1130" t="str">
        <f t="shared" si="177"/>
        <v>11WP01008690</v>
      </c>
      <c r="O1130">
        <v>15</v>
      </c>
      <c r="Q1130" t="str" cm="1">
        <f t="array" ref="Q1130">_xlfn.IFS(AND(C1130="",G1130=""),"",LEFT(G1130,1)="L","記載要",LEFT(G1130,1)="W","",AND(C1130,G1130=""),"記載要")</f>
        <v/>
      </c>
      <c r="R1130" s="21" t="str">
        <f t="shared" si="182"/>
        <v/>
      </c>
      <c r="S1130" s="21"/>
      <c r="Z1130" s="8"/>
      <c r="AA1130">
        <v>1</v>
      </c>
      <c r="AB1130">
        <f t="shared" si="178"/>
        <v>0</v>
      </c>
      <c r="AC1130">
        <v>1</v>
      </c>
      <c r="AF1130">
        <v>1</v>
      </c>
      <c r="AG1130" s="8"/>
      <c r="AH1130" s="8"/>
      <c r="AK1130" cm="1">
        <f t="array" ref="AK1130">_xlfn.IFS(B1130="","",LEFT(G1130,1)="L",1,LEFT(G1130,1)="W",1,AND(LEFT(B1130,1)="H",G1130=""),0)</f>
        <v>1</v>
      </c>
      <c r="AS1130" t="str">
        <f t="shared" si="179"/>
        <v/>
      </c>
      <c r="AT1130" t="s">
        <v>115</v>
      </c>
      <c r="AU1130" t="str">
        <f t="shared" si="180"/>
        <v>0</v>
      </c>
      <c r="BD1130" t="str">
        <f t="shared" si="181"/>
        <v>0</v>
      </c>
      <c r="BK1130" t="str">
        <f>IFERROR(VLOOKUP(B1130,'[1]model_S-フレーム'!$F$5:$R$7000,13,1),"")</f>
        <v>E389460_01</v>
      </c>
      <c r="BL1130" s="7">
        <f>IFERROR(VLOOKUP(B1130,'[1]model_S-フレーム'!$F$5:$V$7000,17,1),"")</f>
        <v>0</v>
      </c>
      <c r="BM1130" t="str" cm="1">
        <f t="array" ref="BM1130">_xlfn.IFS(LEFT(G1130,1)="L","外注品",LEFT(G1130,1)="W","内製品",G1130="","購買品")</f>
        <v>内製品</v>
      </c>
    </row>
    <row r="1131" spans="1:65">
      <c r="A1131" t="str">
        <f t="shared" si="173"/>
        <v>WG01</v>
      </c>
      <c r="B1131" t="s">
        <v>1281</v>
      </c>
      <c r="C1131" t="s">
        <v>1527</v>
      </c>
      <c r="D1131" s="7"/>
      <c r="E1131" s="7"/>
      <c r="G1131" t="s">
        <v>1939</v>
      </c>
      <c r="H1131" t="str" cm="1">
        <f t="array" ref="H1131">IFERROR(_xlfn.IFS(B1131="","",AND(B1131="",G1131=""),"",G1131="","記載要"),"")</f>
        <v/>
      </c>
      <c r="K1131" t="str">
        <f t="shared" si="174"/>
        <v>11WP01008691</v>
      </c>
      <c r="L1131" s="3" t="str">
        <f t="shared" si="175"/>
        <v>2001/01/01</v>
      </c>
      <c r="M1131" s="3" t="str">
        <f t="shared" si="176"/>
        <v>2199/12/31</v>
      </c>
      <c r="N1131" t="str">
        <f t="shared" si="177"/>
        <v>11WP01008691</v>
      </c>
      <c r="O1131">
        <v>15</v>
      </c>
      <c r="Q1131" t="str" cm="1">
        <f t="array" ref="Q1131">_xlfn.IFS(AND(C1131="",G1131=""),"",LEFT(G1131,1)="L","記載要",LEFT(G1131,1)="W","",AND(C1131,G1131=""),"記載要")</f>
        <v/>
      </c>
      <c r="R1131" s="21" t="str">
        <f t="shared" si="182"/>
        <v/>
      </c>
      <c r="S1131" s="21"/>
      <c r="Z1131" s="8"/>
      <c r="AA1131">
        <v>1</v>
      </c>
      <c r="AB1131">
        <f t="shared" si="178"/>
        <v>0</v>
      </c>
      <c r="AC1131">
        <v>1</v>
      </c>
      <c r="AF1131">
        <v>1</v>
      </c>
      <c r="AG1131" s="8"/>
      <c r="AH1131" s="8"/>
      <c r="AK1131" cm="1">
        <f t="array" ref="AK1131">_xlfn.IFS(B1131="","",LEFT(G1131,1)="L",1,LEFT(G1131,1)="W",1,AND(LEFT(B1131,1)="H",G1131=""),0)</f>
        <v>1</v>
      </c>
      <c r="AS1131" t="str">
        <f t="shared" si="179"/>
        <v/>
      </c>
      <c r="AT1131" t="s">
        <v>115</v>
      </c>
      <c r="AU1131" t="str">
        <f t="shared" si="180"/>
        <v>0</v>
      </c>
      <c r="BD1131" t="str">
        <f t="shared" si="181"/>
        <v>0</v>
      </c>
      <c r="BK1131" t="str">
        <f>IFERROR(VLOOKUP(B1131,'[1]model_S-フレーム'!$F$5:$R$7000,13,1),"")</f>
        <v>E389460_01</v>
      </c>
      <c r="BL1131" s="7">
        <f>IFERROR(VLOOKUP(B1131,'[1]model_S-フレーム'!$F$5:$V$7000,17,1),"")</f>
        <v>0</v>
      </c>
      <c r="BM1131" t="str" cm="1">
        <f t="array" ref="BM1131">_xlfn.IFS(LEFT(G1131,1)="L","外注品",LEFT(G1131,1)="W","内製品",G1131="","購買品")</f>
        <v>内製品</v>
      </c>
    </row>
    <row r="1132" spans="1:65">
      <c r="A1132" t="str">
        <f t="shared" si="173"/>
        <v>WG01</v>
      </c>
      <c r="B1132" t="s">
        <v>1282</v>
      </c>
      <c r="C1132" t="s">
        <v>1527</v>
      </c>
      <c r="D1132" s="7"/>
      <c r="E1132" s="7"/>
      <c r="G1132" t="s">
        <v>1939</v>
      </c>
      <c r="H1132" t="str" cm="1">
        <f t="array" ref="H1132">IFERROR(_xlfn.IFS(B1132="","",AND(B1132="",G1132=""),"",G1132="","記載要"),"")</f>
        <v/>
      </c>
      <c r="K1132" t="str">
        <f t="shared" si="174"/>
        <v>11WP01008692</v>
      </c>
      <c r="L1132" s="3" t="str">
        <f t="shared" si="175"/>
        <v>2001/01/01</v>
      </c>
      <c r="M1132" s="3" t="str">
        <f t="shared" si="176"/>
        <v>2199/12/31</v>
      </c>
      <c r="N1132" t="str">
        <f t="shared" si="177"/>
        <v>11WP01008692</v>
      </c>
      <c r="O1132">
        <v>15</v>
      </c>
      <c r="Q1132" t="str" cm="1">
        <f t="array" ref="Q1132">_xlfn.IFS(AND(C1132="",G1132=""),"",LEFT(G1132,1)="L","記載要",LEFT(G1132,1)="W","",AND(C1132,G1132=""),"記載要")</f>
        <v/>
      </c>
      <c r="R1132" s="21" t="str">
        <f t="shared" si="182"/>
        <v/>
      </c>
      <c r="S1132" s="21"/>
      <c r="Z1132" s="8"/>
      <c r="AA1132">
        <v>1</v>
      </c>
      <c r="AB1132">
        <f t="shared" si="178"/>
        <v>0</v>
      </c>
      <c r="AC1132">
        <v>1</v>
      </c>
      <c r="AF1132">
        <v>1</v>
      </c>
      <c r="AG1132" s="8"/>
      <c r="AH1132" s="8"/>
      <c r="AK1132" cm="1">
        <f t="array" ref="AK1132">_xlfn.IFS(B1132="","",LEFT(G1132,1)="L",1,LEFT(G1132,1)="W",1,AND(LEFT(B1132,1)="H",G1132=""),0)</f>
        <v>1</v>
      </c>
      <c r="AS1132" t="str">
        <f t="shared" si="179"/>
        <v/>
      </c>
      <c r="AT1132" t="s">
        <v>115</v>
      </c>
      <c r="AU1132" t="str">
        <f t="shared" si="180"/>
        <v>0</v>
      </c>
      <c r="BD1132" t="str">
        <f t="shared" si="181"/>
        <v>0</v>
      </c>
      <c r="BK1132" t="str">
        <f>IFERROR(VLOOKUP(B1132,'[1]model_S-フレーム'!$F$5:$R$7000,13,1),"")</f>
        <v>E389460_01</v>
      </c>
      <c r="BL1132" s="7">
        <f>IFERROR(VLOOKUP(B1132,'[1]model_S-フレーム'!$F$5:$V$7000,17,1),"")</f>
        <v>0</v>
      </c>
      <c r="BM1132" t="str" cm="1">
        <f t="array" ref="BM1132">_xlfn.IFS(LEFT(G1132,1)="L","外注品",LEFT(G1132,1)="W","内製品",G1132="","購買品")</f>
        <v>内製品</v>
      </c>
    </row>
    <row r="1133" spans="1:65">
      <c r="A1133" t="str">
        <f t="shared" si="173"/>
        <v>WG01</v>
      </c>
      <c r="B1133" t="s">
        <v>1283</v>
      </c>
      <c r="C1133" t="s">
        <v>1527</v>
      </c>
      <c r="D1133" s="7"/>
      <c r="E1133" s="7"/>
      <c r="G1133" t="s">
        <v>1939</v>
      </c>
      <c r="H1133" t="str" cm="1">
        <f t="array" ref="H1133">IFERROR(_xlfn.IFS(B1133="","",AND(B1133="",G1133=""),"",G1133="","記載要"),"")</f>
        <v/>
      </c>
      <c r="K1133" t="str">
        <f t="shared" si="174"/>
        <v>11WP01008693</v>
      </c>
      <c r="L1133" s="3" t="str">
        <f t="shared" si="175"/>
        <v>2001/01/01</v>
      </c>
      <c r="M1133" s="3" t="str">
        <f t="shared" si="176"/>
        <v>2199/12/31</v>
      </c>
      <c r="N1133" t="str">
        <f t="shared" si="177"/>
        <v>11WP01008693</v>
      </c>
      <c r="O1133">
        <v>15</v>
      </c>
      <c r="Q1133" t="str" cm="1">
        <f t="array" ref="Q1133">_xlfn.IFS(AND(C1133="",G1133=""),"",LEFT(G1133,1)="L","記載要",LEFT(G1133,1)="W","",AND(C1133,G1133=""),"記載要")</f>
        <v/>
      </c>
      <c r="R1133" s="21" t="str">
        <f t="shared" si="182"/>
        <v/>
      </c>
      <c r="S1133" s="21"/>
      <c r="Z1133" s="8"/>
      <c r="AA1133">
        <v>1</v>
      </c>
      <c r="AB1133">
        <f t="shared" si="178"/>
        <v>0</v>
      </c>
      <c r="AC1133">
        <v>1</v>
      </c>
      <c r="AF1133">
        <v>1</v>
      </c>
      <c r="AG1133" s="8"/>
      <c r="AH1133" s="8"/>
      <c r="AK1133" cm="1">
        <f t="array" ref="AK1133">_xlfn.IFS(B1133="","",LEFT(G1133,1)="L",1,LEFT(G1133,1)="W",1,AND(LEFT(B1133,1)="H",G1133=""),0)</f>
        <v>1</v>
      </c>
      <c r="AS1133" t="str">
        <f t="shared" si="179"/>
        <v/>
      </c>
      <c r="AT1133" t="s">
        <v>115</v>
      </c>
      <c r="AU1133" t="str">
        <f t="shared" si="180"/>
        <v>0</v>
      </c>
      <c r="BD1133" t="str">
        <f t="shared" si="181"/>
        <v>0</v>
      </c>
      <c r="BK1133" t="str">
        <f>IFERROR(VLOOKUP(B1133,'[1]model_S-フレーム'!$F$5:$R$7000,13,1),"")</f>
        <v>E389460_01</v>
      </c>
      <c r="BL1133" s="7">
        <f>IFERROR(VLOOKUP(B1133,'[1]model_S-フレーム'!$F$5:$V$7000,17,1),"")</f>
        <v>0</v>
      </c>
      <c r="BM1133" t="str" cm="1">
        <f t="array" ref="BM1133">_xlfn.IFS(LEFT(G1133,1)="L","外注品",LEFT(G1133,1)="W","内製品",G1133="","購買品")</f>
        <v>内製品</v>
      </c>
    </row>
    <row r="1134" spans="1:65">
      <c r="A1134" t="str">
        <f t="shared" si="173"/>
        <v>WG01</v>
      </c>
      <c r="B1134" t="s">
        <v>1284</v>
      </c>
      <c r="C1134" t="s">
        <v>1527</v>
      </c>
      <c r="D1134" s="7"/>
      <c r="E1134" s="7"/>
      <c r="G1134" t="s">
        <v>1939</v>
      </c>
      <c r="H1134" t="str" cm="1">
        <f t="array" ref="H1134">IFERROR(_xlfn.IFS(B1134="","",AND(B1134="",G1134=""),"",G1134="","記載要"),"")</f>
        <v/>
      </c>
      <c r="K1134" t="str">
        <f t="shared" si="174"/>
        <v>11WP01008694</v>
      </c>
      <c r="L1134" s="3" t="str">
        <f t="shared" si="175"/>
        <v>2001/01/01</v>
      </c>
      <c r="M1134" s="3" t="str">
        <f t="shared" si="176"/>
        <v>2199/12/31</v>
      </c>
      <c r="N1134" t="str">
        <f t="shared" si="177"/>
        <v>11WP01008694</v>
      </c>
      <c r="O1134">
        <v>15</v>
      </c>
      <c r="Q1134" t="str" cm="1">
        <f t="array" ref="Q1134">_xlfn.IFS(AND(C1134="",G1134=""),"",LEFT(G1134,1)="L","記載要",LEFT(G1134,1)="W","",AND(C1134,G1134=""),"記載要")</f>
        <v/>
      </c>
      <c r="R1134" s="21" t="str">
        <f t="shared" si="182"/>
        <v/>
      </c>
      <c r="S1134" s="21"/>
      <c r="Z1134" s="8"/>
      <c r="AA1134">
        <v>1</v>
      </c>
      <c r="AB1134">
        <f t="shared" si="178"/>
        <v>0</v>
      </c>
      <c r="AC1134">
        <v>1</v>
      </c>
      <c r="AF1134">
        <v>1</v>
      </c>
      <c r="AG1134" s="8"/>
      <c r="AH1134" s="8"/>
      <c r="AK1134" cm="1">
        <f t="array" ref="AK1134">_xlfn.IFS(B1134="","",LEFT(G1134,1)="L",1,LEFT(G1134,1)="W",1,AND(LEFT(B1134,1)="H",G1134=""),0)</f>
        <v>1</v>
      </c>
      <c r="AS1134" t="str">
        <f t="shared" si="179"/>
        <v/>
      </c>
      <c r="AT1134" t="s">
        <v>115</v>
      </c>
      <c r="AU1134" t="str">
        <f t="shared" si="180"/>
        <v>0</v>
      </c>
      <c r="BD1134" t="str">
        <f t="shared" si="181"/>
        <v>0</v>
      </c>
      <c r="BK1134" t="str">
        <f>IFERROR(VLOOKUP(B1134,'[1]model_S-フレーム'!$F$5:$R$7000,13,1),"")</f>
        <v>E389460_01</v>
      </c>
      <c r="BL1134" s="7">
        <f>IFERROR(VLOOKUP(B1134,'[1]model_S-フレーム'!$F$5:$V$7000,17,1),"")</f>
        <v>0</v>
      </c>
      <c r="BM1134" t="str" cm="1">
        <f t="array" ref="BM1134">_xlfn.IFS(LEFT(G1134,1)="L","外注品",LEFT(G1134,1)="W","内製品",G1134="","購買品")</f>
        <v>内製品</v>
      </c>
    </row>
    <row r="1135" spans="1:65">
      <c r="A1135" t="str">
        <f t="shared" si="173"/>
        <v>WG01</v>
      </c>
      <c r="B1135" t="s">
        <v>1285</v>
      </c>
      <c r="C1135" t="s">
        <v>1527</v>
      </c>
      <c r="D1135" s="7"/>
      <c r="E1135" s="7"/>
      <c r="G1135" t="s">
        <v>1939</v>
      </c>
      <c r="H1135" t="str" cm="1">
        <f t="array" ref="H1135">IFERROR(_xlfn.IFS(B1135="","",AND(B1135="",G1135=""),"",G1135="","記載要"),"")</f>
        <v/>
      </c>
      <c r="K1135" t="str">
        <f t="shared" si="174"/>
        <v>11WP01008695</v>
      </c>
      <c r="L1135" s="3" t="str">
        <f t="shared" si="175"/>
        <v>2001/01/01</v>
      </c>
      <c r="M1135" s="3" t="str">
        <f t="shared" si="176"/>
        <v>2199/12/31</v>
      </c>
      <c r="N1135" t="str">
        <f t="shared" si="177"/>
        <v>11WP01008695</v>
      </c>
      <c r="O1135">
        <v>15</v>
      </c>
      <c r="Q1135" t="str" cm="1">
        <f t="array" ref="Q1135">_xlfn.IFS(AND(C1135="",G1135=""),"",LEFT(G1135,1)="L","記載要",LEFT(G1135,1)="W","",AND(C1135,G1135=""),"記載要")</f>
        <v/>
      </c>
      <c r="R1135" s="21" t="str">
        <f t="shared" si="182"/>
        <v/>
      </c>
      <c r="S1135" s="21"/>
      <c r="Z1135" s="8"/>
      <c r="AA1135">
        <v>1</v>
      </c>
      <c r="AB1135">
        <f t="shared" si="178"/>
        <v>0</v>
      </c>
      <c r="AC1135">
        <v>1</v>
      </c>
      <c r="AF1135">
        <v>1</v>
      </c>
      <c r="AG1135" s="8"/>
      <c r="AH1135" s="8"/>
      <c r="AK1135" cm="1">
        <f t="array" ref="AK1135">_xlfn.IFS(B1135="","",LEFT(G1135,1)="L",1,LEFT(G1135,1)="W",1,AND(LEFT(B1135,1)="H",G1135=""),0)</f>
        <v>1</v>
      </c>
      <c r="AS1135" t="str">
        <f t="shared" si="179"/>
        <v/>
      </c>
      <c r="AT1135" t="s">
        <v>115</v>
      </c>
      <c r="AU1135" t="str">
        <f t="shared" si="180"/>
        <v>0</v>
      </c>
      <c r="BD1135" t="str">
        <f t="shared" si="181"/>
        <v>0</v>
      </c>
      <c r="BK1135" t="str">
        <f>IFERROR(VLOOKUP(B1135,'[1]model_S-フレーム'!$F$5:$R$7000,13,1),"")</f>
        <v>E389460_01</v>
      </c>
      <c r="BL1135" s="7">
        <f>IFERROR(VLOOKUP(B1135,'[1]model_S-フレーム'!$F$5:$V$7000,17,1),"")</f>
        <v>0</v>
      </c>
      <c r="BM1135" t="str" cm="1">
        <f t="array" ref="BM1135">_xlfn.IFS(LEFT(G1135,1)="L","外注品",LEFT(G1135,1)="W","内製品",G1135="","購買品")</f>
        <v>内製品</v>
      </c>
    </row>
    <row r="1136" spans="1:65">
      <c r="A1136" t="str">
        <f t="shared" si="173"/>
        <v>WG01</v>
      </c>
      <c r="B1136" t="s">
        <v>1286</v>
      </c>
      <c r="C1136" t="s">
        <v>1527</v>
      </c>
      <c r="D1136" s="7"/>
      <c r="E1136" s="7"/>
      <c r="G1136" t="s">
        <v>1939</v>
      </c>
      <c r="H1136" t="str" cm="1">
        <f t="array" ref="H1136">IFERROR(_xlfn.IFS(B1136="","",AND(B1136="",G1136=""),"",G1136="","記載要"),"")</f>
        <v/>
      </c>
      <c r="K1136" t="str">
        <f t="shared" si="174"/>
        <v>11WP01008696</v>
      </c>
      <c r="L1136" s="3" t="str">
        <f t="shared" si="175"/>
        <v>2001/01/01</v>
      </c>
      <c r="M1136" s="3" t="str">
        <f t="shared" si="176"/>
        <v>2199/12/31</v>
      </c>
      <c r="N1136" t="str">
        <f t="shared" si="177"/>
        <v>11WP01008696</v>
      </c>
      <c r="O1136">
        <v>15</v>
      </c>
      <c r="Q1136" t="str" cm="1">
        <f t="array" ref="Q1136">_xlfn.IFS(AND(C1136="",G1136=""),"",LEFT(G1136,1)="L","記載要",LEFT(G1136,1)="W","",AND(C1136,G1136=""),"記載要")</f>
        <v/>
      </c>
      <c r="R1136" s="21" t="str">
        <f t="shared" si="182"/>
        <v/>
      </c>
      <c r="S1136" s="21"/>
      <c r="Z1136" s="8"/>
      <c r="AA1136">
        <v>1</v>
      </c>
      <c r="AB1136">
        <f t="shared" si="178"/>
        <v>0</v>
      </c>
      <c r="AC1136">
        <v>1</v>
      </c>
      <c r="AF1136">
        <v>1</v>
      </c>
      <c r="AG1136" s="8"/>
      <c r="AH1136" s="8"/>
      <c r="AK1136" cm="1">
        <f t="array" ref="AK1136">_xlfn.IFS(B1136="","",LEFT(G1136,1)="L",1,LEFT(G1136,1)="W",1,AND(LEFT(B1136,1)="H",G1136=""),0)</f>
        <v>1</v>
      </c>
      <c r="AS1136" t="str">
        <f t="shared" si="179"/>
        <v/>
      </c>
      <c r="AT1136" t="s">
        <v>115</v>
      </c>
      <c r="AU1136" t="str">
        <f t="shared" si="180"/>
        <v>0</v>
      </c>
      <c r="BD1136" t="str">
        <f t="shared" si="181"/>
        <v>0</v>
      </c>
      <c r="BK1136" t="str">
        <f>IFERROR(VLOOKUP(B1136,'[1]model_S-フレーム'!$F$5:$R$7000,13,1),"")</f>
        <v>E389460_01</v>
      </c>
      <c r="BL1136" s="7">
        <f>IFERROR(VLOOKUP(B1136,'[1]model_S-フレーム'!$F$5:$V$7000,17,1),"")</f>
        <v>0</v>
      </c>
      <c r="BM1136" t="str" cm="1">
        <f t="array" ref="BM1136">_xlfn.IFS(LEFT(G1136,1)="L","外注品",LEFT(G1136,1)="W","内製品",G1136="","購買品")</f>
        <v>内製品</v>
      </c>
    </row>
    <row r="1137" spans="1:65">
      <c r="A1137" t="str">
        <f t="shared" si="173"/>
        <v>WG01</v>
      </c>
      <c r="B1137" t="s">
        <v>1287</v>
      </c>
      <c r="C1137" t="s">
        <v>1527</v>
      </c>
      <c r="D1137" s="7"/>
      <c r="E1137" s="7"/>
      <c r="G1137" t="s">
        <v>1939</v>
      </c>
      <c r="H1137" t="str" cm="1">
        <f t="array" ref="H1137">IFERROR(_xlfn.IFS(B1137="","",AND(B1137="",G1137=""),"",G1137="","記載要"),"")</f>
        <v/>
      </c>
      <c r="K1137" t="str">
        <f t="shared" si="174"/>
        <v>11WP01008697</v>
      </c>
      <c r="L1137" s="3" t="str">
        <f t="shared" si="175"/>
        <v>2001/01/01</v>
      </c>
      <c r="M1137" s="3" t="str">
        <f t="shared" si="176"/>
        <v>2199/12/31</v>
      </c>
      <c r="N1137" t="str">
        <f t="shared" si="177"/>
        <v>11WP01008697</v>
      </c>
      <c r="O1137">
        <v>15</v>
      </c>
      <c r="Q1137" t="str" cm="1">
        <f t="array" ref="Q1137">_xlfn.IFS(AND(C1137="",G1137=""),"",LEFT(G1137,1)="L","記載要",LEFT(G1137,1)="W","",AND(C1137,G1137=""),"記載要")</f>
        <v/>
      </c>
      <c r="R1137" s="21" t="str">
        <f t="shared" si="182"/>
        <v/>
      </c>
      <c r="S1137" s="21"/>
      <c r="Z1137" s="8"/>
      <c r="AA1137">
        <v>1</v>
      </c>
      <c r="AB1137">
        <f t="shared" si="178"/>
        <v>0</v>
      </c>
      <c r="AC1137">
        <v>1</v>
      </c>
      <c r="AF1137">
        <v>1</v>
      </c>
      <c r="AG1137" s="8"/>
      <c r="AH1137" s="8"/>
      <c r="AK1137" cm="1">
        <f t="array" ref="AK1137">_xlfn.IFS(B1137="","",LEFT(G1137,1)="L",1,LEFT(G1137,1)="W",1,AND(LEFT(B1137,1)="H",G1137=""),0)</f>
        <v>1</v>
      </c>
      <c r="AS1137" t="str">
        <f t="shared" si="179"/>
        <v/>
      </c>
      <c r="AT1137" t="s">
        <v>115</v>
      </c>
      <c r="AU1137" t="str">
        <f t="shared" si="180"/>
        <v>0</v>
      </c>
      <c r="BD1137" t="str">
        <f t="shared" si="181"/>
        <v>0</v>
      </c>
      <c r="BK1137" t="str">
        <f>IFERROR(VLOOKUP(B1137,'[1]model_S-フレーム'!$F$5:$R$7000,13,1),"")</f>
        <v>E389460_01</v>
      </c>
      <c r="BL1137" s="7">
        <f>IFERROR(VLOOKUP(B1137,'[1]model_S-フレーム'!$F$5:$V$7000,17,1),"")</f>
        <v>0</v>
      </c>
      <c r="BM1137" t="str" cm="1">
        <f t="array" ref="BM1137">_xlfn.IFS(LEFT(G1137,1)="L","外注品",LEFT(G1137,1)="W","内製品",G1137="","購買品")</f>
        <v>内製品</v>
      </c>
    </row>
    <row r="1138" spans="1:65">
      <c r="A1138" t="str">
        <f t="shared" si="173"/>
        <v>WG01</v>
      </c>
      <c r="B1138" t="s">
        <v>1288</v>
      </c>
      <c r="C1138" t="s">
        <v>1527</v>
      </c>
      <c r="D1138" s="7"/>
      <c r="E1138" s="7"/>
      <c r="G1138" t="s">
        <v>1939</v>
      </c>
      <c r="H1138" t="str" cm="1">
        <f t="array" ref="H1138">IFERROR(_xlfn.IFS(B1138="","",AND(B1138="",G1138=""),"",G1138="","記載要"),"")</f>
        <v/>
      </c>
      <c r="K1138" t="str">
        <f t="shared" si="174"/>
        <v>11WP01008698</v>
      </c>
      <c r="L1138" s="3" t="str">
        <f t="shared" si="175"/>
        <v>2001/01/01</v>
      </c>
      <c r="M1138" s="3" t="str">
        <f t="shared" si="176"/>
        <v>2199/12/31</v>
      </c>
      <c r="N1138" t="str">
        <f t="shared" si="177"/>
        <v>11WP01008698</v>
      </c>
      <c r="O1138">
        <v>15</v>
      </c>
      <c r="Q1138" t="str" cm="1">
        <f t="array" ref="Q1138">_xlfn.IFS(AND(C1138="",G1138=""),"",LEFT(G1138,1)="L","記載要",LEFT(G1138,1)="W","",AND(C1138,G1138=""),"記載要")</f>
        <v/>
      </c>
      <c r="R1138" s="21" t="str">
        <f t="shared" si="182"/>
        <v/>
      </c>
      <c r="S1138" s="21"/>
      <c r="Z1138" s="8"/>
      <c r="AA1138">
        <v>1</v>
      </c>
      <c r="AB1138">
        <f t="shared" si="178"/>
        <v>0</v>
      </c>
      <c r="AC1138">
        <v>1</v>
      </c>
      <c r="AF1138">
        <v>1</v>
      </c>
      <c r="AG1138" s="8"/>
      <c r="AH1138" s="8"/>
      <c r="AK1138" cm="1">
        <f t="array" ref="AK1138">_xlfn.IFS(B1138="","",LEFT(G1138,1)="L",1,LEFT(G1138,1)="W",1,AND(LEFT(B1138,1)="H",G1138=""),0)</f>
        <v>1</v>
      </c>
      <c r="AS1138" t="str">
        <f t="shared" si="179"/>
        <v/>
      </c>
      <c r="AT1138" t="s">
        <v>115</v>
      </c>
      <c r="AU1138" t="str">
        <f t="shared" si="180"/>
        <v>0</v>
      </c>
      <c r="BD1138" t="str">
        <f t="shared" si="181"/>
        <v>0</v>
      </c>
      <c r="BK1138" t="str">
        <f>IFERROR(VLOOKUP(B1138,'[1]model_S-フレーム'!$F$5:$R$7000,13,1),"")</f>
        <v>E389460_01</v>
      </c>
      <c r="BL1138" s="7">
        <f>IFERROR(VLOOKUP(B1138,'[1]model_S-フレーム'!$F$5:$V$7000,17,1),"")</f>
        <v>0</v>
      </c>
      <c r="BM1138" t="str" cm="1">
        <f t="array" ref="BM1138">_xlfn.IFS(LEFT(G1138,1)="L","外注品",LEFT(G1138,1)="W","内製品",G1138="","購買品")</f>
        <v>内製品</v>
      </c>
    </row>
    <row r="1139" spans="1:65">
      <c r="A1139" t="str">
        <f t="shared" si="173"/>
        <v>WG01</v>
      </c>
      <c r="B1139" t="s">
        <v>1289</v>
      </c>
      <c r="C1139" t="s">
        <v>1527</v>
      </c>
      <c r="D1139" s="7"/>
      <c r="E1139" s="7"/>
      <c r="G1139" t="s">
        <v>1939</v>
      </c>
      <c r="H1139" t="str" cm="1">
        <f t="array" ref="H1139">IFERROR(_xlfn.IFS(B1139="","",AND(B1139="",G1139=""),"",G1139="","記載要"),"")</f>
        <v/>
      </c>
      <c r="K1139" t="str">
        <f t="shared" si="174"/>
        <v>11WP01008699</v>
      </c>
      <c r="L1139" s="3" t="str">
        <f t="shared" si="175"/>
        <v>2001/01/01</v>
      </c>
      <c r="M1139" s="3" t="str">
        <f t="shared" si="176"/>
        <v>2199/12/31</v>
      </c>
      <c r="N1139" t="str">
        <f t="shared" si="177"/>
        <v>11WP01008699</v>
      </c>
      <c r="O1139">
        <v>15</v>
      </c>
      <c r="Q1139" t="str" cm="1">
        <f t="array" ref="Q1139">_xlfn.IFS(AND(C1139="",G1139=""),"",LEFT(G1139,1)="L","記載要",LEFT(G1139,1)="W","",AND(C1139,G1139=""),"記載要")</f>
        <v/>
      </c>
      <c r="R1139" s="21" t="str">
        <f t="shared" si="182"/>
        <v/>
      </c>
      <c r="S1139" s="21"/>
      <c r="Z1139" s="8"/>
      <c r="AA1139">
        <v>1</v>
      </c>
      <c r="AB1139">
        <f t="shared" si="178"/>
        <v>0</v>
      </c>
      <c r="AC1139">
        <v>1</v>
      </c>
      <c r="AF1139">
        <v>1</v>
      </c>
      <c r="AG1139" s="8"/>
      <c r="AH1139" s="8"/>
      <c r="AK1139" cm="1">
        <f t="array" ref="AK1139">_xlfn.IFS(B1139="","",LEFT(G1139,1)="L",1,LEFT(G1139,1)="W",1,AND(LEFT(B1139,1)="H",G1139=""),0)</f>
        <v>1</v>
      </c>
      <c r="AS1139" t="str">
        <f t="shared" si="179"/>
        <v/>
      </c>
      <c r="AT1139" t="s">
        <v>115</v>
      </c>
      <c r="AU1139" t="str">
        <f t="shared" si="180"/>
        <v>0</v>
      </c>
      <c r="BD1139" t="str">
        <f t="shared" si="181"/>
        <v>0</v>
      </c>
      <c r="BK1139" t="str">
        <f>IFERROR(VLOOKUP(B1139,'[1]model_S-フレーム'!$F$5:$R$7000,13,1),"")</f>
        <v>E389460_01</v>
      </c>
      <c r="BL1139" s="7">
        <f>IFERROR(VLOOKUP(B1139,'[1]model_S-フレーム'!$F$5:$V$7000,17,1),"")</f>
        <v>0</v>
      </c>
      <c r="BM1139" t="str" cm="1">
        <f t="array" ref="BM1139">_xlfn.IFS(LEFT(G1139,1)="L","外注品",LEFT(G1139,1)="W","内製品",G1139="","購買品")</f>
        <v>内製品</v>
      </c>
    </row>
    <row r="1140" spans="1:65">
      <c r="A1140" t="str">
        <f t="shared" si="173"/>
        <v>WG01</v>
      </c>
      <c r="B1140" t="s">
        <v>1290</v>
      </c>
      <c r="C1140" t="s">
        <v>1527</v>
      </c>
      <c r="D1140" s="7"/>
      <c r="E1140" s="7"/>
      <c r="G1140" t="s">
        <v>1939</v>
      </c>
      <c r="H1140" t="str" cm="1">
        <f t="array" ref="H1140">IFERROR(_xlfn.IFS(B1140="","",AND(B1140="",G1140=""),"",G1140="","記載要"),"")</f>
        <v/>
      </c>
      <c r="K1140" t="str">
        <f t="shared" si="174"/>
        <v>11WP01008700</v>
      </c>
      <c r="L1140" s="3" t="str">
        <f t="shared" si="175"/>
        <v>2001/01/01</v>
      </c>
      <c r="M1140" s="3" t="str">
        <f t="shared" si="176"/>
        <v>2199/12/31</v>
      </c>
      <c r="N1140" t="str">
        <f t="shared" si="177"/>
        <v>11WP01008700</v>
      </c>
      <c r="O1140">
        <v>15</v>
      </c>
      <c r="Q1140" t="str" cm="1">
        <f t="array" ref="Q1140">_xlfn.IFS(AND(C1140="",G1140=""),"",LEFT(G1140,1)="L","記載要",LEFT(G1140,1)="W","",AND(C1140,G1140=""),"記載要")</f>
        <v/>
      </c>
      <c r="R1140" s="21" t="str">
        <f t="shared" si="182"/>
        <v/>
      </c>
      <c r="S1140" s="21"/>
      <c r="Z1140" s="8"/>
      <c r="AA1140">
        <v>1</v>
      </c>
      <c r="AB1140">
        <f t="shared" si="178"/>
        <v>0</v>
      </c>
      <c r="AC1140">
        <v>1</v>
      </c>
      <c r="AF1140">
        <v>1</v>
      </c>
      <c r="AG1140" s="8"/>
      <c r="AH1140" s="8"/>
      <c r="AK1140" cm="1">
        <f t="array" ref="AK1140">_xlfn.IFS(B1140="","",LEFT(G1140,1)="L",1,LEFT(G1140,1)="W",1,AND(LEFT(B1140,1)="H",G1140=""),0)</f>
        <v>1</v>
      </c>
      <c r="AS1140" t="str">
        <f t="shared" si="179"/>
        <v/>
      </c>
      <c r="AT1140" t="s">
        <v>115</v>
      </c>
      <c r="AU1140" t="str">
        <f t="shared" si="180"/>
        <v>0</v>
      </c>
      <c r="BD1140" t="str">
        <f t="shared" si="181"/>
        <v>0</v>
      </c>
      <c r="BK1140" t="str">
        <f>IFERROR(VLOOKUP(B1140,'[1]model_S-フレーム'!$F$5:$R$7000,13,1),"")</f>
        <v>E389460_01</v>
      </c>
      <c r="BL1140" s="7">
        <f>IFERROR(VLOOKUP(B1140,'[1]model_S-フレーム'!$F$5:$V$7000,17,1),"")</f>
        <v>0</v>
      </c>
      <c r="BM1140" t="str" cm="1">
        <f t="array" ref="BM1140">_xlfn.IFS(LEFT(G1140,1)="L","外注品",LEFT(G1140,1)="W","内製品",G1140="","購買品")</f>
        <v>内製品</v>
      </c>
    </row>
    <row r="1141" spans="1:65">
      <c r="A1141" t="str">
        <f t="shared" si="173"/>
        <v>WG01</v>
      </c>
      <c r="B1141" t="s">
        <v>1291</v>
      </c>
      <c r="C1141" t="s">
        <v>1527</v>
      </c>
      <c r="D1141" s="7"/>
      <c r="E1141" s="7"/>
      <c r="G1141" t="s">
        <v>1939</v>
      </c>
      <c r="H1141" t="str" cm="1">
        <f t="array" ref="H1141">IFERROR(_xlfn.IFS(B1141="","",AND(B1141="",G1141=""),"",G1141="","記載要"),"")</f>
        <v/>
      </c>
      <c r="K1141" t="str">
        <f t="shared" si="174"/>
        <v>11WP01008701</v>
      </c>
      <c r="L1141" s="3" t="str">
        <f t="shared" si="175"/>
        <v>2001/01/01</v>
      </c>
      <c r="M1141" s="3" t="str">
        <f t="shared" si="176"/>
        <v>2199/12/31</v>
      </c>
      <c r="N1141" t="str">
        <f t="shared" si="177"/>
        <v>11WP01008701</v>
      </c>
      <c r="O1141">
        <v>15</v>
      </c>
      <c r="Q1141" t="str" cm="1">
        <f t="array" ref="Q1141">_xlfn.IFS(AND(C1141="",G1141=""),"",LEFT(G1141,1)="L","記載要",LEFT(G1141,1)="W","",AND(C1141,G1141=""),"記載要")</f>
        <v/>
      </c>
      <c r="R1141" s="21" t="str">
        <f t="shared" si="182"/>
        <v/>
      </c>
      <c r="S1141" s="21"/>
      <c r="Z1141" s="8"/>
      <c r="AA1141">
        <v>1</v>
      </c>
      <c r="AB1141">
        <f t="shared" si="178"/>
        <v>0</v>
      </c>
      <c r="AC1141">
        <v>1</v>
      </c>
      <c r="AF1141">
        <v>1</v>
      </c>
      <c r="AG1141" s="8"/>
      <c r="AH1141" s="8"/>
      <c r="AK1141" cm="1">
        <f t="array" ref="AK1141">_xlfn.IFS(B1141="","",LEFT(G1141,1)="L",1,LEFT(G1141,1)="W",1,AND(LEFT(B1141,1)="H",G1141=""),0)</f>
        <v>1</v>
      </c>
      <c r="AS1141" t="str">
        <f t="shared" si="179"/>
        <v/>
      </c>
      <c r="AT1141" t="s">
        <v>115</v>
      </c>
      <c r="AU1141" t="str">
        <f t="shared" si="180"/>
        <v>0</v>
      </c>
      <c r="BD1141" t="str">
        <f t="shared" si="181"/>
        <v>0</v>
      </c>
      <c r="BK1141" t="str">
        <f>IFERROR(VLOOKUP(B1141,'[1]model_S-フレーム'!$F$5:$R$7000,13,1),"")</f>
        <v>E389460_01</v>
      </c>
      <c r="BL1141" s="7">
        <f>IFERROR(VLOOKUP(B1141,'[1]model_S-フレーム'!$F$5:$V$7000,17,1),"")</f>
        <v>0</v>
      </c>
      <c r="BM1141" t="str" cm="1">
        <f t="array" ref="BM1141">_xlfn.IFS(LEFT(G1141,1)="L","外注品",LEFT(G1141,1)="W","内製品",G1141="","購買品")</f>
        <v>内製品</v>
      </c>
    </row>
    <row r="1142" spans="1:65">
      <c r="A1142" t="str">
        <f t="shared" si="173"/>
        <v>WG01</v>
      </c>
      <c r="B1142" t="s">
        <v>1292</v>
      </c>
      <c r="C1142" t="s">
        <v>1527</v>
      </c>
      <c r="D1142" s="7"/>
      <c r="E1142" s="7"/>
      <c r="G1142" t="s">
        <v>1939</v>
      </c>
      <c r="H1142" t="str" cm="1">
        <f t="array" ref="H1142">IFERROR(_xlfn.IFS(B1142="","",AND(B1142="",G1142=""),"",G1142="","記載要"),"")</f>
        <v/>
      </c>
      <c r="K1142" t="str">
        <f t="shared" si="174"/>
        <v>11WP01008702</v>
      </c>
      <c r="L1142" s="3" t="str">
        <f t="shared" si="175"/>
        <v>2001/01/01</v>
      </c>
      <c r="M1142" s="3" t="str">
        <f t="shared" si="176"/>
        <v>2199/12/31</v>
      </c>
      <c r="N1142" t="str">
        <f t="shared" si="177"/>
        <v>11WP01008702</v>
      </c>
      <c r="O1142">
        <v>15</v>
      </c>
      <c r="Q1142" t="str" cm="1">
        <f t="array" ref="Q1142">_xlfn.IFS(AND(C1142="",G1142=""),"",LEFT(G1142,1)="L","記載要",LEFT(G1142,1)="W","",AND(C1142,G1142=""),"記載要")</f>
        <v/>
      </c>
      <c r="R1142" s="21" t="str">
        <f t="shared" si="182"/>
        <v/>
      </c>
      <c r="S1142" s="21"/>
      <c r="Z1142" s="8"/>
      <c r="AA1142">
        <v>1</v>
      </c>
      <c r="AB1142">
        <f t="shared" si="178"/>
        <v>0</v>
      </c>
      <c r="AC1142">
        <v>1</v>
      </c>
      <c r="AF1142">
        <v>1</v>
      </c>
      <c r="AG1142" s="8"/>
      <c r="AH1142" s="8"/>
      <c r="AK1142" cm="1">
        <f t="array" ref="AK1142">_xlfn.IFS(B1142="","",LEFT(G1142,1)="L",1,LEFT(G1142,1)="W",1,AND(LEFT(B1142,1)="H",G1142=""),0)</f>
        <v>1</v>
      </c>
      <c r="AS1142" t="str">
        <f t="shared" si="179"/>
        <v/>
      </c>
      <c r="AT1142" t="s">
        <v>115</v>
      </c>
      <c r="AU1142" t="str">
        <f t="shared" si="180"/>
        <v>0</v>
      </c>
      <c r="BD1142" t="str">
        <f t="shared" si="181"/>
        <v>0</v>
      </c>
      <c r="BK1142" t="str">
        <f>IFERROR(VLOOKUP(B1142,'[1]model_S-フレーム'!$F$5:$R$7000,13,1),"")</f>
        <v>E389460_01</v>
      </c>
      <c r="BL1142" s="7">
        <f>IFERROR(VLOOKUP(B1142,'[1]model_S-フレーム'!$F$5:$V$7000,17,1),"")</f>
        <v>0</v>
      </c>
      <c r="BM1142" t="str" cm="1">
        <f t="array" ref="BM1142">_xlfn.IFS(LEFT(G1142,1)="L","外注品",LEFT(G1142,1)="W","内製品",G1142="","購買品")</f>
        <v>内製品</v>
      </c>
    </row>
    <row r="1143" spans="1:65">
      <c r="A1143" t="str">
        <f t="shared" si="173"/>
        <v>WG01</v>
      </c>
      <c r="B1143" t="s">
        <v>1293</v>
      </c>
      <c r="C1143" t="s">
        <v>1527</v>
      </c>
      <c r="D1143" s="7"/>
      <c r="E1143" s="7"/>
      <c r="G1143" t="s">
        <v>1939</v>
      </c>
      <c r="H1143" t="str" cm="1">
        <f t="array" ref="H1143">IFERROR(_xlfn.IFS(B1143="","",AND(B1143="",G1143=""),"",G1143="","記載要"),"")</f>
        <v/>
      </c>
      <c r="K1143" t="str">
        <f t="shared" si="174"/>
        <v>11WP01008703</v>
      </c>
      <c r="L1143" s="3" t="str">
        <f t="shared" si="175"/>
        <v>2001/01/01</v>
      </c>
      <c r="M1143" s="3" t="str">
        <f t="shared" si="176"/>
        <v>2199/12/31</v>
      </c>
      <c r="N1143" t="str">
        <f t="shared" si="177"/>
        <v>11WP01008703</v>
      </c>
      <c r="O1143">
        <v>15</v>
      </c>
      <c r="Q1143" t="str" cm="1">
        <f t="array" ref="Q1143">_xlfn.IFS(AND(C1143="",G1143=""),"",LEFT(G1143,1)="L","記載要",LEFT(G1143,1)="W","",AND(C1143,G1143=""),"記載要")</f>
        <v/>
      </c>
      <c r="R1143" s="21" t="str">
        <f t="shared" si="182"/>
        <v/>
      </c>
      <c r="S1143" s="21"/>
      <c r="Z1143" s="8"/>
      <c r="AA1143">
        <v>1</v>
      </c>
      <c r="AB1143">
        <f t="shared" si="178"/>
        <v>0</v>
      </c>
      <c r="AC1143">
        <v>1</v>
      </c>
      <c r="AF1143">
        <v>1</v>
      </c>
      <c r="AG1143" s="8"/>
      <c r="AH1143" s="8"/>
      <c r="AK1143" cm="1">
        <f t="array" ref="AK1143">_xlfn.IFS(B1143="","",LEFT(G1143,1)="L",1,LEFT(G1143,1)="W",1,AND(LEFT(B1143,1)="H",G1143=""),0)</f>
        <v>1</v>
      </c>
      <c r="AS1143" t="str">
        <f t="shared" si="179"/>
        <v/>
      </c>
      <c r="AT1143" t="s">
        <v>115</v>
      </c>
      <c r="AU1143" t="str">
        <f t="shared" si="180"/>
        <v>0</v>
      </c>
      <c r="BD1143" t="str">
        <f t="shared" si="181"/>
        <v>0</v>
      </c>
      <c r="BK1143" t="str">
        <f>IFERROR(VLOOKUP(B1143,'[1]model_S-フレーム'!$F$5:$R$7000,13,1),"")</f>
        <v>E389460_01</v>
      </c>
      <c r="BL1143" s="7">
        <f>IFERROR(VLOOKUP(B1143,'[1]model_S-フレーム'!$F$5:$V$7000,17,1),"")</f>
        <v>0</v>
      </c>
      <c r="BM1143" t="str" cm="1">
        <f t="array" ref="BM1143">_xlfn.IFS(LEFT(G1143,1)="L","外注品",LEFT(G1143,1)="W","内製品",G1143="","購買品")</f>
        <v>内製品</v>
      </c>
    </row>
    <row r="1144" spans="1:65">
      <c r="A1144" t="str">
        <f t="shared" si="173"/>
        <v>WG01</v>
      </c>
      <c r="B1144" t="s">
        <v>1294</v>
      </c>
      <c r="C1144" t="s">
        <v>1527</v>
      </c>
      <c r="D1144" s="7"/>
      <c r="E1144" s="7"/>
      <c r="G1144" t="s">
        <v>1939</v>
      </c>
      <c r="H1144" t="str" cm="1">
        <f t="array" ref="H1144">IFERROR(_xlfn.IFS(B1144="","",AND(B1144="",G1144=""),"",G1144="","記載要"),"")</f>
        <v/>
      </c>
      <c r="K1144" t="str">
        <f t="shared" si="174"/>
        <v>11WP01008704</v>
      </c>
      <c r="L1144" s="3" t="str">
        <f t="shared" si="175"/>
        <v>2001/01/01</v>
      </c>
      <c r="M1144" s="3" t="str">
        <f t="shared" si="176"/>
        <v>2199/12/31</v>
      </c>
      <c r="N1144" t="str">
        <f t="shared" si="177"/>
        <v>11WP01008704</v>
      </c>
      <c r="O1144">
        <v>15</v>
      </c>
      <c r="Q1144" t="str" cm="1">
        <f t="array" ref="Q1144">_xlfn.IFS(AND(C1144="",G1144=""),"",LEFT(G1144,1)="L","記載要",LEFT(G1144,1)="W","",AND(C1144,G1144=""),"記載要")</f>
        <v/>
      </c>
      <c r="R1144" s="21" t="str">
        <f t="shared" si="182"/>
        <v/>
      </c>
      <c r="S1144" s="21"/>
      <c r="Z1144" s="8"/>
      <c r="AA1144">
        <v>1</v>
      </c>
      <c r="AB1144">
        <f t="shared" si="178"/>
        <v>0</v>
      </c>
      <c r="AC1144">
        <v>1</v>
      </c>
      <c r="AF1144">
        <v>1</v>
      </c>
      <c r="AG1144" s="8"/>
      <c r="AH1144" s="8"/>
      <c r="AK1144" cm="1">
        <f t="array" ref="AK1144">_xlfn.IFS(B1144="","",LEFT(G1144,1)="L",1,LEFT(G1144,1)="W",1,AND(LEFT(B1144,1)="H",G1144=""),0)</f>
        <v>1</v>
      </c>
      <c r="AS1144" t="str">
        <f t="shared" si="179"/>
        <v/>
      </c>
      <c r="AT1144" t="s">
        <v>115</v>
      </c>
      <c r="AU1144" t="str">
        <f t="shared" si="180"/>
        <v>0</v>
      </c>
      <c r="BD1144" t="str">
        <f t="shared" si="181"/>
        <v>0</v>
      </c>
      <c r="BK1144" t="str">
        <f>IFERROR(VLOOKUP(B1144,'[1]model_S-フレーム'!$F$5:$R$7000,13,1),"")</f>
        <v>E389460_01</v>
      </c>
      <c r="BL1144" s="7">
        <f>IFERROR(VLOOKUP(B1144,'[1]model_S-フレーム'!$F$5:$V$7000,17,1),"")</f>
        <v>0</v>
      </c>
      <c r="BM1144" t="str" cm="1">
        <f t="array" ref="BM1144">_xlfn.IFS(LEFT(G1144,1)="L","外注品",LEFT(G1144,1)="W","内製品",G1144="","購買品")</f>
        <v>内製品</v>
      </c>
    </row>
    <row r="1145" spans="1:65">
      <c r="A1145" t="str">
        <f t="shared" si="173"/>
        <v>WG01</v>
      </c>
      <c r="B1145" t="s">
        <v>1295</v>
      </c>
      <c r="C1145" t="s">
        <v>1527</v>
      </c>
      <c r="D1145" s="7"/>
      <c r="E1145" s="7"/>
      <c r="G1145" t="s">
        <v>1939</v>
      </c>
      <c r="H1145" t="str" cm="1">
        <f t="array" ref="H1145">IFERROR(_xlfn.IFS(B1145="","",AND(B1145="",G1145=""),"",G1145="","記載要"),"")</f>
        <v/>
      </c>
      <c r="K1145" t="str">
        <f t="shared" si="174"/>
        <v>11WP01008705</v>
      </c>
      <c r="L1145" s="3" t="str">
        <f t="shared" si="175"/>
        <v>2001/01/01</v>
      </c>
      <c r="M1145" s="3" t="str">
        <f t="shared" si="176"/>
        <v>2199/12/31</v>
      </c>
      <c r="N1145" t="str">
        <f t="shared" si="177"/>
        <v>11WP01008705</v>
      </c>
      <c r="O1145">
        <v>15</v>
      </c>
      <c r="Q1145" t="str" cm="1">
        <f t="array" ref="Q1145">_xlfn.IFS(AND(C1145="",G1145=""),"",LEFT(G1145,1)="L","記載要",LEFT(G1145,1)="W","",AND(C1145,G1145=""),"記載要")</f>
        <v/>
      </c>
      <c r="R1145" s="21" t="str">
        <f t="shared" si="182"/>
        <v/>
      </c>
      <c r="S1145" s="21"/>
      <c r="Z1145" s="8"/>
      <c r="AA1145">
        <v>1</v>
      </c>
      <c r="AB1145">
        <f t="shared" si="178"/>
        <v>0</v>
      </c>
      <c r="AC1145">
        <v>1</v>
      </c>
      <c r="AF1145">
        <v>1</v>
      </c>
      <c r="AG1145" s="8"/>
      <c r="AH1145" s="8"/>
      <c r="AK1145" cm="1">
        <f t="array" ref="AK1145">_xlfn.IFS(B1145="","",LEFT(G1145,1)="L",1,LEFT(G1145,1)="W",1,AND(LEFT(B1145,1)="H",G1145=""),0)</f>
        <v>1</v>
      </c>
      <c r="AS1145" t="str">
        <f t="shared" si="179"/>
        <v/>
      </c>
      <c r="AT1145" t="s">
        <v>115</v>
      </c>
      <c r="AU1145" t="str">
        <f t="shared" si="180"/>
        <v>0</v>
      </c>
      <c r="BD1145" t="str">
        <f t="shared" si="181"/>
        <v>0</v>
      </c>
      <c r="BK1145" t="str">
        <f>IFERROR(VLOOKUP(B1145,'[1]model_S-フレーム'!$F$5:$R$7000,13,1),"")</f>
        <v>E389460_01</v>
      </c>
      <c r="BL1145" s="7">
        <f>IFERROR(VLOOKUP(B1145,'[1]model_S-フレーム'!$F$5:$V$7000,17,1),"")</f>
        <v>0</v>
      </c>
      <c r="BM1145" t="str" cm="1">
        <f t="array" ref="BM1145">_xlfn.IFS(LEFT(G1145,1)="L","外注品",LEFT(G1145,1)="W","内製品",G1145="","購買品")</f>
        <v>内製品</v>
      </c>
    </row>
    <row r="1146" spans="1:65">
      <c r="A1146" t="str">
        <f t="shared" si="173"/>
        <v>WG01</v>
      </c>
      <c r="B1146" t="s">
        <v>1296</v>
      </c>
      <c r="C1146" t="s">
        <v>1527</v>
      </c>
      <c r="D1146" s="7"/>
      <c r="E1146" s="7"/>
      <c r="G1146" t="s">
        <v>1939</v>
      </c>
      <c r="H1146" t="str" cm="1">
        <f t="array" ref="H1146">IFERROR(_xlfn.IFS(B1146="","",AND(B1146="",G1146=""),"",G1146="","記載要"),"")</f>
        <v/>
      </c>
      <c r="K1146" t="str">
        <f t="shared" si="174"/>
        <v>11WP01008706</v>
      </c>
      <c r="L1146" s="3" t="str">
        <f t="shared" si="175"/>
        <v>2001/01/01</v>
      </c>
      <c r="M1146" s="3" t="str">
        <f t="shared" si="176"/>
        <v>2199/12/31</v>
      </c>
      <c r="N1146" t="str">
        <f t="shared" si="177"/>
        <v>11WP01008706</v>
      </c>
      <c r="O1146">
        <v>15</v>
      </c>
      <c r="Q1146" t="str" cm="1">
        <f t="array" ref="Q1146">_xlfn.IFS(AND(C1146="",G1146=""),"",LEFT(G1146,1)="L","記載要",LEFT(G1146,1)="W","",AND(C1146,G1146=""),"記載要")</f>
        <v/>
      </c>
      <c r="R1146" s="21" t="str">
        <f t="shared" si="182"/>
        <v/>
      </c>
      <c r="S1146" s="21"/>
      <c r="Z1146" s="8"/>
      <c r="AA1146">
        <v>1</v>
      </c>
      <c r="AB1146">
        <f t="shared" si="178"/>
        <v>0</v>
      </c>
      <c r="AC1146">
        <v>1</v>
      </c>
      <c r="AF1146">
        <v>1</v>
      </c>
      <c r="AG1146" s="8"/>
      <c r="AH1146" s="8"/>
      <c r="AK1146" cm="1">
        <f t="array" ref="AK1146">_xlfn.IFS(B1146="","",LEFT(G1146,1)="L",1,LEFT(G1146,1)="W",1,AND(LEFT(B1146,1)="H",G1146=""),0)</f>
        <v>1</v>
      </c>
      <c r="AS1146" t="str">
        <f t="shared" si="179"/>
        <v/>
      </c>
      <c r="AT1146" t="s">
        <v>115</v>
      </c>
      <c r="AU1146" t="str">
        <f t="shared" si="180"/>
        <v>0</v>
      </c>
      <c r="BD1146" t="str">
        <f t="shared" si="181"/>
        <v>0</v>
      </c>
      <c r="BK1146" t="str">
        <f>IFERROR(VLOOKUP(B1146,'[1]model_S-フレーム'!$F$5:$R$7000,13,1),"")</f>
        <v>E389460_01</v>
      </c>
      <c r="BL1146" s="7">
        <f>IFERROR(VLOOKUP(B1146,'[1]model_S-フレーム'!$F$5:$V$7000,17,1),"")</f>
        <v>0</v>
      </c>
      <c r="BM1146" t="str" cm="1">
        <f t="array" ref="BM1146">_xlfn.IFS(LEFT(G1146,1)="L","外注品",LEFT(G1146,1)="W","内製品",G1146="","購買品")</f>
        <v>内製品</v>
      </c>
    </row>
    <row r="1147" spans="1:65">
      <c r="A1147" t="str">
        <f t="shared" si="173"/>
        <v>WG01</v>
      </c>
      <c r="B1147" t="s">
        <v>1297</v>
      </c>
      <c r="C1147" t="s">
        <v>1527</v>
      </c>
      <c r="D1147" s="7"/>
      <c r="E1147" s="7"/>
      <c r="G1147" t="s">
        <v>1939</v>
      </c>
      <c r="H1147" t="str" cm="1">
        <f t="array" ref="H1147">IFERROR(_xlfn.IFS(B1147="","",AND(B1147="",G1147=""),"",G1147="","記載要"),"")</f>
        <v/>
      </c>
      <c r="K1147" t="str">
        <f t="shared" si="174"/>
        <v>11WP01008707</v>
      </c>
      <c r="L1147" s="3" t="str">
        <f t="shared" si="175"/>
        <v>2001/01/01</v>
      </c>
      <c r="M1147" s="3" t="str">
        <f t="shared" si="176"/>
        <v>2199/12/31</v>
      </c>
      <c r="N1147" t="str">
        <f t="shared" si="177"/>
        <v>11WP01008707</v>
      </c>
      <c r="O1147">
        <v>15</v>
      </c>
      <c r="Q1147" t="str" cm="1">
        <f t="array" ref="Q1147">_xlfn.IFS(AND(C1147="",G1147=""),"",LEFT(G1147,1)="L","記載要",LEFT(G1147,1)="W","",AND(C1147,G1147=""),"記載要")</f>
        <v/>
      </c>
      <c r="R1147" s="21" t="str">
        <f t="shared" si="182"/>
        <v/>
      </c>
      <c r="S1147" s="21"/>
      <c r="Z1147" s="8"/>
      <c r="AA1147">
        <v>1</v>
      </c>
      <c r="AB1147">
        <f t="shared" si="178"/>
        <v>0</v>
      </c>
      <c r="AC1147">
        <v>1</v>
      </c>
      <c r="AF1147">
        <v>1</v>
      </c>
      <c r="AG1147" s="8"/>
      <c r="AH1147" s="8"/>
      <c r="AK1147" cm="1">
        <f t="array" ref="AK1147">_xlfn.IFS(B1147="","",LEFT(G1147,1)="L",1,LEFT(G1147,1)="W",1,AND(LEFT(B1147,1)="H",G1147=""),0)</f>
        <v>1</v>
      </c>
      <c r="AS1147" t="str">
        <f t="shared" si="179"/>
        <v/>
      </c>
      <c r="AT1147" t="s">
        <v>115</v>
      </c>
      <c r="AU1147" t="str">
        <f t="shared" si="180"/>
        <v>0</v>
      </c>
      <c r="BD1147" t="str">
        <f t="shared" si="181"/>
        <v>0</v>
      </c>
      <c r="BK1147" t="str">
        <f>IFERROR(VLOOKUP(B1147,'[1]model_S-フレーム'!$F$5:$R$7000,13,1),"")</f>
        <v>E389460_01</v>
      </c>
      <c r="BL1147" s="7">
        <f>IFERROR(VLOOKUP(B1147,'[1]model_S-フレーム'!$F$5:$V$7000,17,1),"")</f>
        <v>0</v>
      </c>
      <c r="BM1147" t="str" cm="1">
        <f t="array" ref="BM1147">_xlfn.IFS(LEFT(G1147,1)="L","外注品",LEFT(G1147,1)="W","内製品",G1147="","購買品")</f>
        <v>内製品</v>
      </c>
    </row>
    <row r="1148" spans="1:65">
      <c r="A1148" t="str">
        <f t="shared" si="173"/>
        <v>WG01</v>
      </c>
      <c r="B1148" t="s">
        <v>1298</v>
      </c>
      <c r="C1148" t="s">
        <v>1527</v>
      </c>
      <c r="D1148" s="7"/>
      <c r="E1148" s="7"/>
      <c r="G1148" t="s">
        <v>1939</v>
      </c>
      <c r="H1148" t="str" cm="1">
        <f t="array" ref="H1148">IFERROR(_xlfn.IFS(B1148="","",AND(B1148="",G1148=""),"",G1148="","記載要"),"")</f>
        <v/>
      </c>
      <c r="K1148" t="str">
        <f t="shared" si="174"/>
        <v>11WP01008708</v>
      </c>
      <c r="L1148" s="3" t="str">
        <f t="shared" si="175"/>
        <v>2001/01/01</v>
      </c>
      <c r="M1148" s="3" t="str">
        <f t="shared" si="176"/>
        <v>2199/12/31</v>
      </c>
      <c r="N1148" t="str">
        <f t="shared" si="177"/>
        <v>11WP01008708</v>
      </c>
      <c r="O1148">
        <v>15</v>
      </c>
      <c r="Q1148" t="str" cm="1">
        <f t="array" ref="Q1148">_xlfn.IFS(AND(C1148="",G1148=""),"",LEFT(G1148,1)="L","記載要",LEFT(G1148,1)="W","",AND(C1148,G1148=""),"記載要")</f>
        <v/>
      </c>
      <c r="R1148" s="21" t="str">
        <f t="shared" si="182"/>
        <v/>
      </c>
      <c r="S1148" s="21"/>
      <c r="Z1148" s="8"/>
      <c r="AA1148">
        <v>1</v>
      </c>
      <c r="AB1148">
        <f t="shared" si="178"/>
        <v>0</v>
      </c>
      <c r="AC1148">
        <v>1</v>
      </c>
      <c r="AF1148">
        <v>1</v>
      </c>
      <c r="AG1148" s="8"/>
      <c r="AH1148" s="8"/>
      <c r="AK1148" cm="1">
        <f t="array" ref="AK1148">_xlfn.IFS(B1148="","",LEFT(G1148,1)="L",1,LEFT(G1148,1)="W",1,AND(LEFT(B1148,1)="H",G1148=""),0)</f>
        <v>1</v>
      </c>
      <c r="AS1148" t="str">
        <f t="shared" si="179"/>
        <v/>
      </c>
      <c r="AT1148" t="s">
        <v>115</v>
      </c>
      <c r="AU1148" t="str">
        <f t="shared" si="180"/>
        <v>0</v>
      </c>
      <c r="BD1148" t="str">
        <f t="shared" si="181"/>
        <v>0</v>
      </c>
      <c r="BK1148" t="str">
        <f>IFERROR(VLOOKUP(B1148,'[1]model_S-フレーム'!$F$5:$R$7000,13,1),"")</f>
        <v>E389460_01</v>
      </c>
      <c r="BL1148" s="7">
        <f>IFERROR(VLOOKUP(B1148,'[1]model_S-フレーム'!$F$5:$V$7000,17,1),"")</f>
        <v>0</v>
      </c>
      <c r="BM1148" t="str" cm="1">
        <f t="array" ref="BM1148">_xlfn.IFS(LEFT(G1148,1)="L","外注品",LEFT(G1148,1)="W","内製品",G1148="","購買品")</f>
        <v>内製品</v>
      </c>
    </row>
    <row r="1149" spans="1:65">
      <c r="A1149" t="str">
        <f t="shared" si="173"/>
        <v>WG01</v>
      </c>
      <c r="B1149" t="s">
        <v>1299</v>
      </c>
      <c r="C1149" t="s">
        <v>1527</v>
      </c>
      <c r="D1149" s="7"/>
      <c r="E1149" s="7"/>
      <c r="G1149" t="s">
        <v>1939</v>
      </c>
      <c r="H1149" t="str" cm="1">
        <f t="array" ref="H1149">IFERROR(_xlfn.IFS(B1149="","",AND(B1149="",G1149=""),"",G1149="","記載要"),"")</f>
        <v/>
      </c>
      <c r="K1149" t="str">
        <f t="shared" si="174"/>
        <v>11WP01008709</v>
      </c>
      <c r="L1149" s="3" t="str">
        <f t="shared" si="175"/>
        <v>2001/01/01</v>
      </c>
      <c r="M1149" s="3" t="str">
        <f t="shared" si="176"/>
        <v>2199/12/31</v>
      </c>
      <c r="N1149" t="str">
        <f t="shared" si="177"/>
        <v>11WP01008709</v>
      </c>
      <c r="O1149">
        <v>15</v>
      </c>
      <c r="Q1149" t="str" cm="1">
        <f t="array" ref="Q1149">_xlfn.IFS(AND(C1149="",G1149=""),"",LEFT(G1149,1)="L","記載要",LEFT(G1149,1)="W","",AND(C1149,G1149=""),"記載要")</f>
        <v/>
      </c>
      <c r="R1149" s="21" t="str">
        <f t="shared" si="182"/>
        <v/>
      </c>
      <c r="S1149" s="21"/>
      <c r="Z1149" s="8"/>
      <c r="AA1149">
        <v>1</v>
      </c>
      <c r="AB1149">
        <f t="shared" si="178"/>
        <v>0</v>
      </c>
      <c r="AC1149">
        <v>1</v>
      </c>
      <c r="AF1149">
        <v>1</v>
      </c>
      <c r="AG1149" s="8"/>
      <c r="AH1149" s="8"/>
      <c r="AK1149" cm="1">
        <f t="array" ref="AK1149">_xlfn.IFS(B1149="","",LEFT(G1149,1)="L",1,LEFT(G1149,1)="W",1,AND(LEFT(B1149,1)="H",G1149=""),0)</f>
        <v>1</v>
      </c>
      <c r="AS1149" t="str">
        <f t="shared" si="179"/>
        <v/>
      </c>
      <c r="AT1149" t="s">
        <v>115</v>
      </c>
      <c r="AU1149" t="str">
        <f t="shared" si="180"/>
        <v>0</v>
      </c>
      <c r="BD1149" t="str">
        <f t="shared" si="181"/>
        <v>0</v>
      </c>
      <c r="BK1149" t="str">
        <f>IFERROR(VLOOKUP(B1149,'[1]model_S-フレーム'!$F$5:$R$7000,13,1),"")</f>
        <v>E389460_01</v>
      </c>
      <c r="BL1149" s="7">
        <f>IFERROR(VLOOKUP(B1149,'[1]model_S-フレーム'!$F$5:$V$7000,17,1),"")</f>
        <v>0</v>
      </c>
      <c r="BM1149" t="str" cm="1">
        <f t="array" ref="BM1149">_xlfn.IFS(LEFT(G1149,1)="L","外注品",LEFT(G1149,1)="W","内製品",G1149="","購買品")</f>
        <v>内製品</v>
      </c>
    </row>
    <row r="1150" spans="1:65">
      <c r="A1150" t="str">
        <f t="shared" si="173"/>
        <v>WG01</v>
      </c>
      <c r="B1150" t="s">
        <v>1300</v>
      </c>
      <c r="C1150" t="s">
        <v>1527</v>
      </c>
      <c r="D1150" s="7"/>
      <c r="E1150" s="7"/>
      <c r="G1150" t="s">
        <v>1939</v>
      </c>
      <c r="H1150" t="str" cm="1">
        <f t="array" ref="H1150">IFERROR(_xlfn.IFS(B1150="","",AND(B1150="",G1150=""),"",G1150="","記載要"),"")</f>
        <v/>
      </c>
      <c r="K1150" t="str">
        <f t="shared" si="174"/>
        <v>11WP01008710</v>
      </c>
      <c r="L1150" s="3" t="str">
        <f t="shared" si="175"/>
        <v>2001/01/01</v>
      </c>
      <c r="M1150" s="3" t="str">
        <f t="shared" si="176"/>
        <v>2199/12/31</v>
      </c>
      <c r="N1150" t="str">
        <f t="shared" si="177"/>
        <v>11WP01008710</v>
      </c>
      <c r="O1150">
        <v>15</v>
      </c>
      <c r="Q1150" t="str" cm="1">
        <f t="array" ref="Q1150">_xlfn.IFS(AND(C1150="",G1150=""),"",LEFT(G1150,1)="L","記載要",LEFT(G1150,1)="W","",AND(C1150,G1150=""),"記載要")</f>
        <v/>
      </c>
      <c r="R1150" s="21" t="str">
        <f t="shared" si="182"/>
        <v/>
      </c>
      <c r="S1150" s="21"/>
      <c r="Z1150" s="8"/>
      <c r="AA1150">
        <v>1</v>
      </c>
      <c r="AB1150">
        <f t="shared" si="178"/>
        <v>0</v>
      </c>
      <c r="AC1150">
        <v>1</v>
      </c>
      <c r="AF1150">
        <v>1</v>
      </c>
      <c r="AG1150" s="8"/>
      <c r="AH1150" s="8"/>
      <c r="AK1150" cm="1">
        <f t="array" ref="AK1150">_xlfn.IFS(B1150="","",LEFT(G1150,1)="L",1,LEFT(G1150,1)="W",1,AND(LEFT(B1150,1)="H",G1150=""),0)</f>
        <v>1</v>
      </c>
      <c r="AS1150" t="str">
        <f t="shared" si="179"/>
        <v/>
      </c>
      <c r="AT1150" t="s">
        <v>115</v>
      </c>
      <c r="AU1150" t="str">
        <f t="shared" si="180"/>
        <v>0</v>
      </c>
      <c r="BD1150" t="str">
        <f t="shared" si="181"/>
        <v>0</v>
      </c>
      <c r="BK1150" t="str">
        <f>IFERROR(VLOOKUP(B1150,'[1]model_S-フレーム'!$F$5:$R$7000,13,1),"")</f>
        <v>E389460_01</v>
      </c>
      <c r="BL1150" s="7">
        <f>IFERROR(VLOOKUP(B1150,'[1]model_S-フレーム'!$F$5:$V$7000,17,1),"")</f>
        <v>0</v>
      </c>
      <c r="BM1150" t="str" cm="1">
        <f t="array" ref="BM1150">_xlfn.IFS(LEFT(G1150,1)="L","外注品",LEFT(G1150,1)="W","内製品",G1150="","購買品")</f>
        <v>内製品</v>
      </c>
    </row>
    <row r="1151" spans="1:65">
      <c r="A1151" t="str">
        <f t="shared" si="173"/>
        <v>WG01</v>
      </c>
      <c r="B1151" t="s">
        <v>1301</v>
      </c>
      <c r="C1151" t="s">
        <v>1527</v>
      </c>
      <c r="D1151" s="7"/>
      <c r="E1151" s="7"/>
      <c r="G1151" t="s">
        <v>1939</v>
      </c>
      <c r="H1151" t="str" cm="1">
        <f t="array" ref="H1151">IFERROR(_xlfn.IFS(B1151="","",AND(B1151="",G1151=""),"",G1151="","記載要"),"")</f>
        <v/>
      </c>
      <c r="K1151" t="str">
        <f t="shared" si="174"/>
        <v>11WP01008711</v>
      </c>
      <c r="L1151" s="3" t="str">
        <f t="shared" si="175"/>
        <v>2001/01/01</v>
      </c>
      <c r="M1151" s="3" t="str">
        <f t="shared" si="176"/>
        <v>2199/12/31</v>
      </c>
      <c r="N1151" t="str">
        <f t="shared" si="177"/>
        <v>11WP01008711</v>
      </c>
      <c r="O1151">
        <v>15</v>
      </c>
      <c r="Q1151" t="str" cm="1">
        <f t="array" ref="Q1151">_xlfn.IFS(AND(C1151="",G1151=""),"",LEFT(G1151,1)="L","記載要",LEFT(G1151,1)="W","",AND(C1151,G1151=""),"記載要")</f>
        <v/>
      </c>
      <c r="R1151" s="21" t="str">
        <f t="shared" si="182"/>
        <v/>
      </c>
      <c r="S1151" s="21"/>
      <c r="Z1151" s="8"/>
      <c r="AA1151">
        <v>1</v>
      </c>
      <c r="AB1151">
        <f t="shared" si="178"/>
        <v>0</v>
      </c>
      <c r="AC1151">
        <v>1</v>
      </c>
      <c r="AF1151">
        <v>1</v>
      </c>
      <c r="AG1151" s="8"/>
      <c r="AH1151" s="8"/>
      <c r="AK1151" cm="1">
        <f t="array" ref="AK1151">_xlfn.IFS(B1151="","",LEFT(G1151,1)="L",1,LEFT(G1151,1)="W",1,AND(LEFT(B1151,1)="H",G1151=""),0)</f>
        <v>1</v>
      </c>
      <c r="AS1151" t="str">
        <f t="shared" si="179"/>
        <v/>
      </c>
      <c r="AT1151" t="s">
        <v>115</v>
      </c>
      <c r="AU1151" t="str">
        <f t="shared" si="180"/>
        <v>0</v>
      </c>
      <c r="BD1151" t="str">
        <f t="shared" si="181"/>
        <v>0</v>
      </c>
      <c r="BK1151" t="str">
        <f>IFERROR(VLOOKUP(B1151,'[1]model_S-フレーム'!$F$5:$R$7000,13,1),"")</f>
        <v>E389460_01</v>
      </c>
      <c r="BL1151" s="7">
        <f>IFERROR(VLOOKUP(B1151,'[1]model_S-フレーム'!$F$5:$V$7000,17,1),"")</f>
        <v>0</v>
      </c>
      <c r="BM1151" t="str" cm="1">
        <f t="array" ref="BM1151">_xlfn.IFS(LEFT(G1151,1)="L","外注品",LEFT(G1151,1)="W","内製品",G1151="","購買品")</f>
        <v>内製品</v>
      </c>
    </row>
    <row r="1152" spans="1:65">
      <c r="A1152" t="str">
        <f t="shared" si="173"/>
        <v>WG01</v>
      </c>
      <c r="B1152" t="s">
        <v>1302</v>
      </c>
      <c r="C1152" t="s">
        <v>1527</v>
      </c>
      <c r="D1152" s="7"/>
      <c r="E1152" s="7"/>
      <c r="G1152" t="s">
        <v>1939</v>
      </c>
      <c r="H1152" t="str" cm="1">
        <f t="array" ref="H1152">IFERROR(_xlfn.IFS(B1152="","",AND(B1152="",G1152=""),"",G1152="","記載要"),"")</f>
        <v/>
      </c>
      <c r="K1152" t="str">
        <f t="shared" si="174"/>
        <v>11WP01008712</v>
      </c>
      <c r="L1152" s="3" t="str">
        <f t="shared" si="175"/>
        <v>2001/01/01</v>
      </c>
      <c r="M1152" s="3" t="str">
        <f t="shared" si="176"/>
        <v>2199/12/31</v>
      </c>
      <c r="N1152" t="str">
        <f t="shared" si="177"/>
        <v>11WP01008712</v>
      </c>
      <c r="O1152">
        <v>15</v>
      </c>
      <c r="Q1152" t="str" cm="1">
        <f t="array" ref="Q1152">_xlfn.IFS(AND(C1152="",G1152=""),"",LEFT(G1152,1)="L","記載要",LEFT(G1152,1)="W","",AND(C1152,G1152=""),"記載要")</f>
        <v/>
      </c>
      <c r="R1152" s="21" t="str">
        <f t="shared" si="182"/>
        <v/>
      </c>
      <c r="S1152" s="21"/>
      <c r="Z1152" s="8"/>
      <c r="AA1152">
        <v>1</v>
      </c>
      <c r="AB1152">
        <f t="shared" si="178"/>
        <v>0</v>
      </c>
      <c r="AC1152">
        <v>1</v>
      </c>
      <c r="AF1152">
        <v>1</v>
      </c>
      <c r="AG1152" s="8"/>
      <c r="AH1152" s="8"/>
      <c r="AK1152" cm="1">
        <f t="array" ref="AK1152">_xlfn.IFS(B1152="","",LEFT(G1152,1)="L",1,LEFT(G1152,1)="W",1,AND(LEFT(B1152,1)="H",G1152=""),0)</f>
        <v>1</v>
      </c>
      <c r="AS1152" t="str">
        <f t="shared" si="179"/>
        <v/>
      </c>
      <c r="AT1152" t="s">
        <v>115</v>
      </c>
      <c r="AU1152" t="str">
        <f t="shared" si="180"/>
        <v>0</v>
      </c>
      <c r="BD1152" t="str">
        <f t="shared" si="181"/>
        <v>0</v>
      </c>
      <c r="BK1152" t="str">
        <f>IFERROR(VLOOKUP(B1152,'[1]model_S-フレーム'!$F$5:$R$7000,13,1),"")</f>
        <v>E389460_01</v>
      </c>
      <c r="BL1152" s="7">
        <f>IFERROR(VLOOKUP(B1152,'[1]model_S-フレーム'!$F$5:$V$7000,17,1),"")</f>
        <v>0</v>
      </c>
      <c r="BM1152" t="str" cm="1">
        <f t="array" ref="BM1152">_xlfn.IFS(LEFT(G1152,1)="L","外注品",LEFT(G1152,1)="W","内製品",G1152="","購買品")</f>
        <v>内製品</v>
      </c>
    </row>
    <row r="1153" spans="1:65">
      <c r="A1153" t="str">
        <f t="shared" si="173"/>
        <v>WG01</v>
      </c>
      <c r="B1153" t="s">
        <v>1303</v>
      </c>
      <c r="C1153" t="s">
        <v>1527</v>
      </c>
      <c r="D1153" s="7"/>
      <c r="E1153" s="7"/>
      <c r="G1153" t="s">
        <v>1939</v>
      </c>
      <c r="H1153" t="str" cm="1">
        <f t="array" ref="H1153">IFERROR(_xlfn.IFS(B1153="","",AND(B1153="",G1153=""),"",G1153="","記載要"),"")</f>
        <v/>
      </c>
      <c r="K1153" t="str">
        <f t="shared" si="174"/>
        <v>11WP01008713</v>
      </c>
      <c r="L1153" s="3" t="str">
        <f t="shared" si="175"/>
        <v>2001/01/01</v>
      </c>
      <c r="M1153" s="3" t="str">
        <f t="shared" si="176"/>
        <v>2199/12/31</v>
      </c>
      <c r="N1153" t="str">
        <f t="shared" si="177"/>
        <v>11WP01008713</v>
      </c>
      <c r="O1153">
        <v>15</v>
      </c>
      <c r="Q1153" t="str" cm="1">
        <f t="array" ref="Q1153">_xlfn.IFS(AND(C1153="",G1153=""),"",LEFT(G1153,1)="L","記載要",LEFT(G1153,1)="W","",AND(C1153,G1153=""),"記載要")</f>
        <v/>
      </c>
      <c r="R1153" s="21" t="str">
        <f t="shared" si="182"/>
        <v/>
      </c>
      <c r="S1153" s="21"/>
      <c r="Z1153" s="8"/>
      <c r="AA1153">
        <v>1</v>
      </c>
      <c r="AB1153">
        <f t="shared" si="178"/>
        <v>0</v>
      </c>
      <c r="AC1153">
        <v>1</v>
      </c>
      <c r="AF1153">
        <v>1</v>
      </c>
      <c r="AG1153" s="8"/>
      <c r="AH1153" s="8"/>
      <c r="AK1153" cm="1">
        <f t="array" ref="AK1153">_xlfn.IFS(B1153="","",LEFT(G1153,1)="L",1,LEFT(G1153,1)="W",1,AND(LEFT(B1153,1)="H",G1153=""),0)</f>
        <v>1</v>
      </c>
      <c r="AS1153" t="str">
        <f t="shared" si="179"/>
        <v/>
      </c>
      <c r="AT1153" t="s">
        <v>115</v>
      </c>
      <c r="AU1153" t="str">
        <f t="shared" si="180"/>
        <v>0</v>
      </c>
      <c r="BD1153" t="str">
        <f t="shared" si="181"/>
        <v>0</v>
      </c>
      <c r="BK1153" t="str">
        <f>IFERROR(VLOOKUP(B1153,'[1]model_S-フレーム'!$F$5:$R$7000,13,1),"")</f>
        <v>E389460_01</v>
      </c>
      <c r="BL1153" s="7">
        <f>IFERROR(VLOOKUP(B1153,'[1]model_S-フレーム'!$F$5:$V$7000,17,1),"")</f>
        <v>0</v>
      </c>
      <c r="BM1153" t="str" cm="1">
        <f t="array" ref="BM1153">_xlfn.IFS(LEFT(G1153,1)="L","外注品",LEFT(G1153,1)="W","内製品",G1153="","購買品")</f>
        <v>内製品</v>
      </c>
    </row>
    <row r="1154" spans="1:65">
      <c r="A1154" t="str">
        <f t="shared" si="173"/>
        <v>WG01</v>
      </c>
      <c r="B1154" t="s">
        <v>1304</v>
      </c>
      <c r="C1154" t="s">
        <v>1527</v>
      </c>
      <c r="D1154" s="7"/>
      <c r="E1154" s="7"/>
      <c r="G1154" t="s">
        <v>1939</v>
      </c>
      <c r="H1154" t="str" cm="1">
        <f t="array" ref="H1154">IFERROR(_xlfn.IFS(B1154="","",AND(B1154="",G1154=""),"",G1154="","記載要"),"")</f>
        <v/>
      </c>
      <c r="K1154" t="str">
        <f t="shared" si="174"/>
        <v>11WP01008714</v>
      </c>
      <c r="L1154" s="3" t="str">
        <f t="shared" si="175"/>
        <v>2001/01/01</v>
      </c>
      <c r="M1154" s="3" t="str">
        <f t="shared" si="176"/>
        <v>2199/12/31</v>
      </c>
      <c r="N1154" t="str">
        <f t="shared" si="177"/>
        <v>11WP01008714</v>
      </c>
      <c r="O1154">
        <v>15</v>
      </c>
      <c r="Q1154" t="str" cm="1">
        <f t="array" ref="Q1154">_xlfn.IFS(AND(C1154="",G1154=""),"",LEFT(G1154,1)="L","記載要",LEFT(G1154,1)="W","",AND(C1154,G1154=""),"記載要")</f>
        <v/>
      </c>
      <c r="R1154" s="21" t="str">
        <f t="shared" si="182"/>
        <v/>
      </c>
      <c r="S1154" s="21"/>
      <c r="Z1154" s="8"/>
      <c r="AA1154">
        <v>1</v>
      </c>
      <c r="AB1154">
        <f t="shared" si="178"/>
        <v>0</v>
      </c>
      <c r="AC1154">
        <v>1</v>
      </c>
      <c r="AF1154">
        <v>1</v>
      </c>
      <c r="AG1154" s="8"/>
      <c r="AH1154" s="8"/>
      <c r="AK1154" cm="1">
        <f t="array" ref="AK1154">_xlfn.IFS(B1154="","",LEFT(G1154,1)="L",1,LEFT(G1154,1)="W",1,AND(LEFT(B1154,1)="H",G1154=""),0)</f>
        <v>1</v>
      </c>
      <c r="AS1154" t="str">
        <f t="shared" si="179"/>
        <v/>
      </c>
      <c r="AT1154" t="s">
        <v>115</v>
      </c>
      <c r="AU1154" t="str">
        <f t="shared" si="180"/>
        <v>0</v>
      </c>
      <c r="BD1154" t="str">
        <f t="shared" si="181"/>
        <v>0</v>
      </c>
      <c r="BK1154" t="str">
        <f>IFERROR(VLOOKUP(B1154,'[1]model_S-フレーム'!$F$5:$R$7000,13,1),"")</f>
        <v>E389460_01</v>
      </c>
      <c r="BL1154" s="7">
        <f>IFERROR(VLOOKUP(B1154,'[1]model_S-フレーム'!$F$5:$V$7000,17,1),"")</f>
        <v>0</v>
      </c>
      <c r="BM1154" t="str" cm="1">
        <f t="array" ref="BM1154">_xlfn.IFS(LEFT(G1154,1)="L","外注品",LEFT(G1154,1)="W","内製品",G1154="","購買品")</f>
        <v>内製品</v>
      </c>
    </row>
    <row r="1155" spans="1:65">
      <c r="A1155" t="str">
        <f t="shared" ref="A1155:A1218" si="183">IF(B1155="","","WG01")</f>
        <v>WG01</v>
      </c>
      <c r="B1155" t="s">
        <v>1305</v>
      </c>
      <c r="C1155" t="s">
        <v>1527</v>
      </c>
      <c r="D1155" s="7"/>
      <c r="E1155" s="7"/>
      <c r="G1155" t="s">
        <v>1939</v>
      </c>
      <c r="H1155" t="str" cm="1">
        <f t="array" ref="H1155">IFERROR(_xlfn.IFS(B1155="","",AND(B1155="",G1155=""),"",G1155="","記載要"),"")</f>
        <v/>
      </c>
      <c r="K1155" t="str">
        <f t="shared" ref="K1155:K1218" si="184">IF(G1155="","","11"&amp;G1155&amp;RIGHT(B1155,5))</f>
        <v>11WP01008715</v>
      </c>
      <c r="L1155" s="3" t="str">
        <f t="shared" ref="L1155:L1218" si="185">IF(B1155="","","2001/01/01")</f>
        <v>2001/01/01</v>
      </c>
      <c r="M1155" s="3" t="str">
        <f t="shared" ref="M1155:M1218" si="186">IF(C1155="","","2199/12/31")</f>
        <v>2199/12/31</v>
      </c>
      <c r="N1155" t="str">
        <f t="shared" ref="N1155:N1218" si="187">IF(LEFT(G1155,1)="W",K1155,"")</f>
        <v>11WP01008715</v>
      </c>
      <c r="O1155">
        <v>15</v>
      </c>
      <c r="Q1155" t="str" cm="1">
        <f t="array" ref="Q1155">_xlfn.IFS(AND(C1155="",G1155=""),"",LEFT(G1155,1)="L","記載要",LEFT(G1155,1)="W","",AND(C1155,G1155=""),"記載要")</f>
        <v/>
      </c>
      <c r="R1155" s="21" t="str">
        <f t="shared" si="182"/>
        <v/>
      </c>
      <c r="S1155" s="21"/>
      <c r="Z1155" s="8"/>
      <c r="AA1155">
        <v>1</v>
      </c>
      <c r="AB1155">
        <f t="shared" ref="AB1155:AB1218" si="188">IF(B1155="","",0)</f>
        <v>0</v>
      </c>
      <c r="AC1155">
        <v>1</v>
      </c>
      <c r="AF1155">
        <v>1</v>
      </c>
      <c r="AG1155" s="8"/>
      <c r="AH1155" s="8"/>
      <c r="AK1155" cm="1">
        <f t="array" ref="AK1155">_xlfn.IFS(B1155="","",LEFT(G1155,1)="L",1,LEFT(G1155,1)="W",1,AND(LEFT(B1155,1)="H",G1155=""),0)</f>
        <v>1</v>
      </c>
      <c r="AS1155" t="str">
        <f t="shared" ref="AS1155:AS1218" si="189">IF(Q1155="","",1)</f>
        <v/>
      </c>
      <c r="AT1155" t="s">
        <v>115</v>
      </c>
      <c r="AU1155" t="str">
        <f t="shared" ref="AU1155:AU1218" si="190">IF(B1155="","","0")</f>
        <v>0</v>
      </c>
      <c r="BD1155" t="str">
        <f t="shared" ref="BD1155:BD1218" si="191">IF(B1155="","","0")</f>
        <v>0</v>
      </c>
      <c r="BK1155" t="str">
        <f>IFERROR(VLOOKUP(B1155,'[1]model_S-フレーム'!$F$5:$R$7000,13,1),"")</f>
        <v>E389460_01</v>
      </c>
      <c r="BL1155" s="7">
        <f>IFERROR(VLOOKUP(B1155,'[1]model_S-フレーム'!$F$5:$V$7000,17,1),"")</f>
        <v>0</v>
      </c>
      <c r="BM1155" t="str" cm="1">
        <f t="array" ref="BM1155">_xlfn.IFS(LEFT(G1155,1)="L","外注品",LEFT(G1155,1)="W","内製品",G1155="","購買品")</f>
        <v>内製品</v>
      </c>
    </row>
    <row r="1156" spans="1:65">
      <c r="A1156" t="str">
        <f t="shared" si="183"/>
        <v>WG01</v>
      </c>
      <c r="B1156" t="s">
        <v>1306</v>
      </c>
      <c r="C1156" t="s">
        <v>1527</v>
      </c>
      <c r="D1156" s="7"/>
      <c r="E1156" s="7"/>
      <c r="G1156" t="s">
        <v>1939</v>
      </c>
      <c r="H1156" t="str" cm="1">
        <f t="array" ref="H1156">IFERROR(_xlfn.IFS(B1156="","",AND(B1156="",G1156=""),"",G1156="","記載要"),"")</f>
        <v/>
      </c>
      <c r="K1156" t="str">
        <f t="shared" si="184"/>
        <v>11WP01008716</v>
      </c>
      <c r="L1156" s="3" t="str">
        <f t="shared" si="185"/>
        <v>2001/01/01</v>
      </c>
      <c r="M1156" s="3" t="str">
        <f t="shared" si="186"/>
        <v>2199/12/31</v>
      </c>
      <c r="N1156" t="str">
        <f t="shared" si="187"/>
        <v>11WP01008716</v>
      </c>
      <c r="O1156">
        <v>15</v>
      </c>
      <c r="Q1156" t="str" cm="1">
        <f t="array" ref="Q1156">_xlfn.IFS(AND(C1156="",G1156=""),"",LEFT(G1156,1)="L","記載要",LEFT(G1156,1)="W","",AND(C1156,G1156=""),"記載要")</f>
        <v/>
      </c>
      <c r="R1156" s="21" t="str">
        <f t="shared" ref="R1156:R1217" si="192">IF(H1156="","","記載要")</f>
        <v/>
      </c>
      <c r="S1156" s="21"/>
      <c r="Z1156" s="8"/>
      <c r="AA1156">
        <v>1</v>
      </c>
      <c r="AB1156">
        <f t="shared" si="188"/>
        <v>0</v>
      </c>
      <c r="AC1156">
        <v>1</v>
      </c>
      <c r="AF1156">
        <v>1</v>
      </c>
      <c r="AG1156" s="8"/>
      <c r="AH1156" s="8"/>
      <c r="AK1156" cm="1">
        <f t="array" ref="AK1156">_xlfn.IFS(B1156="","",LEFT(G1156,1)="L",1,LEFT(G1156,1)="W",1,AND(LEFT(B1156,1)="H",G1156=""),0)</f>
        <v>1</v>
      </c>
      <c r="AS1156" t="str">
        <f t="shared" si="189"/>
        <v/>
      </c>
      <c r="AT1156" t="s">
        <v>115</v>
      </c>
      <c r="AU1156" t="str">
        <f t="shared" si="190"/>
        <v>0</v>
      </c>
      <c r="BD1156" t="str">
        <f t="shared" si="191"/>
        <v>0</v>
      </c>
      <c r="BK1156" t="str">
        <f>IFERROR(VLOOKUP(B1156,'[1]model_S-フレーム'!$F$5:$R$7000,13,1),"")</f>
        <v>E389460_01</v>
      </c>
      <c r="BL1156" s="7">
        <f>IFERROR(VLOOKUP(B1156,'[1]model_S-フレーム'!$F$5:$V$7000,17,1),"")</f>
        <v>0</v>
      </c>
      <c r="BM1156" t="str" cm="1">
        <f t="array" ref="BM1156">_xlfn.IFS(LEFT(G1156,1)="L","外注品",LEFT(G1156,1)="W","内製品",G1156="","購買品")</f>
        <v>内製品</v>
      </c>
    </row>
    <row r="1157" spans="1:65">
      <c r="A1157" t="str">
        <f t="shared" si="183"/>
        <v>WG01</v>
      </c>
      <c r="B1157" t="s">
        <v>1307</v>
      </c>
      <c r="C1157" t="s">
        <v>1527</v>
      </c>
      <c r="D1157" s="7"/>
      <c r="E1157" s="7"/>
      <c r="G1157" t="s">
        <v>1939</v>
      </c>
      <c r="H1157" t="str" cm="1">
        <f t="array" ref="H1157">IFERROR(_xlfn.IFS(B1157="","",AND(B1157="",G1157=""),"",G1157="","記載要"),"")</f>
        <v/>
      </c>
      <c r="K1157" t="str">
        <f t="shared" si="184"/>
        <v>11WP01008717</v>
      </c>
      <c r="L1157" s="3" t="str">
        <f t="shared" si="185"/>
        <v>2001/01/01</v>
      </c>
      <c r="M1157" s="3" t="str">
        <f t="shared" si="186"/>
        <v>2199/12/31</v>
      </c>
      <c r="N1157" t="str">
        <f t="shared" si="187"/>
        <v>11WP01008717</v>
      </c>
      <c r="O1157">
        <v>15</v>
      </c>
      <c r="Q1157" t="str" cm="1">
        <f t="array" ref="Q1157">_xlfn.IFS(AND(C1157="",G1157=""),"",LEFT(G1157,1)="L","記載要",LEFT(G1157,1)="W","",AND(C1157,G1157=""),"記載要")</f>
        <v/>
      </c>
      <c r="R1157" s="21" t="str">
        <f t="shared" si="192"/>
        <v/>
      </c>
      <c r="S1157" s="21"/>
      <c r="Z1157" s="8"/>
      <c r="AA1157">
        <v>1</v>
      </c>
      <c r="AB1157">
        <f t="shared" si="188"/>
        <v>0</v>
      </c>
      <c r="AC1157">
        <v>1</v>
      </c>
      <c r="AF1157">
        <v>1</v>
      </c>
      <c r="AG1157" s="8"/>
      <c r="AH1157" s="8"/>
      <c r="AK1157" cm="1">
        <f t="array" ref="AK1157">_xlfn.IFS(B1157="","",LEFT(G1157,1)="L",1,LEFT(G1157,1)="W",1,AND(LEFT(B1157,1)="H",G1157=""),0)</f>
        <v>1</v>
      </c>
      <c r="AS1157" t="str">
        <f t="shared" si="189"/>
        <v/>
      </c>
      <c r="AT1157" t="s">
        <v>115</v>
      </c>
      <c r="AU1157" t="str">
        <f t="shared" si="190"/>
        <v>0</v>
      </c>
      <c r="BD1157" t="str">
        <f t="shared" si="191"/>
        <v>0</v>
      </c>
      <c r="BK1157" t="str">
        <f>IFERROR(VLOOKUP(B1157,'[1]model_S-フレーム'!$F$5:$R$7000,13,1),"")</f>
        <v>E389460_01</v>
      </c>
      <c r="BL1157" s="7">
        <f>IFERROR(VLOOKUP(B1157,'[1]model_S-フレーム'!$F$5:$V$7000,17,1),"")</f>
        <v>0</v>
      </c>
      <c r="BM1157" t="str" cm="1">
        <f t="array" ref="BM1157">_xlfn.IFS(LEFT(G1157,1)="L","外注品",LEFT(G1157,1)="W","内製品",G1157="","購買品")</f>
        <v>内製品</v>
      </c>
    </row>
    <row r="1158" spans="1:65">
      <c r="A1158" t="str">
        <f t="shared" si="183"/>
        <v>WG01</v>
      </c>
      <c r="B1158" t="s">
        <v>1308</v>
      </c>
      <c r="C1158" t="s">
        <v>1527</v>
      </c>
      <c r="D1158" s="7"/>
      <c r="E1158" s="7"/>
      <c r="G1158" t="s">
        <v>1939</v>
      </c>
      <c r="H1158" t="str" cm="1">
        <f t="array" ref="H1158">IFERROR(_xlfn.IFS(B1158="","",AND(B1158="",G1158=""),"",G1158="","記載要"),"")</f>
        <v/>
      </c>
      <c r="K1158" t="str">
        <f t="shared" si="184"/>
        <v>11WP01008718</v>
      </c>
      <c r="L1158" s="3" t="str">
        <f t="shared" si="185"/>
        <v>2001/01/01</v>
      </c>
      <c r="M1158" s="3" t="str">
        <f t="shared" si="186"/>
        <v>2199/12/31</v>
      </c>
      <c r="N1158" t="str">
        <f t="shared" si="187"/>
        <v>11WP01008718</v>
      </c>
      <c r="O1158">
        <v>15</v>
      </c>
      <c r="Q1158" t="str" cm="1">
        <f t="array" ref="Q1158">_xlfn.IFS(AND(C1158="",G1158=""),"",LEFT(G1158,1)="L","記載要",LEFT(G1158,1)="W","",AND(C1158,G1158=""),"記載要")</f>
        <v/>
      </c>
      <c r="R1158" s="21" t="str">
        <f t="shared" si="192"/>
        <v/>
      </c>
      <c r="S1158" s="21"/>
      <c r="Z1158" s="8"/>
      <c r="AA1158">
        <v>1</v>
      </c>
      <c r="AB1158">
        <f t="shared" si="188"/>
        <v>0</v>
      </c>
      <c r="AC1158">
        <v>1</v>
      </c>
      <c r="AF1158">
        <v>1</v>
      </c>
      <c r="AG1158" s="8"/>
      <c r="AH1158" s="8"/>
      <c r="AK1158" cm="1">
        <f t="array" ref="AK1158">_xlfn.IFS(B1158="","",LEFT(G1158,1)="L",1,LEFT(G1158,1)="W",1,AND(LEFT(B1158,1)="H",G1158=""),0)</f>
        <v>1</v>
      </c>
      <c r="AS1158" t="str">
        <f t="shared" si="189"/>
        <v/>
      </c>
      <c r="AT1158" t="s">
        <v>115</v>
      </c>
      <c r="AU1158" t="str">
        <f t="shared" si="190"/>
        <v>0</v>
      </c>
      <c r="BD1158" t="str">
        <f t="shared" si="191"/>
        <v>0</v>
      </c>
      <c r="BK1158" t="str">
        <f>IFERROR(VLOOKUP(B1158,'[1]model_S-フレーム'!$F$5:$R$7000,13,1),"")</f>
        <v>E389460_01</v>
      </c>
      <c r="BL1158" s="7">
        <f>IFERROR(VLOOKUP(B1158,'[1]model_S-フレーム'!$F$5:$V$7000,17,1),"")</f>
        <v>0</v>
      </c>
      <c r="BM1158" t="str" cm="1">
        <f t="array" ref="BM1158">_xlfn.IFS(LEFT(G1158,1)="L","外注品",LEFT(G1158,1)="W","内製品",G1158="","購買品")</f>
        <v>内製品</v>
      </c>
    </row>
    <row r="1159" spans="1:65">
      <c r="A1159" t="str">
        <f t="shared" si="183"/>
        <v>WG01</v>
      </c>
      <c r="B1159" t="s">
        <v>1309</v>
      </c>
      <c r="C1159" t="s">
        <v>1527</v>
      </c>
      <c r="D1159" s="7"/>
      <c r="E1159" s="7"/>
      <c r="G1159" t="s">
        <v>1939</v>
      </c>
      <c r="H1159" t="str" cm="1">
        <f t="array" ref="H1159">IFERROR(_xlfn.IFS(B1159="","",AND(B1159="",G1159=""),"",G1159="","記載要"),"")</f>
        <v/>
      </c>
      <c r="K1159" t="str">
        <f t="shared" si="184"/>
        <v>11WP01008719</v>
      </c>
      <c r="L1159" s="3" t="str">
        <f t="shared" si="185"/>
        <v>2001/01/01</v>
      </c>
      <c r="M1159" s="3" t="str">
        <f t="shared" si="186"/>
        <v>2199/12/31</v>
      </c>
      <c r="N1159" t="str">
        <f t="shared" si="187"/>
        <v>11WP01008719</v>
      </c>
      <c r="O1159">
        <v>15</v>
      </c>
      <c r="Q1159" t="str" cm="1">
        <f t="array" ref="Q1159">_xlfn.IFS(AND(C1159="",G1159=""),"",LEFT(G1159,1)="L","記載要",LEFT(G1159,1)="W","",AND(C1159,G1159=""),"記載要")</f>
        <v/>
      </c>
      <c r="R1159" s="21" t="str">
        <f t="shared" si="192"/>
        <v/>
      </c>
      <c r="S1159" s="21"/>
      <c r="Z1159" s="8"/>
      <c r="AA1159">
        <v>1</v>
      </c>
      <c r="AB1159">
        <f t="shared" si="188"/>
        <v>0</v>
      </c>
      <c r="AC1159">
        <v>1</v>
      </c>
      <c r="AF1159">
        <v>1</v>
      </c>
      <c r="AG1159" s="8"/>
      <c r="AH1159" s="8"/>
      <c r="AK1159" cm="1">
        <f t="array" ref="AK1159">_xlfn.IFS(B1159="","",LEFT(G1159,1)="L",1,LEFT(G1159,1)="W",1,AND(LEFT(B1159,1)="H",G1159=""),0)</f>
        <v>1</v>
      </c>
      <c r="AS1159" t="str">
        <f t="shared" si="189"/>
        <v/>
      </c>
      <c r="AT1159" t="s">
        <v>115</v>
      </c>
      <c r="AU1159" t="str">
        <f t="shared" si="190"/>
        <v>0</v>
      </c>
      <c r="BD1159" t="str">
        <f t="shared" si="191"/>
        <v>0</v>
      </c>
      <c r="BK1159" t="str">
        <f>IFERROR(VLOOKUP(B1159,'[1]model_S-フレーム'!$F$5:$R$7000,13,1),"")</f>
        <v>E389460_01</v>
      </c>
      <c r="BL1159" s="7">
        <f>IFERROR(VLOOKUP(B1159,'[1]model_S-フレーム'!$F$5:$V$7000,17,1),"")</f>
        <v>0</v>
      </c>
      <c r="BM1159" t="str" cm="1">
        <f t="array" ref="BM1159">_xlfn.IFS(LEFT(G1159,1)="L","外注品",LEFT(G1159,1)="W","内製品",G1159="","購買品")</f>
        <v>内製品</v>
      </c>
    </row>
    <row r="1160" spans="1:65">
      <c r="A1160" t="str">
        <f t="shared" si="183"/>
        <v>WG01</v>
      </c>
      <c r="B1160" t="s">
        <v>1310</v>
      </c>
      <c r="C1160" t="s">
        <v>1527</v>
      </c>
      <c r="D1160" s="7"/>
      <c r="E1160" s="7"/>
      <c r="G1160" t="s">
        <v>1939</v>
      </c>
      <c r="H1160" t="str" cm="1">
        <f t="array" ref="H1160">IFERROR(_xlfn.IFS(B1160="","",AND(B1160="",G1160=""),"",G1160="","記載要"),"")</f>
        <v/>
      </c>
      <c r="K1160" t="str">
        <f t="shared" si="184"/>
        <v>11WP01008720</v>
      </c>
      <c r="L1160" s="3" t="str">
        <f t="shared" si="185"/>
        <v>2001/01/01</v>
      </c>
      <c r="M1160" s="3" t="str">
        <f t="shared" si="186"/>
        <v>2199/12/31</v>
      </c>
      <c r="N1160" t="str">
        <f t="shared" si="187"/>
        <v>11WP01008720</v>
      </c>
      <c r="O1160">
        <v>15</v>
      </c>
      <c r="Q1160" t="str" cm="1">
        <f t="array" ref="Q1160">_xlfn.IFS(AND(C1160="",G1160=""),"",LEFT(G1160,1)="L","記載要",LEFT(G1160,1)="W","",AND(C1160,G1160=""),"記載要")</f>
        <v/>
      </c>
      <c r="R1160" s="21" t="str">
        <f t="shared" si="192"/>
        <v/>
      </c>
      <c r="S1160" s="21"/>
      <c r="Z1160" s="8"/>
      <c r="AA1160">
        <v>1</v>
      </c>
      <c r="AB1160">
        <f t="shared" si="188"/>
        <v>0</v>
      </c>
      <c r="AC1160">
        <v>1</v>
      </c>
      <c r="AF1160">
        <v>1</v>
      </c>
      <c r="AG1160" s="8"/>
      <c r="AH1160" s="8"/>
      <c r="AK1160" cm="1">
        <f t="array" ref="AK1160">_xlfn.IFS(B1160="","",LEFT(G1160,1)="L",1,LEFT(G1160,1)="W",1,AND(LEFT(B1160,1)="H",G1160=""),0)</f>
        <v>1</v>
      </c>
      <c r="AS1160" t="str">
        <f t="shared" si="189"/>
        <v/>
      </c>
      <c r="AT1160" t="s">
        <v>115</v>
      </c>
      <c r="AU1160" t="str">
        <f t="shared" si="190"/>
        <v>0</v>
      </c>
      <c r="BD1160" t="str">
        <f t="shared" si="191"/>
        <v>0</v>
      </c>
      <c r="BK1160" t="str">
        <f>IFERROR(VLOOKUP(B1160,'[1]model_S-フレーム'!$F$5:$R$7000,13,1),"")</f>
        <v>E389460_01</v>
      </c>
      <c r="BL1160" s="7">
        <f>IFERROR(VLOOKUP(B1160,'[1]model_S-フレーム'!$F$5:$V$7000,17,1),"")</f>
        <v>0</v>
      </c>
      <c r="BM1160" t="str" cm="1">
        <f t="array" ref="BM1160">_xlfn.IFS(LEFT(G1160,1)="L","外注品",LEFT(G1160,1)="W","内製品",G1160="","購買品")</f>
        <v>内製品</v>
      </c>
    </row>
    <row r="1161" spans="1:65">
      <c r="A1161" t="str">
        <f t="shared" si="183"/>
        <v>WG01</v>
      </c>
      <c r="B1161" t="s">
        <v>1311</v>
      </c>
      <c r="C1161" t="s">
        <v>1527</v>
      </c>
      <c r="D1161" s="7"/>
      <c r="E1161" s="7"/>
      <c r="G1161" t="s">
        <v>1939</v>
      </c>
      <c r="H1161" t="str" cm="1">
        <f t="array" ref="H1161">IFERROR(_xlfn.IFS(B1161="","",AND(B1161="",G1161=""),"",G1161="","記載要"),"")</f>
        <v/>
      </c>
      <c r="K1161" t="str">
        <f t="shared" si="184"/>
        <v>11WP01008721</v>
      </c>
      <c r="L1161" s="3" t="str">
        <f t="shared" si="185"/>
        <v>2001/01/01</v>
      </c>
      <c r="M1161" s="3" t="str">
        <f t="shared" si="186"/>
        <v>2199/12/31</v>
      </c>
      <c r="N1161" t="str">
        <f t="shared" si="187"/>
        <v>11WP01008721</v>
      </c>
      <c r="O1161">
        <v>15</v>
      </c>
      <c r="Q1161" t="str" cm="1">
        <f t="array" ref="Q1161">_xlfn.IFS(AND(C1161="",G1161=""),"",LEFT(G1161,1)="L","記載要",LEFT(G1161,1)="W","",AND(C1161,G1161=""),"記載要")</f>
        <v/>
      </c>
      <c r="R1161" s="21" t="str">
        <f t="shared" si="192"/>
        <v/>
      </c>
      <c r="S1161" s="21"/>
      <c r="Z1161" s="8"/>
      <c r="AA1161">
        <v>1</v>
      </c>
      <c r="AB1161">
        <f t="shared" si="188"/>
        <v>0</v>
      </c>
      <c r="AC1161">
        <v>1</v>
      </c>
      <c r="AF1161">
        <v>1</v>
      </c>
      <c r="AG1161" s="8"/>
      <c r="AH1161" s="8"/>
      <c r="AK1161" cm="1">
        <f t="array" ref="AK1161">_xlfn.IFS(B1161="","",LEFT(G1161,1)="L",1,LEFT(G1161,1)="W",1,AND(LEFT(B1161,1)="H",G1161=""),0)</f>
        <v>1</v>
      </c>
      <c r="AS1161" t="str">
        <f t="shared" si="189"/>
        <v/>
      </c>
      <c r="AT1161" t="s">
        <v>115</v>
      </c>
      <c r="AU1161" t="str">
        <f t="shared" si="190"/>
        <v>0</v>
      </c>
      <c r="BD1161" t="str">
        <f t="shared" si="191"/>
        <v>0</v>
      </c>
      <c r="BK1161" t="str">
        <f>IFERROR(VLOOKUP(B1161,'[1]model_S-フレーム'!$F$5:$R$7000,13,1),"")</f>
        <v>E389460_01</v>
      </c>
      <c r="BL1161" s="7">
        <f>IFERROR(VLOOKUP(B1161,'[1]model_S-フレーム'!$F$5:$V$7000,17,1),"")</f>
        <v>0</v>
      </c>
      <c r="BM1161" t="str" cm="1">
        <f t="array" ref="BM1161">_xlfn.IFS(LEFT(G1161,1)="L","外注品",LEFT(G1161,1)="W","内製品",G1161="","購買品")</f>
        <v>内製品</v>
      </c>
    </row>
    <row r="1162" spans="1:65">
      <c r="A1162" t="str">
        <f t="shared" si="183"/>
        <v>WG01</v>
      </c>
      <c r="B1162" t="s">
        <v>1312</v>
      </c>
      <c r="C1162" t="s">
        <v>1528</v>
      </c>
      <c r="D1162" s="7"/>
      <c r="E1162" s="7"/>
      <c r="G1162" t="s">
        <v>1939</v>
      </c>
      <c r="H1162" t="str" cm="1">
        <f t="array" ref="H1162">IFERROR(_xlfn.IFS(B1162="","",AND(B1162="",G1162=""),"",G1162="","記載要"),"")</f>
        <v/>
      </c>
      <c r="K1162" t="str">
        <f t="shared" si="184"/>
        <v>11WP01008722</v>
      </c>
      <c r="L1162" s="3" t="str">
        <f t="shared" si="185"/>
        <v>2001/01/01</v>
      </c>
      <c r="M1162" s="3" t="str">
        <f t="shared" si="186"/>
        <v>2199/12/31</v>
      </c>
      <c r="N1162" t="str">
        <f t="shared" si="187"/>
        <v>11WP01008722</v>
      </c>
      <c r="O1162">
        <v>15</v>
      </c>
      <c r="Q1162" t="str" cm="1">
        <f t="array" ref="Q1162">_xlfn.IFS(AND(C1162="",G1162=""),"",LEFT(G1162,1)="L","記載要",LEFT(G1162,1)="W","",AND(C1162,G1162=""),"記載要")</f>
        <v/>
      </c>
      <c r="R1162" s="21" t="str">
        <f t="shared" si="192"/>
        <v/>
      </c>
      <c r="S1162" s="21"/>
      <c r="Z1162" s="8"/>
      <c r="AA1162">
        <v>1</v>
      </c>
      <c r="AB1162">
        <f t="shared" si="188"/>
        <v>0</v>
      </c>
      <c r="AC1162">
        <v>1</v>
      </c>
      <c r="AF1162">
        <v>1</v>
      </c>
      <c r="AG1162" s="8"/>
      <c r="AH1162" s="8"/>
      <c r="AK1162" cm="1">
        <f t="array" ref="AK1162">_xlfn.IFS(B1162="","",LEFT(G1162,1)="L",1,LEFT(G1162,1)="W",1,AND(LEFT(B1162,1)="H",G1162=""),0)</f>
        <v>1</v>
      </c>
      <c r="AS1162" t="str">
        <f t="shared" si="189"/>
        <v/>
      </c>
      <c r="AT1162" t="s">
        <v>115</v>
      </c>
      <c r="AU1162" t="str">
        <f t="shared" si="190"/>
        <v>0</v>
      </c>
      <c r="BD1162" t="str">
        <f t="shared" si="191"/>
        <v>0</v>
      </c>
      <c r="BK1162" t="str">
        <f>IFERROR(VLOOKUP(B1162,'[1]model_S-フレーム'!$F$5:$R$7000,13,1),"")</f>
        <v>E389460_01</v>
      </c>
      <c r="BL1162" s="7">
        <f>IFERROR(VLOOKUP(B1162,'[1]model_S-フレーム'!$F$5:$V$7000,17,1),"")</f>
        <v>0</v>
      </c>
      <c r="BM1162" t="str" cm="1">
        <f t="array" ref="BM1162">_xlfn.IFS(LEFT(G1162,1)="L","外注品",LEFT(G1162,1)="W","内製品",G1162="","購買品")</f>
        <v>内製品</v>
      </c>
    </row>
    <row r="1163" spans="1:65">
      <c r="A1163" t="str">
        <f t="shared" si="183"/>
        <v>WG01</v>
      </c>
      <c r="B1163" t="s">
        <v>1313</v>
      </c>
      <c r="C1163" t="s">
        <v>1528</v>
      </c>
      <c r="D1163" s="7"/>
      <c r="E1163" s="7"/>
      <c r="G1163" t="s">
        <v>1939</v>
      </c>
      <c r="H1163" t="str" cm="1">
        <f t="array" ref="H1163">IFERROR(_xlfn.IFS(B1163="","",AND(B1163="",G1163=""),"",G1163="","記載要"),"")</f>
        <v/>
      </c>
      <c r="K1163" t="str">
        <f t="shared" si="184"/>
        <v>11WP01008723</v>
      </c>
      <c r="L1163" s="3" t="str">
        <f t="shared" si="185"/>
        <v>2001/01/01</v>
      </c>
      <c r="M1163" s="3" t="str">
        <f t="shared" si="186"/>
        <v>2199/12/31</v>
      </c>
      <c r="N1163" t="str">
        <f t="shared" si="187"/>
        <v>11WP01008723</v>
      </c>
      <c r="O1163">
        <v>15</v>
      </c>
      <c r="Q1163" t="str" cm="1">
        <f t="array" ref="Q1163">_xlfn.IFS(AND(C1163="",G1163=""),"",LEFT(G1163,1)="L","記載要",LEFT(G1163,1)="W","",AND(C1163,G1163=""),"記載要")</f>
        <v/>
      </c>
      <c r="R1163" s="21" t="str">
        <f t="shared" si="192"/>
        <v/>
      </c>
      <c r="S1163" s="21"/>
      <c r="Z1163" s="8"/>
      <c r="AA1163">
        <v>1</v>
      </c>
      <c r="AB1163">
        <f t="shared" si="188"/>
        <v>0</v>
      </c>
      <c r="AC1163">
        <v>1</v>
      </c>
      <c r="AF1163">
        <v>1</v>
      </c>
      <c r="AG1163" s="8"/>
      <c r="AH1163" s="8"/>
      <c r="AK1163" cm="1">
        <f t="array" ref="AK1163">_xlfn.IFS(B1163="","",LEFT(G1163,1)="L",1,LEFT(G1163,1)="W",1,AND(LEFT(B1163,1)="H",G1163=""),0)</f>
        <v>1</v>
      </c>
      <c r="AS1163" t="str">
        <f t="shared" si="189"/>
        <v/>
      </c>
      <c r="AT1163" t="s">
        <v>115</v>
      </c>
      <c r="AU1163" t="str">
        <f t="shared" si="190"/>
        <v>0</v>
      </c>
      <c r="BD1163" t="str">
        <f t="shared" si="191"/>
        <v>0</v>
      </c>
      <c r="BK1163" t="str">
        <f>IFERROR(VLOOKUP(B1163,'[1]model_S-フレーム'!$F$5:$R$7000,13,1),"")</f>
        <v>E389460_01</v>
      </c>
      <c r="BL1163" s="7">
        <f>IFERROR(VLOOKUP(B1163,'[1]model_S-フレーム'!$F$5:$V$7000,17,1),"")</f>
        <v>0</v>
      </c>
      <c r="BM1163" t="str" cm="1">
        <f t="array" ref="BM1163">_xlfn.IFS(LEFT(G1163,1)="L","外注品",LEFT(G1163,1)="W","内製品",G1163="","購買品")</f>
        <v>内製品</v>
      </c>
    </row>
    <row r="1164" spans="1:65">
      <c r="A1164" t="str">
        <f t="shared" si="183"/>
        <v>WG01</v>
      </c>
      <c r="B1164" t="s">
        <v>1314</v>
      </c>
      <c r="C1164" t="s">
        <v>1528</v>
      </c>
      <c r="D1164" s="7"/>
      <c r="E1164" s="7"/>
      <c r="G1164" t="s">
        <v>1939</v>
      </c>
      <c r="H1164" t="str" cm="1">
        <f t="array" ref="H1164">IFERROR(_xlfn.IFS(B1164="","",AND(B1164="",G1164=""),"",G1164="","記載要"),"")</f>
        <v/>
      </c>
      <c r="K1164" t="str">
        <f t="shared" si="184"/>
        <v>11WP01008724</v>
      </c>
      <c r="L1164" s="3" t="str">
        <f t="shared" si="185"/>
        <v>2001/01/01</v>
      </c>
      <c r="M1164" s="3" t="str">
        <f t="shared" si="186"/>
        <v>2199/12/31</v>
      </c>
      <c r="N1164" t="str">
        <f t="shared" si="187"/>
        <v>11WP01008724</v>
      </c>
      <c r="O1164">
        <v>15</v>
      </c>
      <c r="Q1164" t="str" cm="1">
        <f t="array" ref="Q1164">_xlfn.IFS(AND(C1164="",G1164=""),"",LEFT(G1164,1)="L","記載要",LEFT(G1164,1)="W","",AND(C1164,G1164=""),"記載要")</f>
        <v/>
      </c>
      <c r="R1164" s="21" t="str">
        <f t="shared" si="192"/>
        <v/>
      </c>
      <c r="S1164" s="21"/>
      <c r="Z1164" s="8"/>
      <c r="AA1164">
        <v>1</v>
      </c>
      <c r="AB1164">
        <f t="shared" si="188"/>
        <v>0</v>
      </c>
      <c r="AC1164">
        <v>1</v>
      </c>
      <c r="AF1164">
        <v>1</v>
      </c>
      <c r="AG1164" s="8"/>
      <c r="AH1164" s="8"/>
      <c r="AK1164" cm="1">
        <f t="array" ref="AK1164">_xlfn.IFS(B1164="","",LEFT(G1164,1)="L",1,LEFT(G1164,1)="W",1,AND(LEFT(B1164,1)="H",G1164=""),0)</f>
        <v>1</v>
      </c>
      <c r="AS1164" t="str">
        <f t="shared" si="189"/>
        <v/>
      </c>
      <c r="AT1164" t="s">
        <v>115</v>
      </c>
      <c r="AU1164" t="str">
        <f t="shared" si="190"/>
        <v>0</v>
      </c>
      <c r="BD1164" t="str">
        <f t="shared" si="191"/>
        <v>0</v>
      </c>
      <c r="BK1164" t="str">
        <f>IFERROR(VLOOKUP(B1164,'[1]model_S-フレーム'!$F$5:$R$7000,13,1),"")</f>
        <v>E389460_01</v>
      </c>
      <c r="BL1164" s="7">
        <f>IFERROR(VLOOKUP(B1164,'[1]model_S-フレーム'!$F$5:$V$7000,17,1),"")</f>
        <v>0</v>
      </c>
      <c r="BM1164" t="str" cm="1">
        <f t="array" ref="BM1164">_xlfn.IFS(LEFT(G1164,1)="L","外注品",LEFT(G1164,1)="W","内製品",G1164="","購買品")</f>
        <v>内製品</v>
      </c>
    </row>
    <row r="1165" spans="1:65">
      <c r="A1165" t="str">
        <f t="shared" si="183"/>
        <v>WG01</v>
      </c>
      <c r="B1165" t="s">
        <v>1315</v>
      </c>
      <c r="C1165" t="s">
        <v>1528</v>
      </c>
      <c r="D1165" s="7"/>
      <c r="E1165" s="7"/>
      <c r="G1165" t="s">
        <v>1939</v>
      </c>
      <c r="H1165" t="str" cm="1">
        <f t="array" ref="H1165">IFERROR(_xlfn.IFS(B1165="","",AND(B1165="",G1165=""),"",G1165="","記載要"),"")</f>
        <v/>
      </c>
      <c r="K1165" t="str">
        <f t="shared" si="184"/>
        <v>11WP01008725</v>
      </c>
      <c r="L1165" s="3" t="str">
        <f t="shared" si="185"/>
        <v>2001/01/01</v>
      </c>
      <c r="M1165" s="3" t="str">
        <f t="shared" si="186"/>
        <v>2199/12/31</v>
      </c>
      <c r="N1165" t="str">
        <f t="shared" si="187"/>
        <v>11WP01008725</v>
      </c>
      <c r="O1165">
        <v>15</v>
      </c>
      <c r="Q1165" t="str" cm="1">
        <f t="array" ref="Q1165">_xlfn.IFS(AND(C1165="",G1165=""),"",LEFT(G1165,1)="L","記載要",LEFT(G1165,1)="W","",AND(C1165,G1165=""),"記載要")</f>
        <v/>
      </c>
      <c r="R1165" s="21" t="str">
        <f t="shared" si="192"/>
        <v/>
      </c>
      <c r="S1165" s="21"/>
      <c r="Z1165" s="8"/>
      <c r="AA1165">
        <v>1</v>
      </c>
      <c r="AB1165">
        <f t="shared" si="188"/>
        <v>0</v>
      </c>
      <c r="AC1165">
        <v>1</v>
      </c>
      <c r="AF1165">
        <v>1</v>
      </c>
      <c r="AG1165" s="8"/>
      <c r="AH1165" s="8"/>
      <c r="AK1165" cm="1">
        <f t="array" ref="AK1165">_xlfn.IFS(B1165="","",LEFT(G1165,1)="L",1,LEFT(G1165,1)="W",1,AND(LEFT(B1165,1)="H",G1165=""),0)</f>
        <v>1</v>
      </c>
      <c r="AS1165" t="str">
        <f t="shared" si="189"/>
        <v/>
      </c>
      <c r="AT1165" t="s">
        <v>115</v>
      </c>
      <c r="AU1165" t="str">
        <f t="shared" si="190"/>
        <v>0</v>
      </c>
      <c r="BD1165" t="str">
        <f t="shared" si="191"/>
        <v>0</v>
      </c>
      <c r="BK1165" t="str">
        <f>IFERROR(VLOOKUP(B1165,'[1]model_S-フレーム'!$F$5:$R$7000,13,1),"")</f>
        <v>E389460_01</v>
      </c>
      <c r="BL1165" s="7">
        <f>IFERROR(VLOOKUP(B1165,'[1]model_S-フレーム'!$F$5:$V$7000,17,1),"")</f>
        <v>0</v>
      </c>
      <c r="BM1165" t="str" cm="1">
        <f t="array" ref="BM1165">_xlfn.IFS(LEFT(G1165,1)="L","外注品",LEFT(G1165,1)="W","内製品",G1165="","購買品")</f>
        <v>内製品</v>
      </c>
    </row>
    <row r="1166" spans="1:65">
      <c r="A1166" t="str">
        <f t="shared" si="183"/>
        <v>WG01</v>
      </c>
      <c r="B1166" t="s">
        <v>1316</v>
      </c>
      <c r="C1166" t="s">
        <v>1528</v>
      </c>
      <c r="D1166" s="7"/>
      <c r="E1166" s="7"/>
      <c r="G1166" t="s">
        <v>1939</v>
      </c>
      <c r="H1166" t="str" cm="1">
        <f t="array" ref="H1166">IFERROR(_xlfn.IFS(B1166="","",AND(B1166="",G1166=""),"",G1166="","記載要"),"")</f>
        <v/>
      </c>
      <c r="K1166" t="str">
        <f t="shared" si="184"/>
        <v>11WP01008726</v>
      </c>
      <c r="L1166" s="3" t="str">
        <f t="shared" si="185"/>
        <v>2001/01/01</v>
      </c>
      <c r="M1166" s="3" t="str">
        <f t="shared" si="186"/>
        <v>2199/12/31</v>
      </c>
      <c r="N1166" t="str">
        <f t="shared" si="187"/>
        <v>11WP01008726</v>
      </c>
      <c r="O1166">
        <v>15</v>
      </c>
      <c r="Q1166" t="str" cm="1">
        <f t="array" ref="Q1166">_xlfn.IFS(AND(C1166="",G1166=""),"",LEFT(G1166,1)="L","記載要",LEFT(G1166,1)="W","",AND(C1166,G1166=""),"記載要")</f>
        <v/>
      </c>
      <c r="R1166" s="21" t="str">
        <f t="shared" si="192"/>
        <v/>
      </c>
      <c r="S1166" s="21"/>
      <c r="Z1166" s="8"/>
      <c r="AA1166">
        <v>1</v>
      </c>
      <c r="AB1166">
        <f t="shared" si="188"/>
        <v>0</v>
      </c>
      <c r="AC1166">
        <v>1</v>
      </c>
      <c r="AF1166">
        <v>1</v>
      </c>
      <c r="AG1166" s="8"/>
      <c r="AH1166" s="8"/>
      <c r="AK1166" cm="1">
        <f t="array" ref="AK1166">_xlfn.IFS(B1166="","",LEFT(G1166,1)="L",1,LEFT(G1166,1)="W",1,AND(LEFT(B1166,1)="H",G1166=""),0)</f>
        <v>1</v>
      </c>
      <c r="AS1166" t="str">
        <f t="shared" si="189"/>
        <v/>
      </c>
      <c r="AT1166" t="s">
        <v>115</v>
      </c>
      <c r="AU1166" t="str">
        <f t="shared" si="190"/>
        <v>0</v>
      </c>
      <c r="BD1166" t="str">
        <f t="shared" si="191"/>
        <v>0</v>
      </c>
      <c r="BK1166" t="str">
        <f>IFERROR(VLOOKUP(B1166,'[1]model_S-フレーム'!$F$5:$R$7000,13,1),"")</f>
        <v>E389460_01</v>
      </c>
      <c r="BL1166" s="7">
        <f>IFERROR(VLOOKUP(B1166,'[1]model_S-フレーム'!$F$5:$V$7000,17,1),"")</f>
        <v>0</v>
      </c>
      <c r="BM1166" t="str" cm="1">
        <f t="array" ref="BM1166">_xlfn.IFS(LEFT(G1166,1)="L","外注品",LEFT(G1166,1)="W","内製品",G1166="","購買品")</f>
        <v>内製品</v>
      </c>
    </row>
    <row r="1167" spans="1:65">
      <c r="A1167" t="str">
        <f t="shared" si="183"/>
        <v>WG01</v>
      </c>
      <c r="B1167" t="s">
        <v>1317</v>
      </c>
      <c r="C1167" t="s">
        <v>1528</v>
      </c>
      <c r="D1167" s="7"/>
      <c r="E1167" s="7"/>
      <c r="G1167" t="s">
        <v>1939</v>
      </c>
      <c r="H1167" t="str" cm="1">
        <f t="array" ref="H1167">IFERROR(_xlfn.IFS(B1167="","",AND(B1167="",G1167=""),"",G1167="","記載要"),"")</f>
        <v/>
      </c>
      <c r="K1167" t="str">
        <f t="shared" si="184"/>
        <v>11WP01008727</v>
      </c>
      <c r="L1167" s="3" t="str">
        <f t="shared" si="185"/>
        <v>2001/01/01</v>
      </c>
      <c r="M1167" s="3" t="str">
        <f t="shared" si="186"/>
        <v>2199/12/31</v>
      </c>
      <c r="N1167" t="str">
        <f t="shared" si="187"/>
        <v>11WP01008727</v>
      </c>
      <c r="O1167">
        <v>15</v>
      </c>
      <c r="Q1167" t="str" cm="1">
        <f t="array" ref="Q1167">_xlfn.IFS(AND(C1167="",G1167=""),"",LEFT(G1167,1)="L","記載要",LEFT(G1167,1)="W","",AND(C1167,G1167=""),"記載要")</f>
        <v/>
      </c>
      <c r="R1167" s="21" t="str">
        <f t="shared" si="192"/>
        <v/>
      </c>
      <c r="S1167" s="21"/>
      <c r="Z1167" s="8"/>
      <c r="AA1167">
        <v>1</v>
      </c>
      <c r="AB1167">
        <f t="shared" si="188"/>
        <v>0</v>
      </c>
      <c r="AC1167">
        <v>1</v>
      </c>
      <c r="AF1167">
        <v>1</v>
      </c>
      <c r="AG1167" s="8"/>
      <c r="AH1167" s="8"/>
      <c r="AK1167" cm="1">
        <f t="array" ref="AK1167">_xlfn.IFS(B1167="","",LEFT(G1167,1)="L",1,LEFT(G1167,1)="W",1,AND(LEFT(B1167,1)="H",G1167=""),0)</f>
        <v>1</v>
      </c>
      <c r="AS1167" t="str">
        <f t="shared" si="189"/>
        <v/>
      </c>
      <c r="AT1167" t="s">
        <v>115</v>
      </c>
      <c r="AU1167" t="str">
        <f t="shared" si="190"/>
        <v>0</v>
      </c>
      <c r="BD1167" t="str">
        <f t="shared" si="191"/>
        <v>0</v>
      </c>
      <c r="BK1167" t="str">
        <f>IFERROR(VLOOKUP(B1167,'[1]model_S-フレーム'!$F$5:$R$7000,13,1),"")</f>
        <v>E389460_01</v>
      </c>
      <c r="BL1167" s="7">
        <f>IFERROR(VLOOKUP(B1167,'[1]model_S-フレーム'!$F$5:$V$7000,17,1),"")</f>
        <v>0</v>
      </c>
      <c r="BM1167" t="str" cm="1">
        <f t="array" ref="BM1167">_xlfn.IFS(LEFT(G1167,1)="L","外注品",LEFT(G1167,1)="W","内製品",G1167="","購買品")</f>
        <v>内製品</v>
      </c>
    </row>
    <row r="1168" spans="1:65">
      <c r="A1168" t="str">
        <f t="shared" si="183"/>
        <v>WG01</v>
      </c>
      <c r="B1168" t="s">
        <v>1318</v>
      </c>
      <c r="C1168" t="s">
        <v>1528</v>
      </c>
      <c r="D1168" s="7"/>
      <c r="E1168" s="7"/>
      <c r="G1168" t="s">
        <v>1939</v>
      </c>
      <c r="H1168" t="str" cm="1">
        <f t="array" ref="H1168">IFERROR(_xlfn.IFS(B1168="","",AND(B1168="",G1168=""),"",G1168="","記載要"),"")</f>
        <v/>
      </c>
      <c r="K1168" t="str">
        <f t="shared" si="184"/>
        <v>11WP01008728</v>
      </c>
      <c r="L1168" s="3" t="str">
        <f t="shared" si="185"/>
        <v>2001/01/01</v>
      </c>
      <c r="M1168" s="3" t="str">
        <f t="shared" si="186"/>
        <v>2199/12/31</v>
      </c>
      <c r="N1168" t="str">
        <f t="shared" si="187"/>
        <v>11WP01008728</v>
      </c>
      <c r="O1168">
        <v>15</v>
      </c>
      <c r="Q1168" t="str" cm="1">
        <f t="array" ref="Q1168">_xlfn.IFS(AND(C1168="",G1168=""),"",LEFT(G1168,1)="L","記載要",LEFT(G1168,1)="W","",AND(C1168,G1168=""),"記載要")</f>
        <v/>
      </c>
      <c r="R1168" s="21" t="str">
        <f t="shared" si="192"/>
        <v/>
      </c>
      <c r="S1168" s="21"/>
      <c r="Z1168" s="8"/>
      <c r="AA1168">
        <v>1</v>
      </c>
      <c r="AB1168">
        <f t="shared" si="188"/>
        <v>0</v>
      </c>
      <c r="AC1168">
        <v>1</v>
      </c>
      <c r="AF1168">
        <v>1</v>
      </c>
      <c r="AG1168" s="8"/>
      <c r="AH1168" s="8"/>
      <c r="AK1168" cm="1">
        <f t="array" ref="AK1168">_xlfn.IFS(B1168="","",LEFT(G1168,1)="L",1,LEFT(G1168,1)="W",1,AND(LEFT(B1168,1)="H",G1168=""),0)</f>
        <v>1</v>
      </c>
      <c r="AS1168" t="str">
        <f t="shared" si="189"/>
        <v/>
      </c>
      <c r="AT1168" t="s">
        <v>115</v>
      </c>
      <c r="AU1168" t="str">
        <f t="shared" si="190"/>
        <v>0</v>
      </c>
      <c r="BD1168" t="str">
        <f t="shared" si="191"/>
        <v>0</v>
      </c>
      <c r="BK1168" t="str">
        <f>IFERROR(VLOOKUP(B1168,'[1]model_S-フレーム'!$F$5:$R$7000,13,1),"")</f>
        <v>E389460_01</v>
      </c>
      <c r="BL1168" s="7">
        <f>IFERROR(VLOOKUP(B1168,'[1]model_S-フレーム'!$F$5:$V$7000,17,1),"")</f>
        <v>0</v>
      </c>
      <c r="BM1168" t="str" cm="1">
        <f t="array" ref="BM1168">_xlfn.IFS(LEFT(G1168,1)="L","外注品",LEFT(G1168,1)="W","内製品",G1168="","購買品")</f>
        <v>内製品</v>
      </c>
    </row>
    <row r="1169" spans="1:65">
      <c r="A1169" t="str">
        <f t="shared" si="183"/>
        <v>WG01</v>
      </c>
      <c r="B1169" t="s">
        <v>1319</v>
      </c>
      <c r="C1169" t="s">
        <v>1528</v>
      </c>
      <c r="D1169" s="7"/>
      <c r="E1169" s="7"/>
      <c r="G1169" t="s">
        <v>1939</v>
      </c>
      <c r="H1169" t="str" cm="1">
        <f t="array" ref="H1169">IFERROR(_xlfn.IFS(B1169="","",AND(B1169="",G1169=""),"",G1169="","記載要"),"")</f>
        <v/>
      </c>
      <c r="K1169" t="str">
        <f t="shared" si="184"/>
        <v>11WP01008729</v>
      </c>
      <c r="L1169" s="3" t="str">
        <f t="shared" si="185"/>
        <v>2001/01/01</v>
      </c>
      <c r="M1169" s="3" t="str">
        <f t="shared" si="186"/>
        <v>2199/12/31</v>
      </c>
      <c r="N1169" t="str">
        <f t="shared" si="187"/>
        <v>11WP01008729</v>
      </c>
      <c r="O1169">
        <v>15</v>
      </c>
      <c r="Q1169" t="str" cm="1">
        <f t="array" ref="Q1169">_xlfn.IFS(AND(C1169="",G1169=""),"",LEFT(G1169,1)="L","記載要",LEFT(G1169,1)="W","",AND(C1169,G1169=""),"記載要")</f>
        <v/>
      </c>
      <c r="R1169" s="21" t="str">
        <f t="shared" si="192"/>
        <v/>
      </c>
      <c r="S1169" s="21"/>
      <c r="Z1169" s="8"/>
      <c r="AA1169">
        <v>1</v>
      </c>
      <c r="AB1169">
        <f t="shared" si="188"/>
        <v>0</v>
      </c>
      <c r="AC1169">
        <v>1</v>
      </c>
      <c r="AF1169">
        <v>1</v>
      </c>
      <c r="AG1169" s="8"/>
      <c r="AH1169" s="8"/>
      <c r="AK1169" cm="1">
        <f t="array" ref="AK1169">_xlfn.IFS(B1169="","",LEFT(G1169,1)="L",1,LEFT(G1169,1)="W",1,AND(LEFT(B1169,1)="H",G1169=""),0)</f>
        <v>1</v>
      </c>
      <c r="AS1169" t="str">
        <f t="shared" si="189"/>
        <v/>
      </c>
      <c r="AT1169" t="s">
        <v>115</v>
      </c>
      <c r="AU1169" t="str">
        <f t="shared" si="190"/>
        <v>0</v>
      </c>
      <c r="BD1169" t="str">
        <f t="shared" si="191"/>
        <v>0</v>
      </c>
      <c r="BK1169" t="str">
        <f>IFERROR(VLOOKUP(B1169,'[1]model_S-フレーム'!$F$5:$R$7000,13,1),"")</f>
        <v>E389460_01</v>
      </c>
      <c r="BL1169" s="7">
        <f>IFERROR(VLOOKUP(B1169,'[1]model_S-フレーム'!$F$5:$V$7000,17,1),"")</f>
        <v>0</v>
      </c>
      <c r="BM1169" t="str" cm="1">
        <f t="array" ref="BM1169">_xlfn.IFS(LEFT(G1169,1)="L","外注品",LEFT(G1169,1)="W","内製品",G1169="","購買品")</f>
        <v>内製品</v>
      </c>
    </row>
    <row r="1170" spans="1:65">
      <c r="A1170" t="str">
        <f t="shared" si="183"/>
        <v>WG01</v>
      </c>
      <c r="B1170" t="s">
        <v>1320</v>
      </c>
      <c r="C1170" t="s">
        <v>1528</v>
      </c>
      <c r="D1170" s="7"/>
      <c r="E1170" s="7"/>
      <c r="G1170" t="s">
        <v>1939</v>
      </c>
      <c r="H1170" t="str" cm="1">
        <f t="array" ref="H1170">IFERROR(_xlfn.IFS(B1170="","",AND(B1170="",G1170=""),"",G1170="","記載要"),"")</f>
        <v/>
      </c>
      <c r="K1170" t="str">
        <f t="shared" si="184"/>
        <v>11WP01008730</v>
      </c>
      <c r="L1170" s="3" t="str">
        <f t="shared" si="185"/>
        <v>2001/01/01</v>
      </c>
      <c r="M1170" s="3" t="str">
        <f t="shared" si="186"/>
        <v>2199/12/31</v>
      </c>
      <c r="N1170" t="str">
        <f t="shared" si="187"/>
        <v>11WP01008730</v>
      </c>
      <c r="O1170">
        <v>15</v>
      </c>
      <c r="Q1170" t="str" cm="1">
        <f t="array" ref="Q1170">_xlfn.IFS(AND(C1170="",G1170=""),"",LEFT(G1170,1)="L","記載要",LEFT(G1170,1)="W","",AND(C1170,G1170=""),"記載要")</f>
        <v/>
      </c>
      <c r="R1170" s="21" t="str">
        <f t="shared" si="192"/>
        <v/>
      </c>
      <c r="S1170" s="21"/>
      <c r="Z1170" s="8"/>
      <c r="AA1170">
        <v>1</v>
      </c>
      <c r="AB1170">
        <f t="shared" si="188"/>
        <v>0</v>
      </c>
      <c r="AC1170">
        <v>1</v>
      </c>
      <c r="AF1170">
        <v>1</v>
      </c>
      <c r="AG1170" s="8"/>
      <c r="AH1170" s="8"/>
      <c r="AK1170" cm="1">
        <f t="array" ref="AK1170">_xlfn.IFS(B1170="","",LEFT(G1170,1)="L",1,LEFT(G1170,1)="W",1,AND(LEFT(B1170,1)="H",G1170=""),0)</f>
        <v>1</v>
      </c>
      <c r="AS1170" t="str">
        <f t="shared" si="189"/>
        <v/>
      </c>
      <c r="AT1170" t="s">
        <v>115</v>
      </c>
      <c r="AU1170" t="str">
        <f t="shared" si="190"/>
        <v>0</v>
      </c>
      <c r="BD1170" t="str">
        <f t="shared" si="191"/>
        <v>0</v>
      </c>
      <c r="BK1170" t="str">
        <f>IFERROR(VLOOKUP(B1170,'[1]model_S-フレーム'!$F$5:$R$7000,13,1),"")</f>
        <v>E389460_01</v>
      </c>
      <c r="BL1170" s="7">
        <f>IFERROR(VLOOKUP(B1170,'[1]model_S-フレーム'!$F$5:$V$7000,17,1),"")</f>
        <v>0</v>
      </c>
      <c r="BM1170" t="str" cm="1">
        <f t="array" ref="BM1170">_xlfn.IFS(LEFT(G1170,1)="L","外注品",LEFT(G1170,1)="W","内製品",G1170="","購買品")</f>
        <v>内製品</v>
      </c>
    </row>
    <row r="1171" spans="1:65">
      <c r="A1171" t="str">
        <f t="shared" si="183"/>
        <v>WG01</v>
      </c>
      <c r="B1171" t="s">
        <v>1321</v>
      </c>
      <c r="C1171" t="s">
        <v>1528</v>
      </c>
      <c r="D1171" s="7"/>
      <c r="E1171" s="7"/>
      <c r="G1171" t="s">
        <v>1939</v>
      </c>
      <c r="H1171" t="str" cm="1">
        <f t="array" ref="H1171">IFERROR(_xlfn.IFS(B1171="","",AND(B1171="",G1171=""),"",G1171="","記載要"),"")</f>
        <v/>
      </c>
      <c r="K1171" t="str">
        <f t="shared" si="184"/>
        <v>11WP01008731</v>
      </c>
      <c r="L1171" s="3" t="str">
        <f t="shared" si="185"/>
        <v>2001/01/01</v>
      </c>
      <c r="M1171" s="3" t="str">
        <f t="shared" si="186"/>
        <v>2199/12/31</v>
      </c>
      <c r="N1171" t="str">
        <f t="shared" si="187"/>
        <v>11WP01008731</v>
      </c>
      <c r="O1171">
        <v>15</v>
      </c>
      <c r="Q1171" t="str" cm="1">
        <f t="array" ref="Q1171">_xlfn.IFS(AND(C1171="",G1171=""),"",LEFT(G1171,1)="L","記載要",LEFT(G1171,1)="W","",AND(C1171,G1171=""),"記載要")</f>
        <v/>
      </c>
      <c r="R1171" s="21" t="str">
        <f t="shared" si="192"/>
        <v/>
      </c>
      <c r="S1171" s="21"/>
      <c r="Z1171" s="8"/>
      <c r="AA1171">
        <v>1</v>
      </c>
      <c r="AB1171">
        <f t="shared" si="188"/>
        <v>0</v>
      </c>
      <c r="AC1171">
        <v>1</v>
      </c>
      <c r="AF1171">
        <v>1</v>
      </c>
      <c r="AG1171" s="8"/>
      <c r="AH1171" s="8"/>
      <c r="AK1171" cm="1">
        <f t="array" ref="AK1171">_xlfn.IFS(B1171="","",LEFT(G1171,1)="L",1,LEFT(G1171,1)="W",1,AND(LEFT(B1171,1)="H",G1171=""),0)</f>
        <v>1</v>
      </c>
      <c r="AS1171" t="str">
        <f t="shared" si="189"/>
        <v/>
      </c>
      <c r="AT1171" t="s">
        <v>115</v>
      </c>
      <c r="AU1171" t="str">
        <f t="shared" si="190"/>
        <v>0</v>
      </c>
      <c r="BD1171" t="str">
        <f t="shared" si="191"/>
        <v>0</v>
      </c>
      <c r="BK1171" t="str">
        <f>IFERROR(VLOOKUP(B1171,'[1]model_S-フレーム'!$F$5:$R$7000,13,1),"")</f>
        <v>E389460_01</v>
      </c>
      <c r="BL1171" s="7">
        <f>IFERROR(VLOOKUP(B1171,'[1]model_S-フレーム'!$F$5:$V$7000,17,1),"")</f>
        <v>0</v>
      </c>
      <c r="BM1171" t="str" cm="1">
        <f t="array" ref="BM1171">_xlfn.IFS(LEFT(G1171,1)="L","外注品",LEFT(G1171,1)="W","内製品",G1171="","購買品")</f>
        <v>内製品</v>
      </c>
    </row>
    <row r="1172" spans="1:65">
      <c r="A1172" t="str">
        <f t="shared" si="183"/>
        <v>WG01</v>
      </c>
      <c r="B1172" t="s">
        <v>1322</v>
      </c>
      <c r="C1172" t="s">
        <v>1528</v>
      </c>
      <c r="D1172" s="7"/>
      <c r="E1172" s="7"/>
      <c r="G1172" t="s">
        <v>1939</v>
      </c>
      <c r="H1172" t="str" cm="1">
        <f t="array" ref="H1172">IFERROR(_xlfn.IFS(B1172="","",AND(B1172="",G1172=""),"",G1172="","記載要"),"")</f>
        <v/>
      </c>
      <c r="K1172" t="str">
        <f t="shared" si="184"/>
        <v>11WP01008732</v>
      </c>
      <c r="L1172" s="3" t="str">
        <f t="shared" si="185"/>
        <v>2001/01/01</v>
      </c>
      <c r="M1172" s="3" t="str">
        <f t="shared" si="186"/>
        <v>2199/12/31</v>
      </c>
      <c r="N1172" t="str">
        <f t="shared" si="187"/>
        <v>11WP01008732</v>
      </c>
      <c r="O1172">
        <v>15</v>
      </c>
      <c r="Q1172" t="str" cm="1">
        <f t="array" ref="Q1172">_xlfn.IFS(AND(C1172="",G1172=""),"",LEFT(G1172,1)="L","記載要",LEFT(G1172,1)="W","",AND(C1172,G1172=""),"記載要")</f>
        <v/>
      </c>
      <c r="R1172" s="21" t="str">
        <f t="shared" si="192"/>
        <v/>
      </c>
      <c r="S1172" s="21"/>
      <c r="Z1172" s="8"/>
      <c r="AA1172">
        <v>1</v>
      </c>
      <c r="AB1172">
        <f t="shared" si="188"/>
        <v>0</v>
      </c>
      <c r="AC1172">
        <v>1</v>
      </c>
      <c r="AF1172">
        <v>1</v>
      </c>
      <c r="AG1172" s="8"/>
      <c r="AH1172" s="8"/>
      <c r="AK1172" cm="1">
        <f t="array" ref="AK1172">_xlfn.IFS(B1172="","",LEFT(G1172,1)="L",1,LEFT(G1172,1)="W",1,AND(LEFT(B1172,1)="H",G1172=""),0)</f>
        <v>1</v>
      </c>
      <c r="AS1172" t="str">
        <f t="shared" si="189"/>
        <v/>
      </c>
      <c r="AT1172" t="s">
        <v>115</v>
      </c>
      <c r="AU1172" t="str">
        <f t="shared" si="190"/>
        <v>0</v>
      </c>
      <c r="BD1172" t="str">
        <f t="shared" si="191"/>
        <v>0</v>
      </c>
      <c r="BK1172" t="str">
        <f>IFERROR(VLOOKUP(B1172,'[1]model_S-フレーム'!$F$5:$R$7000,13,1),"")</f>
        <v>E389460_01</v>
      </c>
      <c r="BL1172" s="7">
        <f>IFERROR(VLOOKUP(B1172,'[1]model_S-フレーム'!$F$5:$V$7000,17,1),"")</f>
        <v>0</v>
      </c>
      <c r="BM1172" t="str" cm="1">
        <f t="array" ref="BM1172">_xlfn.IFS(LEFT(G1172,1)="L","外注品",LEFT(G1172,1)="W","内製品",G1172="","購買品")</f>
        <v>内製品</v>
      </c>
    </row>
    <row r="1173" spans="1:65">
      <c r="A1173" t="str">
        <f t="shared" si="183"/>
        <v>WG01</v>
      </c>
      <c r="B1173" t="s">
        <v>1323</v>
      </c>
      <c r="C1173" t="s">
        <v>1528</v>
      </c>
      <c r="D1173" s="7"/>
      <c r="E1173" s="7"/>
      <c r="G1173" t="s">
        <v>1939</v>
      </c>
      <c r="H1173" t="str" cm="1">
        <f t="array" ref="H1173">IFERROR(_xlfn.IFS(B1173="","",AND(B1173="",G1173=""),"",G1173="","記載要"),"")</f>
        <v/>
      </c>
      <c r="K1173" t="str">
        <f t="shared" si="184"/>
        <v>11WP01008733</v>
      </c>
      <c r="L1173" s="3" t="str">
        <f t="shared" si="185"/>
        <v>2001/01/01</v>
      </c>
      <c r="M1173" s="3" t="str">
        <f t="shared" si="186"/>
        <v>2199/12/31</v>
      </c>
      <c r="N1173" t="str">
        <f t="shared" si="187"/>
        <v>11WP01008733</v>
      </c>
      <c r="O1173">
        <v>15</v>
      </c>
      <c r="Q1173" t="str" cm="1">
        <f t="array" ref="Q1173">_xlfn.IFS(AND(C1173="",G1173=""),"",LEFT(G1173,1)="L","記載要",LEFT(G1173,1)="W","",AND(C1173,G1173=""),"記載要")</f>
        <v/>
      </c>
      <c r="R1173" s="21" t="str">
        <f t="shared" si="192"/>
        <v/>
      </c>
      <c r="S1173" s="21"/>
      <c r="Z1173" s="8"/>
      <c r="AA1173">
        <v>1</v>
      </c>
      <c r="AB1173">
        <f t="shared" si="188"/>
        <v>0</v>
      </c>
      <c r="AC1173">
        <v>1</v>
      </c>
      <c r="AF1173">
        <v>1</v>
      </c>
      <c r="AG1173" s="8"/>
      <c r="AH1173" s="8"/>
      <c r="AK1173" cm="1">
        <f t="array" ref="AK1173">_xlfn.IFS(B1173="","",LEFT(G1173,1)="L",1,LEFT(G1173,1)="W",1,AND(LEFT(B1173,1)="H",G1173=""),0)</f>
        <v>1</v>
      </c>
      <c r="AS1173" t="str">
        <f t="shared" si="189"/>
        <v/>
      </c>
      <c r="AT1173" t="s">
        <v>115</v>
      </c>
      <c r="AU1173" t="str">
        <f t="shared" si="190"/>
        <v>0</v>
      </c>
      <c r="BD1173" t="str">
        <f t="shared" si="191"/>
        <v>0</v>
      </c>
      <c r="BK1173" t="str">
        <f>IFERROR(VLOOKUP(B1173,'[1]model_S-フレーム'!$F$5:$R$7000,13,1),"")</f>
        <v>E389460_01</v>
      </c>
      <c r="BL1173" s="7">
        <f>IFERROR(VLOOKUP(B1173,'[1]model_S-フレーム'!$F$5:$V$7000,17,1),"")</f>
        <v>0</v>
      </c>
      <c r="BM1173" t="str" cm="1">
        <f t="array" ref="BM1173">_xlfn.IFS(LEFT(G1173,1)="L","外注品",LEFT(G1173,1)="W","内製品",G1173="","購買品")</f>
        <v>内製品</v>
      </c>
    </row>
    <row r="1174" spans="1:65">
      <c r="A1174" t="str">
        <f t="shared" si="183"/>
        <v>WG01</v>
      </c>
      <c r="B1174" t="s">
        <v>1324</v>
      </c>
      <c r="C1174" t="s">
        <v>1528</v>
      </c>
      <c r="D1174" s="7"/>
      <c r="E1174" s="7"/>
      <c r="G1174" t="s">
        <v>1939</v>
      </c>
      <c r="H1174" t="str" cm="1">
        <f t="array" ref="H1174">IFERROR(_xlfn.IFS(B1174="","",AND(B1174="",G1174=""),"",G1174="","記載要"),"")</f>
        <v/>
      </c>
      <c r="K1174" t="str">
        <f t="shared" si="184"/>
        <v>11WP01008734</v>
      </c>
      <c r="L1174" s="3" t="str">
        <f t="shared" si="185"/>
        <v>2001/01/01</v>
      </c>
      <c r="M1174" s="3" t="str">
        <f t="shared" si="186"/>
        <v>2199/12/31</v>
      </c>
      <c r="N1174" t="str">
        <f t="shared" si="187"/>
        <v>11WP01008734</v>
      </c>
      <c r="O1174">
        <v>15</v>
      </c>
      <c r="Q1174" t="str" cm="1">
        <f t="array" ref="Q1174">_xlfn.IFS(AND(C1174="",G1174=""),"",LEFT(G1174,1)="L","記載要",LEFT(G1174,1)="W","",AND(C1174,G1174=""),"記載要")</f>
        <v/>
      </c>
      <c r="R1174" s="21" t="str">
        <f t="shared" si="192"/>
        <v/>
      </c>
      <c r="S1174" s="21"/>
      <c r="Z1174" s="8"/>
      <c r="AA1174">
        <v>1</v>
      </c>
      <c r="AB1174">
        <f t="shared" si="188"/>
        <v>0</v>
      </c>
      <c r="AC1174">
        <v>1</v>
      </c>
      <c r="AF1174">
        <v>1</v>
      </c>
      <c r="AG1174" s="8"/>
      <c r="AH1174" s="8"/>
      <c r="AK1174" cm="1">
        <f t="array" ref="AK1174">_xlfn.IFS(B1174="","",LEFT(G1174,1)="L",1,LEFT(G1174,1)="W",1,AND(LEFT(B1174,1)="H",G1174=""),0)</f>
        <v>1</v>
      </c>
      <c r="AS1174" t="str">
        <f t="shared" si="189"/>
        <v/>
      </c>
      <c r="AT1174" t="s">
        <v>115</v>
      </c>
      <c r="AU1174" t="str">
        <f t="shared" si="190"/>
        <v>0</v>
      </c>
      <c r="BD1174" t="str">
        <f t="shared" si="191"/>
        <v>0</v>
      </c>
      <c r="BK1174" t="str">
        <f>IFERROR(VLOOKUP(B1174,'[1]model_S-フレーム'!$F$5:$R$7000,13,1),"")</f>
        <v>E389460_01</v>
      </c>
      <c r="BL1174" s="7">
        <f>IFERROR(VLOOKUP(B1174,'[1]model_S-フレーム'!$F$5:$V$7000,17,1),"")</f>
        <v>0</v>
      </c>
      <c r="BM1174" t="str" cm="1">
        <f t="array" ref="BM1174">_xlfn.IFS(LEFT(G1174,1)="L","外注品",LEFT(G1174,1)="W","内製品",G1174="","購買品")</f>
        <v>内製品</v>
      </c>
    </row>
    <row r="1175" spans="1:65">
      <c r="A1175" t="str">
        <f t="shared" si="183"/>
        <v>WG01</v>
      </c>
      <c r="B1175" t="s">
        <v>1325</v>
      </c>
      <c r="C1175" t="s">
        <v>1528</v>
      </c>
      <c r="D1175" s="7"/>
      <c r="E1175" s="7"/>
      <c r="G1175" t="s">
        <v>1939</v>
      </c>
      <c r="H1175" t="str" cm="1">
        <f t="array" ref="H1175">IFERROR(_xlfn.IFS(B1175="","",AND(B1175="",G1175=""),"",G1175="","記載要"),"")</f>
        <v/>
      </c>
      <c r="K1175" t="str">
        <f t="shared" si="184"/>
        <v>11WP01008735</v>
      </c>
      <c r="L1175" s="3" t="str">
        <f t="shared" si="185"/>
        <v>2001/01/01</v>
      </c>
      <c r="M1175" s="3" t="str">
        <f t="shared" si="186"/>
        <v>2199/12/31</v>
      </c>
      <c r="N1175" t="str">
        <f t="shared" si="187"/>
        <v>11WP01008735</v>
      </c>
      <c r="O1175">
        <v>15</v>
      </c>
      <c r="Q1175" t="str" cm="1">
        <f t="array" ref="Q1175">_xlfn.IFS(AND(C1175="",G1175=""),"",LEFT(G1175,1)="L","記載要",LEFT(G1175,1)="W","",AND(C1175,G1175=""),"記載要")</f>
        <v/>
      </c>
      <c r="R1175" s="21" t="str">
        <f t="shared" si="192"/>
        <v/>
      </c>
      <c r="S1175" s="21"/>
      <c r="Z1175" s="8"/>
      <c r="AA1175">
        <v>1</v>
      </c>
      <c r="AB1175">
        <f t="shared" si="188"/>
        <v>0</v>
      </c>
      <c r="AC1175">
        <v>1</v>
      </c>
      <c r="AF1175">
        <v>1</v>
      </c>
      <c r="AG1175" s="8"/>
      <c r="AH1175" s="8"/>
      <c r="AK1175" cm="1">
        <f t="array" ref="AK1175">_xlfn.IFS(B1175="","",LEFT(G1175,1)="L",1,LEFT(G1175,1)="W",1,AND(LEFT(B1175,1)="H",G1175=""),0)</f>
        <v>1</v>
      </c>
      <c r="AS1175" t="str">
        <f t="shared" si="189"/>
        <v/>
      </c>
      <c r="AT1175" t="s">
        <v>115</v>
      </c>
      <c r="AU1175" t="str">
        <f t="shared" si="190"/>
        <v>0</v>
      </c>
      <c r="BD1175" t="str">
        <f t="shared" si="191"/>
        <v>0</v>
      </c>
      <c r="BK1175" t="str">
        <f>IFERROR(VLOOKUP(B1175,'[1]model_S-フレーム'!$F$5:$R$7000,13,1),"")</f>
        <v>E389460_01</v>
      </c>
      <c r="BL1175" s="7">
        <f>IFERROR(VLOOKUP(B1175,'[1]model_S-フレーム'!$F$5:$V$7000,17,1),"")</f>
        <v>0</v>
      </c>
      <c r="BM1175" t="str" cm="1">
        <f t="array" ref="BM1175">_xlfn.IFS(LEFT(G1175,1)="L","外注品",LEFT(G1175,1)="W","内製品",G1175="","購買品")</f>
        <v>内製品</v>
      </c>
    </row>
    <row r="1176" spans="1:65">
      <c r="A1176" t="str">
        <f t="shared" si="183"/>
        <v>WG01</v>
      </c>
      <c r="B1176" t="s">
        <v>1326</v>
      </c>
      <c r="C1176" t="s">
        <v>1528</v>
      </c>
      <c r="D1176" s="7"/>
      <c r="E1176" s="7"/>
      <c r="G1176" t="s">
        <v>1939</v>
      </c>
      <c r="H1176" t="str" cm="1">
        <f t="array" ref="H1176">IFERROR(_xlfn.IFS(B1176="","",AND(B1176="",G1176=""),"",G1176="","記載要"),"")</f>
        <v/>
      </c>
      <c r="K1176" t="str">
        <f t="shared" si="184"/>
        <v>11WP01008736</v>
      </c>
      <c r="L1176" s="3" t="str">
        <f t="shared" si="185"/>
        <v>2001/01/01</v>
      </c>
      <c r="M1176" s="3" t="str">
        <f t="shared" si="186"/>
        <v>2199/12/31</v>
      </c>
      <c r="N1176" t="str">
        <f t="shared" si="187"/>
        <v>11WP01008736</v>
      </c>
      <c r="O1176">
        <v>15</v>
      </c>
      <c r="Q1176" t="str" cm="1">
        <f t="array" ref="Q1176">_xlfn.IFS(AND(C1176="",G1176=""),"",LEFT(G1176,1)="L","記載要",LEFT(G1176,1)="W","",AND(C1176,G1176=""),"記載要")</f>
        <v/>
      </c>
      <c r="R1176" s="21" t="str">
        <f t="shared" si="192"/>
        <v/>
      </c>
      <c r="S1176" s="21"/>
      <c r="Z1176" s="8"/>
      <c r="AA1176">
        <v>1</v>
      </c>
      <c r="AB1176">
        <f t="shared" si="188"/>
        <v>0</v>
      </c>
      <c r="AC1176">
        <v>1</v>
      </c>
      <c r="AF1176">
        <v>1</v>
      </c>
      <c r="AG1176" s="8"/>
      <c r="AH1176" s="8"/>
      <c r="AK1176" cm="1">
        <f t="array" ref="AK1176">_xlfn.IFS(B1176="","",LEFT(G1176,1)="L",1,LEFT(G1176,1)="W",1,AND(LEFT(B1176,1)="H",G1176=""),0)</f>
        <v>1</v>
      </c>
      <c r="AS1176" t="str">
        <f t="shared" si="189"/>
        <v/>
      </c>
      <c r="AT1176" t="s">
        <v>115</v>
      </c>
      <c r="AU1176" t="str">
        <f t="shared" si="190"/>
        <v>0</v>
      </c>
      <c r="BD1176" t="str">
        <f t="shared" si="191"/>
        <v>0</v>
      </c>
      <c r="BK1176" t="str">
        <f>IFERROR(VLOOKUP(B1176,'[1]model_S-フレーム'!$F$5:$R$7000,13,1),"")</f>
        <v>E389460_01</v>
      </c>
      <c r="BL1176" s="7">
        <f>IFERROR(VLOOKUP(B1176,'[1]model_S-フレーム'!$F$5:$V$7000,17,1),"")</f>
        <v>0</v>
      </c>
      <c r="BM1176" t="str" cm="1">
        <f t="array" ref="BM1176">_xlfn.IFS(LEFT(G1176,1)="L","外注品",LEFT(G1176,1)="W","内製品",G1176="","購買品")</f>
        <v>内製品</v>
      </c>
    </row>
    <row r="1177" spans="1:65">
      <c r="A1177" t="str">
        <f t="shared" si="183"/>
        <v>WG01</v>
      </c>
      <c r="B1177" t="s">
        <v>1327</v>
      </c>
      <c r="C1177" t="s">
        <v>1528</v>
      </c>
      <c r="D1177" s="7"/>
      <c r="E1177" s="7"/>
      <c r="G1177" t="s">
        <v>1939</v>
      </c>
      <c r="H1177" t="str" cm="1">
        <f t="array" ref="H1177">IFERROR(_xlfn.IFS(B1177="","",AND(B1177="",G1177=""),"",G1177="","記載要"),"")</f>
        <v/>
      </c>
      <c r="K1177" t="str">
        <f t="shared" si="184"/>
        <v>11WP01008737</v>
      </c>
      <c r="L1177" s="3" t="str">
        <f t="shared" si="185"/>
        <v>2001/01/01</v>
      </c>
      <c r="M1177" s="3" t="str">
        <f t="shared" si="186"/>
        <v>2199/12/31</v>
      </c>
      <c r="N1177" t="str">
        <f t="shared" si="187"/>
        <v>11WP01008737</v>
      </c>
      <c r="O1177">
        <v>15</v>
      </c>
      <c r="Q1177" t="str" cm="1">
        <f t="array" ref="Q1177">_xlfn.IFS(AND(C1177="",G1177=""),"",LEFT(G1177,1)="L","記載要",LEFT(G1177,1)="W","",AND(C1177,G1177=""),"記載要")</f>
        <v/>
      </c>
      <c r="R1177" s="21" t="str">
        <f t="shared" si="192"/>
        <v/>
      </c>
      <c r="S1177" s="21"/>
      <c r="Z1177" s="8"/>
      <c r="AA1177">
        <v>1</v>
      </c>
      <c r="AB1177">
        <f t="shared" si="188"/>
        <v>0</v>
      </c>
      <c r="AC1177">
        <v>1</v>
      </c>
      <c r="AF1177">
        <v>1</v>
      </c>
      <c r="AG1177" s="8"/>
      <c r="AH1177" s="8"/>
      <c r="AK1177" cm="1">
        <f t="array" ref="AK1177">_xlfn.IFS(B1177="","",LEFT(G1177,1)="L",1,LEFT(G1177,1)="W",1,AND(LEFT(B1177,1)="H",G1177=""),0)</f>
        <v>1</v>
      </c>
      <c r="AS1177" t="str">
        <f t="shared" si="189"/>
        <v/>
      </c>
      <c r="AT1177" t="s">
        <v>115</v>
      </c>
      <c r="AU1177" t="str">
        <f t="shared" si="190"/>
        <v>0</v>
      </c>
      <c r="BD1177" t="str">
        <f t="shared" si="191"/>
        <v>0</v>
      </c>
      <c r="BK1177" t="str">
        <f>IFERROR(VLOOKUP(B1177,'[1]model_S-フレーム'!$F$5:$R$7000,13,1),"")</f>
        <v>E389460_01</v>
      </c>
      <c r="BL1177" s="7">
        <f>IFERROR(VLOOKUP(B1177,'[1]model_S-フレーム'!$F$5:$V$7000,17,1),"")</f>
        <v>0</v>
      </c>
      <c r="BM1177" t="str" cm="1">
        <f t="array" ref="BM1177">_xlfn.IFS(LEFT(G1177,1)="L","外注品",LEFT(G1177,1)="W","内製品",G1177="","購買品")</f>
        <v>内製品</v>
      </c>
    </row>
    <row r="1178" spans="1:65">
      <c r="A1178" t="str">
        <f t="shared" si="183"/>
        <v>WG01</v>
      </c>
      <c r="B1178" t="s">
        <v>1328</v>
      </c>
      <c r="C1178" t="s">
        <v>1528</v>
      </c>
      <c r="D1178" s="7"/>
      <c r="E1178" s="7"/>
      <c r="G1178" t="s">
        <v>1939</v>
      </c>
      <c r="H1178" t="str" cm="1">
        <f t="array" ref="H1178">IFERROR(_xlfn.IFS(B1178="","",AND(B1178="",G1178=""),"",G1178="","記載要"),"")</f>
        <v/>
      </c>
      <c r="K1178" t="str">
        <f t="shared" si="184"/>
        <v>11WP01008738</v>
      </c>
      <c r="L1178" s="3" t="str">
        <f t="shared" si="185"/>
        <v>2001/01/01</v>
      </c>
      <c r="M1178" s="3" t="str">
        <f t="shared" si="186"/>
        <v>2199/12/31</v>
      </c>
      <c r="N1178" t="str">
        <f t="shared" si="187"/>
        <v>11WP01008738</v>
      </c>
      <c r="O1178">
        <v>15</v>
      </c>
      <c r="Q1178" t="str" cm="1">
        <f t="array" ref="Q1178">_xlfn.IFS(AND(C1178="",G1178=""),"",LEFT(G1178,1)="L","記載要",LEFT(G1178,1)="W","",AND(C1178,G1178=""),"記載要")</f>
        <v/>
      </c>
      <c r="R1178" s="21" t="str">
        <f t="shared" si="192"/>
        <v/>
      </c>
      <c r="S1178" s="21"/>
      <c r="Z1178" s="8"/>
      <c r="AA1178">
        <v>1</v>
      </c>
      <c r="AB1178">
        <f t="shared" si="188"/>
        <v>0</v>
      </c>
      <c r="AC1178">
        <v>1</v>
      </c>
      <c r="AF1178">
        <v>1</v>
      </c>
      <c r="AG1178" s="8"/>
      <c r="AH1178" s="8"/>
      <c r="AK1178" cm="1">
        <f t="array" ref="AK1178">_xlfn.IFS(B1178="","",LEFT(G1178,1)="L",1,LEFT(G1178,1)="W",1,AND(LEFT(B1178,1)="H",G1178=""),0)</f>
        <v>1</v>
      </c>
      <c r="AS1178" t="str">
        <f t="shared" si="189"/>
        <v/>
      </c>
      <c r="AT1178" t="s">
        <v>115</v>
      </c>
      <c r="AU1178" t="str">
        <f t="shared" si="190"/>
        <v>0</v>
      </c>
      <c r="BD1178" t="str">
        <f t="shared" si="191"/>
        <v>0</v>
      </c>
      <c r="BK1178" t="str">
        <f>IFERROR(VLOOKUP(B1178,'[1]model_S-フレーム'!$F$5:$R$7000,13,1),"")</f>
        <v>E389460_01</v>
      </c>
      <c r="BL1178" s="7">
        <f>IFERROR(VLOOKUP(B1178,'[1]model_S-フレーム'!$F$5:$V$7000,17,1),"")</f>
        <v>0</v>
      </c>
      <c r="BM1178" t="str" cm="1">
        <f t="array" ref="BM1178">_xlfn.IFS(LEFT(G1178,1)="L","外注品",LEFT(G1178,1)="W","内製品",G1178="","購買品")</f>
        <v>内製品</v>
      </c>
    </row>
    <row r="1179" spans="1:65">
      <c r="A1179" t="str">
        <f t="shared" si="183"/>
        <v>WG01</v>
      </c>
      <c r="B1179" t="s">
        <v>1329</v>
      </c>
      <c r="C1179" t="s">
        <v>1528</v>
      </c>
      <c r="D1179" s="7"/>
      <c r="E1179" s="7"/>
      <c r="G1179" t="s">
        <v>1939</v>
      </c>
      <c r="H1179" t="str" cm="1">
        <f t="array" ref="H1179">IFERROR(_xlfn.IFS(B1179="","",AND(B1179="",G1179=""),"",G1179="","記載要"),"")</f>
        <v/>
      </c>
      <c r="K1179" t="str">
        <f t="shared" si="184"/>
        <v>11WP01008739</v>
      </c>
      <c r="L1179" s="3" t="str">
        <f t="shared" si="185"/>
        <v>2001/01/01</v>
      </c>
      <c r="M1179" s="3" t="str">
        <f t="shared" si="186"/>
        <v>2199/12/31</v>
      </c>
      <c r="N1179" t="str">
        <f t="shared" si="187"/>
        <v>11WP01008739</v>
      </c>
      <c r="O1179">
        <v>15</v>
      </c>
      <c r="Q1179" t="str" cm="1">
        <f t="array" ref="Q1179">_xlfn.IFS(AND(C1179="",G1179=""),"",LEFT(G1179,1)="L","記載要",LEFT(G1179,1)="W","",AND(C1179,G1179=""),"記載要")</f>
        <v/>
      </c>
      <c r="R1179" s="21" t="str">
        <f t="shared" si="192"/>
        <v/>
      </c>
      <c r="S1179" s="21"/>
      <c r="Z1179" s="8"/>
      <c r="AA1179">
        <v>1</v>
      </c>
      <c r="AB1179">
        <f t="shared" si="188"/>
        <v>0</v>
      </c>
      <c r="AC1179">
        <v>1</v>
      </c>
      <c r="AF1179">
        <v>1</v>
      </c>
      <c r="AG1179" s="8"/>
      <c r="AH1179" s="8"/>
      <c r="AK1179" cm="1">
        <f t="array" ref="AK1179">_xlfn.IFS(B1179="","",LEFT(G1179,1)="L",1,LEFT(G1179,1)="W",1,AND(LEFT(B1179,1)="H",G1179=""),0)</f>
        <v>1</v>
      </c>
      <c r="AS1179" t="str">
        <f t="shared" si="189"/>
        <v/>
      </c>
      <c r="AT1179" t="s">
        <v>115</v>
      </c>
      <c r="AU1179" t="str">
        <f t="shared" si="190"/>
        <v>0</v>
      </c>
      <c r="BD1179" t="str">
        <f t="shared" si="191"/>
        <v>0</v>
      </c>
      <c r="BK1179" t="str">
        <f>IFERROR(VLOOKUP(B1179,'[1]model_S-フレーム'!$F$5:$R$7000,13,1),"")</f>
        <v>E389460_01</v>
      </c>
      <c r="BL1179" s="7">
        <f>IFERROR(VLOOKUP(B1179,'[1]model_S-フレーム'!$F$5:$V$7000,17,1),"")</f>
        <v>0</v>
      </c>
      <c r="BM1179" t="str" cm="1">
        <f t="array" ref="BM1179">_xlfn.IFS(LEFT(G1179,1)="L","外注品",LEFT(G1179,1)="W","内製品",G1179="","購買品")</f>
        <v>内製品</v>
      </c>
    </row>
    <row r="1180" spans="1:65">
      <c r="A1180" t="str">
        <f t="shared" si="183"/>
        <v>WG01</v>
      </c>
      <c r="B1180" t="s">
        <v>1330</v>
      </c>
      <c r="C1180" t="s">
        <v>1528</v>
      </c>
      <c r="D1180" s="7"/>
      <c r="E1180" s="7"/>
      <c r="G1180" t="s">
        <v>1939</v>
      </c>
      <c r="H1180" t="str" cm="1">
        <f t="array" ref="H1180">IFERROR(_xlfn.IFS(B1180="","",AND(B1180="",G1180=""),"",G1180="","記載要"),"")</f>
        <v/>
      </c>
      <c r="K1180" t="str">
        <f t="shared" si="184"/>
        <v>11WP01008740</v>
      </c>
      <c r="L1180" s="3" t="str">
        <f t="shared" si="185"/>
        <v>2001/01/01</v>
      </c>
      <c r="M1180" s="3" t="str">
        <f t="shared" si="186"/>
        <v>2199/12/31</v>
      </c>
      <c r="N1180" t="str">
        <f t="shared" si="187"/>
        <v>11WP01008740</v>
      </c>
      <c r="O1180">
        <v>15</v>
      </c>
      <c r="Q1180" t="str" cm="1">
        <f t="array" ref="Q1180">_xlfn.IFS(AND(C1180="",G1180=""),"",LEFT(G1180,1)="L","記載要",LEFT(G1180,1)="W","",AND(C1180,G1180=""),"記載要")</f>
        <v/>
      </c>
      <c r="R1180" s="21" t="str">
        <f t="shared" si="192"/>
        <v/>
      </c>
      <c r="S1180" s="21"/>
      <c r="Z1180" s="8"/>
      <c r="AA1180">
        <v>1</v>
      </c>
      <c r="AB1180">
        <f t="shared" si="188"/>
        <v>0</v>
      </c>
      <c r="AC1180">
        <v>1</v>
      </c>
      <c r="AF1180">
        <v>1</v>
      </c>
      <c r="AG1180" s="8"/>
      <c r="AH1180" s="8"/>
      <c r="AK1180" cm="1">
        <f t="array" ref="AK1180">_xlfn.IFS(B1180="","",LEFT(G1180,1)="L",1,LEFT(G1180,1)="W",1,AND(LEFT(B1180,1)="H",G1180=""),0)</f>
        <v>1</v>
      </c>
      <c r="AS1180" t="str">
        <f t="shared" si="189"/>
        <v/>
      </c>
      <c r="AT1180" t="s">
        <v>115</v>
      </c>
      <c r="AU1180" t="str">
        <f t="shared" si="190"/>
        <v>0</v>
      </c>
      <c r="BD1180" t="str">
        <f t="shared" si="191"/>
        <v>0</v>
      </c>
      <c r="BK1180" t="str">
        <f>IFERROR(VLOOKUP(B1180,'[1]model_S-フレーム'!$F$5:$R$7000,13,1),"")</f>
        <v>E389460_01</v>
      </c>
      <c r="BL1180" s="7">
        <f>IFERROR(VLOOKUP(B1180,'[1]model_S-フレーム'!$F$5:$V$7000,17,1),"")</f>
        <v>0</v>
      </c>
      <c r="BM1180" t="str" cm="1">
        <f t="array" ref="BM1180">_xlfn.IFS(LEFT(G1180,1)="L","外注品",LEFT(G1180,1)="W","内製品",G1180="","購買品")</f>
        <v>内製品</v>
      </c>
    </row>
    <row r="1181" spans="1:65">
      <c r="A1181" t="str">
        <f t="shared" si="183"/>
        <v>WG01</v>
      </c>
      <c r="B1181" t="s">
        <v>1331</v>
      </c>
      <c r="C1181" t="s">
        <v>1528</v>
      </c>
      <c r="D1181" s="7"/>
      <c r="E1181" s="7"/>
      <c r="G1181" t="s">
        <v>1939</v>
      </c>
      <c r="H1181" t="str" cm="1">
        <f t="array" ref="H1181">IFERROR(_xlfn.IFS(B1181="","",AND(B1181="",G1181=""),"",G1181="","記載要"),"")</f>
        <v/>
      </c>
      <c r="K1181" t="str">
        <f t="shared" si="184"/>
        <v>11WP01008741</v>
      </c>
      <c r="L1181" s="3" t="str">
        <f t="shared" si="185"/>
        <v>2001/01/01</v>
      </c>
      <c r="M1181" s="3" t="str">
        <f t="shared" si="186"/>
        <v>2199/12/31</v>
      </c>
      <c r="N1181" t="str">
        <f t="shared" si="187"/>
        <v>11WP01008741</v>
      </c>
      <c r="O1181">
        <v>15</v>
      </c>
      <c r="Q1181" t="str" cm="1">
        <f t="array" ref="Q1181">_xlfn.IFS(AND(C1181="",G1181=""),"",LEFT(G1181,1)="L","記載要",LEFT(G1181,1)="W","",AND(C1181,G1181=""),"記載要")</f>
        <v/>
      </c>
      <c r="R1181" s="21" t="str">
        <f t="shared" si="192"/>
        <v/>
      </c>
      <c r="S1181" s="21"/>
      <c r="Z1181" s="8"/>
      <c r="AA1181">
        <v>1</v>
      </c>
      <c r="AB1181">
        <f t="shared" si="188"/>
        <v>0</v>
      </c>
      <c r="AC1181">
        <v>1</v>
      </c>
      <c r="AF1181">
        <v>1</v>
      </c>
      <c r="AG1181" s="8"/>
      <c r="AH1181" s="8"/>
      <c r="AK1181" cm="1">
        <f t="array" ref="AK1181">_xlfn.IFS(B1181="","",LEFT(G1181,1)="L",1,LEFT(G1181,1)="W",1,AND(LEFT(B1181,1)="H",G1181=""),0)</f>
        <v>1</v>
      </c>
      <c r="AS1181" t="str">
        <f t="shared" si="189"/>
        <v/>
      </c>
      <c r="AT1181" t="s">
        <v>115</v>
      </c>
      <c r="AU1181" t="str">
        <f t="shared" si="190"/>
        <v>0</v>
      </c>
      <c r="BD1181" t="str">
        <f t="shared" si="191"/>
        <v>0</v>
      </c>
      <c r="BK1181" t="str">
        <f>IFERROR(VLOOKUP(B1181,'[1]model_S-フレーム'!$F$5:$R$7000,13,1),"")</f>
        <v>E389460_01</v>
      </c>
      <c r="BL1181" s="7">
        <f>IFERROR(VLOOKUP(B1181,'[1]model_S-フレーム'!$F$5:$V$7000,17,1),"")</f>
        <v>0</v>
      </c>
      <c r="BM1181" t="str" cm="1">
        <f t="array" ref="BM1181">_xlfn.IFS(LEFT(G1181,1)="L","外注品",LEFT(G1181,1)="W","内製品",G1181="","購買品")</f>
        <v>内製品</v>
      </c>
    </row>
    <row r="1182" spans="1:65">
      <c r="A1182" t="str">
        <f t="shared" si="183"/>
        <v>WG01</v>
      </c>
      <c r="B1182" t="s">
        <v>1332</v>
      </c>
      <c r="C1182" t="s">
        <v>1528</v>
      </c>
      <c r="D1182" s="7"/>
      <c r="E1182" s="7"/>
      <c r="G1182" t="s">
        <v>1939</v>
      </c>
      <c r="H1182" t="str" cm="1">
        <f t="array" ref="H1182">IFERROR(_xlfn.IFS(B1182="","",AND(B1182="",G1182=""),"",G1182="","記載要"),"")</f>
        <v/>
      </c>
      <c r="K1182" t="str">
        <f t="shared" si="184"/>
        <v>11WP01008742</v>
      </c>
      <c r="L1182" s="3" t="str">
        <f t="shared" si="185"/>
        <v>2001/01/01</v>
      </c>
      <c r="M1182" s="3" t="str">
        <f t="shared" si="186"/>
        <v>2199/12/31</v>
      </c>
      <c r="N1182" t="str">
        <f t="shared" si="187"/>
        <v>11WP01008742</v>
      </c>
      <c r="O1182">
        <v>15</v>
      </c>
      <c r="Q1182" t="str" cm="1">
        <f t="array" ref="Q1182">_xlfn.IFS(AND(C1182="",G1182=""),"",LEFT(G1182,1)="L","記載要",LEFT(G1182,1)="W","",AND(C1182,G1182=""),"記載要")</f>
        <v/>
      </c>
      <c r="R1182" s="21" t="str">
        <f t="shared" si="192"/>
        <v/>
      </c>
      <c r="S1182" s="21"/>
      <c r="Z1182" s="8"/>
      <c r="AA1182">
        <v>1</v>
      </c>
      <c r="AB1182">
        <f t="shared" si="188"/>
        <v>0</v>
      </c>
      <c r="AC1182">
        <v>1</v>
      </c>
      <c r="AF1182">
        <v>1</v>
      </c>
      <c r="AG1182" s="8"/>
      <c r="AH1182" s="8"/>
      <c r="AK1182" cm="1">
        <f t="array" ref="AK1182">_xlfn.IFS(B1182="","",LEFT(G1182,1)="L",1,LEFT(G1182,1)="W",1,AND(LEFT(B1182,1)="H",G1182=""),0)</f>
        <v>1</v>
      </c>
      <c r="AS1182" t="str">
        <f t="shared" si="189"/>
        <v/>
      </c>
      <c r="AT1182" t="s">
        <v>115</v>
      </c>
      <c r="AU1182" t="str">
        <f t="shared" si="190"/>
        <v>0</v>
      </c>
      <c r="BD1182" t="str">
        <f t="shared" si="191"/>
        <v>0</v>
      </c>
      <c r="BK1182" t="str">
        <f>IFERROR(VLOOKUP(B1182,'[1]model_S-フレーム'!$F$5:$R$7000,13,1),"")</f>
        <v>E389460_01</v>
      </c>
      <c r="BL1182" s="7">
        <f>IFERROR(VLOOKUP(B1182,'[1]model_S-フレーム'!$F$5:$V$7000,17,1),"")</f>
        <v>0</v>
      </c>
      <c r="BM1182" t="str" cm="1">
        <f t="array" ref="BM1182">_xlfn.IFS(LEFT(G1182,1)="L","外注品",LEFT(G1182,1)="W","内製品",G1182="","購買品")</f>
        <v>内製品</v>
      </c>
    </row>
    <row r="1183" spans="1:65">
      <c r="A1183" t="str">
        <f t="shared" si="183"/>
        <v>WG01</v>
      </c>
      <c r="B1183" t="s">
        <v>1333</v>
      </c>
      <c r="C1183" t="s">
        <v>1528</v>
      </c>
      <c r="D1183" s="7"/>
      <c r="E1183" s="7"/>
      <c r="G1183" t="s">
        <v>1939</v>
      </c>
      <c r="H1183" t="str" cm="1">
        <f t="array" ref="H1183">IFERROR(_xlfn.IFS(B1183="","",AND(B1183="",G1183=""),"",G1183="","記載要"),"")</f>
        <v/>
      </c>
      <c r="K1183" t="str">
        <f t="shared" si="184"/>
        <v>11WP01008743</v>
      </c>
      <c r="L1183" s="3" t="str">
        <f t="shared" si="185"/>
        <v>2001/01/01</v>
      </c>
      <c r="M1183" s="3" t="str">
        <f t="shared" si="186"/>
        <v>2199/12/31</v>
      </c>
      <c r="N1183" t="str">
        <f t="shared" si="187"/>
        <v>11WP01008743</v>
      </c>
      <c r="O1183">
        <v>15</v>
      </c>
      <c r="Q1183" t="str" cm="1">
        <f t="array" ref="Q1183">_xlfn.IFS(AND(C1183="",G1183=""),"",LEFT(G1183,1)="L","記載要",LEFT(G1183,1)="W","",AND(C1183,G1183=""),"記載要")</f>
        <v/>
      </c>
      <c r="R1183" s="21" t="str">
        <f t="shared" si="192"/>
        <v/>
      </c>
      <c r="S1183" s="21"/>
      <c r="Z1183" s="8"/>
      <c r="AA1183">
        <v>1</v>
      </c>
      <c r="AB1183">
        <f t="shared" si="188"/>
        <v>0</v>
      </c>
      <c r="AC1183">
        <v>1</v>
      </c>
      <c r="AF1183">
        <v>1</v>
      </c>
      <c r="AG1183" s="8"/>
      <c r="AH1183" s="8"/>
      <c r="AK1183" cm="1">
        <f t="array" ref="AK1183">_xlfn.IFS(B1183="","",LEFT(G1183,1)="L",1,LEFT(G1183,1)="W",1,AND(LEFT(B1183,1)="H",G1183=""),0)</f>
        <v>1</v>
      </c>
      <c r="AS1183" t="str">
        <f t="shared" si="189"/>
        <v/>
      </c>
      <c r="AT1183" t="s">
        <v>115</v>
      </c>
      <c r="AU1183" t="str">
        <f t="shared" si="190"/>
        <v>0</v>
      </c>
      <c r="BD1183" t="str">
        <f t="shared" si="191"/>
        <v>0</v>
      </c>
      <c r="BK1183" t="str">
        <f>IFERROR(VLOOKUP(B1183,'[1]model_S-フレーム'!$F$5:$R$7000,13,1),"")</f>
        <v>E389460_01</v>
      </c>
      <c r="BL1183" s="7">
        <f>IFERROR(VLOOKUP(B1183,'[1]model_S-フレーム'!$F$5:$V$7000,17,1),"")</f>
        <v>0</v>
      </c>
      <c r="BM1183" t="str" cm="1">
        <f t="array" ref="BM1183">_xlfn.IFS(LEFT(G1183,1)="L","外注品",LEFT(G1183,1)="W","内製品",G1183="","購買品")</f>
        <v>内製品</v>
      </c>
    </row>
    <row r="1184" spans="1:65">
      <c r="A1184" t="str">
        <f t="shared" si="183"/>
        <v>WG01</v>
      </c>
      <c r="B1184" t="s">
        <v>1334</v>
      </c>
      <c r="C1184" t="s">
        <v>1528</v>
      </c>
      <c r="D1184" s="7"/>
      <c r="E1184" s="7"/>
      <c r="G1184" t="s">
        <v>1939</v>
      </c>
      <c r="H1184" t="str" cm="1">
        <f t="array" ref="H1184">IFERROR(_xlfn.IFS(B1184="","",AND(B1184="",G1184=""),"",G1184="","記載要"),"")</f>
        <v/>
      </c>
      <c r="K1184" t="str">
        <f t="shared" si="184"/>
        <v>11WP01008744</v>
      </c>
      <c r="L1184" s="3" t="str">
        <f t="shared" si="185"/>
        <v>2001/01/01</v>
      </c>
      <c r="M1184" s="3" t="str">
        <f t="shared" si="186"/>
        <v>2199/12/31</v>
      </c>
      <c r="N1184" t="str">
        <f t="shared" si="187"/>
        <v>11WP01008744</v>
      </c>
      <c r="O1184">
        <v>15</v>
      </c>
      <c r="Q1184" t="str" cm="1">
        <f t="array" ref="Q1184">_xlfn.IFS(AND(C1184="",G1184=""),"",LEFT(G1184,1)="L","記載要",LEFT(G1184,1)="W","",AND(C1184,G1184=""),"記載要")</f>
        <v/>
      </c>
      <c r="R1184" s="21" t="str">
        <f t="shared" si="192"/>
        <v/>
      </c>
      <c r="S1184" s="21"/>
      <c r="Z1184" s="8"/>
      <c r="AA1184">
        <v>1</v>
      </c>
      <c r="AB1184">
        <f t="shared" si="188"/>
        <v>0</v>
      </c>
      <c r="AC1184">
        <v>1</v>
      </c>
      <c r="AF1184">
        <v>1</v>
      </c>
      <c r="AG1184" s="8"/>
      <c r="AH1184" s="8"/>
      <c r="AK1184" cm="1">
        <f t="array" ref="AK1184">_xlfn.IFS(B1184="","",LEFT(G1184,1)="L",1,LEFT(G1184,1)="W",1,AND(LEFT(B1184,1)="H",G1184=""),0)</f>
        <v>1</v>
      </c>
      <c r="AS1184" t="str">
        <f t="shared" si="189"/>
        <v/>
      </c>
      <c r="AT1184" t="s">
        <v>115</v>
      </c>
      <c r="AU1184" t="str">
        <f t="shared" si="190"/>
        <v>0</v>
      </c>
      <c r="BD1184" t="str">
        <f t="shared" si="191"/>
        <v>0</v>
      </c>
      <c r="BK1184" t="str">
        <f>IFERROR(VLOOKUP(B1184,'[1]model_S-フレーム'!$F$5:$R$7000,13,1),"")</f>
        <v>E389460_01</v>
      </c>
      <c r="BL1184" s="7">
        <f>IFERROR(VLOOKUP(B1184,'[1]model_S-フレーム'!$F$5:$V$7000,17,1),"")</f>
        <v>0</v>
      </c>
      <c r="BM1184" t="str" cm="1">
        <f t="array" ref="BM1184">_xlfn.IFS(LEFT(G1184,1)="L","外注品",LEFT(G1184,1)="W","内製品",G1184="","購買品")</f>
        <v>内製品</v>
      </c>
    </row>
    <row r="1185" spans="1:65">
      <c r="A1185" t="str">
        <f t="shared" si="183"/>
        <v>WG01</v>
      </c>
      <c r="B1185" t="s">
        <v>1335</v>
      </c>
      <c r="C1185" t="s">
        <v>1528</v>
      </c>
      <c r="D1185" s="7"/>
      <c r="E1185" s="7"/>
      <c r="G1185" t="s">
        <v>1939</v>
      </c>
      <c r="H1185" t="str" cm="1">
        <f t="array" ref="H1185">IFERROR(_xlfn.IFS(B1185="","",AND(B1185="",G1185=""),"",G1185="","記載要"),"")</f>
        <v/>
      </c>
      <c r="K1185" t="str">
        <f t="shared" si="184"/>
        <v>11WP01008745</v>
      </c>
      <c r="L1185" s="3" t="str">
        <f t="shared" si="185"/>
        <v>2001/01/01</v>
      </c>
      <c r="M1185" s="3" t="str">
        <f t="shared" si="186"/>
        <v>2199/12/31</v>
      </c>
      <c r="N1185" t="str">
        <f t="shared" si="187"/>
        <v>11WP01008745</v>
      </c>
      <c r="O1185">
        <v>15</v>
      </c>
      <c r="Q1185" t="str" cm="1">
        <f t="array" ref="Q1185">_xlfn.IFS(AND(C1185="",G1185=""),"",LEFT(G1185,1)="L","記載要",LEFT(G1185,1)="W","",AND(C1185,G1185=""),"記載要")</f>
        <v/>
      </c>
      <c r="R1185" s="21" t="str">
        <f t="shared" si="192"/>
        <v/>
      </c>
      <c r="S1185" s="21"/>
      <c r="Z1185" s="8"/>
      <c r="AA1185">
        <v>1</v>
      </c>
      <c r="AB1185">
        <f t="shared" si="188"/>
        <v>0</v>
      </c>
      <c r="AC1185">
        <v>1</v>
      </c>
      <c r="AF1185">
        <v>1</v>
      </c>
      <c r="AG1185" s="8"/>
      <c r="AH1185" s="8"/>
      <c r="AK1185" cm="1">
        <f t="array" ref="AK1185">_xlfn.IFS(B1185="","",LEFT(G1185,1)="L",1,LEFT(G1185,1)="W",1,AND(LEFT(B1185,1)="H",G1185=""),0)</f>
        <v>1</v>
      </c>
      <c r="AS1185" t="str">
        <f t="shared" si="189"/>
        <v/>
      </c>
      <c r="AT1185" t="s">
        <v>115</v>
      </c>
      <c r="AU1185" t="str">
        <f t="shared" si="190"/>
        <v>0</v>
      </c>
      <c r="BD1185" t="str">
        <f t="shared" si="191"/>
        <v>0</v>
      </c>
      <c r="BK1185" t="str">
        <f>IFERROR(VLOOKUP(B1185,'[1]model_S-フレーム'!$F$5:$R$7000,13,1),"")</f>
        <v>E389460_01</v>
      </c>
      <c r="BL1185" s="7">
        <f>IFERROR(VLOOKUP(B1185,'[1]model_S-フレーム'!$F$5:$V$7000,17,1),"")</f>
        <v>0</v>
      </c>
      <c r="BM1185" t="str" cm="1">
        <f t="array" ref="BM1185">_xlfn.IFS(LEFT(G1185,1)="L","外注品",LEFT(G1185,1)="W","内製品",G1185="","購買品")</f>
        <v>内製品</v>
      </c>
    </row>
    <row r="1186" spans="1:65">
      <c r="A1186" t="str">
        <f t="shared" si="183"/>
        <v>WG01</v>
      </c>
      <c r="B1186" t="s">
        <v>1336</v>
      </c>
      <c r="C1186" t="s">
        <v>1528</v>
      </c>
      <c r="D1186" s="7"/>
      <c r="E1186" s="7"/>
      <c r="G1186" t="s">
        <v>1939</v>
      </c>
      <c r="H1186" t="str" cm="1">
        <f t="array" ref="H1186">IFERROR(_xlfn.IFS(B1186="","",AND(B1186="",G1186=""),"",G1186="","記載要"),"")</f>
        <v/>
      </c>
      <c r="K1186" t="str">
        <f t="shared" si="184"/>
        <v>11WP01008746</v>
      </c>
      <c r="L1186" s="3" t="str">
        <f t="shared" si="185"/>
        <v>2001/01/01</v>
      </c>
      <c r="M1186" s="3" t="str">
        <f t="shared" si="186"/>
        <v>2199/12/31</v>
      </c>
      <c r="N1186" t="str">
        <f t="shared" si="187"/>
        <v>11WP01008746</v>
      </c>
      <c r="O1186">
        <v>15</v>
      </c>
      <c r="Q1186" t="str" cm="1">
        <f t="array" ref="Q1186">_xlfn.IFS(AND(C1186="",G1186=""),"",LEFT(G1186,1)="L","記載要",LEFT(G1186,1)="W","",AND(C1186,G1186=""),"記載要")</f>
        <v/>
      </c>
      <c r="R1186" s="21" t="str">
        <f t="shared" si="192"/>
        <v/>
      </c>
      <c r="S1186" s="21"/>
      <c r="Z1186" s="8"/>
      <c r="AA1186">
        <v>1</v>
      </c>
      <c r="AB1186">
        <f t="shared" si="188"/>
        <v>0</v>
      </c>
      <c r="AC1186">
        <v>1</v>
      </c>
      <c r="AF1186">
        <v>1</v>
      </c>
      <c r="AG1186" s="8"/>
      <c r="AH1186" s="8"/>
      <c r="AK1186" cm="1">
        <f t="array" ref="AK1186">_xlfn.IFS(B1186="","",LEFT(G1186,1)="L",1,LEFT(G1186,1)="W",1,AND(LEFT(B1186,1)="H",G1186=""),0)</f>
        <v>1</v>
      </c>
      <c r="AS1186" t="str">
        <f t="shared" si="189"/>
        <v/>
      </c>
      <c r="AT1186" t="s">
        <v>115</v>
      </c>
      <c r="AU1186" t="str">
        <f t="shared" si="190"/>
        <v>0</v>
      </c>
      <c r="BD1186" t="str">
        <f t="shared" si="191"/>
        <v>0</v>
      </c>
      <c r="BK1186" t="str">
        <f>IFERROR(VLOOKUP(B1186,'[1]model_S-フレーム'!$F$5:$R$7000,13,1),"")</f>
        <v>E389460_01</v>
      </c>
      <c r="BL1186" s="7">
        <f>IFERROR(VLOOKUP(B1186,'[1]model_S-フレーム'!$F$5:$V$7000,17,1),"")</f>
        <v>0</v>
      </c>
      <c r="BM1186" t="str" cm="1">
        <f t="array" ref="BM1186">_xlfn.IFS(LEFT(G1186,1)="L","外注品",LEFT(G1186,1)="W","内製品",G1186="","購買品")</f>
        <v>内製品</v>
      </c>
    </row>
    <row r="1187" spans="1:65">
      <c r="A1187" t="str">
        <f t="shared" si="183"/>
        <v>WG01</v>
      </c>
      <c r="B1187" t="s">
        <v>1337</v>
      </c>
      <c r="C1187" t="s">
        <v>1528</v>
      </c>
      <c r="D1187" s="7"/>
      <c r="E1187" s="7"/>
      <c r="G1187" t="s">
        <v>1939</v>
      </c>
      <c r="H1187" t="str" cm="1">
        <f t="array" ref="H1187">IFERROR(_xlfn.IFS(B1187="","",AND(B1187="",G1187=""),"",G1187="","記載要"),"")</f>
        <v/>
      </c>
      <c r="K1187" t="str">
        <f t="shared" si="184"/>
        <v>11WP01008747</v>
      </c>
      <c r="L1187" s="3" t="str">
        <f t="shared" si="185"/>
        <v>2001/01/01</v>
      </c>
      <c r="M1187" s="3" t="str">
        <f t="shared" si="186"/>
        <v>2199/12/31</v>
      </c>
      <c r="N1187" t="str">
        <f t="shared" si="187"/>
        <v>11WP01008747</v>
      </c>
      <c r="O1187">
        <v>15</v>
      </c>
      <c r="Q1187" t="str" cm="1">
        <f t="array" ref="Q1187">_xlfn.IFS(AND(C1187="",G1187=""),"",LEFT(G1187,1)="L","記載要",LEFT(G1187,1)="W","",AND(C1187,G1187=""),"記載要")</f>
        <v/>
      </c>
      <c r="R1187" s="21" t="str">
        <f t="shared" si="192"/>
        <v/>
      </c>
      <c r="S1187" s="21"/>
      <c r="Z1187" s="8"/>
      <c r="AA1187">
        <v>1</v>
      </c>
      <c r="AB1187">
        <f t="shared" si="188"/>
        <v>0</v>
      </c>
      <c r="AC1187">
        <v>1</v>
      </c>
      <c r="AF1187">
        <v>1</v>
      </c>
      <c r="AG1187" s="8"/>
      <c r="AH1187" s="8"/>
      <c r="AK1187" cm="1">
        <f t="array" ref="AK1187">_xlfn.IFS(B1187="","",LEFT(G1187,1)="L",1,LEFT(G1187,1)="W",1,AND(LEFT(B1187,1)="H",G1187=""),0)</f>
        <v>1</v>
      </c>
      <c r="AS1187" t="str">
        <f t="shared" si="189"/>
        <v/>
      </c>
      <c r="AT1187" t="s">
        <v>115</v>
      </c>
      <c r="AU1187" t="str">
        <f t="shared" si="190"/>
        <v>0</v>
      </c>
      <c r="BD1187" t="str">
        <f t="shared" si="191"/>
        <v>0</v>
      </c>
      <c r="BK1187" t="str">
        <f>IFERROR(VLOOKUP(B1187,'[1]model_S-フレーム'!$F$5:$R$7000,13,1),"")</f>
        <v>E389460_01</v>
      </c>
      <c r="BL1187" s="7">
        <f>IFERROR(VLOOKUP(B1187,'[1]model_S-フレーム'!$F$5:$V$7000,17,1),"")</f>
        <v>0</v>
      </c>
      <c r="BM1187" t="str" cm="1">
        <f t="array" ref="BM1187">_xlfn.IFS(LEFT(G1187,1)="L","外注品",LEFT(G1187,1)="W","内製品",G1187="","購買品")</f>
        <v>内製品</v>
      </c>
    </row>
    <row r="1188" spans="1:65">
      <c r="A1188" t="str">
        <f t="shared" si="183"/>
        <v>WG01</v>
      </c>
      <c r="B1188" t="s">
        <v>1338</v>
      </c>
      <c r="C1188" t="s">
        <v>1528</v>
      </c>
      <c r="D1188" s="7"/>
      <c r="E1188" s="7"/>
      <c r="G1188" t="s">
        <v>1939</v>
      </c>
      <c r="H1188" t="str" cm="1">
        <f t="array" ref="H1188">IFERROR(_xlfn.IFS(B1188="","",AND(B1188="",G1188=""),"",G1188="","記載要"),"")</f>
        <v/>
      </c>
      <c r="K1188" t="str">
        <f t="shared" si="184"/>
        <v>11WP01008748</v>
      </c>
      <c r="L1188" s="3" t="str">
        <f t="shared" si="185"/>
        <v>2001/01/01</v>
      </c>
      <c r="M1188" s="3" t="str">
        <f t="shared" si="186"/>
        <v>2199/12/31</v>
      </c>
      <c r="N1188" t="str">
        <f t="shared" si="187"/>
        <v>11WP01008748</v>
      </c>
      <c r="O1188">
        <v>15</v>
      </c>
      <c r="Q1188" t="str" cm="1">
        <f t="array" ref="Q1188">_xlfn.IFS(AND(C1188="",G1188=""),"",LEFT(G1188,1)="L","記載要",LEFT(G1188,1)="W","",AND(C1188,G1188=""),"記載要")</f>
        <v/>
      </c>
      <c r="R1188" s="21" t="str">
        <f t="shared" si="192"/>
        <v/>
      </c>
      <c r="S1188" s="21"/>
      <c r="Z1188" s="8"/>
      <c r="AA1188">
        <v>1</v>
      </c>
      <c r="AB1188">
        <f t="shared" si="188"/>
        <v>0</v>
      </c>
      <c r="AC1188">
        <v>1</v>
      </c>
      <c r="AF1188">
        <v>1</v>
      </c>
      <c r="AG1188" s="8"/>
      <c r="AH1188" s="8"/>
      <c r="AK1188" cm="1">
        <f t="array" ref="AK1188">_xlfn.IFS(B1188="","",LEFT(G1188,1)="L",1,LEFT(G1188,1)="W",1,AND(LEFT(B1188,1)="H",G1188=""),0)</f>
        <v>1</v>
      </c>
      <c r="AS1188" t="str">
        <f t="shared" si="189"/>
        <v/>
      </c>
      <c r="AT1188" t="s">
        <v>115</v>
      </c>
      <c r="AU1188" t="str">
        <f t="shared" si="190"/>
        <v>0</v>
      </c>
      <c r="BD1188" t="str">
        <f t="shared" si="191"/>
        <v>0</v>
      </c>
      <c r="BK1188" t="str">
        <f>IFERROR(VLOOKUP(B1188,'[1]model_S-フレーム'!$F$5:$R$7000,13,1),"")</f>
        <v>E389460_01</v>
      </c>
      <c r="BL1188" s="7">
        <f>IFERROR(VLOOKUP(B1188,'[1]model_S-フレーム'!$F$5:$V$7000,17,1),"")</f>
        <v>0</v>
      </c>
      <c r="BM1188" t="str" cm="1">
        <f t="array" ref="BM1188">_xlfn.IFS(LEFT(G1188,1)="L","外注品",LEFT(G1188,1)="W","内製品",G1188="","購買品")</f>
        <v>内製品</v>
      </c>
    </row>
    <row r="1189" spans="1:65">
      <c r="A1189" t="str">
        <f t="shared" si="183"/>
        <v>WG01</v>
      </c>
      <c r="B1189" t="s">
        <v>1339</v>
      </c>
      <c r="C1189" t="s">
        <v>1528</v>
      </c>
      <c r="D1189" s="7"/>
      <c r="E1189" s="7"/>
      <c r="G1189" t="s">
        <v>1939</v>
      </c>
      <c r="H1189" t="str" cm="1">
        <f t="array" ref="H1189">IFERROR(_xlfn.IFS(B1189="","",AND(B1189="",G1189=""),"",G1189="","記載要"),"")</f>
        <v/>
      </c>
      <c r="K1189" t="str">
        <f t="shared" si="184"/>
        <v>11WP01008749</v>
      </c>
      <c r="L1189" s="3" t="str">
        <f t="shared" si="185"/>
        <v>2001/01/01</v>
      </c>
      <c r="M1189" s="3" t="str">
        <f t="shared" si="186"/>
        <v>2199/12/31</v>
      </c>
      <c r="N1189" t="str">
        <f t="shared" si="187"/>
        <v>11WP01008749</v>
      </c>
      <c r="O1189">
        <v>15</v>
      </c>
      <c r="Q1189" t="str" cm="1">
        <f t="array" ref="Q1189">_xlfn.IFS(AND(C1189="",G1189=""),"",LEFT(G1189,1)="L","記載要",LEFT(G1189,1)="W","",AND(C1189,G1189=""),"記載要")</f>
        <v/>
      </c>
      <c r="R1189" s="21" t="str">
        <f t="shared" si="192"/>
        <v/>
      </c>
      <c r="S1189" s="21"/>
      <c r="Z1189" s="8"/>
      <c r="AA1189">
        <v>1</v>
      </c>
      <c r="AB1189">
        <f t="shared" si="188"/>
        <v>0</v>
      </c>
      <c r="AC1189">
        <v>1</v>
      </c>
      <c r="AF1189">
        <v>1</v>
      </c>
      <c r="AG1189" s="8"/>
      <c r="AH1189" s="8"/>
      <c r="AK1189" cm="1">
        <f t="array" ref="AK1189">_xlfn.IFS(B1189="","",LEFT(G1189,1)="L",1,LEFT(G1189,1)="W",1,AND(LEFT(B1189,1)="H",G1189=""),0)</f>
        <v>1</v>
      </c>
      <c r="AS1189" t="str">
        <f t="shared" si="189"/>
        <v/>
      </c>
      <c r="AT1189" t="s">
        <v>115</v>
      </c>
      <c r="AU1189" t="str">
        <f t="shared" si="190"/>
        <v>0</v>
      </c>
      <c r="BD1189" t="str">
        <f t="shared" si="191"/>
        <v>0</v>
      </c>
      <c r="BK1189" t="str">
        <f>IFERROR(VLOOKUP(B1189,'[1]model_S-フレーム'!$F$5:$R$7000,13,1),"")</f>
        <v>E389460_01</v>
      </c>
      <c r="BL1189" s="7">
        <f>IFERROR(VLOOKUP(B1189,'[1]model_S-フレーム'!$F$5:$V$7000,17,1),"")</f>
        <v>0</v>
      </c>
      <c r="BM1189" t="str" cm="1">
        <f t="array" ref="BM1189">_xlfn.IFS(LEFT(G1189,1)="L","外注品",LEFT(G1189,1)="W","内製品",G1189="","購買品")</f>
        <v>内製品</v>
      </c>
    </row>
    <row r="1190" spans="1:65">
      <c r="A1190" t="str">
        <f t="shared" si="183"/>
        <v>WG01</v>
      </c>
      <c r="B1190" t="s">
        <v>1340</v>
      </c>
      <c r="C1190" t="s">
        <v>1528</v>
      </c>
      <c r="D1190" s="7"/>
      <c r="E1190" s="7"/>
      <c r="G1190" t="s">
        <v>1939</v>
      </c>
      <c r="H1190" t="str" cm="1">
        <f t="array" ref="H1190">IFERROR(_xlfn.IFS(B1190="","",AND(B1190="",G1190=""),"",G1190="","記載要"),"")</f>
        <v/>
      </c>
      <c r="K1190" t="str">
        <f t="shared" si="184"/>
        <v>11WP01008750</v>
      </c>
      <c r="L1190" s="3" t="str">
        <f t="shared" si="185"/>
        <v>2001/01/01</v>
      </c>
      <c r="M1190" s="3" t="str">
        <f t="shared" si="186"/>
        <v>2199/12/31</v>
      </c>
      <c r="N1190" t="str">
        <f t="shared" si="187"/>
        <v>11WP01008750</v>
      </c>
      <c r="O1190">
        <v>15</v>
      </c>
      <c r="Q1190" t="str" cm="1">
        <f t="array" ref="Q1190">_xlfn.IFS(AND(C1190="",G1190=""),"",LEFT(G1190,1)="L","記載要",LEFT(G1190,1)="W","",AND(C1190,G1190=""),"記載要")</f>
        <v/>
      </c>
      <c r="R1190" s="21" t="str">
        <f t="shared" si="192"/>
        <v/>
      </c>
      <c r="S1190" s="21"/>
      <c r="Z1190" s="8"/>
      <c r="AA1190">
        <v>1</v>
      </c>
      <c r="AB1190">
        <f t="shared" si="188"/>
        <v>0</v>
      </c>
      <c r="AC1190">
        <v>1</v>
      </c>
      <c r="AF1190">
        <v>1</v>
      </c>
      <c r="AG1190" s="8"/>
      <c r="AH1190" s="8"/>
      <c r="AK1190" cm="1">
        <f t="array" ref="AK1190">_xlfn.IFS(B1190="","",LEFT(G1190,1)="L",1,LEFT(G1190,1)="W",1,AND(LEFT(B1190,1)="H",G1190=""),0)</f>
        <v>1</v>
      </c>
      <c r="AS1190" t="str">
        <f t="shared" si="189"/>
        <v/>
      </c>
      <c r="AT1190" t="s">
        <v>115</v>
      </c>
      <c r="AU1190" t="str">
        <f t="shared" si="190"/>
        <v>0</v>
      </c>
      <c r="BD1190" t="str">
        <f t="shared" si="191"/>
        <v>0</v>
      </c>
      <c r="BK1190" t="str">
        <f>IFERROR(VLOOKUP(B1190,'[1]model_S-フレーム'!$F$5:$R$7000,13,1),"")</f>
        <v>E389460_01</v>
      </c>
      <c r="BL1190" s="7">
        <f>IFERROR(VLOOKUP(B1190,'[1]model_S-フレーム'!$F$5:$V$7000,17,1),"")</f>
        <v>0</v>
      </c>
      <c r="BM1190" t="str" cm="1">
        <f t="array" ref="BM1190">_xlfn.IFS(LEFT(G1190,1)="L","外注品",LEFT(G1190,1)="W","内製品",G1190="","購買品")</f>
        <v>内製品</v>
      </c>
    </row>
    <row r="1191" spans="1:65">
      <c r="A1191" t="str">
        <f t="shared" si="183"/>
        <v>WG01</v>
      </c>
      <c r="B1191" t="s">
        <v>1341</v>
      </c>
      <c r="C1191" t="s">
        <v>1528</v>
      </c>
      <c r="D1191" s="7"/>
      <c r="E1191" s="7"/>
      <c r="G1191" t="s">
        <v>1939</v>
      </c>
      <c r="H1191" t="str" cm="1">
        <f t="array" ref="H1191">IFERROR(_xlfn.IFS(B1191="","",AND(B1191="",G1191=""),"",G1191="","記載要"),"")</f>
        <v/>
      </c>
      <c r="K1191" t="str">
        <f t="shared" si="184"/>
        <v>11WP01008751</v>
      </c>
      <c r="L1191" s="3" t="str">
        <f t="shared" si="185"/>
        <v>2001/01/01</v>
      </c>
      <c r="M1191" s="3" t="str">
        <f t="shared" si="186"/>
        <v>2199/12/31</v>
      </c>
      <c r="N1191" t="str">
        <f t="shared" si="187"/>
        <v>11WP01008751</v>
      </c>
      <c r="O1191">
        <v>15</v>
      </c>
      <c r="Q1191" t="str" cm="1">
        <f t="array" ref="Q1191">_xlfn.IFS(AND(C1191="",G1191=""),"",LEFT(G1191,1)="L","記載要",LEFT(G1191,1)="W","",AND(C1191,G1191=""),"記載要")</f>
        <v/>
      </c>
      <c r="R1191" s="21" t="str">
        <f t="shared" si="192"/>
        <v/>
      </c>
      <c r="S1191" s="21"/>
      <c r="Z1191" s="8"/>
      <c r="AA1191">
        <v>1</v>
      </c>
      <c r="AB1191">
        <f t="shared" si="188"/>
        <v>0</v>
      </c>
      <c r="AC1191">
        <v>1</v>
      </c>
      <c r="AF1191">
        <v>1</v>
      </c>
      <c r="AG1191" s="8"/>
      <c r="AH1191" s="8"/>
      <c r="AK1191" cm="1">
        <f t="array" ref="AK1191">_xlfn.IFS(B1191="","",LEFT(G1191,1)="L",1,LEFT(G1191,1)="W",1,AND(LEFT(B1191,1)="H",G1191=""),0)</f>
        <v>1</v>
      </c>
      <c r="AS1191" t="str">
        <f t="shared" si="189"/>
        <v/>
      </c>
      <c r="AT1191" t="s">
        <v>115</v>
      </c>
      <c r="AU1191" t="str">
        <f t="shared" si="190"/>
        <v>0</v>
      </c>
      <c r="BD1191" t="str">
        <f t="shared" si="191"/>
        <v>0</v>
      </c>
      <c r="BK1191" t="str">
        <f>IFERROR(VLOOKUP(B1191,'[1]model_S-フレーム'!$F$5:$R$7000,13,1),"")</f>
        <v>E389460_01</v>
      </c>
      <c r="BL1191" s="7">
        <f>IFERROR(VLOOKUP(B1191,'[1]model_S-フレーム'!$F$5:$V$7000,17,1),"")</f>
        <v>0</v>
      </c>
      <c r="BM1191" t="str" cm="1">
        <f t="array" ref="BM1191">_xlfn.IFS(LEFT(G1191,1)="L","外注品",LEFT(G1191,1)="W","内製品",G1191="","購買品")</f>
        <v>内製品</v>
      </c>
    </row>
    <row r="1192" spans="1:65">
      <c r="A1192" t="str">
        <f t="shared" si="183"/>
        <v>WG01</v>
      </c>
      <c r="B1192" t="s">
        <v>1342</v>
      </c>
      <c r="C1192" t="s">
        <v>1528</v>
      </c>
      <c r="D1192" s="7"/>
      <c r="E1192" s="7"/>
      <c r="G1192" t="s">
        <v>1939</v>
      </c>
      <c r="H1192" t="str" cm="1">
        <f t="array" ref="H1192">IFERROR(_xlfn.IFS(B1192="","",AND(B1192="",G1192=""),"",G1192="","記載要"),"")</f>
        <v/>
      </c>
      <c r="K1192" t="str">
        <f t="shared" si="184"/>
        <v>11WP01008752</v>
      </c>
      <c r="L1192" s="3" t="str">
        <f t="shared" si="185"/>
        <v>2001/01/01</v>
      </c>
      <c r="M1192" s="3" t="str">
        <f t="shared" si="186"/>
        <v>2199/12/31</v>
      </c>
      <c r="N1192" t="str">
        <f t="shared" si="187"/>
        <v>11WP01008752</v>
      </c>
      <c r="O1192">
        <v>15</v>
      </c>
      <c r="Q1192" t="str" cm="1">
        <f t="array" ref="Q1192">_xlfn.IFS(AND(C1192="",G1192=""),"",LEFT(G1192,1)="L","記載要",LEFT(G1192,1)="W","",AND(C1192,G1192=""),"記載要")</f>
        <v/>
      </c>
      <c r="R1192" s="21" t="str">
        <f t="shared" si="192"/>
        <v/>
      </c>
      <c r="S1192" s="21"/>
      <c r="Z1192" s="8"/>
      <c r="AA1192">
        <v>1</v>
      </c>
      <c r="AB1192">
        <f t="shared" si="188"/>
        <v>0</v>
      </c>
      <c r="AC1192">
        <v>1</v>
      </c>
      <c r="AF1192">
        <v>1</v>
      </c>
      <c r="AG1192" s="8"/>
      <c r="AH1192" s="8"/>
      <c r="AK1192" cm="1">
        <f t="array" ref="AK1192">_xlfn.IFS(B1192="","",LEFT(G1192,1)="L",1,LEFT(G1192,1)="W",1,AND(LEFT(B1192,1)="H",G1192=""),0)</f>
        <v>1</v>
      </c>
      <c r="AS1192" t="str">
        <f t="shared" si="189"/>
        <v/>
      </c>
      <c r="AT1192" t="s">
        <v>115</v>
      </c>
      <c r="AU1192" t="str">
        <f t="shared" si="190"/>
        <v>0</v>
      </c>
      <c r="BD1192" t="str">
        <f t="shared" si="191"/>
        <v>0</v>
      </c>
      <c r="BK1192" t="str">
        <f>IFERROR(VLOOKUP(B1192,'[1]model_S-フレーム'!$F$5:$R$7000,13,1),"")</f>
        <v>E389460_01</v>
      </c>
      <c r="BL1192" s="7">
        <f>IFERROR(VLOOKUP(B1192,'[1]model_S-フレーム'!$F$5:$V$7000,17,1),"")</f>
        <v>0</v>
      </c>
      <c r="BM1192" t="str" cm="1">
        <f t="array" ref="BM1192">_xlfn.IFS(LEFT(G1192,1)="L","外注品",LEFT(G1192,1)="W","内製品",G1192="","購買品")</f>
        <v>内製品</v>
      </c>
    </row>
    <row r="1193" spans="1:65">
      <c r="A1193" t="str">
        <f t="shared" si="183"/>
        <v>WG01</v>
      </c>
      <c r="B1193" t="s">
        <v>1343</v>
      </c>
      <c r="C1193" t="s">
        <v>1528</v>
      </c>
      <c r="D1193" s="7"/>
      <c r="E1193" s="7"/>
      <c r="G1193" t="s">
        <v>1939</v>
      </c>
      <c r="H1193" t="str" cm="1">
        <f t="array" ref="H1193">IFERROR(_xlfn.IFS(B1193="","",AND(B1193="",G1193=""),"",G1193="","記載要"),"")</f>
        <v/>
      </c>
      <c r="K1193" t="str">
        <f t="shared" si="184"/>
        <v>11WP01008753</v>
      </c>
      <c r="L1193" s="3" t="str">
        <f t="shared" si="185"/>
        <v>2001/01/01</v>
      </c>
      <c r="M1193" s="3" t="str">
        <f t="shared" si="186"/>
        <v>2199/12/31</v>
      </c>
      <c r="N1193" t="str">
        <f t="shared" si="187"/>
        <v>11WP01008753</v>
      </c>
      <c r="O1193">
        <v>15</v>
      </c>
      <c r="Q1193" t="str" cm="1">
        <f t="array" ref="Q1193">_xlfn.IFS(AND(C1193="",G1193=""),"",LEFT(G1193,1)="L","記載要",LEFT(G1193,1)="W","",AND(C1193,G1193=""),"記載要")</f>
        <v/>
      </c>
      <c r="R1193" s="21" t="str">
        <f t="shared" si="192"/>
        <v/>
      </c>
      <c r="S1193" s="21"/>
      <c r="Z1193" s="8"/>
      <c r="AA1193">
        <v>1</v>
      </c>
      <c r="AB1193">
        <f t="shared" si="188"/>
        <v>0</v>
      </c>
      <c r="AC1193">
        <v>1</v>
      </c>
      <c r="AF1193">
        <v>1</v>
      </c>
      <c r="AG1193" s="8"/>
      <c r="AH1193" s="8"/>
      <c r="AK1193" cm="1">
        <f t="array" ref="AK1193">_xlfn.IFS(B1193="","",LEFT(G1193,1)="L",1,LEFT(G1193,1)="W",1,AND(LEFT(B1193,1)="H",G1193=""),0)</f>
        <v>1</v>
      </c>
      <c r="AS1193" t="str">
        <f t="shared" si="189"/>
        <v/>
      </c>
      <c r="AT1193" t="s">
        <v>115</v>
      </c>
      <c r="AU1193" t="str">
        <f t="shared" si="190"/>
        <v>0</v>
      </c>
      <c r="BD1193" t="str">
        <f t="shared" si="191"/>
        <v>0</v>
      </c>
      <c r="BK1193" t="str">
        <f>IFERROR(VLOOKUP(B1193,'[1]model_S-フレーム'!$F$5:$R$7000,13,1),"")</f>
        <v>E389460_01</v>
      </c>
      <c r="BL1193" s="7">
        <f>IFERROR(VLOOKUP(B1193,'[1]model_S-フレーム'!$F$5:$V$7000,17,1),"")</f>
        <v>0</v>
      </c>
      <c r="BM1193" t="str" cm="1">
        <f t="array" ref="BM1193">_xlfn.IFS(LEFT(G1193,1)="L","外注品",LEFT(G1193,1)="W","内製品",G1193="","購買品")</f>
        <v>内製品</v>
      </c>
    </row>
    <row r="1194" spans="1:65">
      <c r="A1194" t="str">
        <f t="shared" si="183"/>
        <v>WG01</v>
      </c>
      <c r="B1194" t="s">
        <v>1344</v>
      </c>
      <c r="C1194" t="s">
        <v>1528</v>
      </c>
      <c r="D1194" s="7"/>
      <c r="E1194" s="7"/>
      <c r="G1194" t="s">
        <v>1939</v>
      </c>
      <c r="H1194" t="str" cm="1">
        <f t="array" ref="H1194">IFERROR(_xlfn.IFS(B1194="","",AND(B1194="",G1194=""),"",G1194="","記載要"),"")</f>
        <v/>
      </c>
      <c r="K1194" t="str">
        <f t="shared" si="184"/>
        <v>11WP01008754</v>
      </c>
      <c r="L1194" s="3" t="str">
        <f t="shared" si="185"/>
        <v>2001/01/01</v>
      </c>
      <c r="M1194" s="3" t="str">
        <f t="shared" si="186"/>
        <v>2199/12/31</v>
      </c>
      <c r="N1194" t="str">
        <f t="shared" si="187"/>
        <v>11WP01008754</v>
      </c>
      <c r="O1194">
        <v>15</v>
      </c>
      <c r="Q1194" t="str" cm="1">
        <f t="array" ref="Q1194">_xlfn.IFS(AND(C1194="",G1194=""),"",LEFT(G1194,1)="L","記載要",LEFT(G1194,1)="W","",AND(C1194,G1194=""),"記載要")</f>
        <v/>
      </c>
      <c r="R1194" s="21" t="str">
        <f t="shared" si="192"/>
        <v/>
      </c>
      <c r="S1194" s="21"/>
      <c r="Z1194" s="8"/>
      <c r="AA1194">
        <v>1</v>
      </c>
      <c r="AB1194">
        <f t="shared" si="188"/>
        <v>0</v>
      </c>
      <c r="AC1194">
        <v>1</v>
      </c>
      <c r="AF1194">
        <v>1</v>
      </c>
      <c r="AG1194" s="8"/>
      <c r="AH1194" s="8"/>
      <c r="AK1194" cm="1">
        <f t="array" ref="AK1194">_xlfn.IFS(B1194="","",LEFT(G1194,1)="L",1,LEFT(G1194,1)="W",1,AND(LEFT(B1194,1)="H",G1194=""),0)</f>
        <v>1</v>
      </c>
      <c r="AS1194" t="str">
        <f t="shared" si="189"/>
        <v/>
      </c>
      <c r="AT1194" t="s">
        <v>115</v>
      </c>
      <c r="AU1194" t="str">
        <f t="shared" si="190"/>
        <v>0</v>
      </c>
      <c r="BD1194" t="str">
        <f t="shared" si="191"/>
        <v>0</v>
      </c>
      <c r="BK1194" t="str">
        <f>IFERROR(VLOOKUP(B1194,'[1]model_S-フレーム'!$F$5:$R$7000,13,1),"")</f>
        <v>E389460_01</v>
      </c>
      <c r="BL1194" s="7">
        <f>IFERROR(VLOOKUP(B1194,'[1]model_S-フレーム'!$F$5:$V$7000,17,1),"")</f>
        <v>0</v>
      </c>
      <c r="BM1194" t="str" cm="1">
        <f t="array" ref="BM1194">_xlfn.IFS(LEFT(G1194,1)="L","外注品",LEFT(G1194,1)="W","内製品",G1194="","購買品")</f>
        <v>内製品</v>
      </c>
    </row>
    <row r="1195" spans="1:65">
      <c r="A1195" t="str">
        <f t="shared" si="183"/>
        <v>WG01</v>
      </c>
      <c r="B1195" t="s">
        <v>1345</v>
      </c>
      <c r="C1195" t="s">
        <v>1528</v>
      </c>
      <c r="D1195" s="7"/>
      <c r="E1195" s="7"/>
      <c r="G1195" t="s">
        <v>1939</v>
      </c>
      <c r="H1195" t="str" cm="1">
        <f t="array" ref="H1195">IFERROR(_xlfn.IFS(B1195="","",AND(B1195="",G1195=""),"",G1195="","記載要"),"")</f>
        <v/>
      </c>
      <c r="K1195" t="str">
        <f t="shared" si="184"/>
        <v>11WP01008755</v>
      </c>
      <c r="L1195" s="3" t="str">
        <f t="shared" si="185"/>
        <v>2001/01/01</v>
      </c>
      <c r="M1195" s="3" t="str">
        <f t="shared" si="186"/>
        <v>2199/12/31</v>
      </c>
      <c r="N1195" t="str">
        <f t="shared" si="187"/>
        <v>11WP01008755</v>
      </c>
      <c r="O1195">
        <v>15</v>
      </c>
      <c r="Q1195" t="str" cm="1">
        <f t="array" ref="Q1195">_xlfn.IFS(AND(C1195="",G1195=""),"",LEFT(G1195,1)="L","記載要",LEFT(G1195,1)="W","",AND(C1195,G1195=""),"記載要")</f>
        <v/>
      </c>
      <c r="R1195" s="21" t="str">
        <f t="shared" si="192"/>
        <v/>
      </c>
      <c r="S1195" s="21"/>
      <c r="Z1195" s="8"/>
      <c r="AA1195">
        <v>1</v>
      </c>
      <c r="AB1195">
        <f t="shared" si="188"/>
        <v>0</v>
      </c>
      <c r="AC1195">
        <v>1</v>
      </c>
      <c r="AF1195">
        <v>1</v>
      </c>
      <c r="AG1195" s="8"/>
      <c r="AH1195" s="8"/>
      <c r="AK1195" cm="1">
        <f t="array" ref="AK1195">_xlfn.IFS(B1195="","",LEFT(G1195,1)="L",1,LEFT(G1195,1)="W",1,AND(LEFT(B1195,1)="H",G1195=""),0)</f>
        <v>1</v>
      </c>
      <c r="AS1195" t="str">
        <f t="shared" si="189"/>
        <v/>
      </c>
      <c r="AT1195" t="s">
        <v>115</v>
      </c>
      <c r="AU1195" t="str">
        <f t="shared" si="190"/>
        <v>0</v>
      </c>
      <c r="BD1195" t="str">
        <f t="shared" si="191"/>
        <v>0</v>
      </c>
      <c r="BK1195" t="str">
        <f>IFERROR(VLOOKUP(B1195,'[1]model_S-フレーム'!$F$5:$R$7000,13,1),"")</f>
        <v>E389460_01</v>
      </c>
      <c r="BL1195" s="7">
        <f>IFERROR(VLOOKUP(B1195,'[1]model_S-フレーム'!$F$5:$V$7000,17,1),"")</f>
        <v>0</v>
      </c>
      <c r="BM1195" t="str" cm="1">
        <f t="array" ref="BM1195">_xlfn.IFS(LEFT(G1195,1)="L","外注品",LEFT(G1195,1)="W","内製品",G1195="","購買品")</f>
        <v>内製品</v>
      </c>
    </row>
    <row r="1196" spans="1:65">
      <c r="A1196" t="str">
        <f t="shared" si="183"/>
        <v>WG01</v>
      </c>
      <c r="B1196" t="s">
        <v>1346</v>
      </c>
      <c r="C1196" t="s">
        <v>1528</v>
      </c>
      <c r="D1196" s="7"/>
      <c r="E1196" s="7"/>
      <c r="G1196" t="s">
        <v>1939</v>
      </c>
      <c r="H1196" t="str" cm="1">
        <f t="array" ref="H1196">IFERROR(_xlfn.IFS(B1196="","",AND(B1196="",G1196=""),"",G1196="","記載要"),"")</f>
        <v/>
      </c>
      <c r="K1196" t="str">
        <f t="shared" si="184"/>
        <v>11WP01008756</v>
      </c>
      <c r="L1196" s="3" t="str">
        <f t="shared" si="185"/>
        <v>2001/01/01</v>
      </c>
      <c r="M1196" s="3" t="str">
        <f t="shared" si="186"/>
        <v>2199/12/31</v>
      </c>
      <c r="N1196" t="str">
        <f t="shared" si="187"/>
        <v>11WP01008756</v>
      </c>
      <c r="O1196">
        <v>15</v>
      </c>
      <c r="Q1196" t="str" cm="1">
        <f t="array" ref="Q1196">_xlfn.IFS(AND(C1196="",G1196=""),"",LEFT(G1196,1)="L","記載要",LEFT(G1196,1)="W","",AND(C1196,G1196=""),"記載要")</f>
        <v/>
      </c>
      <c r="R1196" s="21" t="str">
        <f t="shared" si="192"/>
        <v/>
      </c>
      <c r="S1196" s="21"/>
      <c r="Z1196" s="8"/>
      <c r="AA1196">
        <v>1</v>
      </c>
      <c r="AB1196">
        <f t="shared" si="188"/>
        <v>0</v>
      </c>
      <c r="AC1196">
        <v>1</v>
      </c>
      <c r="AF1196">
        <v>1</v>
      </c>
      <c r="AG1196" s="8"/>
      <c r="AH1196" s="8"/>
      <c r="AK1196" cm="1">
        <f t="array" ref="AK1196">_xlfn.IFS(B1196="","",LEFT(G1196,1)="L",1,LEFT(G1196,1)="W",1,AND(LEFT(B1196,1)="H",G1196=""),0)</f>
        <v>1</v>
      </c>
      <c r="AS1196" t="str">
        <f t="shared" si="189"/>
        <v/>
      </c>
      <c r="AT1196" t="s">
        <v>115</v>
      </c>
      <c r="AU1196" t="str">
        <f t="shared" si="190"/>
        <v>0</v>
      </c>
      <c r="BD1196" t="str">
        <f t="shared" si="191"/>
        <v>0</v>
      </c>
      <c r="BK1196" t="str">
        <f>IFERROR(VLOOKUP(B1196,'[1]model_S-フレーム'!$F$5:$R$7000,13,1),"")</f>
        <v>E389460_01</v>
      </c>
      <c r="BL1196" s="7">
        <f>IFERROR(VLOOKUP(B1196,'[1]model_S-フレーム'!$F$5:$V$7000,17,1),"")</f>
        <v>0</v>
      </c>
      <c r="BM1196" t="str" cm="1">
        <f t="array" ref="BM1196">_xlfn.IFS(LEFT(G1196,1)="L","外注品",LEFT(G1196,1)="W","内製品",G1196="","購買品")</f>
        <v>内製品</v>
      </c>
    </row>
    <row r="1197" spans="1:65">
      <c r="A1197" t="str">
        <f t="shared" si="183"/>
        <v>WG01</v>
      </c>
      <c r="B1197" t="s">
        <v>1347</v>
      </c>
      <c r="C1197" t="s">
        <v>1528</v>
      </c>
      <c r="D1197" s="7"/>
      <c r="E1197" s="7"/>
      <c r="G1197" t="s">
        <v>1939</v>
      </c>
      <c r="H1197" t="str" cm="1">
        <f t="array" ref="H1197">IFERROR(_xlfn.IFS(B1197="","",AND(B1197="",G1197=""),"",G1197="","記載要"),"")</f>
        <v/>
      </c>
      <c r="K1197" t="str">
        <f t="shared" si="184"/>
        <v>11WP01008757</v>
      </c>
      <c r="L1197" s="3" t="str">
        <f t="shared" si="185"/>
        <v>2001/01/01</v>
      </c>
      <c r="M1197" s="3" t="str">
        <f t="shared" si="186"/>
        <v>2199/12/31</v>
      </c>
      <c r="N1197" t="str">
        <f t="shared" si="187"/>
        <v>11WP01008757</v>
      </c>
      <c r="O1197">
        <v>15</v>
      </c>
      <c r="Q1197" t="str" cm="1">
        <f t="array" ref="Q1197">_xlfn.IFS(AND(C1197="",G1197=""),"",LEFT(G1197,1)="L","記載要",LEFT(G1197,1)="W","",AND(C1197,G1197=""),"記載要")</f>
        <v/>
      </c>
      <c r="R1197" s="21" t="str">
        <f t="shared" si="192"/>
        <v/>
      </c>
      <c r="S1197" s="21"/>
      <c r="Z1197" s="8"/>
      <c r="AA1197">
        <v>1</v>
      </c>
      <c r="AB1197">
        <f t="shared" si="188"/>
        <v>0</v>
      </c>
      <c r="AC1197">
        <v>1</v>
      </c>
      <c r="AF1197">
        <v>1</v>
      </c>
      <c r="AG1197" s="8"/>
      <c r="AH1197" s="8"/>
      <c r="AK1197" cm="1">
        <f t="array" ref="AK1197">_xlfn.IFS(B1197="","",LEFT(G1197,1)="L",1,LEFT(G1197,1)="W",1,AND(LEFT(B1197,1)="H",G1197=""),0)</f>
        <v>1</v>
      </c>
      <c r="AS1197" t="str">
        <f t="shared" si="189"/>
        <v/>
      </c>
      <c r="AT1197" t="s">
        <v>115</v>
      </c>
      <c r="AU1197" t="str">
        <f t="shared" si="190"/>
        <v>0</v>
      </c>
      <c r="BD1197" t="str">
        <f t="shared" si="191"/>
        <v>0</v>
      </c>
      <c r="BK1197" t="str">
        <f>IFERROR(VLOOKUP(B1197,'[1]model_S-フレーム'!$F$5:$R$7000,13,1),"")</f>
        <v>E389460_01</v>
      </c>
      <c r="BL1197" s="7">
        <f>IFERROR(VLOOKUP(B1197,'[1]model_S-フレーム'!$F$5:$V$7000,17,1),"")</f>
        <v>0</v>
      </c>
      <c r="BM1197" t="str" cm="1">
        <f t="array" ref="BM1197">_xlfn.IFS(LEFT(G1197,1)="L","外注品",LEFT(G1197,1)="W","内製品",G1197="","購買品")</f>
        <v>内製品</v>
      </c>
    </row>
    <row r="1198" spans="1:65" s="13" customFormat="1">
      <c r="A1198" t="str">
        <f t="shared" si="183"/>
        <v>WG01</v>
      </c>
      <c r="B1198" t="s">
        <v>1348</v>
      </c>
      <c r="C1198" t="s">
        <v>1529</v>
      </c>
      <c r="D1198" s="7"/>
      <c r="E1198" s="7"/>
      <c r="F1198"/>
      <c r="G1198"/>
      <c r="H1198">
        <v>27616</v>
      </c>
      <c r="I1198"/>
      <c r="J1198"/>
      <c r="K1198" t="str">
        <f t="shared" si="184"/>
        <v/>
      </c>
      <c r="L1198" s="3" t="str">
        <f t="shared" si="185"/>
        <v>2001/01/01</v>
      </c>
      <c r="M1198" s="3" t="str">
        <f t="shared" si="186"/>
        <v>2199/12/31</v>
      </c>
      <c r="N1198" t="str">
        <f t="shared" si="187"/>
        <v/>
      </c>
      <c r="O1198" t="str">
        <f>IF(G1198="","","記載要")</f>
        <v/>
      </c>
      <c r="P1198"/>
      <c r="Q1198">
        <v>15</v>
      </c>
      <c r="R1198" s="21">
        <v>100000000</v>
      </c>
      <c r="S1198" s="21" t="str" cm="1">
        <f t="array" ref="S1198">_xlfn.IFS(LEFT(G1198,1)="L","記載要",LEFT(G1198,1)="W","記載要",G1198="","")</f>
        <v/>
      </c>
      <c r="T1198"/>
      <c r="U1198"/>
      <c r="V1198"/>
      <c r="W1198"/>
      <c r="X1198"/>
      <c r="Y1198"/>
      <c r="Z1198" s="8"/>
      <c r="AA1198" s="8">
        <v>1</v>
      </c>
      <c r="AB1198">
        <f t="shared" si="188"/>
        <v>0</v>
      </c>
      <c r="AC1198" s="8">
        <v>1</v>
      </c>
      <c r="AD1198"/>
      <c r="AE1198"/>
      <c r="AF1198">
        <v>1</v>
      </c>
      <c r="AG1198" s="8"/>
      <c r="AH1198" s="8"/>
      <c r="AI1198"/>
      <c r="AJ1198"/>
      <c r="AK1198" cm="1">
        <f t="array" ref="AK1198">_xlfn.IFS(B1198="","",LEFT(G1198,1)="L",1,LEFT(G1198,1)="W",1,AND(LEFT(B1198,1)="H",G1198=""),0)</f>
        <v>0</v>
      </c>
      <c r="AL1198"/>
      <c r="AM1198"/>
      <c r="AN1198"/>
      <c r="AO1198"/>
      <c r="AP1198"/>
      <c r="AQ1198"/>
      <c r="AR1198"/>
      <c r="AS1198">
        <f t="shared" si="189"/>
        <v>1</v>
      </c>
      <c r="AT1198" t="s">
        <v>115</v>
      </c>
      <c r="AU1198" t="str">
        <f t="shared" si="190"/>
        <v>0</v>
      </c>
      <c r="AV1198"/>
      <c r="AW1198"/>
      <c r="AX1198"/>
      <c r="AY1198"/>
      <c r="AZ1198"/>
      <c r="BA1198"/>
      <c r="BB1198"/>
      <c r="BC1198"/>
      <c r="BD1198" t="str">
        <f t="shared" si="191"/>
        <v>0</v>
      </c>
      <c r="BE1198"/>
      <c r="BF1198"/>
      <c r="BG1198"/>
      <c r="BH1198"/>
      <c r="BI1198"/>
      <c r="BJ1198"/>
      <c r="BK1198" s="13" t="str">
        <f>IFERROR(VLOOKUP(B1198,'[1]model_S-フレーム'!$F$5:$R$7000,13,1),"")</f>
        <v>E389460_01</v>
      </c>
      <c r="BL1198" s="14">
        <f>IFERROR(VLOOKUP(B1198,'[1]model_S-フレーム'!$F$5:$V$7000,17,1),"")</f>
        <v>0</v>
      </c>
      <c r="BM1198" s="13" t="str" cm="1">
        <f t="array" ref="BM1198">_xlfn.IFS(LEFT(G1198,1)="L","外注品",LEFT(G1198,1)="W","内製品",G1198="","購買品")</f>
        <v>購買品</v>
      </c>
    </row>
    <row r="1199" spans="1:65" s="13" customFormat="1">
      <c r="A1199" t="str">
        <f t="shared" si="183"/>
        <v>WG01</v>
      </c>
      <c r="B1199" t="s">
        <v>1348</v>
      </c>
      <c r="C1199" t="s">
        <v>1529</v>
      </c>
      <c r="D1199" s="7"/>
      <c r="E1199" s="7"/>
      <c r="F1199"/>
      <c r="G1199"/>
      <c r="H1199">
        <v>43453</v>
      </c>
      <c r="I1199"/>
      <c r="J1199"/>
      <c r="K1199" t="str">
        <f t="shared" si="184"/>
        <v/>
      </c>
      <c r="L1199" s="3" t="str">
        <f t="shared" si="185"/>
        <v>2001/01/01</v>
      </c>
      <c r="M1199" s="3" t="str">
        <f t="shared" si="186"/>
        <v>2199/12/31</v>
      </c>
      <c r="N1199" t="str">
        <f t="shared" si="187"/>
        <v/>
      </c>
      <c r="O1199" t="str">
        <f>IF(G1199="","","記載要")</f>
        <v/>
      </c>
      <c r="P1199"/>
      <c r="Q1199">
        <v>15</v>
      </c>
      <c r="R1199" s="21">
        <v>100000000</v>
      </c>
      <c r="S1199" s="21" t="str" cm="1">
        <f t="array" ref="S1199">_xlfn.IFS(LEFT(G1199,1)="L","記載要",LEFT(G1199,1)="W","記載要",G1199="","")</f>
        <v/>
      </c>
      <c r="T1199"/>
      <c r="U1199"/>
      <c r="V1199"/>
      <c r="W1199"/>
      <c r="X1199"/>
      <c r="Y1199"/>
      <c r="Z1199" s="8"/>
      <c r="AA1199" s="8">
        <v>1</v>
      </c>
      <c r="AB1199">
        <f t="shared" si="188"/>
        <v>0</v>
      </c>
      <c r="AC1199" s="8">
        <v>1</v>
      </c>
      <c r="AD1199"/>
      <c r="AE1199"/>
      <c r="AF1199">
        <v>0</v>
      </c>
      <c r="AG1199" s="8"/>
      <c r="AH1199" s="8"/>
      <c r="AI1199"/>
      <c r="AJ1199"/>
      <c r="AK1199" cm="1">
        <f t="array" ref="AK1199">_xlfn.IFS(B1199="","",LEFT(G1199,1)="L",1,LEFT(G1199,1)="W",1,AND(LEFT(B1199,1)="H",G1199=""),0)</f>
        <v>0</v>
      </c>
      <c r="AL1199"/>
      <c r="AM1199"/>
      <c r="AN1199"/>
      <c r="AO1199"/>
      <c r="AP1199"/>
      <c r="AQ1199"/>
      <c r="AR1199"/>
      <c r="AS1199">
        <f t="shared" si="189"/>
        <v>1</v>
      </c>
      <c r="AT1199" t="s">
        <v>115</v>
      </c>
      <c r="AU1199" t="str">
        <f t="shared" si="190"/>
        <v>0</v>
      </c>
      <c r="AV1199"/>
      <c r="AW1199"/>
      <c r="AX1199"/>
      <c r="AY1199"/>
      <c r="AZ1199"/>
      <c r="BA1199"/>
      <c r="BB1199"/>
      <c r="BC1199"/>
      <c r="BD1199" t="str">
        <f t="shared" si="191"/>
        <v>0</v>
      </c>
      <c r="BE1199"/>
      <c r="BF1199"/>
      <c r="BG1199"/>
      <c r="BH1199"/>
      <c r="BI1199"/>
      <c r="BJ1199"/>
      <c r="BK1199" s="13" t="str">
        <f>IFERROR(VLOOKUP(B1199,'[1]model_S-フレーム'!$F$5:$R$7000,13,1),"")</f>
        <v>E389460_01</v>
      </c>
      <c r="BL1199" s="14">
        <f>IFERROR(VLOOKUP(B1199,'[1]model_S-フレーム'!$F$5:$V$7000,17,1),"")</f>
        <v>0</v>
      </c>
      <c r="BM1199" s="13" t="str" cm="1">
        <f t="array" ref="BM1199">_xlfn.IFS(LEFT(G1199,1)="L","外注品",LEFT(G1199,1)="W","内製品",G1199="","購買品")</f>
        <v>購買品</v>
      </c>
    </row>
    <row r="1200" spans="1:65" s="13" customFormat="1">
      <c r="A1200" t="str">
        <f t="shared" si="183"/>
        <v>WG01</v>
      </c>
      <c r="B1200" t="s">
        <v>1348</v>
      </c>
      <c r="C1200" t="s">
        <v>1529</v>
      </c>
      <c r="D1200" s="7"/>
      <c r="E1200" s="7"/>
      <c r="F1200"/>
      <c r="G1200"/>
      <c r="H1200">
        <v>47081</v>
      </c>
      <c r="I1200"/>
      <c r="J1200"/>
      <c r="K1200" t="str">
        <f t="shared" si="184"/>
        <v/>
      </c>
      <c r="L1200" s="3" t="str">
        <f t="shared" si="185"/>
        <v>2001/01/01</v>
      </c>
      <c r="M1200" s="3" t="str">
        <f t="shared" si="186"/>
        <v>2199/12/31</v>
      </c>
      <c r="N1200" t="str">
        <f t="shared" si="187"/>
        <v/>
      </c>
      <c r="O1200" t="str">
        <f>IF(G1200="","","記載要")</f>
        <v/>
      </c>
      <c r="P1200"/>
      <c r="Q1200">
        <v>15</v>
      </c>
      <c r="R1200" s="21">
        <v>100000000</v>
      </c>
      <c r="S1200" s="21" t="str" cm="1">
        <f t="array" ref="S1200">_xlfn.IFS(LEFT(G1200,1)="L","記載要",LEFT(G1200,1)="W","記載要",G1200="","")</f>
        <v/>
      </c>
      <c r="T1200"/>
      <c r="U1200"/>
      <c r="V1200"/>
      <c r="W1200"/>
      <c r="X1200"/>
      <c r="Y1200"/>
      <c r="Z1200" s="8"/>
      <c r="AA1200" s="8">
        <v>1</v>
      </c>
      <c r="AB1200">
        <f t="shared" si="188"/>
        <v>0</v>
      </c>
      <c r="AC1200" s="8">
        <v>1</v>
      </c>
      <c r="AD1200"/>
      <c r="AE1200"/>
      <c r="AF1200">
        <v>0</v>
      </c>
      <c r="AG1200" s="8"/>
      <c r="AH1200" s="8"/>
      <c r="AI1200"/>
      <c r="AJ1200"/>
      <c r="AK1200" cm="1">
        <f t="array" ref="AK1200">_xlfn.IFS(B1200="","",LEFT(G1200,1)="L",1,LEFT(G1200,1)="W",1,AND(LEFT(B1200,1)="H",G1200=""),0)</f>
        <v>0</v>
      </c>
      <c r="AL1200"/>
      <c r="AM1200"/>
      <c r="AN1200"/>
      <c r="AO1200"/>
      <c r="AP1200"/>
      <c r="AQ1200"/>
      <c r="AR1200"/>
      <c r="AS1200">
        <f t="shared" si="189"/>
        <v>1</v>
      </c>
      <c r="AT1200" t="s">
        <v>115</v>
      </c>
      <c r="AU1200" t="str">
        <f t="shared" si="190"/>
        <v>0</v>
      </c>
      <c r="AV1200"/>
      <c r="AW1200"/>
      <c r="AX1200"/>
      <c r="AY1200"/>
      <c r="AZ1200"/>
      <c r="BA1200"/>
      <c r="BB1200"/>
      <c r="BC1200"/>
      <c r="BD1200" t="str">
        <f t="shared" si="191"/>
        <v>0</v>
      </c>
      <c r="BE1200"/>
      <c r="BF1200"/>
      <c r="BG1200"/>
      <c r="BH1200"/>
      <c r="BI1200"/>
      <c r="BJ1200"/>
      <c r="BK1200" s="13" t="str">
        <f>IFERROR(VLOOKUP(B1200,'[1]model_S-フレーム'!$F$5:$R$7000,13,1),"")</f>
        <v>E389460_01</v>
      </c>
      <c r="BL1200" s="14">
        <f>IFERROR(VLOOKUP(B1200,'[1]model_S-フレーム'!$F$5:$V$7000,17,1),"")</f>
        <v>0</v>
      </c>
      <c r="BM1200" s="13" t="str" cm="1">
        <f t="array" ref="BM1200">_xlfn.IFS(LEFT(G1200,1)="L","外注品",LEFT(G1200,1)="W","内製品",G1200="","購買品")</f>
        <v>購買品</v>
      </c>
    </row>
    <row r="1201" spans="1:65">
      <c r="A1201" t="str">
        <f t="shared" si="183"/>
        <v>WG01</v>
      </c>
      <c r="B1201" t="s">
        <v>1348</v>
      </c>
      <c r="C1201" t="s">
        <v>1529</v>
      </c>
      <c r="D1201" s="7"/>
      <c r="E1201" s="7"/>
      <c r="H1201" s="19" t="s">
        <v>1937</v>
      </c>
      <c r="K1201" t="str">
        <f t="shared" si="184"/>
        <v/>
      </c>
      <c r="L1201" s="3" t="str">
        <f t="shared" si="185"/>
        <v>2001/01/01</v>
      </c>
      <c r="M1201" s="3" t="str">
        <f t="shared" si="186"/>
        <v>2199/12/31</v>
      </c>
      <c r="N1201" t="str">
        <f t="shared" si="187"/>
        <v/>
      </c>
      <c r="O1201" t="str">
        <f>IF(G1201="","","記載要")</f>
        <v/>
      </c>
      <c r="Q1201">
        <v>15</v>
      </c>
      <c r="R1201" s="21">
        <v>100000000</v>
      </c>
      <c r="S1201" s="21" t="str" cm="1">
        <f t="array" ref="S1201">_xlfn.IFS(LEFT(G1201,1)="L","記載要",LEFT(G1201,1)="W","記載要",G1201="","")</f>
        <v/>
      </c>
      <c r="Z1201" s="8"/>
      <c r="AA1201" s="8">
        <v>1</v>
      </c>
      <c r="AB1201">
        <f t="shared" si="188"/>
        <v>0</v>
      </c>
      <c r="AC1201" s="8">
        <v>1</v>
      </c>
      <c r="AF1201">
        <v>1</v>
      </c>
      <c r="AG1201" s="8"/>
      <c r="AH1201" s="8"/>
      <c r="AK1201" cm="1">
        <f t="array" ref="AK1201">_xlfn.IFS(B1201="","",LEFT(G1201,1)="L",1,LEFT(G1201,1)="W",1,AND(LEFT(B1201,1)="H",G1201=""),0)</f>
        <v>0</v>
      </c>
      <c r="AS1201">
        <f t="shared" si="189"/>
        <v>1</v>
      </c>
      <c r="AT1201" t="s">
        <v>115</v>
      </c>
      <c r="AU1201" t="str">
        <f t="shared" si="190"/>
        <v>0</v>
      </c>
      <c r="BD1201" t="str">
        <f t="shared" si="191"/>
        <v>0</v>
      </c>
      <c r="BK1201" t="str">
        <f>IFERROR(VLOOKUP(B1201,'[1]model_S-フレーム'!$F$5:$R$7000,13,1),"")</f>
        <v>E389460_01</v>
      </c>
      <c r="BL1201" s="7">
        <f>IFERROR(VLOOKUP(B1201,'[1]model_S-フレーム'!$F$5:$V$7000,17,1),"")</f>
        <v>0</v>
      </c>
      <c r="BM1201" t="str" cm="1">
        <f t="array" ref="BM1201">_xlfn.IFS(LEFT(G1201,1)="L","外注品",LEFT(G1201,1)="W","内製品",G1201="","購買品")</f>
        <v>購買品</v>
      </c>
    </row>
    <row r="1202" spans="1:65">
      <c r="A1202" t="str">
        <f t="shared" si="183"/>
        <v>WG01</v>
      </c>
      <c r="B1202" t="s">
        <v>1349</v>
      </c>
      <c r="C1202" t="s">
        <v>1530</v>
      </c>
      <c r="D1202" s="7"/>
      <c r="E1202" s="7"/>
      <c r="G1202" t="s">
        <v>1939</v>
      </c>
      <c r="H1202" t="str" cm="1">
        <f t="array" ref="H1202">IFERROR(_xlfn.IFS(B1202="","",AND(B1202="",G1202=""),"",G1202="","記載要"),"")</f>
        <v/>
      </c>
      <c r="K1202" t="str">
        <f t="shared" si="184"/>
        <v>11WP01008759</v>
      </c>
      <c r="L1202" s="3" t="str">
        <f t="shared" si="185"/>
        <v>2001/01/01</v>
      </c>
      <c r="M1202" s="3" t="str">
        <f t="shared" si="186"/>
        <v>2199/12/31</v>
      </c>
      <c r="N1202" t="str">
        <f t="shared" si="187"/>
        <v>11WP01008759</v>
      </c>
      <c r="O1202">
        <v>15</v>
      </c>
      <c r="Q1202" t="str" cm="1">
        <f t="array" ref="Q1202">_xlfn.IFS(AND(C1202="",G1202=""),"",LEFT(G1202,1)="L","記載要",LEFT(G1202,1)="W","",AND(C1202,G1202=""),"記載要")</f>
        <v/>
      </c>
      <c r="R1202" s="21" t="str">
        <f t="shared" si="192"/>
        <v/>
      </c>
      <c r="S1202" s="21"/>
      <c r="Z1202" s="8"/>
      <c r="AA1202">
        <v>1</v>
      </c>
      <c r="AB1202">
        <f t="shared" si="188"/>
        <v>0</v>
      </c>
      <c r="AC1202">
        <v>1</v>
      </c>
      <c r="AF1202">
        <v>1</v>
      </c>
      <c r="AG1202" s="8"/>
      <c r="AH1202" s="8"/>
      <c r="AK1202" cm="1">
        <f t="array" ref="AK1202">_xlfn.IFS(B1202="","",LEFT(G1202,1)="L",1,LEFT(G1202,1)="W",1,AND(LEFT(B1202,1)="H",G1202=""),0)</f>
        <v>1</v>
      </c>
      <c r="AS1202" t="str">
        <f t="shared" si="189"/>
        <v/>
      </c>
      <c r="AT1202" t="s">
        <v>115</v>
      </c>
      <c r="AU1202" t="str">
        <f t="shared" si="190"/>
        <v>0</v>
      </c>
      <c r="BD1202" t="str">
        <f t="shared" si="191"/>
        <v>0</v>
      </c>
      <c r="BK1202" t="str">
        <f>IFERROR(VLOOKUP(B1202,'[1]model_S-フレーム'!$F$5:$R$7000,13,1),"")</f>
        <v>E388248A_01</v>
      </c>
      <c r="BL1202" s="7">
        <f>IFERROR(VLOOKUP(B1202,'[1]model_S-フレーム'!$F$5:$V$7000,17,1),"")</f>
        <v>0</v>
      </c>
      <c r="BM1202" t="str" cm="1">
        <f t="array" ref="BM1202">_xlfn.IFS(LEFT(G1202,1)="L","外注品",LEFT(G1202,1)="W","内製品",G1202="","購買品")</f>
        <v>内製品</v>
      </c>
    </row>
    <row r="1203" spans="1:65">
      <c r="A1203" t="str">
        <f t="shared" si="183"/>
        <v>WG01</v>
      </c>
      <c r="B1203" t="s">
        <v>1350</v>
      </c>
      <c r="C1203" t="s">
        <v>1530</v>
      </c>
      <c r="D1203" s="7"/>
      <c r="E1203" s="7"/>
      <c r="G1203" t="s">
        <v>1939</v>
      </c>
      <c r="H1203" t="str" cm="1">
        <f t="array" ref="H1203">IFERROR(_xlfn.IFS(B1203="","",AND(B1203="",G1203=""),"",G1203="","記載要"),"")</f>
        <v/>
      </c>
      <c r="K1203" t="str">
        <f t="shared" si="184"/>
        <v>11WP01008760</v>
      </c>
      <c r="L1203" s="3" t="str">
        <f t="shared" si="185"/>
        <v>2001/01/01</v>
      </c>
      <c r="M1203" s="3" t="str">
        <f t="shared" si="186"/>
        <v>2199/12/31</v>
      </c>
      <c r="N1203" t="str">
        <f t="shared" si="187"/>
        <v>11WP01008760</v>
      </c>
      <c r="O1203">
        <v>15</v>
      </c>
      <c r="Q1203" t="str" cm="1">
        <f t="array" ref="Q1203">_xlfn.IFS(AND(C1203="",G1203=""),"",LEFT(G1203,1)="L","記載要",LEFT(G1203,1)="W","",AND(C1203,G1203=""),"記載要")</f>
        <v/>
      </c>
      <c r="R1203" s="21" t="str">
        <f t="shared" si="192"/>
        <v/>
      </c>
      <c r="S1203" s="21"/>
      <c r="Z1203" s="8"/>
      <c r="AA1203">
        <v>1</v>
      </c>
      <c r="AB1203">
        <f t="shared" si="188"/>
        <v>0</v>
      </c>
      <c r="AC1203">
        <v>1</v>
      </c>
      <c r="AF1203">
        <v>1</v>
      </c>
      <c r="AG1203" s="8"/>
      <c r="AH1203" s="8"/>
      <c r="AK1203" cm="1">
        <f t="array" ref="AK1203">_xlfn.IFS(B1203="","",LEFT(G1203,1)="L",1,LEFT(G1203,1)="W",1,AND(LEFT(B1203,1)="H",G1203=""),0)</f>
        <v>1</v>
      </c>
      <c r="AS1203" t="str">
        <f t="shared" si="189"/>
        <v/>
      </c>
      <c r="AT1203" t="s">
        <v>115</v>
      </c>
      <c r="AU1203" t="str">
        <f t="shared" si="190"/>
        <v>0</v>
      </c>
      <c r="BD1203" t="str">
        <f t="shared" si="191"/>
        <v>0</v>
      </c>
      <c r="BK1203" t="str">
        <f>IFERROR(VLOOKUP(B1203,'[1]model_S-フレーム'!$F$5:$R$7000,13,1),"")</f>
        <v>E388248A_01</v>
      </c>
      <c r="BL1203" s="7">
        <f>IFERROR(VLOOKUP(B1203,'[1]model_S-フレーム'!$F$5:$V$7000,17,1),"")</f>
        <v>0</v>
      </c>
      <c r="BM1203" t="str" cm="1">
        <f t="array" ref="BM1203">_xlfn.IFS(LEFT(G1203,1)="L","外注品",LEFT(G1203,1)="W","内製品",G1203="","購買品")</f>
        <v>内製品</v>
      </c>
    </row>
    <row r="1204" spans="1:65">
      <c r="A1204" t="str">
        <f t="shared" si="183"/>
        <v>WG01</v>
      </c>
      <c r="B1204" t="s">
        <v>1351</v>
      </c>
      <c r="C1204" t="s">
        <v>1530</v>
      </c>
      <c r="D1204" s="7"/>
      <c r="E1204" s="7"/>
      <c r="G1204" t="s">
        <v>1939</v>
      </c>
      <c r="H1204" t="str" cm="1">
        <f t="array" ref="H1204">IFERROR(_xlfn.IFS(B1204="","",AND(B1204="",G1204=""),"",G1204="","記載要"),"")</f>
        <v/>
      </c>
      <c r="K1204" t="str">
        <f t="shared" si="184"/>
        <v>11WP01008761</v>
      </c>
      <c r="L1204" s="3" t="str">
        <f t="shared" si="185"/>
        <v>2001/01/01</v>
      </c>
      <c r="M1204" s="3" t="str">
        <f t="shared" si="186"/>
        <v>2199/12/31</v>
      </c>
      <c r="N1204" t="str">
        <f t="shared" si="187"/>
        <v>11WP01008761</v>
      </c>
      <c r="O1204">
        <v>15</v>
      </c>
      <c r="Q1204" t="str" cm="1">
        <f t="array" ref="Q1204">_xlfn.IFS(AND(C1204="",G1204=""),"",LEFT(G1204,1)="L","記載要",LEFT(G1204,1)="W","",AND(C1204,G1204=""),"記載要")</f>
        <v/>
      </c>
      <c r="R1204" s="21" t="str">
        <f t="shared" si="192"/>
        <v/>
      </c>
      <c r="S1204" s="21"/>
      <c r="Z1204" s="8"/>
      <c r="AA1204">
        <v>1</v>
      </c>
      <c r="AB1204">
        <f t="shared" si="188"/>
        <v>0</v>
      </c>
      <c r="AC1204">
        <v>1</v>
      </c>
      <c r="AF1204">
        <v>1</v>
      </c>
      <c r="AG1204" s="8"/>
      <c r="AH1204" s="8"/>
      <c r="AK1204" cm="1">
        <f t="array" ref="AK1204">_xlfn.IFS(B1204="","",LEFT(G1204,1)="L",1,LEFT(G1204,1)="W",1,AND(LEFT(B1204,1)="H",G1204=""),0)</f>
        <v>1</v>
      </c>
      <c r="AS1204" t="str">
        <f t="shared" si="189"/>
        <v/>
      </c>
      <c r="AT1204" t="s">
        <v>115</v>
      </c>
      <c r="AU1204" t="str">
        <f t="shared" si="190"/>
        <v>0</v>
      </c>
      <c r="BD1204" t="str">
        <f t="shared" si="191"/>
        <v>0</v>
      </c>
      <c r="BK1204" t="str">
        <f>IFERROR(VLOOKUP(B1204,'[1]model_S-フレーム'!$F$5:$R$7000,13,1),"")</f>
        <v>E388248A_01</v>
      </c>
      <c r="BL1204" s="7">
        <f>IFERROR(VLOOKUP(B1204,'[1]model_S-フレーム'!$F$5:$V$7000,17,1),"")</f>
        <v>0</v>
      </c>
      <c r="BM1204" t="str" cm="1">
        <f t="array" ref="BM1204">_xlfn.IFS(LEFT(G1204,1)="L","外注品",LEFT(G1204,1)="W","内製品",G1204="","購買品")</f>
        <v>内製品</v>
      </c>
    </row>
    <row r="1205" spans="1:65">
      <c r="A1205" t="str">
        <f t="shared" si="183"/>
        <v>WG01</v>
      </c>
      <c r="B1205" t="s">
        <v>1352</v>
      </c>
      <c r="C1205" t="s">
        <v>1530</v>
      </c>
      <c r="D1205" s="7"/>
      <c r="E1205" s="7"/>
      <c r="G1205" t="s">
        <v>1939</v>
      </c>
      <c r="H1205" t="str" cm="1">
        <f t="array" ref="H1205">IFERROR(_xlfn.IFS(B1205="","",AND(B1205="",G1205=""),"",G1205="","記載要"),"")</f>
        <v/>
      </c>
      <c r="K1205" t="str">
        <f t="shared" si="184"/>
        <v>11WP01008762</v>
      </c>
      <c r="L1205" s="3" t="str">
        <f t="shared" si="185"/>
        <v>2001/01/01</v>
      </c>
      <c r="M1205" s="3" t="str">
        <f t="shared" si="186"/>
        <v>2199/12/31</v>
      </c>
      <c r="N1205" t="str">
        <f t="shared" si="187"/>
        <v>11WP01008762</v>
      </c>
      <c r="O1205">
        <v>15</v>
      </c>
      <c r="Q1205" t="str" cm="1">
        <f t="array" ref="Q1205">_xlfn.IFS(AND(C1205="",G1205=""),"",LEFT(G1205,1)="L","記載要",LEFT(G1205,1)="W","",AND(C1205,G1205=""),"記載要")</f>
        <v/>
      </c>
      <c r="R1205" s="21" t="str">
        <f t="shared" si="192"/>
        <v/>
      </c>
      <c r="S1205" s="21"/>
      <c r="Z1205" s="8"/>
      <c r="AA1205">
        <v>1</v>
      </c>
      <c r="AB1205">
        <f t="shared" si="188"/>
        <v>0</v>
      </c>
      <c r="AC1205">
        <v>1</v>
      </c>
      <c r="AF1205">
        <v>1</v>
      </c>
      <c r="AG1205" s="8"/>
      <c r="AH1205" s="8"/>
      <c r="AK1205" cm="1">
        <f t="array" ref="AK1205">_xlfn.IFS(B1205="","",LEFT(G1205,1)="L",1,LEFT(G1205,1)="W",1,AND(LEFT(B1205,1)="H",G1205=""),0)</f>
        <v>1</v>
      </c>
      <c r="AS1205" t="str">
        <f t="shared" si="189"/>
        <v/>
      </c>
      <c r="AT1205" t="s">
        <v>115</v>
      </c>
      <c r="AU1205" t="str">
        <f t="shared" si="190"/>
        <v>0</v>
      </c>
      <c r="BD1205" t="str">
        <f t="shared" si="191"/>
        <v>0</v>
      </c>
      <c r="BK1205" t="str">
        <f>IFERROR(VLOOKUP(B1205,'[1]model_S-フレーム'!$F$5:$R$7000,13,1),"")</f>
        <v>E388248A_01</v>
      </c>
      <c r="BL1205" s="7">
        <f>IFERROR(VLOOKUP(B1205,'[1]model_S-フレーム'!$F$5:$V$7000,17,1),"")</f>
        <v>0</v>
      </c>
      <c r="BM1205" t="str" cm="1">
        <f t="array" ref="BM1205">_xlfn.IFS(LEFT(G1205,1)="L","外注品",LEFT(G1205,1)="W","内製品",G1205="","購買品")</f>
        <v>内製品</v>
      </c>
    </row>
    <row r="1206" spans="1:65">
      <c r="A1206" t="str">
        <f t="shared" si="183"/>
        <v>WG01</v>
      </c>
      <c r="B1206" t="s">
        <v>1353</v>
      </c>
      <c r="C1206" t="s">
        <v>1531</v>
      </c>
      <c r="D1206" s="7"/>
      <c r="E1206" s="7"/>
      <c r="G1206" t="s">
        <v>1939</v>
      </c>
      <c r="H1206" t="str" cm="1">
        <f t="array" ref="H1206">IFERROR(_xlfn.IFS(B1206="","",AND(B1206="",G1206=""),"",G1206="","記載要"),"")</f>
        <v/>
      </c>
      <c r="K1206" t="str">
        <f t="shared" si="184"/>
        <v>11WP01008763</v>
      </c>
      <c r="L1206" s="3" t="str">
        <f t="shared" si="185"/>
        <v>2001/01/01</v>
      </c>
      <c r="M1206" s="3" t="str">
        <f t="shared" si="186"/>
        <v>2199/12/31</v>
      </c>
      <c r="N1206" t="str">
        <f t="shared" si="187"/>
        <v>11WP01008763</v>
      </c>
      <c r="O1206">
        <v>15</v>
      </c>
      <c r="Q1206" t="str" cm="1">
        <f t="array" ref="Q1206">_xlfn.IFS(AND(C1206="",G1206=""),"",LEFT(G1206,1)="L","記載要",LEFT(G1206,1)="W","",AND(C1206,G1206=""),"記載要")</f>
        <v/>
      </c>
      <c r="R1206" s="21" t="str">
        <f t="shared" si="192"/>
        <v/>
      </c>
      <c r="S1206" s="21"/>
      <c r="Z1206" s="8"/>
      <c r="AA1206">
        <v>1</v>
      </c>
      <c r="AB1206">
        <f t="shared" si="188"/>
        <v>0</v>
      </c>
      <c r="AC1206">
        <v>1</v>
      </c>
      <c r="AF1206">
        <v>1</v>
      </c>
      <c r="AG1206" s="8"/>
      <c r="AH1206" s="8"/>
      <c r="AK1206" cm="1">
        <f t="array" ref="AK1206">_xlfn.IFS(B1206="","",LEFT(G1206,1)="L",1,LEFT(G1206,1)="W",1,AND(LEFT(B1206,1)="H",G1206=""),0)</f>
        <v>1</v>
      </c>
      <c r="AS1206" t="str">
        <f t="shared" si="189"/>
        <v/>
      </c>
      <c r="AT1206" t="s">
        <v>115</v>
      </c>
      <c r="AU1206" t="str">
        <f t="shared" si="190"/>
        <v>0</v>
      </c>
      <c r="BD1206" t="str">
        <f t="shared" si="191"/>
        <v>0</v>
      </c>
      <c r="BK1206" t="str">
        <f>IFERROR(VLOOKUP(B1206,'[1]model_S-フレーム'!$F$5:$R$7000,13,1),"")</f>
        <v>E388248A_01</v>
      </c>
      <c r="BL1206" s="7">
        <f>IFERROR(VLOOKUP(B1206,'[1]model_S-フレーム'!$F$5:$V$7000,17,1),"")</f>
        <v>0</v>
      </c>
      <c r="BM1206" t="str" cm="1">
        <f t="array" ref="BM1206">_xlfn.IFS(LEFT(G1206,1)="L","外注品",LEFT(G1206,1)="W","内製品",G1206="","購買品")</f>
        <v>内製品</v>
      </c>
    </row>
    <row r="1207" spans="1:65">
      <c r="A1207" t="str">
        <f t="shared" si="183"/>
        <v>WG01</v>
      </c>
      <c r="B1207" t="s">
        <v>1354</v>
      </c>
      <c r="C1207" t="s">
        <v>1531</v>
      </c>
      <c r="D1207" s="7"/>
      <c r="E1207" s="7"/>
      <c r="G1207" t="s">
        <v>1939</v>
      </c>
      <c r="H1207" t="str" cm="1">
        <f t="array" ref="H1207">IFERROR(_xlfn.IFS(B1207="","",AND(B1207="",G1207=""),"",G1207="","記載要"),"")</f>
        <v/>
      </c>
      <c r="K1207" t="str">
        <f t="shared" si="184"/>
        <v>11WP01008764</v>
      </c>
      <c r="L1207" s="3" t="str">
        <f t="shared" si="185"/>
        <v>2001/01/01</v>
      </c>
      <c r="M1207" s="3" t="str">
        <f t="shared" si="186"/>
        <v>2199/12/31</v>
      </c>
      <c r="N1207" t="str">
        <f t="shared" si="187"/>
        <v>11WP01008764</v>
      </c>
      <c r="O1207">
        <v>15</v>
      </c>
      <c r="Q1207" t="str" cm="1">
        <f t="array" ref="Q1207">_xlfn.IFS(AND(C1207="",G1207=""),"",LEFT(G1207,1)="L","記載要",LEFT(G1207,1)="W","",AND(C1207,G1207=""),"記載要")</f>
        <v/>
      </c>
      <c r="R1207" s="21" t="str">
        <f t="shared" si="192"/>
        <v/>
      </c>
      <c r="S1207" s="21"/>
      <c r="Z1207" s="8"/>
      <c r="AA1207">
        <v>1</v>
      </c>
      <c r="AB1207">
        <f t="shared" si="188"/>
        <v>0</v>
      </c>
      <c r="AC1207">
        <v>1</v>
      </c>
      <c r="AF1207">
        <v>1</v>
      </c>
      <c r="AG1207" s="8"/>
      <c r="AH1207" s="8"/>
      <c r="AK1207" cm="1">
        <f t="array" ref="AK1207">_xlfn.IFS(B1207="","",LEFT(G1207,1)="L",1,LEFT(G1207,1)="W",1,AND(LEFT(B1207,1)="H",G1207=""),0)</f>
        <v>1</v>
      </c>
      <c r="AS1207" t="str">
        <f t="shared" si="189"/>
        <v/>
      </c>
      <c r="AT1207" t="s">
        <v>115</v>
      </c>
      <c r="AU1207" t="str">
        <f t="shared" si="190"/>
        <v>0</v>
      </c>
      <c r="BD1207" t="str">
        <f t="shared" si="191"/>
        <v>0</v>
      </c>
      <c r="BK1207" t="str">
        <f>IFERROR(VLOOKUP(B1207,'[1]model_S-フレーム'!$F$5:$R$7000,13,1),"")</f>
        <v>E388248A_01</v>
      </c>
      <c r="BL1207" s="7">
        <f>IFERROR(VLOOKUP(B1207,'[1]model_S-フレーム'!$F$5:$V$7000,17,1),"")</f>
        <v>0</v>
      </c>
      <c r="BM1207" t="str" cm="1">
        <f t="array" ref="BM1207">_xlfn.IFS(LEFT(G1207,1)="L","外注品",LEFT(G1207,1)="W","内製品",G1207="","購買品")</f>
        <v>内製品</v>
      </c>
    </row>
    <row r="1208" spans="1:65">
      <c r="A1208" t="str">
        <f t="shared" si="183"/>
        <v>WG01</v>
      </c>
      <c r="B1208" t="s">
        <v>1355</v>
      </c>
      <c r="C1208" t="s">
        <v>1531</v>
      </c>
      <c r="D1208" s="7"/>
      <c r="E1208" s="7"/>
      <c r="G1208" t="s">
        <v>1939</v>
      </c>
      <c r="H1208" t="str" cm="1">
        <f t="array" ref="H1208">IFERROR(_xlfn.IFS(B1208="","",AND(B1208="",G1208=""),"",G1208="","記載要"),"")</f>
        <v/>
      </c>
      <c r="K1208" t="str">
        <f t="shared" si="184"/>
        <v>11WP01008765</v>
      </c>
      <c r="L1208" s="3" t="str">
        <f t="shared" si="185"/>
        <v>2001/01/01</v>
      </c>
      <c r="M1208" s="3" t="str">
        <f t="shared" si="186"/>
        <v>2199/12/31</v>
      </c>
      <c r="N1208" t="str">
        <f t="shared" si="187"/>
        <v>11WP01008765</v>
      </c>
      <c r="O1208">
        <v>15</v>
      </c>
      <c r="Q1208" t="str" cm="1">
        <f t="array" ref="Q1208">_xlfn.IFS(AND(C1208="",G1208=""),"",LEFT(G1208,1)="L","記載要",LEFT(G1208,1)="W","",AND(C1208,G1208=""),"記載要")</f>
        <v/>
      </c>
      <c r="R1208" s="21" t="str">
        <f t="shared" si="192"/>
        <v/>
      </c>
      <c r="S1208" s="21"/>
      <c r="Z1208" s="8"/>
      <c r="AA1208">
        <v>1</v>
      </c>
      <c r="AB1208">
        <f t="shared" si="188"/>
        <v>0</v>
      </c>
      <c r="AC1208">
        <v>1</v>
      </c>
      <c r="AF1208">
        <v>1</v>
      </c>
      <c r="AG1208" s="8"/>
      <c r="AH1208" s="8"/>
      <c r="AK1208" cm="1">
        <f t="array" ref="AK1208">_xlfn.IFS(B1208="","",LEFT(G1208,1)="L",1,LEFT(G1208,1)="W",1,AND(LEFT(B1208,1)="H",G1208=""),0)</f>
        <v>1</v>
      </c>
      <c r="AS1208" t="str">
        <f t="shared" si="189"/>
        <v/>
      </c>
      <c r="AT1208" t="s">
        <v>115</v>
      </c>
      <c r="AU1208" t="str">
        <f t="shared" si="190"/>
        <v>0</v>
      </c>
      <c r="BD1208" t="str">
        <f t="shared" si="191"/>
        <v>0</v>
      </c>
      <c r="BK1208" t="str">
        <f>IFERROR(VLOOKUP(B1208,'[1]model_S-フレーム'!$F$5:$R$7000,13,1),"")</f>
        <v>E388248A_01</v>
      </c>
      <c r="BL1208" s="7">
        <f>IFERROR(VLOOKUP(B1208,'[1]model_S-フレーム'!$F$5:$V$7000,17,1),"")</f>
        <v>0</v>
      </c>
      <c r="BM1208" t="str" cm="1">
        <f t="array" ref="BM1208">_xlfn.IFS(LEFT(G1208,1)="L","外注品",LEFT(G1208,1)="W","内製品",G1208="","購買品")</f>
        <v>内製品</v>
      </c>
    </row>
    <row r="1209" spans="1:65">
      <c r="A1209" t="str">
        <f t="shared" si="183"/>
        <v>WG01</v>
      </c>
      <c r="B1209" t="s">
        <v>1356</v>
      </c>
      <c r="C1209" t="s">
        <v>1531</v>
      </c>
      <c r="D1209" s="7"/>
      <c r="E1209" s="7"/>
      <c r="G1209" t="s">
        <v>1939</v>
      </c>
      <c r="H1209" t="str" cm="1">
        <f t="array" ref="H1209">IFERROR(_xlfn.IFS(B1209="","",AND(B1209="",G1209=""),"",G1209="","記載要"),"")</f>
        <v/>
      </c>
      <c r="K1209" t="str">
        <f t="shared" si="184"/>
        <v>11WP01008766</v>
      </c>
      <c r="L1209" s="3" t="str">
        <f t="shared" si="185"/>
        <v>2001/01/01</v>
      </c>
      <c r="M1209" s="3" t="str">
        <f t="shared" si="186"/>
        <v>2199/12/31</v>
      </c>
      <c r="N1209" t="str">
        <f t="shared" si="187"/>
        <v>11WP01008766</v>
      </c>
      <c r="O1209">
        <v>15</v>
      </c>
      <c r="Q1209" t="str" cm="1">
        <f t="array" ref="Q1209">_xlfn.IFS(AND(C1209="",G1209=""),"",LEFT(G1209,1)="L","記載要",LEFT(G1209,1)="W","",AND(C1209,G1209=""),"記載要")</f>
        <v/>
      </c>
      <c r="R1209" s="21" t="str">
        <f t="shared" si="192"/>
        <v/>
      </c>
      <c r="S1209" s="21"/>
      <c r="Z1209" s="8"/>
      <c r="AA1209">
        <v>1</v>
      </c>
      <c r="AB1209">
        <f t="shared" si="188"/>
        <v>0</v>
      </c>
      <c r="AC1209">
        <v>1</v>
      </c>
      <c r="AF1209">
        <v>1</v>
      </c>
      <c r="AG1209" s="8"/>
      <c r="AH1209" s="8"/>
      <c r="AK1209" cm="1">
        <f t="array" ref="AK1209">_xlfn.IFS(B1209="","",LEFT(G1209,1)="L",1,LEFT(G1209,1)="W",1,AND(LEFT(B1209,1)="H",G1209=""),0)</f>
        <v>1</v>
      </c>
      <c r="AS1209" t="str">
        <f t="shared" si="189"/>
        <v/>
      </c>
      <c r="AT1209" t="s">
        <v>115</v>
      </c>
      <c r="AU1209" t="str">
        <f t="shared" si="190"/>
        <v>0</v>
      </c>
      <c r="BD1209" t="str">
        <f t="shared" si="191"/>
        <v>0</v>
      </c>
      <c r="BK1209" t="str">
        <f>IFERROR(VLOOKUP(B1209,'[1]model_S-フレーム'!$F$5:$R$7000,13,1),"")</f>
        <v>E388248A_01</v>
      </c>
      <c r="BL1209" s="7">
        <f>IFERROR(VLOOKUP(B1209,'[1]model_S-フレーム'!$F$5:$V$7000,17,1),"")</f>
        <v>0</v>
      </c>
      <c r="BM1209" t="str" cm="1">
        <f t="array" ref="BM1209">_xlfn.IFS(LEFT(G1209,1)="L","外注品",LEFT(G1209,1)="W","内製品",G1209="","購買品")</f>
        <v>内製品</v>
      </c>
    </row>
    <row r="1210" spans="1:65">
      <c r="A1210" t="str">
        <f t="shared" si="183"/>
        <v>WG01</v>
      </c>
      <c r="B1210" t="s">
        <v>1357</v>
      </c>
      <c r="C1210" t="s">
        <v>1532</v>
      </c>
      <c r="D1210" s="7"/>
      <c r="E1210" s="7"/>
      <c r="G1210" t="s">
        <v>1939</v>
      </c>
      <c r="H1210" t="str" cm="1">
        <f t="array" ref="H1210">IFERROR(_xlfn.IFS(B1210="","",AND(B1210="",G1210=""),"",G1210="","記載要"),"")</f>
        <v/>
      </c>
      <c r="K1210" t="str">
        <f t="shared" si="184"/>
        <v>11WP01008767</v>
      </c>
      <c r="L1210" s="3" t="str">
        <f t="shared" si="185"/>
        <v>2001/01/01</v>
      </c>
      <c r="M1210" s="3" t="str">
        <f t="shared" si="186"/>
        <v>2199/12/31</v>
      </c>
      <c r="N1210" t="str">
        <f t="shared" si="187"/>
        <v>11WP01008767</v>
      </c>
      <c r="O1210">
        <v>15</v>
      </c>
      <c r="Q1210" t="str" cm="1">
        <f t="array" ref="Q1210">_xlfn.IFS(AND(C1210="",G1210=""),"",LEFT(G1210,1)="L","記載要",LEFT(G1210,1)="W","",AND(C1210,G1210=""),"記載要")</f>
        <v/>
      </c>
      <c r="R1210" s="21" t="str">
        <f t="shared" si="192"/>
        <v/>
      </c>
      <c r="S1210" s="21"/>
      <c r="Z1210" s="8"/>
      <c r="AA1210">
        <v>1</v>
      </c>
      <c r="AB1210">
        <f t="shared" si="188"/>
        <v>0</v>
      </c>
      <c r="AC1210">
        <v>1</v>
      </c>
      <c r="AF1210">
        <v>1</v>
      </c>
      <c r="AG1210" s="8"/>
      <c r="AH1210" s="8"/>
      <c r="AK1210" cm="1">
        <f t="array" ref="AK1210">_xlfn.IFS(B1210="","",LEFT(G1210,1)="L",1,LEFT(G1210,1)="W",1,AND(LEFT(B1210,1)="H",G1210=""),0)</f>
        <v>1</v>
      </c>
      <c r="AS1210" t="str">
        <f t="shared" si="189"/>
        <v/>
      </c>
      <c r="AT1210" t="s">
        <v>115</v>
      </c>
      <c r="AU1210" t="str">
        <f t="shared" si="190"/>
        <v>0</v>
      </c>
      <c r="BD1210" t="str">
        <f t="shared" si="191"/>
        <v>0</v>
      </c>
      <c r="BK1210" t="str">
        <f>IFERROR(VLOOKUP(B1210,'[1]model_S-フレーム'!$F$5:$R$7000,13,1),"")</f>
        <v>E388248A_01</v>
      </c>
      <c r="BL1210" s="7">
        <f>IFERROR(VLOOKUP(B1210,'[1]model_S-フレーム'!$F$5:$V$7000,17,1),"")</f>
        <v>0</v>
      </c>
      <c r="BM1210" t="str" cm="1">
        <f t="array" ref="BM1210">_xlfn.IFS(LEFT(G1210,1)="L","外注品",LEFT(G1210,1)="W","内製品",G1210="","購買品")</f>
        <v>内製品</v>
      </c>
    </row>
    <row r="1211" spans="1:65">
      <c r="A1211" t="str">
        <f t="shared" si="183"/>
        <v>WG01</v>
      </c>
      <c r="B1211" t="s">
        <v>1358</v>
      </c>
      <c r="C1211" t="s">
        <v>1532</v>
      </c>
      <c r="D1211" s="7"/>
      <c r="E1211" s="7"/>
      <c r="G1211" t="s">
        <v>1939</v>
      </c>
      <c r="H1211" t="str" cm="1">
        <f t="array" ref="H1211">IFERROR(_xlfn.IFS(B1211="","",AND(B1211="",G1211=""),"",G1211="","記載要"),"")</f>
        <v/>
      </c>
      <c r="K1211" t="str">
        <f t="shared" si="184"/>
        <v>11WP01008768</v>
      </c>
      <c r="L1211" s="3" t="str">
        <f t="shared" si="185"/>
        <v>2001/01/01</v>
      </c>
      <c r="M1211" s="3" t="str">
        <f t="shared" si="186"/>
        <v>2199/12/31</v>
      </c>
      <c r="N1211" t="str">
        <f t="shared" si="187"/>
        <v>11WP01008768</v>
      </c>
      <c r="O1211">
        <v>15</v>
      </c>
      <c r="Q1211" t="str" cm="1">
        <f t="array" ref="Q1211">_xlfn.IFS(AND(C1211="",G1211=""),"",LEFT(G1211,1)="L","記載要",LEFT(G1211,1)="W","",AND(C1211,G1211=""),"記載要")</f>
        <v/>
      </c>
      <c r="R1211" s="21" t="str">
        <f t="shared" si="192"/>
        <v/>
      </c>
      <c r="S1211" s="21"/>
      <c r="Z1211" s="8"/>
      <c r="AA1211">
        <v>1</v>
      </c>
      <c r="AB1211">
        <f t="shared" si="188"/>
        <v>0</v>
      </c>
      <c r="AC1211">
        <v>1</v>
      </c>
      <c r="AF1211">
        <v>1</v>
      </c>
      <c r="AG1211" s="8"/>
      <c r="AH1211" s="8"/>
      <c r="AK1211" cm="1">
        <f t="array" ref="AK1211">_xlfn.IFS(B1211="","",LEFT(G1211,1)="L",1,LEFT(G1211,1)="W",1,AND(LEFT(B1211,1)="H",G1211=""),0)</f>
        <v>1</v>
      </c>
      <c r="AS1211" t="str">
        <f t="shared" si="189"/>
        <v/>
      </c>
      <c r="AT1211" t="s">
        <v>115</v>
      </c>
      <c r="AU1211" t="str">
        <f t="shared" si="190"/>
        <v>0</v>
      </c>
      <c r="BD1211" t="str">
        <f t="shared" si="191"/>
        <v>0</v>
      </c>
      <c r="BK1211" t="str">
        <f>IFERROR(VLOOKUP(B1211,'[1]model_S-フレーム'!$F$5:$R$7000,13,1),"")</f>
        <v>E388248A_01</v>
      </c>
      <c r="BL1211" s="7">
        <f>IFERROR(VLOOKUP(B1211,'[1]model_S-フレーム'!$F$5:$V$7000,17,1),"")</f>
        <v>0</v>
      </c>
      <c r="BM1211" t="str" cm="1">
        <f t="array" ref="BM1211">_xlfn.IFS(LEFT(G1211,1)="L","外注品",LEFT(G1211,1)="W","内製品",G1211="","購買品")</f>
        <v>内製品</v>
      </c>
    </row>
    <row r="1212" spans="1:65">
      <c r="A1212" t="str">
        <f t="shared" si="183"/>
        <v>WG01</v>
      </c>
      <c r="B1212" t="s">
        <v>1359</v>
      </c>
      <c r="C1212" t="s">
        <v>1532</v>
      </c>
      <c r="D1212" s="7"/>
      <c r="E1212" s="7"/>
      <c r="G1212" t="s">
        <v>1939</v>
      </c>
      <c r="H1212" t="str" cm="1">
        <f t="array" ref="H1212">IFERROR(_xlfn.IFS(B1212="","",AND(B1212="",G1212=""),"",G1212="","記載要"),"")</f>
        <v/>
      </c>
      <c r="K1212" t="str">
        <f t="shared" si="184"/>
        <v>11WP01008769</v>
      </c>
      <c r="L1212" s="3" t="str">
        <f t="shared" si="185"/>
        <v>2001/01/01</v>
      </c>
      <c r="M1212" s="3" t="str">
        <f t="shared" si="186"/>
        <v>2199/12/31</v>
      </c>
      <c r="N1212" t="str">
        <f t="shared" si="187"/>
        <v>11WP01008769</v>
      </c>
      <c r="O1212">
        <v>15</v>
      </c>
      <c r="Q1212" t="str" cm="1">
        <f t="array" ref="Q1212">_xlfn.IFS(AND(C1212="",G1212=""),"",LEFT(G1212,1)="L","記載要",LEFT(G1212,1)="W","",AND(C1212,G1212=""),"記載要")</f>
        <v/>
      </c>
      <c r="R1212" s="21" t="str">
        <f t="shared" si="192"/>
        <v/>
      </c>
      <c r="S1212" s="21"/>
      <c r="Z1212" s="8"/>
      <c r="AA1212">
        <v>1</v>
      </c>
      <c r="AB1212">
        <f t="shared" si="188"/>
        <v>0</v>
      </c>
      <c r="AC1212">
        <v>1</v>
      </c>
      <c r="AF1212">
        <v>1</v>
      </c>
      <c r="AG1212" s="8"/>
      <c r="AH1212" s="8"/>
      <c r="AK1212" cm="1">
        <f t="array" ref="AK1212">_xlfn.IFS(B1212="","",LEFT(G1212,1)="L",1,LEFT(G1212,1)="W",1,AND(LEFT(B1212,1)="H",G1212=""),0)</f>
        <v>1</v>
      </c>
      <c r="AS1212" t="str">
        <f t="shared" si="189"/>
        <v/>
      </c>
      <c r="AT1212" t="s">
        <v>115</v>
      </c>
      <c r="AU1212" t="str">
        <f t="shared" si="190"/>
        <v>0</v>
      </c>
      <c r="BD1212" t="str">
        <f t="shared" si="191"/>
        <v>0</v>
      </c>
      <c r="BK1212" t="str">
        <f>IFERROR(VLOOKUP(B1212,'[1]model_S-フレーム'!$F$5:$R$7000,13,1),"")</f>
        <v>E388248A_01</v>
      </c>
      <c r="BL1212" s="7">
        <f>IFERROR(VLOOKUP(B1212,'[1]model_S-フレーム'!$F$5:$V$7000,17,1),"")</f>
        <v>0</v>
      </c>
      <c r="BM1212" t="str" cm="1">
        <f t="array" ref="BM1212">_xlfn.IFS(LEFT(G1212,1)="L","外注品",LEFT(G1212,1)="W","内製品",G1212="","購買品")</f>
        <v>内製品</v>
      </c>
    </row>
    <row r="1213" spans="1:65">
      <c r="A1213" t="str">
        <f t="shared" si="183"/>
        <v>WG01</v>
      </c>
      <c r="B1213" t="s">
        <v>1360</v>
      </c>
      <c r="C1213" t="s">
        <v>1532</v>
      </c>
      <c r="D1213" s="7"/>
      <c r="E1213" s="7"/>
      <c r="G1213" t="s">
        <v>1939</v>
      </c>
      <c r="H1213" t="str" cm="1">
        <f t="array" ref="H1213">IFERROR(_xlfn.IFS(B1213="","",AND(B1213="",G1213=""),"",G1213="","記載要"),"")</f>
        <v/>
      </c>
      <c r="K1213" t="str">
        <f t="shared" si="184"/>
        <v>11WP01008770</v>
      </c>
      <c r="L1213" s="3" t="str">
        <f t="shared" si="185"/>
        <v>2001/01/01</v>
      </c>
      <c r="M1213" s="3" t="str">
        <f t="shared" si="186"/>
        <v>2199/12/31</v>
      </c>
      <c r="N1213" t="str">
        <f t="shared" si="187"/>
        <v>11WP01008770</v>
      </c>
      <c r="O1213">
        <v>15</v>
      </c>
      <c r="Q1213" t="str" cm="1">
        <f t="array" ref="Q1213">_xlfn.IFS(AND(C1213="",G1213=""),"",LEFT(G1213,1)="L","記載要",LEFT(G1213,1)="W","",AND(C1213,G1213=""),"記載要")</f>
        <v/>
      </c>
      <c r="R1213" s="21" t="str">
        <f t="shared" si="192"/>
        <v/>
      </c>
      <c r="S1213" s="21"/>
      <c r="Z1213" s="8"/>
      <c r="AA1213">
        <v>1</v>
      </c>
      <c r="AB1213">
        <f t="shared" si="188"/>
        <v>0</v>
      </c>
      <c r="AC1213">
        <v>1</v>
      </c>
      <c r="AF1213">
        <v>1</v>
      </c>
      <c r="AG1213" s="8"/>
      <c r="AH1213" s="8"/>
      <c r="AK1213" cm="1">
        <f t="array" ref="AK1213">_xlfn.IFS(B1213="","",LEFT(G1213,1)="L",1,LEFT(G1213,1)="W",1,AND(LEFT(B1213,1)="H",G1213=""),0)</f>
        <v>1</v>
      </c>
      <c r="AS1213" t="str">
        <f t="shared" si="189"/>
        <v/>
      </c>
      <c r="AT1213" t="s">
        <v>115</v>
      </c>
      <c r="AU1213" t="str">
        <f t="shared" si="190"/>
        <v>0</v>
      </c>
      <c r="BD1213" t="str">
        <f t="shared" si="191"/>
        <v>0</v>
      </c>
      <c r="BK1213" t="str">
        <f>IFERROR(VLOOKUP(B1213,'[1]model_S-フレーム'!$F$5:$R$7000,13,1),"")</f>
        <v>E388248A_01</v>
      </c>
      <c r="BL1213" s="7">
        <f>IFERROR(VLOOKUP(B1213,'[1]model_S-フレーム'!$F$5:$V$7000,17,1),"")</f>
        <v>0</v>
      </c>
      <c r="BM1213" t="str" cm="1">
        <f t="array" ref="BM1213">_xlfn.IFS(LEFT(G1213,1)="L","外注品",LEFT(G1213,1)="W","内製品",G1213="","購買品")</f>
        <v>内製品</v>
      </c>
    </row>
    <row r="1214" spans="1:65">
      <c r="A1214" t="str">
        <f t="shared" si="183"/>
        <v>WG01</v>
      </c>
      <c r="B1214" t="s">
        <v>1361</v>
      </c>
      <c r="C1214" t="s">
        <v>1533</v>
      </c>
      <c r="D1214" s="7"/>
      <c r="E1214" s="7"/>
      <c r="G1214" t="s">
        <v>1939</v>
      </c>
      <c r="H1214" t="str" cm="1">
        <f t="array" ref="H1214">IFERROR(_xlfn.IFS(B1214="","",AND(B1214="",G1214=""),"",G1214="","記載要"),"")</f>
        <v/>
      </c>
      <c r="K1214" t="str">
        <f t="shared" si="184"/>
        <v>11WP01008771</v>
      </c>
      <c r="L1214" s="3" t="str">
        <f t="shared" si="185"/>
        <v>2001/01/01</v>
      </c>
      <c r="M1214" s="3" t="str">
        <f t="shared" si="186"/>
        <v>2199/12/31</v>
      </c>
      <c r="N1214" t="str">
        <f t="shared" si="187"/>
        <v>11WP01008771</v>
      </c>
      <c r="O1214">
        <v>15</v>
      </c>
      <c r="Q1214" t="str" cm="1">
        <f t="array" ref="Q1214">_xlfn.IFS(AND(C1214="",G1214=""),"",LEFT(G1214,1)="L","記載要",LEFT(G1214,1)="W","",AND(C1214,G1214=""),"記載要")</f>
        <v/>
      </c>
      <c r="R1214" s="21" t="str">
        <f t="shared" si="192"/>
        <v/>
      </c>
      <c r="S1214" s="21"/>
      <c r="Z1214" s="8"/>
      <c r="AA1214">
        <v>1</v>
      </c>
      <c r="AB1214">
        <f t="shared" si="188"/>
        <v>0</v>
      </c>
      <c r="AC1214">
        <v>1</v>
      </c>
      <c r="AF1214">
        <v>1</v>
      </c>
      <c r="AG1214" s="8"/>
      <c r="AH1214" s="8"/>
      <c r="AK1214" cm="1">
        <f t="array" ref="AK1214">_xlfn.IFS(B1214="","",LEFT(G1214,1)="L",1,LEFT(G1214,1)="W",1,AND(LEFT(B1214,1)="H",G1214=""),0)</f>
        <v>1</v>
      </c>
      <c r="AS1214" t="str">
        <f t="shared" si="189"/>
        <v/>
      </c>
      <c r="AT1214" t="s">
        <v>115</v>
      </c>
      <c r="AU1214" t="str">
        <f t="shared" si="190"/>
        <v>0</v>
      </c>
      <c r="BD1214" t="str">
        <f t="shared" si="191"/>
        <v>0</v>
      </c>
      <c r="BK1214" t="str">
        <f>IFERROR(VLOOKUP(B1214,'[1]model_S-フレーム'!$F$5:$R$7000,13,1),"")</f>
        <v>E388248A_01</v>
      </c>
      <c r="BL1214" s="7">
        <f>IFERROR(VLOOKUP(B1214,'[1]model_S-フレーム'!$F$5:$V$7000,17,1),"")</f>
        <v>0</v>
      </c>
      <c r="BM1214" t="str" cm="1">
        <f t="array" ref="BM1214">_xlfn.IFS(LEFT(G1214,1)="L","外注品",LEFT(G1214,1)="W","内製品",G1214="","購買品")</f>
        <v>内製品</v>
      </c>
    </row>
    <row r="1215" spans="1:65">
      <c r="A1215" t="str">
        <f t="shared" si="183"/>
        <v>WG01</v>
      </c>
      <c r="B1215" t="s">
        <v>1362</v>
      </c>
      <c r="C1215" t="s">
        <v>1533</v>
      </c>
      <c r="D1215" s="7"/>
      <c r="E1215" s="7"/>
      <c r="G1215" t="s">
        <v>1939</v>
      </c>
      <c r="H1215" t="str" cm="1">
        <f t="array" ref="H1215">IFERROR(_xlfn.IFS(B1215="","",AND(B1215="",G1215=""),"",G1215="","記載要"),"")</f>
        <v/>
      </c>
      <c r="K1215" t="str">
        <f t="shared" si="184"/>
        <v>11WP01008772</v>
      </c>
      <c r="L1215" s="3" t="str">
        <f t="shared" si="185"/>
        <v>2001/01/01</v>
      </c>
      <c r="M1215" s="3" t="str">
        <f t="shared" si="186"/>
        <v>2199/12/31</v>
      </c>
      <c r="N1215" t="str">
        <f t="shared" si="187"/>
        <v>11WP01008772</v>
      </c>
      <c r="O1215">
        <v>15</v>
      </c>
      <c r="Q1215" t="str" cm="1">
        <f t="array" ref="Q1215">_xlfn.IFS(AND(C1215="",G1215=""),"",LEFT(G1215,1)="L","記載要",LEFT(G1215,1)="W","",AND(C1215,G1215=""),"記載要")</f>
        <v/>
      </c>
      <c r="R1215" s="21" t="str">
        <f t="shared" si="192"/>
        <v/>
      </c>
      <c r="S1215" s="21"/>
      <c r="Z1215" s="8"/>
      <c r="AA1215">
        <v>1</v>
      </c>
      <c r="AB1215">
        <f t="shared" si="188"/>
        <v>0</v>
      </c>
      <c r="AC1215">
        <v>1</v>
      </c>
      <c r="AF1215">
        <v>1</v>
      </c>
      <c r="AG1215" s="8"/>
      <c r="AH1215" s="8"/>
      <c r="AK1215" cm="1">
        <f t="array" ref="AK1215">_xlfn.IFS(B1215="","",LEFT(G1215,1)="L",1,LEFT(G1215,1)="W",1,AND(LEFT(B1215,1)="H",G1215=""),0)</f>
        <v>1</v>
      </c>
      <c r="AS1215" t="str">
        <f t="shared" si="189"/>
        <v/>
      </c>
      <c r="AT1215" t="s">
        <v>115</v>
      </c>
      <c r="AU1215" t="str">
        <f t="shared" si="190"/>
        <v>0</v>
      </c>
      <c r="BD1215" t="str">
        <f t="shared" si="191"/>
        <v>0</v>
      </c>
      <c r="BK1215" t="str">
        <f>IFERROR(VLOOKUP(B1215,'[1]model_S-フレーム'!$F$5:$R$7000,13,1),"")</f>
        <v>E388248A_01</v>
      </c>
      <c r="BL1215" s="7">
        <f>IFERROR(VLOOKUP(B1215,'[1]model_S-フレーム'!$F$5:$V$7000,17,1),"")</f>
        <v>0</v>
      </c>
      <c r="BM1215" t="str" cm="1">
        <f t="array" ref="BM1215">_xlfn.IFS(LEFT(G1215,1)="L","外注品",LEFT(G1215,1)="W","内製品",G1215="","購買品")</f>
        <v>内製品</v>
      </c>
    </row>
    <row r="1216" spans="1:65">
      <c r="A1216" t="str">
        <f t="shared" si="183"/>
        <v>WG01</v>
      </c>
      <c r="B1216" t="s">
        <v>1363</v>
      </c>
      <c r="C1216" t="s">
        <v>1533</v>
      </c>
      <c r="D1216" s="7"/>
      <c r="E1216" s="7"/>
      <c r="G1216" t="s">
        <v>1939</v>
      </c>
      <c r="H1216" t="str" cm="1">
        <f t="array" ref="H1216">IFERROR(_xlfn.IFS(B1216="","",AND(B1216="",G1216=""),"",G1216="","記載要"),"")</f>
        <v/>
      </c>
      <c r="K1216" t="str">
        <f t="shared" si="184"/>
        <v>11WP01008773</v>
      </c>
      <c r="L1216" s="3" t="str">
        <f t="shared" si="185"/>
        <v>2001/01/01</v>
      </c>
      <c r="M1216" s="3" t="str">
        <f t="shared" si="186"/>
        <v>2199/12/31</v>
      </c>
      <c r="N1216" t="str">
        <f t="shared" si="187"/>
        <v>11WP01008773</v>
      </c>
      <c r="O1216">
        <v>15</v>
      </c>
      <c r="Q1216" t="str" cm="1">
        <f t="array" ref="Q1216">_xlfn.IFS(AND(C1216="",G1216=""),"",LEFT(G1216,1)="L","記載要",LEFT(G1216,1)="W","",AND(C1216,G1216=""),"記載要")</f>
        <v/>
      </c>
      <c r="R1216" s="21" t="str">
        <f t="shared" si="192"/>
        <v/>
      </c>
      <c r="S1216" s="21"/>
      <c r="Z1216" s="8"/>
      <c r="AA1216">
        <v>1</v>
      </c>
      <c r="AB1216">
        <f t="shared" si="188"/>
        <v>0</v>
      </c>
      <c r="AC1216">
        <v>1</v>
      </c>
      <c r="AF1216">
        <v>1</v>
      </c>
      <c r="AG1216" s="8"/>
      <c r="AH1216" s="8"/>
      <c r="AK1216" cm="1">
        <f t="array" ref="AK1216">_xlfn.IFS(B1216="","",LEFT(G1216,1)="L",1,LEFT(G1216,1)="W",1,AND(LEFT(B1216,1)="H",G1216=""),0)</f>
        <v>1</v>
      </c>
      <c r="AS1216" t="str">
        <f t="shared" si="189"/>
        <v/>
      </c>
      <c r="AT1216" t="s">
        <v>115</v>
      </c>
      <c r="AU1216" t="str">
        <f t="shared" si="190"/>
        <v>0</v>
      </c>
      <c r="BD1216" t="str">
        <f t="shared" si="191"/>
        <v>0</v>
      </c>
      <c r="BK1216" t="str">
        <f>IFERROR(VLOOKUP(B1216,'[1]model_S-フレーム'!$F$5:$R$7000,13,1),"")</f>
        <v>E388248A_01</v>
      </c>
      <c r="BL1216" s="7">
        <f>IFERROR(VLOOKUP(B1216,'[1]model_S-フレーム'!$F$5:$V$7000,17,1),"")</f>
        <v>0</v>
      </c>
      <c r="BM1216" t="str" cm="1">
        <f t="array" ref="BM1216">_xlfn.IFS(LEFT(G1216,1)="L","外注品",LEFT(G1216,1)="W","内製品",G1216="","購買品")</f>
        <v>内製品</v>
      </c>
    </row>
    <row r="1217" spans="1:65">
      <c r="A1217" t="str">
        <f t="shared" si="183"/>
        <v>WG01</v>
      </c>
      <c r="B1217" t="s">
        <v>1364</v>
      </c>
      <c r="C1217" t="s">
        <v>1533</v>
      </c>
      <c r="D1217" s="7"/>
      <c r="E1217" s="7"/>
      <c r="G1217" t="s">
        <v>1939</v>
      </c>
      <c r="H1217" t="str" cm="1">
        <f t="array" ref="H1217">IFERROR(_xlfn.IFS(B1217="","",AND(B1217="",G1217=""),"",G1217="","記載要"),"")</f>
        <v/>
      </c>
      <c r="K1217" t="str">
        <f t="shared" si="184"/>
        <v>11WP01008774</v>
      </c>
      <c r="L1217" s="3" t="str">
        <f t="shared" si="185"/>
        <v>2001/01/01</v>
      </c>
      <c r="M1217" s="3" t="str">
        <f t="shared" si="186"/>
        <v>2199/12/31</v>
      </c>
      <c r="N1217" t="str">
        <f t="shared" si="187"/>
        <v>11WP01008774</v>
      </c>
      <c r="O1217">
        <v>15</v>
      </c>
      <c r="Q1217" t="str" cm="1">
        <f t="array" ref="Q1217">_xlfn.IFS(AND(C1217="",G1217=""),"",LEFT(G1217,1)="L","記載要",LEFT(G1217,1)="W","",AND(C1217,G1217=""),"記載要")</f>
        <v/>
      </c>
      <c r="R1217" s="21" t="str">
        <f t="shared" si="192"/>
        <v/>
      </c>
      <c r="S1217" s="21"/>
      <c r="Z1217" s="8"/>
      <c r="AA1217">
        <v>1</v>
      </c>
      <c r="AB1217">
        <f t="shared" si="188"/>
        <v>0</v>
      </c>
      <c r="AC1217">
        <v>1</v>
      </c>
      <c r="AF1217">
        <v>1</v>
      </c>
      <c r="AG1217" s="8"/>
      <c r="AH1217" s="8"/>
      <c r="AK1217" cm="1">
        <f t="array" ref="AK1217">_xlfn.IFS(B1217="","",LEFT(G1217,1)="L",1,LEFT(G1217,1)="W",1,AND(LEFT(B1217,1)="H",G1217=""),0)</f>
        <v>1</v>
      </c>
      <c r="AS1217" t="str">
        <f t="shared" si="189"/>
        <v/>
      </c>
      <c r="AT1217" t="s">
        <v>115</v>
      </c>
      <c r="AU1217" t="str">
        <f t="shared" si="190"/>
        <v>0</v>
      </c>
      <c r="BD1217" t="str">
        <f t="shared" si="191"/>
        <v>0</v>
      </c>
      <c r="BK1217" t="str">
        <f>IFERROR(VLOOKUP(B1217,'[1]model_S-フレーム'!$F$5:$R$7000,13,1),"")</f>
        <v>E388248A_01</v>
      </c>
      <c r="BL1217" s="7">
        <f>IFERROR(VLOOKUP(B1217,'[1]model_S-フレーム'!$F$5:$V$7000,17,1),"")</f>
        <v>0</v>
      </c>
      <c r="BM1217" t="str" cm="1">
        <f t="array" ref="BM1217">_xlfn.IFS(LEFT(G1217,1)="L","外注品",LEFT(G1217,1)="W","内製品",G1217="","購買品")</f>
        <v>内製品</v>
      </c>
    </row>
    <row r="1218" spans="1:65" s="13" customFormat="1">
      <c r="A1218" t="str">
        <f t="shared" si="183"/>
        <v>WG01</v>
      </c>
      <c r="B1218" t="s">
        <v>1365</v>
      </c>
      <c r="C1218" t="s">
        <v>1534</v>
      </c>
      <c r="D1218" s="7"/>
      <c r="E1218" s="7"/>
      <c r="F1218"/>
      <c r="G1218"/>
      <c r="H1218">
        <v>27616</v>
      </c>
      <c r="I1218"/>
      <c r="J1218"/>
      <c r="K1218" t="str">
        <f t="shared" si="184"/>
        <v/>
      </c>
      <c r="L1218" s="3" t="str">
        <f t="shared" si="185"/>
        <v>2001/01/01</v>
      </c>
      <c r="M1218" s="3" t="str">
        <f t="shared" si="186"/>
        <v>2199/12/31</v>
      </c>
      <c r="N1218" t="str">
        <f t="shared" si="187"/>
        <v/>
      </c>
      <c r="O1218" t="str">
        <f>IF(G1218="","","記載要")</f>
        <v/>
      </c>
      <c r="P1218"/>
      <c r="Q1218">
        <v>15</v>
      </c>
      <c r="R1218" s="21">
        <v>100000000</v>
      </c>
      <c r="S1218" s="21" t="str" cm="1">
        <f t="array" ref="S1218">_xlfn.IFS(LEFT(G1218,1)="L","記載要",LEFT(G1218,1)="W","記載要",G1218="","")</f>
        <v/>
      </c>
      <c r="T1218"/>
      <c r="U1218"/>
      <c r="V1218"/>
      <c r="W1218"/>
      <c r="X1218"/>
      <c r="Y1218"/>
      <c r="Z1218" s="8"/>
      <c r="AA1218" s="8">
        <v>1</v>
      </c>
      <c r="AB1218">
        <f t="shared" si="188"/>
        <v>0</v>
      </c>
      <c r="AC1218" s="8">
        <v>1</v>
      </c>
      <c r="AD1218"/>
      <c r="AE1218"/>
      <c r="AF1218">
        <v>1</v>
      </c>
      <c r="AG1218" s="8"/>
      <c r="AH1218" s="8"/>
      <c r="AI1218"/>
      <c r="AJ1218"/>
      <c r="AK1218" cm="1">
        <f t="array" ref="AK1218">_xlfn.IFS(B1218="","",LEFT(G1218,1)="L",1,LEFT(G1218,1)="W",1,AND(LEFT(B1218,1)="H",G1218=""),0)</f>
        <v>0</v>
      </c>
      <c r="AL1218"/>
      <c r="AM1218"/>
      <c r="AN1218"/>
      <c r="AO1218"/>
      <c r="AP1218"/>
      <c r="AQ1218"/>
      <c r="AR1218"/>
      <c r="AS1218">
        <f t="shared" si="189"/>
        <v>1</v>
      </c>
      <c r="AT1218" t="s">
        <v>115</v>
      </c>
      <c r="AU1218" t="str">
        <f t="shared" si="190"/>
        <v>0</v>
      </c>
      <c r="AV1218"/>
      <c r="AW1218"/>
      <c r="AX1218"/>
      <c r="AY1218"/>
      <c r="AZ1218"/>
      <c r="BA1218"/>
      <c r="BB1218"/>
      <c r="BC1218"/>
      <c r="BD1218" t="str">
        <f t="shared" si="191"/>
        <v>0</v>
      </c>
      <c r="BE1218"/>
      <c r="BF1218"/>
      <c r="BG1218"/>
      <c r="BH1218"/>
      <c r="BI1218"/>
      <c r="BJ1218"/>
      <c r="BK1218" s="13" t="str">
        <f>IFERROR(VLOOKUP(B1218,'[1]model_S-フレーム'!$F$5:$R$7000,13,1),"")</f>
        <v>E388248A_01</v>
      </c>
      <c r="BL1218" s="14">
        <f>IFERROR(VLOOKUP(B1218,'[1]model_S-フレーム'!$F$5:$V$7000,17,1),"")</f>
        <v>0</v>
      </c>
      <c r="BM1218" s="13" t="str" cm="1">
        <f t="array" ref="BM1218">_xlfn.IFS(LEFT(G1218,1)="L","外注品",LEFT(G1218,1)="W","内製品",G1218="","購買品")</f>
        <v>購買品</v>
      </c>
    </row>
    <row r="1219" spans="1:65" s="13" customFormat="1">
      <c r="A1219" t="str">
        <f t="shared" ref="A1219:A1282" si="193">IF(B1219="","","WG01")</f>
        <v>WG01</v>
      </c>
      <c r="B1219" t="s">
        <v>1365</v>
      </c>
      <c r="C1219" t="s">
        <v>1534</v>
      </c>
      <c r="D1219" s="7"/>
      <c r="E1219" s="7"/>
      <c r="F1219"/>
      <c r="G1219"/>
      <c r="H1219">
        <v>43453</v>
      </c>
      <c r="I1219"/>
      <c r="J1219"/>
      <c r="K1219" t="str">
        <f t="shared" ref="K1219:K1282" si="194">IF(G1219="","","11"&amp;G1219&amp;RIGHT(B1219,5))</f>
        <v/>
      </c>
      <c r="L1219" s="3" t="str">
        <f t="shared" ref="L1219:L1282" si="195">IF(B1219="","","2001/01/01")</f>
        <v>2001/01/01</v>
      </c>
      <c r="M1219" s="3" t="str">
        <f t="shared" ref="M1219:M1282" si="196">IF(C1219="","","2199/12/31")</f>
        <v>2199/12/31</v>
      </c>
      <c r="N1219" t="str">
        <f t="shared" ref="N1219:N1282" si="197">IF(LEFT(G1219,1)="W",K1219,"")</f>
        <v/>
      </c>
      <c r="O1219" t="str">
        <f>IF(G1219="","","記載要")</f>
        <v/>
      </c>
      <c r="P1219"/>
      <c r="Q1219">
        <v>15</v>
      </c>
      <c r="R1219" s="21">
        <v>100000000</v>
      </c>
      <c r="S1219" s="21" t="str" cm="1">
        <f t="array" ref="S1219">_xlfn.IFS(LEFT(G1219,1)="L","記載要",LEFT(G1219,1)="W","記載要",G1219="","")</f>
        <v/>
      </c>
      <c r="T1219"/>
      <c r="U1219"/>
      <c r="V1219"/>
      <c r="W1219"/>
      <c r="X1219"/>
      <c r="Y1219"/>
      <c r="Z1219" s="8"/>
      <c r="AA1219" s="8">
        <v>1</v>
      </c>
      <c r="AB1219">
        <f t="shared" ref="AB1219:AB1282" si="198">IF(B1219="","",0)</f>
        <v>0</v>
      </c>
      <c r="AC1219" s="8">
        <v>1</v>
      </c>
      <c r="AD1219"/>
      <c r="AE1219"/>
      <c r="AF1219">
        <v>0</v>
      </c>
      <c r="AG1219" s="8"/>
      <c r="AH1219" s="8"/>
      <c r="AI1219"/>
      <c r="AJ1219"/>
      <c r="AK1219" cm="1">
        <f t="array" ref="AK1219">_xlfn.IFS(B1219="","",LEFT(G1219,1)="L",1,LEFT(G1219,1)="W",1,AND(LEFT(B1219,1)="H",G1219=""),0)</f>
        <v>0</v>
      </c>
      <c r="AL1219"/>
      <c r="AM1219"/>
      <c r="AN1219"/>
      <c r="AO1219"/>
      <c r="AP1219"/>
      <c r="AQ1219"/>
      <c r="AR1219"/>
      <c r="AS1219">
        <f t="shared" ref="AS1219:AS1282" si="199">IF(Q1219="","",1)</f>
        <v>1</v>
      </c>
      <c r="AT1219" t="s">
        <v>115</v>
      </c>
      <c r="AU1219" t="str">
        <f t="shared" ref="AU1219:AU1282" si="200">IF(B1219="","","0")</f>
        <v>0</v>
      </c>
      <c r="AV1219"/>
      <c r="AW1219"/>
      <c r="AX1219"/>
      <c r="AY1219"/>
      <c r="AZ1219"/>
      <c r="BA1219"/>
      <c r="BB1219"/>
      <c r="BC1219"/>
      <c r="BD1219" t="str">
        <f t="shared" ref="BD1219:BD1282" si="201">IF(B1219="","","0")</f>
        <v>0</v>
      </c>
      <c r="BE1219"/>
      <c r="BF1219"/>
      <c r="BG1219"/>
      <c r="BH1219"/>
      <c r="BI1219"/>
      <c r="BJ1219"/>
      <c r="BK1219" s="13" t="str">
        <f>IFERROR(VLOOKUP(B1219,'[1]model_S-フレーム'!$F$5:$R$7000,13,1),"")</f>
        <v>E388248A_01</v>
      </c>
      <c r="BL1219" s="14">
        <f>IFERROR(VLOOKUP(B1219,'[1]model_S-フレーム'!$F$5:$V$7000,17,1),"")</f>
        <v>0</v>
      </c>
      <c r="BM1219" s="13" t="str" cm="1">
        <f t="array" ref="BM1219">_xlfn.IFS(LEFT(G1219,1)="L","外注品",LEFT(G1219,1)="W","内製品",G1219="","購買品")</f>
        <v>購買品</v>
      </c>
    </row>
    <row r="1220" spans="1:65" s="13" customFormat="1">
      <c r="A1220" t="str">
        <f t="shared" si="193"/>
        <v>WG01</v>
      </c>
      <c r="B1220" t="s">
        <v>1365</v>
      </c>
      <c r="C1220" t="s">
        <v>1534</v>
      </c>
      <c r="D1220" s="7"/>
      <c r="E1220" s="7"/>
      <c r="F1220"/>
      <c r="G1220"/>
      <c r="H1220">
        <v>47081</v>
      </c>
      <c r="I1220"/>
      <c r="J1220"/>
      <c r="K1220" t="str">
        <f t="shared" si="194"/>
        <v/>
      </c>
      <c r="L1220" s="3" t="str">
        <f t="shared" si="195"/>
        <v>2001/01/01</v>
      </c>
      <c r="M1220" s="3" t="str">
        <f t="shared" si="196"/>
        <v>2199/12/31</v>
      </c>
      <c r="N1220" t="str">
        <f t="shared" si="197"/>
        <v/>
      </c>
      <c r="O1220" t="str">
        <f>IF(G1220="","","記載要")</f>
        <v/>
      </c>
      <c r="P1220"/>
      <c r="Q1220">
        <v>15</v>
      </c>
      <c r="R1220" s="21">
        <v>100000000</v>
      </c>
      <c r="S1220" s="21" t="str" cm="1">
        <f t="array" ref="S1220">_xlfn.IFS(LEFT(G1220,1)="L","記載要",LEFT(G1220,1)="W","記載要",G1220="","")</f>
        <v/>
      </c>
      <c r="T1220"/>
      <c r="U1220"/>
      <c r="V1220"/>
      <c r="W1220"/>
      <c r="X1220"/>
      <c r="Y1220"/>
      <c r="Z1220" s="8"/>
      <c r="AA1220" s="8">
        <v>1</v>
      </c>
      <c r="AB1220">
        <f t="shared" si="198"/>
        <v>0</v>
      </c>
      <c r="AC1220" s="8">
        <v>1</v>
      </c>
      <c r="AD1220"/>
      <c r="AE1220"/>
      <c r="AF1220">
        <v>0</v>
      </c>
      <c r="AG1220" s="8"/>
      <c r="AH1220" s="8"/>
      <c r="AI1220"/>
      <c r="AJ1220"/>
      <c r="AK1220" cm="1">
        <f t="array" ref="AK1220">_xlfn.IFS(B1220="","",LEFT(G1220,1)="L",1,LEFT(G1220,1)="W",1,AND(LEFT(B1220,1)="H",G1220=""),0)</f>
        <v>0</v>
      </c>
      <c r="AL1220"/>
      <c r="AM1220"/>
      <c r="AN1220"/>
      <c r="AO1220"/>
      <c r="AP1220"/>
      <c r="AQ1220"/>
      <c r="AR1220"/>
      <c r="AS1220">
        <f t="shared" si="199"/>
        <v>1</v>
      </c>
      <c r="AT1220" t="s">
        <v>115</v>
      </c>
      <c r="AU1220" t="str">
        <f t="shared" si="200"/>
        <v>0</v>
      </c>
      <c r="AV1220"/>
      <c r="AW1220"/>
      <c r="AX1220"/>
      <c r="AY1220"/>
      <c r="AZ1220"/>
      <c r="BA1220"/>
      <c r="BB1220"/>
      <c r="BC1220"/>
      <c r="BD1220" t="str">
        <f t="shared" si="201"/>
        <v>0</v>
      </c>
      <c r="BE1220"/>
      <c r="BF1220"/>
      <c r="BG1220"/>
      <c r="BH1220"/>
      <c r="BI1220"/>
      <c r="BJ1220"/>
      <c r="BK1220" s="13" t="str">
        <f>IFERROR(VLOOKUP(B1220,'[1]model_S-フレーム'!$F$5:$R$7000,13,1),"")</f>
        <v>E388248A_01</v>
      </c>
      <c r="BL1220" s="14">
        <f>IFERROR(VLOOKUP(B1220,'[1]model_S-フレーム'!$F$5:$V$7000,17,1),"")</f>
        <v>0</v>
      </c>
      <c r="BM1220" s="13" t="str" cm="1">
        <f t="array" ref="BM1220">_xlfn.IFS(LEFT(G1220,1)="L","外注品",LEFT(G1220,1)="W","内製品",G1220="","購買品")</f>
        <v>購買品</v>
      </c>
    </row>
    <row r="1221" spans="1:65">
      <c r="A1221" t="str">
        <f t="shared" si="193"/>
        <v>WG01</v>
      </c>
      <c r="B1221" t="s">
        <v>1365</v>
      </c>
      <c r="C1221" t="s">
        <v>1534</v>
      </c>
      <c r="D1221" s="7"/>
      <c r="E1221" s="7"/>
      <c r="H1221" s="19" t="s">
        <v>1937</v>
      </c>
      <c r="K1221" t="str">
        <f t="shared" si="194"/>
        <v/>
      </c>
      <c r="L1221" s="3" t="str">
        <f t="shared" si="195"/>
        <v>2001/01/01</v>
      </c>
      <c r="M1221" s="3" t="str">
        <f t="shared" si="196"/>
        <v>2199/12/31</v>
      </c>
      <c r="N1221" t="str">
        <f t="shared" si="197"/>
        <v/>
      </c>
      <c r="O1221" t="str">
        <f>IF(G1221="","","記載要")</f>
        <v/>
      </c>
      <c r="Q1221">
        <v>15</v>
      </c>
      <c r="R1221" s="21">
        <v>100000000</v>
      </c>
      <c r="S1221" s="21" t="str" cm="1">
        <f t="array" ref="S1221">_xlfn.IFS(LEFT(G1221,1)="L","記載要",LEFT(G1221,1)="W","記載要",G1221="","")</f>
        <v/>
      </c>
      <c r="Z1221" s="8"/>
      <c r="AA1221" s="8">
        <v>1</v>
      </c>
      <c r="AB1221">
        <f t="shared" si="198"/>
        <v>0</v>
      </c>
      <c r="AC1221" s="8">
        <v>1</v>
      </c>
      <c r="AF1221">
        <v>0</v>
      </c>
      <c r="AG1221" s="8"/>
      <c r="AH1221" s="8"/>
      <c r="AK1221" cm="1">
        <f t="array" ref="AK1221">_xlfn.IFS(B1221="","",LEFT(G1221,1)="L",1,LEFT(G1221,1)="W",1,AND(LEFT(B1221,1)="H",G1221=""),0)</f>
        <v>0</v>
      </c>
      <c r="AS1221">
        <f t="shared" si="199"/>
        <v>1</v>
      </c>
      <c r="AT1221" t="s">
        <v>115</v>
      </c>
      <c r="AU1221" t="str">
        <f t="shared" si="200"/>
        <v>0</v>
      </c>
      <c r="BD1221" t="str">
        <f t="shared" si="201"/>
        <v>0</v>
      </c>
      <c r="BK1221" t="str">
        <f>IFERROR(VLOOKUP(B1221,'[1]model_S-フレーム'!$F$5:$R$7000,13,1),"")</f>
        <v>E388248A_01</v>
      </c>
      <c r="BL1221" s="7">
        <f>IFERROR(VLOOKUP(B1221,'[1]model_S-フレーム'!$F$5:$V$7000,17,1),"")</f>
        <v>0</v>
      </c>
      <c r="BM1221" t="str" cm="1">
        <f t="array" ref="BM1221">_xlfn.IFS(LEFT(G1221,1)="L","外注品",LEFT(G1221,1)="W","内製品",G1221="","購買品")</f>
        <v>購買品</v>
      </c>
    </row>
    <row r="1222" spans="1:65">
      <c r="A1222" t="str">
        <f t="shared" si="193"/>
        <v>WG01</v>
      </c>
      <c r="B1222" t="s">
        <v>1366</v>
      </c>
      <c r="C1222" t="s">
        <v>1530</v>
      </c>
      <c r="D1222" s="7"/>
      <c r="E1222" s="7"/>
      <c r="G1222" t="s">
        <v>1939</v>
      </c>
      <c r="H1222" t="str" cm="1">
        <f t="array" ref="H1222">IFERROR(_xlfn.IFS(B1222="","",AND(B1222="",G1222=""),"",G1222="","記載要"),"")</f>
        <v/>
      </c>
      <c r="K1222" t="str">
        <f t="shared" si="194"/>
        <v>11WP01008776</v>
      </c>
      <c r="L1222" s="3" t="str">
        <f t="shared" si="195"/>
        <v>2001/01/01</v>
      </c>
      <c r="M1222" s="3" t="str">
        <f t="shared" si="196"/>
        <v>2199/12/31</v>
      </c>
      <c r="N1222" t="str">
        <f t="shared" si="197"/>
        <v>11WP01008776</v>
      </c>
      <c r="O1222">
        <v>15</v>
      </c>
      <c r="Q1222" t="str" cm="1">
        <f t="array" ref="Q1222">_xlfn.IFS(AND(C1222="",G1222=""),"",LEFT(G1222,1)="L","記載要",LEFT(G1222,1)="W","",AND(C1222,G1222=""),"記載要")</f>
        <v/>
      </c>
      <c r="R1222" s="21" t="str">
        <f t="shared" ref="R1222:R1282" si="202">IF(H1222="","","記載要")</f>
        <v/>
      </c>
      <c r="S1222" s="21"/>
      <c r="Z1222" s="8"/>
      <c r="AA1222">
        <v>1</v>
      </c>
      <c r="AB1222">
        <f t="shared" si="198"/>
        <v>0</v>
      </c>
      <c r="AC1222">
        <v>1</v>
      </c>
      <c r="AF1222">
        <v>1</v>
      </c>
      <c r="AG1222" s="8"/>
      <c r="AH1222" s="8"/>
      <c r="AK1222" cm="1">
        <f t="array" ref="AK1222">_xlfn.IFS(B1222="","",LEFT(G1222,1)="L",1,LEFT(G1222,1)="W",1,AND(LEFT(B1222,1)="H",G1222=""),0)</f>
        <v>1</v>
      </c>
      <c r="AS1222" t="str">
        <f t="shared" si="199"/>
        <v/>
      </c>
      <c r="AT1222" t="s">
        <v>115</v>
      </c>
      <c r="AU1222" t="str">
        <f t="shared" si="200"/>
        <v>0</v>
      </c>
      <c r="BD1222" t="str">
        <f t="shared" si="201"/>
        <v>0</v>
      </c>
      <c r="BK1222" t="str">
        <f>IFERROR(VLOOKUP(B1222,'[1]model_S-フレーム'!$F$5:$R$7000,13,1),"")</f>
        <v>E388248B_01</v>
      </c>
      <c r="BL1222" s="7">
        <f>IFERROR(VLOOKUP(B1222,'[1]model_S-フレーム'!$F$5:$V$7000,17,1),"")</f>
        <v>0</v>
      </c>
      <c r="BM1222" t="str" cm="1">
        <f t="array" ref="BM1222">_xlfn.IFS(LEFT(G1222,1)="L","外注品",LEFT(G1222,1)="W","内製品",G1222="","購買品")</f>
        <v>内製品</v>
      </c>
    </row>
    <row r="1223" spans="1:65">
      <c r="A1223" t="str">
        <f t="shared" si="193"/>
        <v>WG01</v>
      </c>
      <c r="B1223" t="s">
        <v>1367</v>
      </c>
      <c r="C1223" t="s">
        <v>1530</v>
      </c>
      <c r="D1223" s="7"/>
      <c r="E1223" s="7"/>
      <c r="G1223" t="s">
        <v>1939</v>
      </c>
      <c r="H1223" t="str" cm="1">
        <f t="array" ref="H1223">IFERROR(_xlfn.IFS(B1223="","",AND(B1223="",G1223=""),"",G1223="","記載要"),"")</f>
        <v/>
      </c>
      <c r="K1223" t="str">
        <f t="shared" si="194"/>
        <v>11WP01008777</v>
      </c>
      <c r="L1223" s="3" t="str">
        <f t="shared" si="195"/>
        <v>2001/01/01</v>
      </c>
      <c r="M1223" s="3" t="str">
        <f t="shared" si="196"/>
        <v>2199/12/31</v>
      </c>
      <c r="N1223" t="str">
        <f t="shared" si="197"/>
        <v>11WP01008777</v>
      </c>
      <c r="O1223">
        <v>15</v>
      </c>
      <c r="Q1223" t="str" cm="1">
        <f t="array" ref="Q1223">_xlfn.IFS(AND(C1223="",G1223=""),"",LEFT(G1223,1)="L","記載要",LEFT(G1223,1)="W","",AND(C1223,G1223=""),"記載要")</f>
        <v/>
      </c>
      <c r="R1223" s="21" t="str">
        <f t="shared" si="202"/>
        <v/>
      </c>
      <c r="S1223" s="21"/>
      <c r="Z1223" s="8"/>
      <c r="AA1223">
        <v>1</v>
      </c>
      <c r="AB1223">
        <f t="shared" si="198"/>
        <v>0</v>
      </c>
      <c r="AC1223">
        <v>1</v>
      </c>
      <c r="AF1223">
        <v>1</v>
      </c>
      <c r="AG1223" s="8"/>
      <c r="AH1223" s="8"/>
      <c r="AK1223" cm="1">
        <f t="array" ref="AK1223">_xlfn.IFS(B1223="","",LEFT(G1223,1)="L",1,LEFT(G1223,1)="W",1,AND(LEFT(B1223,1)="H",G1223=""),0)</f>
        <v>1</v>
      </c>
      <c r="AS1223" t="str">
        <f t="shared" si="199"/>
        <v/>
      </c>
      <c r="AT1223" t="s">
        <v>115</v>
      </c>
      <c r="AU1223" t="str">
        <f t="shared" si="200"/>
        <v>0</v>
      </c>
      <c r="BD1223" t="str">
        <f t="shared" si="201"/>
        <v>0</v>
      </c>
      <c r="BK1223" t="str">
        <f>IFERROR(VLOOKUP(B1223,'[1]model_S-フレーム'!$F$5:$R$7000,13,1),"")</f>
        <v>E388248B_01</v>
      </c>
      <c r="BL1223" s="7">
        <f>IFERROR(VLOOKUP(B1223,'[1]model_S-フレーム'!$F$5:$V$7000,17,1),"")</f>
        <v>0</v>
      </c>
      <c r="BM1223" t="str" cm="1">
        <f t="array" ref="BM1223">_xlfn.IFS(LEFT(G1223,1)="L","外注品",LEFT(G1223,1)="W","内製品",G1223="","購買品")</f>
        <v>内製品</v>
      </c>
    </row>
    <row r="1224" spans="1:65">
      <c r="A1224" t="str">
        <f t="shared" si="193"/>
        <v>WG01</v>
      </c>
      <c r="B1224" t="s">
        <v>1368</v>
      </c>
      <c r="C1224" t="s">
        <v>1530</v>
      </c>
      <c r="D1224" s="7"/>
      <c r="E1224" s="7"/>
      <c r="G1224" t="s">
        <v>1939</v>
      </c>
      <c r="H1224" t="str" cm="1">
        <f t="array" ref="H1224">IFERROR(_xlfn.IFS(B1224="","",AND(B1224="",G1224=""),"",G1224="","記載要"),"")</f>
        <v/>
      </c>
      <c r="K1224" t="str">
        <f t="shared" si="194"/>
        <v>11WP01008778</v>
      </c>
      <c r="L1224" s="3" t="str">
        <f t="shared" si="195"/>
        <v>2001/01/01</v>
      </c>
      <c r="M1224" s="3" t="str">
        <f t="shared" si="196"/>
        <v>2199/12/31</v>
      </c>
      <c r="N1224" t="str">
        <f t="shared" si="197"/>
        <v>11WP01008778</v>
      </c>
      <c r="O1224">
        <v>15</v>
      </c>
      <c r="Q1224" t="str" cm="1">
        <f t="array" ref="Q1224">_xlfn.IFS(AND(C1224="",G1224=""),"",LEFT(G1224,1)="L","記載要",LEFT(G1224,1)="W","",AND(C1224,G1224=""),"記載要")</f>
        <v/>
      </c>
      <c r="R1224" s="21" t="str">
        <f t="shared" si="202"/>
        <v/>
      </c>
      <c r="S1224" s="21"/>
      <c r="Z1224" s="8"/>
      <c r="AA1224">
        <v>1</v>
      </c>
      <c r="AB1224">
        <f t="shared" si="198"/>
        <v>0</v>
      </c>
      <c r="AC1224">
        <v>1</v>
      </c>
      <c r="AF1224">
        <v>1</v>
      </c>
      <c r="AG1224" s="8"/>
      <c r="AH1224" s="8"/>
      <c r="AK1224" cm="1">
        <f t="array" ref="AK1224">_xlfn.IFS(B1224="","",LEFT(G1224,1)="L",1,LEFT(G1224,1)="W",1,AND(LEFT(B1224,1)="H",G1224=""),0)</f>
        <v>1</v>
      </c>
      <c r="AS1224" t="str">
        <f t="shared" si="199"/>
        <v/>
      </c>
      <c r="AT1224" t="s">
        <v>115</v>
      </c>
      <c r="AU1224" t="str">
        <f t="shared" si="200"/>
        <v>0</v>
      </c>
      <c r="BD1224" t="str">
        <f t="shared" si="201"/>
        <v>0</v>
      </c>
      <c r="BK1224" t="str">
        <f>IFERROR(VLOOKUP(B1224,'[1]model_S-フレーム'!$F$5:$R$7000,13,1),"")</f>
        <v>E388248B_01</v>
      </c>
      <c r="BL1224" s="7">
        <f>IFERROR(VLOOKUP(B1224,'[1]model_S-フレーム'!$F$5:$V$7000,17,1),"")</f>
        <v>0</v>
      </c>
      <c r="BM1224" t="str" cm="1">
        <f t="array" ref="BM1224">_xlfn.IFS(LEFT(G1224,1)="L","外注品",LEFT(G1224,1)="W","内製品",G1224="","購買品")</f>
        <v>内製品</v>
      </c>
    </row>
    <row r="1225" spans="1:65">
      <c r="A1225" t="str">
        <f t="shared" si="193"/>
        <v>WG01</v>
      </c>
      <c r="B1225" t="s">
        <v>1369</v>
      </c>
      <c r="C1225" t="s">
        <v>1530</v>
      </c>
      <c r="D1225" s="7"/>
      <c r="E1225" s="7"/>
      <c r="G1225" t="s">
        <v>1939</v>
      </c>
      <c r="H1225" t="str" cm="1">
        <f t="array" ref="H1225">IFERROR(_xlfn.IFS(B1225="","",AND(B1225="",G1225=""),"",G1225="","記載要"),"")</f>
        <v/>
      </c>
      <c r="K1225" t="str">
        <f t="shared" si="194"/>
        <v>11WP01008779</v>
      </c>
      <c r="L1225" s="3" t="str">
        <f t="shared" si="195"/>
        <v>2001/01/01</v>
      </c>
      <c r="M1225" s="3" t="str">
        <f t="shared" si="196"/>
        <v>2199/12/31</v>
      </c>
      <c r="N1225" t="str">
        <f t="shared" si="197"/>
        <v>11WP01008779</v>
      </c>
      <c r="O1225">
        <v>15</v>
      </c>
      <c r="Q1225" t="str" cm="1">
        <f t="array" ref="Q1225">_xlfn.IFS(AND(C1225="",G1225=""),"",LEFT(G1225,1)="L","記載要",LEFT(G1225,1)="W","",AND(C1225,G1225=""),"記載要")</f>
        <v/>
      </c>
      <c r="R1225" s="21" t="str">
        <f t="shared" si="202"/>
        <v/>
      </c>
      <c r="S1225" s="21"/>
      <c r="Z1225" s="8"/>
      <c r="AA1225">
        <v>1</v>
      </c>
      <c r="AB1225">
        <f t="shared" si="198"/>
        <v>0</v>
      </c>
      <c r="AC1225">
        <v>1</v>
      </c>
      <c r="AF1225">
        <v>1</v>
      </c>
      <c r="AG1225" s="8"/>
      <c r="AH1225" s="8"/>
      <c r="AK1225" cm="1">
        <f t="array" ref="AK1225">_xlfn.IFS(B1225="","",LEFT(G1225,1)="L",1,LEFT(G1225,1)="W",1,AND(LEFT(B1225,1)="H",G1225=""),0)</f>
        <v>1</v>
      </c>
      <c r="AS1225" t="str">
        <f t="shared" si="199"/>
        <v/>
      </c>
      <c r="AT1225" t="s">
        <v>115</v>
      </c>
      <c r="AU1225" t="str">
        <f t="shared" si="200"/>
        <v>0</v>
      </c>
      <c r="BD1225" t="str">
        <f t="shared" si="201"/>
        <v>0</v>
      </c>
      <c r="BK1225" t="str">
        <f>IFERROR(VLOOKUP(B1225,'[1]model_S-フレーム'!$F$5:$R$7000,13,1),"")</f>
        <v>E388248B_01</v>
      </c>
      <c r="BL1225" s="7">
        <f>IFERROR(VLOOKUP(B1225,'[1]model_S-フレーム'!$F$5:$V$7000,17,1),"")</f>
        <v>0</v>
      </c>
      <c r="BM1225" t="str" cm="1">
        <f t="array" ref="BM1225">_xlfn.IFS(LEFT(G1225,1)="L","外注品",LEFT(G1225,1)="W","内製品",G1225="","購買品")</f>
        <v>内製品</v>
      </c>
    </row>
    <row r="1226" spans="1:65">
      <c r="A1226" t="str">
        <f t="shared" si="193"/>
        <v>WG01</v>
      </c>
      <c r="B1226" t="s">
        <v>1370</v>
      </c>
      <c r="C1226" t="s">
        <v>1531</v>
      </c>
      <c r="D1226" s="7"/>
      <c r="E1226" s="7"/>
      <c r="G1226" t="s">
        <v>1939</v>
      </c>
      <c r="H1226" t="str" cm="1">
        <f t="array" ref="H1226">IFERROR(_xlfn.IFS(B1226="","",AND(B1226="",G1226=""),"",G1226="","記載要"),"")</f>
        <v/>
      </c>
      <c r="K1226" t="str">
        <f t="shared" si="194"/>
        <v>11WP01008780</v>
      </c>
      <c r="L1226" s="3" t="str">
        <f t="shared" si="195"/>
        <v>2001/01/01</v>
      </c>
      <c r="M1226" s="3" t="str">
        <f t="shared" si="196"/>
        <v>2199/12/31</v>
      </c>
      <c r="N1226" t="str">
        <f t="shared" si="197"/>
        <v>11WP01008780</v>
      </c>
      <c r="O1226">
        <v>15</v>
      </c>
      <c r="Q1226" t="str" cm="1">
        <f t="array" ref="Q1226">_xlfn.IFS(AND(C1226="",G1226=""),"",LEFT(G1226,1)="L","記載要",LEFT(G1226,1)="W","",AND(C1226,G1226=""),"記載要")</f>
        <v/>
      </c>
      <c r="R1226" s="21" t="str">
        <f t="shared" si="202"/>
        <v/>
      </c>
      <c r="S1226" s="21"/>
      <c r="Z1226" s="8"/>
      <c r="AA1226">
        <v>1</v>
      </c>
      <c r="AB1226">
        <f t="shared" si="198"/>
        <v>0</v>
      </c>
      <c r="AC1226">
        <v>1</v>
      </c>
      <c r="AF1226">
        <v>1</v>
      </c>
      <c r="AG1226" s="8"/>
      <c r="AH1226" s="8"/>
      <c r="AK1226" cm="1">
        <f t="array" ref="AK1226">_xlfn.IFS(B1226="","",LEFT(G1226,1)="L",1,LEFT(G1226,1)="W",1,AND(LEFT(B1226,1)="H",G1226=""),0)</f>
        <v>1</v>
      </c>
      <c r="AS1226" t="str">
        <f t="shared" si="199"/>
        <v/>
      </c>
      <c r="AT1226" t="s">
        <v>115</v>
      </c>
      <c r="AU1226" t="str">
        <f t="shared" si="200"/>
        <v>0</v>
      </c>
      <c r="BD1226" t="str">
        <f t="shared" si="201"/>
        <v>0</v>
      </c>
      <c r="BK1226" t="str">
        <f>IFERROR(VLOOKUP(B1226,'[1]model_S-フレーム'!$F$5:$R$7000,13,1),"")</f>
        <v>E388248B_01</v>
      </c>
      <c r="BL1226" s="7">
        <f>IFERROR(VLOOKUP(B1226,'[1]model_S-フレーム'!$F$5:$V$7000,17,1),"")</f>
        <v>0</v>
      </c>
      <c r="BM1226" t="str" cm="1">
        <f t="array" ref="BM1226">_xlfn.IFS(LEFT(G1226,1)="L","外注品",LEFT(G1226,1)="W","内製品",G1226="","購買品")</f>
        <v>内製品</v>
      </c>
    </row>
    <row r="1227" spans="1:65">
      <c r="A1227" t="str">
        <f t="shared" si="193"/>
        <v>WG01</v>
      </c>
      <c r="B1227" t="s">
        <v>1371</v>
      </c>
      <c r="C1227" t="s">
        <v>1531</v>
      </c>
      <c r="D1227" s="7"/>
      <c r="E1227" s="7"/>
      <c r="G1227" t="s">
        <v>1939</v>
      </c>
      <c r="H1227" t="str" cm="1">
        <f t="array" ref="H1227">IFERROR(_xlfn.IFS(B1227="","",AND(B1227="",G1227=""),"",G1227="","記載要"),"")</f>
        <v/>
      </c>
      <c r="K1227" t="str">
        <f t="shared" si="194"/>
        <v>11WP01008781</v>
      </c>
      <c r="L1227" s="3" t="str">
        <f t="shared" si="195"/>
        <v>2001/01/01</v>
      </c>
      <c r="M1227" s="3" t="str">
        <f t="shared" si="196"/>
        <v>2199/12/31</v>
      </c>
      <c r="N1227" t="str">
        <f t="shared" si="197"/>
        <v>11WP01008781</v>
      </c>
      <c r="O1227">
        <v>15</v>
      </c>
      <c r="Q1227" t="str" cm="1">
        <f t="array" ref="Q1227">_xlfn.IFS(AND(C1227="",G1227=""),"",LEFT(G1227,1)="L","記載要",LEFT(G1227,1)="W","",AND(C1227,G1227=""),"記載要")</f>
        <v/>
      </c>
      <c r="R1227" s="21" t="str">
        <f t="shared" si="202"/>
        <v/>
      </c>
      <c r="S1227" s="21"/>
      <c r="Z1227" s="8"/>
      <c r="AA1227">
        <v>1</v>
      </c>
      <c r="AB1227">
        <f t="shared" si="198"/>
        <v>0</v>
      </c>
      <c r="AC1227">
        <v>1</v>
      </c>
      <c r="AF1227">
        <v>1</v>
      </c>
      <c r="AG1227" s="8"/>
      <c r="AH1227" s="8"/>
      <c r="AK1227" cm="1">
        <f t="array" ref="AK1227">_xlfn.IFS(B1227="","",LEFT(G1227,1)="L",1,LEFT(G1227,1)="W",1,AND(LEFT(B1227,1)="H",G1227=""),0)</f>
        <v>1</v>
      </c>
      <c r="AS1227" t="str">
        <f t="shared" si="199"/>
        <v/>
      </c>
      <c r="AT1227" t="s">
        <v>115</v>
      </c>
      <c r="AU1227" t="str">
        <f t="shared" si="200"/>
        <v>0</v>
      </c>
      <c r="BD1227" t="str">
        <f t="shared" si="201"/>
        <v>0</v>
      </c>
      <c r="BK1227" t="str">
        <f>IFERROR(VLOOKUP(B1227,'[1]model_S-フレーム'!$F$5:$R$7000,13,1),"")</f>
        <v>E388248B_01</v>
      </c>
      <c r="BL1227" s="7">
        <f>IFERROR(VLOOKUP(B1227,'[1]model_S-フレーム'!$F$5:$V$7000,17,1),"")</f>
        <v>0</v>
      </c>
      <c r="BM1227" t="str" cm="1">
        <f t="array" ref="BM1227">_xlfn.IFS(LEFT(G1227,1)="L","外注品",LEFT(G1227,1)="W","内製品",G1227="","購買品")</f>
        <v>内製品</v>
      </c>
    </row>
    <row r="1228" spans="1:65">
      <c r="A1228" t="str">
        <f t="shared" si="193"/>
        <v>WG01</v>
      </c>
      <c r="B1228" t="s">
        <v>1372</v>
      </c>
      <c r="C1228" t="s">
        <v>1531</v>
      </c>
      <c r="D1228" s="7"/>
      <c r="E1228" s="7"/>
      <c r="G1228" t="s">
        <v>1939</v>
      </c>
      <c r="H1228" t="str" cm="1">
        <f t="array" ref="H1228">IFERROR(_xlfn.IFS(B1228="","",AND(B1228="",G1228=""),"",G1228="","記載要"),"")</f>
        <v/>
      </c>
      <c r="K1228" t="str">
        <f t="shared" si="194"/>
        <v>11WP01008782</v>
      </c>
      <c r="L1228" s="3" t="str">
        <f t="shared" si="195"/>
        <v>2001/01/01</v>
      </c>
      <c r="M1228" s="3" t="str">
        <f t="shared" si="196"/>
        <v>2199/12/31</v>
      </c>
      <c r="N1228" t="str">
        <f t="shared" si="197"/>
        <v>11WP01008782</v>
      </c>
      <c r="O1228">
        <v>15</v>
      </c>
      <c r="Q1228" t="str" cm="1">
        <f t="array" ref="Q1228">_xlfn.IFS(AND(C1228="",G1228=""),"",LEFT(G1228,1)="L","記載要",LEFT(G1228,1)="W","",AND(C1228,G1228=""),"記載要")</f>
        <v/>
      </c>
      <c r="R1228" s="21" t="str">
        <f t="shared" si="202"/>
        <v/>
      </c>
      <c r="S1228" s="21"/>
      <c r="Z1228" s="8"/>
      <c r="AA1228">
        <v>1</v>
      </c>
      <c r="AB1228">
        <f t="shared" si="198"/>
        <v>0</v>
      </c>
      <c r="AC1228">
        <v>1</v>
      </c>
      <c r="AF1228">
        <v>1</v>
      </c>
      <c r="AG1228" s="8"/>
      <c r="AH1228" s="8"/>
      <c r="AK1228" cm="1">
        <f t="array" ref="AK1228">_xlfn.IFS(B1228="","",LEFT(G1228,1)="L",1,LEFT(G1228,1)="W",1,AND(LEFT(B1228,1)="H",G1228=""),0)</f>
        <v>1</v>
      </c>
      <c r="AS1228" t="str">
        <f t="shared" si="199"/>
        <v/>
      </c>
      <c r="AT1228" t="s">
        <v>115</v>
      </c>
      <c r="AU1228" t="str">
        <f t="shared" si="200"/>
        <v>0</v>
      </c>
      <c r="BD1228" t="str">
        <f t="shared" si="201"/>
        <v>0</v>
      </c>
      <c r="BK1228" t="str">
        <f>IFERROR(VLOOKUP(B1228,'[1]model_S-フレーム'!$F$5:$R$7000,13,1),"")</f>
        <v>E388248B_01</v>
      </c>
      <c r="BL1228" s="7">
        <f>IFERROR(VLOOKUP(B1228,'[1]model_S-フレーム'!$F$5:$V$7000,17,1),"")</f>
        <v>0</v>
      </c>
      <c r="BM1228" t="str" cm="1">
        <f t="array" ref="BM1228">_xlfn.IFS(LEFT(G1228,1)="L","外注品",LEFT(G1228,1)="W","内製品",G1228="","購買品")</f>
        <v>内製品</v>
      </c>
    </row>
    <row r="1229" spans="1:65">
      <c r="A1229" t="str">
        <f t="shared" si="193"/>
        <v>WG01</v>
      </c>
      <c r="B1229" t="s">
        <v>1373</v>
      </c>
      <c r="C1229" t="s">
        <v>1531</v>
      </c>
      <c r="D1229" s="7"/>
      <c r="E1229" s="7"/>
      <c r="G1229" t="s">
        <v>1939</v>
      </c>
      <c r="H1229" t="str" cm="1">
        <f t="array" ref="H1229">IFERROR(_xlfn.IFS(B1229="","",AND(B1229="",G1229=""),"",G1229="","記載要"),"")</f>
        <v/>
      </c>
      <c r="K1229" t="str">
        <f t="shared" si="194"/>
        <v>11WP01008783</v>
      </c>
      <c r="L1229" s="3" t="str">
        <f t="shared" si="195"/>
        <v>2001/01/01</v>
      </c>
      <c r="M1229" s="3" t="str">
        <f t="shared" si="196"/>
        <v>2199/12/31</v>
      </c>
      <c r="N1229" t="str">
        <f t="shared" si="197"/>
        <v>11WP01008783</v>
      </c>
      <c r="O1229">
        <v>15</v>
      </c>
      <c r="Q1229" t="str" cm="1">
        <f t="array" ref="Q1229">_xlfn.IFS(AND(C1229="",G1229=""),"",LEFT(G1229,1)="L","記載要",LEFT(G1229,1)="W","",AND(C1229,G1229=""),"記載要")</f>
        <v/>
      </c>
      <c r="R1229" s="21" t="str">
        <f t="shared" si="202"/>
        <v/>
      </c>
      <c r="S1229" s="21"/>
      <c r="Z1229" s="8"/>
      <c r="AA1229">
        <v>1</v>
      </c>
      <c r="AB1229">
        <f t="shared" si="198"/>
        <v>0</v>
      </c>
      <c r="AC1229">
        <v>1</v>
      </c>
      <c r="AF1229">
        <v>1</v>
      </c>
      <c r="AG1229" s="8"/>
      <c r="AH1229" s="8"/>
      <c r="AK1229" cm="1">
        <f t="array" ref="AK1229">_xlfn.IFS(B1229="","",LEFT(G1229,1)="L",1,LEFT(G1229,1)="W",1,AND(LEFT(B1229,1)="H",G1229=""),0)</f>
        <v>1</v>
      </c>
      <c r="AS1229" t="str">
        <f t="shared" si="199"/>
        <v/>
      </c>
      <c r="AT1229" t="s">
        <v>115</v>
      </c>
      <c r="AU1229" t="str">
        <f t="shared" si="200"/>
        <v>0</v>
      </c>
      <c r="BD1229" t="str">
        <f t="shared" si="201"/>
        <v>0</v>
      </c>
      <c r="BK1229" t="str">
        <f>IFERROR(VLOOKUP(B1229,'[1]model_S-フレーム'!$F$5:$R$7000,13,1),"")</f>
        <v>E388248B_01</v>
      </c>
      <c r="BL1229" s="7">
        <f>IFERROR(VLOOKUP(B1229,'[1]model_S-フレーム'!$F$5:$V$7000,17,1),"")</f>
        <v>0</v>
      </c>
      <c r="BM1229" t="str" cm="1">
        <f t="array" ref="BM1229">_xlfn.IFS(LEFT(G1229,1)="L","外注品",LEFT(G1229,1)="W","内製品",G1229="","購買品")</f>
        <v>内製品</v>
      </c>
    </row>
    <row r="1230" spans="1:65">
      <c r="A1230" t="str">
        <f t="shared" si="193"/>
        <v>WG01</v>
      </c>
      <c r="B1230" t="s">
        <v>1374</v>
      </c>
      <c r="C1230" t="s">
        <v>1532</v>
      </c>
      <c r="D1230" s="7"/>
      <c r="E1230" s="7"/>
      <c r="G1230" t="s">
        <v>1939</v>
      </c>
      <c r="H1230" t="str" cm="1">
        <f t="array" ref="H1230">IFERROR(_xlfn.IFS(B1230="","",AND(B1230="",G1230=""),"",G1230="","記載要"),"")</f>
        <v/>
      </c>
      <c r="K1230" t="str">
        <f t="shared" si="194"/>
        <v>11WP01008784</v>
      </c>
      <c r="L1230" s="3" t="str">
        <f t="shared" si="195"/>
        <v>2001/01/01</v>
      </c>
      <c r="M1230" s="3" t="str">
        <f t="shared" si="196"/>
        <v>2199/12/31</v>
      </c>
      <c r="N1230" t="str">
        <f t="shared" si="197"/>
        <v>11WP01008784</v>
      </c>
      <c r="O1230">
        <v>15</v>
      </c>
      <c r="Q1230" t="str" cm="1">
        <f t="array" ref="Q1230">_xlfn.IFS(AND(C1230="",G1230=""),"",LEFT(G1230,1)="L","記載要",LEFT(G1230,1)="W","",AND(C1230,G1230=""),"記載要")</f>
        <v/>
      </c>
      <c r="R1230" s="21" t="str">
        <f t="shared" si="202"/>
        <v/>
      </c>
      <c r="S1230" s="21"/>
      <c r="Z1230" s="8"/>
      <c r="AA1230">
        <v>1</v>
      </c>
      <c r="AB1230">
        <f t="shared" si="198"/>
        <v>0</v>
      </c>
      <c r="AC1230">
        <v>1</v>
      </c>
      <c r="AF1230">
        <v>1</v>
      </c>
      <c r="AG1230" s="8"/>
      <c r="AH1230" s="8"/>
      <c r="AK1230" cm="1">
        <f t="array" ref="AK1230">_xlfn.IFS(B1230="","",LEFT(G1230,1)="L",1,LEFT(G1230,1)="W",1,AND(LEFT(B1230,1)="H",G1230=""),0)</f>
        <v>1</v>
      </c>
      <c r="AS1230" t="str">
        <f t="shared" si="199"/>
        <v/>
      </c>
      <c r="AT1230" t="s">
        <v>115</v>
      </c>
      <c r="AU1230" t="str">
        <f t="shared" si="200"/>
        <v>0</v>
      </c>
      <c r="BD1230" t="str">
        <f t="shared" si="201"/>
        <v>0</v>
      </c>
      <c r="BK1230" t="str">
        <f>IFERROR(VLOOKUP(B1230,'[1]model_S-フレーム'!$F$5:$R$7000,13,1),"")</f>
        <v>E388248B_01</v>
      </c>
      <c r="BL1230" s="7">
        <f>IFERROR(VLOOKUP(B1230,'[1]model_S-フレーム'!$F$5:$V$7000,17,1),"")</f>
        <v>0</v>
      </c>
      <c r="BM1230" t="str" cm="1">
        <f t="array" ref="BM1230">_xlfn.IFS(LEFT(G1230,1)="L","外注品",LEFT(G1230,1)="W","内製品",G1230="","購買品")</f>
        <v>内製品</v>
      </c>
    </row>
    <row r="1231" spans="1:65">
      <c r="A1231" t="str">
        <f t="shared" si="193"/>
        <v>WG01</v>
      </c>
      <c r="B1231" t="s">
        <v>1375</v>
      </c>
      <c r="C1231" t="s">
        <v>1532</v>
      </c>
      <c r="D1231" s="7"/>
      <c r="E1231" s="7"/>
      <c r="G1231" t="s">
        <v>1939</v>
      </c>
      <c r="H1231" t="str" cm="1">
        <f t="array" ref="H1231">IFERROR(_xlfn.IFS(B1231="","",AND(B1231="",G1231=""),"",G1231="","記載要"),"")</f>
        <v/>
      </c>
      <c r="K1231" t="str">
        <f t="shared" si="194"/>
        <v>11WP01008785</v>
      </c>
      <c r="L1231" s="3" t="str">
        <f t="shared" si="195"/>
        <v>2001/01/01</v>
      </c>
      <c r="M1231" s="3" t="str">
        <f t="shared" si="196"/>
        <v>2199/12/31</v>
      </c>
      <c r="N1231" t="str">
        <f t="shared" si="197"/>
        <v>11WP01008785</v>
      </c>
      <c r="O1231">
        <v>15</v>
      </c>
      <c r="Q1231" t="str" cm="1">
        <f t="array" ref="Q1231">_xlfn.IFS(AND(C1231="",G1231=""),"",LEFT(G1231,1)="L","記載要",LEFT(G1231,1)="W","",AND(C1231,G1231=""),"記載要")</f>
        <v/>
      </c>
      <c r="R1231" s="21" t="str">
        <f t="shared" si="202"/>
        <v/>
      </c>
      <c r="S1231" s="21"/>
      <c r="Z1231" s="8"/>
      <c r="AA1231">
        <v>1</v>
      </c>
      <c r="AB1231">
        <f t="shared" si="198"/>
        <v>0</v>
      </c>
      <c r="AC1231">
        <v>1</v>
      </c>
      <c r="AF1231">
        <v>1</v>
      </c>
      <c r="AG1231" s="8"/>
      <c r="AH1231" s="8"/>
      <c r="AK1231" cm="1">
        <f t="array" ref="AK1231">_xlfn.IFS(B1231="","",LEFT(G1231,1)="L",1,LEFT(G1231,1)="W",1,AND(LEFT(B1231,1)="H",G1231=""),0)</f>
        <v>1</v>
      </c>
      <c r="AS1231" t="str">
        <f t="shared" si="199"/>
        <v/>
      </c>
      <c r="AT1231" t="s">
        <v>115</v>
      </c>
      <c r="AU1231" t="str">
        <f t="shared" si="200"/>
        <v>0</v>
      </c>
      <c r="BD1231" t="str">
        <f t="shared" si="201"/>
        <v>0</v>
      </c>
      <c r="BK1231" t="str">
        <f>IFERROR(VLOOKUP(B1231,'[1]model_S-フレーム'!$F$5:$R$7000,13,1),"")</f>
        <v>E388248B_01</v>
      </c>
      <c r="BL1231" s="7">
        <f>IFERROR(VLOOKUP(B1231,'[1]model_S-フレーム'!$F$5:$V$7000,17,1),"")</f>
        <v>0</v>
      </c>
      <c r="BM1231" t="str" cm="1">
        <f t="array" ref="BM1231">_xlfn.IFS(LEFT(G1231,1)="L","外注品",LEFT(G1231,1)="W","内製品",G1231="","購買品")</f>
        <v>内製品</v>
      </c>
    </row>
    <row r="1232" spans="1:65">
      <c r="A1232" t="str">
        <f t="shared" si="193"/>
        <v>WG01</v>
      </c>
      <c r="B1232" t="s">
        <v>1376</v>
      </c>
      <c r="C1232" t="s">
        <v>1532</v>
      </c>
      <c r="D1232" s="7"/>
      <c r="E1232" s="7"/>
      <c r="G1232" t="s">
        <v>1939</v>
      </c>
      <c r="H1232" t="str" cm="1">
        <f t="array" ref="H1232">IFERROR(_xlfn.IFS(B1232="","",AND(B1232="",G1232=""),"",G1232="","記載要"),"")</f>
        <v/>
      </c>
      <c r="K1232" t="str">
        <f t="shared" si="194"/>
        <v>11WP01008786</v>
      </c>
      <c r="L1232" s="3" t="str">
        <f t="shared" si="195"/>
        <v>2001/01/01</v>
      </c>
      <c r="M1232" s="3" t="str">
        <f t="shared" si="196"/>
        <v>2199/12/31</v>
      </c>
      <c r="N1232" t="str">
        <f t="shared" si="197"/>
        <v>11WP01008786</v>
      </c>
      <c r="O1232">
        <v>15</v>
      </c>
      <c r="Q1232" t="str" cm="1">
        <f t="array" ref="Q1232">_xlfn.IFS(AND(C1232="",G1232=""),"",LEFT(G1232,1)="L","記載要",LEFT(G1232,1)="W","",AND(C1232,G1232=""),"記載要")</f>
        <v/>
      </c>
      <c r="R1232" s="21" t="str">
        <f t="shared" si="202"/>
        <v/>
      </c>
      <c r="S1232" s="21"/>
      <c r="Z1232" s="8"/>
      <c r="AA1232">
        <v>1</v>
      </c>
      <c r="AB1232">
        <f t="shared" si="198"/>
        <v>0</v>
      </c>
      <c r="AC1232">
        <v>1</v>
      </c>
      <c r="AF1232">
        <v>1</v>
      </c>
      <c r="AG1232" s="8"/>
      <c r="AH1232" s="8"/>
      <c r="AK1232" cm="1">
        <f t="array" ref="AK1232">_xlfn.IFS(B1232="","",LEFT(G1232,1)="L",1,LEFT(G1232,1)="W",1,AND(LEFT(B1232,1)="H",G1232=""),0)</f>
        <v>1</v>
      </c>
      <c r="AS1232" t="str">
        <f t="shared" si="199"/>
        <v/>
      </c>
      <c r="AT1232" t="s">
        <v>115</v>
      </c>
      <c r="AU1232" t="str">
        <f t="shared" si="200"/>
        <v>0</v>
      </c>
      <c r="BD1232" t="str">
        <f t="shared" si="201"/>
        <v>0</v>
      </c>
      <c r="BK1232" t="str">
        <f>IFERROR(VLOOKUP(B1232,'[1]model_S-フレーム'!$F$5:$R$7000,13,1),"")</f>
        <v>E388248B_01</v>
      </c>
      <c r="BL1232" s="7">
        <f>IFERROR(VLOOKUP(B1232,'[1]model_S-フレーム'!$F$5:$V$7000,17,1),"")</f>
        <v>0</v>
      </c>
      <c r="BM1232" t="str" cm="1">
        <f t="array" ref="BM1232">_xlfn.IFS(LEFT(G1232,1)="L","外注品",LEFT(G1232,1)="W","内製品",G1232="","購買品")</f>
        <v>内製品</v>
      </c>
    </row>
    <row r="1233" spans="1:65">
      <c r="A1233" t="str">
        <f t="shared" si="193"/>
        <v>WG01</v>
      </c>
      <c r="B1233" t="s">
        <v>1377</v>
      </c>
      <c r="C1233" t="s">
        <v>1532</v>
      </c>
      <c r="D1233" s="7"/>
      <c r="E1233" s="7"/>
      <c r="G1233" t="s">
        <v>1939</v>
      </c>
      <c r="H1233" t="str" cm="1">
        <f t="array" ref="H1233">IFERROR(_xlfn.IFS(B1233="","",AND(B1233="",G1233=""),"",G1233="","記載要"),"")</f>
        <v/>
      </c>
      <c r="K1233" t="str">
        <f t="shared" si="194"/>
        <v>11WP01008787</v>
      </c>
      <c r="L1233" s="3" t="str">
        <f t="shared" si="195"/>
        <v>2001/01/01</v>
      </c>
      <c r="M1233" s="3" t="str">
        <f t="shared" si="196"/>
        <v>2199/12/31</v>
      </c>
      <c r="N1233" t="str">
        <f t="shared" si="197"/>
        <v>11WP01008787</v>
      </c>
      <c r="O1233">
        <v>15</v>
      </c>
      <c r="Q1233" t="str" cm="1">
        <f t="array" ref="Q1233">_xlfn.IFS(AND(C1233="",G1233=""),"",LEFT(G1233,1)="L","記載要",LEFT(G1233,1)="W","",AND(C1233,G1233=""),"記載要")</f>
        <v/>
      </c>
      <c r="R1233" s="21" t="str">
        <f t="shared" si="202"/>
        <v/>
      </c>
      <c r="S1233" s="21"/>
      <c r="Z1233" s="8"/>
      <c r="AA1233">
        <v>1</v>
      </c>
      <c r="AB1233">
        <f t="shared" si="198"/>
        <v>0</v>
      </c>
      <c r="AC1233">
        <v>1</v>
      </c>
      <c r="AF1233">
        <v>1</v>
      </c>
      <c r="AG1233" s="8"/>
      <c r="AH1233" s="8"/>
      <c r="AK1233" cm="1">
        <f t="array" ref="AK1233">_xlfn.IFS(B1233="","",LEFT(G1233,1)="L",1,LEFT(G1233,1)="W",1,AND(LEFT(B1233,1)="H",G1233=""),0)</f>
        <v>1</v>
      </c>
      <c r="AS1233" t="str">
        <f t="shared" si="199"/>
        <v/>
      </c>
      <c r="AT1233" t="s">
        <v>115</v>
      </c>
      <c r="AU1233" t="str">
        <f t="shared" si="200"/>
        <v>0</v>
      </c>
      <c r="BD1233" t="str">
        <f t="shared" si="201"/>
        <v>0</v>
      </c>
      <c r="BK1233" t="str">
        <f>IFERROR(VLOOKUP(B1233,'[1]model_S-フレーム'!$F$5:$R$7000,13,1),"")</f>
        <v>E388248B_01</v>
      </c>
      <c r="BL1233" s="7">
        <f>IFERROR(VLOOKUP(B1233,'[1]model_S-フレーム'!$F$5:$V$7000,17,1),"")</f>
        <v>0</v>
      </c>
      <c r="BM1233" t="str" cm="1">
        <f t="array" ref="BM1233">_xlfn.IFS(LEFT(G1233,1)="L","外注品",LEFT(G1233,1)="W","内製品",G1233="","購買品")</f>
        <v>内製品</v>
      </c>
    </row>
    <row r="1234" spans="1:65">
      <c r="A1234" t="str">
        <f t="shared" si="193"/>
        <v>WG01</v>
      </c>
      <c r="B1234" t="s">
        <v>1378</v>
      </c>
      <c r="C1234" t="s">
        <v>1533</v>
      </c>
      <c r="D1234" s="7"/>
      <c r="E1234" s="7"/>
      <c r="G1234" t="s">
        <v>1939</v>
      </c>
      <c r="H1234" t="str" cm="1">
        <f t="array" ref="H1234">IFERROR(_xlfn.IFS(B1234="","",AND(B1234="",G1234=""),"",G1234="","記載要"),"")</f>
        <v/>
      </c>
      <c r="K1234" t="str">
        <f t="shared" si="194"/>
        <v>11WP01008788</v>
      </c>
      <c r="L1234" s="3" t="str">
        <f t="shared" si="195"/>
        <v>2001/01/01</v>
      </c>
      <c r="M1234" s="3" t="str">
        <f t="shared" si="196"/>
        <v>2199/12/31</v>
      </c>
      <c r="N1234" t="str">
        <f t="shared" si="197"/>
        <v>11WP01008788</v>
      </c>
      <c r="O1234">
        <v>15</v>
      </c>
      <c r="Q1234" t="str" cm="1">
        <f t="array" ref="Q1234">_xlfn.IFS(AND(C1234="",G1234=""),"",LEFT(G1234,1)="L","記載要",LEFT(G1234,1)="W","",AND(C1234,G1234=""),"記載要")</f>
        <v/>
      </c>
      <c r="R1234" s="21" t="str">
        <f t="shared" si="202"/>
        <v/>
      </c>
      <c r="S1234" s="21"/>
      <c r="Z1234" s="8"/>
      <c r="AA1234">
        <v>1</v>
      </c>
      <c r="AB1234">
        <f t="shared" si="198"/>
        <v>0</v>
      </c>
      <c r="AC1234">
        <v>1</v>
      </c>
      <c r="AF1234">
        <v>1</v>
      </c>
      <c r="AG1234" s="8"/>
      <c r="AH1234" s="8"/>
      <c r="AK1234" cm="1">
        <f t="array" ref="AK1234">_xlfn.IFS(B1234="","",LEFT(G1234,1)="L",1,LEFT(G1234,1)="W",1,AND(LEFT(B1234,1)="H",G1234=""),0)</f>
        <v>1</v>
      </c>
      <c r="AS1234" t="str">
        <f t="shared" si="199"/>
        <v/>
      </c>
      <c r="AT1234" t="s">
        <v>115</v>
      </c>
      <c r="AU1234" t="str">
        <f t="shared" si="200"/>
        <v>0</v>
      </c>
      <c r="BD1234" t="str">
        <f t="shared" si="201"/>
        <v>0</v>
      </c>
      <c r="BK1234" t="str">
        <f>IFERROR(VLOOKUP(B1234,'[1]model_S-フレーム'!$F$5:$R$7000,13,1),"")</f>
        <v>E388248B_01</v>
      </c>
      <c r="BL1234" s="7">
        <f>IFERROR(VLOOKUP(B1234,'[1]model_S-フレーム'!$F$5:$V$7000,17,1),"")</f>
        <v>0</v>
      </c>
      <c r="BM1234" t="str" cm="1">
        <f t="array" ref="BM1234">_xlfn.IFS(LEFT(G1234,1)="L","外注品",LEFT(G1234,1)="W","内製品",G1234="","購買品")</f>
        <v>内製品</v>
      </c>
    </row>
    <row r="1235" spans="1:65">
      <c r="A1235" t="str">
        <f t="shared" si="193"/>
        <v>WG01</v>
      </c>
      <c r="B1235" t="s">
        <v>1379</v>
      </c>
      <c r="C1235" t="s">
        <v>1533</v>
      </c>
      <c r="D1235" s="7"/>
      <c r="E1235" s="7"/>
      <c r="G1235" t="s">
        <v>1939</v>
      </c>
      <c r="H1235" t="str" cm="1">
        <f t="array" ref="H1235">IFERROR(_xlfn.IFS(B1235="","",AND(B1235="",G1235=""),"",G1235="","記載要"),"")</f>
        <v/>
      </c>
      <c r="K1235" t="str">
        <f t="shared" si="194"/>
        <v>11WP01008789</v>
      </c>
      <c r="L1235" s="3" t="str">
        <f t="shared" si="195"/>
        <v>2001/01/01</v>
      </c>
      <c r="M1235" s="3" t="str">
        <f t="shared" si="196"/>
        <v>2199/12/31</v>
      </c>
      <c r="N1235" t="str">
        <f t="shared" si="197"/>
        <v>11WP01008789</v>
      </c>
      <c r="O1235">
        <v>15</v>
      </c>
      <c r="Q1235" t="str" cm="1">
        <f t="array" ref="Q1235">_xlfn.IFS(AND(C1235="",G1235=""),"",LEFT(G1235,1)="L","記載要",LEFT(G1235,1)="W","",AND(C1235,G1235=""),"記載要")</f>
        <v/>
      </c>
      <c r="R1235" s="21" t="str">
        <f t="shared" si="202"/>
        <v/>
      </c>
      <c r="S1235" s="21"/>
      <c r="Z1235" s="8"/>
      <c r="AA1235">
        <v>1</v>
      </c>
      <c r="AB1235">
        <f t="shared" si="198"/>
        <v>0</v>
      </c>
      <c r="AC1235">
        <v>1</v>
      </c>
      <c r="AF1235">
        <v>1</v>
      </c>
      <c r="AG1235" s="8"/>
      <c r="AH1235" s="8"/>
      <c r="AK1235" cm="1">
        <f t="array" ref="AK1235">_xlfn.IFS(B1235="","",LEFT(G1235,1)="L",1,LEFT(G1235,1)="W",1,AND(LEFT(B1235,1)="H",G1235=""),0)</f>
        <v>1</v>
      </c>
      <c r="AS1235" t="str">
        <f t="shared" si="199"/>
        <v/>
      </c>
      <c r="AT1235" t="s">
        <v>115</v>
      </c>
      <c r="AU1235" t="str">
        <f t="shared" si="200"/>
        <v>0</v>
      </c>
      <c r="BD1235" t="str">
        <f t="shared" si="201"/>
        <v>0</v>
      </c>
      <c r="BK1235" t="str">
        <f>IFERROR(VLOOKUP(B1235,'[1]model_S-フレーム'!$F$5:$R$7000,13,1),"")</f>
        <v>E388248B_01</v>
      </c>
      <c r="BL1235" s="7">
        <f>IFERROR(VLOOKUP(B1235,'[1]model_S-フレーム'!$F$5:$V$7000,17,1),"")</f>
        <v>0</v>
      </c>
      <c r="BM1235" t="str" cm="1">
        <f t="array" ref="BM1235">_xlfn.IFS(LEFT(G1235,1)="L","外注品",LEFT(G1235,1)="W","内製品",G1235="","購買品")</f>
        <v>内製品</v>
      </c>
    </row>
    <row r="1236" spans="1:65">
      <c r="A1236" t="str">
        <f t="shared" si="193"/>
        <v>WG01</v>
      </c>
      <c r="B1236" t="s">
        <v>1380</v>
      </c>
      <c r="C1236" t="s">
        <v>1533</v>
      </c>
      <c r="D1236" s="7"/>
      <c r="E1236" s="7"/>
      <c r="G1236" t="s">
        <v>1939</v>
      </c>
      <c r="H1236" t="str" cm="1">
        <f t="array" ref="H1236">IFERROR(_xlfn.IFS(B1236="","",AND(B1236="",G1236=""),"",G1236="","記載要"),"")</f>
        <v/>
      </c>
      <c r="K1236" t="str">
        <f t="shared" si="194"/>
        <v>11WP01008790</v>
      </c>
      <c r="L1236" s="3" t="str">
        <f t="shared" si="195"/>
        <v>2001/01/01</v>
      </c>
      <c r="M1236" s="3" t="str">
        <f t="shared" si="196"/>
        <v>2199/12/31</v>
      </c>
      <c r="N1236" t="str">
        <f t="shared" si="197"/>
        <v>11WP01008790</v>
      </c>
      <c r="O1236">
        <v>15</v>
      </c>
      <c r="Q1236" t="str" cm="1">
        <f t="array" ref="Q1236">_xlfn.IFS(AND(C1236="",G1236=""),"",LEFT(G1236,1)="L","記載要",LEFT(G1236,1)="W","",AND(C1236,G1236=""),"記載要")</f>
        <v/>
      </c>
      <c r="R1236" s="21" t="str">
        <f t="shared" si="202"/>
        <v/>
      </c>
      <c r="S1236" s="21"/>
      <c r="Z1236" s="8"/>
      <c r="AA1236">
        <v>1</v>
      </c>
      <c r="AB1236">
        <f t="shared" si="198"/>
        <v>0</v>
      </c>
      <c r="AC1236">
        <v>1</v>
      </c>
      <c r="AF1236">
        <v>1</v>
      </c>
      <c r="AG1236" s="8"/>
      <c r="AH1236" s="8"/>
      <c r="AK1236" cm="1">
        <f t="array" ref="AK1236">_xlfn.IFS(B1236="","",LEFT(G1236,1)="L",1,LEFT(G1236,1)="W",1,AND(LEFT(B1236,1)="H",G1236=""),0)</f>
        <v>1</v>
      </c>
      <c r="AS1236" t="str">
        <f t="shared" si="199"/>
        <v/>
      </c>
      <c r="AT1236" t="s">
        <v>115</v>
      </c>
      <c r="AU1236" t="str">
        <f t="shared" si="200"/>
        <v>0</v>
      </c>
      <c r="BD1236" t="str">
        <f t="shared" si="201"/>
        <v>0</v>
      </c>
      <c r="BK1236" t="str">
        <f>IFERROR(VLOOKUP(B1236,'[1]model_S-フレーム'!$F$5:$R$7000,13,1),"")</f>
        <v>E388248B_01</v>
      </c>
      <c r="BL1236" s="7">
        <f>IFERROR(VLOOKUP(B1236,'[1]model_S-フレーム'!$F$5:$V$7000,17,1),"")</f>
        <v>0</v>
      </c>
      <c r="BM1236" t="str" cm="1">
        <f t="array" ref="BM1236">_xlfn.IFS(LEFT(G1236,1)="L","外注品",LEFT(G1236,1)="W","内製品",G1236="","購買品")</f>
        <v>内製品</v>
      </c>
    </row>
    <row r="1237" spans="1:65">
      <c r="A1237" t="str">
        <f t="shared" si="193"/>
        <v>WG01</v>
      </c>
      <c r="B1237" t="s">
        <v>1381</v>
      </c>
      <c r="C1237" t="s">
        <v>1533</v>
      </c>
      <c r="D1237" s="7"/>
      <c r="E1237" s="7"/>
      <c r="G1237" t="s">
        <v>1939</v>
      </c>
      <c r="H1237" t="str" cm="1">
        <f t="array" ref="H1237">IFERROR(_xlfn.IFS(B1237="","",AND(B1237="",G1237=""),"",G1237="","記載要"),"")</f>
        <v/>
      </c>
      <c r="K1237" t="str">
        <f t="shared" si="194"/>
        <v>11WP01008791</v>
      </c>
      <c r="L1237" s="3" t="str">
        <f t="shared" si="195"/>
        <v>2001/01/01</v>
      </c>
      <c r="M1237" s="3" t="str">
        <f t="shared" si="196"/>
        <v>2199/12/31</v>
      </c>
      <c r="N1237" t="str">
        <f t="shared" si="197"/>
        <v>11WP01008791</v>
      </c>
      <c r="O1237">
        <v>15</v>
      </c>
      <c r="Q1237" t="str" cm="1">
        <f t="array" ref="Q1237">_xlfn.IFS(AND(C1237="",G1237=""),"",LEFT(G1237,1)="L","記載要",LEFT(G1237,1)="W","",AND(C1237,G1237=""),"記載要")</f>
        <v/>
      </c>
      <c r="R1237" s="21" t="str">
        <f t="shared" si="202"/>
        <v/>
      </c>
      <c r="S1237" s="21"/>
      <c r="Z1237" s="8"/>
      <c r="AA1237">
        <v>1</v>
      </c>
      <c r="AB1237">
        <f t="shared" si="198"/>
        <v>0</v>
      </c>
      <c r="AC1237">
        <v>1</v>
      </c>
      <c r="AF1237">
        <v>1</v>
      </c>
      <c r="AG1237" s="8"/>
      <c r="AH1237" s="8"/>
      <c r="AK1237" cm="1">
        <f t="array" ref="AK1237">_xlfn.IFS(B1237="","",LEFT(G1237,1)="L",1,LEFT(G1237,1)="W",1,AND(LEFT(B1237,1)="H",G1237=""),0)</f>
        <v>1</v>
      </c>
      <c r="AS1237" t="str">
        <f t="shared" si="199"/>
        <v/>
      </c>
      <c r="AT1237" t="s">
        <v>115</v>
      </c>
      <c r="AU1237" t="str">
        <f t="shared" si="200"/>
        <v>0</v>
      </c>
      <c r="BD1237" t="str">
        <f t="shared" si="201"/>
        <v>0</v>
      </c>
      <c r="BK1237" t="str">
        <f>IFERROR(VLOOKUP(B1237,'[1]model_S-フレーム'!$F$5:$R$7000,13,1),"")</f>
        <v>E388248B_01</v>
      </c>
      <c r="BL1237" s="7">
        <f>IFERROR(VLOOKUP(B1237,'[1]model_S-フレーム'!$F$5:$V$7000,17,1),"")</f>
        <v>0</v>
      </c>
      <c r="BM1237" t="str" cm="1">
        <f t="array" ref="BM1237">_xlfn.IFS(LEFT(G1237,1)="L","外注品",LEFT(G1237,1)="W","内製品",G1237="","購買品")</f>
        <v>内製品</v>
      </c>
    </row>
    <row r="1238" spans="1:65">
      <c r="A1238" t="str">
        <f t="shared" si="193"/>
        <v>WG01</v>
      </c>
      <c r="B1238" t="s">
        <v>1382</v>
      </c>
      <c r="C1238" t="s">
        <v>1535</v>
      </c>
      <c r="D1238" s="7"/>
      <c r="E1238" s="7"/>
      <c r="G1238" t="s">
        <v>1939</v>
      </c>
      <c r="H1238" t="str" cm="1">
        <f t="array" ref="H1238">IFERROR(_xlfn.IFS(B1238="","",AND(B1238="",G1238=""),"",G1238="","記載要"),"")</f>
        <v/>
      </c>
      <c r="K1238" t="str">
        <f t="shared" si="194"/>
        <v>11WP01008792</v>
      </c>
      <c r="L1238" s="3" t="str">
        <f t="shared" si="195"/>
        <v>2001/01/01</v>
      </c>
      <c r="M1238" s="3" t="str">
        <f t="shared" si="196"/>
        <v>2199/12/31</v>
      </c>
      <c r="N1238" t="str">
        <f t="shared" si="197"/>
        <v>11WP01008792</v>
      </c>
      <c r="O1238">
        <v>15</v>
      </c>
      <c r="Q1238" t="str" cm="1">
        <f t="array" ref="Q1238">_xlfn.IFS(AND(C1238="",G1238=""),"",LEFT(G1238,1)="L","記載要",LEFT(G1238,1)="W","",AND(C1238,G1238=""),"記載要")</f>
        <v/>
      </c>
      <c r="R1238" s="21" t="str">
        <f t="shared" si="202"/>
        <v/>
      </c>
      <c r="S1238" s="21"/>
      <c r="Z1238" s="8"/>
      <c r="AA1238">
        <v>1</v>
      </c>
      <c r="AB1238">
        <f t="shared" si="198"/>
        <v>0</v>
      </c>
      <c r="AC1238">
        <v>1</v>
      </c>
      <c r="AF1238">
        <v>1</v>
      </c>
      <c r="AG1238" s="8"/>
      <c r="AH1238" s="8"/>
      <c r="AK1238" cm="1">
        <f t="array" ref="AK1238">_xlfn.IFS(B1238="","",LEFT(G1238,1)="L",1,LEFT(G1238,1)="W",1,AND(LEFT(B1238,1)="H",G1238=""),0)</f>
        <v>1</v>
      </c>
      <c r="AS1238" t="str">
        <f t="shared" si="199"/>
        <v/>
      </c>
      <c r="AT1238" t="s">
        <v>115</v>
      </c>
      <c r="AU1238" t="str">
        <f t="shared" si="200"/>
        <v>0</v>
      </c>
      <c r="BD1238" t="str">
        <f t="shared" si="201"/>
        <v>0</v>
      </c>
      <c r="BK1238" t="str">
        <f>IFERROR(VLOOKUP(B1238,'[1]model_S-フレーム'!$F$5:$R$7000,13,1),"")</f>
        <v>E388250A_01</v>
      </c>
      <c r="BL1238" s="7">
        <f>IFERROR(VLOOKUP(B1238,'[1]model_S-フレーム'!$F$5:$V$7000,17,1),"")</f>
        <v>0</v>
      </c>
      <c r="BM1238" t="str" cm="1">
        <f t="array" ref="BM1238">_xlfn.IFS(LEFT(G1238,1)="L","外注品",LEFT(G1238,1)="W","内製品",G1238="","購買品")</f>
        <v>内製品</v>
      </c>
    </row>
    <row r="1239" spans="1:65">
      <c r="A1239" t="str">
        <f t="shared" si="193"/>
        <v>WG01</v>
      </c>
      <c r="B1239" t="s">
        <v>1383</v>
      </c>
      <c r="C1239" t="s">
        <v>1535</v>
      </c>
      <c r="D1239" s="7"/>
      <c r="E1239" s="7"/>
      <c r="G1239" t="s">
        <v>1939</v>
      </c>
      <c r="H1239" t="str" cm="1">
        <f t="array" ref="H1239">IFERROR(_xlfn.IFS(B1239="","",AND(B1239="",G1239=""),"",G1239="","記載要"),"")</f>
        <v/>
      </c>
      <c r="K1239" t="str">
        <f t="shared" si="194"/>
        <v>11WP01008793</v>
      </c>
      <c r="L1239" s="3" t="str">
        <f t="shared" si="195"/>
        <v>2001/01/01</v>
      </c>
      <c r="M1239" s="3" t="str">
        <f t="shared" si="196"/>
        <v>2199/12/31</v>
      </c>
      <c r="N1239" t="str">
        <f t="shared" si="197"/>
        <v>11WP01008793</v>
      </c>
      <c r="O1239">
        <v>15</v>
      </c>
      <c r="Q1239" t="str" cm="1">
        <f t="array" ref="Q1239">_xlfn.IFS(AND(C1239="",G1239=""),"",LEFT(G1239,1)="L","記載要",LEFT(G1239,1)="W","",AND(C1239,G1239=""),"記載要")</f>
        <v/>
      </c>
      <c r="R1239" s="21" t="str">
        <f t="shared" si="202"/>
        <v/>
      </c>
      <c r="S1239" s="21"/>
      <c r="Z1239" s="8"/>
      <c r="AA1239">
        <v>1</v>
      </c>
      <c r="AB1239">
        <f t="shared" si="198"/>
        <v>0</v>
      </c>
      <c r="AC1239">
        <v>1</v>
      </c>
      <c r="AF1239">
        <v>1</v>
      </c>
      <c r="AG1239" s="8"/>
      <c r="AH1239" s="8"/>
      <c r="AK1239" cm="1">
        <f t="array" ref="AK1239">_xlfn.IFS(B1239="","",LEFT(G1239,1)="L",1,LEFT(G1239,1)="W",1,AND(LEFT(B1239,1)="H",G1239=""),0)</f>
        <v>1</v>
      </c>
      <c r="AS1239" t="str">
        <f t="shared" si="199"/>
        <v/>
      </c>
      <c r="AT1239" t="s">
        <v>115</v>
      </c>
      <c r="AU1239" t="str">
        <f t="shared" si="200"/>
        <v>0</v>
      </c>
      <c r="BD1239" t="str">
        <f t="shared" si="201"/>
        <v>0</v>
      </c>
      <c r="BK1239" t="str">
        <f>IFERROR(VLOOKUP(B1239,'[1]model_S-フレーム'!$F$5:$R$7000,13,1),"")</f>
        <v>E388250A_01</v>
      </c>
      <c r="BL1239" s="7">
        <f>IFERROR(VLOOKUP(B1239,'[1]model_S-フレーム'!$F$5:$V$7000,17,1),"")</f>
        <v>0</v>
      </c>
      <c r="BM1239" t="str" cm="1">
        <f t="array" ref="BM1239">_xlfn.IFS(LEFT(G1239,1)="L","外注品",LEFT(G1239,1)="W","内製品",G1239="","購買品")</f>
        <v>内製品</v>
      </c>
    </row>
    <row r="1240" spans="1:65">
      <c r="A1240" t="str">
        <f t="shared" si="193"/>
        <v>WG01</v>
      </c>
      <c r="B1240" t="s">
        <v>1384</v>
      </c>
      <c r="C1240" t="s">
        <v>1535</v>
      </c>
      <c r="D1240" s="7"/>
      <c r="E1240" s="7"/>
      <c r="G1240" t="s">
        <v>1939</v>
      </c>
      <c r="H1240" t="str" cm="1">
        <f t="array" ref="H1240">IFERROR(_xlfn.IFS(B1240="","",AND(B1240="",G1240=""),"",G1240="","記載要"),"")</f>
        <v/>
      </c>
      <c r="K1240" t="str">
        <f t="shared" si="194"/>
        <v>11WP01008794</v>
      </c>
      <c r="L1240" s="3" t="str">
        <f t="shared" si="195"/>
        <v>2001/01/01</v>
      </c>
      <c r="M1240" s="3" t="str">
        <f t="shared" si="196"/>
        <v>2199/12/31</v>
      </c>
      <c r="N1240" t="str">
        <f t="shared" si="197"/>
        <v>11WP01008794</v>
      </c>
      <c r="O1240">
        <v>15</v>
      </c>
      <c r="Q1240" t="str" cm="1">
        <f t="array" ref="Q1240">_xlfn.IFS(AND(C1240="",G1240=""),"",LEFT(G1240,1)="L","記載要",LEFT(G1240,1)="W","",AND(C1240,G1240=""),"記載要")</f>
        <v/>
      </c>
      <c r="R1240" s="21" t="str">
        <f t="shared" si="202"/>
        <v/>
      </c>
      <c r="S1240" s="21"/>
      <c r="Z1240" s="8"/>
      <c r="AA1240">
        <v>1</v>
      </c>
      <c r="AB1240">
        <f t="shared" si="198"/>
        <v>0</v>
      </c>
      <c r="AC1240">
        <v>1</v>
      </c>
      <c r="AF1240">
        <v>1</v>
      </c>
      <c r="AG1240" s="8"/>
      <c r="AH1240" s="8"/>
      <c r="AK1240" cm="1">
        <f t="array" ref="AK1240">_xlfn.IFS(B1240="","",LEFT(G1240,1)="L",1,LEFT(G1240,1)="W",1,AND(LEFT(B1240,1)="H",G1240=""),0)</f>
        <v>1</v>
      </c>
      <c r="AS1240" t="str">
        <f t="shared" si="199"/>
        <v/>
      </c>
      <c r="AT1240" t="s">
        <v>115</v>
      </c>
      <c r="AU1240" t="str">
        <f t="shared" si="200"/>
        <v>0</v>
      </c>
      <c r="BD1240" t="str">
        <f t="shared" si="201"/>
        <v>0</v>
      </c>
      <c r="BK1240" t="str">
        <f>IFERROR(VLOOKUP(B1240,'[1]model_S-フレーム'!$F$5:$R$7000,13,1),"")</f>
        <v>E388250A_01</v>
      </c>
      <c r="BL1240" s="7">
        <f>IFERROR(VLOOKUP(B1240,'[1]model_S-フレーム'!$F$5:$V$7000,17,1),"")</f>
        <v>0</v>
      </c>
      <c r="BM1240" t="str" cm="1">
        <f t="array" ref="BM1240">_xlfn.IFS(LEFT(G1240,1)="L","外注品",LEFT(G1240,1)="W","内製品",G1240="","購買品")</f>
        <v>内製品</v>
      </c>
    </row>
    <row r="1241" spans="1:65">
      <c r="A1241" t="str">
        <f t="shared" si="193"/>
        <v>WG01</v>
      </c>
      <c r="B1241" t="s">
        <v>1385</v>
      </c>
      <c r="C1241" t="s">
        <v>1535</v>
      </c>
      <c r="D1241" s="7"/>
      <c r="E1241" s="7"/>
      <c r="G1241" t="s">
        <v>1939</v>
      </c>
      <c r="H1241" t="str" cm="1">
        <f t="array" ref="H1241">IFERROR(_xlfn.IFS(B1241="","",AND(B1241="",G1241=""),"",G1241="","記載要"),"")</f>
        <v/>
      </c>
      <c r="K1241" t="str">
        <f t="shared" si="194"/>
        <v>11WP01008795</v>
      </c>
      <c r="L1241" s="3" t="str">
        <f t="shared" si="195"/>
        <v>2001/01/01</v>
      </c>
      <c r="M1241" s="3" t="str">
        <f t="shared" si="196"/>
        <v>2199/12/31</v>
      </c>
      <c r="N1241" t="str">
        <f t="shared" si="197"/>
        <v>11WP01008795</v>
      </c>
      <c r="O1241">
        <v>15</v>
      </c>
      <c r="Q1241" t="str" cm="1">
        <f t="array" ref="Q1241">_xlfn.IFS(AND(C1241="",G1241=""),"",LEFT(G1241,1)="L","記載要",LEFT(G1241,1)="W","",AND(C1241,G1241=""),"記載要")</f>
        <v/>
      </c>
      <c r="R1241" s="21" t="str">
        <f t="shared" si="202"/>
        <v/>
      </c>
      <c r="S1241" s="21"/>
      <c r="Z1241" s="8"/>
      <c r="AA1241">
        <v>1</v>
      </c>
      <c r="AB1241">
        <f t="shared" si="198"/>
        <v>0</v>
      </c>
      <c r="AC1241">
        <v>1</v>
      </c>
      <c r="AF1241">
        <v>1</v>
      </c>
      <c r="AG1241" s="8"/>
      <c r="AH1241" s="8"/>
      <c r="AK1241" cm="1">
        <f t="array" ref="AK1241">_xlfn.IFS(B1241="","",LEFT(G1241,1)="L",1,LEFT(G1241,1)="W",1,AND(LEFT(B1241,1)="H",G1241=""),0)</f>
        <v>1</v>
      </c>
      <c r="AS1241" t="str">
        <f t="shared" si="199"/>
        <v/>
      </c>
      <c r="AT1241" t="s">
        <v>115</v>
      </c>
      <c r="AU1241" t="str">
        <f t="shared" si="200"/>
        <v>0</v>
      </c>
      <c r="BD1241" t="str">
        <f t="shared" si="201"/>
        <v>0</v>
      </c>
      <c r="BK1241" t="str">
        <f>IFERROR(VLOOKUP(B1241,'[1]model_S-フレーム'!$F$5:$R$7000,13,1),"")</f>
        <v>E388250A_01</v>
      </c>
      <c r="BL1241" s="7">
        <f>IFERROR(VLOOKUP(B1241,'[1]model_S-フレーム'!$F$5:$V$7000,17,1),"")</f>
        <v>0</v>
      </c>
      <c r="BM1241" t="str" cm="1">
        <f t="array" ref="BM1241">_xlfn.IFS(LEFT(G1241,1)="L","外注品",LEFT(G1241,1)="W","内製品",G1241="","購買品")</f>
        <v>内製品</v>
      </c>
    </row>
    <row r="1242" spans="1:65">
      <c r="A1242" t="str">
        <f t="shared" si="193"/>
        <v>WG01</v>
      </c>
      <c r="B1242" t="s">
        <v>1386</v>
      </c>
      <c r="C1242" t="s">
        <v>1536</v>
      </c>
      <c r="D1242" s="7"/>
      <c r="E1242" s="7"/>
      <c r="G1242" t="s">
        <v>1939</v>
      </c>
      <c r="H1242" t="str" cm="1">
        <f t="array" ref="H1242">IFERROR(_xlfn.IFS(B1242="","",AND(B1242="",G1242=""),"",G1242="","記載要"),"")</f>
        <v/>
      </c>
      <c r="K1242" t="str">
        <f t="shared" si="194"/>
        <v>11WP01008796</v>
      </c>
      <c r="L1242" s="3" t="str">
        <f t="shared" si="195"/>
        <v>2001/01/01</v>
      </c>
      <c r="M1242" s="3" t="str">
        <f t="shared" si="196"/>
        <v>2199/12/31</v>
      </c>
      <c r="N1242" t="str">
        <f t="shared" si="197"/>
        <v>11WP01008796</v>
      </c>
      <c r="O1242">
        <v>15</v>
      </c>
      <c r="Q1242" t="str" cm="1">
        <f t="array" ref="Q1242">_xlfn.IFS(AND(C1242="",G1242=""),"",LEFT(G1242,1)="L","記載要",LEFT(G1242,1)="W","",AND(C1242,G1242=""),"記載要")</f>
        <v/>
      </c>
      <c r="R1242" s="21" t="str">
        <f t="shared" si="202"/>
        <v/>
      </c>
      <c r="S1242" s="21"/>
      <c r="Z1242" s="8"/>
      <c r="AA1242">
        <v>1</v>
      </c>
      <c r="AB1242">
        <f t="shared" si="198"/>
        <v>0</v>
      </c>
      <c r="AC1242">
        <v>1</v>
      </c>
      <c r="AF1242">
        <v>1</v>
      </c>
      <c r="AG1242" s="8"/>
      <c r="AH1242" s="8"/>
      <c r="AK1242" cm="1">
        <f t="array" ref="AK1242">_xlfn.IFS(B1242="","",LEFT(G1242,1)="L",1,LEFT(G1242,1)="W",1,AND(LEFT(B1242,1)="H",G1242=""),0)</f>
        <v>1</v>
      </c>
      <c r="AS1242" t="str">
        <f t="shared" si="199"/>
        <v/>
      </c>
      <c r="AT1242" t="s">
        <v>115</v>
      </c>
      <c r="AU1242" t="str">
        <f t="shared" si="200"/>
        <v>0</v>
      </c>
      <c r="BD1242" t="str">
        <f t="shared" si="201"/>
        <v>0</v>
      </c>
      <c r="BK1242" t="str">
        <f>IFERROR(VLOOKUP(B1242,'[1]model_S-フレーム'!$F$5:$R$7000,13,1),"")</f>
        <v>E388250A_01</v>
      </c>
      <c r="BL1242" s="7">
        <f>IFERROR(VLOOKUP(B1242,'[1]model_S-フレーム'!$F$5:$V$7000,17,1),"")</f>
        <v>0</v>
      </c>
      <c r="BM1242" t="str" cm="1">
        <f t="array" ref="BM1242">_xlfn.IFS(LEFT(G1242,1)="L","外注品",LEFT(G1242,1)="W","内製品",G1242="","購買品")</f>
        <v>内製品</v>
      </c>
    </row>
    <row r="1243" spans="1:65">
      <c r="A1243" t="str">
        <f t="shared" si="193"/>
        <v>WG01</v>
      </c>
      <c r="B1243" t="s">
        <v>1387</v>
      </c>
      <c r="C1243" t="s">
        <v>1536</v>
      </c>
      <c r="D1243" s="7"/>
      <c r="E1243" s="7"/>
      <c r="G1243" t="s">
        <v>1939</v>
      </c>
      <c r="H1243" t="str" cm="1">
        <f t="array" ref="H1243">IFERROR(_xlfn.IFS(B1243="","",AND(B1243="",G1243=""),"",G1243="","記載要"),"")</f>
        <v/>
      </c>
      <c r="K1243" t="str">
        <f t="shared" si="194"/>
        <v>11WP01008797</v>
      </c>
      <c r="L1243" s="3" t="str">
        <f t="shared" si="195"/>
        <v>2001/01/01</v>
      </c>
      <c r="M1243" s="3" t="str">
        <f t="shared" si="196"/>
        <v>2199/12/31</v>
      </c>
      <c r="N1243" t="str">
        <f t="shared" si="197"/>
        <v>11WP01008797</v>
      </c>
      <c r="O1243">
        <v>15</v>
      </c>
      <c r="Q1243" t="str" cm="1">
        <f t="array" ref="Q1243">_xlfn.IFS(AND(C1243="",G1243=""),"",LEFT(G1243,1)="L","記載要",LEFT(G1243,1)="W","",AND(C1243,G1243=""),"記載要")</f>
        <v/>
      </c>
      <c r="R1243" s="21" t="str">
        <f t="shared" si="202"/>
        <v/>
      </c>
      <c r="S1243" s="21"/>
      <c r="Z1243" s="8"/>
      <c r="AA1243">
        <v>1</v>
      </c>
      <c r="AB1243">
        <f t="shared" si="198"/>
        <v>0</v>
      </c>
      <c r="AC1243">
        <v>1</v>
      </c>
      <c r="AF1243">
        <v>1</v>
      </c>
      <c r="AG1243" s="8"/>
      <c r="AH1243" s="8"/>
      <c r="AK1243" cm="1">
        <f t="array" ref="AK1243">_xlfn.IFS(B1243="","",LEFT(G1243,1)="L",1,LEFT(G1243,1)="W",1,AND(LEFT(B1243,1)="H",G1243=""),0)</f>
        <v>1</v>
      </c>
      <c r="AS1243" t="str">
        <f t="shared" si="199"/>
        <v/>
      </c>
      <c r="AT1243" t="s">
        <v>115</v>
      </c>
      <c r="AU1243" t="str">
        <f t="shared" si="200"/>
        <v>0</v>
      </c>
      <c r="BD1243" t="str">
        <f t="shared" si="201"/>
        <v>0</v>
      </c>
      <c r="BK1243" t="str">
        <f>IFERROR(VLOOKUP(B1243,'[1]model_S-フレーム'!$F$5:$R$7000,13,1),"")</f>
        <v>E388250A_01</v>
      </c>
      <c r="BL1243" s="7">
        <f>IFERROR(VLOOKUP(B1243,'[1]model_S-フレーム'!$F$5:$V$7000,17,1),"")</f>
        <v>0</v>
      </c>
      <c r="BM1243" t="str" cm="1">
        <f t="array" ref="BM1243">_xlfn.IFS(LEFT(G1243,1)="L","外注品",LEFT(G1243,1)="W","内製品",G1243="","購買品")</f>
        <v>内製品</v>
      </c>
    </row>
    <row r="1244" spans="1:65">
      <c r="A1244" t="str">
        <f t="shared" si="193"/>
        <v>WG01</v>
      </c>
      <c r="B1244" t="s">
        <v>1388</v>
      </c>
      <c r="C1244" t="s">
        <v>1536</v>
      </c>
      <c r="D1244" s="7"/>
      <c r="E1244" s="7"/>
      <c r="G1244" t="s">
        <v>1939</v>
      </c>
      <c r="H1244" t="str" cm="1">
        <f t="array" ref="H1244">IFERROR(_xlfn.IFS(B1244="","",AND(B1244="",G1244=""),"",G1244="","記載要"),"")</f>
        <v/>
      </c>
      <c r="K1244" t="str">
        <f t="shared" si="194"/>
        <v>11WP01008798</v>
      </c>
      <c r="L1244" s="3" t="str">
        <f t="shared" si="195"/>
        <v>2001/01/01</v>
      </c>
      <c r="M1244" s="3" t="str">
        <f t="shared" si="196"/>
        <v>2199/12/31</v>
      </c>
      <c r="N1244" t="str">
        <f t="shared" si="197"/>
        <v>11WP01008798</v>
      </c>
      <c r="O1244">
        <v>15</v>
      </c>
      <c r="Q1244" t="str" cm="1">
        <f t="array" ref="Q1244">_xlfn.IFS(AND(C1244="",G1244=""),"",LEFT(G1244,1)="L","記載要",LEFT(G1244,1)="W","",AND(C1244,G1244=""),"記載要")</f>
        <v/>
      </c>
      <c r="R1244" s="21" t="str">
        <f t="shared" si="202"/>
        <v/>
      </c>
      <c r="S1244" s="21"/>
      <c r="Z1244" s="8"/>
      <c r="AA1244">
        <v>1</v>
      </c>
      <c r="AB1244">
        <f t="shared" si="198"/>
        <v>0</v>
      </c>
      <c r="AC1244">
        <v>1</v>
      </c>
      <c r="AF1244">
        <v>1</v>
      </c>
      <c r="AG1244" s="8"/>
      <c r="AH1244" s="8"/>
      <c r="AK1244" cm="1">
        <f t="array" ref="AK1244">_xlfn.IFS(B1244="","",LEFT(G1244,1)="L",1,LEFT(G1244,1)="W",1,AND(LEFT(B1244,1)="H",G1244=""),0)</f>
        <v>1</v>
      </c>
      <c r="AS1244" t="str">
        <f t="shared" si="199"/>
        <v/>
      </c>
      <c r="AT1244" t="s">
        <v>115</v>
      </c>
      <c r="AU1244" t="str">
        <f t="shared" si="200"/>
        <v>0</v>
      </c>
      <c r="BD1244" t="str">
        <f t="shared" si="201"/>
        <v>0</v>
      </c>
      <c r="BK1244" t="str">
        <f>IFERROR(VLOOKUP(B1244,'[1]model_S-フレーム'!$F$5:$R$7000,13,1),"")</f>
        <v>E388250A_01</v>
      </c>
      <c r="BL1244" s="7">
        <f>IFERROR(VLOOKUP(B1244,'[1]model_S-フレーム'!$F$5:$V$7000,17,1),"")</f>
        <v>0</v>
      </c>
      <c r="BM1244" t="str" cm="1">
        <f t="array" ref="BM1244">_xlfn.IFS(LEFT(G1244,1)="L","外注品",LEFT(G1244,1)="W","内製品",G1244="","購買品")</f>
        <v>内製品</v>
      </c>
    </row>
    <row r="1245" spans="1:65">
      <c r="A1245" t="str">
        <f t="shared" si="193"/>
        <v>WG01</v>
      </c>
      <c r="B1245" t="s">
        <v>1389</v>
      </c>
      <c r="C1245" t="s">
        <v>1536</v>
      </c>
      <c r="D1245" s="7"/>
      <c r="E1245" s="7"/>
      <c r="G1245" t="s">
        <v>1939</v>
      </c>
      <c r="H1245" t="str" cm="1">
        <f t="array" ref="H1245">IFERROR(_xlfn.IFS(B1245="","",AND(B1245="",G1245=""),"",G1245="","記載要"),"")</f>
        <v/>
      </c>
      <c r="K1245" t="str">
        <f t="shared" si="194"/>
        <v>11WP01008799</v>
      </c>
      <c r="L1245" s="3" t="str">
        <f t="shared" si="195"/>
        <v>2001/01/01</v>
      </c>
      <c r="M1245" s="3" t="str">
        <f t="shared" si="196"/>
        <v>2199/12/31</v>
      </c>
      <c r="N1245" t="str">
        <f t="shared" si="197"/>
        <v>11WP01008799</v>
      </c>
      <c r="O1245">
        <v>15</v>
      </c>
      <c r="Q1245" t="str" cm="1">
        <f t="array" ref="Q1245">_xlfn.IFS(AND(C1245="",G1245=""),"",LEFT(G1245,1)="L","記載要",LEFT(G1245,1)="W","",AND(C1245,G1245=""),"記載要")</f>
        <v/>
      </c>
      <c r="R1245" s="21" t="str">
        <f t="shared" si="202"/>
        <v/>
      </c>
      <c r="S1245" s="21"/>
      <c r="Z1245" s="8"/>
      <c r="AA1245">
        <v>1</v>
      </c>
      <c r="AB1245">
        <f t="shared" si="198"/>
        <v>0</v>
      </c>
      <c r="AC1245">
        <v>1</v>
      </c>
      <c r="AF1245">
        <v>1</v>
      </c>
      <c r="AG1245" s="8"/>
      <c r="AH1245" s="8"/>
      <c r="AK1245" cm="1">
        <f t="array" ref="AK1245">_xlfn.IFS(B1245="","",LEFT(G1245,1)="L",1,LEFT(G1245,1)="W",1,AND(LEFT(B1245,1)="H",G1245=""),0)</f>
        <v>1</v>
      </c>
      <c r="AS1245" t="str">
        <f t="shared" si="199"/>
        <v/>
      </c>
      <c r="AT1245" t="s">
        <v>115</v>
      </c>
      <c r="AU1245" t="str">
        <f t="shared" si="200"/>
        <v>0</v>
      </c>
      <c r="BD1245" t="str">
        <f t="shared" si="201"/>
        <v>0</v>
      </c>
      <c r="BK1245" t="str">
        <f>IFERROR(VLOOKUP(B1245,'[1]model_S-フレーム'!$F$5:$R$7000,13,1),"")</f>
        <v>E388250A_01</v>
      </c>
      <c r="BL1245" s="7">
        <f>IFERROR(VLOOKUP(B1245,'[1]model_S-フレーム'!$F$5:$V$7000,17,1),"")</f>
        <v>0</v>
      </c>
      <c r="BM1245" t="str" cm="1">
        <f t="array" ref="BM1245">_xlfn.IFS(LEFT(G1245,1)="L","外注品",LEFT(G1245,1)="W","内製品",G1245="","購買品")</f>
        <v>内製品</v>
      </c>
    </row>
    <row r="1246" spans="1:65">
      <c r="A1246" t="str">
        <f t="shared" si="193"/>
        <v>WG01</v>
      </c>
      <c r="B1246" t="s">
        <v>1390</v>
      </c>
      <c r="C1246" t="s">
        <v>1537</v>
      </c>
      <c r="D1246" s="7"/>
      <c r="E1246" s="7"/>
      <c r="G1246" t="s">
        <v>1939</v>
      </c>
      <c r="H1246" t="str" cm="1">
        <f t="array" ref="H1246">IFERROR(_xlfn.IFS(B1246="","",AND(B1246="",G1246=""),"",G1246="","記載要"),"")</f>
        <v/>
      </c>
      <c r="K1246" t="str">
        <f t="shared" si="194"/>
        <v>11WP01008800</v>
      </c>
      <c r="L1246" s="3" t="str">
        <f t="shared" si="195"/>
        <v>2001/01/01</v>
      </c>
      <c r="M1246" s="3" t="str">
        <f t="shared" si="196"/>
        <v>2199/12/31</v>
      </c>
      <c r="N1246" t="str">
        <f t="shared" si="197"/>
        <v>11WP01008800</v>
      </c>
      <c r="O1246">
        <v>15</v>
      </c>
      <c r="Q1246" t="str" cm="1">
        <f t="array" ref="Q1246">_xlfn.IFS(AND(C1246="",G1246=""),"",LEFT(G1246,1)="L","記載要",LEFT(G1246,1)="W","",AND(C1246,G1246=""),"記載要")</f>
        <v/>
      </c>
      <c r="R1246" s="21" t="str">
        <f t="shared" si="202"/>
        <v/>
      </c>
      <c r="S1246" s="21"/>
      <c r="Z1246" s="8"/>
      <c r="AA1246">
        <v>1</v>
      </c>
      <c r="AB1246">
        <f t="shared" si="198"/>
        <v>0</v>
      </c>
      <c r="AC1246">
        <v>1</v>
      </c>
      <c r="AF1246">
        <v>1</v>
      </c>
      <c r="AG1246" s="8"/>
      <c r="AH1246" s="8"/>
      <c r="AK1246" cm="1">
        <f t="array" ref="AK1246">_xlfn.IFS(B1246="","",LEFT(G1246,1)="L",1,LEFT(G1246,1)="W",1,AND(LEFT(B1246,1)="H",G1246=""),0)</f>
        <v>1</v>
      </c>
      <c r="AS1246" t="str">
        <f t="shared" si="199"/>
        <v/>
      </c>
      <c r="AT1246" t="s">
        <v>115</v>
      </c>
      <c r="AU1246" t="str">
        <f t="shared" si="200"/>
        <v>0</v>
      </c>
      <c r="BD1246" t="str">
        <f t="shared" si="201"/>
        <v>0</v>
      </c>
      <c r="BK1246" t="str">
        <f>IFERROR(VLOOKUP(B1246,'[1]model_S-フレーム'!$F$5:$R$7000,13,1),"")</f>
        <v>E388250A_01</v>
      </c>
      <c r="BL1246" s="7">
        <f>IFERROR(VLOOKUP(B1246,'[1]model_S-フレーム'!$F$5:$V$7000,17,1),"")</f>
        <v>0</v>
      </c>
      <c r="BM1246" t="str" cm="1">
        <f t="array" ref="BM1246">_xlfn.IFS(LEFT(G1246,1)="L","外注品",LEFT(G1246,1)="W","内製品",G1246="","購買品")</f>
        <v>内製品</v>
      </c>
    </row>
    <row r="1247" spans="1:65">
      <c r="A1247" t="str">
        <f t="shared" si="193"/>
        <v>WG01</v>
      </c>
      <c r="B1247" t="s">
        <v>1391</v>
      </c>
      <c r="C1247" t="s">
        <v>1537</v>
      </c>
      <c r="D1247" s="7"/>
      <c r="E1247" s="7"/>
      <c r="G1247" t="s">
        <v>1939</v>
      </c>
      <c r="H1247" t="str" cm="1">
        <f t="array" ref="H1247">IFERROR(_xlfn.IFS(B1247="","",AND(B1247="",G1247=""),"",G1247="","記載要"),"")</f>
        <v/>
      </c>
      <c r="K1247" t="str">
        <f t="shared" si="194"/>
        <v>11WP01008801</v>
      </c>
      <c r="L1247" s="3" t="str">
        <f t="shared" si="195"/>
        <v>2001/01/01</v>
      </c>
      <c r="M1247" s="3" t="str">
        <f t="shared" si="196"/>
        <v>2199/12/31</v>
      </c>
      <c r="N1247" t="str">
        <f t="shared" si="197"/>
        <v>11WP01008801</v>
      </c>
      <c r="O1247">
        <v>15</v>
      </c>
      <c r="Q1247" t="str" cm="1">
        <f t="array" ref="Q1247">_xlfn.IFS(AND(C1247="",G1247=""),"",LEFT(G1247,1)="L","記載要",LEFT(G1247,1)="W","",AND(C1247,G1247=""),"記載要")</f>
        <v/>
      </c>
      <c r="R1247" s="21" t="str">
        <f t="shared" si="202"/>
        <v/>
      </c>
      <c r="S1247" s="21"/>
      <c r="Z1247" s="8"/>
      <c r="AA1247">
        <v>1</v>
      </c>
      <c r="AB1247">
        <f t="shared" si="198"/>
        <v>0</v>
      </c>
      <c r="AC1247">
        <v>1</v>
      </c>
      <c r="AF1247">
        <v>1</v>
      </c>
      <c r="AG1247" s="8"/>
      <c r="AH1247" s="8"/>
      <c r="AK1247" cm="1">
        <f t="array" ref="AK1247">_xlfn.IFS(B1247="","",LEFT(G1247,1)="L",1,LEFT(G1247,1)="W",1,AND(LEFT(B1247,1)="H",G1247=""),0)</f>
        <v>1</v>
      </c>
      <c r="AS1247" t="str">
        <f t="shared" si="199"/>
        <v/>
      </c>
      <c r="AT1247" t="s">
        <v>115</v>
      </c>
      <c r="AU1247" t="str">
        <f t="shared" si="200"/>
        <v>0</v>
      </c>
      <c r="BD1247" t="str">
        <f t="shared" si="201"/>
        <v>0</v>
      </c>
      <c r="BK1247" t="str">
        <f>IFERROR(VLOOKUP(B1247,'[1]model_S-フレーム'!$F$5:$R$7000,13,1),"")</f>
        <v>E388250A_01</v>
      </c>
      <c r="BL1247" s="7">
        <f>IFERROR(VLOOKUP(B1247,'[1]model_S-フレーム'!$F$5:$V$7000,17,1),"")</f>
        <v>0</v>
      </c>
      <c r="BM1247" t="str" cm="1">
        <f t="array" ref="BM1247">_xlfn.IFS(LEFT(G1247,1)="L","外注品",LEFT(G1247,1)="W","内製品",G1247="","購買品")</f>
        <v>内製品</v>
      </c>
    </row>
    <row r="1248" spans="1:65">
      <c r="A1248" t="str">
        <f t="shared" si="193"/>
        <v>WG01</v>
      </c>
      <c r="B1248" t="s">
        <v>1392</v>
      </c>
      <c r="C1248" t="s">
        <v>1537</v>
      </c>
      <c r="D1248" s="7"/>
      <c r="E1248" s="7"/>
      <c r="G1248" t="s">
        <v>1939</v>
      </c>
      <c r="H1248" t="str" cm="1">
        <f t="array" ref="H1248">IFERROR(_xlfn.IFS(B1248="","",AND(B1248="",G1248=""),"",G1248="","記載要"),"")</f>
        <v/>
      </c>
      <c r="K1248" t="str">
        <f t="shared" si="194"/>
        <v>11WP01008802</v>
      </c>
      <c r="L1248" s="3" t="str">
        <f t="shared" si="195"/>
        <v>2001/01/01</v>
      </c>
      <c r="M1248" s="3" t="str">
        <f t="shared" si="196"/>
        <v>2199/12/31</v>
      </c>
      <c r="N1248" t="str">
        <f t="shared" si="197"/>
        <v>11WP01008802</v>
      </c>
      <c r="O1248">
        <v>15</v>
      </c>
      <c r="Q1248" t="str" cm="1">
        <f t="array" ref="Q1248">_xlfn.IFS(AND(C1248="",G1248=""),"",LEFT(G1248,1)="L","記載要",LEFT(G1248,1)="W","",AND(C1248,G1248=""),"記載要")</f>
        <v/>
      </c>
      <c r="R1248" s="21" t="str">
        <f t="shared" si="202"/>
        <v/>
      </c>
      <c r="S1248" s="21"/>
      <c r="Z1248" s="8"/>
      <c r="AA1248">
        <v>1</v>
      </c>
      <c r="AB1248">
        <f t="shared" si="198"/>
        <v>0</v>
      </c>
      <c r="AC1248">
        <v>1</v>
      </c>
      <c r="AF1248">
        <v>1</v>
      </c>
      <c r="AG1248" s="8"/>
      <c r="AH1248" s="8"/>
      <c r="AK1248" cm="1">
        <f t="array" ref="AK1248">_xlfn.IFS(B1248="","",LEFT(G1248,1)="L",1,LEFT(G1248,1)="W",1,AND(LEFT(B1248,1)="H",G1248=""),0)</f>
        <v>1</v>
      </c>
      <c r="AS1248" t="str">
        <f t="shared" si="199"/>
        <v/>
      </c>
      <c r="AT1248" t="s">
        <v>115</v>
      </c>
      <c r="AU1248" t="str">
        <f t="shared" si="200"/>
        <v>0</v>
      </c>
      <c r="BD1248" t="str">
        <f t="shared" si="201"/>
        <v>0</v>
      </c>
      <c r="BK1248" t="str">
        <f>IFERROR(VLOOKUP(B1248,'[1]model_S-フレーム'!$F$5:$R$7000,13,1),"")</f>
        <v>E388250A_01</v>
      </c>
      <c r="BL1248" s="7">
        <f>IFERROR(VLOOKUP(B1248,'[1]model_S-フレーム'!$F$5:$V$7000,17,1),"")</f>
        <v>0</v>
      </c>
      <c r="BM1248" t="str" cm="1">
        <f t="array" ref="BM1248">_xlfn.IFS(LEFT(G1248,1)="L","外注品",LEFT(G1248,1)="W","内製品",G1248="","購買品")</f>
        <v>内製品</v>
      </c>
    </row>
    <row r="1249" spans="1:65">
      <c r="A1249" t="str">
        <f t="shared" si="193"/>
        <v>WG01</v>
      </c>
      <c r="B1249" t="s">
        <v>1393</v>
      </c>
      <c r="C1249" t="s">
        <v>1537</v>
      </c>
      <c r="D1249" s="7"/>
      <c r="E1249" s="7"/>
      <c r="G1249" t="s">
        <v>1939</v>
      </c>
      <c r="H1249" t="str" cm="1">
        <f t="array" ref="H1249">IFERROR(_xlfn.IFS(B1249="","",AND(B1249="",G1249=""),"",G1249="","記載要"),"")</f>
        <v/>
      </c>
      <c r="K1249" t="str">
        <f t="shared" si="194"/>
        <v>11WP01008803</v>
      </c>
      <c r="L1249" s="3" t="str">
        <f t="shared" si="195"/>
        <v>2001/01/01</v>
      </c>
      <c r="M1249" s="3" t="str">
        <f t="shared" si="196"/>
        <v>2199/12/31</v>
      </c>
      <c r="N1249" t="str">
        <f t="shared" si="197"/>
        <v>11WP01008803</v>
      </c>
      <c r="O1249">
        <v>15</v>
      </c>
      <c r="Q1249" t="str" cm="1">
        <f t="array" ref="Q1249">_xlfn.IFS(AND(C1249="",G1249=""),"",LEFT(G1249,1)="L","記載要",LEFT(G1249,1)="W","",AND(C1249,G1249=""),"記載要")</f>
        <v/>
      </c>
      <c r="R1249" s="21" t="str">
        <f t="shared" si="202"/>
        <v/>
      </c>
      <c r="S1249" s="21"/>
      <c r="Z1249" s="8"/>
      <c r="AA1249">
        <v>1</v>
      </c>
      <c r="AB1249">
        <f t="shared" si="198"/>
        <v>0</v>
      </c>
      <c r="AC1249">
        <v>1</v>
      </c>
      <c r="AF1249">
        <v>1</v>
      </c>
      <c r="AG1249" s="8"/>
      <c r="AH1249" s="8"/>
      <c r="AK1249" cm="1">
        <f t="array" ref="AK1249">_xlfn.IFS(B1249="","",LEFT(G1249,1)="L",1,LEFT(G1249,1)="W",1,AND(LEFT(B1249,1)="H",G1249=""),0)</f>
        <v>1</v>
      </c>
      <c r="AS1249" t="str">
        <f t="shared" si="199"/>
        <v/>
      </c>
      <c r="AT1249" t="s">
        <v>115</v>
      </c>
      <c r="AU1249" t="str">
        <f t="shared" si="200"/>
        <v>0</v>
      </c>
      <c r="BD1249" t="str">
        <f t="shared" si="201"/>
        <v>0</v>
      </c>
      <c r="BK1249" t="str">
        <f>IFERROR(VLOOKUP(B1249,'[1]model_S-フレーム'!$F$5:$R$7000,13,1),"")</f>
        <v>E388250A_01</v>
      </c>
      <c r="BL1249" s="7">
        <f>IFERROR(VLOOKUP(B1249,'[1]model_S-フレーム'!$F$5:$V$7000,17,1),"")</f>
        <v>0</v>
      </c>
      <c r="BM1249" t="str" cm="1">
        <f t="array" ref="BM1249">_xlfn.IFS(LEFT(G1249,1)="L","外注品",LEFT(G1249,1)="W","内製品",G1249="","購買品")</f>
        <v>内製品</v>
      </c>
    </row>
    <row r="1250" spans="1:65">
      <c r="A1250" t="str">
        <f t="shared" si="193"/>
        <v>WG01</v>
      </c>
      <c r="B1250" t="s">
        <v>1394</v>
      </c>
      <c r="C1250" t="s">
        <v>1538</v>
      </c>
      <c r="D1250" s="7"/>
      <c r="E1250" s="7"/>
      <c r="G1250" t="s">
        <v>1939</v>
      </c>
      <c r="H1250" t="str" cm="1">
        <f t="array" ref="H1250">IFERROR(_xlfn.IFS(B1250="","",AND(B1250="",G1250=""),"",G1250="","記載要"),"")</f>
        <v/>
      </c>
      <c r="K1250" t="str">
        <f t="shared" si="194"/>
        <v>11WP01008804</v>
      </c>
      <c r="L1250" s="3" t="str">
        <f t="shared" si="195"/>
        <v>2001/01/01</v>
      </c>
      <c r="M1250" s="3" t="str">
        <f t="shared" si="196"/>
        <v>2199/12/31</v>
      </c>
      <c r="N1250" t="str">
        <f t="shared" si="197"/>
        <v>11WP01008804</v>
      </c>
      <c r="O1250">
        <v>15</v>
      </c>
      <c r="Q1250" t="str" cm="1">
        <f t="array" ref="Q1250">_xlfn.IFS(AND(C1250="",G1250=""),"",LEFT(G1250,1)="L","記載要",LEFT(G1250,1)="W","",AND(C1250,G1250=""),"記載要")</f>
        <v/>
      </c>
      <c r="R1250" s="21" t="str">
        <f t="shared" si="202"/>
        <v/>
      </c>
      <c r="S1250" s="21"/>
      <c r="Z1250" s="8"/>
      <c r="AA1250">
        <v>1</v>
      </c>
      <c r="AB1250">
        <f t="shared" si="198"/>
        <v>0</v>
      </c>
      <c r="AC1250">
        <v>1</v>
      </c>
      <c r="AF1250">
        <v>1</v>
      </c>
      <c r="AG1250" s="8"/>
      <c r="AH1250" s="8"/>
      <c r="AK1250" cm="1">
        <f t="array" ref="AK1250">_xlfn.IFS(B1250="","",LEFT(G1250,1)="L",1,LEFT(G1250,1)="W",1,AND(LEFT(B1250,1)="H",G1250=""),0)</f>
        <v>1</v>
      </c>
      <c r="AS1250" t="str">
        <f t="shared" si="199"/>
        <v/>
      </c>
      <c r="AT1250" t="s">
        <v>115</v>
      </c>
      <c r="AU1250" t="str">
        <f t="shared" si="200"/>
        <v>0</v>
      </c>
      <c r="BD1250" t="str">
        <f t="shared" si="201"/>
        <v>0</v>
      </c>
      <c r="BK1250" t="str">
        <f>IFERROR(VLOOKUP(B1250,'[1]model_S-フレーム'!$F$5:$R$7000,13,1),"")</f>
        <v>E388250A_01</v>
      </c>
      <c r="BL1250" s="7">
        <f>IFERROR(VLOOKUP(B1250,'[1]model_S-フレーム'!$F$5:$V$7000,17,1),"")</f>
        <v>0</v>
      </c>
      <c r="BM1250" t="str" cm="1">
        <f t="array" ref="BM1250">_xlfn.IFS(LEFT(G1250,1)="L","外注品",LEFT(G1250,1)="W","内製品",G1250="","購買品")</f>
        <v>内製品</v>
      </c>
    </row>
    <row r="1251" spans="1:65">
      <c r="A1251" t="str">
        <f t="shared" si="193"/>
        <v>WG01</v>
      </c>
      <c r="B1251" t="s">
        <v>1395</v>
      </c>
      <c r="C1251" t="s">
        <v>1538</v>
      </c>
      <c r="D1251" s="7"/>
      <c r="E1251" s="7"/>
      <c r="G1251" t="s">
        <v>1939</v>
      </c>
      <c r="H1251" t="str" cm="1">
        <f t="array" ref="H1251">IFERROR(_xlfn.IFS(B1251="","",AND(B1251="",G1251=""),"",G1251="","記載要"),"")</f>
        <v/>
      </c>
      <c r="K1251" t="str">
        <f t="shared" si="194"/>
        <v>11WP01008805</v>
      </c>
      <c r="L1251" s="3" t="str">
        <f t="shared" si="195"/>
        <v>2001/01/01</v>
      </c>
      <c r="M1251" s="3" t="str">
        <f t="shared" si="196"/>
        <v>2199/12/31</v>
      </c>
      <c r="N1251" t="str">
        <f t="shared" si="197"/>
        <v>11WP01008805</v>
      </c>
      <c r="O1251">
        <v>15</v>
      </c>
      <c r="Q1251" t="str" cm="1">
        <f t="array" ref="Q1251">_xlfn.IFS(AND(C1251="",G1251=""),"",LEFT(G1251,1)="L","記載要",LEFT(G1251,1)="W","",AND(C1251,G1251=""),"記載要")</f>
        <v/>
      </c>
      <c r="R1251" s="21" t="str">
        <f t="shared" si="202"/>
        <v/>
      </c>
      <c r="S1251" s="21"/>
      <c r="Z1251" s="8"/>
      <c r="AA1251">
        <v>1</v>
      </c>
      <c r="AB1251">
        <f t="shared" si="198"/>
        <v>0</v>
      </c>
      <c r="AC1251">
        <v>1</v>
      </c>
      <c r="AF1251">
        <v>1</v>
      </c>
      <c r="AG1251" s="8"/>
      <c r="AH1251" s="8"/>
      <c r="AK1251" cm="1">
        <f t="array" ref="AK1251">_xlfn.IFS(B1251="","",LEFT(G1251,1)="L",1,LEFT(G1251,1)="W",1,AND(LEFT(B1251,1)="H",G1251=""),0)</f>
        <v>1</v>
      </c>
      <c r="AS1251" t="str">
        <f t="shared" si="199"/>
        <v/>
      </c>
      <c r="AT1251" t="s">
        <v>115</v>
      </c>
      <c r="AU1251" t="str">
        <f t="shared" si="200"/>
        <v>0</v>
      </c>
      <c r="BD1251" t="str">
        <f t="shared" si="201"/>
        <v>0</v>
      </c>
      <c r="BK1251" t="str">
        <f>IFERROR(VLOOKUP(B1251,'[1]model_S-フレーム'!$F$5:$R$7000,13,1),"")</f>
        <v>E388250A_01</v>
      </c>
      <c r="BL1251" s="7">
        <f>IFERROR(VLOOKUP(B1251,'[1]model_S-フレーム'!$F$5:$V$7000,17,1),"")</f>
        <v>0</v>
      </c>
      <c r="BM1251" t="str" cm="1">
        <f t="array" ref="BM1251">_xlfn.IFS(LEFT(G1251,1)="L","外注品",LEFT(G1251,1)="W","内製品",G1251="","購買品")</f>
        <v>内製品</v>
      </c>
    </row>
    <row r="1252" spans="1:65">
      <c r="A1252" t="str">
        <f t="shared" si="193"/>
        <v>WG01</v>
      </c>
      <c r="B1252" t="s">
        <v>1396</v>
      </c>
      <c r="C1252" t="s">
        <v>1538</v>
      </c>
      <c r="D1252" s="7"/>
      <c r="E1252" s="7"/>
      <c r="G1252" t="s">
        <v>1939</v>
      </c>
      <c r="H1252" t="str" cm="1">
        <f t="array" ref="H1252">IFERROR(_xlfn.IFS(B1252="","",AND(B1252="",G1252=""),"",G1252="","記載要"),"")</f>
        <v/>
      </c>
      <c r="K1252" t="str">
        <f t="shared" si="194"/>
        <v>11WP01008806</v>
      </c>
      <c r="L1252" s="3" t="str">
        <f t="shared" si="195"/>
        <v>2001/01/01</v>
      </c>
      <c r="M1252" s="3" t="str">
        <f t="shared" si="196"/>
        <v>2199/12/31</v>
      </c>
      <c r="N1252" t="str">
        <f t="shared" si="197"/>
        <v>11WP01008806</v>
      </c>
      <c r="O1252">
        <v>15</v>
      </c>
      <c r="Q1252" t="str" cm="1">
        <f t="array" ref="Q1252">_xlfn.IFS(AND(C1252="",G1252=""),"",LEFT(G1252,1)="L","記載要",LEFT(G1252,1)="W","",AND(C1252,G1252=""),"記載要")</f>
        <v/>
      </c>
      <c r="R1252" s="21" t="str">
        <f t="shared" si="202"/>
        <v/>
      </c>
      <c r="S1252" s="21"/>
      <c r="Z1252" s="8"/>
      <c r="AA1252">
        <v>1</v>
      </c>
      <c r="AB1252">
        <f t="shared" si="198"/>
        <v>0</v>
      </c>
      <c r="AC1252">
        <v>1</v>
      </c>
      <c r="AF1252">
        <v>1</v>
      </c>
      <c r="AG1252" s="8"/>
      <c r="AH1252" s="8"/>
      <c r="AK1252" cm="1">
        <f t="array" ref="AK1252">_xlfn.IFS(B1252="","",LEFT(G1252,1)="L",1,LEFT(G1252,1)="W",1,AND(LEFT(B1252,1)="H",G1252=""),0)</f>
        <v>1</v>
      </c>
      <c r="AS1252" t="str">
        <f t="shared" si="199"/>
        <v/>
      </c>
      <c r="AT1252" t="s">
        <v>115</v>
      </c>
      <c r="AU1252" t="str">
        <f t="shared" si="200"/>
        <v>0</v>
      </c>
      <c r="BD1252" t="str">
        <f t="shared" si="201"/>
        <v>0</v>
      </c>
      <c r="BK1252" t="str">
        <f>IFERROR(VLOOKUP(B1252,'[1]model_S-フレーム'!$F$5:$R$7000,13,1),"")</f>
        <v>E388250A_01</v>
      </c>
      <c r="BL1252" s="7">
        <f>IFERROR(VLOOKUP(B1252,'[1]model_S-フレーム'!$F$5:$V$7000,17,1),"")</f>
        <v>0</v>
      </c>
      <c r="BM1252" t="str" cm="1">
        <f t="array" ref="BM1252">_xlfn.IFS(LEFT(G1252,1)="L","外注品",LEFT(G1252,1)="W","内製品",G1252="","購買品")</f>
        <v>内製品</v>
      </c>
    </row>
    <row r="1253" spans="1:65">
      <c r="A1253" t="str">
        <f t="shared" si="193"/>
        <v>WG01</v>
      </c>
      <c r="B1253" t="s">
        <v>1397</v>
      </c>
      <c r="C1253" t="s">
        <v>1538</v>
      </c>
      <c r="D1253" s="7"/>
      <c r="E1253" s="7"/>
      <c r="G1253" t="s">
        <v>1939</v>
      </c>
      <c r="H1253" t="str" cm="1">
        <f t="array" ref="H1253">IFERROR(_xlfn.IFS(B1253="","",AND(B1253="",G1253=""),"",G1253="","記載要"),"")</f>
        <v/>
      </c>
      <c r="K1253" t="str">
        <f t="shared" si="194"/>
        <v>11WP01008807</v>
      </c>
      <c r="L1253" s="3" t="str">
        <f t="shared" si="195"/>
        <v>2001/01/01</v>
      </c>
      <c r="M1253" s="3" t="str">
        <f t="shared" si="196"/>
        <v>2199/12/31</v>
      </c>
      <c r="N1253" t="str">
        <f t="shared" si="197"/>
        <v>11WP01008807</v>
      </c>
      <c r="O1253">
        <v>15</v>
      </c>
      <c r="Q1253" t="str" cm="1">
        <f t="array" ref="Q1253">_xlfn.IFS(AND(C1253="",G1253=""),"",LEFT(G1253,1)="L","記載要",LEFT(G1253,1)="W","",AND(C1253,G1253=""),"記載要")</f>
        <v/>
      </c>
      <c r="R1253" s="21" t="str">
        <f t="shared" si="202"/>
        <v/>
      </c>
      <c r="S1253" s="21"/>
      <c r="Z1253" s="8"/>
      <c r="AA1253">
        <v>1</v>
      </c>
      <c r="AB1253">
        <f t="shared" si="198"/>
        <v>0</v>
      </c>
      <c r="AC1253">
        <v>1</v>
      </c>
      <c r="AF1253">
        <v>1</v>
      </c>
      <c r="AG1253" s="8"/>
      <c r="AH1253" s="8"/>
      <c r="AK1253" cm="1">
        <f t="array" ref="AK1253">_xlfn.IFS(B1253="","",LEFT(G1253,1)="L",1,LEFT(G1253,1)="W",1,AND(LEFT(B1253,1)="H",G1253=""),0)</f>
        <v>1</v>
      </c>
      <c r="AS1253" t="str">
        <f t="shared" si="199"/>
        <v/>
      </c>
      <c r="AT1253" t="s">
        <v>115</v>
      </c>
      <c r="AU1253" t="str">
        <f t="shared" si="200"/>
        <v>0</v>
      </c>
      <c r="BD1253" t="str">
        <f t="shared" si="201"/>
        <v>0</v>
      </c>
      <c r="BK1253" t="str">
        <f>IFERROR(VLOOKUP(B1253,'[1]model_S-フレーム'!$F$5:$R$7000,13,1),"")</f>
        <v>E388250A_01</v>
      </c>
      <c r="BL1253" s="7">
        <f>IFERROR(VLOOKUP(B1253,'[1]model_S-フレーム'!$F$5:$V$7000,17,1),"")</f>
        <v>0</v>
      </c>
      <c r="BM1253" t="str" cm="1">
        <f t="array" ref="BM1253">_xlfn.IFS(LEFT(G1253,1)="L","外注品",LEFT(G1253,1)="W","内製品",G1253="","購買品")</f>
        <v>内製品</v>
      </c>
    </row>
    <row r="1254" spans="1:65" s="13" customFormat="1">
      <c r="A1254" t="str">
        <f t="shared" si="193"/>
        <v>WG01</v>
      </c>
      <c r="B1254" t="s">
        <v>1398</v>
      </c>
      <c r="C1254" t="s">
        <v>1539</v>
      </c>
      <c r="D1254" s="7"/>
      <c r="E1254" s="7"/>
      <c r="F1254"/>
      <c r="G1254"/>
      <c r="H1254">
        <v>27616</v>
      </c>
      <c r="I1254"/>
      <c r="J1254"/>
      <c r="K1254" t="str">
        <f t="shared" si="194"/>
        <v/>
      </c>
      <c r="L1254" s="3" t="str">
        <f t="shared" si="195"/>
        <v>2001/01/01</v>
      </c>
      <c r="M1254" s="3" t="str">
        <f t="shared" si="196"/>
        <v>2199/12/31</v>
      </c>
      <c r="N1254" t="str">
        <f t="shared" si="197"/>
        <v/>
      </c>
      <c r="O1254" t="str">
        <f>IF(G1254="","","記載要")</f>
        <v/>
      </c>
      <c r="P1254"/>
      <c r="Q1254">
        <v>15</v>
      </c>
      <c r="R1254" s="21">
        <v>100000000</v>
      </c>
      <c r="S1254" s="21" t="str" cm="1">
        <f t="array" ref="S1254">_xlfn.IFS(LEFT(G1254,1)="L","記載要",LEFT(G1254,1)="W","記載要",G1254="","")</f>
        <v/>
      </c>
      <c r="T1254"/>
      <c r="U1254"/>
      <c r="V1254"/>
      <c r="W1254"/>
      <c r="X1254"/>
      <c r="Y1254"/>
      <c r="Z1254" s="8"/>
      <c r="AA1254" s="8">
        <v>1</v>
      </c>
      <c r="AB1254">
        <f t="shared" si="198"/>
        <v>0</v>
      </c>
      <c r="AC1254" s="8">
        <v>1</v>
      </c>
      <c r="AD1254"/>
      <c r="AE1254"/>
      <c r="AF1254">
        <v>1</v>
      </c>
      <c r="AG1254" s="8"/>
      <c r="AH1254" s="8"/>
      <c r="AI1254"/>
      <c r="AJ1254"/>
      <c r="AK1254" cm="1">
        <f t="array" ref="AK1254">_xlfn.IFS(B1254="","",LEFT(G1254,1)="L",1,LEFT(G1254,1)="W",1,AND(LEFT(B1254,1)="H",G1254=""),0)</f>
        <v>0</v>
      </c>
      <c r="AL1254"/>
      <c r="AM1254"/>
      <c r="AN1254"/>
      <c r="AO1254"/>
      <c r="AP1254"/>
      <c r="AQ1254"/>
      <c r="AR1254"/>
      <c r="AS1254">
        <f t="shared" si="199"/>
        <v>1</v>
      </c>
      <c r="AT1254" t="s">
        <v>115</v>
      </c>
      <c r="AU1254" t="str">
        <f t="shared" si="200"/>
        <v>0</v>
      </c>
      <c r="AV1254"/>
      <c r="AW1254"/>
      <c r="AX1254"/>
      <c r="AY1254"/>
      <c r="AZ1254"/>
      <c r="BA1254"/>
      <c r="BB1254"/>
      <c r="BC1254"/>
      <c r="BD1254" t="str">
        <f t="shared" si="201"/>
        <v>0</v>
      </c>
      <c r="BE1254"/>
      <c r="BF1254"/>
      <c r="BG1254"/>
      <c r="BH1254"/>
      <c r="BI1254"/>
      <c r="BJ1254"/>
      <c r="BK1254" s="13" t="str">
        <f>IFERROR(VLOOKUP(B1254,'[1]model_S-フレーム'!$F$5:$R$7000,13,1),"")</f>
        <v>E388250A_01</v>
      </c>
      <c r="BL1254" s="14">
        <f>IFERROR(VLOOKUP(B1254,'[1]model_S-フレーム'!$F$5:$V$7000,17,1),"")</f>
        <v>0</v>
      </c>
      <c r="BM1254" s="13" t="str" cm="1">
        <f t="array" ref="BM1254">_xlfn.IFS(LEFT(G1254,1)="L","外注品",LEFT(G1254,1)="W","内製品",G1254="","購買品")</f>
        <v>購買品</v>
      </c>
    </row>
    <row r="1255" spans="1:65" s="13" customFormat="1">
      <c r="A1255" t="str">
        <f t="shared" si="193"/>
        <v>WG01</v>
      </c>
      <c r="B1255" t="s">
        <v>1398</v>
      </c>
      <c r="C1255" t="s">
        <v>1539</v>
      </c>
      <c r="D1255" s="7"/>
      <c r="E1255" s="7"/>
      <c r="F1255"/>
      <c r="G1255"/>
      <c r="H1255">
        <v>43453</v>
      </c>
      <c r="I1255"/>
      <c r="J1255"/>
      <c r="K1255" t="str">
        <f t="shared" si="194"/>
        <v/>
      </c>
      <c r="L1255" s="3" t="str">
        <f t="shared" si="195"/>
        <v>2001/01/01</v>
      </c>
      <c r="M1255" s="3" t="str">
        <f t="shared" si="196"/>
        <v>2199/12/31</v>
      </c>
      <c r="N1255" t="str">
        <f t="shared" si="197"/>
        <v/>
      </c>
      <c r="O1255" t="str">
        <f>IF(G1255="","","記載要")</f>
        <v/>
      </c>
      <c r="P1255"/>
      <c r="Q1255">
        <v>15</v>
      </c>
      <c r="R1255" s="21">
        <v>100000000</v>
      </c>
      <c r="S1255" s="21" t="str" cm="1">
        <f t="array" ref="S1255">_xlfn.IFS(LEFT(G1255,1)="L","記載要",LEFT(G1255,1)="W","記載要",G1255="","")</f>
        <v/>
      </c>
      <c r="T1255"/>
      <c r="U1255"/>
      <c r="V1255"/>
      <c r="W1255"/>
      <c r="X1255"/>
      <c r="Y1255"/>
      <c r="Z1255" s="8"/>
      <c r="AA1255" s="8">
        <v>1</v>
      </c>
      <c r="AB1255">
        <f t="shared" si="198"/>
        <v>0</v>
      </c>
      <c r="AC1255" s="8">
        <v>1</v>
      </c>
      <c r="AD1255"/>
      <c r="AE1255"/>
      <c r="AF1255">
        <v>0</v>
      </c>
      <c r="AG1255" s="8"/>
      <c r="AH1255" s="8"/>
      <c r="AI1255"/>
      <c r="AJ1255"/>
      <c r="AK1255" cm="1">
        <f t="array" ref="AK1255">_xlfn.IFS(B1255="","",LEFT(G1255,1)="L",1,LEFT(G1255,1)="W",1,AND(LEFT(B1255,1)="H",G1255=""),0)</f>
        <v>0</v>
      </c>
      <c r="AL1255"/>
      <c r="AM1255"/>
      <c r="AN1255"/>
      <c r="AO1255"/>
      <c r="AP1255"/>
      <c r="AQ1255"/>
      <c r="AR1255"/>
      <c r="AS1255">
        <f t="shared" si="199"/>
        <v>1</v>
      </c>
      <c r="AT1255" t="s">
        <v>115</v>
      </c>
      <c r="AU1255" t="str">
        <f t="shared" si="200"/>
        <v>0</v>
      </c>
      <c r="AV1255"/>
      <c r="AW1255"/>
      <c r="AX1255"/>
      <c r="AY1255"/>
      <c r="AZ1255"/>
      <c r="BA1255"/>
      <c r="BB1255"/>
      <c r="BC1255"/>
      <c r="BD1255" t="str">
        <f t="shared" si="201"/>
        <v>0</v>
      </c>
      <c r="BE1255"/>
      <c r="BF1255"/>
      <c r="BG1255"/>
      <c r="BH1255"/>
      <c r="BI1255"/>
      <c r="BJ1255"/>
      <c r="BK1255" s="13" t="str">
        <f>IFERROR(VLOOKUP(B1255,'[1]model_S-フレーム'!$F$5:$R$7000,13,1),"")</f>
        <v>E388250A_01</v>
      </c>
      <c r="BL1255" s="14">
        <f>IFERROR(VLOOKUP(B1255,'[1]model_S-フレーム'!$F$5:$V$7000,17,1),"")</f>
        <v>0</v>
      </c>
      <c r="BM1255" s="13" t="str" cm="1">
        <f t="array" ref="BM1255">_xlfn.IFS(LEFT(G1255,1)="L","外注品",LEFT(G1255,1)="W","内製品",G1255="","購買品")</f>
        <v>購買品</v>
      </c>
    </row>
    <row r="1256" spans="1:65" s="13" customFormat="1">
      <c r="A1256" t="str">
        <f t="shared" si="193"/>
        <v>WG01</v>
      </c>
      <c r="B1256" t="s">
        <v>1398</v>
      </c>
      <c r="C1256" t="s">
        <v>1539</v>
      </c>
      <c r="D1256" s="7"/>
      <c r="E1256" s="7"/>
      <c r="F1256"/>
      <c r="G1256"/>
      <c r="H1256">
        <v>47081</v>
      </c>
      <c r="I1256"/>
      <c r="J1256"/>
      <c r="K1256" t="str">
        <f t="shared" si="194"/>
        <v/>
      </c>
      <c r="L1256" s="3" t="str">
        <f t="shared" si="195"/>
        <v>2001/01/01</v>
      </c>
      <c r="M1256" s="3" t="str">
        <f t="shared" si="196"/>
        <v>2199/12/31</v>
      </c>
      <c r="N1256" t="str">
        <f t="shared" si="197"/>
        <v/>
      </c>
      <c r="O1256" t="str">
        <f>IF(G1256="","","記載要")</f>
        <v/>
      </c>
      <c r="P1256"/>
      <c r="Q1256">
        <v>15</v>
      </c>
      <c r="R1256" s="21">
        <v>100000000</v>
      </c>
      <c r="S1256" s="21" t="str" cm="1">
        <f t="array" ref="S1256">_xlfn.IFS(LEFT(G1256,1)="L","記載要",LEFT(G1256,1)="W","記載要",G1256="","")</f>
        <v/>
      </c>
      <c r="T1256"/>
      <c r="U1256"/>
      <c r="V1256"/>
      <c r="W1256"/>
      <c r="X1256"/>
      <c r="Y1256"/>
      <c r="Z1256" s="8"/>
      <c r="AA1256" s="8">
        <v>1</v>
      </c>
      <c r="AB1256">
        <f t="shared" si="198"/>
        <v>0</v>
      </c>
      <c r="AC1256" s="8">
        <v>1</v>
      </c>
      <c r="AD1256"/>
      <c r="AE1256"/>
      <c r="AF1256">
        <v>0</v>
      </c>
      <c r="AG1256" s="8"/>
      <c r="AH1256" s="8"/>
      <c r="AI1256"/>
      <c r="AJ1256"/>
      <c r="AK1256" cm="1">
        <f t="array" ref="AK1256">_xlfn.IFS(B1256="","",LEFT(G1256,1)="L",1,LEFT(G1256,1)="W",1,AND(LEFT(B1256,1)="H",G1256=""),0)</f>
        <v>0</v>
      </c>
      <c r="AL1256"/>
      <c r="AM1256"/>
      <c r="AN1256"/>
      <c r="AO1256"/>
      <c r="AP1256"/>
      <c r="AQ1256"/>
      <c r="AR1256"/>
      <c r="AS1256">
        <f t="shared" si="199"/>
        <v>1</v>
      </c>
      <c r="AT1256" t="s">
        <v>115</v>
      </c>
      <c r="AU1256" t="str">
        <f t="shared" si="200"/>
        <v>0</v>
      </c>
      <c r="AV1256"/>
      <c r="AW1256"/>
      <c r="AX1256"/>
      <c r="AY1256"/>
      <c r="AZ1256"/>
      <c r="BA1256"/>
      <c r="BB1256"/>
      <c r="BC1256"/>
      <c r="BD1256" t="str">
        <f t="shared" si="201"/>
        <v>0</v>
      </c>
      <c r="BE1256"/>
      <c r="BF1256"/>
      <c r="BG1256"/>
      <c r="BH1256"/>
      <c r="BI1256"/>
      <c r="BJ1256"/>
      <c r="BK1256" s="13" t="str">
        <f>IFERROR(VLOOKUP(B1256,'[1]model_S-フレーム'!$F$5:$R$7000,13,1),"")</f>
        <v>E388250A_01</v>
      </c>
      <c r="BL1256" s="14">
        <f>IFERROR(VLOOKUP(B1256,'[1]model_S-フレーム'!$F$5:$V$7000,17,1),"")</f>
        <v>0</v>
      </c>
      <c r="BM1256" s="13" t="str" cm="1">
        <f t="array" ref="BM1256">_xlfn.IFS(LEFT(G1256,1)="L","外注品",LEFT(G1256,1)="W","内製品",G1256="","購買品")</f>
        <v>購買品</v>
      </c>
    </row>
    <row r="1257" spans="1:65">
      <c r="A1257" t="str">
        <f t="shared" si="193"/>
        <v>WG01</v>
      </c>
      <c r="B1257" t="s">
        <v>1398</v>
      </c>
      <c r="C1257" t="s">
        <v>1539</v>
      </c>
      <c r="D1257" s="7"/>
      <c r="E1257" s="7"/>
      <c r="H1257" s="19" t="s">
        <v>1937</v>
      </c>
      <c r="K1257" t="str">
        <f t="shared" si="194"/>
        <v/>
      </c>
      <c r="L1257" s="3" t="str">
        <f t="shared" si="195"/>
        <v>2001/01/01</v>
      </c>
      <c r="M1257" s="3" t="str">
        <f t="shared" si="196"/>
        <v>2199/12/31</v>
      </c>
      <c r="N1257" t="str">
        <f t="shared" si="197"/>
        <v/>
      </c>
      <c r="O1257" t="str">
        <f>IF(G1257="","","記載要")</f>
        <v/>
      </c>
      <c r="Q1257">
        <v>15</v>
      </c>
      <c r="R1257" s="21">
        <v>100000000</v>
      </c>
      <c r="S1257" s="21" t="str" cm="1">
        <f t="array" ref="S1257">_xlfn.IFS(LEFT(G1257,1)="L","記載要",LEFT(G1257,1)="W","記載要",G1257="","")</f>
        <v/>
      </c>
      <c r="Z1257" s="8"/>
      <c r="AA1257" s="8">
        <v>1</v>
      </c>
      <c r="AB1257">
        <f t="shared" si="198"/>
        <v>0</v>
      </c>
      <c r="AC1257" s="8">
        <v>1</v>
      </c>
      <c r="AF1257">
        <v>0</v>
      </c>
      <c r="AG1257" s="8"/>
      <c r="AH1257" s="8"/>
      <c r="AK1257" cm="1">
        <f t="array" ref="AK1257">_xlfn.IFS(B1257="","",LEFT(G1257,1)="L",1,LEFT(G1257,1)="W",1,AND(LEFT(B1257,1)="H",G1257=""),0)</f>
        <v>0</v>
      </c>
      <c r="AS1257">
        <f t="shared" si="199"/>
        <v>1</v>
      </c>
      <c r="AT1257" t="s">
        <v>115</v>
      </c>
      <c r="AU1257" t="str">
        <f t="shared" si="200"/>
        <v>0</v>
      </c>
      <c r="BD1257" t="str">
        <f t="shared" si="201"/>
        <v>0</v>
      </c>
      <c r="BK1257" t="str">
        <f>IFERROR(VLOOKUP(B1257,'[1]model_S-フレーム'!$F$5:$R$7000,13,1),"")</f>
        <v>E388250A_01</v>
      </c>
      <c r="BL1257" s="7">
        <f>IFERROR(VLOOKUP(B1257,'[1]model_S-フレーム'!$F$5:$V$7000,17,1),"")</f>
        <v>0</v>
      </c>
      <c r="BM1257" t="str" cm="1">
        <f t="array" ref="BM1257">_xlfn.IFS(LEFT(G1257,1)="L","外注品",LEFT(G1257,1)="W","内製品",G1257="","購買品")</f>
        <v>購買品</v>
      </c>
    </row>
    <row r="1258" spans="1:65">
      <c r="A1258" t="str">
        <f t="shared" si="193"/>
        <v>WG01</v>
      </c>
      <c r="B1258" t="s">
        <v>1399</v>
      </c>
      <c r="C1258" t="s">
        <v>1535</v>
      </c>
      <c r="D1258" s="7"/>
      <c r="E1258" s="7"/>
      <c r="G1258" t="s">
        <v>1939</v>
      </c>
      <c r="H1258" t="str" cm="1">
        <f t="array" ref="H1258">IFERROR(_xlfn.IFS(B1258="","",AND(B1258="",G1258=""),"",G1258="","記載要"),"")</f>
        <v/>
      </c>
      <c r="K1258" t="str">
        <f t="shared" si="194"/>
        <v>11WP01008809</v>
      </c>
      <c r="L1258" s="3" t="str">
        <f t="shared" si="195"/>
        <v>2001/01/01</v>
      </c>
      <c r="M1258" s="3" t="str">
        <f t="shared" si="196"/>
        <v>2199/12/31</v>
      </c>
      <c r="N1258" t="str">
        <f t="shared" si="197"/>
        <v>11WP01008809</v>
      </c>
      <c r="O1258">
        <v>15</v>
      </c>
      <c r="Q1258" t="str" cm="1">
        <f t="array" ref="Q1258">_xlfn.IFS(AND(C1258="",G1258=""),"",LEFT(G1258,1)="L","記載要",LEFT(G1258,1)="W","",AND(C1258,G1258=""),"記載要")</f>
        <v/>
      </c>
      <c r="R1258" s="21" t="str">
        <f t="shared" si="202"/>
        <v/>
      </c>
      <c r="S1258" s="21"/>
      <c r="Z1258" s="8"/>
      <c r="AA1258">
        <v>1</v>
      </c>
      <c r="AB1258">
        <f t="shared" si="198"/>
        <v>0</v>
      </c>
      <c r="AC1258">
        <v>1</v>
      </c>
      <c r="AF1258">
        <v>1</v>
      </c>
      <c r="AG1258" s="8"/>
      <c r="AH1258" s="8"/>
      <c r="AK1258" cm="1">
        <f t="array" ref="AK1258">_xlfn.IFS(B1258="","",LEFT(G1258,1)="L",1,LEFT(G1258,1)="W",1,AND(LEFT(B1258,1)="H",G1258=""),0)</f>
        <v>1</v>
      </c>
      <c r="AS1258" t="str">
        <f t="shared" si="199"/>
        <v/>
      </c>
      <c r="AT1258" t="s">
        <v>115</v>
      </c>
      <c r="AU1258" t="str">
        <f t="shared" si="200"/>
        <v>0</v>
      </c>
      <c r="BD1258" t="str">
        <f t="shared" si="201"/>
        <v>0</v>
      </c>
      <c r="BK1258" t="str">
        <f>IFERROR(VLOOKUP(B1258,'[1]model_S-フレーム'!$F$5:$R$7000,13,1),"")</f>
        <v>E388250B_01</v>
      </c>
      <c r="BL1258" s="7">
        <f>IFERROR(VLOOKUP(B1258,'[1]model_S-フレーム'!$F$5:$V$7000,17,1),"")</f>
        <v>0</v>
      </c>
      <c r="BM1258" t="str" cm="1">
        <f t="array" ref="BM1258">_xlfn.IFS(LEFT(G1258,1)="L","外注品",LEFT(G1258,1)="W","内製品",G1258="","購買品")</f>
        <v>内製品</v>
      </c>
    </row>
    <row r="1259" spans="1:65">
      <c r="A1259" t="str">
        <f t="shared" si="193"/>
        <v>WG01</v>
      </c>
      <c r="B1259" t="s">
        <v>1400</v>
      </c>
      <c r="C1259" t="s">
        <v>1535</v>
      </c>
      <c r="D1259" s="7"/>
      <c r="E1259" s="7"/>
      <c r="G1259" t="s">
        <v>1939</v>
      </c>
      <c r="H1259" t="str" cm="1">
        <f t="array" ref="H1259">IFERROR(_xlfn.IFS(B1259="","",AND(B1259="",G1259=""),"",G1259="","記載要"),"")</f>
        <v/>
      </c>
      <c r="K1259" t="str">
        <f t="shared" si="194"/>
        <v>11WP01008810</v>
      </c>
      <c r="L1259" s="3" t="str">
        <f t="shared" si="195"/>
        <v>2001/01/01</v>
      </c>
      <c r="M1259" s="3" t="str">
        <f t="shared" si="196"/>
        <v>2199/12/31</v>
      </c>
      <c r="N1259" t="str">
        <f t="shared" si="197"/>
        <v>11WP01008810</v>
      </c>
      <c r="O1259">
        <v>15</v>
      </c>
      <c r="Q1259" t="str" cm="1">
        <f t="array" ref="Q1259">_xlfn.IFS(AND(C1259="",G1259=""),"",LEFT(G1259,1)="L","記載要",LEFT(G1259,1)="W","",AND(C1259,G1259=""),"記載要")</f>
        <v/>
      </c>
      <c r="R1259" s="21" t="str">
        <f t="shared" si="202"/>
        <v/>
      </c>
      <c r="S1259" s="21"/>
      <c r="Z1259" s="8"/>
      <c r="AA1259">
        <v>1</v>
      </c>
      <c r="AB1259">
        <f t="shared" si="198"/>
        <v>0</v>
      </c>
      <c r="AC1259">
        <v>1</v>
      </c>
      <c r="AF1259">
        <v>1</v>
      </c>
      <c r="AG1259" s="8"/>
      <c r="AH1259" s="8"/>
      <c r="AK1259" cm="1">
        <f t="array" ref="AK1259">_xlfn.IFS(B1259="","",LEFT(G1259,1)="L",1,LEFT(G1259,1)="W",1,AND(LEFT(B1259,1)="H",G1259=""),0)</f>
        <v>1</v>
      </c>
      <c r="AS1259" t="str">
        <f t="shared" si="199"/>
        <v/>
      </c>
      <c r="AT1259" t="s">
        <v>115</v>
      </c>
      <c r="AU1259" t="str">
        <f t="shared" si="200"/>
        <v>0</v>
      </c>
      <c r="BD1259" t="str">
        <f t="shared" si="201"/>
        <v>0</v>
      </c>
      <c r="BK1259" t="str">
        <f>IFERROR(VLOOKUP(B1259,'[1]model_S-フレーム'!$F$5:$R$7000,13,1),"")</f>
        <v>E388250B_01</v>
      </c>
      <c r="BL1259" s="7">
        <f>IFERROR(VLOOKUP(B1259,'[1]model_S-フレーム'!$F$5:$V$7000,17,1),"")</f>
        <v>0</v>
      </c>
      <c r="BM1259" t="str" cm="1">
        <f t="array" ref="BM1259">_xlfn.IFS(LEFT(G1259,1)="L","外注品",LEFT(G1259,1)="W","内製品",G1259="","購買品")</f>
        <v>内製品</v>
      </c>
    </row>
    <row r="1260" spans="1:65">
      <c r="A1260" t="str">
        <f t="shared" si="193"/>
        <v>WG01</v>
      </c>
      <c r="B1260" t="s">
        <v>1401</v>
      </c>
      <c r="C1260" t="s">
        <v>1535</v>
      </c>
      <c r="D1260" s="7"/>
      <c r="E1260" s="7"/>
      <c r="G1260" t="s">
        <v>1939</v>
      </c>
      <c r="H1260" t="str" cm="1">
        <f t="array" ref="H1260">IFERROR(_xlfn.IFS(B1260="","",AND(B1260="",G1260=""),"",G1260="","記載要"),"")</f>
        <v/>
      </c>
      <c r="K1260" t="str">
        <f t="shared" si="194"/>
        <v>11WP01008811</v>
      </c>
      <c r="L1260" s="3" t="str">
        <f t="shared" si="195"/>
        <v>2001/01/01</v>
      </c>
      <c r="M1260" s="3" t="str">
        <f t="shared" si="196"/>
        <v>2199/12/31</v>
      </c>
      <c r="N1260" t="str">
        <f t="shared" si="197"/>
        <v>11WP01008811</v>
      </c>
      <c r="O1260">
        <v>15</v>
      </c>
      <c r="Q1260" t="str" cm="1">
        <f t="array" ref="Q1260">_xlfn.IFS(AND(C1260="",G1260=""),"",LEFT(G1260,1)="L","記載要",LEFT(G1260,1)="W","",AND(C1260,G1260=""),"記載要")</f>
        <v/>
      </c>
      <c r="R1260" s="21" t="str">
        <f t="shared" si="202"/>
        <v/>
      </c>
      <c r="S1260" s="21"/>
      <c r="Z1260" s="8"/>
      <c r="AA1260">
        <v>1</v>
      </c>
      <c r="AB1260">
        <f t="shared" si="198"/>
        <v>0</v>
      </c>
      <c r="AC1260">
        <v>1</v>
      </c>
      <c r="AF1260">
        <v>1</v>
      </c>
      <c r="AG1260" s="8"/>
      <c r="AH1260" s="8"/>
      <c r="AK1260" cm="1">
        <f t="array" ref="AK1260">_xlfn.IFS(B1260="","",LEFT(G1260,1)="L",1,LEFT(G1260,1)="W",1,AND(LEFT(B1260,1)="H",G1260=""),0)</f>
        <v>1</v>
      </c>
      <c r="AS1260" t="str">
        <f t="shared" si="199"/>
        <v/>
      </c>
      <c r="AT1260" t="s">
        <v>115</v>
      </c>
      <c r="AU1260" t="str">
        <f t="shared" si="200"/>
        <v>0</v>
      </c>
      <c r="BD1260" t="str">
        <f t="shared" si="201"/>
        <v>0</v>
      </c>
      <c r="BK1260" t="str">
        <f>IFERROR(VLOOKUP(B1260,'[1]model_S-フレーム'!$F$5:$R$7000,13,1),"")</f>
        <v>E388250B_01</v>
      </c>
      <c r="BL1260" s="7">
        <f>IFERROR(VLOOKUP(B1260,'[1]model_S-フレーム'!$F$5:$V$7000,17,1),"")</f>
        <v>0</v>
      </c>
      <c r="BM1260" t="str" cm="1">
        <f t="array" ref="BM1260">_xlfn.IFS(LEFT(G1260,1)="L","外注品",LEFT(G1260,1)="W","内製品",G1260="","購買品")</f>
        <v>内製品</v>
      </c>
    </row>
    <row r="1261" spans="1:65">
      <c r="A1261" t="str">
        <f t="shared" si="193"/>
        <v>WG01</v>
      </c>
      <c r="B1261" t="s">
        <v>1402</v>
      </c>
      <c r="C1261" t="s">
        <v>1535</v>
      </c>
      <c r="D1261" s="7"/>
      <c r="E1261" s="7"/>
      <c r="G1261" t="s">
        <v>1939</v>
      </c>
      <c r="H1261" t="str" cm="1">
        <f t="array" ref="H1261">IFERROR(_xlfn.IFS(B1261="","",AND(B1261="",G1261=""),"",G1261="","記載要"),"")</f>
        <v/>
      </c>
      <c r="K1261" t="str">
        <f t="shared" si="194"/>
        <v>11WP01008812</v>
      </c>
      <c r="L1261" s="3" t="str">
        <f t="shared" si="195"/>
        <v>2001/01/01</v>
      </c>
      <c r="M1261" s="3" t="str">
        <f t="shared" si="196"/>
        <v>2199/12/31</v>
      </c>
      <c r="N1261" t="str">
        <f t="shared" si="197"/>
        <v>11WP01008812</v>
      </c>
      <c r="O1261">
        <v>15</v>
      </c>
      <c r="Q1261" t="str" cm="1">
        <f t="array" ref="Q1261">_xlfn.IFS(AND(C1261="",G1261=""),"",LEFT(G1261,1)="L","記載要",LEFT(G1261,1)="W","",AND(C1261,G1261=""),"記載要")</f>
        <v/>
      </c>
      <c r="R1261" s="21" t="str">
        <f t="shared" si="202"/>
        <v/>
      </c>
      <c r="S1261" s="21"/>
      <c r="Z1261" s="8"/>
      <c r="AA1261">
        <v>1</v>
      </c>
      <c r="AB1261">
        <f t="shared" si="198"/>
        <v>0</v>
      </c>
      <c r="AC1261">
        <v>1</v>
      </c>
      <c r="AF1261">
        <v>1</v>
      </c>
      <c r="AG1261" s="8"/>
      <c r="AH1261" s="8"/>
      <c r="AK1261" cm="1">
        <f t="array" ref="AK1261">_xlfn.IFS(B1261="","",LEFT(G1261,1)="L",1,LEFT(G1261,1)="W",1,AND(LEFT(B1261,1)="H",G1261=""),0)</f>
        <v>1</v>
      </c>
      <c r="AS1261" t="str">
        <f t="shared" si="199"/>
        <v/>
      </c>
      <c r="AT1261" t="s">
        <v>115</v>
      </c>
      <c r="AU1261" t="str">
        <f t="shared" si="200"/>
        <v>0</v>
      </c>
      <c r="BD1261" t="str">
        <f t="shared" si="201"/>
        <v>0</v>
      </c>
      <c r="BK1261" t="str">
        <f>IFERROR(VLOOKUP(B1261,'[1]model_S-フレーム'!$F$5:$R$7000,13,1),"")</f>
        <v>E388250B_01</v>
      </c>
      <c r="BL1261" s="7">
        <f>IFERROR(VLOOKUP(B1261,'[1]model_S-フレーム'!$F$5:$V$7000,17,1),"")</f>
        <v>0</v>
      </c>
      <c r="BM1261" t="str" cm="1">
        <f t="array" ref="BM1261">_xlfn.IFS(LEFT(G1261,1)="L","外注品",LEFT(G1261,1)="W","内製品",G1261="","購買品")</f>
        <v>内製品</v>
      </c>
    </row>
    <row r="1262" spans="1:65">
      <c r="A1262" t="str">
        <f t="shared" si="193"/>
        <v>WG01</v>
      </c>
      <c r="B1262" t="s">
        <v>1403</v>
      </c>
      <c r="C1262" t="s">
        <v>1536</v>
      </c>
      <c r="D1262" s="7"/>
      <c r="E1262" s="7"/>
      <c r="G1262" t="s">
        <v>1939</v>
      </c>
      <c r="H1262" t="str" cm="1">
        <f t="array" ref="H1262">IFERROR(_xlfn.IFS(B1262="","",AND(B1262="",G1262=""),"",G1262="","記載要"),"")</f>
        <v/>
      </c>
      <c r="K1262" t="str">
        <f t="shared" si="194"/>
        <v>11WP01008813</v>
      </c>
      <c r="L1262" s="3" t="str">
        <f t="shared" si="195"/>
        <v>2001/01/01</v>
      </c>
      <c r="M1262" s="3" t="str">
        <f t="shared" si="196"/>
        <v>2199/12/31</v>
      </c>
      <c r="N1262" t="str">
        <f t="shared" si="197"/>
        <v>11WP01008813</v>
      </c>
      <c r="O1262">
        <v>15</v>
      </c>
      <c r="Q1262" t="str" cm="1">
        <f t="array" ref="Q1262">_xlfn.IFS(AND(C1262="",G1262=""),"",LEFT(G1262,1)="L","記載要",LEFT(G1262,1)="W","",AND(C1262,G1262=""),"記載要")</f>
        <v/>
      </c>
      <c r="R1262" s="21" t="str">
        <f t="shared" si="202"/>
        <v/>
      </c>
      <c r="S1262" s="21"/>
      <c r="Z1262" s="8"/>
      <c r="AA1262">
        <v>1</v>
      </c>
      <c r="AB1262">
        <f t="shared" si="198"/>
        <v>0</v>
      </c>
      <c r="AC1262">
        <v>1</v>
      </c>
      <c r="AF1262">
        <v>1</v>
      </c>
      <c r="AG1262" s="8"/>
      <c r="AH1262" s="8"/>
      <c r="AK1262" cm="1">
        <f t="array" ref="AK1262">_xlfn.IFS(B1262="","",LEFT(G1262,1)="L",1,LEFT(G1262,1)="W",1,AND(LEFT(B1262,1)="H",G1262=""),0)</f>
        <v>1</v>
      </c>
      <c r="AS1262" t="str">
        <f t="shared" si="199"/>
        <v/>
      </c>
      <c r="AT1262" t="s">
        <v>115</v>
      </c>
      <c r="AU1262" t="str">
        <f t="shared" si="200"/>
        <v>0</v>
      </c>
      <c r="BD1262" t="str">
        <f t="shared" si="201"/>
        <v>0</v>
      </c>
      <c r="BK1262" t="str">
        <f>IFERROR(VLOOKUP(B1262,'[1]model_S-フレーム'!$F$5:$R$7000,13,1),"")</f>
        <v>E388250B_01</v>
      </c>
      <c r="BL1262" s="7">
        <f>IFERROR(VLOOKUP(B1262,'[1]model_S-フレーム'!$F$5:$V$7000,17,1),"")</f>
        <v>0</v>
      </c>
      <c r="BM1262" t="str" cm="1">
        <f t="array" ref="BM1262">_xlfn.IFS(LEFT(G1262,1)="L","外注品",LEFT(G1262,1)="W","内製品",G1262="","購買品")</f>
        <v>内製品</v>
      </c>
    </row>
    <row r="1263" spans="1:65">
      <c r="A1263" t="str">
        <f t="shared" si="193"/>
        <v>WG01</v>
      </c>
      <c r="B1263" t="s">
        <v>1404</v>
      </c>
      <c r="C1263" t="s">
        <v>1536</v>
      </c>
      <c r="D1263" s="7"/>
      <c r="E1263" s="7"/>
      <c r="G1263" t="s">
        <v>1939</v>
      </c>
      <c r="H1263" t="str" cm="1">
        <f t="array" ref="H1263">IFERROR(_xlfn.IFS(B1263="","",AND(B1263="",G1263=""),"",G1263="","記載要"),"")</f>
        <v/>
      </c>
      <c r="K1263" t="str">
        <f t="shared" si="194"/>
        <v>11WP01008814</v>
      </c>
      <c r="L1263" s="3" t="str">
        <f t="shared" si="195"/>
        <v>2001/01/01</v>
      </c>
      <c r="M1263" s="3" t="str">
        <f t="shared" si="196"/>
        <v>2199/12/31</v>
      </c>
      <c r="N1263" t="str">
        <f t="shared" si="197"/>
        <v>11WP01008814</v>
      </c>
      <c r="O1263">
        <v>15</v>
      </c>
      <c r="Q1263" t="str" cm="1">
        <f t="array" ref="Q1263">_xlfn.IFS(AND(C1263="",G1263=""),"",LEFT(G1263,1)="L","記載要",LEFT(G1263,1)="W","",AND(C1263,G1263=""),"記載要")</f>
        <v/>
      </c>
      <c r="R1263" s="21" t="str">
        <f t="shared" si="202"/>
        <v/>
      </c>
      <c r="S1263" s="21"/>
      <c r="Z1263" s="8"/>
      <c r="AA1263">
        <v>1</v>
      </c>
      <c r="AB1263">
        <f t="shared" si="198"/>
        <v>0</v>
      </c>
      <c r="AC1263">
        <v>1</v>
      </c>
      <c r="AF1263">
        <v>1</v>
      </c>
      <c r="AG1263" s="8"/>
      <c r="AH1263" s="8"/>
      <c r="AK1263" cm="1">
        <f t="array" ref="AK1263">_xlfn.IFS(B1263="","",LEFT(G1263,1)="L",1,LEFT(G1263,1)="W",1,AND(LEFT(B1263,1)="H",G1263=""),0)</f>
        <v>1</v>
      </c>
      <c r="AS1263" t="str">
        <f t="shared" si="199"/>
        <v/>
      </c>
      <c r="AT1263" t="s">
        <v>115</v>
      </c>
      <c r="AU1263" t="str">
        <f t="shared" si="200"/>
        <v>0</v>
      </c>
      <c r="BD1263" t="str">
        <f t="shared" si="201"/>
        <v>0</v>
      </c>
      <c r="BK1263" t="str">
        <f>IFERROR(VLOOKUP(B1263,'[1]model_S-フレーム'!$F$5:$R$7000,13,1),"")</f>
        <v>E388250B_01</v>
      </c>
      <c r="BL1263" s="7">
        <f>IFERROR(VLOOKUP(B1263,'[1]model_S-フレーム'!$F$5:$V$7000,17,1),"")</f>
        <v>0</v>
      </c>
      <c r="BM1263" t="str" cm="1">
        <f t="array" ref="BM1263">_xlfn.IFS(LEFT(G1263,1)="L","外注品",LEFT(G1263,1)="W","内製品",G1263="","購買品")</f>
        <v>内製品</v>
      </c>
    </row>
    <row r="1264" spans="1:65">
      <c r="A1264" t="str">
        <f t="shared" si="193"/>
        <v>WG01</v>
      </c>
      <c r="B1264" t="s">
        <v>1405</v>
      </c>
      <c r="C1264" t="s">
        <v>1536</v>
      </c>
      <c r="D1264" s="7"/>
      <c r="E1264" s="7"/>
      <c r="G1264" t="s">
        <v>1939</v>
      </c>
      <c r="H1264" t="str" cm="1">
        <f t="array" ref="H1264">IFERROR(_xlfn.IFS(B1264="","",AND(B1264="",G1264=""),"",G1264="","記載要"),"")</f>
        <v/>
      </c>
      <c r="K1264" t="str">
        <f t="shared" si="194"/>
        <v>11WP01008815</v>
      </c>
      <c r="L1264" s="3" t="str">
        <f t="shared" si="195"/>
        <v>2001/01/01</v>
      </c>
      <c r="M1264" s="3" t="str">
        <f t="shared" si="196"/>
        <v>2199/12/31</v>
      </c>
      <c r="N1264" t="str">
        <f t="shared" si="197"/>
        <v>11WP01008815</v>
      </c>
      <c r="O1264">
        <v>15</v>
      </c>
      <c r="Q1264" t="str" cm="1">
        <f t="array" ref="Q1264">_xlfn.IFS(AND(C1264="",G1264=""),"",LEFT(G1264,1)="L","記載要",LEFT(G1264,1)="W","",AND(C1264,G1264=""),"記載要")</f>
        <v/>
      </c>
      <c r="R1264" s="21" t="str">
        <f t="shared" si="202"/>
        <v/>
      </c>
      <c r="S1264" s="21"/>
      <c r="Z1264" s="8"/>
      <c r="AA1264">
        <v>1</v>
      </c>
      <c r="AB1264">
        <f t="shared" si="198"/>
        <v>0</v>
      </c>
      <c r="AC1264">
        <v>1</v>
      </c>
      <c r="AF1264">
        <v>1</v>
      </c>
      <c r="AG1264" s="8"/>
      <c r="AH1264" s="8"/>
      <c r="AK1264" cm="1">
        <f t="array" ref="AK1264">_xlfn.IFS(B1264="","",LEFT(G1264,1)="L",1,LEFT(G1264,1)="W",1,AND(LEFT(B1264,1)="H",G1264=""),0)</f>
        <v>1</v>
      </c>
      <c r="AS1264" t="str">
        <f t="shared" si="199"/>
        <v/>
      </c>
      <c r="AT1264" t="s">
        <v>115</v>
      </c>
      <c r="AU1264" t="str">
        <f t="shared" si="200"/>
        <v>0</v>
      </c>
      <c r="BD1264" t="str">
        <f t="shared" si="201"/>
        <v>0</v>
      </c>
      <c r="BK1264" t="str">
        <f>IFERROR(VLOOKUP(B1264,'[1]model_S-フレーム'!$F$5:$R$7000,13,1),"")</f>
        <v>E388250B_01</v>
      </c>
      <c r="BL1264" s="7">
        <f>IFERROR(VLOOKUP(B1264,'[1]model_S-フレーム'!$F$5:$V$7000,17,1),"")</f>
        <v>0</v>
      </c>
      <c r="BM1264" t="str" cm="1">
        <f t="array" ref="BM1264">_xlfn.IFS(LEFT(G1264,1)="L","外注品",LEFT(G1264,1)="W","内製品",G1264="","購買品")</f>
        <v>内製品</v>
      </c>
    </row>
    <row r="1265" spans="1:65">
      <c r="A1265" t="str">
        <f t="shared" si="193"/>
        <v>WG01</v>
      </c>
      <c r="B1265" t="s">
        <v>1406</v>
      </c>
      <c r="C1265" t="s">
        <v>1536</v>
      </c>
      <c r="D1265" s="7"/>
      <c r="E1265" s="7"/>
      <c r="G1265" t="s">
        <v>1939</v>
      </c>
      <c r="H1265" t="str" cm="1">
        <f t="array" ref="H1265">IFERROR(_xlfn.IFS(B1265="","",AND(B1265="",G1265=""),"",G1265="","記載要"),"")</f>
        <v/>
      </c>
      <c r="K1265" t="str">
        <f t="shared" si="194"/>
        <v>11WP01008816</v>
      </c>
      <c r="L1265" s="3" t="str">
        <f t="shared" si="195"/>
        <v>2001/01/01</v>
      </c>
      <c r="M1265" s="3" t="str">
        <f t="shared" si="196"/>
        <v>2199/12/31</v>
      </c>
      <c r="N1265" t="str">
        <f t="shared" si="197"/>
        <v>11WP01008816</v>
      </c>
      <c r="O1265">
        <v>15</v>
      </c>
      <c r="Q1265" t="str" cm="1">
        <f t="array" ref="Q1265">_xlfn.IFS(AND(C1265="",G1265=""),"",LEFT(G1265,1)="L","記載要",LEFT(G1265,1)="W","",AND(C1265,G1265=""),"記載要")</f>
        <v/>
      </c>
      <c r="R1265" s="21" t="str">
        <f t="shared" si="202"/>
        <v/>
      </c>
      <c r="S1265" s="21"/>
      <c r="Z1265" s="8"/>
      <c r="AA1265">
        <v>1</v>
      </c>
      <c r="AB1265">
        <f t="shared" si="198"/>
        <v>0</v>
      </c>
      <c r="AC1265">
        <v>1</v>
      </c>
      <c r="AF1265">
        <v>1</v>
      </c>
      <c r="AG1265" s="8"/>
      <c r="AH1265" s="8"/>
      <c r="AK1265" cm="1">
        <f t="array" ref="AK1265">_xlfn.IFS(B1265="","",LEFT(G1265,1)="L",1,LEFT(G1265,1)="W",1,AND(LEFT(B1265,1)="H",G1265=""),0)</f>
        <v>1</v>
      </c>
      <c r="AS1265" t="str">
        <f t="shared" si="199"/>
        <v/>
      </c>
      <c r="AT1265" t="s">
        <v>115</v>
      </c>
      <c r="AU1265" t="str">
        <f t="shared" si="200"/>
        <v>0</v>
      </c>
      <c r="BD1265" t="str">
        <f t="shared" si="201"/>
        <v>0</v>
      </c>
      <c r="BK1265" t="str">
        <f>IFERROR(VLOOKUP(B1265,'[1]model_S-フレーム'!$F$5:$R$7000,13,1),"")</f>
        <v>E388250B_01</v>
      </c>
      <c r="BL1265" s="7">
        <f>IFERROR(VLOOKUP(B1265,'[1]model_S-フレーム'!$F$5:$V$7000,17,1),"")</f>
        <v>0</v>
      </c>
      <c r="BM1265" t="str" cm="1">
        <f t="array" ref="BM1265">_xlfn.IFS(LEFT(G1265,1)="L","外注品",LEFT(G1265,1)="W","内製品",G1265="","購買品")</f>
        <v>内製品</v>
      </c>
    </row>
    <row r="1266" spans="1:65">
      <c r="A1266" t="str">
        <f t="shared" si="193"/>
        <v>WG01</v>
      </c>
      <c r="B1266" t="s">
        <v>1407</v>
      </c>
      <c r="C1266" t="s">
        <v>1537</v>
      </c>
      <c r="D1266" s="7"/>
      <c r="E1266" s="7"/>
      <c r="G1266" t="s">
        <v>1939</v>
      </c>
      <c r="H1266" t="str" cm="1">
        <f t="array" ref="H1266">IFERROR(_xlfn.IFS(B1266="","",AND(B1266="",G1266=""),"",G1266="","記載要"),"")</f>
        <v/>
      </c>
      <c r="K1266" t="str">
        <f t="shared" si="194"/>
        <v>11WP01008817</v>
      </c>
      <c r="L1266" s="3" t="str">
        <f t="shared" si="195"/>
        <v>2001/01/01</v>
      </c>
      <c r="M1266" s="3" t="str">
        <f t="shared" si="196"/>
        <v>2199/12/31</v>
      </c>
      <c r="N1266" t="str">
        <f t="shared" si="197"/>
        <v>11WP01008817</v>
      </c>
      <c r="O1266">
        <v>15</v>
      </c>
      <c r="Q1266" t="str" cm="1">
        <f t="array" ref="Q1266">_xlfn.IFS(AND(C1266="",G1266=""),"",LEFT(G1266,1)="L","記載要",LEFT(G1266,1)="W","",AND(C1266,G1266=""),"記載要")</f>
        <v/>
      </c>
      <c r="R1266" s="21" t="str">
        <f t="shared" si="202"/>
        <v/>
      </c>
      <c r="S1266" s="21"/>
      <c r="Z1266" s="8"/>
      <c r="AA1266">
        <v>1</v>
      </c>
      <c r="AB1266">
        <f t="shared" si="198"/>
        <v>0</v>
      </c>
      <c r="AC1266">
        <v>1</v>
      </c>
      <c r="AF1266">
        <v>1</v>
      </c>
      <c r="AG1266" s="8"/>
      <c r="AH1266" s="8"/>
      <c r="AK1266" cm="1">
        <f t="array" ref="AK1266">_xlfn.IFS(B1266="","",LEFT(G1266,1)="L",1,LEFT(G1266,1)="W",1,AND(LEFT(B1266,1)="H",G1266=""),0)</f>
        <v>1</v>
      </c>
      <c r="AS1266" t="str">
        <f t="shared" si="199"/>
        <v/>
      </c>
      <c r="AT1266" t="s">
        <v>115</v>
      </c>
      <c r="AU1266" t="str">
        <f t="shared" si="200"/>
        <v>0</v>
      </c>
      <c r="BD1266" t="str">
        <f t="shared" si="201"/>
        <v>0</v>
      </c>
      <c r="BK1266" t="str">
        <f>IFERROR(VLOOKUP(B1266,'[1]model_S-フレーム'!$F$5:$R$7000,13,1),"")</f>
        <v>E388250B_01</v>
      </c>
      <c r="BL1266" s="7">
        <f>IFERROR(VLOOKUP(B1266,'[1]model_S-フレーム'!$F$5:$V$7000,17,1),"")</f>
        <v>0</v>
      </c>
      <c r="BM1266" t="str" cm="1">
        <f t="array" ref="BM1266">_xlfn.IFS(LEFT(G1266,1)="L","外注品",LEFT(G1266,1)="W","内製品",G1266="","購買品")</f>
        <v>内製品</v>
      </c>
    </row>
    <row r="1267" spans="1:65">
      <c r="A1267" t="str">
        <f t="shared" si="193"/>
        <v>WG01</v>
      </c>
      <c r="B1267" t="s">
        <v>1408</v>
      </c>
      <c r="C1267" t="s">
        <v>1537</v>
      </c>
      <c r="D1267" s="7"/>
      <c r="E1267" s="7"/>
      <c r="G1267" t="s">
        <v>1939</v>
      </c>
      <c r="H1267" t="str" cm="1">
        <f t="array" ref="H1267">IFERROR(_xlfn.IFS(B1267="","",AND(B1267="",G1267=""),"",G1267="","記載要"),"")</f>
        <v/>
      </c>
      <c r="K1267" t="str">
        <f t="shared" si="194"/>
        <v>11WP01008818</v>
      </c>
      <c r="L1267" s="3" t="str">
        <f t="shared" si="195"/>
        <v>2001/01/01</v>
      </c>
      <c r="M1267" s="3" t="str">
        <f t="shared" si="196"/>
        <v>2199/12/31</v>
      </c>
      <c r="N1267" t="str">
        <f t="shared" si="197"/>
        <v>11WP01008818</v>
      </c>
      <c r="O1267">
        <v>15</v>
      </c>
      <c r="Q1267" t="str" cm="1">
        <f t="array" ref="Q1267">_xlfn.IFS(AND(C1267="",G1267=""),"",LEFT(G1267,1)="L","記載要",LEFT(G1267,1)="W","",AND(C1267,G1267=""),"記載要")</f>
        <v/>
      </c>
      <c r="R1267" s="21" t="str">
        <f t="shared" si="202"/>
        <v/>
      </c>
      <c r="S1267" s="21"/>
      <c r="Z1267" s="8"/>
      <c r="AA1267">
        <v>1</v>
      </c>
      <c r="AB1267">
        <f t="shared" si="198"/>
        <v>0</v>
      </c>
      <c r="AC1267">
        <v>1</v>
      </c>
      <c r="AF1267">
        <v>1</v>
      </c>
      <c r="AG1267" s="8"/>
      <c r="AH1267" s="8"/>
      <c r="AK1267" cm="1">
        <f t="array" ref="AK1267">_xlfn.IFS(B1267="","",LEFT(G1267,1)="L",1,LEFT(G1267,1)="W",1,AND(LEFT(B1267,1)="H",G1267=""),0)</f>
        <v>1</v>
      </c>
      <c r="AS1267" t="str">
        <f t="shared" si="199"/>
        <v/>
      </c>
      <c r="AT1267" t="s">
        <v>115</v>
      </c>
      <c r="AU1267" t="str">
        <f t="shared" si="200"/>
        <v>0</v>
      </c>
      <c r="BD1267" t="str">
        <f t="shared" si="201"/>
        <v>0</v>
      </c>
      <c r="BK1267" t="str">
        <f>IFERROR(VLOOKUP(B1267,'[1]model_S-フレーム'!$F$5:$R$7000,13,1),"")</f>
        <v>E388250B_01</v>
      </c>
      <c r="BL1267" s="7">
        <f>IFERROR(VLOOKUP(B1267,'[1]model_S-フレーム'!$F$5:$V$7000,17,1),"")</f>
        <v>0</v>
      </c>
      <c r="BM1267" t="str" cm="1">
        <f t="array" ref="BM1267">_xlfn.IFS(LEFT(G1267,1)="L","外注品",LEFT(G1267,1)="W","内製品",G1267="","購買品")</f>
        <v>内製品</v>
      </c>
    </row>
    <row r="1268" spans="1:65">
      <c r="A1268" t="str">
        <f t="shared" si="193"/>
        <v>WG01</v>
      </c>
      <c r="B1268" t="s">
        <v>1409</v>
      </c>
      <c r="C1268" t="s">
        <v>1537</v>
      </c>
      <c r="D1268" s="7"/>
      <c r="E1268" s="7"/>
      <c r="G1268" t="s">
        <v>1939</v>
      </c>
      <c r="H1268" t="str" cm="1">
        <f t="array" ref="H1268">IFERROR(_xlfn.IFS(B1268="","",AND(B1268="",G1268=""),"",G1268="","記載要"),"")</f>
        <v/>
      </c>
      <c r="K1268" t="str">
        <f t="shared" si="194"/>
        <v>11WP01008819</v>
      </c>
      <c r="L1268" s="3" t="str">
        <f t="shared" si="195"/>
        <v>2001/01/01</v>
      </c>
      <c r="M1268" s="3" t="str">
        <f t="shared" si="196"/>
        <v>2199/12/31</v>
      </c>
      <c r="N1268" t="str">
        <f t="shared" si="197"/>
        <v>11WP01008819</v>
      </c>
      <c r="O1268">
        <v>15</v>
      </c>
      <c r="Q1268" t="str" cm="1">
        <f t="array" ref="Q1268">_xlfn.IFS(AND(C1268="",G1268=""),"",LEFT(G1268,1)="L","記載要",LEFT(G1268,1)="W","",AND(C1268,G1268=""),"記載要")</f>
        <v/>
      </c>
      <c r="R1268" s="21" t="str">
        <f t="shared" si="202"/>
        <v/>
      </c>
      <c r="S1268" s="21"/>
      <c r="Z1268" s="8"/>
      <c r="AA1268">
        <v>1</v>
      </c>
      <c r="AB1268">
        <f t="shared" si="198"/>
        <v>0</v>
      </c>
      <c r="AC1268">
        <v>1</v>
      </c>
      <c r="AF1268">
        <v>1</v>
      </c>
      <c r="AG1268" s="8"/>
      <c r="AH1268" s="8"/>
      <c r="AK1268" cm="1">
        <f t="array" ref="AK1268">_xlfn.IFS(B1268="","",LEFT(G1268,1)="L",1,LEFT(G1268,1)="W",1,AND(LEFT(B1268,1)="H",G1268=""),0)</f>
        <v>1</v>
      </c>
      <c r="AS1268" t="str">
        <f t="shared" si="199"/>
        <v/>
      </c>
      <c r="AT1268" t="s">
        <v>115</v>
      </c>
      <c r="AU1268" t="str">
        <f t="shared" si="200"/>
        <v>0</v>
      </c>
      <c r="BD1268" t="str">
        <f t="shared" si="201"/>
        <v>0</v>
      </c>
      <c r="BK1268" t="str">
        <f>IFERROR(VLOOKUP(B1268,'[1]model_S-フレーム'!$F$5:$R$7000,13,1),"")</f>
        <v>E388250B_01</v>
      </c>
      <c r="BL1268" s="7">
        <f>IFERROR(VLOOKUP(B1268,'[1]model_S-フレーム'!$F$5:$V$7000,17,1),"")</f>
        <v>0</v>
      </c>
      <c r="BM1268" t="str" cm="1">
        <f t="array" ref="BM1268">_xlfn.IFS(LEFT(G1268,1)="L","外注品",LEFT(G1268,1)="W","内製品",G1268="","購買品")</f>
        <v>内製品</v>
      </c>
    </row>
    <row r="1269" spans="1:65">
      <c r="A1269" t="str">
        <f t="shared" si="193"/>
        <v>WG01</v>
      </c>
      <c r="B1269" t="s">
        <v>1410</v>
      </c>
      <c r="C1269" t="s">
        <v>1537</v>
      </c>
      <c r="D1269" s="7"/>
      <c r="E1269" s="7"/>
      <c r="G1269" t="s">
        <v>1939</v>
      </c>
      <c r="H1269" t="str" cm="1">
        <f t="array" ref="H1269">IFERROR(_xlfn.IFS(B1269="","",AND(B1269="",G1269=""),"",G1269="","記載要"),"")</f>
        <v/>
      </c>
      <c r="K1269" t="str">
        <f t="shared" si="194"/>
        <v>11WP01008820</v>
      </c>
      <c r="L1269" s="3" t="str">
        <f t="shared" si="195"/>
        <v>2001/01/01</v>
      </c>
      <c r="M1269" s="3" t="str">
        <f t="shared" si="196"/>
        <v>2199/12/31</v>
      </c>
      <c r="N1269" t="str">
        <f t="shared" si="197"/>
        <v>11WP01008820</v>
      </c>
      <c r="O1269">
        <v>15</v>
      </c>
      <c r="Q1269" t="str" cm="1">
        <f t="array" ref="Q1269">_xlfn.IFS(AND(C1269="",G1269=""),"",LEFT(G1269,1)="L","記載要",LEFT(G1269,1)="W","",AND(C1269,G1269=""),"記載要")</f>
        <v/>
      </c>
      <c r="R1269" s="21" t="str">
        <f t="shared" si="202"/>
        <v/>
      </c>
      <c r="S1269" s="21"/>
      <c r="Z1269" s="8"/>
      <c r="AA1269">
        <v>1</v>
      </c>
      <c r="AB1269">
        <f t="shared" si="198"/>
        <v>0</v>
      </c>
      <c r="AC1269">
        <v>1</v>
      </c>
      <c r="AF1269">
        <v>1</v>
      </c>
      <c r="AG1269" s="8"/>
      <c r="AH1269" s="8"/>
      <c r="AK1269" cm="1">
        <f t="array" ref="AK1269">_xlfn.IFS(B1269="","",LEFT(G1269,1)="L",1,LEFT(G1269,1)="W",1,AND(LEFT(B1269,1)="H",G1269=""),0)</f>
        <v>1</v>
      </c>
      <c r="AS1269" t="str">
        <f t="shared" si="199"/>
        <v/>
      </c>
      <c r="AT1269" t="s">
        <v>115</v>
      </c>
      <c r="AU1269" t="str">
        <f t="shared" si="200"/>
        <v>0</v>
      </c>
      <c r="BD1269" t="str">
        <f t="shared" si="201"/>
        <v>0</v>
      </c>
      <c r="BK1269" t="str">
        <f>IFERROR(VLOOKUP(B1269,'[1]model_S-フレーム'!$F$5:$R$7000,13,1),"")</f>
        <v>E388250B_01</v>
      </c>
      <c r="BL1269" s="7">
        <f>IFERROR(VLOOKUP(B1269,'[1]model_S-フレーム'!$F$5:$V$7000,17,1),"")</f>
        <v>0</v>
      </c>
      <c r="BM1269" t="str" cm="1">
        <f t="array" ref="BM1269">_xlfn.IFS(LEFT(G1269,1)="L","外注品",LEFT(G1269,1)="W","内製品",G1269="","購買品")</f>
        <v>内製品</v>
      </c>
    </row>
    <row r="1270" spans="1:65">
      <c r="A1270" t="str">
        <f t="shared" si="193"/>
        <v>WG01</v>
      </c>
      <c r="B1270" t="s">
        <v>1411</v>
      </c>
      <c r="C1270" t="s">
        <v>1538</v>
      </c>
      <c r="D1270" s="7"/>
      <c r="E1270" s="7"/>
      <c r="G1270" t="s">
        <v>1939</v>
      </c>
      <c r="H1270" t="str" cm="1">
        <f t="array" ref="H1270">IFERROR(_xlfn.IFS(B1270="","",AND(B1270="",G1270=""),"",G1270="","記載要"),"")</f>
        <v/>
      </c>
      <c r="K1270" t="str">
        <f t="shared" si="194"/>
        <v>11WP01008821</v>
      </c>
      <c r="L1270" s="3" t="str">
        <f t="shared" si="195"/>
        <v>2001/01/01</v>
      </c>
      <c r="M1270" s="3" t="str">
        <f t="shared" si="196"/>
        <v>2199/12/31</v>
      </c>
      <c r="N1270" t="str">
        <f t="shared" si="197"/>
        <v>11WP01008821</v>
      </c>
      <c r="O1270">
        <v>15</v>
      </c>
      <c r="Q1270" t="str" cm="1">
        <f t="array" ref="Q1270">_xlfn.IFS(AND(C1270="",G1270=""),"",LEFT(G1270,1)="L","記載要",LEFT(G1270,1)="W","",AND(C1270,G1270=""),"記載要")</f>
        <v/>
      </c>
      <c r="R1270" s="21" t="str">
        <f t="shared" si="202"/>
        <v/>
      </c>
      <c r="S1270" s="21"/>
      <c r="Z1270" s="8"/>
      <c r="AA1270">
        <v>1</v>
      </c>
      <c r="AB1270">
        <f t="shared" si="198"/>
        <v>0</v>
      </c>
      <c r="AC1270">
        <v>1</v>
      </c>
      <c r="AF1270">
        <v>1</v>
      </c>
      <c r="AG1270" s="8"/>
      <c r="AH1270" s="8"/>
      <c r="AK1270" cm="1">
        <f t="array" ref="AK1270">_xlfn.IFS(B1270="","",LEFT(G1270,1)="L",1,LEFT(G1270,1)="W",1,AND(LEFT(B1270,1)="H",G1270=""),0)</f>
        <v>1</v>
      </c>
      <c r="AS1270" t="str">
        <f t="shared" si="199"/>
        <v/>
      </c>
      <c r="AT1270" t="s">
        <v>115</v>
      </c>
      <c r="AU1270" t="str">
        <f t="shared" si="200"/>
        <v>0</v>
      </c>
      <c r="BD1270" t="str">
        <f t="shared" si="201"/>
        <v>0</v>
      </c>
      <c r="BK1270" t="str">
        <f>IFERROR(VLOOKUP(B1270,'[1]model_S-フレーム'!$F$5:$R$7000,13,1),"")</f>
        <v>E388250B_01</v>
      </c>
      <c r="BL1270" s="7">
        <f>IFERROR(VLOOKUP(B1270,'[1]model_S-フレーム'!$F$5:$V$7000,17,1),"")</f>
        <v>0</v>
      </c>
      <c r="BM1270" t="str" cm="1">
        <f t="array" ref="BM1270">_xlfn.IFS(LEFT(G1270,1)="L","外注品",LEFT(G1270,1)="W","内製品",G1270="","購買品")</f>
        <v>内製品</v>
      </c>
    </row>
    <row r="1271" spans="1:65">
      <c r="A1271" t="str">
        <f t="shared" si="193"/>
        <v>WG01</v>
      </c>
      <c r="B1271" t="s">
        <v>1412</v>
      </c>
      <c r="C1271" t="s">
        <v>1538</v>
      </c>
      <c r="D1271" s="7"/>
      <c r="E1271" s="7"/>
      <c r="G1271" t="s">
        <v>1939</v>
      </c>
      <c r="H1271" t="str" cm="1">
        <f t="array" ref="H1271">IFERROR(_xlfn.IFS(B1271="","",AND(B1271="",G1271=""),"",G1271="","記載要"),"")</f>
        <v/>
      </c>
      <c r="K1271" t="str">
        <f t="shared" si="194"/>
        <v>11WP01008822</v>
      </c>
      <c r="L1271" s="3" t="str">
        <f t="shared" si="195"/>
        <v>2001/01/01</v>
      </c>
      <c r="M1271" s="3" t="str">
        <f t="shared" si="196"/>
        <v>2199/12/31</v>
      </c>
      <c r="N1271" t="str">
        <f t="shared" si="197"/>
        <v>11WP01008822</v>
      </c>
      <c r="O1271">
        <v>15</v>
      </c>
      <c r="Q1271" t="str" cm="1">
        <f t="array" ref="Q1271">_xlfn.IFS(AND(C1271="",G1271=""),"",LEFT(G1271,1)="L","記載要",LEFT(G1271,1)="W","",AND(C1271,G1271=""),"記載要")</f>
        <v/>
      </c>
      <c r="R1271" s="21" t="str">
        <f t="shared" si="202"/>
        <v/>
      </c>
      <c r="S1271" s="21"/>
      <c r="Z1271" s="8"/>
      <c r="AA1271">
        <v>1</v>
      </c>
      <c r="AB1271">
        <f t="shared" si="198"/>
        <v>0</v>
      </c>
      <c r="AC1271">
        <v>1</v>
      </c>
      <c r="AF1271">
        <v>1</v>
      </c>
      <c r="AG1271" s="8"/>
      <c r="AH1271" s="8"/>
      <c r="AK1271" cm="1">
        <f t="array" ref="AK1271">_xlfn.IFS(B1271="","",LEFT(G1271,1)="L",1,LEFT(G1271,1)="W",1,AND(LEFT(B1271,1)="H",G1271=""),0)</f>
        <v>1</v>
      </c>
      <c r="AS1271" t="str">
        <f t="shared" si="199"/>
        <v/>
      </c>
      <c r="AT1271" t="s">
        <v>115</v>
      </c>
      <c r="AU1271" t="str">
        <f t="shared" si="200"/>
        <v>0</v>
      </c>
      <c r="BD1271" t="str">
        <f t="shared" si="201"/>
        <v>0</v>
      </c>
      <c r="BK1271" t="str">
        <f>IFERROR(VLOOKUP(B1271,'[1]model_S-フレーム'!$F$5:$R$7000,13,1),"")</f>
        <v>E388250B_01</v>
      </c>
      <c r="BL1271" s="7">
        <f>IFERROR(VLOOKUP(B1271,'[1]model_S-フレーム'!$F$5:$V$7000,17,1),"")</f>
        <v>0</v>
      </c>
      <c r="BM1271" t="str" cm="1">
        <f t="array" ref="BM1271">_xlfn.IFS(LEFT(G1271,1)="L","外注品",LEFT(G1271,1)="W","内製品",G1271="","購買品")</f>
        <v>内製品</v>
      </c>
    </row>
    <row r="1272" spans="1:65">
      <c r="A1272" t="str">
        <f t="shared" si="193"/>
        <v>WG01</v>
      </c>
      <c r="B1272" t="s">
        <v>1413</v>
      </c>
      <c r="C1272" t="s">
        <v>1538</v>
      </c>
      <c r="D1272" s="7"/>
      <c r="E1272" s="7"/>
      <c r="G1272" t="s">
        <v>1939</v>
      </c>
      <c r="H1272" t="str" cm="1">
        <f t="array" ref="H1272">IFERROR(_xlfn.IFS(B1272="","",AND(B1272="",G1272=""),"",G1272="","記載要"),"")</f>
        <v/>
      </c>
      <c r="K1272" t="str">
        <f t="shared" si="194"/>
        <v>11WP01008823</v>
      </c>
      <c r="L1272" s="3" t="str">
        <f t="shared" si="195"/>
        <v>2001/01/01</v>
      </c>
      <c r="M1272" s="3" t="str">
        <f t="shared" si="196"/>
        <v>2199/12/31</v>
      </c>
      <c r="N1272" t="str">
        <f t="shared" si="197"/>
        <v>11WP01008823</v>
      </c>
      <c r="O1272">
        <v>15</v>
      </c>
      <c r="Q1272" t="str" cm="1">
        <f t="array" ref="Q1272">_xlfn.IFS(AND(C1272="",G1272=""),"",LEFT(G1272,1)="L","記載要",LEFT(G1272,1)="W","",AND(C1272,G1272=""),"記載要")</f>
        <v/>
      </c>
      <c r="R1272" s="21" t="str">
        <f t="shared" si="202"/>
        <v/>
      </c>
      <c r="S1272" s="21"/>
      <c r="Z1272" s="8"/>
      <c r="AA1272">
        <v>1</v>
      </c>
      <c r="AB1272">
        <f t="shared" si="198"/>
        <v>0</v>
      </c>
      <c r="AC1272">
        <v>1</v>
      </c>
      <c r="AF1272">
        <v>1</v>
      </c>
      <c r="AG1272" s="8"/>
      <c r="AH1272" s="8"/>
      <c r="AK1272" cm="1">
        <f t="array" ref="AK1272">_xlfn.IFS(B1272="","",LEFT(G1272,1)="L",1,LEFT(G1272,1)="W",1,AND(LEFT(B1272,1)="H",G1272=""),0)</f>
        <v>1</v>
      </c>
      <c r="AS1272" t="str">
        <f t="shared" si="199"/>
        <v/>
      </c>
      <c r="AT1272" t="s">
        <v>115</v>
      </c>
      <c r="AU1272" t="str">
        <f t="shared" si="200"/>
        <v>0</v>
      </c>
      <c r="BD1272" t="str">
        <f t="shared" si="201"/>
        <v>0</v>
      </c>
      <c r="BK1272" t="str">
        <f>IFERROR(VLOOKUP(B1272,'[1]model_S-フレーム'!$F$5:$R$7000,13,1),"")</f>
        <v>E388250B_01</v>
      </c>
      <c r="BL1272" s="7">
        <f>IFERROR(VLOOKUP(B1272,'[1]model_S-フレーム'!$F$5:$V$7000,17,1),"")</f>
        <v>0</v>
      </c>
      <c r="BM1272" t="str" cm="1">
        <f t="array" ref="BM1272">_xlfn.IFS(LEFT(G1272,1)="L","外注品",LEFT(G1272,1)="W","内製品",G1272="","購買品")</f>
        <v>内製品</v>
      </c>
    </row>
    <row r="1273" spans="1:65">
      <c r="A1273" t="str">
        <f t="shared" si="193"/>
        <v>WG01</v>
      </c>
      <c r="B1273" t="s">
        <v>1414</v>
      </c>
      <c r="C1273" t="s">
        <v>1538</v>
      </c>
      <c r="D1273" s="7"/>
      <c r="E1273" s="7"/>
      <c r="G1273" t="s">
        <v>1939</v>
      </c>
      <c r="H1273" t="str" cm="1">
        <f t="array" ref="H1273">IFERROR(_xlfn.IFS(B1273="","",AND(B1273="",G1273=""),"",G1273="","記載要"),"")</f>
        <v/>
      </c>
      <c r="K1273" t="str">
        <f t="shared" si="194"/>
        <v>11WP01008824</v>
      </c>
      <c r="L1273" s="3" t="str">
        <f t="shared" si="195"/>
        <v>2001/01/01</v>
      </c>
      <c r="M1273" s="3" t="str">
        <f t="shared" si="196"/>
        <v>2199/12/31</v>
      </c>
      <c r="N1273" t="str">
        <f t="shared" si="197"/>
        <v>11WP01008824</v>
      </c>
      <c r="O1273">
        <v>15</v>
      </c>
      <c r="Q1273" t="str" cm="1">
        <f t="array" ref="Q1273">_xlfn.IFS(AND(C1273="",G1273=""),"",LEFT(G1273,1)="L","記載要",LEFT(G1273,1)="W","",AND(C1273,G1273=""),"記載要")</f>
        <v/>
      </c>
      <c r="R1273" s="21" t="str">
        <f t="shared" si="202"/>
        <v/>
      </c>
      <c r="S1273" s="21"/>
      <c r="Z1273" s="8"/>
      <c r="AA1273">
        <v>1</v>
      </c>
      <c r="AB1273">
        <f t="shared" si="198"/>
        <v>0</v>
      </c>
      <c r="AC1273">
        <v>1</v>
      </c>
      <c r="AF1273">
        <v>1</v>
      </c>
      <c r="AG1273" s="8"/>
      <c r="AH1273" s="8"/>
      <c r="AK1273" cm="1">
        <f t="array" ref="AK1273">_xlfn.IFS(B1273="","",LEFT(G1273,1)="L",1,LEFT(G1273,1)="W",1,AND(LEFT(B1273,1)="H",G1273=""),0)</f>
        <v>1</v>
      </c>
      <c r="AS1273" t="str">
        <f t="shared" si="199"/>
        <v/>
      </c>
      <c r="AT1273" t="s">
        <v>115</v>
      </c>
      <c r="AU1273" t="str">
        <f t="shared" si="200"/>
        <v>0</v>
      </c>
      <c r="BD1273" t="str">
        <f t="shared" si="201"/>
        <v>0</v>
      </c>
      <c r="BK1273" t="str">
        <f>IFERROR(VLOOKUP(B1273,'[1]model_S-フレーム'!$F$5:$R$7000,13,1),"")</f>
        <v>E388250B_01</v>
      </c>
      <c r="BL1273" s="7">
        <f>IFERROR(VLOOKUP(B1273,'[1]model_S-フレーム'!$F$5:$V$7000,17,1),"")</f>
        <v>0</v>
      </c>
      <c r="BM1273" t="str" cm="1">
        <f t="array" ref="BM1273">_xlfn.IFS(LEFT(G1273,1)="L","外注品",LEFT(G1273,1)="W","内製品",G1273="","購買品")</f>
        <v>内製品</v>
      </c>
    </row>
    <row r="1274" spans="1:65">
      <c r="A1274" t="str">
        <f t="shared" si="193"/>
        <v>WG01</v>
      </c>
      <c r="B1274" t="s">
        <v>1415</v>
      </c>
      <c r="C1274" t="s">
        <v>1540</v>
      </c>
      <c r="D1274" s="7"/>
      <c r="E1274" s="7"/>
      <c r="G1274" t="s">
        <v>1939</v>
      </c>
      <c r="H1274" t="str" cm="1">
        <f t="array" ref="H1274">IFERROR(_xlfn.IFS(B1274="","",AND(B1274="",G1274=""),"",G1274="","記載要"),"")</f>
        <v/>
      </c>
      <c r="K1274" t="str">
        <f t="shared" si="194"/>
        <v>11WP01008825</v>
      </c>
      <c r="L1274" s="3" t="str">
        <f t="shared" si="195"/>
        <v>2001/01/01</v>
      </c>
      <c r="M1274" s="3" t="str">
        <f t="shared" si="196"/>
        <v>2199/12/31</v>
      </c>
      <c r="N1274" t="str">
        <f t="shared" si="197"/>
        <v>11WP01008825</v>
      </c>
      <c r="O1274">
        <v>15</v>
      </c>
      <c r="Q1274" t="str" cm="1">
        <f t="array" ref="Q1274">_xlfn.IFS(AND(C1274="",G1274=""),"",LEFT(G1274,1)="L","記載要",LEFT(G1274,1)="W","",AND(C1274,G1274=""),"記載要")</f>
        <v/>
      </c>
      <c r="R1274" s="21" t="str">
        <f t="shared" si="202"/>
        <v/>
      </c>
      <c r="S1274" s="21"/>
      <c r="Z1274" s="8"/>
      <c r="AA1274">
        <v>1</v>
      </c>
      <c r="AB1274">
        <f t="shared" si="198"/>
        <v>0</v>
      </c>
      <c r="AC1274">
        <v>1</v>
      </c>
      <c r="AF1274">
        <v>1</v>
      </c>
      <c r="AG1274" s="8"/>
      <c r="AH1274" s="8"/>
      <c r="AK1274" cm="1">
        <f t="array" ref="AK1274">_xlfn.IFS(B1274="","",LEFT(G1274,1)="L",1,LEFT(G1274,1)="W",1,AND(LEFT(B1274,1)="H",G1274=""),0)</f>
        <v>1</v>
      </c>
      <c r="AS1274" t="str">
        <f t="shared" si="199"/>
        <v/>
      </c>
      <c r="AT1274" t="s">
        <v>115</v>
      </c>
      <c r="AU1274" t="str">
        <f t="shared" si="200"/>
        <v>0</v>
      </c>
      <c r="BD1274" t="str">
        <f t="shared" si="201"/>
        <v>0</v>
      </c>
      <c r="BK1274" t="str">
        <f>IFERROR(VLOOKUP(B1274,'[1]model_S-フレーム'!$F$5:$R$7000,13,1),"")</f>
        <v>E388252A_01</v>
      </c>
      <c r="BL1274" s="7">
        <f>IFERROR(VLOOKUP(B1274,'[1]model_S-フレーム'!$F$5:$V$7000,17,1),"")</f>
        <v>0</v>
      </c>
      <c r="BM1274" t="str" cm="1">
        <f t="array" ref="BM1274">_xlfn.IFS(LEFT(G1274,1)="L","外注品",LEFT(G1274,1)="W","内製品",G1274="","購買品")</f>
        <v>内製品</v>
      </c>
    </row>
    <row r="1275" spans="1:65">
      <c r="A1275" t="str">
        <f t="shared" si="193"/>
        <v>WG01</v>
      </c>
      <c r="B1275" t="s">
        <v>1416</v>
      </c>
      <c r="C1275" t="s">
        <v>1540</v>
      </c>
      <c r="D1275" s="7"/>
      <c r="E1275" s="7"/>
      <c r="G1275" t="s">
        <v>1939</v>
      </c>
      <c r="H1275" t="str" cm="1">
        <f t="array" ref="H1275">IFERROR(_xlfn.IFS(B1275="","",AND(B1275="",G1275=""),"",G1275="","記載要"),"")</f>
        <v/>
      </c>
      <c r="K1275" t="str">
        <f t="shared" si="194"/>
        <v>11WP01008826</v>
      </c>
      <c r="L1275" s="3" t="str">
        <f t="shared" si="195"/>
        <v>2001/01/01</v>
      </c>
      <c r="M1275" s="3" t="str">
        <f t="shared" si="196"/>
        <v>2199/12/31</v>
      </c>
      <c r="N1275" t="str">
        <f t="shared" si="197"/>
        <v>11WP01008826</v>
      </c>
      <c r="O1275">
        <v>15</v>
      </c>
      <c r="Q1275" t="str" cm="1">
        <f t="array" ref="Q1275">_xlfn.IFS(AND(C1275="",G1275=""),"",LEFT(G1275,1)="L","記載要",LEFT(G1275,1)="W","",AND(C1275,G1275=""),"記載要")</f>
        <v/>
      </c>
      <c r="R1275" s="21" t="str">
        <f t="shared" si="202"/>
        <v/>
      </c>
      <c r="S1275" s="21"/>
      <c r="Z1275" s="8"/>
      <c r="AA1275">
        <v>1</v>
      </c>
      <c r="AB1275">
        <f t="shared" si="198"/>
        <v>0</v>
      </c>
      <c r="AC1275">
        <v>1</v>
      </c>
      <c r="AF1275">
        <v>1</v>
      </c>
      <c r="AG1275" s="8"/>
      <c r="AH1275" s="8"/>
      <c r="AK1275" cm="1">
        <f t="array" ref="AK1275">_xlfn.IFS(B1275="","",LEFT(G1275,1)="L",1,LEFT(G1275,1)="W",1,AND(LEFT(B1275,1)="H",G1275=""),0)</f>
        <v>1</v>
      </c>
      <c r="AS1275" t="str">
        <f t="shared" si="199"/>
        <v/>
      </c>
      <c r="AT1275" t="s">
        <v>115</v>
      </c>
      <c r="AU1275" t="str">
        <f t="shared" si="200"/>
        <v>0</v>
      </c>
      <c r="BD1275" t="str">
        <f t="shared" si="201"/>
        <v>0</v>
      </c>
      <c r="BK1275" t="str">
        <f>IFERROR(VLOOKUP(B1275,'[1]model_S-フレーム'!$F$5:$R$7000,13,1),"")</f>
        <v>E388252A_01</v>
      </c>
      <c r="BL1275" s="7">
        <f>IFERROR(VLOOKUP(B1275,'[1]model_S-フレーム'!$F$5:$V$7000,17,1),"")</f>
        <v>0</v>
      </c>
      <c r="BM1275" t="str" cm="1">
        <f t="array" ref="BM1275">_xlfn.IFS(LEFT(G1275,1)="L","外注品",LEFT(G1275,1)="W","内製品",G1275="","購買品")</f>
        <v>内製品</v>
      </c>
    </row>
    <row r="1276" spans="1:65">
      <c r="A1276" t="str">
        <f t="shared" si="193"/>
        <v>WG01</v>
      </c>
      <c r="B1276" t="s">
        <v>1417</v>
      </c>
      <c r="C1276" t="s">
        <v>1540</v>
      </c>
      <c r="D1276" s="7"/>
      <c r="E1276" s="7"/>
      <c r="G1276" t="s">
        <v>1939</v>
      </c>
      <c r="H1276" t="str" cm="1">
        <f t="array" ref="H1276">IFERROR(_xlfn.IFS(B1276="","",AND(B1276="",G1276=""),"",G1276="","記載要"),"")</f>
        <v/>
      </c>
      <c r="K1276" t="str">
        <f t="shared" si="194"/>
        <v>11WP01008827</v>
      </c>
      <c r="L1276" s="3" t="str">
        <f t="shared" si="195"/>
        <v>2001/01/01</v>
      </c>
      <c r="M1276" s="3" t="str">
        <f t="shared" si="196"/>
        <v>2199/12/31</v>
      </c>
      <c r="N1276" t="str">
        <f t="shared" si="197"/>
        <v>11WP01008827</v>
      </c>
      <c r="O1276">
        <v>15</v>
      </c>
      <c r="Q1276" t="str" cm="1">
        <f t="array" ref="Q1276">_xlfn.IFS(AND(C1276="",G1276=""),"",LEFT(G1276,1)="L","記載要",LEFT(G1276,1)="W","",AND(C1276,G1276=""),"記載要")</f>
        <v/>
      </c>
      <c r="R1276" s="21" t="str">
        <f t="shared" si="202"/>
        <v/>
      </c>
      <c r="S1276" s="21"/>
      <c r="Z1276" s="8"/>
      <c r="AA1276">
        <v>1</v>
      </c>
      <c r="AB1276">
        <f t="shared" si="198"/>
        <v>0</v>
      </c>
      <c r="AC1276">
        <v>1</v>
      </c>
      <c r="AF1276">
        <v>1</v>
      </c>
      <c r="AG1276" s="8"/>
      <c r="AH1276" s="8"/>
      <c r="AK1276" cm="1">
        <f t="array" ref="AK1276">_xlfn.IFS(B1276="","",LEFT(G1276,1)="L",1,LEFT(G1276,1)="W",1,AND(LEFT(B1276,1)="H",G1276=""),0)</f>
        <v>1</v>
      </c>
      <c r="AS1276" t="str">
        <f t="shared" si="199"/>
        <v/>
      </c>
      <c r="AT1276" t="s">
        <v>115</v>
      </c>
      <c r="AU1276" t="str">
        <f t="shared" si="200"/>
        <v>0</v>
      </c>
      <c r="BD1276" t="str">
        <f t="shared" si="201"/>
        <v>0</v>
      </c>
      <c r="BK1276" t="str">
        <f>IFERROR(VLOOKUP(B1276,'[1]model_S-フレーム'!$F$5:$R$7000,13,1),"")</f>
        <v>E388252A_01</v>
      </c>
      <c r="BL1276" s="7">
        <f>IFERROR(VLOOKUP(B1276,'[1]model_S-フレーム'!$F$5:$V$7000,17,1),"")</f>
        <v>0</v>
      </c>
      <c r="BM1276" t="str" cm="1">
        <f t="array" ref="BM1276">_xlfn.IFS(LEFT(G1276,1)="L","外注品",LEFT(G1276,1)="W","内製品",G1276="","購買品")</f>
        <v>内製品</v>
      </c>
    </row>
    <row r="1277" spans="1:65">
      <c r="A1277" t="str">
        <f t="shared" si="193"/>
        <v>WG01</v>
      </c>
      <c r="B1277" t="s">
        <v>1418</v>
      </c>
      <c r="C1277" t="s">
        <v>1540</v>
      </c>
      <c r="D1277" s="7"/>
      <c r="E1277" s="7"/>
      <c r="G1277" t="s">
        <v>1939</v>
      </c>
      <c r="H1277" t="str" cm="1">
        <f t="array" ref="H1277">IFERROR(_xlfn.IFS(B1277="","",AND(B1277="",G1277=""),"",G1277="","記載要"),"")</f>
        <v/>
      </c>
      <c r="K1277" t="str">
        <f t="shared" si="194"/>
        <v>11WP01008828</v>
      </c>
      <c r="L1277" s="3" t="str">
        <f t="shared" si="195"/>
        <v>2001/01/01</v>
      </c>
      <c r="M1277" s="3" t="str">
        <f t="shared" si="196"/>
        <v>2199/12/31</v>
      </c>
      <c r="N1277" t="str">
        <f t="shared" si="197"/>
        <v>11WP01008828</v>
      </c>
      <c r="O1277">
        <v>15</v>
      </c>
      <c r="Q1277" t="str" cm="1">
        <f t="array" ref="Q1277">_xlfn.IFS(AND(C1277="",G1277=""),"",LEFT(G1277,1)="L","記載要",LEFT(G1277,1)="W","",AND(C1277,G1277=""),"記載要")</f>
        <v/>
      </c>
      <c r="R1277" s="21" t="str">
        <f t="shared" si="202"/>
        <v/>
      </c>
      <c r="S1277" s="21"/>
      <c r="Z1277" s="8"/>
      <c r="AA1277">
        <v>1</v>
      </c>
      <c r="AB1277">
        <f t="shared" si="198"/>
        <v>0</v>
      </c>
      <c r="AC1277">
        <v>1</v>
      </c>
      <c r="AF1277">
        <v>1</v>
      </c>
      <c r="AG1277" s="8"/>
      <c r="AH1277" s="8"/>
      <c r="AK1277" cm="1">
        <f t="array" ref="AK1277">_xlfn.IFS(B1277="","",LEFT(G1277,1)="L",1,LEFT(G1277,1)="W",1,AND(LEFT(B1277,1)="H",G1277=""),0)</f>
        <v>1</v>
      </c>
      <c r="AS1277" t="str">
        <f t="shared" si="199"/>
        <v/>
      </c>
      <c r="AT1277" t="s">
        <v>115</v>
      </c>
      <c r="AU1277" t="str">
        <f t="shared" si="200"/>
        <v>0</v>
      </c>
      <c r="BD1277" t="str">
        <f t="shared" si="201"/>
        <v>0</v>
      </c>
      <c r="BK1277" t="str">
        <f>IFERROR(VLOOKUP(B1277,'[1]model_S-フレーム'!$F$5:$R$7000,13,1),"")</f>
        <v>E388252A_01</v>
      </c>
      <c r="BL1277" s="7">
        <f>IFERROR(VLOOKUP(B1277,'[1]model_S-フレーム'!$F$5:$V$7000,17,1),"")</f>
        <v>0</v>
      </c>
      <c r="BM1277" t="str" cm="1">
        <f t="array" ref="BM1277">_xlfn.IFS(LEFT(G1277,1)="L","外注品",LEFT(G1277,1)="W","内製品",G1277="","購買品")</f>
        <v>内製品</v>
      </c>
    </row>
    <row r="1278" spans="1:65">
      <c r="A1278" t="str">
        <f t="shared" si="193"/>
        <v>WG01</v>
      </c>
      <c r="B1278" t="s">
        <v>1419</v>
      </c>
      <c r="C1278" t="s">
        <v>1540</v>
      </c>
      <c r="D1278" s="7"/>
      <c r="E1278" s="7"/>
      <c r="G1278" t="s">
        <v>1939</v>
      </c>
      <c r="H1278" t="str" cm="1">
        <f t="array" ref="H1278">IFERROR(_xlfn.IFS(B1278="","",AND(B1278="",G1278=""),"",G1278="","記載要"),"")</f>
        <v/>
      </c>
      <c r="K1278" t="str">
        <f t="shared" si="194"/>
        <v>11WP01008829</v>
      </c>
      <c r="L1278" s="3" t="str">
        <f t="shared" si="195"/>
        <v>2001/01/01</v>
      </c>
      <c r="M1278" s="3" t="str">
        <f t="shared" si="196"/>
        <v>2199/12/31</v>
      </c>
      <c r="N1278" t="str">
        <f t="shared" si="197"/>
        <v>11WP01008829</v>
      </c>
      <c r="O1278">
        <v>15</v>
      </c>
      <c r="Q1278" t="str" cm="1">
        <f t="array" ref="Q1278">_xlfn.IFS(AND(C1278="",G1278=""),"",LEFT(G1278,1)="L","記載要",LEFT(G1278,1)="W","",AND(C1278,G1278=""),"記載要")</f>
        <v/>
      </c>
      <c r="R1278" s="21" t="str">
        <f t="shared" si="202"/>
        <v/>
      </c>
      <c r="S1278" s="21"/>
      <c r="Z1278" s="8"/>
      <c r="AA1278">
        <v>1</v>
      </c>
      <c r="AB1278">
        <f t="shared" si="198"/>
        <v>0</v>
      </c>
      <c r="AC1278">
        <v>1</v>
      </c>
      <c r="AF1278">
        <v>1</v>
      </c>
      <c r="AG1278" s="8"/>
      <c r="AH1278" s="8"/>
      <c r="AK1278" cm="1">
        <f t="array" ref="AK1278">_xlfn.IFS(B1278="","",LEFT(G1278,1)="L",1,LEFT(G1278,1)="W",1,AND(LEFT(B1278,1)="H",G1278=""),0)</f>
        <v>1</v>
      </c>
      <c r="AS1278" t="str">
        <f t="shared" si="199"/>
        <v/>
      </c>
      <c r="AT1278" t="s">
        <v>115</v>
      </c>
      <c r="AU1278" t="str">
        <f t="shared" si="200"/>
        <v>0</v>
      </c>
      <c r="BD1278" t="str">
        <f t="shared" si="201"/>
        <v>0</v>
      </c>
      <c r="BK1278" t="str">
        <f>IFERROR(VLOOKUP(B1278,'[1]model_S-フレーム'!$F$5:$R$7000,13,1),"")</f>
        <v>E388252A_01</v>
      </c>
      <c r="BL1278" s="7">
        <f>IFERROR(VLOOKUP(B1278,'[1]model_S-フレーム'!$F$5:$V$7000,17,1),"")</f>
        <v>0</v>
      </c>
      <c r="BM1278" t="str" cm="1">
        <f t="array" ref="BM1278">_xlfn.IFS(LEFT(G1278,1)="L","外注品",LEFT(G1278,1)="W","内製品",G1278="","購買品")</f>
        <v>内製品</v>
      </c>
    </row>
    <row r="1279" spans="1:65">
      <c r="A1279" t="str">
        <f t="shared" si="193"/>
        <v>WG01</v>
      </c>
      <c r="B1279" t="s">
        <v>1420</v>
      </c>
      <c r="C1279" t="s">
        <v>1540</v>
      </c>
      <c r="D1279" s="7"/>
      <c r="E1279" s="7"/>
      <c r="G1279" t="s">
        <v>1939</v>
      </c>
      <c r="H1279" t="str" cm="1">
        <f t="array" ref="H1279">IFERROR(_xlfn.IFS(B1279="","",AND(B1279="",G1279=""),"",G1279="","記載要"),"")</f>
        <v/>
      </c>
      <c r="K1279" t="str">
        <f t="shared" si="194"/>
        <v>11WP01008830</v>
      </c>
      <c r="L1279" s="3" t="str">
        <f t="shared" si="195"/>
        <v>2001/01/01</v>
      </c>
      <c r="M1279" s="3" t="str">
        <f t="shared" si="196"/>
        <v>2199/12/31</v>
      </c>
      <c r="N1279" t="str">
        <f t="shared" si="197"/>
        <v>11WP01008830</v>
      </c>
      <c r="O1279">
        <v>15</v>
      </c>
      <c r="Q1279" t="str" cm="1">
        <f t="array" ref="Q1279">_xlfn.IFS(AND(C1279="",G1279=""),"",LEFT(G1279,1)="L","記載要",LEFT(G1279,1)="W","",AND(C1279,G1279=""),"記載要")</f>
        <v/>
      </c>
      <c r="R1279" s="21" t="str">
        <f t="shared" si="202"/>
        <v/>
      </c>
      <c r="S1279" s="21"/>
      <c r="Z1279" s="8"/>
      <c r="AA1279">
        <v>1</v>
      </c>
      <c r="AB1279">
        <f t="shared" si="198"/>
        <v>0</v>
      </c>
      <c r="AC1279">
        <v>1</v>
      </c>
      <c r="AF1279">
        <v>1</v>
      </c>
      <c r="AG1279" s="8"/>
      <c r="AH1279" s="8"/>
      <c r="AK1279" cm="1">
        <f t="array" ref="AK1279">_xlfn.IFS(B1279="","",LEFT(G1279,1)="L",1,LEFT(G1279,1)="W",1,AND(LEFT(B1279,1)="H",G1279=""),0)</f>
        <v>1</v>
      </c>
      <c r="AS1279" t="str">
        <f t="shared" si="199"/>
        <v/>
      </c>
      <c r="AT1279" t="s">
        <v>115</v>
      </c>
      <c r="AU1279" t="str">
        <f t="shared" si="200"/>
        <v>0</v>
      </c>
      <c r="BD1279" t="str">
        <f t="shared" si="201"/>
        <v>0</v>
      </c>
      <c r="BK1279" t="str">
        <f>IFERROR(VLOOKUP(B1279,'[1]model_S-フレーム'!$F$5:$R$7000,13,1),"")</f>
        <v>E388252A_01</v>
      </c>
      <c r="BL1279" s="7">
        <f>IFERROR(VLOOKUP(B1279,'[1]model_S-フレーム'!$F$5:$V$7000,17,1),"")</f>
        <v>0</v>
      </c>
      <c r="BM1279" t="str" cm="1">
        <f t="array" ref="BM1279">_xlfn.IFS(LEFT(G1279,1)="L","外注品",LEFT(G1279,1)="W","内製品",G1279="","購買品")</f>
        <v>内製品</v>
      </c>
    </row>
    <row r="1280" spans="1:65">
      <c r="A1280" t="str">
        <f t="shared" si="193"/>
        <v>WG01</v>
      </c>
      <c r="B1280" t="s">
        <v>1421</v>
      </c>
      <c r="C1280" t="s">
        <v>1540</v>
      </c>
      <c r="D1280" s="7"/>
      <c r="E1280" s="7"/>
      <c r="G1280" t="s">
        <v>1939</v>
      </c>
      <c r="H1280" t="str" cm="1">
        <f t="array" ref="H1280">IFERROR(_xlfn.IFS(B1280="","",AND(B1280="",G1280=""),"",G1280="","記載要"),"")</f>
        <v/>
      </c>
      <c r="K1280" t="str">
        <f t="shared" si="194"/>
        <v>11WP01008831</v>
      </c>
      <c r="L1280" s="3" t="str">
        <f t="shared" si="195"/>
        <v>2001/01/01</v>
      </c>
      <c r="M1280" s="3" t="str">
        <f t="shared" si="196"/>
        <v>2199/12/31</v>
      </c>
      <c r="N1280" t="str">
        <f t="shared" si="197"/>
        <v>11WP01008831</v>
      </c>
      <c r="O1280">
        <v>15</v>
      </c>
      <c r="Q1280" t="str" cm="1">
        <f t="array" ref="Q1280">_xlfn.IFS(AND(C1280="",G1280=""),"",LEFT(G1280,1)="L","記載要",LEFT(G1280,1)="W","",AND(C1280,G1280=""),"記載要")</f>
        <v/>
      </c>
      <c r="R1280" s="21" t="str">
        <f t="shared" si="202"/>
        <v/>
      </c>
      <c r="S1280" s="21"/>
      <c r="Z1280" s="8"/>
      <c r="AA1280">
        <v>1</v>
      </c>
      <c r="AB1280">
        <f t="shared" si="198"/>
        <v>0</v>
      </c>
      <c r="AC1280">
        <v>1</v>
      </c>
      <c r="AF1280">
        <v>1</v>
      </c>
      <c r="AG1280" s="8"/>
      <c r="AH1280" s="8"/>
      <c r="AK1280" cm="1">
        <f t="array" ref="AK1280">_xlfn.IFS(B1280="","",LEFT(G1280,1)="L",1,LEFT(G1280,1)="W",1,AND(LEFT(B1280,1)="H",G1280=""),0)</f>
        <v>1</v>
      </c>
      <c r="AS1280" t="str">
        <f t="shared" si="199"/>
        <v/>
      </c>
      <c r="AT1280" t="s">
        <v>115</v>
      </c>
      <c r="AU1280" t="str">
        <f t="shared" si="200"/>
        <v>0</v>
      </c>
      <c r="BD1280" t="str">
        <f t="shared" si="201"/>
        <v>0</v>
      </c>
      <c r="BK1280" t="str">
        <f>IFERROR(VLOOKUP(B1280,'[1]model_S-フレーム'!$F$5:$R$7000,13,1),"")</f>
        <v>E388252A_01</v>
      </c>
      <c r="BL1280" s="7">
        <f>IFERROR(VLOOKUP(B1280,'[1]model_S-フレーム'!$F$5:$V$7000,17,1),"")</f>
        <v>0</v>
      </c>
      <c r="BM1280" t="str" cm="1">
        <f t="array" ref="BM1280">_xlfn.IFS(LEFT(G1280,1)="L","外注品",LEFT(G1280,1)="W","内製品",G1280="","購買品")</f>
        <v>内製品</v>
      </c>
    </row>
    <row r="1281" spans="1:65">
      <c r="A1281" t="str">
        <f t="shared" si="193"/>
        <v>WG01</v>
      </c>
      <c r="B1281" t="s">
        <v>1422</v>
      </c>
      <c r="C1281" t="s">
        <v>1540</v>
      </c>
      <c r="D1281" s="7"/>
      <c r="E1281" s="7"/>
      <c r="G1281" t="s">
        <v>1939</v>
      </c>
      <c r="H1281" t="str" cm="1">
        <f t="array" ref="H1281">IFERROR(_xlfn.IFS(B1281="","",AND(B1281="",G1281=""),"",G1281="","記載要"),"")</f>
        <v/>
      </c>
      <c r="K1281" t="str">
        <f t="shared" si="194"/>
        <v>11WP01008832</v>
      </c>
      <c r="L1281" s="3" t="str">
        <f t="shared" si="195"/>
        <v>2001/01/01</v>
      </c>
      <c r="M1281" s="3" t="str">
        <f t="shared" si="196"/>
        <v>2199/12/31</v>
      </c>
      <c r="N1281" t="str">
        <f t="shared" si="197"/>
        <v>11WP01008832</v>
      </c>
      <c r="O1281">
        <v>15</v>
      </c>
      <c r="Q1281" t="str" cm="1">
        <f t="array" ref="Q1281">_xlfn.IFS(AND(C1281="",G1281=""),"",LEFT(G1281,1)="L","記載要",LEFT(G1281,1)="W","",AND(C1281,G1281=""),"記載要")</f>
        <v/>
      </c>
      <c r="R1281" s="21" t="str">
        <f t="shared" si="202"/>
        <v/>
      </c>
      <c r="S1281" s="21"/>
      <c r="Z1281" s="8"/>
      <c r="AA1281">
        <v>1</v>
      </c>
      <c r="AB1281">
        <f t="shared" si="198"/>
        <v>0</v>
      </c>
      <c r="AC1281">
        <v>1</v>
      </c>
      <c r="AF1281">
        <v>1</v>
      </c>
      <c r="AG1281" s="8"/>
      <c r="AH1281" s="8"/>
      <c r="AK1281" cm="1">
        <f t="array" ref="AK1281">_xlfn.IFS(B1281="","",LEFT(G1281,1)="L",1,LEFT(G1281,1)="W",1,AND(LEFT(B1281,1)="H",G1281=""),0)</f>
        <v>1</v>
      </c>
      <c r="AS1281" t="str">
        <f t="shared" si="199"/>
        <v/>
      </c>
      <c r="AT1281" t="s">
        <v>115</v>
      </c>
      <c r="AU1281" t="str">
        <f t="shared" si="200"/>
        <v>0</v>
      </c>
      <c r="BD1281" t="str">
        <f t="shared" si="201"/>
        <v>0</v>
      </c>
      <c r="BK1281" t="str">
        <f>IFERROR(VLOOKUP(B1281,'[1]model_S-フレーム'!$F$5:$R$7000,13,1),"")</f>
        <v>E388252A_01</v>
      </c>
      <c r="BL1281" s="7">
        <f>IFERROR(VLOOKUP(B1281,'[1]model_S-フレーム'!$F$5:$V$7000,17,1),"")</f>
        <v>0</v>
      </c>
      <c r="BM1281" t="str" cm="1">
        <f t="array" ref="BM1281">_xlfn.IFS(LEFT(G1281,1)="L","外注品",LEFT(G1281,1)="W","内製品",G1281="","購買品")</f>
        <v>内製品</v>
      </c>
    </row>
    <row r="1282" spans="1:65">
      <c r="A1282" t="str">
        <f t="shared" si="193"/>
        <v>WG01</v>
      </c>
      <c r="B1282" t="s">
        <v>1423</v>
      </c>
      <c r="C1282" t="s">
        <v>1540</v>
      </c>
      <c r="D1282" s="7"/>
      <c r="E1282" s="7"/>
      <c r="G1282" t="s">
        <v>1939</v>
      </c>
      <c r="H1282" t="str" cm="1">
        <f t="array" ref="H1282">IFERROR(_xlfn.IFS(B1282="","",AND(B1282="",G1282=""),"",G1282="","記載要"),"")</f>
        <v/>
      </c>
      <c r="K1282" t="str">
        <f t="shared" si="194"/>
        <v>11WP01008833</v>
      </c>
      <c r="L1282" s="3" t="str">
        <f t="shared" si="195"/>
        <v>2001/01/01</v>
      </c>
      <c r="M1282" s="3" t="str">
        <f t="shared" si="196"/>
        <v>2199/12/31</v>
      </c>
      <c r="N1282" t="str">
        <f t="shared" si="197"/>
        <v>11WP01008833</v>
      </c>
      <c r="O1282">
        <v>15</v>
      </c>
      <c r="Q1282" t="str" cm="1">
        <f t="array" ref="Q1282">_xlfn.IFS(AND(C1282="",G1282=""),"",LEFT(G1282,1)="L","記載要",LEFT(G1282,1)="W","",AND(C1282,G1282=""),"記載要")</f>
        <v/>
      </c>
      <c r="R1282" s="21" t="str">
        <f t="shared" si="202"/>
        <v/>
      </c>
      <c r="S1282" s="21"/>
      <c r="Z1282" s="8"/>
      <c r="AA1282">
        <v>1</v>
      </c>
      <c r="AB1282">
        <f t="shared" si="198"/>
        <v>0</v>
      </c>
      <c r="AC1282">
        <v>1</v>
      </c>
      <c r="AF1282">
        <v>1</v>
      </c>
      <c r="AG1282" s="8"/>
      <c r="AH1282" s="8"/>
      <c r="AK1282" cm="1">
        <f t="array" ref="AK1282">_xlfn.IFS(B1282="","",LEFT(G1282,1)="L",1,LEFT(G1282,1)="W",1,AND(LEFT(B1282,1)="H",G1282=""),0)</f>
        <v>1</v>
      </c>
      <c r="AS1282" t="str">
        <f t="shared" si="199"/>
        <v/>
      </c>
      <c r="AT1282" t="s">
        <v>115</v>
      </c>
      <c r="AU1282" t="str">
        <f t="shared" si="200"/>
        <v>0</v>
      </c>
      <c r="BD1282" t="str">
        <f t="shared" si="201"/>
        <v>0</v>
      </c>
      <c r="BK1282" t="str">
        <f>IFERROR(VLOOKUP(B1282,'[1]model_S-フレーム'!$F$5:$R$7000,13,1),"")</f>
        <v>E388252A_01</v>
      </c>
      <c r="BL1282" s="7">
        <f>IFERROR(VLOOKUP(B1282,'[1]model_S-フレーム'!$F$5:$V$7000,17,1),"")</f>
        <v>0</v>
      </c>
      <c r="BM1282" t="str" cm="1">
        <f t="array" ref="BM1282">_xlfn.IFS(LEFT(G1282,1)="L","外注品",LEFT(G1282,1)="W","内製品",G1282="","購買品")</f>
        <v>内製品</v>
      </c>
    </row>
    <row r="1283" spans="1:65" s="13" customFormat="1">
      <c r="A1283" t="str">
        <f t="shared" ref="A1283:A1346" si="203">IF(B1283="","","WG01")</f>
        <v>WG01</v>
      </c>
      <c r="B1283" t="s">
        <v>1424</v>
      </c>
      <c r="C1283" t="s">
        <v>1541</v>
      </c>
      <c r="D1283" s="7"/>
      <c r="E1283" s="7"/>
      <c r="F1283"/>
      <c r="G1283"/>
      <c r="H1283">
        <v>27616</v>
      </c>
      <c r="I1283"/>
      <c r="J1283"/>
      <c r="K1283" t="str">
        <f t="shared" ref="K1283:K1346" si="204">IF(G1283="","","11"&amp;G1283&amp;RIGHT(B1283,5))</f>
        <v/>
      </c>
      <c r="L1283" s="3" t="str">
        <f t="shared" ref="L1283:L1346" si="205">IF(B1283="","","2001/01/01")</f>
        <v>2001/01/01</v>
      </c>
      <c r="M1283" s="3" t="str">
        <f t="shared" ref="M1283:M1346" si="206">IF(C1283="","","2199/12/31")</f>
        <v>2199/12/31</v>
      </c>
      <c r="N1283" t="str">
        <f t="shared" ref="N1283:N1346" si="207">IF(LEFT(G1283,1)="W",K1283,"")</f>
        <v/>
      </c>
      <c r="O1283" t="str">
        <f>IF(G1283="","","記載要")</f>
        <v/>
      </c>
      <c r="P1283"/>
      <c r="Q1283">
        <v>15</v>
      </c>
      <c r="R1283" s="21">
        <v>100000000</v>
      </c>
      <c r="S1283" s="21" t="str" cm="1">
        <f t="array" ref="S1283">_xlfn.IFS(LEFT(G1283,1)="L","記載要",LEFT(G1283,1)="W","記載要",G1283="","")</f>
        <v/>
      </c>
      <c r="T1283"/>
      <c r="U1283"/>
      <c r="V1283"/>
      <c r="W1283"/>
      <c r="X1283"/>
      <c r="Y1283"/>
      <c r="Z1283" s="8"/>
      <c r="AA1283" s="8">
        <v>1</v>
      </c>
      <c r="AB1283">
        <f t="shared" ref="AB1283:AB1346" si="208">IF(B1283="","",0)</f>
        <v>0</v>
      </c>
      <c r="AC1283" s="8">
        <v>1</v>
      </c>
      <c r="AD1283"/>
      <c r="AE1283"/>
      <c r="AF1283">
        <v>1</v>
      </c>
      <c r="AG1283" s="8"/>
      <c r="AH1283" s="8"/>
      <c r="AI1283"/>
      <c r="AJ1283"/>
      <c r="AK1283" cm="1">
        <f t="array" ref="AK1283">_xlfn.IFS(B1283="","",LEFT(G1283,1)="L",1,LEFT(G1283,1)="W",1,AND(LEFT(B1283,1)="H",G1283=""),0)</f>
        <v>0</v>
      </c>
      <c r="AL1283"/>
      <c r="AM1283"/>
      <c r="AN1283"/>
      <c r="AO1283"/>
      <c r="AP1283"/>
      <c r="AQ1283"/>
      <c r="AR1283"/>
      <c r="AS1283">
        <f t="shared" ref="AS1283:AS1346" si="209">IF(Q1283="","",1)</f>
        <v>1</v>
      </c>
      <c r="AT1283" t="s">
        <v>115</v>
      </c>
      <c r="AU1283" t="str">
        <f t="shared" ref="AU1283:AU1346" si="210">IF(B1283="","","0")</f>
        <v>0</v>
      </c>
      <c r="AV1283"/>
      <c r="AW1283"/>
      <c r="AX1283"/>
      <c r="AY1283"/>
      <c r="AZ1283"/>
      <c r="BA1283"/>
      <c r="BB1283"/>
      <c r="BC1283"/>
      <c r="BD1283" t="str">
        <f t="shared" ref="BD1283:BD1346" si="211">IF(B1283="","","0")</f>
        <v>0</v>
      </c>
      <c r="BE1283"/>
      <c r="BF1283"/>
      <c r="BG1283"/>
      <c r="BH1283"/>
      <c r="BI1283"/>
      <c r="BJ1283"/>
      <c r="BK1283" s="13" t="str">
        <f>IFERROR(VLOOKUP(B1283,'[1]model_S-フレーム'!$F$5:$R$7000,13,1),"")</f>
        <v>E388252A_01</v>
      </c>
      <c r="BL1283" s="14">
        <f>IFERROR(VLOOKUP(B1283,'[1]model_S-フレーム'!$F$5:$V$7000,17,1),"")</f>
        <v>0</v>
      </c>
      <c r="BM1283" s="13" t="str" cm="1">
        <f t="array" ref="BM1283">_xlfn.IFS(LEFT(G1283,1)="L","外注品",LEFT(G1283,1)="W","内製品",G1283="","購買品")</f>
        <v>購買品</v>
      </c>
    </row>
    <row r="1284" spans="1:65" s="13" customFormat="1">
      <c r="A1284" t="str">
        <f t="shared" si="203"/>
        <v>WG01</v>
      </c>
      <c r="B1284" t="s">
        <v>1424</v>
      </c>
      <c r="C1284" t="s">
        <v>1541</v>
      </c>
      <c r="D1284" s="7"/>
      <c r="E1284" s="7"/>
      <c r="F1284"/>
      <c r="G1284"/>
      <c r="H1284">
        <v>43453</v>
      </c>
      <c r="I1284"/>
      <c r="J1284"/>
      <c r="K1284" t="str">
        <f t="shared" si="204"/>
        <v/>
      </c>
      <c r="L1284" s="3" t="str">
        <f t="shared" si="205"/>
        <v>2001/01/01</v>
      </c>
      <c r="M1284" s="3" t="str">
        <f t="shared" si="206"/>
        <v>2199/12/31</v>
      </c>
      <c r="N1284" t="str">
        <f t="shared" si="207"/>
        <v/>
      </c>
      <c r="O1284" t="str">
        <f>IF(G1284="","","記載要")</f>
        <v/>
      </c>
      <c r="P1284"/>
      <c r="Q1284">
        <v>15</v>
      </c>
      <c r="R1284" s="21">
        <v>100000000</v>
      </c>
      <c r="S1284" s="21" t="str" cm="1">
        <f t="array" ref="S1284">_xlfn.IFS(LEFT(G1284,1)="L","記載要",LEFT(G1284,1)="W","記載要",G1284="","")</f>
        <v/>
      </c>
      <c r="T1284"/>
      <c r="U1284"/>
      <c r="V1284"/>
      <c r="W1284"/>
      <c r="X1284"/>
      <c r="Y1284"/>
      <c r="Z1284" s="8"/>
      <c r="AA1284" s="8">
        <v>1</v>
      </c>
      <c r="AB1284">
        <f t="shared" si="208"/>
        <v>0</v>
      </c>
      <c r="AC1284" s="8">
        <v>1</v>
      </c>
      <c r="AD1284"/>
      <c r="AE1284"/>
      <c r="AF1284">
        <v>0</v>
      </c>
      <c r="AG1284" s="8"/>
      <c r="AH1284" s="8"/>
      <c r="AI1284"/>
      <c r="AJ1284"/>
      <c r="AK1284" cm="1">
        <f t="array" ref="AK1284">_xlfn.IFS(B1284="","",LEFT(G1284,1)="L",1,LEFT(G1284,1)="W",1,AND(LEFT(B1284,1)="H",G1284=""),0)</f>
        <v>0</v>
      </c>
      <c r="AL1284"/>
      <c r="AM1284"/>
      <c r="AN1284"/>
      <c r="AO1284"/>
      <c r="AP1284"/>
      <c r="AQ1284"/>
      <c r="AR1284"/>
      <c r="AS1284">
        <f t="shared" si="209"/>
        <v>1</v>
      </c>
      <c r="AT1284" t="s">
        <v>115</v>
      </c>
      <c r="AU1284" t="str">
        <f t="shared" si="210"/>
        <v>0</v>
      </c>
      <c r="AV1284"/>
      <c r="AW1284"/>
      <c r="AX1284"/>
      <c r="AY1284"/>
      <c r="AZ1284"/>
      <c r="BA1284"/>
      <c r="BB1284"/>
      <c r="BC1284"/>
      <c r="BD1284" t="str">
        <f t="shared" si="211"/>
        <v>0</v>
      </c>
      <c r="BE1284"/>
      <c r="BF1284"/>
      <c r="BG1284"/>
      <c r="BH1284"/>
      <c r="BI1284"/>
      <c r="BJ1284"/>
      <c r="BK1284" s="13" t="str">
        <f>IFERROR(VLOOKUP(B1284,'[1]model_S-フレーム'!$F$5:$R$7000,13,1),"")</f>
        <v>E388252A_01</v>
      </c>
      <c r="BL1284" s="14">
        <f>IFERROR(VLOOKUP(B1284,'[1]model_S-フレーム'!$F$5:$V$7000,17,1),"")</f>
        <v>0</v>
      </c>
      <c r="BM1284" s="13" t="str" cm="1">
        <f t="array" ref="BM1284">_xlfn.IFS(LEFT(G1284,1)="L","外注品",LEFT(G1284,1)="W","内製品",G1284="","購買品")</f>
        <v>購買品</v>
      </c>
    </row>
    <row r="1285" spans="1:65" s="13" customFormat="1">
      <c r="A1285" t="str">
        <f t="shared" si="203"/>
        <v>WG01</v>
      </c>
      <c r="B1285" t="s">
        <v>1424</v>
      </c>
      <c r="C1285" t="s">
        <v>1541</v>
      </c>
      <c r="D1285" s="7"/>
      <c r="E1285" s="7"/>
      <c r="F1285"/>
      <c r="G1285"/>
      <c r="H1285">
        <v>47081</v>
      </c>
      <c r="I1285"/>
      <c r="J1285"/>
      <c r="K1285" t="str">
        <f t="shared" si="204"/>
        <v/>
      </c>
      <c r="L1285" s="3" t="str">
        <f t="shared" si="205"/>
        <v>2001/01/01</v>
      </c>
      <c r="M1285" s="3" t="str">
        <f t="shared" si="206"/>
        <v>2199/12/31</v>
      </c>
      <c r="N1285" t="str">
        <f t="shared" si="207"/>
        <v/>
      </c>
      <c r="O1285" t="str">
        <f>IF(G1285="","","記載要")</f>
        <v/>
      </c>
      <c r="P1285"/>
      <c r="Q1285">
        <v>15</v>
      </c>
      <c r="R1285" s="21">
        <v>100000000</v>
      </c>
      <c r="S1285" s="21" t="str" cm="1">
        <f t="array" ref="S1285">_xlfn.IFS(LEFT(G1285,1)="L","記載要",LEFT(G1285,1)="W","記載要",G1285="","")</f>
        <v/>
      </c>
      <c r="T1285"/>
      <c r="U1285"/>
      <c r="V1285"/>
      <c r="W1285"/>
      <c r="X1285"/>
      <c r="Y1285"/>
      <c r="Z1285" s="8"/>
      <c r="AA1285" s="8">
        <v>1</v>
      </c>
      <c r="AB1285">
        <f t="shared" si="208"/>
        <v>0</v>
      </c>
      <c r="AC1285" s="8">
        <v>1</v>
      </c>
      <c r="AD1285"/>
      <c r="AE1285"/>
      <c r="AF1285">
        <v>0</v>
      </c>
      <c r="AG1285" s="8"/>
      <c r="AH1285" s="8"/>
      <c r="AI1285"/>
      <c r="AJ1285"/>
      <c r="AK1285" cm="1">
        <f t="array" ref="AK1285">_xlfn.IFS(B1285="","",LEFT(G1285,1)="L",1,LEFT(G1285,1)="W",1,AND(LEFT(B1285,1)="H",G1285=""),0)</f>
        <v>0</v>
      </c>
      <c r="AL1285"/>
      <c r="AM1285"/>
      <c r="AN1285"/>
      <c r="AO1285"/>
      <c r="AP1285"/>
      <c r="AQ1285"/>
      <c r="AR1285"/>
      <c r="AS1285">
        <f t="shared" si="209"/>
        <v>1</v>
      </c>
      <c r="AT1285" t="s">
        <v>115</v>
      </c>
      <c r="AU1285" t="str">
        <f t="shared" si="210"/>
        <v>0</v>
      </c>
      <c r="AV1285"/>
      <c r="AW1285"/>
      <c r="AX1285"/>
      <c r="AY1285"/>
      <c r="AZ1285"/>
      <c r="BA1285"/>
      <c r="BB1285"/>
      <c r="BC1285"/>
      <c r="BD1285" t="str">
        <f t="shared" si="211"/>
        <v>0</v>
      </c>
      <c r="BE1285"/>
      <c r="BF1285"/>
      <c r="BG1285"/>
      <c r="BH1285"/>
      <c r="BI1285"/>
      <c r="BJ1285"/>
      <c r="BK1285" s="13" t="str">
        <f>IFERROR(VLOOKUP(B1285,'[1]model_S-フレーム'!$F$5:$R$7000,13,1),"")</f>
        <v>E388252A_01</v>
      </c>
      <c r="BL1285" s="14">
        <f>IFERROR(VLOOKUP(B1285,'[1]model_S-フレーム'!$F$5:$V$7000,17,1),"")</f>
        <v>0</v>
      </c>
      <c r="BM1285" s="13" t="str" cm="1">
        <f t="array" ref="BM1285">_xlfn.IFS(LEFT(G1285,1)="L","外注品",LEFT(G1285,1)="W","内製品",G1285="","購買品")</f>
        <v>購買品</v>
      </c>
    </row>
    <row r="1286" spans="1:65">
      <c r="A1286" t="str">
        <f t="shared" si="203"/>
        <v>WG01</v>
      </c>
      <c r="B1286" t="s">
        <v>1424</v>
      </c>
      <c r="C1286" t="s">
        <v>1541</v>
      </c>
      <c r="D1286" s="7"/>
      <c r="E1286" s="7"/>
      <c r="H1286" s="19" t="s">
        <v>1937</v>
      </c>
      <c r="K1286" t="str">
        <f t="shared" si="204"/>
        <v/>
      </c>
      <c r="L1286" s="3" t="str">
        <f t="shared" si="205"/>
        <v>2001/01/01</v>
      </c>
      <c r="M1286" s="3" t="str">
        <f t="shared" si="206"/>
        <v>2199/12/31</v>
      </c>
      <c r="N1286" t="str">
        <f t="shared" si="207"/>
        <v/>
      </c>
      <c r="O1286" t="str">
        <f>IF(G1286="","","記載要")</f>
        <v/>
      </c>
      <c r="Q1286">
        <v>15</v>
      </c>
      <c r="R1286" s="21">
        <v>100000000</v>
      </c>
      <c r="S1286" s="21" t="str" cm="1">
        <f t="array" ref="S1286">_xlfn.IFS(LEFT(G1286,1)="L","記載要",LEFT(G1286,1)="W","記載要",G1286="","")</f>
        <v/>
      </c>
      <c r="Z1286" s="8"/>
      <c r="AA1286" s="8">
        <v>1</v>
      </c>
      <c r="AB1286">
        <f t="shared" si="208"/>
        <v>0</v>
      </c>
      <c r="AC1286" s="8">
        <v>1</v>
      </c>
      <c r="AF1286">
        <v>0</v>
      </c>
      <c r="AG1286" s="8"/>
      <c r="AH1286" s="8"/>
      <c r="AK1286" cm="1">
        <f t="array" ref="AK1286">_xlfn.IFS(B1286="","",LEFT(G1286,1)="L",1,LEFT(G1286,1)="W",1,AND(LEFT(B1286,1)="H",G1286=""),0)</f>
        <v>0</v>
      </c>
      <c r="AS1286">
        <f t="shared" si="209"/>
        <v>1</v>
      </c>
      <c r="AT1286" t="s">
        <v>115</v>
      </c>
      <c r="AU1286" t="str">
        <f t="shared" si="210"/>
        <v>0</v>
      </c>
      <c r="BD1286" t="str">
        <f t="shared" si="211"/>
        <v>0</v>
      </c>
      <c r="BK1286" t="str">
        <f>IFERROR(VLOOKUP(B1286,'[1]model_S-フレーム'!$F$5:$R$7000,13,1),"")</f>
        <v>E388252A_01</v>
      </c>
      <c r="BL1286" s="7">
        <f>IFERROR(VLOOKUP(B1286,'[1]model_S-フレーム'!$F$5:$V$7000,17,1),"")</f>
        <v>0</v>
      </c>
      <c r="BM1286" t="str" cm="1">
        <f t="array" ref="BM1286">_xlfn.IFS(LEFT(G1286,1)="L","外注品",LEFT(G1286,1)="W","内製品",G1286="","購買品")</f>
        <v>購買品</v>
      </c>
    </row>
    <row r="1287" spans="1:65">
      <c r="A1287" t="str">
        <f t="shared" si="203"/>
        <v>WG01</v>
      </c>
      <c r="B1287" t="s">
        <v>1425</v>
      </c>
      <c r="C1287" t="s">
        <v>1540</v>
      </c>
      <c r="D1287" s="7"/>
      <c r="E1287" s="7"/>
      <c r="G1287" t="s">
        <v>1939</v>
      </c>
      <c r="H1287" t="str" cm="1">
        <f t="array" ref="H1287">IFERROR(_xlfn.IFS(B1287="","",AND(B1287="",G1287=""),"",G1287="","記載要"),"")</f>
        <v/>
      </c>
      <c r="K1287" t="str">
        <f t="shared" si="204"/>
        <v>11WP01008835</v>
      </c>
      <c r="L1287" s="3" t="str">
        <f t="shared" si="205"/>
        <v>2001/01/01</v>
      </c>
      <c r="M1287" s="3" t="str">
        <f t="shared" si="206"/>
        <v>2199/12/31</v>
      </c>
      <c r="N1287" t="str">
        <f t="shared" si="207"/>
        <v>11WP01008835</v>
      </c>
      <c r="O1287">
        <v>15</v>
      </c>
      <c r="Q1287" t="str" cm="1">
        <f t="array" ref="Q1287">_xlfn.IFS(AND(C1287="",G1287=""),"",LEFT(G1287,1)="L","記載要",LEFT(G1287,1)="W","",AND(C1287,G1287=""),"記載要")</f>
        <v/>
      </c>
      <c r="R1287" s="21" t="str">
        <f t="shared" ref="R1287:R1345" si="212">IF(H1287="","","記載要")</f>
        <v/>
      </c>
      <c r="S1287" s="21"/>
      <c r="Z1287" s="8"/>
      <c r="AA1287">
        <v>1</v>
      </c>
      <c r="AB1287">
        <f t="shared" si="208"/>
        <v>0</v>
      </c>
      <c r="AC1287">
        <v>1</v>
      </c>
      <c r="AF1287">
        <v>1</v>
      </c>
      <c r="AG1287" s="8"/>
      <c r="AH1287" s="8"/>
      <c r="AK1287" cm="1">
        <f t="array" ref="AK1287">_xlfn.IFS(B1287="","",LEFT(G1287,1)="L",1,LEFT(G1287,1)="W",1,AND(LEFT(B1287,1)="H",G1287=""),0)</f>
        <v>1</v>
      </c>
      <c r="AS1287" t="str">
        <f t="shared" si="209"/>
        <v/>
      </c>
      <c r="AT1287" t="s">
        <v>115</v>
      </c>
      <c r="AU1287" t="str">
        <f t="shared" si="210"/>
        <v>0</v>
      </c>
      <c r="BD1287" t="str">
        <f t="shared" si="211"/>
        <v>0</v>
      </c>
      <c r="BK1287" t="str">
        <f>IFERROR(VLOOKUP(B1287,'[1]model_S-フレーム'!$F$5:$R$7000,13,1),"")</f>
        <v>E388252B_01</v>
      </c>
      <c r="BL1287" s="7">
        <f>IFERROR(VLOOKUP(B1287,'[1]model_S-フレーム'!$F$5:$V$7000,17,1),"")</f>
        <v>0</v>
      </c>
      <c r="BM1287" t="str" cm="1">
        <f t="array" ref="BM1287">_xlfn.IFS(LEFT(G1287,1)="L","外注品",LEFT(G1287,1)="W","内製品",G1287="","購買品")</f>
        <v>内製品</v>
      </c>
    </row>
    <row r="1288" spans="1:65">
      <c r="A1288" t="str">
        <f t="shared" si="203"/>
        <v>WG01</v>
      </c>
      <c r="B1288" t="s">
        <v>1426</v>
      </c>
      <c r="C1288" t="s">
        <v>1540</v>
      </c>
      <c r="D1288" s="7"/>
      <c r="E1288" s="7"/>
      <c r="G1288" t="s">
        <v>1939</v>
      </c>
      <c r="H1288" t="str" cm="1">
        <f t="array" ref="H1288">IFERROR(_xlfn.IFS(B1288="","",AND(B1288="",G1288=""),"",G1288="","記載要"),"")</f>
        <v/>
      </c>
      <c r="K1288" t="str">
        <f t="shared" si="204"/>
        <v>11WP01008836</v>
      </c>
      <c r="L1288" s="3" t="str">
        <f t="shared" si="205"/>
        <v>2001/01/01</v>
      </c>
      <c r="M1288" s="3" t="str">
        <f t="shared" si="206"/>
        <v>2199/12/31</v>
      </c>
      <c r="N1288" t="str">
        <f t="shared" si="207"/>
        <v>11WP01008836</v>
      </c>
      <c r="O1288">
        <v>15</v>
      </c>
      <c r="Q1288" t="str" cm="1">
        <f t="array" ref="Q1288">_xlfn.IFS(AND(C1288="",G1288=""),"",LEFT(G1288,1)="L","記載要",LEFT(G1288,1)="W","",AND(C1288,G1288=""),"記載要")</f>
        <v/>
      </c>
      <c r="R1288" s="21" t="str">
        <f t="shared" si="212"/>
        <v/>
      </c>
      <c r="S1288" s="21"/>
      <c r="Z1288" s="8"/>
      <c r="AA1288">
        <v>1</v>
      </c>
      <c r="AB1288">
        <f t="shared" si="208"/>
        <v>0</v>
      </c>
      <c r="AC1288">
        <v>1</v>
      </c>
      <c r="AF1288">
        <v>1</v>
      </c>
      <c r="AG1288" s="8"/>
      <c r="AH1288" s="8"/>
      <c r="AK1288" cm="1">
        <f t="array" ref="AK1288">_xlfn.IFS(B1288="","",LEFT(G1288,1)="L",1,LEFT(G1288,1)="W",1,AND(LEFT(B1288,1)="H",G1288=""),0)</f>
        <v>1</v>
      </c>
      <c r="AS1288" t="str">
        <f t="shared" si="209"/>
        <v/>
      </c>
      <c r="AT1288" t="s">
        <v>115</v>
      </c>
      <c r="AU1288" t="str">
        <f t="shared" si="210"/>
        <v>0</v>
      </c>
      <c r="BD1288" t="str">
        <f t="shared" si="211"/>
        <v>0</v>
      </c>
      <c r="BK1288" t="str">
        <f>IFERROR(VLOOKUP(B1288,'[1]model_S-フレーム'!$F$5:$R$7000,13,1),"")</f>
        <v>E388252B_01</v>
      </c>
      <c r="BL1288" s="7">
        <f>IFERROR(VLOOKUP(B1288,'[1]model_S-フレーム'!$F$5:$V$7000,17,1),"")</f>
        <v>0</v>
      </c>
      <c r="BM1288" t="str" cm="1">
        <f t="array" ref="BM1288">_xlfn.IFS(LEFT(G1288,1)="L","外注品",LEFT(G1288,1)="W","内製品",G1288="","購買品")</f>
        <v>内製品</v>
      </c>
    </row>
    <row r="1289" spans="1:65">
      <c r="A1289" t="str">
        <f t="shared" si="203"/>
        <v>WG01</v>
      </c>
      <c r="B1289" t="s">
        <v>1427</v>
      </c>
      <c r="C1289" t="s">
        <v>1540</v>
      </c>
      <c r="D1289" s="7"/>
      <c r="E1289" s="7"/>
      <c r="G1289" t="s">
        <v>1939</v>
      </c>
      <c r="H1289" t="str" cm="1">
        <f t="array" ref="H1289">IFERROR(_xlfn.IFS(B1289="","",AND(B1289="",G1289=""),"",G1289="","記載要"),"")</f>
        <v/>
      </c>
      <c r="K1289" t="str">
        <f t="shared" si="204"/>
        <v>11WP01008837</v>
      </c>
      <c r="L1289" s="3" t="str">
        <f t="shared" si="205"/>
        <v>2001/01/01</v>
      </c>
      <c r="M1289" s="3" t="str">
        <f t="shared" si="206"/>
        <v>2199/12/31</v>
      </c>
      <c r="N1289" t="str">
        <f t="shared" si="207"/>
        <v>11WP01008837</v>
      </c>
      <c r="O1289">
        <v>15</v>
      </c>
      <c r="Q1289" t="str" cm="1">
        <f t="array" ref="Q1289">_xlfn.IFS(AND(C1289="",G1289=""),"",LEFT(G1289,1)="L","記載要",LEFT(G1289,1)="W","",AND(C1289,G1289=""),"記載要")</f>
        <v/>
      </c>
      <c r="R1289" s="21" t="str">
        <f t="shared" si="212"/>
        <v/>
      </c>
      <c r="S1289" s="21"/>
      <c r="Z1289" s="8"/>
      <c r="AA1289">
        <v>1</v>
      </c>
      <c r="AB1289">
        <f t="shared" si="208"/>
        <v>0</v>
      </c>
      <c r="AC1289">
        <v>1</v>
      </c>
      <c r="AF1289">
        <v>1</v>
      </c>
      <c r="AG1289" s="8"/>
      <c r="AH1289" s="8"/>
      <c r="AK1289" cm="1">
        <f t="array" ref="AK1289">_xlfn.IFS(B1289="","",LEFT(G1289,1)="L",1,LEFT(G1289,1)="W",1,AND(LEFT(B1289,1)="H",G1289=""),0)</f>
        <v>1</v>
      </c>
      <c r="AS1289" t="str">
        <f t="shared" si="209"/>
        <v/>
      </c>
      <c r="AT1289" t="s">
        <v>115</v>
      </c>
      <c r="AU1289" t="str">
        <f t="shared" si="210"/>
        <v>0</v>
      </c>
      <c r="BD1289" t="str">
        <f t="shared" si="211"/>
        <v>0</v>
      </c>
      <c r="BK1289" t="str">
        <f>IFERROR(VLOOKUP(B1289,'[1]model_S-フレーム'!$F$5:$R$7000,13,1),"")</f>
        <v>E388252B_01</v>
      </c>
      <c r="BL1289" s="7">
        <f>IFERROR(VLOOKUP(B1289,'[1]model_S-フレーム'!$F$5:$V$7000,17,1),"")</f>
        <v>0</v>
      </c>
      <c r="BM1289" t="str" cm="1">
        <f t="array" ref="BM1289">_xlfn.IFS(LEFT(G1289,1)="L","外注品",LEFT(G1289,1)="W","内製品",G1289="","購買品")</f>
        <v>内製品</v>
      </c>
    </row>
    <row r="1290" spans="1:65">
      <c r="A1290" t="str">
        <f t="shared" si="203"/>
        <v>WG01</v>
      </c>
      <c r="B1290" t="s">
        <v>1428</v>
      </c>
      <c r="C1290" t="s">
        <v>1540</v>
      </c>
      <c r="D1290" s="7"/>
      <c r="E1290" s="7"/>
      <c r="G1290" t="s">
        <v>1939</v>
      </c>
      <c r="H1290" t="str" cm="1">
        <f t="array" ref="H1290">IFERROR(_xlfn.IFS(B1290="","",AND(B1290="",G1290=""),"",G1290="","記載要"),"")</f>
        <v/>
      </c>
      <c r="K1290" t="str">
        <f t="shared" si="204"/>
        <v>11WP01008838</v>
      </c>
      <c r="L1290" s="3" t="str">
        <f t="shared" si="205"/>
        <v>2001/01/01</v>
      </c>
      <c r="M1290" s="3" t="str">
        <f t="shared" si="206"/>
        <v>2199/12/31</v>
      </c>
      <c r="N1290" t="str">
        <f t="shared" si="207"/>
        <v>11WP01008838</v>
      </c>
      <c r="O1290">
        <v>15</v>
      </c>
      <c r="Q1290" t="str" cm="1">
        <f t="array" ref="Q1290">_xlfn.IFS(AND(C1290="",G1290=""),"",LEFT(G1290,1)="L","記載要",LEFT(G1290,1)="W","",AND(C1290,G1290=""),"記載要")</f>
        <v/>
      </c>
      <c r="R1290" s="21" t="str">
        <f t="shared" si="212"/>
        <v/>
      </c>
      <c r="S1290" s="21"/>
      <c r="Z1290" s="8"/>
      <c r="AA1290">
        <v>1</v>
      </c>
      <c r="AB1290">
        <f t="shared" si="208"/>
        <v>0</v>
      </c>
      <c r="AC1290">
        <v>1</v>
      </c>
      <c r="AF1290">
        <v>1</v>
      </c>
      <c r="AG1290" s="8"/>
      <c r="AH1290" s="8"/>
      <c r="AK1290" cm="1">
        <f t="array" ref="AK1290">_xlfn.IFS(B1290="","",LEFT(G1290,1)="L",1,LEFT(G1290,1)="W",1,AND(LEFT(B1290,1)="H",G1290=""),0)</f>
        <v>1</v>
      </c>
      <c r="AS1290" t="str">
        <f t="shared" si="209"/>
        <v/>
      </c>
      <c r="AT1290" t="s">
        <v>115</v>
      </c>
      <c r="AU1290" t="str">
        <f t="shared" si="210"/>
        <v>0</v>
      </c>
      <c r="BD1290" t="str">
        <f t="shared" si="211"/>
        <v>0</v>
      </c>
      <c r="BK1290" t="str">
        <f>IFERROR(VLOOKUP(B1290,'[1]model_S-フレーム'!$F$5:$R$7000,13,1),"")</f>
        <v>E388252B_01</v>
      </c>
      <c r="BL1290" s="7">
        <f>IFERROR(VLOOKUP(B1290,'[1]model_S-フレーム'!$F$5:$V$7000,17,1),"")</f>
        <v>0</v>
      </c>
      <c r="BM1290" t="str" cm="1">
        <f t="array" ref="BM1290">_xlfn.IFS(LEFT(G1290,1)="L","外注品",LEFT(G1290,1)="W","内製品",G1290="","購買品")</f>
        <v>内製品</v>
      </c>
    </row>
    <row r="1291" spans="1:65">
      <c r="A1291" t="str">
        <f t="shared" si="203"/>
        <v>WG01</v>
      </c>
      <c r="B1291" t="s">
        <v>1429</v>
      </c>
      <c r="C1291" t="s">
        <v>1540</v>
      </c>
      <c r="D1291" s="7"/>
      <c r="E1291" s="7"/>
      <c r="G1291" t="s">
        <v>1939</v>
      </c>
      <c r="H1291" t="str" cm="1">
        <f t="array" ref="H1291">IFERROR(_xlfn.IFS(B1291="","",AND(B1291="",G1291=""),"",G1291="","記載要"),"")</f>
        <v/>
      </c>
      <c r="K1291" t="str">
        <f t="shared" si="204"/>
        <v>11WP01008839</v>
      </c>
      <c r="L1291" s="3" t="str">
        <f t="shared" si="205"/>
        <v>2001/01/01</v>
      </c>
      <c r="M1291" s="3" t="str">
        <f t="shared" si="206"/>
        <v>2199/12/31</v>
      </c>
      <c r="N1291" t="str">
        <f t="shared" si="207"/>
        <v>11WP01008839</v>
      </c>
      <c r="O1291">
        <v>15</v>
      </c>
      <c r="Q1291" t="str" cm="1">
        <f t="array" ref="Q1291">_xlfn.IFS(AND(C1291="",G1291=""),"",LEFT(G1291,1)="L","記載要",LEFT(G1291,1)="W","",AND(C1291,G1291=""),"記載要")</f>
        <v/>
      </c>
      <c r="R1291" s="21" t="str">
        <f t="shared" si="212"/>
        <v/>
      </c>
      <c r="S1291" s="21"/>
      <c r="Z1291" s="8"/>
      <c r="AA1291">
        <v>1</v>
      </c>
      <c r="AB1291">
        <f t="shared" si="208"/>
        <v>0</v>
      </c>
      <c r="AC1291">
        <v>1</v>
      </c>
      <c r="AF1291">
        <v>1</v>
      </c>
      <c r="AG1291" s="8"/>
      <c r="AH1291" s="8"/>
      <c r="AK1291" cm="1">
        <f t="array" ref="AK1291">_xlfn.IFS(B1291="","",LEFT(G1291,1)="L",1,LEFT(G1291,1)="W",1,AND(LEFT(B1291,1)="H",G1291=""),0)</f>
        <v>1</v>
      </c>
      <c r="AS1291" t="str">
        <f t="shared" si="209"/>
        <v/>
      </c>
      <c r="AT1291" t="s">
        <v>115</v>
      </c>
      <c r="AU1291" t="str">
        <f t="shared" si="210"/>
        <v>0</v>
      </c>
      <c r="BD1291" t="str">
        <f t="shared" si="211"/>
        <v>0</v>
      </c>
      <c r="BK1291" t="str">
        <f>IFERROR(VLOOKUP(B1291,'[1]model_S-フレーム'!$F$5:$R$7000,13,1),"")</f>
        <v>E388252B_01</v>
      </c>
      <c r="BL1291" s="7">
        <f>IFERROR(VLOOKUP(B1291,'[1]model_S-フレーム'!$F$5:$V$7000,17,1),"")</f>
        <v>0</v>
      </c>
      <c r="BM1291" t="str" cm="1">
        <f t="array" ref="BM1291">_xlfn.IFS(LEFT(G1291,1)="L","外注品",LEFT(G1291,1)="W","内製品",G1291="","購買品")</f>
        <v>内製品</v>
      </c>
    </row>
    <row r="1292" spans="1:65">
      <c r="A1292" t="str">
        <f t="shared" si="203"/>
        <v>WG01</v>
      </c>
      <c r="B1292" t="s">
        <v>1430</v>
      </c>
      <c r="C1292" t="s">
        <v>1540</v>
      </c>
      <c r="D1292" s="7"/>
      <c r="E1292" s="7"/>
      <c r="G1292" t="s">
        <v>1939</v>
      </c>
      <c r="H1292" t="str" cm="1">
        <f t="array" ref="H1292">IFERROR(_xlfn.IFS(B1292="","",AND(B1292="",G1292=""),"",G1292="","記載要"),"")</f>
        <v/>
      </c>
      <c r="K1292" t="str">
        <f t="shared" si="204"/>
        <v>11WP01008840</v>
      </c>
      <c r="L1292" s="3" t="str">
        <f t="shared" si="205"/>
        <v>2001/01/01</v>
      </c>
      <c r="M1292" s="3" t="str">
        <f t="shared" si="206"/>
        <v>2199/12/31</v>
      </c>
      <c r="N1292" t="str">
        <f t="shared" si="207"/>
        <v>11WP01008840</v>
      </c>
      <c r="O1292">
        <v>15</v>
      </c>
      <c r="Q1292" t="str" cm="1">
        <f t="array" ref="Q1292">_xlfn.IFS(AND(C1292="",G1292=""),"",LEFT(G1292,1)="L","記載要",LEFT(G1292,1)="W","",AND(C1292,G1292=""),"記載要")</f>
        <v/>
      </c>
      <c r="R1292" s="21" t="str">
        <f t="shared" si="212"/>
        <v/>
      </c>
      <c r="S1292" s="21"/>
      <c r="Z1292" s="8"/>
      <c r="AA1292">
        <v>1</v>
      </c>
      <c r="AB1292">
        <f t="shared" si="208"/>
        <v>0</v>
      </c>
      <c r="AC1292">
        <v>1</v>
      </c>
      <c r="AF1292">
        <v>1</v>
      </c>
      <c r="AG1292" s="8"/>
      <c r="AH1292" s="8"/>
      <c r="AK1292" cm="1">
        <f t="array" ref="AK1292">_xlfn.IFS(B1292="","",LEFT(G1292,1)="L",1,LEFT(G1292,1)="W",1,AND(LEFT(B1292,1)="H",G1292=""),0)</f>
        <v>1</v>
      </c>
      <c r="AS1292" t="str">
        <f t="shared" si="209"/>
        <v/>
      </c>
      <c r="AT1292" t="s">
        <v>115</v>
      </c>
      <c r="AU1292" t="str">
        <f t="shared" si="210"/>
        <v>0</v>
      </c>
      <c r="BD1292" t="str">
        <f t="shared" si="211"/>
        <v>0</v>
      </c>
      <c r="BK1292" t="str">
        <f>IFERROR(VLOOKUP(B1292,'[1]model_S-フレーム'!$F$5:$R$7000,13,1),"")</f>
        <v>E388252B_01</v>
      </c>
      <c r="BL1292" s="7">
        <f>IFERROR(VLOOKUP(B1292,'[1]model_S-フレーム'!$F$5:$V$7000,17,1),"")</f>
        <v>0</v>
      </c>
      <c r="BM1292" t="str" cm="1">
        <f t="array" ref="BM1292">_xlfn.IFS(LEFT(G1292,1)="L","外注品",LEFT(G1292,1)="W","内製品",G1292="","購買品")</f>
        <v>内製品</v>
      </c>
    </row>
    <row r="1293" spans="1:65">
      <c r="A1293" t="str">
        <f t="shared" si="203"/>
        <v>WG01</v>
      </c>
      <c r="B1293" t="s">
        <v>1431</v>
      </c>
      <c r="C1293" t="s">
        <v>1540</v>
      </c>
      <c r="D1293" s="7"/>
      <c r="E1293" s="7"/>
      <c r="G1293" t="s">
        <v>1939</v>
      </c>
      <c r="H1293" t="str" cm="1">
        <f t="array" ref="H1293">IFERROR(_xlfn.IFS(B1293="","",AND(B1293="",G1293=""),"",G1293="","記載要"),"")</f>
        <v/>
      </c>
      <c r="K1293" t="str">
        <f t="shared" si="204"/>
        <v>11WP01008841</v>
      </c>
      <c r="L1293" s="3" t="str">
        <f t="shared" si="205"/>
        <v>2001/01/01</v>
      </c>
      <c r="M1293" s="3" t="str">
        <f t="shared" si="206"/>
        <v>2199/12/31</v>
      </c>
      <c r="N1293" t="str">
        <f t="shared" si="207"/>
        <v>11WP01008841</v>
      </c>
      <c r="O1293">
        <v>15</v>
      </c>
      <c r="Q1293" t="str" cm="1">
        <f t="array" ref="Q1293">_xlfn.IFS(AND(C1293="",G1293=""),"",LEFT(G1293,1)="L","記載要",LEFT(G1293,1)="W","",AND(C1293,G1293=""),"記載要")</f>
        <v/>
      </c>
      <c r="R1293" s="21" t="str">
        <f t="shared" si="212"/>
        <v/>
      </c>
      <c r="S1293" s="21"/>
      <c r="Z1293" s="8"/>
      <c r="AA1293">
        <v>1</v>
      </c>
      <c r="AB1293">
        <f t="shared" si="208"/>
        <v>0</v>
      </c>
      <c r="AC1293">
        <v>1</v>
      </c>
      <c r="AF1293">
        <v>1</v>
      </c>
      <c r="AG1293" s="8"/>
      <c r="AH1293" s="8"/>
      <c r="AK1293" cm="1">
        <f t="array" ref="AK1293">_xlfn.IFS(B1293="","",LEFT(G1293,1)="L",1,LEFT(G1293,1)="W",1,AND(LEFT(B1293,1)="H",G1293=""),0)</f>
        <v>1</v>
      </c>
      <c r="AS1293" t="str">
        <f t="shared" si="209"/>
        <v/>
      </c>
      <c r="AT1293" t="s">
        <v>115</v>
      </c>
      <c r="AU1293" t="str">
        <f t="shared" si="210"/>
        <v>0</v>
      </c>
      <c r="BD1293" t="str">
        <f t="shared" si="211"/>
        <v>0</v>
      </c>
      <c r="BK1293" t="str">
        <f>IFERROR(VLOOKUP(B1293,'[1]model_S-フレーム'!$F$5:$R$7000,13,1),"")</f>
        <v>E388252B_01</v>
      </c>
      <c r="BL1293" s="7">
        <f>IFERROR(VLOOKUP(B1293,'[1]model_S-フレーム'!$F$5:$V$7000,17,1),"")</f>
        <v>0</v>
      </c>
      <c r="BM1293" t="str" cm="1">
        <f t="array" ref="BM1293">_xlfn.IFS(LEFT(G1293,1)="L","外注品",LEFT(G1293,1)="W","内製品",G1293="","購買品")</f>
        <v>内製品</v>
      </c>
    </row>
    <row r="1294" spans="1:65">
      <c r="A1294" t="str">
        <f t="shared" si="203"/>
        <v>WG01</v>
      </c>
      <c r="B1294" t="s">
        <v>1432</v>
      </c>
      <c r="C1294" t="s">
        <v>1540</v>
      </c>
      <c r="D1294" s="7"/>
      <c r="E1294" s="7"/>
      <c r="G1294" t="s">
        <v>1939</v>
      </c>
      <c r="H1294" t="str" cm="1">
        <f t="array" ref="H1294">IFERROR(_xlfn.IFS(B1294="","",AND(B1294="",G1294=""),"",G1294="","記載要"),"")</f>
        <v/>
      </c>
      <c r="K1294" t="str">
        <f t="shared" si="204"/>
        <v>11WP01008842</v>
      </c>
      <c r="L1294" s="3" t="str">
        <f t="shared" si="205"/>
        <v>2001/01/01</v>
      </c>
      <c r="M1294" s="3" t="str">
        <f t="shared" si="206"/>
        <v>2199/12/31</v>
      </c>
      <c r="N1294" t="str">
        <f t="shared" si="207"/>
        <v>11WP01008842</v>
      </c>
      <c r="O1294">
        <v>15</v>
      </c>
      <c r="Q1294" t="str" cm="1">
        <f t="array" ref="Q1294">_xlfn.IFS(AND(C1294="",G1294=""),"",LEFT(G1294,1)="L","記載要",LEFT(G1294,1)="W","",AND(C1294,G1294=""),"記載要")</f>
        <v/>
      </c>
      <c r="R1294" s="21" t="str">
        <f t="shared" si="212"/>
        <v/>
      </c>
      <c r="S1294" s="21"/>
      <c r="Z1294" s="8"/>
      <c r="AA1294">
        <v>1</v>
      </c>
      <c r="AB1294">
        <f t="shared" si="208"/>
        <v>0</v>
      </c>
      <c r="AC1294">
        <v>1</v>
      </c>
      <c r="AF1294">
        <v>1</v>
      </c>
      <c r="AG1294" s="8"/>
      <c r="AH1294" s="8"/>
      <c r="AK1294" cm="1">
        <f t="array" ref="AK1294">_xlfn.IFS(B1294="","",LEFT(G1294,1)="L",1,LEFT(G1294,1)="W",1,AND(LEFT(B1294,1)="H",G1294=""),0)</f>
        <v>1</v>
      </c>
      <c r="AS1294" t="str">
        <f t="shared" si="209"/>
        <v/>
      </c>
      <c r="AT1294" t="s">
        <v>115</v>
      </c>
      <c r="AU1294" t="str">
        <f t="shared" si="210"/>
        <v>0</v>
      </c>
      <c r="BD1294" t="str">
        <f t="shared" si="211"/>
        <v>0</v>
      </c>
      <c r="BK1294" t="str">
        <f>IFERROR(VLOOKUP(B1294,'[1]model_S-フレーム'!$F$5:$R$7000,13,1),"")</f>
        <v>E388252B_01</v>
      </c>
      <c r="BL1294" s="7">
        <f>IFERROR(VLOOKUP(B1294,'[1]model_S-フレーム'!$F$5:$V$7000,17,1),"")</f>
        <v>0</v>
      </c>
      <c r="BM1294" t="str" cm="1">
        <f t="array" ref="BM1294">_xlfn.IFS(LEFT(G1294,1)="L","外注品",LEFT(G1294,1)="W","内製品",G1294="","購買品")</f>
        <v>内製品</v>
      </c>
    </row>
    <row r="1295" spans="1:65">
      <c r="A1295" t="str">
        <f t="shared" si="203"/>
        <v>WG01</v>
      </c>
      <c r="B1295" t="s">
        <v>1433</v>
      </c>
      <c r="C1295" t="s">
        <v>1540</v>
      </c>
      <c r="D1295" s="7"/>
      <c r="E1295" s="7"/>
      <c r="G1295" t="s">
        <v>1939</v>
      </c>
      <c r="H1295" t="str" cm="1">
        <f t="array" ref="H1295">IFERROR(_xlfn.IFS(B1295="","",AND(B1295="",G1295=""),"",G1295="","記載要"),"")</f>
        <v/>
      </c>
      <c r="K1295" t="str">
        <f t="shared" si="204"/>
        <v>11WP01008843</v>
      </c>
      <c r="L1295" s="3" t="str">
        <f t="shared" si="205"/>
        <v>2001/01/01</v>
      </c>
      <c r="M1295" s="3" t="str">
        <f t="shared" si="206"/>
        <v>2199/12/31</v>
      </c>
      <c r="N1295" t="str">
        <f t="shared" si="207"/>
        <v>11WP01008843</v>
      </c>
      <c r="O1295">
        <v>15</v>
      </c>
      <c r="Q1295" t="str" cm="1">
        <f t="array" ref="Q1295">_xlfn.IFS(AND(C1295="",G1295=""),"",LEFT(G1295,1)="L","記載要",LEFT(G1295,1)="W","",AND(C1295,G1295=""),"記載要")</f>
        <v/>
      </c>
      <c r="R1295" s="21" t="str">
        <f t="shared" si="212"/>
        <v/>
      </c>
      <c r="S1295" s="21"/>
      <c r="Z1295" s="8"/>
      <c r="AA1295">
        <v>1</v>
      </c>
      <c r="AB1295">
        <f t="shared" si="208"/>
        <v>0</v>
      </c>
      <c r="AC1295">
        <v>1</v>
      </c>
      <c r="AF1295">
        <v>1</v>
      </c>
      <c r="AG1295" s="8"/>
      <c r="AH1295" s="8"/>
      <c r="AK1295" cm="1">
        <f t="array" ref="AK1295">_xlfn.IFS(B1295="","",LEFT(G1295,1)="L",1,LEFT(G1295,1)="W",1,AND(LEFT(B1295,1)="H",G1295=""),0)</f>
        <v>1</v>
      </c>
      <c r="AS1295" t="str">
        <f t="shared" si="209"/>
        <v/>
      </c>
      <c r="AT1295" t="s">
        <v>115</v>
      </c>
      <c r="AU1295" t="str">
        <f t="shared" si="210"/>
        <v>0</v>
      </c>
      <c r="BD1295" t="str">
        <f t="shared" si="211"/>
        <v>0</v>
      </c>
      <c r="BK1295" t="str">
        <f>IFERROR(VLOOKUP(B1295,'[1]model_S-フレーム'!$F$5:$R$7000,13,1),"")</f>
        <v>E388252B_01</v>
      </c>
      <c r="BL1295" s="7">
        <f>IFERROR(VLOOKUP(B1295,'[1]model_S-フレーム'!$F$5:$V$7000,17,1),"")</f>
        <v>0</v>
      </c>
      <c r="BM1295" t="str" cm="1">
        <f t="array" ref="BM1295">_xlfn.IFS(LEFT(G1295,1)="L","外注品",LEFT(G1295,1)="W","内製品",G1295="","購買品")</f>
        <v>内製品</v>
      </c>
    </row>
    <row r="1296" spans="1:65">
      <c r="A1296" t="str">
        <f t="shared" si="203"/>
        <v>WG01</v>
      </c>
      <c r="B1296" t="s">
        <v>1434</v>
      </c>
      <c r="C1296" t="s">
        <v>1542</v>
      </c>
      <c r="D1296" s="7"/>
      <c r="E1296" s="7"/>
      <c r="G1296" t="s">
        <v>1939</v>
      </c>
      <c r="H1296" t="str" cm="1">
        <f t="array" ref="H1296">IFERROR(_xlfn.IFS(B1296="","",AND(B1296="",G1296=""),"",G1296="","記載要"),"")</f>
        <v/>
      </c>
      <c r="K1296" t="str">
        <f t="shared" si="204"/>
        <v>11WP01008844</v>
      </c>
      <c r="L1296" s="3" t="str">
        <f t="shared" si="205"/>
        <v>2001/01/01</v>
      </c>
      <c r="M1296" s="3" t="str">
        <f t="shared" si="206"/>
        <v>2199/12/31</v>
      </c>
      <c r="N1296" t="str">
        <f t="shared" si="207"/>
        <v>11WP01008844</v>
      </c>
      <c r="O1296">
        <v>15</v>
      </c>
      <c r="Q1296" t="str" cm="1">
        <f t="array" ref="Q1296">_xlfn.IFS(AND(C1296="",G1296=""),"",LEFT(G1296,1)="L","記載要",LEFT(G1296,1)="W","",AND(C1296,G1296=""),"記載要")</f>
        <v/>
      </c>
      <c r="R1296" s="21" t="str">
        <f t="shared" si="212"/>
        <v/>
      </c>
      <c r="S1296" s="21"/>
      <c r="Z1296" s="8"/>
      <c r="AA1296">
        <v>1</v>
      </c>
      <c r="AB1296">
        <f t="shared" si="208"/>
        <v>0</v>
      </c>
      <c r="AC1296">
        <v>1</v>
      </c>
      <c r="AF1296">
        <v>1</v>
      </c>
      <c r="AG1296" s="8"/>
      <c r="AH1296" s="8"/>
      <c r="AK1296" cm="1">
        <f t="array" ref="AK1296">_xlfn.IFS(B1296="","",LEFT(G1296,1)="L",1,LEFT(G1296,1)="W",1,AND(LEFT(B1296,1)="H",G1296=""),0)</f>
        <v>1</v>
      </c>
      <c r="AS1296" t="str">
        <f t="shared" si="209"/>
        <v/>
      </c>
      <c r="AT1296" t="s">
        <v>115</v>
      </c>
      <c r="AU1296" t="str">
        <f t="shared" si="210"/>
        <v>0</v>
      </c>
      <c r="BD1296" t="str">
        <f t="shared" si="211"/>
        <v>0</v>
      </c>
      <c r="BK1296" t="str">
        <f>IFERROR(VLOOKUP(B1296,'[1]model_S-フレーム'!$F$5:$R$7000,13,1),"")</f>
        <v>E388254A_01</v>
      </c>
      <c r="BL1296" s="7">
        <f>IFERROR(VLOOKUP(B1296,'[1]model_S-フレーム'!$F$5:$V$7000,17,1),"")</f>
        <v>0</v>
      </c>
      <c r="BM1296" t="str" cm="1">
        <f t="array" ref="BM1296">_xlfn.IFS(LEFT(G1296,1)="L","外注品",LEFT(G1296,1)="W","内製品",G1296="","購買品")</f>
        <v>内製品</v>
      </c>
    </row>
    <row r="1297" spans="1:65">
      <c r="A1297" t="str">
        <f t="shared" si="203"/>
        <v>WG01</v>
      </c>
      <c r="B1297" t="s">
        <v>1435</v>
      </c>
      <c r="C1297" t="s">
        <v>1542</v>
      </c>
      <c r="D1297" s="7"/>
      <c r="E1297" s="7"/>
      <c r="G1297" t="s">
        <v>1939</v>
      </c>
      <c r="H1297" t="str" cm="1">
        <f t="array" ref="H1297">IFERROR(_xlfn.IFS(B1297="","",AND(B1297="",G1297=""),"",G1297="","記載要"),"")</f>
        <v/>
      </c>
      <c r="K1297" t="str">
        <f t="shared" si="204"/>
        <v>11WP01008845</v>
      </c>
      <c r="L1297" s="3" t="str">
        <f t="shared" si="205"/>
        <v>2001/01/01</v>
      </c>
      <c r="M1297" s="3" t="str">
        <f t="shared" si="206"/>
        <v>2199/12/31</v>
      </c>
      <c r="N1297" t="str">
        <f t="shared" si="207"/>
        <v>11WP01008845</v>
      </c>
      <c r="O1297">
        <v>15</v>
      </c>
      <c r="Q1297" t="str" cm="1">
        <f t="array" ref="Q1297">_xlfn.IFS(AND(C1297="",G1297=""),"",LEFT(G1297,1)="L","記載要",LEFT(G1297,1)="W","",AND(C1297,G1297=""),"記載要")</f>
        <v/>
      </c>
      <c r="R1297" s="21" t="str">
        <f t="shared" si="212"/>
        <v/>
      </c>
      <c r="S1297" s="21"/>
      <c r="Z1297" s="8"/>
      <c r="AA1297">
        <v>1</v>
      </c>
      <c r="AB1297">
        <f t="shared" si="208"/>
        <v>0</v>
      </c>
      <c r="AC1297">
        <v>1</v>
      </c>
      <c r="AF1297">
        <v>1</v>
      </c>
      <c r="AG1297" s="8"/>
      <c r="AH1297" s="8"/>
      <c r="AK1297" cm="1">
        <f t="array" ref="AK1297">_xlfn.IFS(B1297="","",LEFT(G1297,1)="L",1,LEFT(G1297,1)="W",1,AND(LEFT(B1297,1)="H",G1297=""),0)</f>
        <v>1</v>
      </c>
      <c r="AS1297" t="str">
        <f t="shared" si="209"/>
        <v/>
      </c>
      <c r="AT1297" t="s">
        <v>115</v>
      </c>
      <c r="AU1297" t="str">
        <f t="shared" si="210"/>
        <v>0</v>
      </c>
      <c r="BD1297" t="str">
        <f t="shared" si="211"/>
        <v>0</v>
      </c>
      <c r="BK1297" t="str">
        <f>IFERROR(VLOOKUP(B1297,'[1]model_S-フレーム'!$F$5:$R$7000,13,1),"")</f>
        <v>E388254A_01</v>
      </c>
      <c r="BL1297" s="7">
        <f>IFERROR(VLOOKUP(B1297,'[1]model_S-フレーム'!$F$5:$V$7000,17,1),"")</f>
        <v>0</v>
      </c>
      <c r="BM1297" t="str" cm="1">
        <f t="array" ref="BM1297">_xlfn.IFS(LEFT(G1297,1)="L","外注品",LEFT(G1297,1)="W","内製品",G1297="","購買品")</f>
        <v>内製品</v>
      </c>
    </row>
    <row r="1298" spans="1:65">
      <c r="A1298" t="str">
        <f t="shared" si="203"/>
        <v>WG01</v>
      </c>
      <c r="B1298" t="s">
        <v>1436</v>
      </c>
      <c r="C1298" t="s">
        <v>1542</v>
      </c>
      <c r="D1298" s="7"/>
      <c r="E1298" s="7"/>
      <c r="G1298" t="s">
        <v>1939</v>
      </c>
      <c r="H1298" t="str" cm="1">
        <f t="array" ref="H1298">IFERROR(_xlfn.IFS(B1298="","",AND(B1298="",G1298=""),"",G1298="","記載要"),"")</f>
        <v/>
      </c>
      <c r="K1298" t="str">
        <f t="shared" si="204"/>
        <v>11WP01008846</v>
      </c>
      <c r="L1298" s="3" t="str">
        <f t="shared" si="205"/>
        <v>2001/01/01</v>
      </c>
      <c r="M1298" s="3" t="str">
        <f t="shared" si="206"/>
        <v>2199/12/31</v>
      </c>
      <c r="N1298" t="str">
        <f t="shared" si="207"/>
        <v>11WP01008846</v>
      </c>
      <c r="O1298">
        <v>15</v>
      </c>
      <c r="Q1298" t="str" cm="1">
        <f t="array" ref="Q1298">_xlfn.IFS(AND(C1298="",G1298=""),"",LEFT(G1298,1)="L","記載要",LEFT(G1298,1)="W","",AND(C1298,G1298=""),"記載要")</f>
        <v/>
      </c>
      <c r="R1298" s="21" t="str">
        <f t="shared" si="212"/>
        <v/>
      </c>
      <c r="S1298" s="21"/>
      <c r="Z1298" s="8"/>
      <c r="AA1298">
        <v>1</v>
      </c>
      <c r="AB1298">
        <f t="shared" si="208"/>
        <v>0</v>
      </c>
      <c r="AC1298">
        <v>1</v>
      </c>
      <c r="AF1298">
        <v>1</v>
      </c>
      <c r="AG1298" s="8"/>
      <c r="AH1298" s="8"/>
      <c r="AK1298" cm="1">
        <f t="array" ref="AK1298">_xlfn.IFS(B1298="","",LEFT(G1298,1)="L",1,LEFT(G1298,1)="W",1,AND(LEFT(B1298,1)="H",G1298=""),0)</f>
        <v>1</v>
      </c>
      <c r="AS1298" t="str">
        <f t="shared" si="209"/>
        <v/>
      </c>
      <c r="AT1298" t="s">
        <v>115</v>
      </c>
      <c r="AU1298" t="str">
        <f t="shared" si="210"/>
        <v>0</v>
      </c>
      <c r="BD1298" t="str">
        <f t="shared" si="211"/>
        <v>0</v>
      </c>
      <c r="BK1298" t="str">
        <f>IFERROR(VLOOKUP(B1298,'[1]model_S-フレーム'!$F$5:$R$7000,13,1),"")</f>
        <v>E388254A_01</v>
      </c>
      <c r="BL1298" s="7">
        <f>IFERROR(VLOOKUP(B1298,'[1]model_S-フレーム'!$F$5:$V$7000,17,1),"")</f>
        <v>0</v>
      </c>
      <c r="BM1298" t="str" cm="1">
        <f t="array" ref="BM1298">_xlfn.IFS(LEFT(G1298,1)="L","外注品",LEFT(G1298,1)="W","内製品",G1298="","購買品")</f>
        <v>内製品</v>
      </c>
    </row>
    <row r="1299" spans="1:65">
      <c r="A1299" t="str">
        <f t="shared" si="203"/>
        <v>WG01</v>
      </c>
      <c r="B1299" t="s">
        <v>1437</v>
      </c>
      <c r="C1299" t="s">
        <v>1542</v>
      </c>
      <c r="D1299" s="7"/>
      <c r="E1299" s="7"/>
      <c r="G1299" t="s">
        <v>1939</v>
      </c>
      <c r="H1299" t="str" cm="1">
        <f t="array" ref="H1299">IFERROR(_xlfn.IFS(B1299="","",AND(B1299="",G1299=""),"",G1299="","記載要"),"")</f>
        <v/>
      </c>
      <c r="K1299" t="str">
        <f t="shared" si="204"/>
        <v>11WP01008847</v>
      </c>
      <c r="L1299" s="3" t="str">
        <f t="shared" si="205"/>
        <v>2001/01/01</v>
      </c>
      <c r="M1299" s="3" t="str">
        <f t="shared" si="206"/>
        <v>2199/12/31</v>
      </c>
      <c r="N1299" t="str">
        <f t="shared" si="207"/>
        <v>11WP01008847</v>
      </c>
      <c r="O1299">
        <v>15</v>
      </c>
      <c r="Q1299" t="str" cm="1">
        <f t="array" ref="Q1299">_xlfn.IFS(AND(C1299="",G1299=""),"",LEFT(G1299,1)="L","記載要",LEFT(G1299,1)="W","",AND(C1299,G1299=""),"記載要")</f>
        <v/>
      </c>
      <c r="R1299" s="21" t="str">
        <f t="shared" si="212"/>
        <v/>
      </c>
      <c r="S1299" s="21"/>
      <c r="Z1299" s="8"/>
      <c r="AA1299">
        <v>1</v>
      </c>
      <c r="AB1299">
        <f t="shared" si="208"/>
        <v>0</v>
      </c>
      <c r="AC1299">
        <v>1</v>
      </c>
      <c r="AF1299">
        <v>1</v>
      </c>
      <c r="AG1299" s="8"/>
      <c r="AH1299" s="8"/>
      <c r="AK1299" cm="1">
        <f t="array" ref="AK1299">_xlfn.IFS(B1299="","",LEFT(G1299,1)="L",1,LEFT(G1299,1)="W",1,AND(LEFT(B1299,1)="H",G1299=""),0)</f>
        <v>1</v>
      </c>
      <c r="AS1299" t="str">
        <f t="shared" si="209"/>
        <v/>
      </c>
      <c r="AT1299" t="s">
        <v>115</v>
      </c>
      <c r="AU1299" t="str">
        <f t="shared" si="210"/>
        <v>0</v>
      </c>
      <c r="BD1299" t="str">
        <f t="shared" si="211"/>
        <v>0</v>
      </c>
      <c r="BK1299" t="str">
        <f>IFERROR(VLOOKUP(B1299,'[1]model_S-フレーム'!$F$5:$R$7000,13,1),"")</f>
        <v>E388254A_01</v>
      </c>
      <c r="BL1299" s="7">
        <f>IFERROR(VLOOKUP(B1299,'[1]model_S-フレーム'!$F$5:$V$7000,17,1),"")</f>
        <v>0</v>
      </c>
      <c r="BM1299" t="str" cm="1">
        <f t="array" ref="BM1299">_xlfn.IFS(LEFT(G1299,1)="L","外注品",LEFT(G1299,1)="W","内製品",G1299="","購買品")</f>
        <v>内製品</v>
      </c>
    </row>
    <row r="1300" spans="1:65">
      <c r="A1300" t="str">
        <f t="shared" si="203"/>
        <v>WG01</v>
      </c>
      <c r="B1300" t="s">
        <v>1438</v>
      </c>
      <c r="C1300" t="s">
        <v>1542</v>
      </c>
      <c r="D1300" s="7"/>
      <c r="E1300" s="7"/>
      <c r="G1300" t="s">
        <v>1939</v>
      </c>
      <c r="H1300" t="str" cm="1">
        <f t="array" ref="H1300">IFERROR(_xlfn.IFS(B1300="","",AND(B1300="",G1300=""),"",G1300="","記載要"),"")</f>
        <v/>
      </c>
      <c r="K1300" t="str">
        <f t="shared" si="204"/>
        <v>11WP01008848</v>
      </c>
      <c r="L1300" s="3" t="str">
        <f t="shared" si="205"/>
        <v>2001/01/01</v>
      </c>
      <c r="M1300" s="3" t="str">
        <f t="shared" si="206"/>
        <v>2199/12/31</v>
      </c>
      <c r="N1300" t="str">
        <f t="shared" si="207"/>
        <v>11WP01008848</v>
      </c>
      <c r="O1300">
        <v>15</v>
      </c>
      <c r="Q1300" t="str" cm="1">
        <f t="array" ref="Q1300">_xlfn.IFS(AND(C1300="",G1300=""),"",LEFT(G1300,1)="L","記載要",LEFT(G1300,1)="W","",AND(C1300,G1300=""),"記載要")</f>
        <v/>
      </c>
      <c r="R1300" s="21" t="str">
        <f t="shared" si="212"/>
        <v/>
      </c>
      <c r="S1300" s="21"/>
      <c r="Z1300" s="8"/>
      <c r="AA1300">
        <v>1</v>
      </c>
      <c r="AB1300">
        <f t="shared" si="208"/>
        <v>0</v>
      </c>
      <c r="AC1300">
        <v>1</v>
      </c>
      <c r="AF1300">
        <v>1</v>
      </c>
      <c r="AG1300" s="8"/>
      <c r="AH1300" s="8"/>
      <c r="AK1300" cm="1">
        <f t="array" ref="AK1300">_xlfn.IFS(B1300="","",LEFT(G1300,1)="L",1,LEFT(G1300,1)="W",1,AND(LEFT(B1300,1)="H",G1300=""),0)</f>
        <v>1</v>
      </c>
      <c r="AS1300" t="str">
        <f t="shared" si="209"/>
        <v/>
      </c>
      <c r="AT1300" t="s">
        <v>115</v>
      </c>
      <c r="AU1300" t="str">
        <f t="shared" si="210"/>
        <v>0</v>
      </c>
      <c r="BD1300" t="str">
        <f t="shared" si="211"/>
        <v>0</v>
      </c>
      <c r="BK1300" t="str">
        <f>IFERROR(VLOOKUP(B1300,'[1]model_S-フレーム'!$F$5:$R$7000,13,1),"")</f>
        <v>E388254A_01</v>
      </c>
      <c r="BL1300" s="7">
        <f>IFERROR(VLOOKUP(B1300,'[1]model_S-フレーム'!$F$5:$V$7000,17,1),"")</f>
        <v>0</v>
      </c>
      <c r="BM1300" t="str" cm="1">
        <f t="array" ref="BM1300">_xlfn.IFS(LEFT(G1300,1)="L","外注品",LEFT(G1300,1)="W","内製品",G1300="","購買品")</f>
        <v>内製品</v>
      </c>
    </row>
    <row r="1301" spans="1:65">
      <c r="A1301" t="str">
        <f t="shared" si="203"/>
        <v>WG01</v>
      </c>
      <c r="B1301" t="s">
        <v>1439</v>
      </c>
      <c r="C1301" t="s">
        <v>1542</v>
      </c>
      <c r="D1301" s="7"/>
      <c r="E1301" s="7"/>
      <c r="G1301" t="s">
        <v>1939</v>
      </c>
      <c r="H1301" t="str" cm="1">
        <f t="array" ref="H1301">IFERROR(_xlfn.IFS(B1301="","",AND(B1301="",G1301=""),"",G1301="","記載要"),"")</f>
        <v/>
      </c>
      <c r="K1301" t="str">
        <f t="shared" si="204"/>
        <v>11WP01008849</v>
      </c>
      <c r="L1301" s="3" t="str">
        <f t="shared" si="205"/>
        <v>2001/01/01</v>
      </c>
      <c r="M1301" s="3" t="str">
        <f t="shared" si="206"/>
        <v>2199/12/31</v>
      </c>
      <c r="N1301" t="str">
        <f t="shared" si="207"/>
        <v>11WP01008849</v>
      </c>
      <c r="O1301">
        <v>15</v>
      </c>
      <c r="Q1301" t="str" cm="1">
        <f t="array" ref="Q1301">_xlfn.IFS(AND(C1301="",G1301=""),"",LEFT(G1301,1)="L","記載要",LEFT(G1301,1)="W","",AND(C1301,G1301=""),"記載要")</f>
        <v/>
      </c>
      <c r="R1301" s="21" t="str">
        <f t="shared" si="212"/>
        <v/>
      </c>
      <c r="S1301" s="21"/>
      <c r="Z1301" s="8"/>
      <c r="AA1301">
        <v>1</v>
      </c>
      <c r="AB1301">
        <f t="shared" si="208"/>
        <v>0</v>
      </c>
      <c r="AC1301">
        <v>1</v>
      </c>
      <c r="AF1301">
        <v>1</v>
      </c>
      <c r="AG1301" s="8"/>
      <c r="AH1301" s="8"/>
      <c r="AK1301" cm="1">
        <f t="array" ref="AK1301">_xlfn.IFS(B1301="","",LEFT(G1301,1)="L",1,LEFT(G1301,1)="W",1,AND(LEFT(B1301,1)="H",G1301=""),0)</f>
        <v>1</v>
      </c>
      <c r="AS1301" t="str">
        <f t="shared" si="209"/>
        <v/>
      </c>
      <c r="AT1301" t="s">
        <v>115</v>
      </c>
      <c r="AU1301" t="str">
        <f t="shared" si="210"/>
        <v>0</v>
      </c>
      <c r="BD1301" t="str">
        <f t="shared" si="211"/>
        <v>0</v>
      </c>
      <c r="BK1301" t="str">
        <f>IFERROR(VLOOKUP(B1301,'[1]model_S-フレーム'!$F$5:$R$7000,13,1),"")</f>
        <v>E388254A_01</v>
      </c>
      <c r="BL1301" s="7">
        <f>IFERROR(VLOOKUP(B1301,'[1]model_S-フレーム'!$F$5:$V$7000,17,1),"")</f>
        <v>0</v>
      </c>
      <c r="BM1301" t="str" cm="1">
        <f t="array" ref="BM1301">_xlfn.IFS(LEFT(G1301,1)="L","外注品",LEFT(G1301,1)="W","内製品",G1301="","購買品")</f>
        <v>内製品</v>
      </c>
    </row>
    <row r="1302" spans="1:65">
      <c r="A1302" t="str">
        <f t="shared" si="203"/>
        <v>WG01</v>
      </c>
      <c r="B1302" t="s">
        <v>1440</v>
      </c>
      <c r="C1302" t="s">
        <v>1542</v>
      </c>
      <c r="D1302" s="7"/>
      <c r="E1302" s="7"/>
      <c r="G1302" t="s">
        <v>1939</v>
      </c>
      <c r="H1302" t="str" cm="1">
        <f t="array" ref="H1302">IFERROR(_xlfn.IFS(B1302="","",AND(B1302="",G1302=""),"",G1302="","記載要"),"")</f>
        <v/>
      </c>
      <c r="K1302" t="str">
        <f t="shared" si="204"/>
        <v>11WP01008850</v>
      </c>
      <c r="L1302" s="3" t="str">
        <f t="shared" si="205"/>
        <v>2001/01/01</v>
      </c>
      <c r="M1302" s="3" t="str">
        <f t="shared" si="206"/>
        <v>2199/12/31</v>
      </c>
      <c r="N1302" t="str">
        <f t="shared" si="207"/>
        <v>11WP01008850</v>
      </c>
      <c r="O1302">
        <v>15</v>
      </c>
      <c r="Q1302" t="str" cm="1">
        <f t="array" ref="Q1302">_xlfn.IFS(AND(C1302="",G1302=""),"",LEFT(G1302,1)="L","記載要",LEFT(G1302,1)="W","",AND(C1302,G1302=""),"記載要")</f>
        <v/>
      </c>
      <c r="R1302" s="21" t="str">
        <f t="shared" si="212"/>
        <v/>
      </c>
      <c r="S1302" s="21"/>
      <c r="Z1302" s="8"/>
      <c r="AA1302">
        <v>1</v>
      </c>
      <c r="AB1302">
        <f t="shared" si="208"/>
        <v>0</v>
      </c>
      <c r="AC1302">
        <v>1</v>
      </c>
      <c r="AF1302">
        <v>1</v>
      </c>
      <c r="AG1302" s="8"/>
      <c r="AH1302" s="8"/>
      <c r="AK1302" cm="1">
        <f t="array" ref="AK1302">_xlfn.IFS(B1302="","",LEFT(G1302,1)="L",1,LEFT(G1302,1)="W",1,AND(LEFT(B1302,1)="H",G1302=""),0)</f>
        <v>1</v>
      </c>
      <c r="AS1302" t="str">
        <f t="shared" si="209"/>
        <v/>
      </c>
      <c r="AT1302" t="s">
        <v>115</v>
      </c>
      <c r="AU1302" t="str">
        <f t="shared" si="210"/>
        <v>0</v>
      </c>
      <c r="BD1302" t="str">
        <f t="shared" si="211"/>
        <v>0</v>
      </c>
      <c r="BK1302" t="str">
        <f>IFERROR(VLOOKUP(B1302,'[1]model_S-フレーム'!$F$5:$R$7000,13,1),"")</f>
        <v>E388254A_01</v>
      </c>
      <c r="BL1302" s="7">
        <f>IFERROR(VLOOKUP(B1302,'[1]model_S-フレーム'!$F$5:$V$7000,17,1),"")</f>
        <v>0</v>
      </c>
      <c r="BM1302" t="str" cm="1">
        <f t="array" ref="BM1302">_xlfn.IFS(LEFT(G1302,1)="L","外注品",LEFT(G1302,1)="W","内製品",G1302="","購買品")</f>
        <v>内製品</v>
      </c>
    </row>
    <row r="1303" spans="1:65">
      <c r="A1303" t="str">
        <f t="shared" si="203"/>
        <v>WG01</v>
      </c>
      <c r="B1303" t="s">
        <v>1441</v>
      </c>
      <c r="C1303" t="s">
        <v>1542</v>
      </c>
      <c r="D1303" s="7"/>
      <c r="E1303" s="7"/>
      <c r="G1303" t="s">
        <v>1939</v>
      </c>
      <c r="H1303" t="str" cm="1">
        <f t="array" ref="H1303">IFERROR(_xlfn.IFS(B1303="","",AND(B1303="",G1303=""),"",G1303="","記載要"),"")</f>
        <v/>
      </c>
      <c r="K1303" t="str">
        <f t="shared" si="204"/>
        <v>11WP01008851</v>
      </c>
      <c r="L1303" s="3" t="str">
        <f t="shared" si="205"/>
        <v>2001/01/01</v>
      </c>
      <c r="M1303" s="3" t="str">
        <f t="shared" si="206"/>
        <v>2199/12/31</v>
      </c>
      <c r="N1303" t="str">
        <f t="shared" si="207"/>
        <v>11WP01008851</v>
      </c>
      <c r="O1303">
        <v>15</v>
      </c>
      <c r="Q1303" t="str" cm="1">
        <f t="array" ref="Q1303">_xlfn.IFS(AND(C1303="",G1303=""),"",LEFT(G1303,1)="L","記載要",LEFT(G1303,1)="W","",AND(C1303,G1303=""),"記載要")</f>
        <v/>
      </c>
      <c r="R1303" s="21" t="str">
        <f t="shared" si="212"/>
        <v/>
      </c>
      <c r="S1303" s="21"/>
      <c r="Z1303" s="8"/>
      <c r="AA1303">
        <v>1</v>
      </c>
      <c r="AB1303">
        <f t="shared" si="208"/>
        <v>0</v>
      </c>
      <c r="AC1303">
        <v>1</v>
      </c>
      <c r="AF1303">
        <v>1</v>
      </c>
      <c r="AG1303" s="8"/>
      <c r="AH1303" s="8"/>
      <c r="AK1303" cm="1">
        <f t="array" ref="AK1303">_xlfn.IFS(B1303="","",LEFT(G1303,1)="L",1,LEFT(G1303,1)="W",1,AND(LEFT(B1303,1)="H",G1303=""),0)</f>
        <v>1</v>
      </c>
      <c r="AS1303" t="str">
        <f t="shared" si="209"/>
        <v/>
      </c>
      <c r="AT1303" t="s">
        <v>115</v>
      </c>
      <c r="AU1303" t="str">
        <f t="shared" si="210"/>
        <v>0</v>
      </c>
      <c r="BD1303" t="str">
        <f t="shared" si="211"/>
        <v>0</v>
      </c>
      <c r="BK1303" t="str">
        <f>IFERROR(VLOOKUP(B1303,'[1]model_S-フレーム'!$F$5:$R$7000,13,1),"")</f>
        <v>E388254A_01</v>
      </c>
      <c r="BL1303" s="7">
        <f>IFERROR(VLOOKUP(B1303,'[1]model_S-フレーム'!$F$5:$V$7000,17,1),"")</f>
        <v>0</v>
      </c>
      <c r="BM1303" t="str" cm="1">
        <f t="array" ref="BM1303">_xlfn.IFS(LEFT(G1303,1)="L","外注品",LEFT(G1303,1)="W","内製品",G1303="","購買品")</f>
        <v>内製品</v>
      </c>
    </row>
    <row r="1304" spans="1:65">
      <c r="A1304" t="str">
        <f t="shared" si="203"/>
        <v>WG01</v>
      </c>
      <c r="B1304" t="s">
        <v>1442</v>
      </c>
      <c r="C1304" t="s">
        <v>1542</v>
      </c>
      <c r="D1304" s="7"/>
      <c r="E1304" s="7"/>
      <c r="G1304" t="s">
        <v>1939</v>
      </c>
      <c r="H1304" t="str" cm="1">
        <f t="array" ref="H1304">IFERROR(_xlfn.IFS(B1304="","",AND(B1304="",G1304=""),"",G1304="","記載要"),"")</f>
        <v/>
      </c>
      <c r="K1304" t="str">
        <f t="shared" si="204"/>
        <v>11WP01008852</v>
      </c>
      <c r="L1304" s="3" t="str">
        <f t="shared" si="205"/>
        <v>2001/01/01</v>
      </c>
      <c r="M1304" s="3" t="str">
        <f t="shared" si="206"/>
        <v>2199/12/31</v>
      </c>
      <c r="N1304" t="str">
        <f t="shared" si="207"/>
        <v>11WP01008852</v>
      </c>
      <c r="O1304">
        <v>15</v>
      </c>
      <c r="Q1304" t="str" cm="1">
        <f t="array" ref="Q1304">_xlfn.IFS(AND(C1304="",G1304=""),"",LEFT(G1304,1)="L","記載要",LEFT(G1304,1)="W","",AND(C1304,G1304=""),"記載要")</f>
        <v/>
      </c>
      <c r="R1304" s="21" t="str">
        <f t="shared" si="212"/>
        <v/>
      </c>
      <c r="S1304" s="21"/>
      <c r="Z1304" s="8"/>
      <c r="AA1304">
        <v>1</v>
      </c>
      <c r="AB1304">
        <f t="shared" si="208"/>
        <v>0</v>
      </c>
      <c r="AC1304">
        <v>1</v>
      </c>
      <c r="AF1304">
        <v>1</v>
      </c>
      <c r="AG1304" s="8"/>
      <c r="AH1304" s="8"/>
      <c r="AK1304" cm="1">
        <f t="array" ref="AK1304">_xlfn.IFS(B1304="","",LEFT(G1304,1)="L",1,LEFT(G1304,1)="W",1,AND(LEFT(B1304,1)="H",G1304=""),0)</f>
        <v>1</v>
      </c>
      <c r="AS1304" t="str">
        <f t="shared" si="209"/>
        <v/>
      </c>
      <c r="AT1304" t="s">
        <v>115</v>
      </c>
      <c r="AU1304" t="str">
        <f t="shared" si="210"/>
        <v>0</v>
      </c>
      <c r="BD1304" t="str">
        <f t="shared" si="211"/>
        <v>0</v>
      </c>
      <c r="BK1304" t="str">
        <f>IFERROR(VLOOKUP(B1304,'[1]model_S-フレーム'!$F$5:$R$7000,13,1),"")</f>
        <v>E388254A_01</v>
      </c>
      <c r="BL1304" s="7">
        <f>IFERROR(VLOOKUP(B1304,'[1]model_S-フレーム'!$F$5:$V$7000,17,1),"")</f>
        <v>0</v>
      </c>
      <c r="BM1304" t="str" cm="1">
        <f t="array" ref="BM1304">_xlfn.IFS(LEFT(G1304,1)="L","外注品",LEFT(G1304,1)="W","内製品",G1304="","購買品")</f>
        <v>内製品</v>
      </c>
    </row>
    <row r="1305" spans="1:65" s="13" customFormat="1">
      <c r="A1305" t="str">
        <f t="shared" si="203"/>
        <v>WG01</v>
      </c>
      <c r="B1305" t="s">
        <v>1443</v>
      </c>
      <c r="C1305" t="s">
        <v>1543</v>
      </c>
      <c r="D1305" s="7"/>
      <c r="E1305" s="7"/>
      <c r="F1305"/>
      <c r="G1305"/>
      <c r="H1305">
        <v>27616</v>
      </c>
      <c r="I1305"/>
      <c r="J1305"/>
      <c r="K1305" t="str">
        <f t="shared" si="204"/>
        <v/>
      </c>
      <c r="L1305" s="3" t="str">
        <f t="shared" si="205"/>
        <v>2001/01/01</v>
      </c>
      <c r="M1305" s="3" t="str">
        <f t="shared" si="206"/>
        <v>2199/12/31</v>
      </c>
      <c r="N1305" t="str">
        <f t="shared" si="207"/>
        <v/>
      </c>
      <c r="O1305" t="str">
        <f>IF(G1305="","","記載要")</f>
        <v/>
      </c>
      <c r="P1305"/>
      <c r="Q1305">
        <v>15</v>
      </c>
      <c r="R1305" s="21">
        <v>100000000</v>
      </c>
      <c r="S1305" s="21" t="str" cm="1">
        <f t="array" ref="S1305">_xlfn.IFS(LEFT(G1305,1)="L","記載要",LEFT(G1305,1)="W","記載要",G1305="","")</f>
        <v/>
      </c>
      <c r="T1305"/>
      <c r="U1305"/>
      <c r="V1305"/>
      <c r="W1305"/>
      <c r="X1305"/>
      <c r="Y1305"/>
      <c r="Z1305" s="8"/>
      <c r="AA1305" s="8">
        <v>1</v>
      </c>
      <c r="AB1305">
        <f t="shared" si="208"/>
        <v>0</v>
      </c>
      <c r="AC1305" s="8">
        <v>1</v>
      </c>
      <c r="AD1305"/>
      <c r="AE1305"/>
      <c r="AF1305">
        <v>1</v>
      </c>
      <c r="AG1305" s="8"/>
      <c r="AH1305" s="8"/>
      <c r="AI1305"/>
      <c r="AJ1305"/>
      <c r="AK1305" cm="1">
        <f t="array" ref="AK1305">_xlfn.IFS(B1305="","",LEFT(G1305,1)="L",1,LEFT(G1305,1)="W",1,AND(LEFT(B1305,1)="H",G1305=""),0)</f>
        <v>0</v>
      </c>
      <c r="AL1305"/>
      <c r="AM1305"/>
      <c r="AN1305"/>
      <c r="AO1305"/>
      <c r="AP1305"/>
      <c r="AQ1305"/>
      <c r="AR1305"/>
      <c r="AS1305">
        <f t="shared" si="209"/>
        <v>1</v>
      </c>
      <c r="AT1305" t="s">
        <v>115</v>
      </c>
      <c r="AU1305" t="str">
        <f t="shared" si="210"/>
        <v>0</v>
      </c>
      <c r="AV1305"/>
      <c r="AW1305"/>
      <c r="AX1305"/>
      <c r="AY1305"/>
      <c r="AZ1305"/>
      <c r="BA1305"/>
      <c r="BB1305"/>
      <c r="BC1305"/>
      <c r="BD1305" t="str">
        <f t="shared" si="211"/>
        <v>0</v>
      </c>
      <c r="BE1305"/>
      <c r="BF1305"/>
      <c r="BG1305"/>
      <c r="BH1305"/>
      <c r="BI1305"/>
      <c r="BJ1305"/>
      <c r="BK1305" s="13" t="str">
        <f>IFERROR(VLOOKUP(B1305,'[1]model_S-フレーム'!$F$5:$R$7000,13,1),"")</f>
        <v>E388254A_01</v>
      </c>
      <c r="BL1305" s="14">
        <f>IFERROR(VLOOKUP(B1305,'[1]model_S-フレーム'!$F$5:$V$7000,17,1),"")</f>
        <v>0</v>
      </c>
      <c r="BM1305" s="13" t="str" cm="1">
        <f t="array" ref="BM1305">_xlfn.IFS(LEFT(G1305,1)="L","外注品",LEFT(G1305,1)="W","内製品",G1305="","購買品")</f>
        <v>購買品</v>
      </c>
    </row>
    <row r="1306" spans="1:65" s="13" customFormat="1">
      <c r="A1306" t="str">
        <f t="shared" si="203"/>
        <v>WG01</v>
      </c>
      <c r="B1306" t="s">
        <v>1443</v>
      </c>
      <c r="C1306" t="s">
        <v>1543</v>
      </c>
      <c r="D1306" s="7"/>
      <c r="E1306" s="7"/>
      <c r="F1306"/>
      <c r="G1306"/>
      <c r="H1306">
        <v>43453</v>
      </c>
      <c r="I1306"/>
      <c r="J1306"/>
      <c r="K1306" t="str">
        <f t="shared" si="204"/>
        <v/>
      </c>
      <c r="L1306" s="3" t="str">
        <f t="shared" si="205"/>
        <v>2001/01/01</v>
      </c>
      <c r="M1306" s="3" t="str">
        <f t="shared" si="206"/>
        <v>2199/12/31</v>
      </c>
      <c r="N1306" t="str">
        <f t="shared" si="207"/>
        <v/>
      </c>
      <c r="O1306" t="str">
        <f>IF(G1306="","","記載要")</f>
        <v/>
      </c>
      <c r="P1306"/>
      <c r="Q1306">
        <v>15</v>
      </c>
      <c r="R1306" s="21">
        <v>100000000</v>
      </c>
      <c r="S1306" s="21" t="str" cm="1">
        <f t="array" ref="S1306">_xlfn.IFS(LEFT(G1306,1)="L","記載要",LEFT(G1306,1)="W","記載要",G1306="","")</f>
        <v/>
      </c>
      <c r="T1306"/>
      <c r="U1306"/>
      <c r="V1306"/>
      <c r="W1306"/>
      <c r="X1306"/>
      <c r="Y1306"/>
      <c r="Z1306" s="8"/>
      <c r="AA1306" s="8">
        <v>1</v>
      </c>
      <c r="AB1306">
        <f t="shared" si="208"/>
        <v>0</v>
      </c>
      <c r="AC1306" s="8">
        <v>1</v>
      </c>
      <c r="AD1306"/>
      <c r="AE1306"/>
      <c r="AF1306">
        <v>0</v>
      </c>
      <c r="AG1306" s="8"/>
      <c r="AH1306" s="8"/>
      <c r="AI1306"/>
      <c r="AJ1306"/>
      <c r="AK1306" cm="1">
        <f t="array" ref="AK1306">_xlfn.IFS(B1306="","",LEFT(G1306,1)="L",1,LEFT(G1306,1)="W",1,AND(LEFT(B1306,1)="H",G1306=""),0)</f>
        <v>0</v>
      </c>
      <c r="AL1306"/>
      <c r="AM1306"/>
      <c r="AN1306"/>
      <c r="AO1306"/>
      <c r="AP1306"/>
      <c r="AQ1306"/>
      <c r="AR1306"/>
      <c r="AS1306">
        <f t="shared" si="209"/>
        <v>1</v>
      </c>
      <c r="AT1306" t="s">
        <v>115</v>
      </c>
      <c r="AU1306" t="str">
        <f t="shared" si="210"/>
        <v>0</v>
      </c>
      <c r="AV1306"/>
      <c r="AW1306"/>
      <c r="AX1306"/>
      <c r="AY1306"/>
      <c r="AZ1306"/>
      <c r="BA1306"/>
      <c r="BB1306"/>
      <c r="BC1306"/>
      <c r="BD1306" t="str">
        <f t="shared" si="211"/>
        <v>0</v>
      </c>
      <c r="BE1306"/>
      <c r="BF1306"/>
      <c r="BG1306"/>
      <c r="BH1306"/>
      <c r="BI1306"/>
      <c r="BJ1306"/>
      <c r="BK1306" s="13" t="str">
        <f>IFERROR(VLOOKUP(B1306,'[1]model_S-フレーム'!$F$5:$R$7000,13,1),"")</f>
        <v>E388254A_01</v>
      </c>
      <c r="BL1306" s="14">
        <f>IFERROR(VLOOKUP(B1306,'[1]model_S-フレーム'!$F$5:$V$7000,17,1),"")</f>
        <v>0</v>
      </c>
      <c r="BM1306" s="13" t="str" cm="1">
        <f t="array" ref="BM1306">_xlfn.IFS(LEFT(G1306,1)="L","外注品",LEFT(G1306,1)="W","内製品",G1306="","購買品")</f>
        <v>購買品</v>
      </c>
    </row>
    <row r="1307" spans="1:65" s="13" customFormat="1">
      <c r="A1307" t="str">
        <f t="shared" si="203"/>
        <v>WG01</v>
      </c>
      <c r="B1307" t="s">
        <v>1443</v>
      </c>
      <c r="C1307" t="s">
        <v>1543</v>
      </c>
      <c r="D1307" s="7"/>
      <c r="E1307" s="7"/>
      <c r="F1307"/>
      <c r="G1307"/>
      <c r="H1307">
        <v>47081</v>
      </c>
      <c r="I1307"/>
      <c r="J1307"/>
      <c r="K1307" t="str">
        <f t="shared" si="204"/>
        <v/>
      </c>
      <c r="L1307" s="3" t="str">
        <f t="shared" si="205"/>
        <v>2001/01/01</v>
      </c>
      <c r="M1307" s="3" t="str">
        <f t="shared" si="206"/>
        <v>2199/12/31</v>
      </c>
      <c r="N1307" t="str">
        <f t="shared" si="207"/>
        <v/>
      </c>
      <c r="O1307" t="str">
        <f>IF(G1307="","","記載要")</f>
        <v/>
      </c>
      <c r="P1307"/>
      <c r="Q1307">
        <v>15</v>
      </c>
      <c r="R1307" s="21">
        <v>100000000</v>
      </c>
      <c r="S1307" s="21" t="str" cm="1">
        <f t="array" ref="S1307">_xlfn.IFS(LEFT(G1307,1)="L","記載要",LEFT(G1307,1)="W","記載要",G1307="","")</f>
        <v/>
      </c>
      <c r="T1307"/>
      <c r="U1307"/>
      <c r="V1307"/>
      <c r="W1307"/>
      <c r="X1307"/>
      <c r="Y1307"/>
      <c r="Z1307" s="8"/>
      <c r="AA1307" s="8">
        <v>1</v>
      </c>
      <c r="AB1307">
        <f t="shared" si="208"/>
        <v>0</v>
      </c>
      <c r="AC1307" s="8">
        <v>1</v>
      </c>
      <c r="AD1307"/>
      <c r="AE1307"/>
      <c r="AF1307">
        <v>0</v>
      </c>
      <c r="AG1307" s="8"/>
      <c r="AH1307" s="8"/>
      <c r="AI1307"/>
      <c r="AJ1307"/>
      <c r="AK1307" cm="1">
        <f t="array" ref="AK1307">_xlfn.IFS(B1307="","",LEFT(G1307,1)="L",1,LEFT(G1307,1)="W",1,AND(LEFT(B1307,1)="H",G1307=""),0)</f>
        <v>0</v>
      </c>
      <c r="AL1307"/>
      <c r="AM1307"/>
      <c r="AN1307"/>
      <c r="AO1307"/>
      <c r="AP1307"/>
      <c r="AQ1307"/>
      <c r="AR1307"/>
      <c r="AS1307">
        <f t="shared" si="209"/>
        <v>1</v>
      </c>
      <c r="AT1307" t="s">
        <v>115</v>
      </c>
      <c r="AU1307" t="str">
        <f t="shared" si="210"/>
        <v>0</v>
      </c>
      <c r="AV1307"/>
      <c r="AW1307"/>
      <c r="AX1307"/>
      <c r="AY1307"/>
      <c r="AZ1307"/>
      <c r="BA1307"/>
      <c r="BB1307"/>
      <c r="BC1307"/>
      <c r="BD1307" t="str">
        <f t="shared" si="211"/>
        <v>0</v>
      </c>
      <c r="BE1307"/>
      <c r="BF1307"/>
      <c r="BG1307"/>
      <c r="BH1307"/>
      <c r="BI1307"/>
      <c r="BJ1307"/>
      <c r="BK1307" s="13" t="str">
        <f>IFERROR(VLOOKUP(B1307,'[1]model_S-フレーム'!$F$5:$R$7000,13,1),"")</f>
        <v>E388254A_01</v>
      </c>
      <c r="BL1307" s="14">
        <f>IFERROR(VLOOKUP(B1307,'[1]model_S-フレーム'!$F$5:$V$7000,17,1),"")</f>
        <v>0</v>
      </c>
      <c r="BM1307" s="13" t="str" cm="1">
        <f t="array" ref="BM1307">_xlfn.IFS(LEFT(G1307,1)="L","外注品",LEFT(G1307,1)="W","内製品",G1307="","購買品")</f>
        <v>購買品</v>
      </c>
    </row>
    <row r="1308" spans="1:65">
      <c r="A1308" t="str">
        <f t="shared" si="203"/>
        <v>WG01</v>
      </c>
      <c r="B1308" t="s">
        <v>1443</v>
      </c>
      <c r="C1308" t="s">
        <v>1543</v>
      </c>
      <c r="D1308" s="7"/>
      <c r="E1308" s="7"/>
      <c r="H1308" s="19" t="s">
        <v>1937</v>
      </c>
      <c r="K1308" t="str">
        <f t="shared" si="204"/>
        <v/>
      </c>
      <c r="L1308" s="3" t="str">
        <f t="shared" si="205"/>
        <v>2001/01/01</v>
      </c>
      <c r="M1308" s="3" t="str">
        <f t="shared" si="206"/>
        <v>2199/12/31</v>
      </c>
      <c r="N1308" t="str">
        <f t="shared" si="207"/>
        <v/>
      </c>
      <c r="O1308" t="str">
        <f>IF(G1308="","","記載要")</f>
        <v/>
      </c>
      <c r="Q1308">
        <v>15</v>
      </c>
      <c r="R1308" s="21">
        <v>100000000</v>
      </c>
      <c r="S1308" s="21" t="str" cm="1">
        <f t="array" ref="S1308">_xlfn.IFS(LEFT(G1308,1)="L","記載要",LEFT(G1308,1)="W","記載要",G1308="","")</f>
        <v/>
      </c>
      <c r="Z1308" s="8"/>
      <c r="AA1308" s="8">
        <v>1</v>
      </c>
      <c r="AB1308">
        <f t="shared" si="208"/>
        <v>0</v>
      </c>
      <c r="AC1308" s="8">
        <v>1</v>
      </c>
      <c r="AF1308">
        <v>0</v>
      </c>
      <c r="AG1308" s="8"/>
      <c r="AH1308" s="8"/>
      <c r="AK1308" cm="1">
        <f t="array" ref="AK1308">_xlfn.IFS(B1308="","",LEFT(G1308,1)="L",1,LEFT(G1308,1)="W",1,AND(LEFT(B1308,1)="H",G1308=""),0)</f>
        <v>0</v>
      </c>
      <c r="AS1308">
        <f t="shared" si="209"/>
        <v>1</v>
      </c>
      <c r="AT1308" t="s">
        <v>115</v>
      </c>
      <c r="AU1308" t="str">
        <f t="shared" si="210"/>
        <v>0</v>
      </c>
      <c r="BD1308" t="str">
        <f t="shared" si="211"/>
        <v>0</v>
      </c>
      <c r="BK1308" t="str">
        <f>IFERROR(VLOOKUP(B1308,'[1]model_S-フレーム'!$F$5:$R$7000,13,1),"")</f>
        <v>E388254A_01</v>
      </c>
      <c r="BL1308" s="7">
        <f>IFERROR(VLOOKUP(B1308,'[1]model_S-フレーム'!$F$5:$V$7000,17,1),"")</f>
        <v>0</v>
      </c>
      <c r="BM1308" t="str" cm="1">
        <f t="array" ref="BM1308">_xlfn.IFS(LEFT(G1308,1)="L","外注品",LEFT(G1308,1)="W","内製品",G1308="","購買品")</f>
        <v>購買品</v>
      </c>
    </row>
    <row r="1309" spans="1:65">
      <c r="A1309" t="str">
        <f t="shared" si="203"/>
        <v>WG01</v>
      </c>
      <c r="B1309" t="s">
        <v>1444</v>
      </c>
      <c r="C1309" t="s">
        <v>1542</v>
      </c>
      <c r="D1309" s="7"/>
      <c r="E1309" s="7"/>
      <c r="G1309" t="s">
        <v>1939</v>
      </c>
      <c r="H1309" t="str" cm="1">
        <f t="array" ref="H1309">IFERROR(_xlfn.IFS(B1309="","",AND(B1309="",G1309=""),"",G1309="","記載要"),"")</f>
        <v/>
      </c>
      <c r="K1309" t="str">
        <f t="shared" si="204"/>
        <v>11WP01008854</v>
      </c>
      <c r="L1309" s="3" t="str">
        <f t="shared" si="205"/>
        <v>2001/01/01</v>
      </c>
      <c r="M1309" s="3" t="str">
        <f t="shared" si="206"/>
        <v>2199/12/31</v>
      </c>
      <c r="N1309" t="str">
        <f t="shared" si="207"/>
        <v>11WP01008854</v>
      </c>
      <c r="O1309">
        <v>15</v>
      </c>
      <c r="Q1309" t="str" cm="1">
        <f t="array" ref="Q1309">_xlfn.IFS(AND(C1309="",G1309=""),"",LEFT(G1309,1)="L","記載要",LEFT(G1309,1)="W","",AND(C1309,G1309=""),"記載要")</f>
        <v/>
      </c>
      <c r="R1309" s="21" t="str">
        <f t="shared" si="212"/>
        <v/>
      </c>
      <c r="S1309" s="21"/>
      <c r="Z1309" s="8"/>
      <c r="AA1309">
        <v>1</v>
      </c>
      <c r="AB1309">
        <f t="shared" si="208"/>
        <v>0</v>
      </c>
      <c r="AC1309">
        <v>1</v>
      </c>
      <c r="AF1309">
        <v>1</v>
      </c>
      <c r="AG1309" s="8"/>
      <c r="AH1309" s="8"/>
      <c r="AK1309" cm="1">
        <f t="array" ref="AK1309">_xlfn.IFS(B1309="","",LEFT(G1309,1)="L",1,LEFT(G1309,1)="W",1,AND(LEFT(B1309,1)="H",G1309=""),0)</f>
        <v>1</v>
      </c>
      <c r="AS1309" t="str">
        <f t="shared" si="209"/>
        <v/>
      </c>
      <c r="AT1309" t="s">
        <v>115</v>
      </c>
      <c r="AU1309" t="str">
        <f t="shared" si="210"/>
        <v>0</v>
      </c>
      <c r="BD1309" t="str">
        <f t="shared" si="211"/>
        <v>0</v>
      </c>
      <c r="BK1309" t="str">
        <f>IFERROR(VLOOKUP(B1309,'[1]model_S-フレーム'!$F$5:$R$7000,13,1),"")</f>
        <v>E388254B_01</v>
      </c>
      <c r="BL1309" s="7">
        <f>IFERROR(VLOOKUP(B1309,'[1]model_S-フレーム'!$F$5:$V$7000,17,1),"")</f>
        <v>0</v>
      </c>
      <c r="BM1309" t="str" cm="1">
        <f t="array" ref="BM1309">_xlfn.IFS(LEFT(G1309,1)="L","外注品",LEFT(G1309,1)="W","内製品",G1309="","購買品")</f>
        <v>内製品</v>
      </c>
    </row>
    <row r="1310" spans="1:65">
      <c r="A1310" t="str">
        <f t="shared" si="203"/>
        <v>WG01</v>
      </c>
      <c r="B1310" t="s">
        <v>1445</v>
      </c>
      <c r="C1310" t="s">
        <v>1542</v>
      </c>
      <c r="D1310" s="7"/>
      <c r="E1310" s="7"/>
      <c r="G1310" t="s">
        <v>1939</v>
      </c>
      <c r="H1310" t="str" cm="1">
        <f t="array" ref="H1310">IFERROR(_xlfn.IFS(B1310="","",AND(B1310="",G1310=""),"",G1310="","記載要"),"")</f>
        <v/>
      </c>
      <c r="K1310" t="str">
        <f t="shared" si="204"/>
        <v>11WP01008855</v>
      </c>
      <c r="L1310" s="3" t="str">
        <f t="shared" si="205"/>
        <v>2001/01/01</v>
      </c>
      <c r="M1310" s="3" t="str">
        <f t="shared" si="206"/>
        <v>2199/12/31</v>
      </c>
      <c r="N1310" t="str">
        <f t="shared" si="207"/>
        <v>11WP01008855</v>
      </c>
      <c r="O1310">
        <v>15</v>
      </c>
      <c r="Q1310" t="str" cm="1">
        <f t="array" ref="Q1310">_xlfn.IFS(AND(C1310="",G1310=""),"",LEFT(G1310,1)="L","記載要",LEFT(G1310,1)="W","",AND(C1310,G1310=""),"記載要")</f>
        <v/>
      </c>
      <c r="R1310" s="21" t="str">
        <f t="shared" si="212"/>
        <v/>
      </c>
      <c r="S1310" s="21"/>
      <c r="Z1310" s="8"/>
      <c r="AA1310">
        <v>1</v>
      </c>
      <c r="AB1310">
        <f t="shared" si="208"/>
        <v>0</v>
      </c>
      <c r="AC1310">
        <v>1</v>
      </c>
      <c r="AF1310">
        <v>1</v>
      </c>
      <c r="AG1310" s="8"/>
      <c r="AH1310" s="8"/>
      <c r="AK1310" cm="1">
        <f t="array" ref="AK1310">_xlfn.IFS(B1310="","",LEFT(G1310,1)="L",1,LEFT(G1310,1)="W",1,AND(LEFT(B1310,1)="H",G1310=""),0)</f>
        <v>1</v>
      </c>
      <c r="AS1310" t="str">
        <f t="shared" si="209"/>
        <v/>
      </c>
      <c r="AT1310" t="s">
        <v>115</v>
      </c>
      <c r="AU1310" t="str">
        <f t="shared" si="210"/>
        <v>0</v>
      </c>
      <c r="BD1310" t="str">
        <f t="shared" si="211"/>
        <v>0</v>
      </c>
      <c r="BK1310" t="str">
        <f>IFERROR(VLOOKUP(B1310,'[1]model_S-フレーム'!$F$5:$R$7000,13,1),"")</f>
        <v>E388254B_01</v>
      </c>
      <c r="BL1310" s="7">
        <f>IFERROR(VLOOKUP(B1310,'[1]model_S-フレーム'!$F$5:$V$7000,17,1),"")</f>
        <v>0</v>
      </c>
      <c r="BM1310" t="str" cm="1">
        <f t="array" ref="BM1310">_xlfn.IFS(LEFT(G1310,1)="L","外注品",LEFT(G1310,1)="W","内製品",G1310="","購買品")</f>
        <v>内製品</v>
      </c>
    </row>
    <row r="1311" spans="1:65">
      <c r="A1311" t="str">
        <f t="shared" si="203"/>
        <v>WG01</v>
      </c>
      <c r="B1311" t="s">
        <v>1446</v>
      </c>
      <c r="C1311" t="s">
        <v>1542</v>
      </c>
      <c r="D1311" s="7"/>
      <c r="E1311" s="7"/>
      <c r="G1311" t="s">
        <v>1939</v>
      </c>
      <c r="H1311" t="str" cm="1">
        <f t="array" ref="H1311">IFERROR(_xlfn.IFS(B1311="","",AND(B1311="",G1311=""),"",G1311="","記載要"),"")</f>
        <v/>
      </c>
      <c r="K1311" t="str">
        <f t="shared" si="204"/>
        <v>11WP01008856</v>
      </c>
      <c r="L1311" s="3" t="str">
        <f t="shared" si="205"/>
        <v>2001/01/01</v>
      </c>
      <c r="M1311" s="3" t="str">
        <f t="shared" si="206"/>
        <v>2199/12/31</v>
      </c>
      <c r="N1311" t="str">
        <f t="shared" si="207"/>
        <v>11WP01008856</v>
      </c>
      <c r="O1311">
        <v>15</v>
      </c>
      <c r="Q1311" t="str" cm="1">
        <f t="array" ref="Q1311">_xlfn.IFS(AND(C1311="",G1311=""),"",LEFT(G1311,1)="L","記載要",LEFT(G1311,1)="W","",AND(C1311,G1311=""),"記載要")</f>
        <v/>
      </c>
      <c r="R1311" s="21" t="str">
        <f t="shared" si="212"/>
        <v/>
      </c>
      <c r="S1311" s="21"/>
      <c r="Z1311" s="8"/>
      <c r="AA1311">
        <v>1</v>
      </c>
      <c r="AB1311">
        <f t="shared" si="208"/>
        <v>0</v>
      </c>
      <c r="AC1311">
        <v>1</v>
      </c>
      <c r="AF1311">
        <v>1</v>
      </c>
      <c r="AG1311" s="8"/>
      <c r="AH1311" s="8"/>
      <c r="AK1311" cm="1">
        <f t="array" ref="AK1311">_xlfn.IFS(B1311="","",LEFT(G1311,1)="L",1,LEFT(G1311,1)="W",1,AND(LEFT(B1311,1)="H",G1311=""),0)</f>
        <v>1</v>
      </c>
      <c r="AS1311" t="str">
        <f t="shared" si="209"/>
        <v/>
      </c>
      <c r="AT1311" t="s">
        <v>115</v>
      </c>
      <c r="AU1311" t="str">
        <f t="shared" si="210"/>
        <v>0</v>
      </c>
      <c r="BD1311" t="str">
        <f t="shared" si="211"/>
        <v>0</v>
      </c>
      <c r="BK1311" t="str">
        <f>IFERROR(VLOOKUP(B1311,'[1]model_S-フレーム'!$F$5:$R$7000,13,1),"")</f>
        <v>E388254B_01</v>
      </c>
      <c r="BL1311" s="7">
        <f>IFERROR(VLOOKUP(B1311,'[1]model_S-フレーム'!$F$5:$V$7000,17,1),"")</f>
        <v>0</v>
      </c>
      <c r="BM1311" t="str" cm="1">
        <f t="array" ref="BM1311">_xlfn.IFS(LEFT(G1311,1)="L","外注品",LEFT(G1311,1)="W","内製品",G1311="","購買品")</f>
        <v>内製品</v>
      </c>
    </row>
    <row r="1312" spans="1:65">
      <c r="A1312" t="str">
        <f t="shared" si="203"/>
        <v>WG01</v>
      </c>
      <c r="B1312" t="s">
        <v>1447</v>
      </c>
      <c r="C1312" t="s">
        <v>1542</v>
      </c>
      <c r="D1312" s="7"/>
      <c r="E1312" s="7"/>
      <c r="G1312" t="s">
        <v>1939</v>
      </c>
      <c r="H1312" t="str" cm="1">
        <f t="array" ref="H1312">IFERROR(_xlfn.IFS(B1312="","",AND(B1312="",G1312=""),"",G1312="","記載要"),"")</f>
        <v/>
      </c>
      <c r="K1312" t="str">
        <f t="shared" si="204"/>
        <v>11WP01008857</v>
      </c>
      <c r="L1312" s="3" t="str">
        <f t="shared" si="205"/>
        <v>2001/01/01</v>
      </c>
      <c r="M1312" s="3" t="str">
        <f t="shared" si="206"/>
        <v>2199/12/31</v>
      </c>
      <c r="N1312" t="str">
        <f t="shared" si="207"/>
        <v>11WP01008857</v>
      </c>
      <c r="O1312">
        <v>15</v>
      </c>
      <c r="Q1312" t="str" cm="1">
        <f t="array" ref="Q1312">_xlfn.IFS(AND(C1312="",G1312=""),"",LEFT(G1312,1)="L","記載要",LEFT(G1312,1)="W","",AND(C1312,G1312=""),"記載要")</f>
        <v/>
      </c>
      <c r="R1312" s="21" t="str">
        <f t="shared" si="212"/>
        <v/>
      </c>
      <c r="S1312" s="21"/>
      <c r="Z1312" s="8"/>
      <c r="AA1312">
        <v>1</v>
      </c>
      <c r="AB1312">
        <f t="shared" si="208"/>
        <v>0</v>
      </c>
      <c r="AC1312">
        <v>1</v>
      </c>
      <c r="AF1312">
        <v>1</v>
      </c>
      <c r="AG1312" s="8"/>
      <c r="AH1312" s="8"/>
      <c r="AK1312" cm="1">
        <f t="array" ref="AK1312">_xlfn.IFS(B1312="","",LEFT(G1312,1)="L",1,LEFT(G1312,1)="W",1,AND(LEFT(B1312,1)="H",G1312=""),0)</f>
        <v>1</v>
      </c>
      <c r="AS1312" t="str">
        <f t="shared" si="209"/>
        <v/>
      </c>
      <c r="AT1312" t="s">
        <v>115</v>
      </c>
      <c r="AU1312" t="str">
        <f t="shared" si="210"/>
        <v>0</v>
      </c>
      <c r="BD1312" t="str">
        <f t="shared" si="211"/>
        <v>0</v>
      </c>
      <c r="BK1312" t="str">
        <f>IFERROR(VLOOKUP(B1312,'[1]model_S-フレーム'!$F$5:$R$7000,13,1),"")</f>
        <v>E388254B_01</v>
      </c>
      <c r="BL1312" s="7">
        <f>IFERROR(VLOOKUP(B1312,'[1]model_S-フレーム'!$F$5:$V$7000,17,1),"")</f>
        <v>0</v>
      </c>
      <c r="BM1312" t="str" cm="1">
        <f t="array" ref="BM1312">_xlfn.IFS(LEFT(G1312,1)="L","外注品",LEFT(G1312,1)="W","内製品",G1312="","購買品")</f>
        <v>内製品</v>
      </c>
    </row>
    <row r="1313" spans="1:65">
      <c r="A1313" t="str">
        <f t="shared" si="203"/>
        <v>WG01</v>
      </c>
      <c r="B1313" t="s">
        <v>1448</v>
      </c>
      <c r="C1313" t="s">
        <v>1542</v>
      </c>
      <c r="D1313" s="7"/>
      <c r="E1313" s="7"/>
      <c r="G1313" t="s">
        <v>1939</v>
      </c>
      <c r="H1313" t="str" cm="1">
        <f t="array" ref="H1313">IFERROR(_xlfn.IFS(B1313="","",AND(B1313="",G1313=""),"",G1313="","記載要"),"")</f>
        <v/>
      </c>
      <c r="K1313" t="str">
        <f t="shared" si="204"/>
        <v>11WP01008858</v>
      </c>
      <c r="L1313" s="3" t="str">
        <f t="shared" si="205"/>
        <v>2001/01/01</v>
      </c>
      <c r="M1313" s="3" t="str">
        <f t="shared" si="206"/>
        <v>2199/12/31</v>
      </c>
      <c r="N1313" t="str">
        <f t="shared" si="207"/>
        <v>11WP01008858</v>
      </c>
      <c r="O1313">
        <v>15</v>
      </c>
      <c r="Q1313" t="str" cm="1">
        <f t="array" ref="Q1313">_xlfn.IFS(AND(C1313="",G1313=""),"",LEFT(G1313,1)="L","記載要",LEFT(G1313,1)="W","",AND(C1313,G1313=""),"記載要")</f>
        <v/>
      </c>
      <c r="R1313" s="21" t="str">
        <f t="shared" si="212"/>
        <v/>
      </c>
      <c r="S1313" s="21"/>
      <c r="Z1313" s="8"/>
      <c r="AA1313">
        <v>1</v>
      </c>
      <c r="AB1313">
        <f t="shared" si="208"/>
        <v>0</v>
      </c>
      <c r="AC1313">
        <v>1</v>
      </c>
      <c r="AF1313">
        <v>1</v>
      </c>
      <c r="AG1313" s="8"/>
      <c r="AH1313" s="8"/>
      <c r="AK1313" cm="1">
        <f t="array" ref="AK1313">_xlfn.IFS(B1313="","",LEFT(G1313,1)="L",1,LEFT(G1313,1)="W",1,AND(LEFT(B1313,1)="H",G1313=""),0)</f>
        <v>1</v>
      </c>
      <c r="AS1313" t="str">
        <f t="shared" si="209"/>
        <v/>
      </c>
      <c r="AT1313" t="s">
        <v>115</v>
      </c>
      <c r="AU1313" t="str">
        <f t="shared" si="210"/>
        <v>0</v>
      </c>
      <c r="BD1313" t="str">
        <f t="shared" si="211"/>
        <v>0</v>
      </c>
      <c r="BK1313" t="str">
        <f>IFERROR(VLOOKUP(B1313,'[1]model_S-フレーム'!$F$5:$R$7000,13,1),"")</f>
        <v>E388254B_01</v>
      </c>
      <c r="BL1313" s="7">
        <f>IFERROR(VLOOKUP(B1313,'[1]model_S-フレーム'!$F$5:$V$7000,17,1),"")</f>
        <v>0</v>
      </c>
      <c r="BM1313" t="str" cm="1">
        <f t="array" ref="BM1313">_xlfn.IFS(LEFT(G1313,1)="L","外注品",LEFT(G1313,1)="W","内製品",G1313="","購買品")</f>
        <v>内製品</v>
      </c>
    </row>
    <row r="1314" spans="1:65">
      <c r="A1314" t="str">
        <f t="shared" si="203"/>
        <v>WG01</v>
      </c>
      <c r="B1314" t="s">
        <v>1449</v>
      </c>
      <c r="C1314" t="s">
        <v>1542</v>
      </c>
      <c r="D1314" s="7"/>
      <c r="E1314" s="7"/>
      <c r="G1314" t="s">
        <v>1939</v>
      </c>
      <c r="H1314" t="str" cm="1">
        <f t="array" ref="H1314">IFERROR(_xlfn.IFS(B1314="","",AND(B1314="",G1314=""),"",G1314="","記載要"),"")</f>
        <v/>
      </c>
      <c r="K1314" t="str">
        <f t="shared" si="204"/>
        <v>11WP01008859</v>
      </c>
      <c r="L1314" s="3" t="str">
        <f t="shared" si="205"/>
        <v>2001/01/01</v>
      </c>
      <c r="M1314" s="3" t="str">
        <f t="shared" si="206"/>
        <v>2199/12/31</v>
      </c>
      <c r="N1314" t="str">
        <f t="shared" si="207"/>
        <v>11WP01008859</v>
      </c>
      <c r="O1314">
        <v>15</v>
      </c>
      <c r="Q1314" t="str" cm="1">
        <f t="array" ref="Q1314">_xlfn.IFS(AND(C1314="",G1314=""),"",LEFT(G1314,1)="L","記載要",LEFT(G1314,1)="W","",AND(C1314,G1314=""),"記載要")</f>
        <v/>
      </c>
      <c r="R1314" s="21" t="str">
        <f t="shared" si="212"/>
        <v/>
      </c>
      <c r="S1314" s="21"/>
      <c r="Z1314" s="8"/>
      <c r="AA1314">
        <v>1</v>
      </c>
      <c r="AB1314">
        <f t="shared" si="208"/>
        <v>0</v>
      </c>
      <c r="AC1314">
        <v>1</v>
      </c>
      <c r="AF1314">
        <v>1</v>
      </c>
      <c r="AG1314" s="8"/>
      <c r="AH1314" s="8"/>
      <c r="AK1314" cm="1">
        <f t="array" ref="AK1314">_xlfn.IFS(B1314="","",LEFT(G1314,1)="L",1,LEFT(G1314,1)="W",1,AND(LEFT(B1314,1)="H",G1314=""),0)</f>
        <v>1</v>
      </c>
      <c r="AS1314" t="str">
        <f t="shared" si="209"/>
        <v/>
      </c>
      <c r="AT1314" t="s">
        <v>115</v>
      </c>
      <c r="AU1314" t="str">
        <f t="shared" si="210"/>
        <v>0</v>
      </c>
      <c r="BD1314" t="str">
        <f t="shared" si="211"/>
        <v>0</v>
      </c>
      <c r="BK1314" t="str">
        <f>IFERROR(VLOOKUP(B1314,'[1]model_S-フレーム'!$F$5:$R$7000,13,1),"")</f>
        <v>E388254B_01</v>
      </c>
      <c r="BL1314" s="7">
        <f>IFERROR(VLOOKUP(B1314,'[1]model_S-フレーム'!$F$5:$V$7000,17,1),"")</f>
        <v>0</v>
      </c>
      <c r="BM1314" t="str" cm="1">
        <f t="array" ref="BM1314">_xlfn.IFS(LEFT(G1314,1)="L","外注品",LEFT(G1314,1)="W","内製品",G1314="","購買品")</f>
        <v>内製品</v>
      </c>
    </row>
    <row r="1315" spans="1:65">
      <c r="A1315" t="str">
        <f t="shared" si="203"/>
        <v>WG01</v>
      </c>
      <c r="B1315" t="s">
        <v>1450</v>
      </c>
      <c r="C1315" t="s">
        <v>1542</v>
      </c>
      <c r="D1315" s="7"/>
      <c r="E1315" s="7"/>
      <c r="G1315" t="s">
        <v>1939</v>
      </c>
      <c r="H1315" t="str" cm="1">
        <f t="array" ref="H1315">IFERROR(_xlfn.IFS(B1315="","",AND(B1315="",G1315=""),"",G1315="","記載要"),"")</f>
        <v/>
      </c>
      <c r="K1315" t="str">
        <f t="shared" si="204"/>
        <v>11WP01008860</v>
      </c>
      <c r="L1315" s="3" t="str">
        <f t="shared" si="205"/>
        <v>2001/01/01</v>
      </c>
      <c r="M1315" s="3" t="str">
        <f t="shared" si="206"/>
        <v>2199/12/31</v>
      </c>
      <c r="N1315" t="str">
        <f t="shared" si="207"/>
        <v>11WP01008860</v>
      </c>
      <c r="O1315">
        <v>15</v>
      </c>
      <c r="Q1315" t="str" cm="1">
        <f t="array" ref="Q1315">_xlfn.IFS(AND(C1315="",G1315=""),"",LEFT(G1315,1)="L","記載要",LEFT(G1315,1)="W","",AND(C1315,G1315=""),"記載要")</f>
        <v/>
      </c>
      <c r="R1315" s="21" t="str">
        <f t="shared" si="212"/>
        <v/>
      </c>
      <c r="S1315" s="21"/>
      <c r="Z1315" s="8"/>
      <c r="AA1315">
        <v>1</v>
      </c>
      <c r="AB1315">
        <f t="shared" si="208"/>
        <v>0</v>
      </c>
      <c r="AC1315">
        <v>1</v>
      </c>
      <c r="AF1315">
        <v>1</v>
      </c>
      <c r="AG1315" s="8"/>
      <c r="AH1315" s="8"/>
      <c r="AK1315" cm="1">
        <f t="array" ref="AK1315">_xlfn.IFS(B1315="","",LEFT(G1315,1)="L",1,LEFT(G1315,1)="W",1,AND(LEFT(B1315,1)="H",G1315=""),0)</f>
        <v>1</v>
      </c>
      <c r="AS1315" t="str">
        <f t="shared" si="209"/>
        <v/>
      </c>
      <c r="AT1315" t="s">
        <v>115</v>
      </c>
      <c r="AU1315" t="str">
        <f t="shared" si="210"/>
        <v>0</v>
      </c>
      <c r="BD1315" t="str">
        <f t="shared" si="211"/>
        <v>0</v>
      </c>
      <c r="BK1315" t="str">
        <f>IFERROR(VLOOKUP(B1315,'[1]model_S-フレーム'!$F$5:$R$7000,13,1),"")</f>
        <v>E388254B_01</v>
      </c>
      <c r="BL1315" s="7">
        <f>IFERROR(VLOOKUP(B1315,'[1]model_S-フレーム'!$F$5:$V$7000,17,1),"")</f>
        <v>0</v>
      </c>
      <c r="BM1315" t="str" cm="1">
        <f t="array" ref="BM1315">_xlfn.IFS(LEFT(G1315,1)="L","外注品",LEFT(G1315,1)="W","内製品",G1315="","購買品")</f>
        <v>内製品</v>
      </c>
    </row>
    <row r="1316" spans="1:65">
      <c r="A1316" t="str">
        <f t="shared" si="203"/>
        <v>WG01</v>
      </c>
      <c r="B1316" t="s">
        <v>1451</v>
      </c>
      <c r="C1316" t="s">
        <v>1542</v>
      </c>
      <c r="D1316" s="7"/>
      <c r="E1316" s="7"/>
      <c r="G1316" t="s">
        <v>1939</v>
      </c>
      <c r="H1316" t="str" cm="1">
        <f t="array" ref="H1316">IFERROR(_xlfn.IFS(B1316="","",AND(B1316="",G1316=""),"",G1316="","記載要"),"")</f>
        <v/>
      </c>
      <c r="K1316" t="str">
        <f t="shared" si="204"/>
        <v>11WP01008861</v>
      </c>
      <c r="L1316" s="3" t="str">
        <f t="shared" si="205"/>
        <v>2001/01/01</v>
      </c>
      <c r="M1316" s="3" t="str">
        <f t="shared" si="206"/>
        <v>2199/12/31</v>
      </c>
      <c r="N1316" t="str">
        <f t="shared" si="207"/>
        <v>11WP01008861</v>
      </c>
      <c r="O1316">
        <v>15</v>
      </c>
      <c r="Q1316" t="str" cm="1">
        <f t="array" ref="Q1316">_xlfn.IFS(AND(C1316="",G1316=""),"",LEFT(G1316,1)="L","記載要",LEFT(G1316,1)="W","",AND(C1316,G1316=""),"記載要")</f>
        <v/>
      </c>
      <c r="R1316" s="21" t="str">
        <f t="shared" si="212"/>
        <v/>
      </c>
      <c r="S1316" s="21"/>
      <c r="Z1316" s="8"/>
      <c r="AA1316">
        <v>1</v>
      </c>
      <c r="AB1316">
        <f t="shared" si="208"/>
        <v>0</v>
      </c>
      <c r="AC1316">
        <v>1</v>
      </c>
      <c r="AF1316">
        <v>1</v>
      </c>
      <c r="AG1316" s="8"/>
      <c r="AH1316" s="8"/>
      <c r="AK1316" cm="1">
        <f t="array" ref="AK1316">_xlfn.IFS(B1316="","",LEFT(G1316,1)="L",1,LEFT(G1316,1)="W",1,AND(LEFT(B1316,1)="H",G1316=""),0)</f>
        <v>1</v>
      </c>
      <c r="AS1316" t="str">
        <f t="shared" si="209"/>
        <v/>
      </c>
      <c r="AT1316" t="s">
        <v>115</v>
      </c>
      <c r="AU1316" t="str">
        <f t="shared" si="210"/>
        <v>0</v>
      </c>
      <c r="BD1316" t="str">
        <f t="shared" si="211"/>
        <v>0</v>
      </c>
      <c r="BK1316" t="str">
        <f>IFERROR(VLOOKUP(B1316,'[1]model_S-フレーム'!$F$5:$R$7000,13,1),"")</f>
        <v>E388254B_01</v>
      </c>
      <c r="BL1316" s="7">
        <f>IFERROR(VLOOKUP(B1316,'[1]model_S-フレーム'!$F$5:$V$7000,17,1),"")</f>
        <v>0</v>
      </c>
      <c r="BM1316" t="str" cm="1">
        <f t="array" ref="BM1316">_xlfn.IFS(LEFT(G1316,1)="L","外注品",LEFT(G1316,1)="W","内製品",G1316="","購買品")</f>
        <v>内製品</v>
      </c>
    </row>
    <row r="1317" spans="1:65">
      <c r="A1317" t="str">
        <f t="shared" si="203"/>
        <v>WG01</v>
      </c>
      <c r="B1317" t="s">
        <v>1452</v>
      </c>
      <c r="C1317" t="s">
        <v>1542</v>
      </c>
      <c r="D1317" s="7"/>
      <c r="E1317" s="7"/>
      <c r="G1317" t="s">
        <v>1939</v>
      </c>
      <c r="H1317" t="str" cm="1">
        <f t="array" ref="H1317">IFERROR(_xlfn.IFS(B1317="","",AND(B1317="",G1317=""),"",G1317="","記載要"),"")</f>
        <v/>
      </c>
      <c r="K1317" t="str">
        <f t="shared" si="204"/>
        <v>11WP01008862</v>
      </c>
      <c r="L1317" s="3" t="str">
        <f t="shared" si="205"/>
        <v>2001/01/01</v>
      </c>
      <c r="M1317" s="3" t="str">
        <f t="shared" si="206"/>
        <v>2199/12/31</v>
      </c>
      <c r="N1317" t="str">
        <f t="shared" si="207"/>
        <v>11WP01008862</v>
      </c>
      <c r="O1317">
        <v>15</v>
      </c>
      <c r="Q1317" t="str" cm="1">
        <f t="array" ref="Q1317">_xlfn.IFS(AND(C1317="",G1317=""),"",LEFT(G1317,1)="L","記載要",LEFT(G1317,1)="W","",AND(C1317,G1317=""),"記載要")</f>
        <v/>
      </c>
      <c r="R1317" s="21" t="str">
        <f t="shared" si="212"/>
        <v/>
      </c>
      <c r="S1317" s="21"/>
      <c r="Z1317" s="8"/>
      <c r="AA1317">
        <v>1</v>
      </c>
      <c r="AB1317">
        <f t="shared" si="208"/>
        <v>0</v>
      </c>
      <c r="AC1317">
        <v>1</v>
      </c>
      <c r="AF1317">
        <v>1</v>
      </c>
      <c r="AG1317" s="8"/>
      <c r="AH1317" s="8"/>
      <c r="AK1317" cm="1">
        <f t="array" ref="AK1317">_xlfn.IFS(B1317="","",LEFT(G1317,1)="L",1,LEFT(G1317,1)="W",1,AND(LEFT(B1317,1)="H",G1317=""),0)</f>
        <v>1</v>
      </c>
      <c r="AS1317" t="str">
        <f t="shared" si="209"/>
        <v/>
      </c>
      <c r="AT1317" t="s">
        <v>115</v>
      </c>
      <c r="AU1317" t="str">
        <f t="shared" si="210"/>
        <v>0</v>
      </c>
      <c r="BD1317" t="str">
        <f t="shared" si="211"/>
        <v>0</v>
      </c>
      <c r="BK1317" t="str">
        <f>IFERROR(VLOOKUP(B1317,'[1]model_S-フレーム'!$F$5:$R$7000,13,1),"")</f>
        <v>E388254B_01</v>
      </c>
      <c r="BL1317" s="7">
        <f>IFERROR(VLOOKUP(B1317,'[1]model_S-フレーム'!$F$5:$V$7000,17,1),"")</f>
        <v>0</v>
      </c>
      <c r="BM1317" t="str" cm="1">
        <f t="array" ref="BM1317">_xlfn.IFS(LEFT(G1317,1)="L","外注品",LEFT(G1317,1)="W","内製品",G1317="","購買品")</f>
        <v>内製品</v>
      </c>
    </row>
    <row r="1318" spans="1:65">
      <c r="A1318" t="str">
        <f t="shared" si="203"/>
        <v>WG01</v>
      </c>
      <c r="B1318" t="s">
        <v>1453</v>
      </c>
      <c r="C1318" t="s">
        <v>1542</v>
      </c>
      <c r="D1318" s="7"/>
      <c r="E1318" s="7"/>
      <c r="G1318" t="s">
        <v>1939</v>
      </c>
      <c r="H1318" t="str" cm="1">
        <f t="array" ref="H1318">IFERROR(_xlfn.IFS(B1318="","",AND(B1318="",G1318=""),"",G1318="","記載要"),"")</f>
        <v/>
      </c>
      <c r="K1318" t="str">
        <f t="shared" si="204"/>
        <v>11WP01008863</v>
      </c>
      <c r="L1318" s="3" t="str">
        <f t="shared" si="205"/>
        <v>2001/01/01</v>
      </c>
      <c r="M1318" s="3" t="str">
        <f t="shared" si="206"/>
        <v>2199/12/31</v>
      </c>
      <c r="N1318" t="str">
        <f t="shared" si="207"/>
        <v>11WP01008863</v>
      </c>
      <c r="O1318">
        <v>15</v>
      </c>
      <c r="Q1318" t="str" cm="1">
        <f t="array" ref="Q1318">_xlfn.IFS(AND(C1318="",G1318=""),"",LEFT(G1318,1)="L","記載要",LEFT(G1318,1)="W","",AND(C1318,G1318=""),"記載要")</f>
        <v/>
      </c>
      <c r="R1318" s="21" t="str">
        <f t="shared" si="212"/>
        <v/>
      </c>
      <c r="S1318" s="21"/>
      <c r="Z1318" s="8"/>
      <c r="AA1318">
        <v>1</v>
      </c>
      <c r="AB1318">
        <f t="shared" si="208"/>
        <v>0</v>
      </c>
      <c r="AC1318">
        <v>1</v>
      </c>
      <c r="AF1318">
        <v>1</v>
      </c>
      <c r="AG1318" s="8"/>
      <c r="AH1318" s="8"/>
      <c r="AK1318" cm="1">
        <f t="array" ref="AK1318">_xlfn.IFS(B1318="","",LEFT(G1318,1)="L",1,LEFT(G1318,1)="W",1,AND(LEFT(B1318,1)="H",G1318=""),0)</f>
        <v>1</v>
      </c>
      <c r="AS1318" t="str">
        <f t="shared" si="209"/>
        <v/>
      </c>
      <c r="AT1318" t="s">
        <v>115</v>
      </c>
      <c r="AU1318" t="str">
        <f t="shared" si="210"/>
        <v>0</v>
      </c>
      <c r="BD1318" t="str">
        <f t="shared" si="211"/>
        <v>0</v>
      </c>
      <c r="BK1318" t="str">
        <f>IFERROR(VLOOKUP(B1318,'[1]model_S-フレーム'!$F$5:$R$7000,13,1),"")</f>
        <v>E388256A_01</v>
      </c>
      <c r="BL1318" s="7">
        <f>IFERROR(VLOOKUP(B1318,'[1]model_S-フレーム'!$F$5:$V$7000,17,1),"")</f>
        <v>0</v>
      </c>
      <c r="BM1318" t="str" cm="1">
        <f t="array" ref="BM1318">_xlfn.IFS(LEFT(G1318,1)="L","外注品",LEFT(G1318,1)="W","内製品",G1318="","購買品")</f>
        <v>内製品</v>
      </c>
    </row>
    <row r="1319" spans="1:65">
      <c r="A1319" t="str">
        <f t="shared" si="203"/>
        <v>WG01</v>
      </c>
      <c r="B1319" t="s">
        <v>1454</v>
      </c>
      <c r="C1319" t="s">
        <v>1542</v>
      </c>
      <c r="D1319" s="7"/>
      <c r="E1319" s="7"/>
      <c r="G1319" t="s">
        <v>1939</v>
      </c>
      <c r="H1319" t="str" cm="1">
        <f t="array" ref="H1319">IFERROR(_xlfn.IFS(B1319="","",AND(B1319="",G1319=""),"",G1319="","記載要"),"")</f>
        <v/>
      </c>
      <c r="K1319" t="str">
        <f t="shared" si="204"/>
        <v>11WP01008864</v>
      </c>
      <c r="L1319" s="3" t="str">
        <f t="shared" si="205"/>
        <v>2001/01/01</v>
      </c>
      <c r="M1319" s="3" t="str">
        <f t="shared" si="206"/>
        <v>2199/12/31</v>
      </c>
      <c r="N1319" t="str">
        <f t="shared" si="207"/>
        <v>11WP01008864</v>
      </c>
      <c r="O1319">
        <v>15</v>
      </c>
      <c r="Q1319" t="str" cm="1">
        <f t="array" ref="Q1319">_xlfn.IFS(AND(C1319="",G1319=""),"",LEFT(G1319,1)="L","記載要",LEFT(G1319,1)="W","",AND(C1319,G1319=""),"記載要")</f>
        <v/>
      </c>
      <c r="R1319" s="21" t="str">
        <f t="shared" si="212"/>
        <v/>
      </c>
      <c r="S1319" s="21"/>
      <c r="Z1319" s="8"/>
      <c r="AA1319">
        <v>1</v>
      </c>
      <c r="AB1319">
        <f t="shared" si="208"/>
        <v>0</v>
      </c>
      <c r="AC1319">
        <v>1</v>
      </c>
      <c r="AF1319">
        <v>1</v>
      </c>
      <c r="AG1319" s="8"/>
      <c r="AH1319" s="8"/>
      <c r="AK1319" cm="1">
        <f t="array" ref="AK1319">_xlfn.IFS(B1319="","",LEFT(G1319,1)="L",1,LEFT(G1319,1)="W",1,AND(LEFT(B1319,1)="H",G1319=""),0)</f>
        <v>1</v>
      </c>
      <c r="AS1319" t="str">
        <f t="shared" si="209"/>
        <v/>
      </c>
      <c r="AT1319" t="s">
        <v>115</v>
      </c>
      <c r="AU1319" t="str">
        <f t="shared" si="210"/>
        <v>0</v>
      </c>
      <c r="BD1319" t="str">
        <f t="shared" si="211"/>
        <v>0</v>
      </c>
      <c r="BK1319" t="str">
        <f>IFERROR(VLOOKUP(B1319,'[1]model_S-フレーム'!$F$5:$R$7000,13,1),"")</f>
        <v>E388256A_01</v>
      </c>
      <c r="BL1319" s="7">
        <f>IFERROR(VLOOKUP(B1319,'[1]model_S-フレーム'!$F$5:$V$7000,17,1),"")</f>
        <v>0</v>
      </c>
      <c r="BM1319" t="str" cm="1">
        <f t="array" ref="BM1319">_xlfn.IFS(LEFT(G1319,1)="L","外注品",LEFT(G1319,1)="W","内製品",G1319="","購買品")</f>
        <v>内製品</v>
      </c>
    </row>
    <row r="1320" spans="1:65">
      <c r="A1320" t="str">
        <f t="shared" si="203"/>
        <v>WG01</v>
      </c>
      <c r="B1320" t="s">
        <v>1455</v>
      </c>
      <c r="C1320" t="s">
        <v>1542</v>
      </c>
      <c r="D1320" s="7"/>
      <c r="E1320" s="7"/>
      <c r="G1320" t="s">
        <v>1939</v>
      </c>
      <c r="H1320" t="str" cm="1">
        <f t="array" ref="H1320">IFERROR(_xlfn.IFS(B1320="","",AND(B1320="",G1320=""),"",G1320="","記載要"),"")</f>
        <v/>
      </c>
      <c r="K1320" t="str">
        <f t="shared" si="204"/>
        <v>11WP01008865</v>
      </c>
      <c r="L1320" s="3" t="str">
        <f t="shared" si="205"/>
        <v>2001/01/01</v>
      </c>
      <c r="M1320" s="3" t="str">
        <f t="shared" si="206"/>
        <v>2199/12/31</v>
      </c>
      <c r="N1320" t="str">
        <f t="shared" si="207"/>
        <v>11WP01008865</v>
      </c>
      <c r="O1320">
        <v>15</v>
      </c>
      <c r="Q1320" t="str" cm="1">
        <f t="array" ref="Q1320">_xlfn.IFS(AND(C1320="",G1320=""),"",LEFT(G1320,1)="L","記載要",LEFT(G1320,1)="W","",AND(C1320,G1320=""),"記載要")</f>
        <v/>
      </c>
      <c r="R1320" s="21" t="str">
        <f t="shared" si="212"/>
        <v/>
      </c>
      <c r="S1320" s="21"/>
      <c r="Z1320" s="8"/>
      <c r="AA1320">
        <v>1</v>
      </c>
      <c r="AB1320">
        <f t="shared" si="208"/>
        <v>0</v>
      </c>
      <c r="AC1320">
        <v>1</v>
      </c>
      <c r="AF1320">
        <v>1</v>
      </c>
      <c r="AG1320" s="8"/>
      <c r="AH1320" s="8"/>
      <c r="AK1320" cm="1">
        <f t="array" ref="AK1320">_xlfn.IFS(B1320="","",LEFT(G1320,1)="L",1,LEFT(G1320,1)="W",1,AND(LEFT(B1320,1)="H",G1320=""),0)</f>
        <v>1</v>
      </c>
      <c r="AS1320" t="str">
        <f t="shared" si="209"/>
        <v/>
      </c>
      <c r="AT1320" t="s">
        <v>115</v>
      </c>
      <c r="AU1320" t="str">
        <f t="shared" si="210"/>
        <v>0</v>
      </c>
      <c r="BD1320" t="str">
        <f t="shared" si="211"/>
        <v>0</v>
      </c>
      <c r="BK1320" t="str">
        <f>IFERROR(VLOOKUP(B1320,'[1]model_S-フレーム'!$F$5:$R$7000,13,1),"")</f>
        <v>E388256A_01</v>
      </c>
      <c r="BL1320" s="7">
        <f>IFERROR(VLOOKUP(B1320,'[1]model_S-フレーム'!$F$5:$V$7000,17,1),"")</f>
        <v>0</v>
      </c>
      <c r="BM1320" t="str" cm="1">
        <f t="array" ref="BM1320">_xlfn.IFS(LEFT(G1320,1)="L","外注品",LEFT(G1320,1)="W","内製品",G1320="","購買品")</f>
        <v>内製品</v>
      </c>
    </row>
    <row r="1321" spans="1:65">
      <c r="A1321" t="str">
        <f t="shared" si="203"/>
        <v>WG01</v>
      </c>
      <c r="B1321" t="s">
        <v>1456</v>
      </c>
      <c r="C1321" t="s">
        <v>1542</v>
      </c>
      <c r="D1321" s="7"/>
      <c r="E1321" s="7"/>
      <c r="G1321" t="s">
        <v>1939</v>
      </c>
      <c r="H1321" t="str" cm="1">
        <f t="array" ref="H1321">IFERROR(_xlfn.IFS(B1321="","",AND(B1321="",G1321=""),"",G1321="","記載要"),"")</f>
        <v/>
      </c>
      <c r="K1321" t="str">
        <f t="shared" si="204"/>
        <v>11WP01008866</v>
      </c>
      <c r="L1321" s="3" t="str">
        <f t="shared" si="205"/>
        <v>2001/01/01</v>
      </c>
      <c r="M1321" s="3" t="str">
        <f t="shared" si="206"/>
        <v>2199/12/31</v>
      </c>
      <c r="N1321" t="str">
        <f t="shared" si="207"/>
        <v>11WP01008866</v>
      </c>
      <c r="O1321">
        <v>15</v>
      </c>
      <c r="Q1321" t="str" cm="1">
        <f t="array" ref="Q1321">_xlfn.IFS(AND(C1321="",G1321=""),"",LEFT(G1321,1)="L","記載要",LEFT(G1321,1)="W","",AND(C1321,G1321=""),"記載要")</f>
        <v/>
      </c>
      <c r="R1321" s="21" t="str">
        <f t="shared" si="212"/>
        <v/>
      </c>
      <c r="S1321" s="21"/>
      <c r="Z1321" s="8"/>
      <c r="AA1321">
        <v>1</v>
      </c>
      <c r="AB1321">
        <f t="shared" si="208"/>
        <v>0</v>
      </c>
      <c r="AC1321">
        <v>1</v>
      </c>
      <c r="AF1321">
        <v>1</v>
      </c>
      <c r="AG1321" s="8"/>
      <c r="AH1321" s="8"/>
      <c r="AK1321" cm="1">
        <f t="array" ref="AK1321">_xlfn.IFS(B1321="","",LEFT(G1321,1)="L",1,LEFT(G1321,1)="W",1,AND(LEFT(B1321,1)="H",G1321=""),0)</f>
        <v>1</v>
      </c>
      <c r="AS1321" t="str">
        <f t="shared" si="209"/>
        <v/>
      </c>
      <c r="AT1321" t="s">
        <v>115</v>
      </c>
      <c r="AU1321" t="str">
        <f t="shared" si="210"/>
        <v>0</v>
      </c>
      <c r="BD1321" t="str">
        <f t="shared" si="211"/>
        <v>0</v>
      </c>
      <c r="BK1321" t="str">
        <f>IFERROR(VLOOKUP(B1321,'[1]model_S-フレーム'!$F$5:$R$7000,13,1),"")</f>
        <v>E388256A_01</v>
      </c>
      <c r="BL1321" s="7">
        <f>IFERROR(VLOOKUP(B1321,'[1]model_S-フレーム'!$F$5:$V$7000,17,1),"")</f>
        <v>0</v>
      </c>
      <c r="BM1321" t="str" cm="1">
        <f t="array" ref="BM1321">_xlfn.IFS(LEFT(G1321,1)="L","外注品",LEFT(G1321,1)="W","内製品",G1321="","購買品")</f>
        <v>内製品</v>
      </c>
    </row>
    <row r="1322" spans="1:65">
      <c r="A1322" t="str">
        <f t="shared" si="203"/>
        <v>WG01</v>
      </c>
      <c r="B1322" t="s">
        <v>1457</v>
      </c>
      <c r="C1322" t="s">
        <v>1542</v>
      </c>
      <c r="D1322" s="7"/>
      <c r="E1322" s="7"/>
      <c r="G1322" t="s">
        <v>1939</v>
      </c>
      <c r="H1322" t="str" cm="1">
        <f t="array" ref="H1322">IFERROR(_xlfn.IFS(B1322="","",AND(B1322="",G1322=""),"",G1322="","記載要"),"")</f>
        <v/>
      </c>
      <c r="K1322" t="str">
        <f t="shared" si="204"/>
        <v>11WP01008867</v>
      </c>
      <c r="L1322" s="3" t="str">
        <f t="shared" si="205"/>
        <v>2001/01/01</v>
      </c>
      <c r="M1322" s="3" t="str">
        <f t="shared" si="206"/>
        <v>2199/12/31</v>
      </c>
      <c r="N1322" t="str">
        <f t="shared" si="207"/>
        <v>11WP01008867</v>
      </c>
      <c r="O1322">
        <v>15</v>
      </c>
      <c r="Q1322" t="str" cm="1">
        <f t="array" ref="Q1322">_xlfn.IFS(AND(C1322="",G1322=""),"",LEFT(G1322,1)="L","記載要",LEFT(G1322,1)="W","",AND(C1322,G1322=""),"記載要")</f>
        <v/>
      </c>
      <c r="R1322" s="21" t="str">
        <f t="shared" si="212"/>
        <v/>
      </c>
      <c r="S1322" s="21"/>
      <c r="Z1322" s="8"/>
      <c r="AA1322">
        <v>1</v>
      </c>
      <c r="AB1322">
        <f t="shared" si="208"/>
        <v>0</v>
      </c>
      <c r="AC1322">
        <v>1</v>
      </c>
      <c r="AF1322">
        <v>1</v>
      </c>
      <c r="AG1322" s="8"/>
      <c r="AH1322" s="8"/>
      <c r="AK1322" cm="1">
        <f t="array" ref="AK1322">_xlfn.IFS(B1322="","",LEFT(G1322,1)="L",1,LEFT(G1322,1)="W",1,AND(LEFT(B1322,1)="H",G1322=""),0)</f>
        <v>1</v>
      </c>
      <c r="AS1322" t="str">
        <f t="shared" si="209"/>
        <v/>
      </c>
      <c r="AT1322" t="s">
        <v>115</v>
      </c>
      <c r="AU1322" t="str">
        <f t="shared" si="210"/>
        <v>0</v>
      </c>
      <c r="BD1322" t="str">
        <f t="shared" si="211"/>
        <v>0</v>
      </c>
      <c r="BK1322" t="str">
        <f>IFERROR(VLOOKUP(B1322,'[1]model_S-フレーム'!$F$5:$R$7000,13,1),"")</f>
        <v>E388256B_01</v>
      </c>
      <c r="BL1322" s="7">
        <f>IFERROR(VLOOKUP(B1322,'[1]model_S-フレーム'!$F$5:$V$7000,17,1),"")</f>
        <v>0</v>
      </c>
      <c r="BM1322" t="str" cm="1">
        <f t="array" ref="BM1322">_xlfn.IFS(LEFT(G1322,1)="L","外注品",LEFT(G1322,1)="W","内製品",G1322="","購買品")</f>
        <v>内製品</v>
      </c>
    </row>
    <row r="1323" spans="1:65">
      <c r="A1323" t="str">
        <f t="shared" si="203"/>
        <v>WG01</v>
      </c>
      <c r="B1323" t="s">
        <v>1458</v>
      </c>
      <c r="C1323" t="s">
        <v>1542</v>
      </c>
      <c r="D1323" s="7"/>
      <c r="E1323" s="7"/>
      <c r="G1323" t="s">
        <v>1939</v>
      </c>
      <c r="H1323" t="str" cm="1">
        <f t="array" ref="H1323">IFERROR(_xlfn.IFS(B1323="","",AND(B1323="",G1323=""),"",G1323="","記載要"),"")</f>
        <v/>
      </c>
      <c r="K1323" t="str">
        <f t="shared" si="204"/>
        <v>11WP01008868</v>
      </c>
      <c r="L1323" s="3" t="str">
        <f t="shared" si="205"/>
        <v>2001/01/01</v>
      </c>
      <c r="M1323" s="3" t="str">
        <f t="shared" si="206"/>
        <v>2199/12/31</v>
      </c>
      <c r="N1323" t="str">
        <f t="shared" si="207"/>
        <v>11WP01008868</v>
      </c>
      <c r="O1323">
        <v>15</v>
      </c>
      <c r="Q1323" t="str" cm="1">
        <f t="array" ref="Q1323">_xlfn.IFS(AND(C1323="",G1323=""),"",LEFT(G1323,1)="L","記載要",LEFT(G1323,1)="W","",AND(C1323,G1323=""),"記載要")</f>
        <v/>
      </c>
      <c r="R1323" s="21" t="str">
        <f t="shared" si="212"/>
        <v/>
      </c>
      <c r="S1323" s="21"/>
      <c r="Z1323" s="8"/>
      <c r="AA1323">
        <v>1</v>
      </c>
      <c r="AB1323">
        <f t="shared" si="208"/>
        <v>0</v>
      </c>
      <c r="AC1323">
        <v>1</v>
      </c>
      <c r="AF1323">
        <v>1</v>
      </c>
      <c r="AG1323" s="8"/>
      <c r="AH1323" s="8"/>
      <c r="AK1323" cm="1">
        <f t="array" ref="AK1323">_xlfn.IFS(B1323="","",LEFT(G1323,1)="L",1,LEFT(G1323,1)="W",1,AND(LEFT(B1323,1)="H",G1323=""),0)</f>
        <v>1</v>
      </c>
      <c r="AS1323" t="str">
        <f t="shared" si="209"/>
        <v/>
      </c>
      <c r="AT1323" t="s">
        <v>115</v>
      </c>
      <c r="AU1323" t="str">
        <f t="shared" si="210"/>
        <v>0</v>
      </c>
      <c r="BD1323" t="str">
        <f t="shared" si="211"/>
        <v>0</v>
      </c>
      <c r="BK1323" t="str">
        <f>IFERROR(VLOOKUP(B1323,'[1]model_S-フレーム'!$F$5:$R$7000,13,1),"")</f>
        <v>E388256B_01</v>
      </c>
      <c r="BL1323" s="7">
        <f>IFERROR(VLOOKUP(B1323,'[1]model_S-フレーム'!$F$5:$V$7000,17,1),"")</f>
        <v>0</v>
      </c>
      <c r="BM1323" t="str" cm="1">
        <f t="array" ref="BM1323">_xlfn.IFS(LEFT(G1323,1)="L","外注品",LEFT(G1323,1)="W","内製品",G1323="","購買品")</f>
        <v>内製品</v>
      </c>
    </row>
    <row r="1324" spans="1:65">
      <c r="A1324" t="str">
        <f t="shared" si="203"/>
        <v>WG01</v>
      </c>
      <c r="B1324" t="s">
        <v>1459</v>
      </c>
      <c r="C1324" t="s">
        <v>1542</v>
      </c>
      <c r="D1324" s="7"/>
      <c r="E1324" s="7"/>
      <c r="G1324" t="s">
        <v>1939</v>
      </c>
      <c r="H1324" t="str" cm="1">
        <f t="array" ref="H1324">IFERROR(_xlfn.IFS(B1324="","",AND(B1324="",G1324=""),"",G1324="","記載要"),"")</f>
        <v/>
      </c>
      <c r="K1324" t="str">
        <f t="shared" si="204"/>
        <v>11WP01008869</v>
      </c>
      <c r="L1324" s="3" t="str">
        <f t="shared" si="205"/>
        <v>2001/01/01</v>
      </c>
      <c r="M1324" s="3" t="str">
        <f t="shared" si="206"/>
        <v>2199/12/31</v>
      </c>
      <c r="N1324" t="str">
        <f t="shared" si="207"/>
        <v>11WP01008869</v>
      </c>
      <c r="O1324">
        <v>15</v>
      </c>
      <c r="Q1324" t="str" cm="1">
        <f t="array" ref="Q1324">_xlfn.IFS(AND(C1324="",G1324=""),"",LEFT(G1324,1)="L","記載要",LEFT(G1324,1)="W","",AND(C1324,G1324=""),"記載要")</f>
        <v/>
      </c>
      <c r="R1324" s="21" t="str">
        <f t="shared" si="212"/>
        <v/>
      </c>
      <c r="S1324" s="21"/>
      <c r="Z1324" s="8"/>
      <c r="AA1324">
        <v>1</v>
      </c>
      <c r="AB1324">
        <f t="shared" si="208"/>
        <v>0</v>
      </c>
      <c r="AC1324">
        <v>1</v>
      </c>
      <c r="AF1324">
        <v>1</v>
      </c>
      <c r="AG1324" s="8"/>
      <c r="AH1324" s="8"/>
      <c r="AK1324" cm="1">
        <f t="array" ref="AK1324">_xlfn.IFS(B1324="","",LEFT(G1324,1)="L",1,LEFT(G1324,1)="W",1,AND(LEFT(B1324,1)="H",G1324=""),0)</f>
        <v>1</v>
      </c>
      <c r="AS1324" t="str">
        <f t="shared" si="209"/>
        <v/>
      </c>
      <c r="AT1324" t="s">
        <v>115</v>
      </c>
      <c r="AU1324" t="str">
        <f t="shared" si="210"/>
        <v>0</v>
      </c>
      <c r="BD1324" t="str">
        <f t="shared" si="211"/>
        <v>0</v>
      </c>
      <c r="BK1324" t="str">
        <f>IFERROR(VLOOKUP(B1324,'[1]model_S-フレーム'!$F$5:$R$7000,13,1),"")</f>
        <v>E388256B_01</v>
      </c>
      <c r="BL1324" s="7">
        <f>IFERROR(VLOOKUP(B1324,'[1]model_S-フレーム'!$F$5:$V$7000,17,1),"")</f>
        <v>0</v>
      </c>
      <c r="BM1324" t="str" cm="1">
        <f t="array" ref="BM1324">_xlfn.IFS(LEFT(G1324,1)="L","外注品",LEFT(G1324,1)="W","内製品",G1324="","購買品")</f>
        <v>内製品</v>
      </c>
    </row>
    <row r="1325" spans="1:65">
      <c r="A1325" t="str">
        <f t="shared" si="203"/>
        <v>WG01</v>
      </c>
      <c r="B1325" t="s">
        <v>1460</v>
      </c>
      <c r="C1325" t="s">
        <v>1542</v>
      </c>
      <c r="D1325" s="7"/>
      <c r="E1325" s="7"/>
      <c r="G1325" t="s">
        <v>1939</v>
      </c>
      <c r="H1325" t="str" cm="1">
        <f t="array" ref="H1325">IFERROR(_xlfn.IFS(B1325="","",AND(B1325="",G1325=""),"",G1325="","記載要"),"")</f>
        <v/>
      </c>
      <c r="K1325" t="str">
        <f t="shared" si="204"/>
        <v>11WP01008870</v>
      </c>
      <c r="L1325" s="3" t="str">
        <f t="shared" si="205"/>
        <v>2001/01/01</v>
      </c>
      <c r="M1325" s="3" t="str">
        <f t="shared" si="206"/>
        <v>2199/12/31</v>
      </c>
      <c r="N1325" t="str">
        <f t="shared" si="207"/>
        <v>11WP01008870</v>
      </c>
      <c r="O1325">
        <v>15</v>
      </c>
      <c r="Q1325" t="str" cm="1">
        <f t="array" ref="Q1325">_xlfn.IFS(AND(C1325="",G1325=""),"",LEFT(G1325,1)="L","記載要",LEFT(G1325,1)="W","",AND(C1325,G1325=""),"記載要")</f>
        <v/>
      </c>
      <c r="R1325" s="21" t="str">
        <f t="shared" si="212"/>
        <v/>
      </c>
      <c r="S1325" s="21"/>
      <c r="Z1325" s="8"/>
      <c r="AA1325">
        <v>1</v>
      </c>
      <c r="AB1325">
        <f t="shared" si="208"/>
        <v>0</v>
      </c>
      <c r="AC1325">
        <v>1</v>
      </c>
      <c r="AF1325">
        <v>1</v>
      </c>
      <c r="AG1325" s="8"/>
      <c r="AH1325" s="8"/>
      <c r="AK1325" cm="1">
        <f t="array" ref="AK1325">_xlfn.IFS(B1325="","",LEFT(G1325,1)="L",1,LEFT(G1325,1)="W",1,AND(LEFT(B1325,1)="H",G1325=""),0)</f>
        <v>1</v>
      </c>
      <c r="AS1325" t="str">
        <f t="shared" si="209"/>
        <v/>
      </c>
      <c r="AT1325" t="s">
        <v>115</v>
      </c>
      <c r="AU1325" t="str">
        <f t="shared" si="210"/>
        <v>0</v>
      </c>
      <c r="BD1325" t="str">
        <f t="shared" si="211"/>
        <v>0</v>
      </c>
      <c r="BK1325" t="str">
        <f>IFERROR(VLOOKUP(B1325,'[1]model_S-フレーム'!$F$5:$R$7000,13,1),"")</f>
        <v>E388256B_01</v>
      </c>
      <c r="BL1325" s="7">
        <f>IFERROR(VLOOKUP(B1325,'[1]model_S-フレーム'!$F$5:$V$7000,17,1),"")</f>
        <v>0</v>
      </c>
      <c r="BM1325" t="str" cm="1">
        <f t="array" ref="BM1325">_xlfn.IFS(LEFT(G1325,1)="L","外注品",LEFT(G1325,1)="W","内製品",G1325="","購買品")</f>
        <v>内製品</v>
      </c>
    </row>
    <row r="1326" spans="1:65">
      <c r="A1326" t="str">
        <f t="shared" si="203"/>
        <v>WG01</v>
      </c>
      <c r="B1326" t="s">
        <v>1461</v>
      </c>
      <c r="C1326" t="s">
        <v>1544</v>
      </c>
      <c r="D1326" s="7"/>
      <c r="E1326" s="7"/>
      <c r="G1326" t="s">
        <v>1939</v>
      </c>
      <c r="H1326" t="str" cm="1">
        <f t="array" ref="H1326">IFERROR(_xlfn.IFS(B1326="","",AND(B1326="",G1326=""),"",G1326="","記載要"),"")</f>
        <v/>
      </c>
      <c r="K1326" t="str">
        <f t="shared" si="204"/>
        <v>11WP01071757</v>
      </c>
      <c r="L1326" s="3" t="str">
        <f t="shared" si="205"/>
        <v>2001/01/01</v>
      </c>
      <c r="M1326" s="3" t="str">
        <f t="shared" si="206"/>
        <v>2199/12/31</v>
      </c>
      <c r="N1326" t="str">
        <f t="shared" si="207"/>
        <v>11WP01071757</v>
      </c>
      <c r="O1326">
        <v>15</v>
      </c>
      <c r="Q1326" t="str" cm="1">
        <f t="array" ref="Q1326">_xlfn.IFS(AND(C1326="",G1326=""),"",LEFT(G1326,1)="L","記載要",LEFT(G1326,1)="W","",AND(C1326,G1326=""),"記載要")</f>
        <v/>
      </c>
      <c r="R1326" s="21" t="str">
        <f t="shared" si="212"/>
        <v/>
      </c>
      <c r="S1326" s="21"/>
      <c r="Z1326" s="8"/>
      <c r="AA1326">
        <v>1</v>
      </c>
      <c r="AB1326">
        <f t="shared" si="208"/>
        <v>0</v>
      </c>
      <c r="AC1326">
        <v>1</v>
      </c>
      <c r="AF1326">
        <v>1</v>
      </c>
      <c r="AG1326" s="8"/>
      <c r="AH1326" s="8"/>
      <c r="AK1326" cm="1">
        <f t="array" ref="AK1326">_xlfn.IFS(B1326="","",LEFT(G1326,1)="L",1,LEFT(G1326,1)="W",1,AND(LEFT(B1326,1)="H",G1326=""),0)</f>
        <v>1</v>
      </c>
      <c r="AS1326" t="str">
        <f t="shared" si="209"/>
        <v/>
      </c>
      <c r="AT1326" t="s">
        <v>115</v>
      </c>
      <c r="AU1326" t="str">
        <f t="shared" si="210"/>
        <v>0</v>
      </c>
      <c r="BD1326" t="str">
        <f t="shared" si="211"/>
        <v>0</v>
      </c>
      <c r="BK1326" t="str">
        <f>IFERROR(VLOOKUP(B1326,'[1]model_S-フレーム'!$F$5:$R$7000,13,1),"")</f>
        <v>E388305_01</v>
      </c>
      <c r="BL1326" s="7">
        <f>IFERROR(VLOOKUP(B1326,'[1]model_S-フレーム'!$F$5:$V$7000,17,1),"")</f>
        <v>0</v>
      </c>
      <c r="BM1326" t="str" cm="1">
        <f t="array" ref="BM1326">_xlfn.IFS(LEFT(G1326,1)="L","外注品",LEFT(G1326,1)="W","内製品",G1326="","購買品")</f>
        <v>内製品</v>
      </c>
    </row>
    <row r="1327" spans="1:65">
      <c r="A1327" t="str">
        <f t="shared" si="203"/>
        <v>WG01</v>
      </c>
      <c r="B1327" t="s">
        <v>1462</v>
      </c>
      <c r="C1327" t="s">
        <v>1544</v>
      </c>
      <c r="D1327" s="7"/>
      <c r="E1327" s="7"/>
      <c r="G1327" t="s">
        <v>1939</v>
      </c>
      <c r="H1327" t="str" cm="1">
        <f t="array" ref="H1327">IFERROR(_xlfn.IFS(B1327="","",AND(B1327="",G1327=""),"",G1327="","記載要"),"")</f>
        <v/>
      </c>
      <c r="K1327" t="str">
        <f t="shared" si="204"/>
        <v>11WP01071758</v>
      </c>
      <c r="L1327" s="3" t="str">
        <f t="shared" si="205"/>
        <v>2001/01/01</v>
      </c>
      <c r="M1327" s="3" t="str">
        <f t="shared" si="206"/>
        <v>2199/12/31</v>
      </c>
      <c r="N1327" t="str">
        <f t="shared" si="207"/>
        <v>11WP01071758</v>
      </c>
      <c r="O1327">
        <v>15</v>
      </c>
      <c r="Q1327" t="str" cm="1">
        <f t="array" ref="Q1327">_xlfn.IFS(AND(C1327="",G1327=""),"",LEFT(G1327,1)="L","記載要",LEFT(G1327,1)="W","",AND(C1327,G1327=""),"記載要")</f>
        <v/>
      </c>
      <c r="R1327" s="21" t="str">
        <f t="shared" si="212"/>
        <v/>
      </c>
      <c r="S1327" s="21"/>
      <c r="Z1327" s="8"/>
      <c r="AA1327">
        <v>1</v>
      </c>
      <c r="AB1327">
        <f t="shared" si="208"/>
        <v>0</v>
      </c>
      <c r="AC1327">
        <v>1</v>
      </c>
      <c r="AF1327">
        <v>1</v>
      </c>
      <c r="AG1327" s="8"/>
      <c r="AH1327" s="8"/>
      <c r="AK1327" cm="1">
        <f t="array" ref="AK1327">_xlfn.IFS(B1327="","",LEFT(G1327,1)="L",1,LEFT(G1327,1)="W",1,AND(LEFT(B1327,1)="H",G1327=""),0)</f>
        <v>1</v>
      </c>
      <c r="AS1327" t="str">
        <f t="shared" si="209"/>
        <v/>
      </c>
      <c r="AT1327" t="s">
        <v>115</v>
      </c>
      <c r="AU1327" t="str">
        <f t="shared" si="210"/>
        <v>0</v>
      </c>
      <c r="BD1327" t="str">
        <f t="shared" si="211"/>
        <v>0</v>
      </c>
      <c r="BK1327" t="str">
        <f>IFERROR(VLOOKUP(B1327,'[1]model_S-フレーム'!$F$5:$R$7000,13,1),"")</f>
        <v>E388305_01</v>
      </c>
      <c r="BL1327" s="7">
        <f>IFERROR(VLOOKUP(B1327,'[1]model_S-フレーム'!$F$5:$V$7000,17,1),"")</f>
        <v>0</v>
      </c>
      <c r="BM1327" t="str" cm="1">
        <f t="array" ref="BM1327">_xlfn.IFS(LEFT(G1327,1)="L","外注品",LEFT(G1327,1)="W","内製品",G1327="","購買品")</f>
        <v>内製品</v>
      </c>
    </row>
    <row r="1328" spans="1:65">
      <c r="A1328" t="str">
        <f t="shared" si="203"/>
        <v>WG01</v>
      </c>
      <c r="B1328" t="s">
        <v>1463</v>
      </c>
      <c r="C1328" t="s">
        <v>1544</v>
      </c>
      <c r="D1328" s="7"/>
      <c r="E1328" s="7"/>
      <c r="G1328" t="s">
        <v>1939</v>
      </c>
      <c r="H1328" t="str" cm="1">
        <f t="array" ref="H1328">IFERROR(_xlfn.IFS(B1328="","",AND(B1328="",G1328=""),"",G1328="","記載要"),"")</f>
        <v/>
      </c>
      <c r="K1328" t="str">
        <f t="shared" si="204"/>
        <v>11WP01071759</v>
      </c>
      <c r="L1328" s="3" t="str">
        <f t="shared" si="205"/>
        <v>2001/01/01</v>
      </c>
      <c r="M1328" s="3" t="str">
        <f t="shared" si="206"/>
        <v>2199/12/31</v>
      </c>
      <c r="N1328" t="str">
        <f t="shared" si="207"/>
        <v>11WP01071759</v>
      </c>
      <c r="O1328">
        <v>15</v>
      </c>
      <c r="Q1328" t="str" cm="1">
        <f t="array" ref="Q1328">_xlfn.IFS(AND(C1328="",G1328=""),"",LEFT(G1328,1)="L","記載要",LEFT(G1328,1)="W","",AND(C1328,G1328=""),"記載要")</f>
        <v/>
      </c>
      <c r="R1328" s="21" t="str">
        <f t="shared" si="212"/>
        <v/>
      </c>
      <c r="S1328" s="21"/>
      <c r="Z1328" s="8"/>
      <c r="AA1328">
        <v>1</v>
      </c>
      <c r="AB1328">
        <f t="shared" si="208"/>
        <v>0</v>
      </c>
      <c r="AC1328">
        <v>1</v>
      </c>
      <c r="AF1328">
        <v>1</v>
      </c>
      <c r="AG1328" s="8"/>
      <c r="AH1328" s="8"/>
      <c r="AK1328" cm="1">
        <f t="array" ref="AK1328">_xlfn.IFS(B1328="","",LEFT(G1328,1)="L",1,LEFT(G1328,1)="W",1,AND(LEFT(B1328,1)="H",G1328=""),0)</f>
        <v>1</v>
      </c>
      <c r="AS1328" t="str">
        <f t="shared" si="209"/>
        <v/>
      </c>
      <c r="AT1328" t="s">
        <v>115</v>
      </c>
      <c r="AU1328" t="str">
        <f t="shared" si="210"/>
        <v>0</v>
      </c>
      <c r="BD1328" t="str">
        <f t="shared" si="211"/>
        <v>0</v>
      </c>
      <c r="BK1328" t="str">
        <f>IFERROR(VLOOKUP(B1328,'[1]model_S-フレーム'!$F$5:$R$7000,13,1),"")</f>
        <v>E388305_01</v>
      </c>
      <c r="BL1328" s="7">
        <f>IFERROR(VLOOKUP(B1328,'[1]model_S-フレーム'!$F$5:$V$7000,17,1),"")</f>
        <v>0</v>
      </c>
      <c r="BM1328" t="str" cm="1">
        <f t="array" ref="BM1328">_xlfn.IFS(LEFT(G1328,1)="L","外注品",LEFT(G1328,1)="W","内製品",G1328="","購買品")</f>
        <v>内製品</v>
      </c>
    </row>
    <row r="1329" spans="1:65">
      <c r="A1329" t="str">
        <f t="shared" si="203"/>
        <v>WG01</v>
      </c>
      <c r="B1329" t="s">
        <v>1464</v>
      </c>
      <c r="C1329" t="s">
        <v>1544</v>
      </c>
      <c r="D1329" s="7"/>
      <c r="E1329" s="7"/>
      <c r="G1329" t="s">
        <v>1939</v>
      </c>
      <c r="H1329" t="str" cm="1">
        <f t="array" ref="H1329">IFERROR(_xlfn.IFS(B1329="","",AND(B1329="",G1329=""),"",G1329="","記載要"),"")</f>
        <v/>
      </c>
      <c r="K1329" t="str">
        <f t="shared" si="204"/>
        <v>11WP01071760</v>
      </c>
      <c r="L1329" s="3" t="str">
        <f t="shared" si="205"/>
        <v>2001/01/01</v>
      </c>
      <c r="M1329" s="3" t="str">
        <f t="shared" si="206"/>
        <v>2199/12/31</v>
      </c>
      <c r="N1329" t="str">
        <f t="shared" si="207"/>
        <v>11WP01071760</v>
      </c>
      <c r="O1329">
        <v>15</v>
      </c>
      <c r="Q1329" t="str" cm="1">
        <f t="array" ref="Q1329">_xlfn.IFS(AND(C1329="",G1329=""),"",LEFT(G1329,1)="L","記載要",LEFT(G1329,1)="W","",AND(C1329,G1329=""),"記載要")</f>
        <v/>
      </c>
      <c r="R1329" s="21" t="str">
        <f t="shared" si="212"/>
        <v/>
      </c>
      <c r="S1329" s="21"/>
      <c r="Z1329" s="8"/>
      <c r="AA1329">
        <v>1</v>
      </c>
      <c r="AB1329">
        <f t="shared" si="208"/>
        <v>0</v>
      </c>
      <c r="AC1329">
        <v>1</v>
      </c>
      <c r="AF1329">
        <v>1</v>
      </c>
      <c r="AG1329" s="8"/>
      <c r="AH1329" s="8"/>
      <c r="AK1329" cm="1">
        <f t="array" ref="AK1329">_xlfn.IFS(B1329="","",LEFT(G1329,1)="L",1,LEFT(G1329,1)="W",1,AND(LEFT(B1329,1)="H",G1329=""),0)</f>
        <v>1</v>
      </c>
      <c r="AS1329" t="str">
        <f t="shared" si="209"/>
        <v/>
      </c>
      <c r="AT1329" t="s">
        <v>115</v>
      </c>
      <c r="AU1329" t="str">
        <f t="shared" si="210"/>
        <v>0</v>
      </c>
      <c r="BD1329" t="str">
        <f t="shared" si="211"/>
        <v>0</v>
      </c>
      <c r="BK1329" t="str">
        <f>IFERROR(VLOOKUP(B1329,'[1]model_S-フレーム'!$F$5:$R$7000,13,1),"")</f>
        <v>E388305_01</v>
      </c>
      <c r="BL1329" s="7">
        <f>IFERROR(VLOOKUP(B1329,'[1]model_S-フレーム'!$F$5:$V$7000,17,1),"")</f>
        <v>0</v>
      </c>
      <c r="BM1329" t="str" cm="1">
        <f t="array" ref="BM1329">_xlfn.IFS(LEFT(G1329,1)="L","外注品",LEFT(G1329,1)="W","内製品",G1329="","購買品")</f>
        <v>内製品</v>
      </c>
    </row>
    <row r="1330" spans="1:65">
      <c r="A1330" t="str">
        <f t="shared" si="203"/>
        <v>WG01</v>
      </c>
      <c r="B1330" t="s">
        <v>1465</v>
      </c>
      <c r="C1330" t="s">
        <v>1545</v>
      </c>
      <c r="D1330" s="7"/>
      <c r="E1330" s="7"/>
      <c r="G1330" t="s">
        <v>1939</v>
      </c>
      <c r="H1330" t="str" cm="1">
        <f t="array" ref="H1330">IFERROR(_xlfn.IFS(B1330="","",AND(B1330="",G1330=""),"",G1330="","記載要"),"")</f>
        <v/>
      </c>
      <c r="K1330" t="str">
        <f t="shared" si="204"/>
        <v>11WP01071761</v>
      </c>
      <c r="L1330" s="3" t="str">
        <f t="shared" si="205"/>
        <v>2001/01/01</v>
      </c>
      <c r="M1330" s="3" t="str">
        <f t="shared" si="206"/>
        <v>2199/12/31</v>
      </c>
      <c r="N1330" t="str">
        <f t="shared" si="207"/>
        <v>11WP01071761</v>
      </c>
      <c r="O1330">
        <v>15</v>
      </c>
      <c r="Q1330" t="str" cm="1">
        <f t="array" ref="Q1330">_xlfn.IFS(AND(C1330="",G1330=""),"",LEFT(G1330,1)="L","記載要",LEFT(G1330,1)="W","",AND(C1330,G1330=""),"記載要")</f>
        <v/>
      </c>
      <c r="R1330" s="21" t="str">
        <f t="shared" si="212"/>
        <v/>
      </c>
      <c r="S1330" s="21"/>
      <c r="Z1330" s="8"/>
      <c r="AA1330">
        <v>1</v>
      </c>
      <c r="AB1330">
        <f t="shared" si="208"/>
        <v>0</v>
      </c>
      <c r="AC1330">
        <v>1</v>
      </c>
      <c r="AF1330">
        <v>1</v>
      </c>
      <c r="AG1330" s="8"/>
      <c r="AH1330" s="8"/>
      <c r="AK1330" cm="1">
        <f t="array" ref="AK1330">_xlfn.IFS(B1330="","",LEFT(G1330,1)="L",1,LEFT(G1330,1)="W",1,AND(LEFT(B1330,1)="H",G1330=""),0)</f>
        <v>1</v>
      </c>
      <c r="AS1330" t="str">
        <f t="shared" si="209"/>
        <v/>
      </c>
      <c r="AT1330" t="s">
        <v>115</v>
      </c>
      <c r="AU1330" t="str">
        <f t="shared" si="210"/>
        <v>0</v>
      </c>
      <c r="BD1330" t="str">
        <f t="shared" si="211"/>
        <v>0</v>
      </c>
      <c r="BK1330" t="str">
        <f>IFERROR(VLOOKUP(B1330,'[1]model_S-フレーム'!$F$5:$R$7000,13,1),"")</f>
        <v>E388305_01</v>
      </c>
      <c r="BL1330" s="7">
        <f>IFERROR(VLOOKUP(B1330,'[1]model_S-フレーム'!$F$5:$V$7000,17,1),"")</f>
        <v>0</v>
      </c>
      <c r="BM1330" t="str" cm="1">
        <f t="array" ref="BM1330">_xlfn.IFS(LEFT(G1330,1)="L","外注品",LEFT(G1330,1)="W","内製品",G1330="","購買品")</f>
        <v>内製品</v>
      </c>
    </row>
    <row r="1331" spans="1:65">
      <c r="A1331" t="str">
        <f t="shared" si="203"/>
        <v>WG01</v>
      </c>
      <c r="B1331" t="s">
        <v>1466</v>
      </c>
      <c r="C1331" t="s">
        <v>1545</v>
      </c>
      <c r="D1331" s="7"/>
      <c r="E1331" s="7"/>
      <c r="G1331" t="s">
        <v>1939</v>
      </c>
      <c r="H1331" t="str" cm="1">
        <f t="array" ref="H1331">IFERROR(_xlfn.IFS(B1331="","",AND(B1331="",G1331=""),"",G1331="","記載要"),"")</f>
        <v/>
      </c>
      <c r="K1331" t="str">
        <f t="shared" si="204"/>
        <v>11WP01071762</v>
      </c>
      <c r="L1331" s="3" t="str">
        <f t="shared" si="205"/>
        <v>2001/01/01</v>
      </c>
      <c r="M1331" s="3" t="str">
        <f t="shared" si="206"/>
        <v>2199/12/31</v>
      </c>
      <c r="N1331" t="str">
        <f t="shared" si="207"/>
        <v>11WP01071762</v>
      </c>
      <c r="O1331">
        <v>15</v>
      </c>
      <c r="Q1331" t="str" cm="1">
        <f t="array" ref="Q1331">_xlfn.IFS(AND(C1331="",G1331=""),"",LEFT(G1331,1)="L","記載要",LEFT(G1331,1)="W","",AND(C1331,G1331=""),"記載要")</f>
        <v/>
      </c>
      <c r="R1331" s="21" t="str">
        <f t="shared" si="212"/>
        <v/>
      </c>
      <c r="S1331" s="21"/>
      <c r="Z1331" s="8"/>
      <c r="AA1331">
        <v>1</v>
      </c>
      <c r="AB1331">
        <f t="shared" si="208"/>
        <v>0</v>
      </c>
      <c r="AC1331">
        <v>1</v>
      </c>
      <c r="AF1331">
        <v>1</v>
      </c>
      <c r="AG1331" s="8"/>
      <c r="AH1331" s="8"/>
      <c r="AK1331" cm="1">
        <f t="array" ref="AK1331">_xlfn.IFS(B1331="","",LEFT(G1331,1)="L",1,LEFT(G1331,1)="W",1,AND(LEFT(B1331,1)="H",G1331=""),0)</f>
        <v>1</v>
      </c>
      <c r="AS1331" t="str">
        <f t="shared" si="209"/>
        <v/>
      </c>
      <c r="AT1331" t="s">
        <v>115</v>
      </c>
      <c r="AU1331" t="str">
        <f t="shared" si="210"/>
        <v>0</v>
      </c>
      <c r="BD1331" t="str">
        <f t="shared" si="211"/>
        <v>0</v>
      </c>
      <c r="BK1331" t="str">
        <f>IFERROR(VLOOKUP(B1331,'[1]model_S-フレーム'!$F$5:$R$7000,13,1),"")</f>
        <v>E388305_01</v>
      </c>
      <c r="BL1331" s="7">
        <f>IFERROR(VLOOKUP(B1331,'[1]model_S-フレーム'!$F$5:$V$7000,17,1),"")</f>
        <v>0</v>
      </c>
      <c r="BM1331" t="str" cm="1">
        <f t="array" ref="BM1331">_xlfn.IFS(LEFT(G1331,1)="L","外注品",LEFT(G1331,1)="W","内製品",G1331="","購買品")</f>
        <v>内製品</v>
      </c>
    </row>
    <row r="1332" spans="1:65">
      <c r="A1332" t="str">
        <f t="shared" si="203"/>
        <v>WG01</v>
      </c>
      <c r="B1332" t="s">
        <v>1467</v>
      </c>
      <c r="C1332" t="s">
        <v>1545</v>
      </c>
      <c r="D1332" s="7"/>
      <c r="E1332" s="7"/>
      <c r="G1332" t="s">
        <v>1939</v>
      </c>
      <c r="H1332" t="str" cm="1">
        <f t="array" ref="H1332">IFERROR(_xlfn.IFS(B1332="","",AND(B1332="",G1332=""),"",G1332="","記載要"),"")</f>
        <v/>
      </c>
      <c r="K1332" t="str">
        <f t="shared" si="204"/>
        <v>11WP01071763</v>
      </c>
      <c r="L1332" s="3" t="str">
        <f t="shared" si="205"/>
        <v>2001/01/01</v>
      </c>
      <c r="M1332" s="3" t="str">
        <f t="shared" si="206"/>
        <v>2199/12/31</v>
      </c>
      <c r="N1332" t="str">
        <f t="shared" si="207"/>
        <v>11WP01071763</v>
      </c>
      <c r="O1332">
        <v>15</v>
      </c>
      <c r="Q1332" t="str" cm="1">
        <f t="array" ref="Q1332">_xlfn.IFS(AND(C1332="",G1332=""),"",LEFT(G1332,1)="L","記載要",LEFT(G1332,1)="W","",AND(C1332,G1332=""),"記載要")</f>
        <v/>
      </c>
      <c r="R1332" s="21" t="str">
        <f t="shared" si="212"/>
        <v/>
      </c>
      <c r="S1332" s="21"/>
      <c r="Z1332" s="8"/>
      <c r="AA1332">
        <v>1</v>
      </c>
      <c r="AB1332">
        <f t="shared" si="208"/>
        <v>0</v>
      </c>
      <c r="AC1332">
        <v>1</v>
      </c>
      <c r="AF1332">
        <v>1</v>
      </c>
      <c r="AG1332" s="8"/>
      <c r="AH1332" s="8"/>
      <c r="AK1332" cm="1">
        <f t="array" ref="AK1332">_xlfn.IFS(B1332="","",LEFT(G1332,1)="L",1,LEFT(G1332,1)="W",1,AND(LEFT(B1332,1)="H",G1332=""),0)</f>
        <v>1</v>
      </c>
      <c r="AS1332" t="str">
        <f t="shared" si="209"/>
        <v/>
      </c>
      <c r="AT1332" t="s">
        <v>115</v>
      </c>
      <c r="AU1332" t="str">
        <f t="shared" si="210"/>
        <v>0</v>
      </c>
      <c r="BD1332" t="str">
        <f t="shared" si="211"/>
        <v>0</v>
      </c>
      <c r="BK1332" t="str">
        <f>IFERROR(VLOOKUP(B1332,'[1]model_S-フレーム'!$F$5:$R$7000,13,1),"")</f>
        <v>E388305_01</v>
      </c>
      <c r="BL1332" s="7">
        <f>IFERROR(VLOOKUP(B1332,'[1]model_S-フレーム'!$F$5:$V$7000,17,1),"")</f>
        <v>0</v>
      </c>
      <c r="BM1332" t="str" cm="1">
        <f t="array" ref="BM1332">_xlfn.IFS(LEFT(G1332,1)="L","外注品",LEFT(G1332,1)="W","内製品",G1332="","購買品")</f>
        <v>内製品</v>
      </c>
    </row>
    <row r="1333" spans="1:65">
      <c r="A1333" t="str">
        <f t="shared" si="203"/>
        <v>WG01</v>
      </c>
      <c r="B1333" t="s">
        <v>1468</v>
      </c>
      <c r="C1333" t="s">
        <v>1545</v>
      </c>
      <c r="D1333" s="7"/>
      <c r="E1333" s="7"/>
      <c r="G1333" t="s">
        <v>1939</v>
      </c>
      <c r="H1333" t="str" cm="1">
        <f t="array" ref="H1333">IFERROR(_xlfn.IFS(B1333="","",AND(B1333="",G1333=""),"",G1333="","記載要"),"")</f>
        <v/>
      </c>
      <c r="K1333" t="str">
        <f t="shared" si="204"/>
        <v>11WP01071764</v>
      </c>
      <c r="L1333" s="3" t="str">
        <f t="shared" si="205"/>
        <v>2001/01/01</v>
      </c>
      <c r="M1333" s="3" t="str">
        <f t="shared" si="206"/>
        <v>2199/12/31</v>
      </c>
      <c r="N1333" t="str">
        <f t="shared" si="207"/>
        <v>11WP01071764</v>
      </c>
      <c r="O1333">
        <v>15</v>
      </c>
      <c r="Q1333" t="str" cm="1">
        <f t="array" ref="Q1333">_xlfn.IFS(AND(C1333="",G1333=""),"",LEFT(G1333,1)="L","記載要",LEFT(G1333,1)="W","",AND(C1333,G1333=""),"記載要")</f>
        <v/>
      </c>
      <c r="R1333" s="21" t="str">
        <f t="shared" si="212"/>
        <v/>
      </c>
      <c r="S1333" s="21"/>
      <c r="Z1333" s="8"/>
      <c r="AA1333">
        <v>1</v>
      </c>
      <c r="AB1333">
        <f t="shared" si="208"/>
        <v>0</v>
      </c>
      <c r="AC1333">
        <v>1</v>
      </c>
      <c r="AF1333">
        <v>1</v>
      </c>
      <c r="AG1333" s="8"/>
      <c r="AH1333" s="8"/>
      <c r="AK1333" cm="1">
        <f t="array" ref="AK1333">_xlfn.IFS(B1333="","",LEFT(G1333,1)="L",1,LEFT(G1333,1)="W",1,AND(LEFT(B1333,1)="H",G1333=""),0)</f>
        <v>1</v>
      </c>
      <c r="AS1333" t="str">
        <f t="shared" si="209"/>
        <v/>
      </c>
      <c r="AT1333" t="s">
        <v>115</v>
      </c>
      <c r="AU1333" t="str">
        <f t="shared" si="210"/>
        <v>0</v>
      </c>
      <c r="BD1333" t="str">
        <f t="shared" si="211"/>
        <v>0</v>
      </c>
      <c r="BK1333" t="str">
        <f>IFERROR(VLOOKUP(B1333,'[1]model_S-フレーム'!$F$5:$R$7000,13,1),"")</f>
        <v>E388305_01</v>
      </c>
      <c r="BL1333" s="7">
        <f>IFERROR(VLOOKUP(B1333,'[1]model_S-フレーム'!$F$5:$V$7000,17,1),"")</f>
        <v>0</v>
      </c>
      <c r="BM1333" t="str" cm="1">
        <f t="array" ref="BM1333">_xlfn.IFS(LEFT(G1333,1)="L","外注品",LEFT(G1333,1)="W","内製品",G1333="","購買品")</f>
        <v>内製品</v>
      </c>
    </row>
    <row r="1334" spans="1:65">
      <c r="A1334" t="str">
        <f t="shared" si="203"/>
        <v>WG01</v>
      </c>
      <c r="B1334" t="s">
        <v>1469</v>
      </c>
      <c r="C1334" t="s">
        <v>1546</v>
      </c>
      <c r="D1334" s="7"/>
      <c r="E1334" s="7"/>
      <c r="G1334" t="s">
        <v>1939</v>
      </c>
      <c r="H1334" t="str" cm="1">
        <f t="array" ref="H1334">IFERROR(_xlfn.IFS(B1334="","",AND(B1334="",G1334=""),"",G1334="","記載要"),"")</f>
        <v/>
      </c>
      <c r="K1334" t="str">
        <f t="shared" si="204"/>
        <v>11WP01071765</v>
      </c>
      <c r="L1334" s="3" t="str">
        <f t="shared" si="205"/>
        <v>2001/01/01</v>
      </c>
      <c r="M1334" s="3" t="str">
        <f t="shared" si="206"/>
        <v>2199/12/31</v>
      </c>
      <c r="N1334" t="str">
        <f t="shared" si="207"/>
        <v>11WP01071765</v>
      </c>
      <c r="O1334">
        <v>15</v>
      </c>
      <c r="Q1334" t="str" cm="1">
        <f t="array" ref="Q1334">_xlfn.IFS(AND(C1334="",G1334=""),"",LEFT(G1334,1)="L","記載要",LEFT(G1334,1)="W","",AND(C1334,G1334=""),"記載要")</f>
        <v/>
      </c>
      <c r="R1334" s="21" t="str">
        <f t="shared" si="212"/>
        <v/>
      </c>
      <c r="S1334" s="21"/>
      <c r="Z1334" s="8"/>
      <c r="AA1334">
        <v>1</v>
      </c>
      <c r="AB1334">
        <f t="shared" si="208"/>
        <v>0</v>
      </c>
      <c r="AC1334">
        <v>1</v>
      </c>
      <c r="AF1334">
        <v>1</v>
      </c>
      <c r="AG1334" s="8"/>
      <c r="AH1334" s="8"/>
      <c r="AK1334" cm="1">
        <f t="array" ref="AK1334">_xlfn.IFS(B1334="","",LEFT(G1334,1)="L",1,LEFT(G1334,1)="W",1,AND(LEFT(B1334,1)="H",G1334=""),0)</f>
        <v>1</v>
      </c>
      <c r="AS1334" t="str">
        <f t="shared" si="209"/>
        <v/>
      </c>
      <c r="AT1334" t="s">
        <v>115</v>
      </c>
      <c r="AU1334" t="str">
        <f t="shared" si="210"/>
        <v>0</v>
      </c>
      <c r="BD1334" t="str">
        <f t="shared" si="211"/>
        <v>0</v>
      </c>
      <c r="BK1334" t="str">
        <f>IFERROR(VLOOKUP(B1334,'[1]model_S-フレーム'!$F$5:$R$7000,13,1),"")</f>
        <v>E388305_01</v>
      </c>
      <c r="BL1334" s="7">
        <f>IFERROR(VLOOKUP(B1334,'[1]model_S-フレーム'!$F$5:$V$7000,17,1),"")</f>
        <v>0</v>
      </c>
      <c r="BM1334" t="str" cm="1">
        <f t="array" ref="BM1334">_xlfn.IFS(LEFT(G1334,1)="L","外注品",LEFT(G1334,1)="W","内製品",G1334="","購買品")</f>
        <v>内製品</v>
      </c>
    </row>
    <row r="1335" spans="1:65">
      <c r="A1335" t="str">
        <f t="shared" si="203"/>
        <v>WG01</v>
      </c>
      <c r="B1335" t="s">
        <v>1470</v>
      </c>
      <c r="C1335" t="s">
        <v>1546</v>
      </c>
      <c r="D1335" s="7"/>
      <c r="E1335" s="7"/>
      <c r="G1335" t="s">
        <v>1939</v>
      </c>
      <c r="H1335" t="str" cm="1">
        <f t="array" ref="H1335">IFERROR(_xlfn.IFS(B1335="","",AND(B1335="",G1335=""),"",G1335="","記載要"),"")</f>
        <v/>
      </c>
      <c r="K1335" t="str">
        <f t="shared" si="204"/>
        <v>11WP01071766</v>
      </c>
      <c r="L1335" s="3" t="str">
        <f t="shared" si="205"/>
        <v>2001/01/01</v>
      </c>
      <c r="M1335" s="3" t="str">
        <f t="shared" si="206"/>
        <v>2199/12/31</v>
      </c>
      <c r="N1335" t="str">
        <f t="shared" si="207"/>
        <v>11WP01071766</v>
      </c>
      <c r="O1335">
        <v>15</v>
      </c>
      <c r="Q1335" t="str" cm="1">
        <f t="array" ref="Q1335">_xlfn.IFS(AND(C1335="",G1335=""),"",LEFT(G1335,1)="L","記載要",LEFT(G1335,1)="W","",AND(C1335,G1335=""),"記載要")</f>
        <v/>
      </c>
      <c r="R1335" s="21" t="str">
        <f t="shared" si="212"/>
        <v/>
      </c>
      <c r="S1335" s="21"/>
      <c r="Z1335" s="8"/>
      <c r="AA1335">
        <v>1</v>
      </c>
      <c r="AB1335">
        <f t="shared" si="208"/>
        <v>0</v>
      </c>
      <c r="AC1335">
        <v>1</v>
      </c>
      <c r="AF1335">
        <v>1</v>
      </c>
      <c r="AG1335" s="8"/>
      <c r="AH1335" s="8"/>
      <c r="AK1335" cm="1">
        <f t="array" ref="AK1335">_xlfn.IFS(B1335="","",LEFT(G1335,1)="L",1,LEFT(G1335,1)="W",1,AND(LEFT(B1335,1)="H",G1335=""),0)</f>
        <v>1</v>
      </c>
      <c r="AS1335" t="str">
        <f t="shared" si="209"/>
        <v/>
      </c>
      <c r="AT1335" t="s">
        <v>115</v>
      </c>
      <c r="AU1335" t="str">
        <f t="shared" si="210"/>
        <v>0</v>
      </c>
      <c r="BD1335" t="str">
        <f t="shared" si="211"/>
        <v>0</v>
      </c>
      <c r="BK1335" t="str">
        <f>IFERROR(VLOOKUP(B1335,'[1]model_S-フレーム'!$F$5:$R$7000,13,1),"")</f>
        <v>E388305_01</v>
      </c>
      <c r="BL1335" s="7">
        <f>IFERROR(VLOOKUP(B1335,'[1]model_S-フレーム'!$F$5:$V$7000,17,1),"")</f>
        <v>0</v>
      </c>
      <c r="BM1335" t="str" cm="1">
        <f t="array" ref="BM1335">_xlfn.IFS(LEFT(G1335,1)="L","外注品",LEFT(G1335,1)="W","内製品",G1335="","購買品")</f>
        <v>内製品</v>
      </c>
    </row>
    <row r="1336" spans="1:65">
      <c r="A1336" t="str">
        <f t="shared" si="203"/>
        <v>WG01</v>
      </c>
      <c r="B1336" t="s">
        <v>1471</v>
      </c>
      <c r="C1336" t="s">
        <v>1546</v>
      </c>
      <c r="D1336" s="7"/>
      <c r="E1336" s="7"/>
      <c r="G1336" t="s">
        <v>1939</v>
      </c>
      <c r="H1336" t="str" cm="1">
        <f t="array" ref="H1336">IFERROR(_xlfn.IFS(B1336="","",AND(B1336="",G1336=""),"",G1336="","記載要"),"")</f>
        <v/>
      </c>
      <c r="K1336" t="str">
        <f t="shared" si="204"/>
        <v>11WP01071767</v>
      </c>
      <c r="L1336" s="3" t="str">
        <f t="shared" si="205"/>
        <v>2001/01/01</v>
      </c>
      <c r="M1336" s="3" t="str">
        <f t="shared" si="206"/>
        <v>2199/12/31</v>
      </c>
      <c r="N1336" t="str">
        <f t="shared" si="207"/>
        <v>11WP01071767</v>
      </c>
      <c r="O1336">
        <v>15</v>
      </c>
      <c r="Q1336" t="str" cm="1">
        <f t="array" ref="Q1336">_xlfn.IFS(AND(C1336="",G1336=""),"",LEFT(G1336,1)="L","記載要",LEFT(G1336,1)="W","",AND(C1336,G1336=""),"記載要")</f>
        <v/>
      </c>
      <c r="R1336" s="21" t="str">
        <f t="shared" si="212"/>
        <v/>
      </c>
      <c r="S1336" s="21"/>
      <c r="Z1336" s="8"/>
      <c r="AA1336">
        <v>1</v>
      </c>
      <c r="AB1336">
        <f t="shared" si="208"/>
        <v>0</v>
      </c>
      <c r="AC1336">
        <v>1</v>
      </c>
      <c r="AF1336">
        <v>1</v>
      </c>
      <c r="AG1336" s="8"/>
      <c r="AH1336" s="8"/>
      <c r="AK1336" cm="1">
        <f t="array" ref="AK1336">_xlfn.IFS(B1336="","",LEFT(G1336,1)="L",1,LEFT(G1336,1)="W",1,AND(LEFT(B1336,1)="H",G1336=""),0)</f>
        <v>1</v>
      </c>
      <c r="AS1336" t="str">
        <f t="shared" si="209"/>
        <v/>
      </c>
      <c r="AT1336" t="s">
        <v>115</v>
      </c>
      <c r="AU1336" t="str">
        <f t="shared" si="210"/>
        <v>0</v>
      </c>
      <c r="BD1336" t="str">
        <f t="shared" si="211"/>
        <v>0</v>
      </c>
      <c r="BK1336" t="str">
        <f>IFERROR(VLOOKUP(B1336,'[1]model_S-フレーム'!$F$5:$R$7000,13,1),"")</f>
        <v>E388305_01</v>
      </c>
      <c r="BL1336" s="7">
        <f>IFERROR(VLOOKUP(B1336,'[1]model_S-フレーム'!$F$5:$V$7000,17,1),"")</f>
        <v>0</v>
      </c>
      <c r="BM1336" t="str" cm="1">
        <f t="array" ref="BM1336">_xlfn.IFS(LEFT(G1336,1)="L","外注品",LEFT(G1336,1)="W","内製品",G1336="","購買品")</f>
        <v>内製品</v>
      </c>
    </row>
    <row r="1337" spans="1:65">
      <c r="A1337" t="str">
        <f t="shared" si="203"/>
        <v>WG01</v>
      </c>
      <c r="B1337" t="s">
        <v>1472</v>
      </c>
      <c r="C1337" t="s">
        <v>1546</v>
      </c>
      <c r="D1337" s="7"/>
      <c r="E1337" s="7"/>
      <c r="G1337" t="s">
        <v>1939</v>
      </c>
      <c r="H1337" t="str" cm="1">
        <f t="array" ref="H1337">IFERROR(_xlfn.IFS(B1337="","",AND(B1337="",G1337=""),"",G1337="","記載要"),"")</f>
        <v/>
      </c>
      <c r="K1337" t="str">
        <f t="shared" si="204"/>
        <v>11WP01071768</v>
      </c>
      <c r="L1337" s="3" t="str">
        <f t="shared" si="205"/>
        <v>2001/01/01</v>
      </c>
      <c r="M1337" s="3" t="str">
        <f t="shared" si="206"/>
        <v>2199/12/31</v>
      </c>
      <c r="N1337" t="str">
        <f t="shared" si="207"/>
        <v>11WP01071768</v>
      </c>
      <c r="O1337">
        <v>15</v>
      </c>
      <c r="Q1337" t="str" cm="1">
        <f t="array" ref="Q1337">_xlfn.IFS(AND(C1337="",G1337=""),"",LEFT(G1337,1)="L","記載要",LEFT(G1337,1)="W","",AND(C1337,G1337=""),"記載要")</f>
        <v/>
      </c>
      <c r="R1337" s="21" t="str">
        <f t="shared" si="212"/>
        <v/>
      </c>
      <c r="S1337" s="21"/>
      <c r="Z1337" s="8"/>
      <c r="AA1337">
        <v>1</v>
      </c>
      <c r="AB1337">
        <f t="shared" si="208"/>
        <v>0</v>
      </c>
      <c r="AC1337">
        <v>1</v>
      </c>
      <c r="AF1337">
        <v>1</v>
      </c>
      <c r="AG1337" s="8"/>
      <c r="AH1337" s="8"/>
      <c r="AK1337" cm="1">
        <f t="array" ref="AK1337">_xlfn.IFS(B1337="","",LEFT(G1337,1)="L",1,LEFT(G1337,1)="W",1,AND(LEFT(B1337,1)="H",G1337=""),0)</f>
        <v>1</v>
      </c>
      <c r="AS1337" t="str">
        <f t="shared" si="209"/>
        <v/>
      </c>
      <c r="AT1337" t="s">
        <v>115</v>
      </c>
      <c r="AU1337" t="str">
        <f t="shared" si="210"/>
        <v>0</v>
      </c>
      <c r="BD1337" t="str">
        <f t="shared" si="211"/>
        <v>0</v>
      </c>
      <c r="BK1337" t="str">
        <f>IFERROR(VLOOKUP(B1337,'[1]model_S-フレーム'!$F$5:$R$7000,13,1),"")</f>
        <v>E388305_01</v>
      </c>
      <c r="BL1337" s="7">
        <f>IFERROR(VLOOKUP(B1337,'[1]model_S-フレーム'!$F$5:$V$7000,17,1),"")</f>
        <v>0</v>
      </c>
      <c r="BM1337" t="str" cm="1">
        <f t="array" ref="BM1337">_xlfn.IFS(LEFT(G1337,1)="L","外注品",LEFT(G1337,1)="W","内製品",G1337="","購買品")</f>
        <v>内製品</v>
      </c>
    </row>
    <row r="1338" spans="1:65">
      <c r="A1338" t="str">
        <f t="shared" si="203"/>
        <v>WG01</v>
      </c>
      <c r="B1338" t="s">
        <v>1473</v>
      </c>
      <c r="C1338" t="s">
        <v>1547</v>
      </c>
      <c r="D1338" s="7"/>
      <c r="E1338" s="7"/>
      <c r="G1338" t="s">
        <v>1939</v>
      </c>
      <c r="H1338" t="str" cm="1">
        <f t="array" ref="H1338">IFERROR(_xlfn.IFS(B1338="","",AND(B1338="",G1338=""),"",G1338="","記載要"),"")</f>
        <v/>
      </c>
      <c r="K1338" t="str">
        <f t="shared" si="204"/>
        <v>11WP01071769</v>
      </c>
      <c r="L1338" s="3" t="str">
        <f t="shared" si="205"/>
        <v>2001/01/01</v>
      </c>
      <c r="M1338" s="3" t="str">
        <f t="shared" si="206"/>
        <v>2199/12/31</v>
      </c>
      <c r="N1338" t="str">
        <f t="shared" si="207"/>
        <v>11WP01071769</v>
      </c>
      <c r="O1338">
        <v>15</v>
      </c>
      <c r="Q1338" t="str" cm="1">
        <f t="array" ref="Q1338">_xlfn.IFS(AND(C1338="",G1338=""),"",LEFT(G1338,1)="L","記載要",LEFT(G1338,1)="W","",AND(C1338,G1338=""),"記載要")</f>
        <v/>
      </c>
      <c r="R1338" s="21" t="str">
        <f t="shared" si="212"/>
        <v/>
      </c>
      <c r="S1338" s="21"/>
      <c r="Z1338" s="8"/>
      <c r="AA1338">
        <v>1</v>
      </c>
      <c r="AB1338">
        <f t="shared" si="208"/>
        <v>0</v>
      </c>
      <c r="AC1338">
        <v>1</v>
      </c>
      <c r="AF1338">
        <v>1</v>
      </c>
      <c r="AG1338" s="8"/>
      <c r="AH1338" s="8"/>
      <c r="AK1338" cm="1">
        <f t="array" ref="AK1338">_xlfn.IFS(B1338="","",LEFT(G1338,1)="L",1,LEFT(G1338,1)="W",1,AND(LEFT(B1338,1)="H",G1338=""),0)</f>
        <v>1</v>
      </c>
      <c r="AS1338" t="str">
        <f t="shared" si="209"/>
        <v/>
      </c>
      <c r="AT1338" t="s">
        <v>115</v>
      </c>
      <c r="AU1338" t="str">
        <f t="shared" si="210"/>
        <v>0</v>
      </c>
      <c r="BD1338" t="str">
        <f t="shared" si="211"/>
        <v>0</v>
      </c>
      <c r="BK1338" t="str">
        <f>IFERROR(VLOOKUP(B1338,'[1]model_S-フレーム'!$F$5:$R$7000,13,1),"")</f>
        <v>E388305_01</v>
      </c>
      <c r="BL1338" s="7">
        <f>IFERROR(VLOOKUP(B1338,'[1]model_S-フレーム'!$F$5:$V$7000,17,1),"")</f>
        <v>0</v>
      </c>
      <c r="BM1338" t="str" cm="1">
        <f t="array" ref="BM1338">_xlfn.IFS(LEFT(G1338,1)="L","外注品",LEFT(G1338,1)="W","内製品",G1338="","購買品")</f>
        <v>内製品</v>
      </c>
    </row>
    <row r="1339" spans="1:65">
      <c r="A1339" t="str">
        <f t="shared" si="203"/>
        <v>WG01</v>
      </c>
      <c r="B1339" t="s">
        <v>1474</v>
      </c>
      <c r="C1339" t="s">
        <v>1547</v>
      </c>
      <c r="D1339" s="7"/>
      <c r="E1339" s="7"/>
      <c r="G1339" t="s">
        <v>1939</v>
      </c>
      <c r="H1339" t="str" cm="1">
        <f t="array" ref="H1339">IFERROR(_xlfn.IFS(B1339="","",AND(B1339="",G1339=""),"",G1339="","記載要"),"")</f>
        <v/>
      </c>
      <c r="K1339" t="str">
        <f t="shared" si="204"/>
        <v>11WP01071770</v>
      </c>
      <c r="L1339" s="3" t="str">
        <f t="shared" si="205"/>
        <v>2001/01/01</v>
      </c>
      <c r="M1339" s="3" t="str">
        <f t="shared" si="206"/>
        <v>2199/12/31</v>
      </c>
      <c r="N1339" t="str">
        <f t="shared" si="207"/>
        <v>11WP01071770</v>
      </c>
      <c r="O1339">
        <v>15</v>
      </c>
      <c r="Q1339" t="str" cm="1">
        <f t="array" ref="Q1339">_xlfn.IFS(AND(C1339="",G1339=""),"",LEFT(G1339,1)="L","記載要",LEFT(G1339,1)="W","",AND(C1339,G1339=""),"記載要")</f>
        <v/>
      </c>
      <c r="R1339" s="21" t="str">
        <f t="shared" si="212"/>
        <v/>
      </c>
      <c r="S1339" s="21"/>
      <c r="Z1339" s="8"/>
      <c r="AA1339">
        <v>1</v>
      </c>
      <c r="AB1339">
        <f t="shared" si="208"/>
        <v>0</v>
      </c>
      <c r="AC1339">
        <v>1</v>
      </c>
      <c r="AF1339">
        <v>1</v>
      </c>
      <c r="AG1339" s="8"/>
      <c r="AH1339" s="8"/>
      <c r="AK1339" cm="1">
        <f t="array" ref="AK1339">_xlfn.IFS(B1339="","",LEFT(G1339,1)="L",1,LEFT(G1339,1)="W",1,AND(LEFT(B1339,1)="H",G1339=""),0)</f>
        <v>1</v>
      </c>
      <c r="AS1339" t="str">
        <f t="shared" si="209"/>
        <v/>
      </c>
      <c r="AT1339" t="s">
        <v>115</v>
      </c>
      <c r="AU1339" t="str">
        <f t="shared" si="210"/>
        <v>0</v>
      </c>
      <c r="BD1339" t="str">
        <f t="shared" si="211"/>
        <v>0</v>
      </c>
      <c r="BK1339" t="str">
        <f>IFERROR(VLOOKUP(B1339,'[1]model_S-フレーム'!$F$5:$R$7000,13,1),"")</f>
        <v>E388305_01</v>
      </c>
      <c r="BL1339" s="7">
        <f>IFERROR(VLOOKUP(B1339,'[1]model_S-フレーム'!$F$5:$V$7000,17,1),"")</f>
        <v>0</v>
      </c>
      <c r="BM1339" t="str" cm="1">
        <f t="array" ref="BM1339">_xlfn.IFS(LEFT(G1339,1)="L","外注品",LEFT(G1339,1)="W","内製品",G1339="","購買品")</f>
        <v>内製品</v>
      </c>
    </row>
    <row r="1340" spans="1:65">
      <c r="A1340" t="str">
        <f t="shared" si="203"/>
        <v>WG01</v>
      </c>
      <c r="B1340" t="s">
        <v>1475</v>
      </c>
      <c r="C1340" t="s">
        <v>1547</v>
      </c>
      <c r="D1340" s="7"/>
      <c r="E1340" s="7"/>
      <c r="G1340" t="s">
        <v>1939</v>
      </c>
      <c r="H1340" t="str" cm="1">
        <f t="array" ref="H1340">IFERROR(_xlfn.IFS(B1340="","",AND(B1340="",G1340=""),"",G1340="","記載要"),"")</f>
        <v/>
      </c>
      <c r="K1340" t="str">
        <f t="shared" si="204"/>
        <v>11WP01071771</v>
      </c>
      <c r="L1340" s="3" t="str">
        <f t="shared" si="205"/>
        <v>2001/01/01</v>
      </c>
      <c r="M1340" s="3" t="str">
        <f t="shared" si="206"/>
        <v>2199/12/31</v>
      </c>
      <c r="N1340" t="str">
        <f t="shared" si="207"/>
        <v>11WP01071771</v>
      </c>
      <c r="O1340">
        <v>15</v>
      </c>
      <c r="Q1340" t="str" cm="1">
        <f t="array" ref="Q1340">_xlfn.IFS(AND(C1340="",G1340=""),"",LEFT(G1340,1)="L","記載要",LEFT(G1340,1)="W","",AND(C1340,G1340=""),"記載要")</f>
        <v/>
      </c>
      <c r="R1340" s="21" t="str">
        <f t="shared" si="212"/>
        <v/>
      </c>
      <c r="S1340" s="21"/>
      <c r="Z1340" s="8"/>
      <c r="AA1340">
        <v>1</v>
      </c>
      <c r="AB1340">
        <f t="shared" si="208"/>
        <v>0</v>
      </c>
      <c r="AC1340">
        <v>1</v>
      </c>
      <c r="AF1340">
        <v>1</v>
      </c>
      <c r="AG1340" s="8"/>
      <c r="AH1340" s="8"/>
      <c r="AK1340" cm="1">
        <f t="array" ref="AK1340">_xlfn.IFS(B1340="","",LEFT(G1340,1)="L",1,LEFT(G1340,1)="W",1,AND(LEFT(B1340,1)="H",G1340=""),0)</f>
        <v>1</v>
      </c>
      <c r="AS1340" t="str">
        <f t="shared" si="209"/>
        <v/>
      </c>
      <c r="AT1340" t="s">
        <v>115</v>
      </c>
      <c r="AU1340" t="str">
        <f t="shared" si="210"/>
        <v>0</v>
      </c>
      <c r="BD1340" t="str">
        <f t="shared" si="211"/>
        <v>0</v>
      </c>
      <c r="BK1340" t="str">
        <f>IFERROR(VLOOKUP(B1340,'[1]model_S-フレーム'!$F$5:$R$7000,13,1),"")</f>
        <v>E388305_01</v>
      </c>
      <c r="BL1340" s="7">
        <f>IFERROR(VLOOKUP(B1340,'[1]model_S-フレーム'!$F$5:$V$7000,17,1),"")</f>
        <v>0</v>
      </c>
      <c r="BM1340" t="str" cm="1">
        <f t="array" ref="BM1340">_xlfn.IFS(LEFT(G1340,1)="L","外注品",LEFT(G1340,1)="W","内製品",G1340="","購買品")</f>
        <v>内製品</v>
      </c>
    </row>
    <row r="1341" spans="1:65">
      <c r="A1341" t="str">
        <f t="shared" si="203"/>
        <v>WG01</v>
      </c>
      <c r="B1341" t="s">
        <v>1476</v>
      </c>
      <c r="C1341" t="s">
        <v>1547</v>
      </c>
      <c r="D1341" s="7"/>
      <c r="E1341" s="7"/>
      <c r="G1341" t="s">
        <v>1939</v>
      </c>
      <c r="H1341" t="str" cm="1">
        <f t="array" ref="H1341">IFERROR(_xlfn.IFS(B1341="","",AND(B1341="",G1341=""),"",G1341="","記載要"),"")</f>
        <v/>
      </c>
      <c r="K1341" t="str">
        <f t="shared" si="204"/>
        <v>11WP01071772</v>
      </c>
      <c r="L1341" s="3" t="str">
        <f t="shared" si="205"/>
        <v>2001/01/01</v>
      </c>
      <c r="M1341" s="3" t="str">
        <f t="shared" si="206"/>
        <v>2199/12/31</v>
      </c>
      <c r="N1341" t="str">
        <f t="shared" si="207"/>
        <v>11WP01071772</v>
      </c>
      <c r="O1341">
        <v>15</v>
      </c>
      <c r="Q1341" t="str" cm="1">
        <f t="array" ref="Q1341">_xlfn.IFS(AND(C1341="",G1341=""),"",LEFT(G1341,1)="L","記載要",LEFT(G1341,1)="W","",AND(C1341,G1341=""),"記載要")</f>
        <v/>
      </c>
      <c r="R1341" s="21" t="str">
        <f t="shared" si="212"/>
        <v/>
      </c>
      <c r="S1341" s="21"/>
      <c r="Z1341" s="8"/>
      <c r="AA1341">
        <v>1</v>
      </c>
      <c r="AB1341">
        <f t="shared" si="208"/>
        <v>0</v>
      </c>
      <c r="AC1341">
        <v>1</v>
      </c>
      <c r="AF1341">
        <v>1</v>
      </c>
      <c r="AG1341" s="8"/>
      <c r="AH1341" s="8"/>
      <c r="AK1341" cm="1">
        <f t="array" ref="AK1341">_xlfn.IFS(B1341="","",LEFT(G1341,1)="L",1,LEFT(G1341,1)="W",1,AND(LEFT(B1341,1)="H",G1341=""),0)</f>
        <v>1</v>
      </c>
      <c r="AS1341" t="str">
        <f t="shared" si="209"/>
        <v/>
      </c>
      <c r="AT1341" t="s">
        <v>115</v>
      </c>
      <c r="AU1341" t="str">
        <f t="shared" si="210"/>
        <v>0</v>
      </c>
      <c r="BD1341" t="str">
        <f t="shared" si="211"/>
        <v>0</v>
      </c>
      <c r="BK1341" t="str">
        <f>IFERROR(VLOOKUP(B1341,'[1]model_S-フレーム'!$F$5:$R$7000,13,1),"")</f>
        <v>E388305_01</v>
      </c>
      <c r="BL1341" s="7">
        <f>IFERROR(VLOOKUP(B1341,'[1]model_S-フレーム'!$F$5:$V$7000,17,1),"")</f>
        <v>0</v>
      </c>
      <c r="BM1341" t="str" cm="1">
        <f t="array" ref="BM1341">_xlfn.IFS(LEFT(G1341,1)="L","外注品",LEFT(G1341,1)="W","内製品",G1341="","購買品")</f>
        <v>内製品</v>
      </c>
    </row>
    <row r="1342" spans="1:65">
      <c r="A1342" t="str">
        <f t="shared" si="203"/>
        <v>WG01</v>
      </c>
      <c r="B1342" t="s">
        <v>1477</v>
      </c>
      <c r="C1342" t="s">
        <v>1548</v>
      </c>
      <c r="D1342" s="7"/>
      <c r="E1342" s="7"/>
      <c r="G1342" t="s">
        <v>1939</v>
      </c>
      <c r="H1342" t="str" cm="1">
        <f t="array" ref="H1342">IFERROR(_xlfn.IFS(B1342="","",AND(B1342="",G1342=""),"",G1342="","記載要"),"")</f>
        <v/>
      </c>
      <c r="K1342" t="str">
        <f t="shared" si="204"/>
        <v>11WP01071773</v>
      </c>
      <c r="L1342" s="3" t="str">
        <f t="shared" si="205"/>
        <v>2001/01/01</v>
      </c>
      <c r="M1342" s="3" t="str">
        <f t="shared" si="206"/>
        <v>2199/12/31</v>
      </c>
      <c r="N1342" t="str">
        <f t="shared" si="207"/>
        <v>11WP01071773</v>
      </c>
      <c r="O1342">
        <v>15</v>
      </c>
      <c r="Q1342" t="str" cm="1">
        <f t="array" ref="Q1342">_xlfn.IFS(AND(C1342="",G1342=""),"",LEFT(G1342,1)="L","記載要",LEFT(G1342,1)="W","",AND(C1342,G1342=""),"記載要")</f>
        <v/>
      </c>
      <c r="R1342" s="21" t="str">
        <f t="shared" si="212"/>
        <v/>
      </c>
      <c r="S1342" s="21"/>
      <c r="Z1342" s="8"/>
      <c r="AA1342">
        <v>1</v>
      </c>
      <c r="AB1342">
        <f t="shared" si="208"/>
        <v>0</v>
      </c>
      <c r="AC1342">
        <v>1</v>
      </c>
      <c r="AF1342">
        <v>1</v>
      </c>
      <c r="AG1342" s="8"/>
      <c r="AH1342" s="8"/>
      <c r="AK1342" cm="1">
        <f t="array" ref="AK1342">_xlfn.IFS(B1342="","",LEFT(G1342,1)="L",1,LEFT(G1342,1)="W",1,AND(LEFT(B1342,1)="H",G1342=""),0)</f>
        <v>1</v>
      </c>
      <c r="AS1342" t="str">
        <f t="shared" si="209"/>
        <v/>
      </c>
      <c r="AT1342" t="s">
        <v>115</v>
      </c>
      <c r="AU1342" t="str">
        <f t="shared" si="210"/>
        <v>0</v>
      </c>
      <c r="BD1342" t="str">
        <f t="shared" si="211"/>
        <v>0</v>
      </c>
      <c r="BK1342" t="str">
        <f>IFERROR(VLOOKUP(B1342,'[1]model_S-フレーム'!$F$5:$R$7000,13,1),"")</f>
        <v>E388305_01</v>
      </c>
      <c r="BL1342" s="7">
        <f>IFERROR(VLOOKUP(B1342,'[1]model_S-フレーム'!$F$5:$V$7000,17,1),"")</f>
        <v>0</v>
      </c>
      <c r="BM1342" t="str" cm="1">
        <f t="array" ref="BM1342">_xlfn.IFS(LEFT(G1342,1)="L","外注品",LEFT(G1342,1)="W","内製品",G1342="","購買品")</f>
        <v>内製品</v>
      </c>
    </row>
    <row r="1343" spans="1:65">
      <c r="A1343" t="str">
        <f t="shared" si="203"/>
        <v>WG01</v>
      </c>
      <c r="B1343" t="s">
        <v>1478</v>
      </c>
      <c r="C1343" t="s">
        <v>1548</v>
      </c>
      <c r="D1343" s="7"/>
      <c r="E1343" s="7"/>
      <c r="G1343" t="s">
        <v>1939</v>
      </c>
      <c r="H1343" t="str" cm="1">
        <f t="array" ref="H1343">IFERROR(_xlfn.IFS(B1343="","",AND(B1343="",G1343=""),"",G1343="","記載要"),"")</f>
        <v/>
      </c>
      <c r="K1343" t="str">
        <f t="shared" si="204"/>
        <v>11WP01071774</v>
      </c>
      <c r="L1343" s="3" t="str">
        <f t="shared" si="205"/>
        <v>2001/01/01</v>
      </c>
      <c r="M1343" s="3" t="str">
        <f t="shared" si="206"/>
        <v>2199/12/31</v>
      </c>
      <c r="N1343" t="str">
        <f t="shared" si="207"/>
        <v>11WP01071774</v>
      </c>
      <c r="O1343">
        <v>15</v>
      </c>
      <c r="Q1343" t="str" cm="1">
        <f t="array" ref="Q1343">_xlfn.IFS(AND(C1343="",G1343=""),"",LEFT(G1343,1)="L","記載要",LEFT(G1343,1)="W","",AND(C1343,G1343=""),"記載要")</f>
        <v/>
      </c>
      <c r="R1343" s="21" t="str">
        <f t="shared" si="212"/>
        <v/>
      </c>
      <c r="S1343" s="21"/>
      <c r="Z1343" s="8"/>
      <c r="AA1343">
        <v>1</v>
      </c>
      <c r="AB1343">
        <f t="shared" si="208"/>
        <v>0</v>
      </c>
      <c r="AC1343">
        <v>1</v>
      </c>
      <c r="AF1343">
        <v>1</v>
      </c>
      <c r="AG1343" s="8"/>
      <c r="AH1343" s="8"/>
      <c r="AK1343" cm="1">
        <f t="array" ref="AK1343">_xlfn.IFS(B1343="","",LEFT(G1343,1)="L",1,LEFT(G1343,1)="W",1,AND(LEFT(B1343,1)="H",G1343=""),0)</f>
        <v>1</v>
      </c>
      <c r="AS1343" t="str">
        <f t="shared" si="209"/>
        <v/>
      </c>
      <c r="AT1343" t="s">
        <v>115</v>
      </c>
      <c r="AU1343" t="str">
        <f t="shared" si="210"/>
        <v>0</v>
      </c>
      <c r="BD1343" t="str">
        <f t="shared" si="211"/>
        <v>0</v>
      </c>
      <c r="BK1343" t="str">
        <f>IFERROR(VLOOKUP(B1343,'[1]model_S-フレーム'!$F$5:$R$7000,13,1),"")</f>
        <v>E388305_01</v>
      </c>
      <c r="BL1343" s="7">
        <f>IFERROR(VLOOKUP(B1343,'[1]model_S-フレーム'!$F$5:$V$7000,17,1),"")</f>
        <v>0</v>
      </c>
      <c r="BM1343" t="str" cm="1">
        <f t="array" ref="BM1343">_xlfn.IFS(LEFT(G1343,1)="L","外注品",LEFT(G1343,1)="W","内製品",G1343="","購買品")</f>
        <v>内製品</v>
      </c>
    </row>
    <row r="1344" spans="1:65">
      <c r="A1344" t="str">
        <f t="shared" si="203"/>
        <v>WG01</v>
      </c>
      <c r="B1344" t="s">
        <v>1479</v>
      </c>
      <c r="C1344" t="s">
        <v>1548</v>
      </c>
      <c r="D1344" s="7"/>
      <c r="E1344" s="7"/>
      <c r="G1344" t="s">
        <v>1939</v>
      </c>
      <c r="H1344" t="str" cm="1">
        <f t="array" ref="H1344">IFERROR(_xlfn.IFS(B1344="","",AND(B1344="",G1344=""),"",G1344="","記載要"),"")</f>
        <v/>
      </c>
      <c r="K1344" t="str">
        <f t="shared" si="204"/>
        <v>11WP01071775</v>
      </c>
      <c r="L1344" s="3" t="str">
        <f t="shared" si="205"/>
        <v>2001/01/01</v>
      </c>
      <c r="M1344" s="3" t="str">
        <f t="shared" si="206"/>
        <v>2199/12/31</v>
      </c>
      <c r="N1344" t="str">
        <f t="shared" si="207"/>
        <v>11WP01071775</v>
      </c>
      <c r="O1344">
        <v>15</v>
      </c>
      <c r="Q1344" t="str" cm="1">
        <f t="array" ref="Q1344">_xlfn.IFS(AND(C1344="",G1344=""),"",LEFT(G1344,1)="L","記載要",LEFT(G1344,1)="W","",AND(C1344,G1344=""),"記載要")</f>
        <v/>
      </c>
      <c r="R1344" s="21" t="str">
        <f t="shared" si="212"/>
        <v/>
      </c>
      <c r="S1344" s="21"/>
      <c r="Z1344" s="8"/>
      <c r="AA1344">
        <v>1</v>
      </c>
      <c r="AB1344">
        <f t="shared" si="208"/>
        <v>0</v>
      </c>
      <c r="AC1344">
        <v>1</v>
      </c>
      <c r="AF1344">
        <v>1</v>
      </c>
      <c r="AG1344" s="8"/>
      <c r="AH1344" s="8"/>
      <c r="AK1344" cm="1">
        <f t="array" ref="AK1344">_xlfn.IFS(B1344="","",LEFT(G1344,1)="L",1,LEFT(G1344,1)="W",1,AND(LEFT(B1344,1)="H",G1344=""),0)</f>
        <v>1</v>
      </c>
      <c r="AS1344" t="str">
        <f t="shared" si="209"/>
        <v/>
      </c>
      <c r="AT1344" t="s">
        <v>115</v>
      </c>
      <c r="AU1344" t="str">
        <f t="shared" si="210"/>
        <v>0</v>
      </c>
      <c r="BD1344" t="str">
        <f t="shared" si="211"/>
        <v>0</v>
      </c>
      <c r="BK1344" t="str">
        <f>IFERROR(VLOOKUP(B1344,'[1]model_S-フレーム'!$F$5:$R$7000,13,1),"")</f>
        <v>E388305_01</v>
      </c>
      <c r="BL1344" s="7">
        <f>IFERROR(VLOOKUP(B1344,'[1]model_S-フレーム'!$F$5:$V$7000,17,1),"")</f>
        <v>0</v>
      </c>
      <c r="BM1344" t="str" cm="1">
        <f t="array" ref="BM1344">_xlfn.IFS(LEFT(G1344,1)="L","外注品",LEFT(G1344,1)="W","内製品",G1344="","購買品")</f>
        <v>内製品</v>
      </c>
    </row>
    <row r="1345" spans="1:65">
      <c r="A1345" t="str">
        <f t="shared" si="203"/>
        <v>WG01</v>
      </c>
      <c r="B1345" t="s">
        <v>1480</v>
      </c>
      <c r="C1345" t="s">
        <v>1548</v>
      </c>
      <c r="D1345" s="7"/>
      <c r="E1345" s="7"/>
      <c r="G1345" t="s">
        <v>1939</v>
      </c>
      <c r="H1345" t="str" cm="1">
        <f t="array" ref="H1345">IFERROR(_xlfn.IFS(B1345="","",AND(B1345="",G1345=""),"",G1345="","記載要"),"")</f>
        <v/>
      </c>
      <c r="K1345" t="str">
        <f t="shared" si="204"/>
        <v>11WP01071776</v>
      </c>
      <c r="L1345" s="3" t="str">
        <f t="shared" si="205"/>
        <v>2001/01/01</v>
      </c>
      <c r="M1345" s="3" t="str">
        <f t="shared" si="206"/>
        <v>2199/12/31</v>
      </c>
      <c r="N1345" t="str">
        <f t="shared" si="207"/>
        <v>11WP01071776</v>
      </c>
      <c r="O1345">
        <v>15</v>
      </c>
      <c r="Q1345" t="str" cm="1">
        <f t="array" ref="Q1345">_xlfn.IFS(AND(C1345="",G1345=""),"",LEFT(G1345,1)="L","記載要",LEFT(G1345,1)="W","",AND(C1345,G1345=""),"記載要")</f>
        <v/>
      </c>
      <c r="R1345" s="21" t="str">
        <f t="shared" si="212"/>
        <v/>
      </c>
      <c r="S1345" s="21"/>
      <c r="Z1345" s="8"/>
      <c r="AA1345">
        <v>1</v>
      </c>
      <c r="AB1345">
        <f t="shared" si="208"/>
        <v>0</v>
      </c>
      <c r="AC1345">
        <v>1</v>
      </c>
      <c r="AF1345">
        <v>1</v>
      </c>
      <c r="AG1345" s="8"/>
      <c r="AH1345" s="8"/>
      <c r="AK1345" cm="1">
        <f t="array" ref="AK1345">_xlfn.IFS(B1345="","",LEFT(G1345,1)="L",1,LEFT(G1345,1)="W",1,AND(LEFT(B1345,1)="H",G1345=""),0)</f>
        <v>1</v>
      </c>
      <c r="AS1345" t="str">
        <f t="shared" si="209"/>
        <v/>
      </c>
      <c r="AT1345" t="s">
        <v>115</v>
      </c>
      <c r="AU1345" t="str">
        <f t="shared" si="210"/>
        <v>0</v>
      </c>
      <c r="BD1345" t="str">
        <f t="shared" si="211"/>
        <v>0</v>
      </c>
      <c r="BK1345" t="str">
        <f>IFERROR(VLOOKUP(B1345,'[1]model_S-フレーム'!$F$5:$R$7000,13,1),"")</f>
        <v>E388305_01</v>
      </c>
      <c r="BL1345" s="7">
        <f>IFERROR(VLOOKUP(B1345,'[1]model_S-フレーム'!$F$5:$V$7000,17,1),"")</f>
        <v>0</v>
      </c>
      <c r="BM1345" t="str" cm="1">
        <f t="array" ref="BM1345">_xlfn.IFS(LEFT(G1345,1)="L","外注品",LEFT(G1345,1)="W","内製品",G1345="","購買品")</f>
        <v>内製品</v>
      </c>
    </row>
    <row r="1346" spans="1:65" s="13" customFormat="1">
      <c r="A1346" t="str">
        <f t="shared" si="203"/>
        <v>WG01</v>
      </c>
      <c r="B1346" t="s">
        <v>1481</v>
      </c>
      <c r="C1346" t="s">
        <v>1549</v>
      </c>
      <c r="D1346" s="7"/>
      <c r="E1346" s="7"/>
      <c r="F1346"/>
      <c r="G1346"/>
      <c r="H1346">
        <v>27616</v>
      </c>
      <c r="I1346"/>
      <c r="J1346"/>
      <c r="K1346" t="str">
        <f t="shared" si="204"/>
        <v/>
      </c>
      <c r="L1346" s="3" t="str">
        <f t="shared" si="205"/>
        <v>2001/01/01</v>
      </c>
      <c r="M1346" s="3" t="str">
        <f t="shared" si="206"/>
        <v>2199/12/31</v>
      </c>
      <c r="N1346" t="str">
        <f t="shared" si="207"/>
        <v/>
      </c>
      <c r="O1346" t="str">
        <f t="shared" ref="O1346:O1361" si="213">IF(G1346="","","記載要")</f>
        <v/>
      </c>
      <c r="P1346"/>
      <c r="Q1346">
        <v>15</v>
      </c>
      <c r="R1346" s="21">
        <v>100000000</v>
      </c>
      <c r="S1346" s="21" t="str" cm="1">
        <f t="array" ref="S1346">_xlfn.IFS(LEFT(G1346,1)="L","記載要",LEFT(G1346,1)="W","記載要",G1346="","")</f>
        <v/>
      </c>
      <c r="T1346"/>
      <c r="U1346"/>
      <c r="V1346"/>
      <c r="W1346"/>
      <c r="X1346"/>
      <c r="Y1346"/>
      <c r="Z1346" s="8"/>
      <c r="AA1346" s="8">
        <v>1</v>
      </c>
      <c r="AB1346">
        <f t="shared" si="208"/>
        <v>0</v>
      </c>
      <c r="AC1346" s="8">
        <v>1</v>
      </c>
      <c r="AD1346"/>
      <c r="AE1346"/>
      <c r="AF1346">
        <v>1</v>
      </c>
      <c r="AG1346" s="8"/>
      <c r="AH1346" s="8"/>
      <c r="AI1346"/>
      <c r="AJ1346"/>
      <c r="AK1346" cm="1">
        <f t="array" ref="AK1346">_xlfn.IFS(B1346="","",LEFT(G1346,1)="L",1,LEFT(G1346,1)="W",1,AND(LEFT(B1346,1)="H",G1346=""),0)</f>
        <v>0</v>
      </c>
      <c r="AL1346"/>
      <c r="AM1346"/>
      <c r="AN1346"/>
      <c r="AO1346"/>
      <c r="AP1346"/>
      <c r="AQ1346"/>
      <c r="AR1346"/>
      <c r="AS1346">
        <f t="shared" si="209"/>
        <v>1</v>
      </c>
      <c r="AT1346" t="s">
        <v>115</v>
      </c>
      <c r="AU1346" t="str">
        <f t="shared" si="210"/>
        <v>0</v>
      </c>
      <c r="AV1346"/>
      <c r="AW1346"/>
      <c r="AX1346"/>
      <c r="AY1346"/>
      <c r="AZ1346"/>
      <c r="BA1346"/>
      <c r="BB1346"/>
      <c r="BC1346"/>
      <c r="BD1346" t="str">
        <f t="shared" si="211"/>
        <v>0</v>
      </c>
      <c r="BE1346"/>
      <c r="BF1346"/>
      <c r="BG1346"/>
      <c r="BH1346"/>
      <c r="BI1346"/>
      <c r="BJ1346"/>
      <c r="BK1346" s="13" t="str">
        <f>IFERROR(VLOOKUP(B1346,'[1]model_S-フレーム'!$F$5:$R$7000,13,1),"")</f>
        <v>E388305_01</v>
      </c>
      <c r="BL1346" s="14">
        <f>IFERROR(VLOOKUP(B1346,'[1]model_S-フレーム'!$F$5:$V$7000,17,1),"")</f>
        <v>0</v>
      </c>
      <c r="BM1346" s="13" t="str" cm="1">
        <f t="array" ref="BM1346">_xlfn.IFS(LEFT(G1346,1)="L","外注品",LEFT(G1346,1)="W","内製品",G1346="","購買品")</f>
        <v>購買品</v>
      </c>
    </row>
    <row r="1347" spans="1:65" s="13" customFormat="1">
      <c r="A1347" t="str">
        <f t="shared" ref="A1347:A1410" si="214">IF(B1347="","","WG01")</f>
        <v>WG01</v>
      </c>
      <c r="B1347" t="s">
        <v>1481</v>
      </c>
      <c r="C1347" t="s">
        <v>1549</v>
      </c>
      <c r="D1347" s="7"/>
      <c r="E1347" s="7"/>
      <c r="F1347"/>
      <c r="G1347"/>
      <c r="H1347">
        <v>43453</v>
      </c>
      <c r="I1347"/>
      <c r="J1347"/>
      <c r="K1347" t="str">
        <f t="shared" ref="K1347:K1410" si="215">IF(G1347="","","11"&amp;G1347&amp;RIGHT(B1347,5))</f>
        <v/>
      </c>
      <c r="L1347" s="3" t="str">
        <f t="shared" ref="L1347:L1410" si="216">IF(B1347="","","2001/01/01")</f>
        <v>2001/01/01</v>
      </c>
      <c r="M1347" s="3" t="str">
        <f t="shared" ref="M1347:M1410" si="217">IF(C1347="","","2199/12/31")</f>
        <v>2199/12/31</v>
      </c>
      <c r="N1347" t="str">
        <f t="shared" ref="N1347:N1410" si="218">IF(LEFT(G1347,1)="W",K1347,"")</f>
        <v/>
      </c>
      <c r="O1347" t="str">
        <f t="shared" si="213"/>
        <v/>
      </c>
      <c r="P1347"/>
      <c r="Q1347">
        <v>15</v>
      </c>
      <c r="R1347" s="21">
        <v>100000000</v>
      </c>
      <c r="S1347" s="21" t="str" cm="1">
        <f t="array" ref="S1347">_xlfn.IFS(LEFT(G1347,1)="L","記載要",LEFT(G1347,1)="W","記載要",G1347="","")</f>
        <v/>
      </c>
      <c r="T1347"/>
      <c r="U1347"/>
      <c r="V1347"/>
      <c r="W1347"/>
      <c r="X1347"/>
      <c r="Y1347"/>
      <c r="Z1347" s="8"/>
      <c r="AA1347" s="8">
        <v>1</v>
      </c>
      <c r="AB1347">
        <f t="shared" ref="AB1347:AB1410" si="219">IF(B1347="","",0)</f>
        <v>0</v>
      </c>
      <c r="AC1347" s="8">
        <v>1</v>
      </c>
      <c r="AD1347"/>
      <c r="AE1347"/>
      <c r="AF1347">
        <v>0</v>
      </c>
      <c r="AG1347" s="8"/>
      <c r="AH1347" s="8"/>
      <c r="AI1347"/>
      <c r="AJ1347"/>
      <c r="AK1347" cm="1">
        <f t="array" ref="AK1347">_xlfn.IFS(B1347="","",LEFT(G1347,1)="L",1,LEFT(G1347,1)="W",1,AND(LEFT(B1347,1)="H",G1347=""),0)</f>
        <v>0</v>
      </c>
      <c r="AL1347"/>
      <c r="AM1347"/>
      <c r="AN1347"/>
      <c r="AO1347"/>
      <c r="AP1347"/>
      <c r="AQ1347"/>
      <c r="AR1347"/>
      <c r="AS1347">
        <f t="shared" ref="AS1347:AS1410" si="220">IF(Q1347="","",1)</f>
        <v>1</v>
      </c>
      <c r="AT1347" t="s">
        <v>115</v>
      </c>
      <c r="AU1347" t="str">
        <f t="shared" ref="AU1347:AU1410" si="221">IF(B1347="","","0")</f>
        <v>0</v>
      </c>
      <c r="AV1347"/>
      <c r="AW1347"/>
      <c r="AX1347"/>
      <c r="AY1347"/>
      <c r="AZ1347"/>
      <c r="BA1347"/>
      <c r="BB1347"/>
      <c r="BC1347"/>
      <c r="BD1347" t="str">
        <f t="shared" ref="BD1347:BD1410" si="222">IF(B1347="","","0")</f>
        <v>0</v>
      </c>
      <c r="BE1347"/>
      <c r="BF1347"/>
      <c r="BG1347"/>
      <c r="BH1347"/>
      <c r="BI1347"/>
      <c r="BJ1347"/>
      <c r="BK1347" s="13" t="str">
        <f>IFERROR(VLOOKUP(B1347,'[1]model_S-フレーム'!$F$5:$R$7000,13,1),"")</f>
        <v>E388305_01</v>
      </c>
      <c r="BL1347" s="14">
        <f>IFERROR(VLOOKUP(B1347,'[1]model_S-フレーム'!$F$5:$V$7000,17,1),"")</f>
        <v>0</v>
      </c>
      <c r="BM1347" s="13" t="str" cm="1">
        <f t="array" ref="BM1347">_xlfn.IFS(LEFT(G1347,1)="L","外注品",LEFT(G1347,1)="W","内製品",G1347="","購買品")</f>
        <v>購買品</v>
      </c>
    </row>
    <row r="1348" spans="1:65" s="13" customFormat="1">
      <c r="A1348" t="str">
        <f t="shared" si="214"/>
        <v>WG01</v>
      </c>
      <c r="B1348" t="s">
        <v>1481</v>
      </c>
      <c r="C1348" t="s">
        <v>1549</v>
      </c>
      <c r="D1348" s="7"/>
      <c r="E1348" s="7"/>
      <c r="F1348"/>
      <c r="G1348"/>
      <c r="H1348">
        <v>47081</v>
      </c>
      <c r="I1348"/>
      <c r="J1348"/>
      <c r="K1348" t="str">
        <f t="shared" si="215"/>
        <v/>
      </c>
      <c r="L1348" s="3" t="str">
        <f t="shared" si="216"/>
        <v>2001/01/01</v>
      </c>
      <c r="M1348" s="3" t="str">
        <f t="shared" si="217"/>
        <v>2199/12/31</v>
      </c>
      <c r="N1348" t="str">
        <f t="shared" si="218"/>
        <v/>
      </c>
      <c r="O1348" t="str">
        <f t="shared" si="213"/>
        <v/>
      </c>
      <c r="P1348"/>
      <c r="Q1348">
        <v>15</v>
      </c>
      <c r="R1348" s="21">
        <v>100000000</v>
      </c>
      <c r="S1348" s="21" t="str" cm="1">
        <f t="array" ref="S1348">_xlfn.IFS(LEFT(G1348,1)="L","記載要",LEFT(G1348,1)="W","記載要",G1348="","")</f>
        <v/>
      </c>
      <c r="T1348"/>
      <c r="U1348"/>
      <c r="V1348"/>
      <c r="W1348"/>
      <c r="X1348"/>
      <c r="Y1348"/>
      <c r="Z1348" s="8"/>
      <c r="AA1348" s="8">
        <v>1</v>
      </c>
      <c r="AB1348">
        <f t="shared" si="219"/>
        <v>0</v>
      </c>
      <c r="AC1348" s="8">
        <v>1</v>
      </c>
      <c r="AD1348"/>
      <c r="AE1348"/>
      <c r="AF1348">
        <v>1</v>
      </c>
      <c r="AG1348" s="8"/>
      <c r="AH1348" s="8"/>
      <c r="AI1348"/>
      <c r="AJ1348"/>
      <c r="AK1348" cm="1">
        <f t="array" ref="AK1348">_xlfn.IFS(B1348="","",LEFT(G1348,1)="L",1,LEFT(G1348,1)="W",1,AND(LEFT(B1348,1)="H",G1348=""),0)</f>
        <v>0</v>
      </c>
      <c r="AL1348"/>
      <c r="AM1348"/>
      <c r="AN1348"/>
      <c r="AO1348"/>
      <c r="AP1348"/>
      <c r="AQ1348"/>
      <c r="AR1348"/>
      <c r="AS1348">
        <f t="shared" si="220"/>
        <v>1</v>
      </c>
      <c r="AT1348" t="s">
        <v>115</v>
      </c>
      <c r="AU1348" t="str">
        <f t="shared" si="221"/>
        <v>0</v>
      </c>
      <c r="AV1348"/>
      <c r="AW1348"/>
      <c r="AX1348"/>
      <c r="AY1348"/>
      <c r="AZ1348"/>
      <c r="BA1348"/>
      <c r="BB1348"/>
      <c r="BC1348"/>
      <c r="BD1348" t="str">
        <f t="shared" si="222"/>
        <v>0</v>
      </c>
      <c r="BE1348"/>
      <c r="BF1348"/>
      <c r="BG1348"/>
      <c r="BH1348"/>
      <c r="BI1348"/>
      <c r="BJ1348"/>
      <c r="BK1348" s="13" t="str">
        <f>IFERROR(VLOOKUP(B1348,'[1]model_S-フレーム'!$F$5:$R$7000,13,1),"")</f>
        <v>E388305_01</v>
      </c>
      <c r="BL1348" s="14">
        <f>IFERROR(VLOOKUP(B1348,'[1]model_S-フレーム'!$F$5:$V$7000,17,1),"")</f>
        <v>0</v>
      </c>
      <c r="BM1348" s="13" t="str" cm="1">
        <f t="array" ref="BM1348">_xlfn.IFS(LEFT(G1348,1)="L","外注品",LEFT(G1348,1)="W","内製品",G1348="","購買品")</f>
        <v>購買品</v>
      </c>
    </row>
    <row r="1349" spans="1:65">
      <c r="A1349" t="str">
        <f t="shared" si="214"/>
        <v>WG01</v>
      </c>
      <c r="B1349" t="s">
        <v>1481</v>
      </c>
      <c r="C1349" t="s">
        <v>1549</v>
      </c>
      <c r="D1349" s="7"/>
      <c r="E1349" s="7"/>
      <c r="H1349" s="19" t="s">
        <v>1937</v>
      </c>
      <c r="K1349" t="str">
        <f t="shared" si="215"/>
        <v/>
      </c>
      <c r="L1349" s="3" t="str">
        <f t="shared" si="216"/>
        <v>2001/01/01</v>
      </c>
      <c r="M1349" s="3" t="str">
        <f t="shared" si="217"/>
        <v>2199/12/31</v>
      </c>
      <c r="N1349" t="str">
        <f t="shared" si="218"/>
        <v/>
      </c>
      <c r="O1349" t="str">
        <f t="shared" si="213"/>
        <v/>
      </c>
      <c r="Q1349">
        <v>15</v>
      </c>
      <c r="R1349" s="21">
        <v>100000000</v>
      </c>
      <c r="S1349" s="21" t="str" cm="1">
        <f t="array" ref="S1349">_xlfn.IFS(LEFT(G1349,1)="L","記載要",LEFT(G1349,1)="W","記載要",G1349="","")</f>
        <v/>
      </c>
      <c r="Z1349" s="8"/>
      <c r="AA1349" s="8">
        <v>1</v>
      </c>
      <c r="AB1349">
        <f t="shared" si="219"/>
        <v>0</v>
      </c>
      <c r="AC1349" s="8">
        <v>1</v>
      </c>
      <c r="AF1349">
        <v>1</v>
      </c>
      <c r="AG1349" s="8"/>
      <c r="AH1349" s="8"/>
      <c r="AK1349" cm="1">
        <f t="array" ref="AK1349">_xlfn.IFS(B1349="","",LEFT(G1349,1)="L",1,LEFT(G1349,1)="W",1,AND(LEFT(B1349,1)="H",G1349=""),0)</f>
        <v>0</v>
      </c>
      <c r="AS1349">
        <f t="shared" si="220"/>
        <v>1</v>
      </c>
      <c r="AT1349" t="s">
        <v>115</v>
      </c>
      <c r="AU1349" t="str">
        <f t="shared" si="221"/>
        <v>0</v>
      </c>
      <c r="BD1349" t="str">
        <f t="shared" si="222"/>
        <v>0</v>
      </c>
      <c r="BK1349" t="str">
        <f>IFERROR(VLOOKUP(B1349,'[1]model_S-フレーム'!$F$5:$R$7000,13,1),"")</f>
        <v>E388305_01</v>
      </c>
      <c r="BL1349" s="7">
        <f>IFERROR(VLOOKUP(B1349,'[1]model_S-フレーム'!$F$5:$V$7000,17,1),"")</f>
        <v>0</v>
      </c>
      <c r="BM1349" t="str" cm="1">
        <f t="array" ref="BM1349">_xlfn.IFS(LEFT(G1349,1)="L","外注品",LEFT(G1349,1)="W","内製品",G1349="","購買品")</f>
        <v>購買品</v>
      </c>
    </row>
    <row r="1350" spans="1:65" s="13" customFormat="1">
      <c r="A1350" t="str">
        <f t="shared" si="214"/>
        <v>WG01</v>
      </c>
      <c r="B1350" t="s">
        <v>1482</v>
      </c>
      <c r="C1350" t="s">
        <v>1550</v>
      </c>
      <c r="D1350" s="7"/>
      <c r="E1350" s="7"/>
      <c r="F1350"/>
      <c r="G1350"/>
      <c r="H1350">
        <v>27616</v>
      </c>
      <c r="I1350"/>
      <c r="J1350"/>
      <c r="K1350" t="str">
        <f t="shared" si="215"/>
        <v/>
      </c>
      <c r="L1350" s="3" t="str">
        <f t="shared" si="216"/>
        <v>2001/01/01</v>
      </c>
      <c r="M1350" s="3" t="str">
        <f t="shared" si="217"/>
        <v>2199/12/31</v>
      </c>
      <c r="N1350" t="str">
        <f t="shared" si="218"/>
        <v/>
      </c>
      <c r="O1350" t="str">
        <f t="shared" si="213"/>
        <v/>
      </c>
      <c r="P1350"/>
      <c r="Q1350">
        <v>15</v>
      </c>
      <c r="R1350" s="21">
        <v>100000000</v>
      </c>
      <c r="S1350" s="21" t="str" cm="1">
        <f t="array" ref="S1350">_xlfn.IFS(LEFT(G1350,1)="L","記載要",LEFT(G1350,1)="W","記載要",G1350="","")</f>
        <v/>
      </c>
      <c r="T1350"/>
      <c r="U1350"/>
      <c r="V1350"/>
      <c r="W1350"/>
      <c r="X1350"/>
      <c r="Y1350"/>
      <c r="Z1350" s="8"/>
      <c r="AA1350" s="8">
        <v>1</v>
      </c>
      <c r="AB1350">
        <f t="shared" si="219"/>
        <v>0</v>
      </c>
      <c r="AC1350" s="8">
        <v>1</v>
      </c>
      <c r="AD1350"/>
      <c r="AE1350"/>
      <c r="AF1350">
        <v>1</v>
      </c>
      <c r="AG1350" s="8"/>
      <c r="AH1350" s="8"/>
      <c r="AI1350"/>
      <c r="AJ1350"/>
      <c r="AK1350" cm="1">
        <f t="array" ref="AK1350">_xlfn.IFS(B1350="","",LEFT(G1350,1)="L",1,LEFT(G1350,1)="W",1,AND(LEFT(B1350,1)="H",G1350=""),0)</f>
        <v>0</v>
      </c>
      <c r="AL1350"/>
      <c r="AM1350"/>
      <c r="AN1350"/>
      <c r="AO1350"/>
      <c r="AP1350"/>
      <c r="AQ1350"/>
      <c r="AR1350"/>
      <c r="AS1350">
        <f t="shared" si="220"/>
        <v>1</v>
      </c>
      <c r="AT1350" t="s">
        <v>115</v>
      </c>
      <c r="AU1350" t="str">
        <f t="shared" si="221"/>
        <v>0</v>
      </c>
      <c r="AV1350"/>
      <c r="AW1350"/>
      <c r="AX1350"/>
      <c r="AY1350"/>
      <c r="AZ1350"/>
      <c r="BA1350"/>
      <c r="BB1350"/>
      <c r="BC1350"/>
      <c r="BD1350" t="str">
        <f t="shared" si="222"/>
        <v>0</v>
      </c>
      <c r="BE1350"/>
      <c r="BF1350"/>
      <c r="BG1350"/>
      <c r="BH1350"/>
      <c r="BI1350"/>
      <c r="BJ1350"/>
      <c r="BK1350" s="13" t="str">
        <f>IFERROR(VLOOKUP(B1350,'[1]model_S-フレーム'!$F$5:$R$7000,13,1),"")</f>
        <v>E388305_01</v>
      </c>
      <c r="BL1350" s="14">
        <f>IFERROR(VLOOKUP(B1350,'[1]model_S-フレーム'!$F$5:$V$7000,17,1),"")</f>
        <v>0</v>
      </c>
      <c r="BM1350" s="13" t="str" cm="1">
        <f t="array" ref="BM1350">_xlfn.IFS(LEFT(G1350,1)="L","外注品",LEFT(G1350,1)="W","内製品",G1350="","購買品")</f>
        <v>購買品</v>
      </c>
    </row>
    <row r="1351" spans="1:65" s="13" customFormat="1">
      <c r="A1351" t="str">
        <f t="shared" si="214"/>
        <v>WG01</v>
      </c>
      <c r="B1351" t="s">
        <v>1482</v>
      </c>
      <c r="C1351" t="s">
        <v>1550</v>
      </c>
      <c r="D1351" s="7"/>
      <c r="E1351" s="7"/>
      <c r="F1351"/>
      <c r="G1351"/>
      <c r="H1351">
        <v>43453</v>
      </c>
      <c r="I1351"/>
      <c r="J1351"/>
      <c r="K1351" t="str">
        <f t="shared" si="215"/>
        <v/>
      </c>
      <c r="L1351" s="3" t="str">
        <f t="shared" si="216"/>
        <v>2001/01/01</v>
      </c>
      <c r="M1351" s="3" t="str">
        <f t="shared" si="217"/>
        <v>2199/12/31</v>
      </c>
      <c r="N1351" t="str">
        <f t="shared" si="218"/>
        <v/>
      </c>
      <c r="O1351" t="str">
        <f t="shared" si="213"/>
        <v/>
      </c>
      <c r="P1351"/>
      <c r="Q1351">
        <v>15</v>
      </c>
      <c r="R1351" s="21">
        <v>100000000</v>
      </c>
      <c r="S1351" s="21" t="str" cm="1">
        <f t="array" ref="S1351">_xlfn.IFS(LEFT(G1351,1)="L","記載要",LEFT(G1351,1)="W","記載要",G1351="","")</f>
        <v/>
      </c>
      <c r="T1351"/>
      <c r="U1351"/>
      <c r="V1351"/>
      <c r="W1351"/>
      <c r="X1351"/>
      <c r="Y1351"/>
      <c r="Z1351" s="8"/>
      <c r="AA1351" s="8">
        <v>1</v>
      </c>
      <c r="AB1351">
        <f t="shared" si="219"/>
        <v>0</v>
      </c>
      <c r="AC1351" s="8">
        <v>1</v>
      </c>
      <c r="AD1351"/>
      <c r="AE1351"/>
      <c r="AF1351">
        <v>0</v>
      </c>
      <c r="AG1351" s="8"/>
      <c r="AH1351" s="8"/>
      <c r="AI1351"/>
      <c r="AJ1351"/>
      <c r="AK1351" cm="1">
        <f t="array" ref="AK1351">_xlfn.IFS(B1351="","",LEFT(G1351,1)="L",1,LEFT(G1351,1)="W",1,AND(LEFT(B1351,1)="H",G1351=""),0)</f>
        <v>0</v>
      </c>
      <c r="AL1351"/>
      <c r="AM1351"/>
      <c r="AN1351"/>
      <c r="AO1351"/>
      <c r="AP1351"/>
      <c r="AQ1351"/>
      <c r="AR1351"/>
      <c r="AS1351">
        <f t="shared" si="220"/>
        <v>1</v>
      </c>
      <c r="AT1351" t="s">
        <v>115</v>
      </c>
      <c r="AU1351" t="str">
        <f t="shared" si="221"/>
        <v>0</v>
      </c>
      <c r="AV1351"/>
      <c r="AW1351"/>
      <c r="AX1351"/>
      <c r="AY1351"/>
      <c r="AZ1351"/>
      <c r="BA1351"/>
      <c r="BB1351"/>
      <c r="BC1351"/>
      <c r="BD1351" t="str">
        <f t="shared" si="222"/>
        <v>0</v>
      </c>
      <c r="BE1351"/>
      <c r="BF1351"/>
      <c r="BG1351"/>
      <c r="BH1351"/>
      <c r="BI1351"/>
      <c r="BJ1351"/>
      <c r="BK1351" s="13" t="str">
        <f>IFERROR(VLOOKUP(B1351,'[1]model_S-フレーム'!$F$5:$R$7000,13,1),"")</f>
        <v>E388305_01</v>
      </c>
      <c r="BL1351" s="14">
        <f>IFERROR(VLOOKUP(B1351,'[1]model_S-フレーム'!$F$5:$V$7000,17,1),"")</f>
        <v>0</v>
      </c>
      <c r="BM1351" s="13" t="str" cm="1">
        <f t="array" ref="BM1351">_xlfn.IFS(LEFT(G1351,1)="L","外注品",LEFT(G1351,1)="W","内製品",G1351="","購買品")</f>
        <v>購買品</v>
      </c>
    </row>
    <row r="1352" spans="1:65" s="13" customFormat="1">
      <c r="A1352" t="str">
        <f t="shared" si="214"/>
        <v>WG01</v>
      </c>
      <c r="B1352" t="s">
        <v>1482</v>
      </c>
      <c r="C1352" t="s">
        <v>1550</v>
      </c>
      <c r="D1352" s="7"/>
      <c r="E1352" s="7"/>
      <c r="F1352"/>
      <c r="G1352"/>
      <c r="H1352">
        <v>47081</v>
      </c>
      <c r="I1352"/>
      <c r="J1352"/>
      <c r="K1352" t="str">
        <f t="shared" si="215"/>
        <v/>
      </c>
      <c r="L1352" s="3" t="str">
        <f t="shared" si="216"/>
        <v>2001/01/01</v>
      </c>
      <c r="M1352" s="3" t="str">
        <f t="shared" si="217"/>
        <v>2199/12/31</v>
      </c>
      <c r="N1352" t="str">
        <f t="shared" si="218"/>
        <v/>
      </c>
      <c r="O1352" t="str">
        <f t="shared" si="213"/>
        <v/>
      </c>
      <c r="P1352"/>
      <c r="Q1352">
        <v>15</v>
      </c>
      <c r="R1352" s="21">
        <v>100000000</v>
      </c>
      <c r="S1352" s="21" t="str" cm="1">
        <f t="array" ref="S1352">_xlfn.IFS(LEFT(G1352,1)="L","記載要",LEFT(G1352,1)="W","記載要",G1352="","")</f>
        <v/>
      </c>
      <c r="T1352"/>
      <c r="U1352"/>
      <c r="V1352"/>
      <c r="W1352"/>
      <c r="X1352"/>
      <c r="Y1352"/>
      <c r="Z1352" s="8"/>
      <c r="AA1352" s="8">
        <v>1</v>
      </c>
      <c r="AB1352">
        <f t="shared" si="219"/>
        <v>0</v>
      </c>
      <c r="AC1352" s="8">
        <v>1</v>
      </c>
      <c r="AD1352"/>
      <c r="AE1352"/>
      <c r="AF1352">
        <v>1</v>
      </c>
      <c r="AG1352" s="8"/>
      <c r="AH1352" s="8"/>
      <c r="AI1352"/>
      <c r="AJ1352"/>
      <c r="AK1352" cm="1">
        <f t="array" ref="AK1352">_xlfn.IFS(B1352="","",LEFT(G1352,1)="L",1,LEFT(G1352,1)="W",1,AND(LEFT(B1352,1)="H",G1352=""),0)</f>
        <v>0</v>
      </c>
      <c r="AL1352"/>
      <c r="AM1352"/>
      <c r="AN1352"/>
      <c r="AO1352"/>
      <c r="AP1352"/>
      <c r="AQ1352"/>
      <c r="AR1352"/>
      <c r="AS1352">
        <f t="shared" si="220"/>
        <v>1</v>
      </c>
      <c r="AT1352" t="s">
        <v>115</v>
      </c>
      <c r="AU1352" t="str">
        <f t="shared" si="221"/>
        <v>0</v>
      </c>
      <c r="AV1352"/>
      <c r="AW1352"/>
      <c r="AX1352"/>
      <c r="AY1352"/>
      <c r="AZ1352"/>
      <c r="BA1352"/>
      <c r="BB1352"/>
      <c r="BC1352"/>
      <c r="BD1352" t="str">
        <f t="shared" si="222"/>
        <v>0</v>
      </c>
      <c r="BE1352"/>
      <c r="BF1352"/>
      <c r="BG1352"/>
      <c r="BH1352"/>
      <c r="BI1352"/>
      <c r="BJ1352"/>
      <c r="BK1352" s="13" t="str">
        <f>IFERROR(VLOOKUP(B1352,'[1]model_S-フレーム'!$F$5:$R$7000,13,1),"")</f>
        <v>E388305_01</v>
      </c>
      <c r="BL1352" s="14">
        <f>IFERROR(VLOOKUP(B1352,'[1]model_S-フレーム'!$F$5:$V$7000,17,1),"")</f>
        <v>0</v>
      </c>
      <c r="BM1352" s="13" t="str" cm="1">
        <f t="array" ref="BM1352">_xlfn.IFS(LEFT(G1352,1)="L","外注品",LEFT(G1352,1)="W","内製品",G1352="","購買品")</f>
        <v>購買品</v>
      </c>
    </row>
    <row r="1353" spans="1:65">
      <c r="A1353" t="str">
        <f t="shared" si="214"/>
        <v>WG01</v>
      </c>
      <c r="B1353" t="s">
        <v>1482</v>
      </c>
      <c r="C1353" t="s">
        <v>1550</v>
      </c>
      <c r="D1353" s="7"/>
      <c r="E1353" s="7"/>
      <c r="H1353" s="19" t="s">
        <v>1937</v>
      </c>
      <c r="K1353" t="str">
        <f t="shared" si="215"/>
        <v/>
      </c>
      <c r="L1353" s="3" t="str">
        <f t="shared" si="216"/>
        <v>2001/01/01</v>
      </c>
      <c r="M1353" s="3" t="str">
        <f t="shared" si="217"/>
        <v>2199/12/31</v>
      </c>
      <c r="N1353" t="str">
        <f t="shared" si="218"/>
        <v/>
      </c>
      <c r="O1353" t="str">
        <f t="shared" si="213"/>
        <v/>
      </c>
      <c r="Q1353">
        <v>15</v>
      </c>
      <c r="R1353" s="21">
        <v>100000000</v>
      </c>
      <c r="S1353" s="21" t="str" cm="1">
        <f t="array" ref="S1353">_xlfn.IFS(LEFT(G1353,1)="L","記載要",LEFT(G1353,1)="W","記載要",G1353="","")</f>
        <v/>
      </c>
      <c r="Z1353" s="8"/>
      <c r="AA1353" s="8">
        <v>1</v>
      </c>
      <c r="AB1353">
        <f t="shared" si="219"/>
        <v>0</v>
      </c>
      <c r="AC1353" s="8">
        <v>1</v>
      </c>
      <c r="AF1353">
        <v>1</v>
      </c>
      <c r="AG1353" s="8"/>
      <c r="AH1353" s="8"/>
      <c r="AK1353" cm="1">
        <f t="array" ref="AK1353">_xlfn.IFS(B1353="","",LEFT(G1353,1)="L",1,LEFT(G1353,1)="W",1,AND(LEFT(B1353,1)="H",G1353=""),0)</f>
        <v>0</v>
      </c>
      <c r="AS1353">
        <f t="shared" si="220"/>
        <v>1</v>
      </c>
      <c r="AT1353" t="s">
        <v>115</v>
      </c>
      <c r="AU1353" t="str">
        <f t="shared" si="221"/>
        <v>0</v>
      </c>
      <c r="BD1353" t="str">
        <f t="shared" si="222"/>
        <v>0</v>
      </c>
      <c r="BK1353" t="str">
        <f>IFERROR(VLOOKUP(B1353,'[1]model_S-フレーム'!$F$5:$R$7000,13,1),"")</f>
        <v>E388305_01</v>
      </c>
      <c r="BL1353" s="7">
        <f>IFERROR(VLOOKUP(B1353,'[1]model_S-フレーム'!$F$5:$V$7000,17,1),"")</f>
        <v>0</v>
      </c>
      <c r="BM1353" t="str" cm="1">
        <f t="array" ref="BM1353">_xlfn.IFS(LEFT(G1353,1)="L","外注品",LEFT(G1353,1)="W","内製品",G1353="","購買品")</f>
        <v>購買品</v>
      </c>
    </row>
    <row r="1354" spans="1:65" s="13" customFormat="1">
      <c r="A1354" t="str">
        <f t="shared" si="214"/>
        <v>WG01</v>
      </c>
      <c r="B1354" t="s">
        <v>1483</v>
      </c>
      <c r="C1354" t="s">
        <v>1551</v>
      </c>
      <c r="D1354" s="7"/>
      <c r="E1354" s="7"/>
      <c r="F1354"/>
      <c r="G1354"/>
      <c r="H1354">
        <v>27616</v>
      </c>
      <c r="I1354"/>
      <c r="J1354"/>
      <c r="K1354" t="str">
        <f t="shared" si="215"/>
        <v/>
      </c>
      <c r="L1354" s="3" t="str">
        <f t="shared" si="216"/>
        <v>2001/01/01</v>
      </c>
      <c r="M1354" s="3" t="str">
        <f t="shared" si="217"/>
        <v>2199/12/31</v>
      </c>
      <c r="N1354" t="str">
        <f t="shared" si="218"/>
        <v/>
      </c>
      <c r="O1354" t="str">
        <f t="shared" si="213"/>
        <v/>
      </c>
      <c r="P1354"/>
      <c r="Q1354">
        <v>15</v>
      </c>
      <c r="R1354" s="21">
        <v>100000000</v>
      </c>
      <c r="S1354" s="21" t="str" cm="1">
        <f t="array" ref="S1354">_xlfn.IFS(LEFT(G1354,1)="L","記載要",LEFT(G1354,1)="W","記載要",G1354="","")</f>
        <v/>
      </c>
      <c r="T1354"/>
      <c r="U1354"/>
      <c r="V1354"/>
      <c r="W1354"/>
      <c r="X1354"/>
      <c r="Y1354"/>
      <c r="Z1354" s="8"/>
      <c r="AA1354" s="8">
        <v>1</v>
      </c>
      <c r="AB1354">
        <f t="shared" si="219"/>
        <v>0</v>
      </c>
      <c r="AC1354" s="8">
        <v>1</v>
      </c>
      <c r="AD1354"/>
      <c r="AE1354"/>
      <c r="AF1354">
        <v>1</v>
      </c>
      <c r="AG1354" s="8"/>
      <c r="AH1354" s="8"/>
      <c r="AI1354"/>
      <c r="AJ1354"/>
      <c r="AK1354" cm="1">
        <f t="array" ref="AK1354">_xlfn.IFS(B1354="","",LEFT(G1354,1)="L",1,LEFT(G1354,1)="W",1,AND(LEFT(B1354,1)="H",G1354=""),0)</f>
        <v>0</v>
      </c>
      <c r="AL1354"/>
      <c r="AM1354"/>
      <c r="AN1354"/>
      <c r="AO1354"/>
      <c r="AP1354"/>
      <c r="AQ1354"/>
      <c r="AR1354"/>
      <c r="AS1354">
        <f t="shared" si="220"/>
        <v>1</v>
      </c>
      <c r="AT1354" t="s">
        <v>115</v>
      </c>
      <c r="AU1354" t="str">
        <f t="shared" si="221"/>
        <v>0</v>
      </c>
      <c r="AV1354"/>
      <c r="AW1354"/>
      <c r="AX1354"/>
      <c r="AY1354"/>
      <c r="AZ1354"/>
      <c r="BA1354"/>
      <c r="BB1354"/>
      <c r="BC1354"/>
      <c r="BD1354" t="str">
        <f t="shared" si="222"/>
        <v>0</v>
      </c>
      <c r="BE1354"/>
      <c r="BF1354"/>
      <c r="BG1354"/>
      <c r="BH1354"/>
      <c r="BI1354"/>
      <c r="BJ1354"/>
      <c r="BK1354" s="13" t="str">
        <f>IFERROR(VLOOKUP(B1354,'[1]model_S-フレーム'!$F$5:$R$7000,13,1),"")</f>
        <v>E388305_01</v>
      </c>
      <c r="BL1354" s="14">
        <f>IFERROR(VLOOKUP(B1354,'[1]model_S-フレーム'!$F$5:$V$7000,17,1),"")</f>
        <v>0</v>
      </c>
      <c r="BM1354" s="13" t="str" cm="1">
        <f t="array" ref="BM1354">_xlfn.IFS(LEFT(G1354,1)="L","外注品",LEFT(G1354,1)="W","内製品",G1354="","購買品")</f>
        <v>購買品</v>
      </c>
    </row>
    <row r="1355" spans="1:65" s="13" customFormat="1">
      <c r="A1355" t="str">
        <f t="shared" si="214"/>
        <v>WG01</v>
      </c>
      <c r="B1355" t="s">
        <v>1483</v>
      </c>
      <c r="C1355" t="s">
        <v>1551</v>
      </c>
      <c r="D1355" s="7"/>
      <c r="E1355" s="7"/>
      <c r="F1355"/>
      <c r="G1355"/>
      <c r="H1355">
        <v>43453</v>
      </c>
      <c r="I1355"/>
      <c r="J1355"/>
      <c r="K1355" t="str">
        <f t="shared" si="215"/>
        <v/>
      </c>
      <c r="L1355" s="3" t="str">
        <f t="shared" si="216"/>
        <v>2001/01/01</v>
      </c>
      <c r="M1355" s="3" t="str">
        <f t="shared" si="217"/>
        <v>2199/12/31</v>
      </c>
      <c r="N1355" t="str">
        <f t="shared" si="218"/>
        <v/>
      </c>
      <c r="O1355" t="str">
        <f t="shared" si="213"/>
        <v/>
      </c>
      <c r="P1355"/>
      <c r="Q1355">
        <v>15</v>
      </c>
      <c r="R1355" s="21">
        <v>100000000</v>
      </c>
      <c r="S1355" s="21" t="str" cm="1">
        <f t="array" ref="S1355">_xlfn.IFS(LEFT(G1355,1)="L","記載要",LEFT(G1355,1)="W","記載要",G1355="","")</f>
        <v/>
      </c>
      <c r="T1355"/>
      <c r="U1355"/>
      <c r="V1355"/>
      <c r="W1355"/>
      <c r="X1355"/>
      <c r="Y1355"/>
      <c r="Z1355" s="8"/>
      <c r="AA1355" s="8">
        <v>1</v>
      </c>
      <c r="AB1355">
        <f t="shared" si="219"/>
        <v>0</v>
      </c>
      <c r="AC1355" s="8">
        <v>1</v>
      </c>
      <c r="AD1355"/>
      <c r="AE1355"/>
      <c r="AF1355">
        <v>0</v>
      </c>
      <c r="AG1355" s="8"/>
      <c r="AH1355" s="8"/>
      <c r="AI1355"/>
      <c r="AJ1355"/>
      <c r="AK1355" cm="1">
        <f t="array" ref="AK1355">_xlfn.IFS(B1355="","",LEFT(G1355,1)="L",1,LEFT(G1355,1)="W",1,AND(LEFT(B1355,1)="H",G1355=""),0)</f>
        <v>0</v>
      </c>
      <c r="AL1355"/>
      <c r="AM1355"/>
      <c r="AN1355"/>
      <c r="AO1355"/>
      <c r="AP1355"/>
      <c r="AQ1355"/>
      <c r="AR1355"/>
      <c r="AS1355">
        <f t="shared" si="220"/>
        <v>1</v>
      </c>
      <c r="AT1355" t="s">
        <v>115</v>
      </c>
      <c r="AU1355" t="str">
        <f t="shared" si="221"/>
        <v>0</v>
      </c>
      <c r="AV1355"/>
      <c r="AW1355"/>
      <c r="AX1355"/>
      <c r="AY1355"/>
      <c r="AZ1355"/>
      <c r="BA1355"/>
      <c r="BB1355"/>
      <c r="BC1355"/>
      <c r="BD1355" t="str">
        <f t="shared" si="222"/>
        <v>0</v>
      </c>
      <c r="BE1355"/>
      <c r="BF1355"/>
      <c r="BG1355"/>
      <c r="BH1355"/>
      <c r="BI1355"/>
      <c r="BJ1355"/>
      <c r="BK1355" s="13" t="str">
        <f>IFERROR(VLOOKUP(B1355,'[1]model_S-フレーム'!$F$5:$R$7000,13,1),"")</f>
        <v>E388305_01</v>
      </c>
      <c r="BL1355" s="14">
        <f>IFERROR(VLOOKUP(B1355,'[1]model_S-フレーム'!$F$5:$V$7000,17,1),"")</f>
        <v>0</v>
      </c>
      <c r="BM1355" s="13" t="str" cm="1">
        <f t="array" ref="BM1355">_xlfn.IFS(LEFT(G1355,1)="L","外注品",LEFT(G1355,1)="W","内製品",G1355="","購買品")</f>
        <v>購買品</v>
      </c>
    </row>
    <row r="1356" spans="1:65" s="13" customFormat="1">
      <c r="A1356" t="str">
        <f t="shared" si="214"/>
        <v>WG01</v>
      </c>
      <c r="B1356" t="s">
        <v>1483</v>
      </c>
      <c r="C1356" t="s">
        <v>1551</v>
      </c>
      <c r="D1356" s="7"/>
      <c r="E1356" s="7"/>
      <c r="F1356"/>
      <c r="G1356"/>
      <c r="H1356">
        <v>47081</v>
      </c>
      <c r="I1356"/>
      <c r="J1356"/>
      <c r="K1356" t="str">
        <f t="shared" si="215"/>
        <v/>
      </c>
      <c r="L1356" s="3" t="str">
        <f t="shared" si="216"/>
        <v>2001/01/01</v>
      </c>
      <c r="M1356" s="3" t="str">
        <f t="shared" si="217"/>
        <v>2199/12/31</v>
      </c>
      <c r="N1356" t="str">
        <f t="shared" si="218"/>
        <v/>
      </c>
      <c r="O1356" t="str">
        <f t="shared" si="213"/>
        <v/>
      </c>
      <c r="P1356"/>
      <c r="Q1356">
        <v>15</v>
      </c>
      <c r="R1356" s="21">
        <v>100000000</v>
      </c>
      <c r="S1356" s="21" t="str" cm="1">
        <f t="array" ref="S1356">_xlfn.IFS(LEFT(G1356,1)="L","記載要",LEFT(G1356,1)="W","記載要",G1356="","")</f>
        <v/>
      </c>
      <c r="T1356"/>
      <c r="U1356"/>
      <c r="V1356"/>
      <c r="W1356"/>
      <c r="X1356"/>
      <c r="Y1356"/>
      <c r="Z1356" s="8"/>
      <c r="AA1356" s="8">
        <v>1</v>
      </c>
      <c r="AB1356">
        <f t="shared" si="219"/>
        <v>0</v>
      </c>
      <c r="AC1356" s="8">
        <v>1</v>
      </c>
      <c r="AD1356"/>
      <c r="AE1356"/>
      <c r="AF1356">
        <v>1</v>
      </c>
      <c r="AG1356" s="8"/>
      <c r="AH1356" s="8"/>
      <c r="AI1356"/>
      <c r="AJ1356"/>
      <c r="AK1356" cm="1">
        <f t="array" ref="AK1356">_xlfn.IFS(B1356="","",LEFT(G1356,1)="L",1,LEFT(G1356,1)="W",1,AND(LEFT(B1356,1)="H",G1356=""),0)</f>
        <v>0</v>
      </c>
      <c r="AL1356"/>
      <c r="AM1356"/>
      <c r="AN1356"/>
      <c r="AO1356"/>
      <c r="AP1356"/>
      <c r="AQ1356"/>
      <c r="AR1356"/>
      <c r="AS1356">
        <f t="shared" si="220"/>
        <v>1</v>
      </c>
      <c r="AT1356" t="s">
        <v>115</v>
      </c>
      <c r="AU1356" t="str">
        <f t="shared" si="221"/>
        <v>0</v>
      </c>
      <c r="AV1356"/>
      <c r="AW1356"/>
      <c r="AX1356"/>
      <c r="AY1356"/>
      <c r="AZ1356"/>
      <c r="BA1356"/>
      <c r="BB1356"/>
      <c r="BC1356"/>
      <c r="BD1356" t="str">
        <f t="shared" si="222"/>
        <v>0</v>
      </c>
      <c r="BE1356"/>
      <c r="BF1356"/>
      <c r="BG1356"/>
      <c r="BH1356"/>
      <c r="BI1356"/>
      <c r="BJ1356"/>
      <c r="BK1356" s="13" t="str">
        <f>IFERROR(VLOOKUP(B1356,'[1]model_S-フレーム'!$F$5:$R$7000,13,1),"")</f>
        <v>E388305_01</v>
      </c>
      <c r="BL1356" s="14">
        <f>IFERROR(VLOOKUP(B1356,'[1]model_S-フレーム'!$F$5:$V$7000,17,1),"")</f>
        <v>0</v>
      </c>
      <c r="BM1356" s="13" t="str" cm="1">
        <f t="array" ref="BM1356">_xlfn.IFS(LEFT(G1356,1)="L","外注品",LEFT(G1356,1)="W","内製品",G1356="","購買品")</f>
        <v>購買品</v>
      </c>
    </row>
    <row r="1357" spans="1:65">
      <c r="A1357" t="str">
        <f t="shared" si="214"/>
        <v>WG01</v>
      </c>
      <c r="B1357" t="s">
        <v>1483</v>
      </c>
      <c r="C1357" t="s">
        <v>1551</v>
      </c>
      <c r="D1357" s="7"/>
      <c r="E1357" s="7"/>
      <c r="H1357" s="19" t="s">
        <v>1937</v>
      </c>
      <c r="K1357" t="str">
        <f t="shared" si="215"/>
        <v/>
      </c>
      <c r="L1357" s="3" t="str">
        <f t="shared" si="216"/>
        <v>2001/01/01</v>
      </c>
      <c r="M1357" s="3" t="str">
        <f t="shared" si="217"/>
        <v>2199/12/31</v>
      </c>
      <c r="N1357" t="str">
        <f t="shared" si="218"/>
        <v/>
      </c>
      <c r="O1357" t="str">
        <f t="shared" si="213"/>
        <v/>
      </c>
      <c r="Q1357">
        <v>15</v>
      </c>
      <c r="R1357" s="21">
        <v>100000000</v>
      </c>
      <c r="S1357" s="21" t="str" cm="1">
        <f t="array" ref="S1357">_xlfn.IFS(LEFT(G1357,1)="L","記載要",LEFT(G1357,1)="W","記載要",G1357="","")</f>
        <v/>
      </c>
      <c r="Z1357" s="8"/>
      <c r="AA1357" s="8">
        <v>1</v>
      </c>
      <c r="AB1357">
        <f t="shared" si="219"/>
        <v>0</v>
      </c>
      <c r="AC1357" s="8">
        <v>1</v>
      </c>
      <c r="AF1357">
        <v>1</v>
      </c>
      <c r="AG1357" s="8"/>
      <c r="AH1357" s="8"/>
      <c r="AK1357" cm="1">
        <f t="array" ref="AK1357">_xlfn.IFS(B1357="","",LEFT(G1357,1)="L",1,LEFT(G1357,1)="W",1,AND(LEFT(B1357,1)="H",G1357=""),0)</f>
        <v>0</v>
      </c>
      <c r="AS1357">
        <f t="shared" si="220"/>
        <v>1</v>
      </c>
      <c r="AT1357" t="s">
        <v>115</v>
      </c>
      <c r="AU1357" t="str">
        <f t="shared" si="221"/>
        <v>0</v>
      </c>
      <c r="BD1357" t="str">
        <f t="shared" si="222"/>
        <v>0</v>
      </c>
      <c r="BK1357" t="str">
        <f>IFERROR(VLOOKUP(B1357,'[1]model_S-フレーム'!$F$5:$R$7000,13,1),"")</f>
        <v>E388305_01</v>
      </c>
      <c r="BL1357" s="7">
        <f>IFERROR(VLOOKUP(B1357,'[1]model_S-フレーム'!$F$5:$V$7000,17,1),"")</f>
        <v>0</v>
      </c>
      <c r="BM1357" t="str" cm="1">
        <f t="array" ref="BM1357">_xlfn.IFS(LEFT(G1357,1)="L","外注品",LEFT(G1357,1)="W","内製品",G1357="","購買品")</f>
        <v>購買品</v>
      </c>
    </row>
    <row r="1358" spans="1:65" s="13" customFormat="1">
      <c r="A1358" t="str">
        <f t="shared" si="214"/>
        <v>WG01</v>
      </c>
      <c r="B1358" t="s">
        <v>1484</v>
      </c>
      <c r="C1358" t="s">
        <v>1552</v>
      </c>
      <c r="D1358" s="7"/>
      <c r="E1358" s="7"/>
      <c r="F1358"/>
      <c r="G1358"/>
      <c r="H1358">
        <v>27616</v>
      </c>
      <c r="I1358"/>
      <c r="J1358"/>
      <c r="K1358" t="str">
        <f t="shared" si="215"/>
        <v/>
      </c>
      <c r="L1358" s="3" t="str">
        <f t="shared" si="216"/>
        <v>2001/01/01</v>
      </c>
      <c r="M1358" s="3" t="str">
        <f t="shared" si="217"/>
        <v>2199/12/31</v>
      </c>
      <c r="N1358" t="str">
        <f t="shared" si="218"/>
        <v/>
      </c>
      <c r="O1358" t="str">
        <f t="shared" si="213"/>
        <v/>
      </c>
      <c r="P1358"/>
      <c r="Q1358">
        <v>15</v>
      </c>
      <c r="R1358" s="21">
        <v>100000000</v>
      </c>
      <c r="S1358" s="21" t="str" cm="1">
        <f t="array" ref="S1358">_xlfn.IFS(LEFT(G1358,1)="L","記載要",LEFT(G1358,1)="W","記載要",G1358="","")</f>
        <v/>
      </c>
      <c r="T1358"/>
      <c r="U1358"/>
      <c r="V1358"/>
      <c r="W1358"/>
      <c r="X1358"/>
      <c r="Y1358"/>
      <c r="Z1358" s="8"/>
      <c r="AA1358" s="8">
        <v>1</v>
      </c>
      <c r="AB1358">
        <f t="shared" si="219"/>
        <v>0</v>
      </c>
      <c r="AC1358" s="8">
        <v>1</v>
      </c>
      <c r="AD1358"/>
      <c r="AE1358"/>
      <c r="AF1358">
        <v>1</v>
      </c>
      <c r="AG1358" s="8"/>
      <c r="AH1358" s="8"/>
      <c r="AI1358"/>
      <c r="AJ1358"/>
      <c r="AK1358" cm="1">
        <f t="array" ref="AK1358">_xlfn.IFS(B1358="","",LEFT(G1358,1)="L",1,LEFT(G1358,1)="W",1,AND(LEFT(B1358,1)="H",G1358=""),0)</f>
        <v>0</v>
      </c>
      <c r="AL1358"/>
      <c r="AM1358"/>
      <c r="AN1358"/>
      <c r="AO1358"/>
      <c r="AP1358"/>
      <c r="AQ1358"/>
      <c r="AR1358"/>
      <c r="AS1358">
        <f t="shared" si="220"/>
        <v>1</v>
      </c>
      <c r="AT1358" t="s">
        <v>115</v>
      </c>
      <c r="AU1358" t="str">
        <f t="shared" si="221"/>
        <v>0</v>
      </c>
      <c r="AV1358"/>
      <c r="AW1358"/>
      <c r="AX1358"/>
      <c r="AY1358"/>
      <c r="AZ1358"/>
      <c r="BA1358"/>
      <c r="BB1358"/>
      <c r="BC1358"/>
      <c r="BD1358" t="str">
        <f t="shared" si="222"/>
        <v>0</v>
      </c>
      <c r="BE1358"/>
      <c r="BF1358"/>
      <c r="BG1358"/>
      <c r="BH1358"/>
      <c r="BI1358"/>
      <c r="BJ1358"/>
      <c r="BK1358" s="13" t="str">
        <f>IFERROR(VLOOKUP(B1358,'[1]model_S-フレーム'!$F$5:$R$7000,13,1),"")</f>
        <v>E388305_01</v>
      </c>
      <c r="BL1358" s="14">
        <f>IFERROR(VLOOKUP(B1358,'[1]model_S-フレーム'!$F$5:$V$7000,17,1),"")</f>
        <v>0</v>
      </c>
      <c r="BM1358" s="13" t="str" cm="1">
        <f t="array" ref="BM1358">_xlfn.IFS(LEFT(G1358,1)="L","外注品",LEFT(G1358,1)="W","内製品",G1358="","購買品")</f>
        <v>購買品</v>
      </c>
    </row>
    <row r="1359" spans="1:65" s="13" customFormat="1">
      <c r="A1359" t="str">
        <f t="shared" si="214"/>
        <v>WG01</v>
      </c>
      <c r="B1359" t="s">
        <v>1484</v>
      </c>
      <c r="C1359" t="s">
        <v>1552</v>
      </c>
      <c r="D1359" s="7"/>
      <c r="E1359" s="7"/>
      <c r="F1359"/>
      <c r="G1359"/>
      <c r="H1359">
        <v>43453</v>
      </c>
      <c r="I1359"/>
      <c r="J1359"/>
      <c r="K1359" t="str">
        <f t="shared" si="215"/>
        <v/>
      </c>
      <c r="L1359" s="3" t="str">
        <f t="shared" si="216"/>
        <v>2001/01/01</v>
      </c>
      <c r="M1359" s="3" t="str">
        <f t="shared" si="217"/>
        <v>2199/12/31</v>
      </c>
      <c r="N1359" t="str">
        <f t="shared" si="218"/>
        <v/>
      </c>
      <c r="O1359" t="str">
        <f t="shared" si="213"/>
        <v/>
      </c>
      <c r="P1359"/>
      <c r="Q1359">
        <v>15</v>
      </c>
      <c r="R1359" s="21">
        <v>100000000</v>
      </c>
      <c r="S1359" s="21" t="str" cm="1">
        <f t="array" ref="S1359">_xlfn.IFS(LEFT(G1359,1)="L","記載要",LEFT(G1359,1)="W","記載要",G1359="","")</f>
        <v/>
      </c>
      <c r="T1359"/>
      <c r="U1359"/>
      <c r="V1359"/>
      <c r="W1359"/>
      <c r="X1359"/>
      <c r="Y1359"/>
      <c r="Z1359" s="8"/>
      <c r="AA1359" s="8">
        <v>1</v>
      </c>
      <c r="AB1359">
        <f t="shared" si="219"/>
        <v>0</v>
      </c>
      <c r="AC1359" s="8">
        <v>1</v>
      </c>
      <c r="AD1359"/>
      <c r="AE1359"/>
      <c r="AF1359">
        <v>0</v>
      </c>
      <c r="AG1359" s="8"/>
      <c r="AH1359" s="8"/>
      <c r="AI1359"/>
      <c r="AJ1359"/>
      <c r="AK1359" cm="1">
        <f t="array" ref="AK1359">_xlfn.IFS(B1359="","",LEFT(G1359,1)="L",1,LEFT(G1359,1)="W",1,AND(LEFT(B1359,1)="H",G1359=""),0)</f>
        <v>0</v>
      </c>
      <c r="AL1359"/>
      <c r="AM1359"/>
      <c r="AN1359"/>
      <c r="AO1359"/>
      <c r="AP1359"/>
      <c r="AQ1359"/>
      <c r="AR1359"/>
      <c r="AS1359">
        <f t="shared" si="220"/>
        <v>1</v>
      </c>
      <c r="AT1359" t="s">
        <v>115</v>
      </c>
      <c r="AU1359" t="str">
        <f t="shared" si="221"/>
        <v>0</v>
      </c>
      <c r="AV1359"/>
      <c r="AW1359"/>
      <c r="AX1359"/>
      <c r="AY1359"/>
      <c r="AZ1359"/>
      <c r="BA1359"/>
      <c r="BB1359"/>
      <c r="BC1359"/>
      <c r="BD1359" t="str">
        <f t="shared" si="222"/>
        <v>0</v>
      </c>
      <c r="BE1359"/>
      <c r="BF1359"/>
      <c r="BG1359"/>
      <c r="BH1359"/>
      <c r="BI1359"/>
      <c r="BJ1359"/>
      <c r="BK1359" s="13" t="str">
        <f>IFERROR(VLOOKUP(B1359,'[1]model_S-フレーム'!$F$5:$R$7000,13,1),"")</f>
        <v>E388305_01</v>
      </c>
      <c r="BL1359" s="14">
        <f>IFERROR(VLOOKUP(B1359,'[1]model_S-フレーム'!$F$5:$V$7000,17,1),"")</f>
        <v>0</v>
      </c>
      <c r="BM1359" s="13" t="str" cm="1">
        <f t="array" ref="BM1359">_xlfn.IFS(LEFT(G1359,1)="L","外注品",LEFT(G1359,1)="W","内製品",G1359="","購買品")</f>
        <v>購買品</v>
      </c>
    </row>
    <row r="1360" spans="1:65" s="13" customFormat="1">
      <c r="A1360" t="str">
        <f t="shared" si="214"/>
        <v>WG01</v>
      </c>
      <c r="B1360" t="s">
        <v>1484</v>
      </c>
      <c r="C1360" t="s">
        <v>1552</v>
      </c>
      <c r="D1360" s="7"/>
      <c r="E1360" s="7"/>
      <c r="F1360"/>
      <c r="G1360"/>
      <c r="H1360">
        <v>47081</v>
      </c>
      <c r="I1360"/>
      <c r="J1360"/>
      <c r="K1360" t="str">
        <f t="shared" si="215"/>
        <v/>
      </c>
      <c r="L1360" s="3" t="str">
        <f t="shared" si="216"/>
        <v>2001/01/01</v>
      </c>
      <c r="M1360" s="3" t="str">
        <f t="shared" si="217"/>
        <v>2199/12/31</v>
      </c>
      <c r="N1360" t="str">
        <f t="shared" si="218"/>
        <v/>
      </c>
      <c r="O1360" t="str">
        <f t="shared" si="213"/>
        <v/>
      </c>
      <c r="P1360"/>
      <c r="Q1360">
        <v>15</v>
      </c>
      <c r="R1360" s="21">
        <v>100000000</v>
      </c>
      <c r="S1360" s="21" t="str" cm="1">
        <f t="array" ref="S1360">_xlfn.IFS(LEFT(G1360,1)="L","記載要",LEFT(G1360,1)="W","記載要",G1360="","")</f>
        <v/>
      </c>
      <c r="T1360"/>
      <c r="U1360"/>
      <c r="V1360"/>
      <c r="W1360"/>
      <c r="X1360"/>
      <c r="Y1360"/>
      <c r="Z1360" s="8"/>
      <c r="AA1360" s="8">
        <v>1</v>
      </c>
      <c r="AB1360">
        <f t="shared" si="219"/>
        <v>0</v>
      </c>
      <c r="AC1360" s="8">
        <v>1</v>
      </c>
      <c r="AD1360"/>
      <c r="AE1360"/>
      <c r="AF1360">
        <v>1</v>
      </c>
      <c r="AG1360" s="8"/>
      <c r="AH1360" s="8"/>
      <c r="AI1360"/>
      <c r="AJ1360"/>
      <c r="AK1360" cm="1">
        <f t="array" ref="AK1360">_xlfn.IFS(B1360="","",LEFT(G1360,1)="L",1,LEFT(G1360,1)="W",1,AND(LEFT(B1360,1)="H",G1360=""),0)</f>
        <v>0</v>
      </c>
      <c r="AL1360"/>
      <c r="AM1360"/>
      <c r="AN1360"/>
      <c r="AO1360"/>
      <c r="AP1360"/>
      <c r="AQ1360"/>
      <c r="AR1360"/>
      <c r="AS1360">
        <f t="shared" si="220"/>
        <v>1</v>
      </c>
      <c r="AT1360" t="s">
        <v>115</v>
      </c>
      <c r="AU1360" t="str">
        <f t="shared" si="221"/>
        <v>0</v>
      </c>
      <c r="AV1360"/>
      <c r="AW1360"/>
      <c r="AX1360"/>
      <c r="AY1360"/>
      <c r="AZ1360"/>
      <c r="BA1360"/>
      <c r="BB1360"/>
      <c r="BC1360"/>
      <c r="BD1360" t="str">
        <f t="shared" si="222"/>
        <v>0</v>
      </c>
      <c r="BE1360"/>
      <c r="BF1360"/>
      <c r="BG1360"/>
      <c r="BH1360"/>
      <c r="BI1360"/>
      <c r="BJ1360"/>
      <c r="BK1360" s="13" t="str">
        <f>IFERROR(VLOOKUP(B1360,'[1]model_S-フレーム'!$F$5:$R$7000,13,1),"")</f>
        <v>E388305_01</v>
      </c>
      <c r="BL1360" s="14">
        <f>IFERROR(VLOOKUP(B1360,'[1]model_S-フレーム'!$F$5:$V$7000,17,1),"")</f>
        <v>0</v>
      </c>
      <c r="BM1360" s="13" t="str" cm="1">
        <f t="array" ref="BM1360">_xlfn.IFS(LEFT(G1360,1)="L","外注品",LEFT(G1360,1)="W","内製品",G1360="","購買品")</f>
        <v>購買品</v>
      </c>
    </row>
    <row r="1361" spans="1:65">
      <c r="A1361" t="str">
        <f t="shared" si="214"/>
        <v>WG01</v>
      </c>
      <c r="B1361" t="s">
        <v>1484</v>
      </c>
      <c r="C1361" t="s">
        <v>1552</v>
      </c>
      <c r="D1361" s="7"/>
      <c r="E1361" s="7"/>
      <c r="H1361" s="19" t="s">
        <v>1937</v>
      </c>
      <c r="K1361" t="str">
        <f t="shared" si="215"/>
        <v/>
      </c>
      <c r="L1361" s="3" t="str">
        <f t="shared" si="216"/>
        <v>2001/01/01</v>
      </c>
      <c r="M1361" s="3" t="str">
        <f t="shared" si="217"/>
        <v>2199/12/31</v>
      </c>
      <c r="N1361" t="str">
        <f t="shared" si="218"/>
        <v/>
      </c>
      <c r="O1361" t="str">
        <f t="shared" si="213"/>
        <v/>
      </c>
      <c r="Q1361">
        <v>15</v>
      </c>
      <c r="R1361" s="21">
        <v>100000000</v>
      </c>
      <c r="S1361" s="21" t="str" cm="1">
        <f t="array" ref="S1361">_xlfn.IFS(LEFT(G1361,1)="L","記載要",LEFT(G1361,1)="W","記載要",G1361="","")</f>
        <v/>
      </c>
      <c r="Z1361" s="8"/>
      <c r="AA1361" s="8">
        <v>1</v>
      </c>
      <c r="AB1361">
        <f t="shared" si="219"/>
        <v>0</v>
      </c>
      <c r="AC1361" s="8">
        <v>1</v>
      </c>
      <c r="AF1361">
        <v>1</v>
      </c>
      <c r="AG1361" s="8"/>
      <c r="AH1361" s="8"/>
      <c r="AK1361" cm="1">
        <f t="array" ref="AK1361">_xlfn.IFS(B1361="","",LEFT(G1361,1)="L",1,LEFT(G1361,1)="W",1,AND(LEFT(B1361,1)="H",G1361=""),0)</f>
        <v>0</v>
      </c>
      <c r="AS1361">
        <f t="shared" si="220"/>
        <v>1</v>
      </c>
      <c r="AT1361" t="s">
        <v>115</v>
      </c>
      <c r="AU1361" t="str">
        <f t="shared" si="221"/>
        <v>0</v>
      </c>
      <c r="BD1361" t="str">
        <f t="shared" si="222"/>
        <v>0</v>
      </c>
      <c r="BK1361" t="str">
        <f>IFERROR(VLOOKUP(B1361,'[1]model_S-フレーム'!$F$5:$R$7000,13,1),"")</f>
        <v>E388305_01</v>
      </c>
      <c r="BL1361" s="7">
        <f>IFERROR(VLOOKUP(B1361,'[1]model_S-フレーム'!$F$5:$V$7000,17,1),"")</f>
        <v>0</v>
      </c>
      <c r="BM1361" t="str" cm="1">
        <f t="array" ref="BM1361">_xlfn.IFS(LEFT(G1361,1)="L","外注品",LEFT(G1361,1)="W","内製品",G1361="","購買品")</f>
        <v>購買品</v>
      </c>
    </row>
    <row r="1362" spans="1:65">
      <c r="A1362" t="str">
        <f t="shared" si="214"/>
        <v>WG01</v>
      </c>
      <c r="B1362" t="s">
        <v>1485</v>
      </c>
      <c r="C1362" t="s">
        <v>1553</v>
      </c>
      <c r="D1362" s="7"/>
      <c r="E1362" s="7"/>
      <c r="G1362" t="s">
        <v>1939</v>
      </c>
      <c r="H1362" t="str" cm="1">
        <f t="array" ref="H1362">IFERROR(_xlfn.IFS(B1362="","",AND(B1362="",G1362=""),"",G1362="","記載要"),"")</f>
        <v/>
      </c>
      <c r="K1362" t="str">
        <f t="shared" si="215"/>
        <v>11WP01071781</v>
      </c>
      <c r="L1362" s="3" t="str">
        <f t="shared" si="216"/>
        <v>2001/01/01</v>
      </c>
      <c r="M1362" s="3" t="str">
        <f t="shared" si="217"/>
        <v>2199/12/31</v>
      </c>
      <c r="N1362" t="str">
        <f t="shared" si="218"/>
        <v>11WP01071781</v>
      </c>
      <c r="O1362">
        <v>15</v>
      </c>
      <c r="Q1362" t="str" cm="1">
        <f t="array" ref="Q1362">_xlfn.IFS(AND(C1362="",G1362=""),"",LEFT(G1362,1)="L","記載要",LEFT(G1362,1)="W","",AND(C1362,G1362=""),"記載要")</f>
        <v/>
      </c>
      <c r="R1362" s="21" t="str">
        <f t="shared" ref="R1362:R1411" si="223">IF(H1362="","","記載要")</f>
        <v/>
      </c>
      <c r="S1362" s="21"/>
      <c r="Z1362" s="8"/>
      <c r="AA1362">
        <v>1</v>
      </c>
      <c r="AB1362">
        <f t="shared" si="219"/>
        <v>0</v>
      </c>
      <c r="AC1362">
        <v>1</v>
      </c>
      <c r="AF1362">
        <v>1</v>
      </c>
      <c r="AG1362" s="8"/>
      <c r="AH1362" s="8"/>
      <c r="AK1362" cm="1">
        <f t="array" ref="AK1362">_xlfn.IFS(B1362="","",LEFT(G1362,1)="L",1,LEFT(G1362,1)="W",1,AND(LEFT(B1362,1)="H",G1362=""),0)</f>
        <v>1</v>
      </c>
      <c r="AS1362" t="str">
        <f t="shared" si="220"/>
        <v/>
      </c>
      <c r="AT1362" t="s">
        <v>115</v>
      </c>
      <c r="AU1362" t="str">
        <f t="shared" si="221"/>
        <v>0</v>
      </c>
      <c r="BD1362" t="str">
        <f t="shared" si="222"/>
        <v>0</v>
      </c>
      <c r="BK1362" t="str">
        <f>IFERROR(VLOOKUP(B1362,'[1]model_S-フレーム'!$F$5:$R$7000,13,1),"")</f>
        <v>E388306_01</v>
      </c>
      <c r="BL1362" s="7">
        <f>IFERROR(VLOOKUP(B1362,'[1]model_S-フレーム'!$F$5:$V$7000,17,1),"")</f>
        <v>0</v>
      </c>
      <c r="BM1362" t="str" cm="1">
        <f t="array" ref="BM1362">_xlfn.IFS(LEFT(G1362,1)="L","外注品",LEFT(G1362,1)="W","内製品",G1362="","購買品")</f>
        <v>内製品</v>
      </c>
    </row>
    <row r="1363" spans="1:65">
      <c r="A1363" t="str">
        <f t="shared" si="214"/>
        <v>WG01</v>
      </c>
      <c r="B1363" t="s">
        <v>1486</v>
      </c>
      <c r="C1363" t="s">
        <v>1553</v>
      </c>
      <c r="D1363" s="7"/>
      <c r="E1363" s="7"/>
      <c r="G1363" t="s">
        <v>1939</v>
      </c>
      <c r="H1363" t="str" cm="1">
        <f t="array" ref="H1363">IFERROR(_xlfn.IFS(B1363="","",AND(B1363="",G1363=""),"",G1363="","記載要"),"")</f>
        <v/>
      </c>
      <c r="K1363" t="str">
        <f t="shared" si="215"/>
        <v>11WP01071782</v>
      </c>
      <c r="L1363" s="3" t="str">
        <f t="shared" si="216"/>
        <v>2001/01/01</v>
      </c>
      <c r="M1363" s="3" t="str">
        <f t="shared" si="217"/>
        <v>2199/12/31</v>
      </c>
      <c r="N1363" t="str">
        <f t="shared" si="218"/>
        <v>11WP01071782</v>
      </c>
      <c r="O1363">
        <v>15</v>
      </c>
      <c r="Q1363" t="str" cm="1">
        <f t="array" ref="Q1363">_xlfn.IFS(AND(C1363="",G1363=""),"",LEFT(G1363,1)="L","記載要",LEFT(G1363,1)="W","",AND(C1363,G1363=""),"記載要")</f>
        <v/>
      </c>
      <c r="R1363" s="21" t="str">
        <f t="shared" si="223"/>
        <v/>
      </c>
      <c r="S1363" s="21"/>
      <c r="Z1363" s="8"/>
      <c r="AA1363">
        <v>1</v>
      </c>
      <c r="AB1363">
        <f t="shared" si="219"/>
        <v>0</v>
      </c>
      <c r="AC1363">
        <v>1</v>
      </c>
      <c r="AF1363">
        <v>1</v>
      </c>
      <c r="AG1363" s="8"/>
      <c r="AH1363" s="8"/>
      <c r="AK1363" cm="1">
        <f t="array" ref="AK1363">_xlfn.IFS(B1363="","",LEFT(G1363,1)="L",1,LEFT(G1363,1)="W",1,AND(LEFT(B1363,1)="H",G1363=""),0)</f>
        <v>1</v>
      </c>
      <c r="AS1363" t="str">
        <f t="shared" si="220"/>
        <v/>
      </c>
      <c r="AT1363" t="s">
        <v>115</v>
      </c>
      <c r="AU1363" t="str">
        <f t="shared" si="221"/>
        <v>0</v>
      </c>
      <c r="BD1363" t="str">
        <f t="shared" si="222"/>
        <v>0</v>
      </c>
      <c r="BK1363" t="str">
        <f>IFERROR(VLOOKUP(B1363,'[1]model_S-フレーム'!$F$5:$R$7000,13,1),"")</f>
        <v>E388306_01</v>
      </c>
      <c r="BL1363" s="7">
        <f>IFERROR(VLOOKUP(B1363,'[1]model_S-フレーム'!$F$5:$V$7000,17,1),"")</f>
        <v>0</v>
      </c>
      <c r="BM1363" t="str" cm="1">
        <f t="array" ref="BM1363">_xlfn.IFS(LEFT(G1363,1)="L","外注品",LEFT(G1363,1)="W","内製品",G1363="","購買品")</f>
        <v>内製品</v>
      </c>
    </row>
    <row r="1364" spans="1:65">
      <c r="A1364" t="str">
        <f t="shared" si="214"/>
        <v>WG01</v>
      </c>
      <c r="B1364" t="s">
        <v>1487</v>
      </c>
      <c r="C1364" t="s">
        <v>1553</v>
      </c>
      <c r="D1364" s="7"/>
      <c r="E1364" s="7"/>
      <c r="G1364" t="s">
        <v>1939</v>
      </c>
      <c r="H1364" t="str" cm="1">
        <f t="array" ref="H1364">IFERROR(_xlfn.IFS(B1364="","",AND(B1364="",G1364=""),"",G1364="","記載要"),"")</f>
        <v/>
      </c>
      <c r="K1364" t="str">
        <f t="shared" si="215"/>
        <v>11WP01071783</v>
      </c>
      <c r="L1364" s="3" t="str">
        <f t="shared" si="216"/>
        <v>2001/01/01</v>
      </c>
      <c r="M1364" s="3" t="str">
        <f t="shared" si="217"/>
        <v>2199/12/31</v>
      </c>
      <c r="N1364" t="str">
        <f t="shared" si="218"/>
        <v>11WP01071783</v>
      </c>
      <c r="O1364">
        <v>15</v>
      </c>
      <c r="Q1364" t="str" cm="1">
        <f t="array" ref="Q1364">_xlfn.IFS(AND(C1364="",G1364=""),"",LEFT(G1364,1)="L","記載要",LEFT(G1364,1)="W","",AND(C1364,G1364=""),"記載要")</f>
        <v/>
      </c>
      <c r="R1364" s="21" t="str">
        <f t="shared" si="223"/>
        <v/>
      </c>
      <c r="S1364" s="21"/>
      <c r="Z1364" s="8"/>
      <c r="AA1364">
        <v>1</v>
      </c>
      <c r="AB1364">
        <f t="shared" si="219"/>
        <v>0</v>
      </c>
      <c r="AC1364">
        <v>1</v>
      </c>
      <c r="AF1364">
        <v>1</v>
      </c>
      <c r="AG1364" s="8"/>
      <c r="AH1364" s="8"/>
      <c r="AK1364" cm="1">
        <f t="array" ref="AK1364">_xlfn.IFS(B1364="","",LEFT(G1364,1)="L",1,LEFT(G1364,1)="W",1,AND(LEFT(B1364,1)="H",G1364=""),0)</f>
        <v>1</v>
      </c>
      <c r="AS1364" t="str">
        <f t="shared" si="220"/>
        <v/>
      </c>
      <c r="AT1364" t="s">
        <v>115</v>
      </c>
      <c r="AU1364" t="str">
        <f t="shared" si="221"/>
        <v>0</v>
      </c>
      <c r="BD1364" t="str">
        <f t="shared" si="222"/>
        <v>0</v>
      </c>
      <c r="BK1364" t="str">
        <f>IFERROR(VLOOKUP(B1364,'[1]model_S-フレーム'!$F$5:$R$7000,13,1),"")</f>
        <v>E388306_01</v>
      </c>
      <c r="BL1364" s="7">
        <f>IFERROR(VLOOKUP(B1364,'[1]model_S-フレーム'!$F$5:$V$7000,17,1),"")</f>
        <v>0</v>
      </c>
      <c r="BM1364" t="str" cm="1">
        <f t="array" ref="BM1364">_xlfn.IFS(LEFT(G1364,1)="L","外注品",LEFT(G1364,1)="W","内製品",G1364="","購買品")</f>
        <v>内製品</v>
      </c>
    </row>
    <row r="1365" spans="1:65">
      <c r="A1365" t="str">
        <f t="shared" si="214"/>
        <v>WG01</v>
      </c>
      <c r="B1365" t="s">
        <v>1488</v>
      </c>
      <c r="C1365" t="s">
        <v>1553</v>
      </c>
      <c r="D1365" s="7"/>
      <c r="E1365" s="7"/>
      <c r="G1365" t="s">
        <v>1939</v>
      </c>
      <c r="H1365" t="str" cm="1">
        <f t="array" ref="H1365">IFERROR(_xlfn.IFS(B1365="","",AND(B1365="",G1365=""),"",G1365="","記載要"),"")</f>
        <v/>
      </c>
      <c r="K1365" t="str">
        <f t="shared" si="215"/>
        <v>11WP01071784</v>
      </c>
      <c r="L1365" s="3" t="str">
        <f t="shared" si="216"/>
        <v>2001/01/01</v>
      </c>
      <c r="M1365" s="3" t="str">
        <f t="shared" si="217"/>
        <v>2199/12/31</v>
      </c>
      <c r="N1365" t="str">
        <f t="shared" si="218"/>
        <v>11WP01071784</v>
      </c>
      <c r="O1365">
        <v>15</v>
      </c>
      <c r="Q1365" t="str" cm="1">
        <f t="array" ref="Q1365">_xlfn.IFS(AND(C1365="",G1365=""),"",LEFT(G1365,1)="L","記載要",LEFT(G1365,1)="W","",AND(C1365,G1365=""),"記載要")</f>
        <v/>
      </c>
      <c r="R1365" s="21" t="str">
        <f t="shared" si="223"/>
        <v/>
      </c>
      <c r="S1365" s="21"/>
      <c r="Z1365" s="8"/>
      <c r="AA1365">
        <v>1</v>
      </c>
      <c r="AB1365">
        <f t="shared" si="219"/>
        <v>0</v>
      </c>
      <c r="AC1365">
        <v>1</v>
      </c>
      <c r="AF1365">
        <v>1</v>
      </c>
      <c r="AG1365" s="8"/>
      <c r="AH1365" s="8"/>
      <c r="AK1365" cm="1">
        <f t="array" ref="AK1365">_xlfn.IFS(B1365="","",LEFT(G1365,1)="L",1,LEFT(G1365,1)="W",1,AND(LEFT(B1365,1)="H",G1365=""),0)</f>
        <v>1</v>
      </c>
      <c r="AS1365" t="str">
        <f t="shared" si="220"/>
        <v/>
      </c>
      <c r="AT1365" t="s">
        <v>115</v>
      </c>
      <c r="AU1365" t="str">
        <f t="shared" si="221"/>
        <v>0</v>
      </c>
      <c r="BD1365" t="str">
        <f t="shared" si="222"/>
        <v>0</v>
      </c>
      <c r="BK1365" t="str">
        <f>IFERROR(VLOOKUP(B1365,'[1]model_S-フレーム'!$F$5:$R$7000,13,1),"")</f>
        <v>E388306_01</v>
      </c>
      <c r="BL1365" s="7">
        <f>IFERROR(VLOOKUP(B1365,'[1]model_S-フレーム'!$F$5:$V$7000,17,1),"")</f>
        <v>0</v>
      </c>
      <c r="BM1365" t="str" cm="1">
        <f t="array" ref="BM1365">_xlfn.IFS(LEFT(G1365,1)="L","外注品",LEFT(G1365,1)="W","内製品",G1365="","購買品")</f>
        <v>内製品</v>
      </c>
    </row>
    <row r="1366" spans="1:65">
      <c r="A1366" t="str">
        <f t="shared" si="214"/>
        <v>WG01</v>
      </c>
      <c r="B1366" t="s">
        <v>1489</v>
      </c>
      <c r="C1366" t="s">
        <v>1554</v>
      </c>
      <c r="D1366" s="7"/>
      <c r="E1366" s="7"/>
      <c r="G1366" t="s">
        <v>1939</v>
      </c>
      <c r="H1366" t="str" cm="1">
        <f t="array" ref="H1366">IFERROR(_xlfn.IFS(B1366="","",AND(B1366="",G1366=""),"",G1366="","記載要"),"")</f>
        <v/>
      </c>
      <c r="K1366" t="str">
        <f t="shared" si="215"/>
        <v>11WP01071785</v>
      </c>
      <c r="L1366" s="3" t="str">
        <f t="shared" si="216"/>
        <v>2001/01/01</v>
      </c>
      <c r="M1366" s="3" t="str">
        <f t="shared" si="217"/>
        <v>2199/12/31</v>
      </c>
      <c r="N1366" t="str">
        <f t="shared" si="218"/>
        <v>11WP01071785</v>
      </c>
      <c r="O1366">
        <v>15</v>
      </c>
      <c r="Q1366" t="str" cm="1">
        <f t="array" ref="Q1366">_xlfn.IFS(AND(C1366="",G1366=""),"",LEFT(G1366,1)="L","記載要",LEFT(G1366,1)="W","",AND(C1366,G1366=""),"記載要")</f>
        <v/>
      </c>
      <c r="R1366" s="21" t="str">
        <f t="shared" si="223"/>
        <v/>
      </c>
      <c r="S1366" s="21"/>
      <c r="Z1366" s="8"/>
      <c r="AA1366">
        <v>1</v>
      </c>
      <c r="AB1366">
        <f t="shared" si="219"/>
        <v>0</v>
      </c>
      <c r="AC1366">
        <v>1</v>
      </c>
      <c r="AF1366">
        <v>1</v>
      </c>
      <c r="AG1366" s="8"/>
      <c r="AH1366" s="8"/>
      <c r="AK1366" cm="1">
        <f t="array" ref="AK1366">_xlfn.IFS(B1366="","",LEFT(G1366,1)="L",1,LEFT(G1366,1)="W",1,AND(LEFT(B1366,1)="H",G1366=""),0)</f>
        <v>1</v>
      </c>
      <c r="AS1366" t="str">
        <f t="shared" si="220"/>
        <v/>
      </c>
      <c r="AT1366" t="s">
        <v>115</v>
      </c>
      <c r="AU1366" t="str">
        <f t="shared" si="221"/>
        <v>0</v>
      </c>
      <c r="BD1366" t="str">
        <f t="shared" si="222"/>
        <v>0</v>
      </c>
      <c r="BK1366" t="str">
        <f>IFERROR(VLOOKUP(B1366,'[1]model_S-フレーム'!$F$5:$R$7000,13,1),"")</f>
        <v>E388306_01</v>
      </c>
      <c r="BL1366" s="7">
        <f>IFERROR(VLOOKUP(B1366,'[1]model_S-フレーム'!$F$5:$V$7000,17,1),"")</f>
        <v>0</v>
      </c>
      <c r="BM1366" t="str" cm="1">
        <f t="array" ref="BM1366">_xlfn.IFS(LEFT(G1366,1)="L","外注品",LEFT(G1366,1)="W","内製品",G1366="","購買品")</f>
        <v>内製品</v>
      </c>
    </row>
    <row r="1367" spans="1:65">
      <c r="A1367" t="str">
        <f t="shared" si="214"/>
        <v>WG01</v>
      </c>
      <c r="B1367" t="s">
        <v>1490</v>
      </c>
      <c r="C1367" t="s">
        <v>1554</v>
      </c>
      <c r="D1367" s="7"/>
      <c r="E1367" s="7"/>
      <c r="G1367" t="s">
        <v>1939</v>
      </c>
      <c r="H1367" t="str" cm="1">
        <f t="array" ref="H1367">IFERROR(_xlfn.IFS(B1367="","",AND(B1367="",G1367=""),"",G1367="","記載要"),"")</f>
        <v/>
      </c>
      <c r="K1367" t="str">
        <f t="shared" si="215"/>
        <v>11WP01071786</v>
      </c>
      <c r="L1367" s="3" t="str">
        <f t="shared" si="216"/>
        <v>2001/01/01</v>
      </c>
      <c r="M1367" s="3" t="str">
        <f t="shared" si="217"/>
        <v>2199/12/31</v>
      </c>
      <c r="N1367" t="str">
        <f t="shared" si="218"/>
        <v>11WP01071786</v>
      </c>
      <c r="O1367">
        <v>15</v>
      </c>
      <c r="Q1367" t="str" cm="1">
        <f t="array" ref="Q1367">_xlfn.IFS(AND(C1367="",G1367=""),"",LEFT(G1367,1)="L","記載要",LEFT(G1367,1)="W","",AND(C1367,G1367=""),"記載要")</f>
        <v/>
      </c>
      <c r="R1367" s="21" t="str">
        <f t="shared" si="223"/>
        <v/>
      </c>
      <c r="S1367" s="21"/>
      <c r="Z1367" s="8"/>
      <c r="AA1367">
        <v>1</v>
      </c>
      <c r="AB1367">
        <f t="shared" si="219"/>
        <v>0</v>
      </c>
      <c r="AC1367">
        <v>1</v>
      </c>
      <c r="AF1367">
        <v>1</v>
      </c>
      <c r="AG1367" s="8"/>
      <c r="AH1367" s="8"/>
      <c r="AK1367" cm="1">
        <f t="array" ref="AK1367">_xlfn.IFS(B1367="","",LEFT(G1367,1)="L",1,LEFT(G1367,1)="W",1,AND(LEFT(B1367,1)="H",G1367=""),0)</f>
        <v>1</v>
      </c>
      <c r="AS1367" t="str">
        <f t="shared" si="220"/>
        <v/>
      </c>
      <c r="AT1367" t="s">
        <v>115</v>
      </c>
      <c r="AU1367" t="str">
        <f t="shared" si="221"/>
        <v>0</v>
      </c>
      <c r="BD1367" t="str">
        <f t="shared" si="222"/>
        <v>0</v>
      </c>
      <c r="BK1367" t="str">
        <f>IFERROR(VLOOKUP(B1367,'[1]model_S-フレーム'!$F$5:$R$7000,13,1),"")</f>
        <v>E388306_01</v>
      </c>
      <c r="BL1367" s="7">
        <f>IFERROR(VLOOKUP(B1367,'[1]model_S-フレーム'!$F$5:$V$7000,17,1),"")</f>
        <v>0</v>
      </c>
      <c r="BM1367" t="str" cm="1">
        <f t="array" ref="BM1367">_xlfn.IFS(LEFT(G1367,1)="L","外注品",LEFT(G1367,1)="W","内製品",G1367="","購買品")</f>
        <v>内製品</v>
      </c>
    </row>
    <row r="1368" spans="1:65">
      <c r="A1368" t="str">
        <f t="shared" si="214"/>
        <v>WG01</v>
      </c>
      <c r="B1368" t="s">
        <v>1491</v>
      </c>
      <c r="C1368" t="s">
        <v>1554</v>
      </c>
      <c r="D1368" s="7"/>
      <c r="E1368" s="7"/>
      <c r="G1368" t="s">
        <v>1939</v>
      </c>
      <c r="H1368" t="str" cm="1">
        <f t="array" ref="H1368">IFERROR(_xlfn.IFS(B1368="","",AND(B1368="",G1368=""),"",G1368="","記載要"),"")</f>
        <v/>
      </c>
      <c r="K1368" t="str">
        <f t="shared" si="215"/>
        <v>11WP01071787</v>
      </c>
      <c r="L1368" s="3" t="str">
        <f t="shared" si="216"/>
        <v>2001/01/01</v>
      </c>
      <c r="M1368" s="3" t="str">
        <f t="shared" si="217"/>
        <v>2199/12/31</v>
      </c>
      <c r="N1368" t="str">
        <f t="shared" si="218"/>
        <v>11WP01071787</v>
      </c>
      <c r="O1368">
        <v>15</v>
      </c>
      <c r="Q1368" t="str" cm="1">
        <f t="array" ref="Q1368">_xlfn.IFS(AND(C1368="",G1368=""),"",LEFT(G1368,1)="L","記載要",LEFT(G1368,1)="W","",AND(C1368,G1368=""),"記載要")</f>
        <v/>
      </c>
      <c r="R1368" s="21" t="str">
        <f t="shared" si="223"/>
        <v/>
      </c>
      <c r="S1368" s="21"/>
      <c r="Z1368" s="8"/>
      <c r="AA1368">
        <v>1</v>
      </c>
      <c r="AB1368">
        <f t="shared" si="219"/>
        <v>0</v>
      </c>
      <c r="AC1368">
        <v>1</v>
      </c>
      <c r="AF1368">
        <v>1</v>
      </c>
      <c r="AG1368" s="8"/>
      <c r="AH1368" s="8"/>
      <c r="AK1368" cm="1">
        <f t="array" ref="AK1368">_xlfn.IFS(B1368="","",LEFT(G1368,1)="L",1,LEFT(G1368,1)="W",1,AND(LEFT(B1368,1)="H",G1368=""),0)</f>
        <v>1</v>
      </c>
      <c r="AS1368" t="str">
        <f t="shared" si="220"/>
        <v/>
      </c>
      <c r="AT1368" t="s">
        <v>115</v>
      </c>
      <c r="AU1368" t="str">
        <f t="shared" si="221"/>
        <v>0</v>
      </c>
      <c r="BD1368" t="str">
        <f t="shared" si="222"/>
        <v>0</v>
      </c>
      <c r="BK1368" t="str">
        <f>IFERROR(VLOOKUP(B1368,'[1]model_S-フレーム'!$F$5:$R$7000,13,1),"")</f>
        <v>E388306_01</v>
      </c>
      <c r="BL1368" s="7">
        <f>IFERROR(VLOOKUP(B1368,'[1]model_S-フレーム'!$F$5:$V$7000,17,1),"")</f>
        <v>0</v>
      </c>
      <c r="BM1368" t="str" cm="1">
        <f t="array" ref="BM1368">_xlfn.IFS(LEFT(G1368,1)="L","外注品",LEFT(G1368,1)="W","内製品",G1368="","購買品")</f>
        <v>内製品</v>
      </c>
    </row>
    <row r="1369" spans="1:65">
      <c r="A1369" t="str">
        <f t="shared" si="214"/>
        <v>WG01</v>
      </c>
      <c r="B1369" t="s">
        <v>1492</v>
      </c>
      <c r="C1369" t="s">
        <v>1554</v>
      </c>
      <c r="D1369" s="7"/>
      <c r="E1369" s="7"/>
      <c r="G1369" t="s">
        <v>1939</v>
      </c>
      <c r="H1369" t="str" cm="1">
        <f t="array" ref="H1369">IFERROR(_xlfn.IFS(B1369="","",AND(B1369="",G1369=""),"",G1369="","記載要"),"")</f>
        <v/>
      </c>
      <c r="K1369" t="str">
        <f t="shared" si="215"/>
        <v>11WP01071788</v>
      </c>
      <c r="L1369" s="3" t="str">
        <f t="shared" si="216"/>
        <v>2001/01/01</v>
      </c>
      <c r="M1369" s="3" t="str">
        <f t="shared" si="217"/>
        <v>2199/12/31</v>
      </c>
      <c r="N1369" t="str">
        <f t="shared" si="218"/>
        <v>11WP01071788</v>
      </c>
      <c r="O1369">
        <v>15</v>
      </c>
      <c r="Q1369" t="str" cm="1">
        <f t="array" ref="Q1369">_xlfn.IFS(AND(C1369="",G1369=""),"",LEFT(G1369,1)="L","記載要",LEFT(G1369,1)="W","",AND(C1369,G1369=""),"記載要")</f>
        <v/>
      </c>
      <c r="R1369" s="21" t="str">
        <f t="shared" si="223"/>
        <v/>
      </c>
      <c r="S1369" s="21"/>
      <c r="Z1369" s="8"/>
      <c r="AA1369">
        <v>1</v>
      </c>
      <c r="AB1369">
        <f t="shared" si="219"/>
        <v>0</v>
      </c>
      <c r="AC1369">
        <v>1</v>
      </c>
      <c r="AF1369">
        <v>1</v>
      </c>
      <c r="AG1369" s="8"/>
      <c r="AH1369" s="8"/>
      <c r="AK1369" cm="1">
        <f t="array" ref="AK1369">_xlfn.IFS(B1369="","",LEFT(G1369,1)="L",1,LEFT(G1369,1)="W",1,AND(LEFT(B1369,1)="H",G1369=""),0)</f>
        <v>1</v>
      </c>
      <c r="AS1369" t="str">
        <f t="shared" si="220"/>
        <v/>
      </c>
      <c r="AT1369" t="s">
        <v>115</v>
      </c>
      <c r="AU1369" t="str">
        <f t="shared" si="221"/>
        <v>0</v>
      </c>
      <c r="BD1369" t="str">
        <f t="shared" si="222"/>
        <v>0</v>
      </c>
      <c r="BK1369" t="str">
        <f>IFERROR(VLOOKUP(B1369,'[1]model_S-フレーム'!$F$5:$R$7000,13,1),"")</f>
        <v>E388306_01</v>
      </c>
      <c r="BL1369" s="7">
        <f>IFERROR(VLOOKUP(B1369,'[1]model_S-フレーム'!$F$5:$V$7000,17,1),"")</f>
        <v>0</v>
      </c>
      <c r="BM1369" t="str" cm="1">
        <f t="array" ref="BM1369">_xlfn.IFS(LEFT(G1369,1)="L","外注品",LEFT(G1369,1)="W","内製品",G1369="","購買品")</f>
        <v>内製品</v>
      </c>
    </row>
    <row r="1370" spans="1:65">
      <c r="A1370" t="str">
        <f t="shared" si="214"/>
        <v>WG01</v>
      </c>
      <c r="B1370" t="s">
        <v>1493</v>
      </c>
      <c r="C1370" t="s">
        <v>1555</v>
      </c>
      <c r="D1370" s="7"/>
      <c r="E1370" s="7"/>
      <c r="G1370" t="s">
        <v>1939</v>
      </c>
      <c r="H1370" t="str" cm="1">
        <f t="array" ref="H1370">IFERROR(_xlfn.IFS(B1370="","",AND(B1370="",G1370=""),"",G1370="","記載要"),"")</f>
        <v/>
      </c>
      <c r="K1370" t="str">
        <f t="shared" si="215"/>
        <v>11WP01071789</v>
      </c>
      <c r="L1370" s="3" t="str">
        <f t="shared" si="216"/>
        <v>2001/01/01</v>
      </c>
      <c r="M1370" s="3" t="str">
        <f t="shared" si="217"/>
        <v>2199/12/31</v>
      </c>
      <c r="N1370" t="str">
        <f t="shared" si="218"/>
        <v>11WP01071789</v>
      </c>
      <c r="O1370">
        <v>15</v>
      </c>
      <c r="Q1370" t="str" cm="1">
        <f t="array" ref="Q1370">_xlfn.IFS(AND(C1370="",G1370=""),"",LEFT(G1370,1)="L","記載要",LEFT(G1370,1)="W","",AND(C1370,G1370=""),"記載要")</f>
        <v/>
      </c>
      <c r="R1370" s="21" t="str">
        <f t="shared" si="223"/>
        <v/>
      </c>
      <c r="S1370" s="21"/>
      <c r="Z1370" s="8"/>
      <c r="AA1370">
        <v>1</v>
      </c>
      <c r="AB1370">
        <f t="shared" si="219"/>
        <v>0</v>
      </c>
      <c r="AC1370">
        <v>1</v>
      </c>
      <c r="AF1370">
        <v>1</v>
      </c>
      <c r="AG1370" s="8"/>
      <c r="AH1370" s="8"/>
      <c r="AK1370" cm="1">
        <f t="array" ref="AK1370">_xlfn.IFS(B1370="","",LEFT(G1370,1)="L",1,LEFT(G1370,1)="W",1,AND(LEFT(B1370,1)="H",G1370=""),0)</f>
        <v>1</v>
      </c>
      <c r="AS1370" t="str">
        <f t="shared" si="220"/>
        <v/>
      </c>
      <c r="AT1370" t="s">
        <v>115</v>
      </c>
      <c r="AU1370" t="str">
        <f t="shared" si="221"/>
        <v>0</v>
      </c>
      <c r="BD1370" t="str">
        <f t="shared" si="222"/>
        <v>0</v>
      </c>
      <c r="BK1370" t="str">
        <f>IFERROR(VLOOKUP(B1370,'[1]model_S-フレーム'!$F$5:$R$7000,13,1),"")</f>
        <v>E388306_01</v>
      </c>
      <c r="BL1370" s="7">
        <f>IFERROR(VLOOKUP(B1370,'[1]model_S-フレーム'!$F$5:$V$7000,17,1),"")</f>
        <v>0</v>
      </c>
      <c r="BM1370" t="str" cm="1">
        <f t="array" ref="BM1370">_xlfn.IFS(LEFT(G1370,1)="L","外注品",LEFT(G1370,1)="W","内製品",G1370="","購買品")</f>
        <v>内製品</v>
      </c>
    </row>
    <row r="1371" spans="1:65">
      <c r="A1371" t="str">
        <f t="shared" si="214"/>
        <v>WG01</v>
      </c>
      <c r="B1371" t="s">
        <v>1494</v>
      </c>
      <c r="C1371" t="s">
        <v>1555</v>
      </c>
      <c r="D1371" s="7"/>
      <c r="E1371" s="7"/>
      <c r="G1371" t="s">
        <v>1939</v>
      </c>
      <c r="H1371" t="str" cm="1">
        <f t="array" ref="H1371">IFERROR(_xlfn.IFS(B1371="","",AND(B1371="",G1371=""),"",G1371="","記載要"),"")</f>
        <v/>
      </c>
      <c r="K1371" t="str">
        <f t="shared" si="215"/>
        <v>11WP01071790</v>
      </c>
      <c r="L1371" s="3" t="str">
        <f t="shared" si="216"/>
        <v>2001/01/01</v>
      </c>
      <c r="M1371" s="3" t="str">
        <f t="shared" si="217"/>
        <v>2199/12/31</v>
      </c>
      <c r="N1371" t="str">
        <f t="shared" si="218"/>
        <v>11WP01071790</v>
      </c>
      <c r="O1371">
        <v>15</v>
      </c>
      <c r="Q1371" t="str" cm="1">
        <f t="array" ref="Q1371">_xlfn.IFS(AND(C1371="",G1371=""),"",LEFT(G1371,1)="L","記載要",LEFT(G1371,1)="W","",AND(C1371,G1371=""),"記載要")</f>
        <v/>
      </c>
      <c r="R1371" s="21" t="str">
        <f t="shared" si="223"/>
        <v/>
      </c>
      <c r="S1371" s="21"/>
      <c r="Z1371" s="8"/>
      <c r="AA1371">
        <v>1</v>
      </c>
      <c r="AB1371">
        <f t="shared" si="219"/>
        <v>0</v>
      </c>
      <c r="AC1371">
        <v>1</v>
      </c>
      <c r="AF1371">
        <v>1</v>
      </c>
      <c r="AG1371" s="8"/>
      <c r="AH1371" s="8"/>
      <c r="AK1371" cm="1">
        <f t="array" ref="AK1371">_xlfn.IFS(B1371="","",LEFT(G1371,1)="L",1,LEFT(G1371,1)="W",1,AND(LEFT(B1371,1)="H",G1371=""),0)</f>
        <v>1</v>
      </c>
      <c r="AS1371" t="str">
        <f t="shared" si="220"/>
        <v/>
      </c>
      <c r="AT1371" t="s">
        <v>115</v>
      </c>
      <c r="AU1371" t="str">
        <f t="shared" si="221"/>
        <v>0</v>
      </c>
      <c r="BD1371" t="str">
        <f t="shared" si="222"/>
        <v>0</v>
      </c>
      <c r="BK1371" t="str">
        <f>IFERROR(VLOOKUP(B1371,'[1]model_S-フレーム'!$F$5:$R$7000,13,1),"")</f>
        <v>E388306_01</v>
      </c>
      <c r="BL1371" s="7">
        <f>IFERROR(VLOOKUP(B1371,'[1]model_S-フレーム'!$F$5:$V$7000,17,1),"")</f>
        <v>0</v>
      </c>
      <c r="BM1371" t="str" cm="1">
        <f t="array" ref="BM1371">_xlfn.IFS(LEFT(G1371,1)="L","外注品",LEFT(G1371,1)="W","内製品",G1371="","購買品")</f>
        <v>内製品</v>
      </c>
    </row>
    <row r="1372" spans="1:65">
      <c r="A1372" t="str">
        <f t="shared" si="214"/>
        <v>WG01</v>
      </c>
      <c r="B1372" t="s">
        <v>1495</v>
      </c>
      <c r="C1372" t="s">
        <v>1555</v>
      </c>
      <c r="D1372" s="7"/>
      <c r="E1372" s="7"/>
      <c r="G1372" t="s">
        <v>1939</v>
      </c>
      <c r="H1372" t="str" cm="1">
        <f t="array" ref="H1372">IFERROR(_xlfn.IFS(B1372="","",AND(B1372="",G1372=""),"",G1372="","記載要"),"")</f>
        <v/>
      </c>
      <c r="K1372" t="str">
        <f t="shared" si="215"/>
        <v>11WP01071791</v>
      </c>
      <c r="L1372" s="3" t="str">
        <f t="shared" si="216"/>
        <v>2001/01/01</v>
      </c>
      <c r="M1372" s="3" t="str">
        <f t="shared" si="217"/>
        <v>2199/12/31</v>
      </c>
      <c r="N1372" t="str">
        <f t="shared" si="218"/>
        <v>11WP01071791</v>
      </c>
      <c r="O1372">
        <v>15</v>
      </c>
      <c r="Q1372" t="str" cm="1">
        <f t="array" ref="Q1372">_xlfn.IFS(AND(C1372="",G1372=""),"",LEFT(G1372,1)="L","記載要",LEFT(G1372,1)="W","",AND(C1372,G1372=""),"記載要")</f>
        <v/>
      </c>
      <c r="R1372" s="21" t="str">
        <f t="shared" si="223"/>
        <v/>
      </c>
      <c r="S1372" s="21"/>
      <c r="Z1372" s="8"/>
      <c r="AA1372">
        <v>1</v>
      </c>
      <c r="AB1372">
        <f t="shared" si="219"/>
        <v>0</v>
      </c>
      <c r="AC1372">
        <v>1</v>
      </c>
      <c r="AF1372">
        <v>1</v>
      </c>
      <c r="AG1372" s="8"/>
      <c r="AH1372" s="8"/>
      <c r="AK1372" cm="1">
        <f t="array" ref="AK1372">_xlfn.IFS(B1372="","",LEFT(G1372,1)="L",1,LEFT(G1372,1)="W",1,AND(LEFT(B1372,1)="H",G1372=""),0)</f>
        <v>1</v>
      </c>
      <c r="AS1372" t="str">
        <f t="shared" si="220"/>
        <v/>
      </c>
      <c r="AT1372" t="s">
        <v>115</v>
      </c>
      <c r="AU1372" t="str">
        <f t="shared" si="221"/>
        <v>0</v>
      </c>
      <c r="BD1372" t="str">
        <f t="shared" si="222"/>
        <v>0</v>
      </c>
      <c r="BK1372" t="str">
        <f>IFERROR(VLOOKUP(B1372,'[1]model_S-フレーム'!$F$5:$R$7000,13,1),"")</f>
        <v>E388306_01</v>
      </c>
      <c r="BL1372" s="7">
        <f>IFERROR(VLOOKUP(B1372,'[1]model_S-フレーム'!$F$5:$V$7000,17,1),"")</f>
        <v>0</v>
      </c>
      <c r="BM1372" t="str" cm="1">
        <f t="array" ref="BM1372">_xlfn.IFS(LEFT(G1372,1)="L","外注品",LEFT(G1372,1)="W","内製品",G1372="","購買品")</f>
        <v>内製品</v>
      </c>
    </row>
    <row r="1373" spans="1:65">
      <c r="A1373" t="str">
        <f t="shared" si="214"/>
        <v>WG01</v>
      </c>
      <c r="B1373" t="s">
        <v>1496</v>
      </c>
      <c r="C1373" t="s">
        <v>1555</v>
      </c>
      <c r="D1373" s="7"/>
      <c r="E1373" s="7"/>
      <c r="G1373" t="s">
        <v>1939</v>
      </c>
      <c r="H1373" t="str" cm="1">
        <f t="array" ref="H1373">IFERROR(_xlfn.IFS(B1373="","",AND(B1373="",G1373=""),"",G1373="","記載要"),"")</f>
        <v/>
      </c>
      <c r="K1373" t="str">
        <f t="shared" si="215"/>
        <v>11WP01071792</v>
      </c>
      <c r="L1373" s="3" t="str">
        <f t="shared" si="216"/>
        <v>2001/01/01</v>
      </c>
      <c r="M1373" s="3" t="str">
        <f t="shared" si="217"/>
        <v>2199/12/31</v>
      </c>
      <c r="N1373" t="str">
        <f t="shared" si="218"/>
        <v>11WP01071792</v>
      </c>
      <c r="O1373">
        <v>15</v>
      </c>
      <c r="Q1373" t="str" cm="1">
        <f t="array" ref="Q1373">_xlfn.IFS(AND(C1373="",G1373=""),"",LEFT(G1373,1)="L","記載要",LEFT(G1373,1)="W","",AND(C1373,G1373=""),"記載要")</f>
        <v/>
      </c>
      <c r="R1373" s="21" t="str">
        <f t="shared" si="223"/>
        <v/>
      </c>
      <c r="S1373" s="21"/>
      <c r="Z1373" s="8"/>
      <c r="AA1373">
        <v>1</v>
      </c>
      <c r="AB1373">
        <f t="shared" si="219"/>
        <v>0</v>
      </c>
      <c r="AC1373">
        <v>1</v>
      </c>
      <c r="AF1373">
        <v>1</v>
      </c>
      <c r="AG1373" s="8"/>
      <c r="AH1373" s="8"/>
      <c r="AK1373" cm="1">
        <f t="array" ref="AK1373">_xlfn.IFS(B1373="","",LEFT(G1373,1)="L",1,LEFT(G1373,1)="W",1,AND(LEFT(B1373,1)="H",G1373=""),0)</f>
        <v>1</v>
      </c>
      <c r="AS1373" t="str">
        <f t="shared" si="220"/>
        <v/>
      </c>
      <c r="AT1373" t="s">
        <v>115</v>
      </c>
      <c r="AU1373" t="str">
        <f t="shared" si="221"/>
        <v>0</v>
      </c>
      <c r="BD1373" t="str">
        <f t="shared" si="222"/>
        <v>0</v>
      </c>
      <c r="BK1373" t="str">
        <f>IFERROR(VLOOKUP(B1373,'[1]model_S-フレーム'!$F$5:$R$7000,13,1),"")</f>
        <v>E388306_01</v>
      </c>
      <c r="BL1373" s="7">
        <f>IFERROR(VLOOKUP(B1373,'[1]model_S-フレーム'!$F$5:$V$7000,17,1),"")</f>
        <v>0</v>
      </c>
      <c r="BM1373" t="str" cm="1">
        <f t="array" ref="BM1373">_xlfn.IFS(LEFT(G1373,1)="L","外注品",LEFT(G1373,1)="W","内製品",G1373="","購買品")</f>
        <v>内製品</v>
      </c>
    </row>
    <row r="1374" spans="1:65">
      <c r="A1374" t="str">
        <f t="shared" si="214"/>
        <v>WG01</v>
      </c>
      <c r="B1374" t="s">
        <v>1497</v>
      </c>
      <c r="C1374" t="s">
        <v>1556</v>
      </c>
      <c r="D1374" s="7"/>
      <c r="E1374" s="7"/>
      <c r="G1374" t="s">
        <v>1939</v>
      </c>
      <c r="H1374" t="str" cm="1">
        <f t="array" ref="H1374">IFERROR(_xlfn.IFS(B1374="","",AND(B1374="",G1374=""),"",G1374="","記載要"),"")</f>
        <v/>
      </c>
      <c r="K1374" t="str">
        <f t="shared" si="215"/>
        <v>11WP01071793</v>
      </c>
      <c r="L1374" s="3" t="str">
        <f t="shared" si="216"/>
        <v>2001/01/01</v>
      </c>
      <c r="M1374" s="3" t="str">
        <f t="shared" si="217"/>
        <v>2199/12/31</v>
      </c>
      <c r="N1374" t="str">
        <f t="shared" si="218"/>
        <v>11WP01071793</v>
      </c>
      <c r="O1374">
        <v>15</v>
      </c>
      <c r="Q1374" t="str" cm="1">
        <f t="array" ref="Q1374">_xlfn.IFS(AND(C1374="",G1374=""),"",LEFT(G1374,1)="L","記載要",LEFT(G1374,1)="W","",AND(C1374,G1374=""),"記載要")</f>
        <v/>
      </c>
      <c r="R1374" s="21" t="str">
        <f t="shared" si="223"/>
        <v/>
      </c>
      <c r="S1374" s="21"/>
      <c r="Z1374" s="8"/>
      <c r="AA1374">
        <v>1</v>
      </c>
      <c r="AB1374">
        <f t="shared" si="219"/>
        <v>0</v>
      </c>
      <c r="AC1374">
        <v>1</v>
      </c>
      <c r="AF1374">
        <v>1</v>
      </c>
      <c r="AG1374" s="8"/>
      <c r="AH1374" s="8"/>
      <c r="AK1374" cm="1">
        <f t="array" ref="AK1374">_xlfn.IFS(B1374="","",LEFT(G1374,1)="L",1,LEFT(G1374,1)="W",1,AND(LEFT(B1374,1)="H",G1374=""),0)</f>
        <v>1</v>
      </c>
      <c r="AS1374" t="str">
        <f t="shared" si="220"/>
        <v/>
      </c>
      <c r="AT1374" t="s">
        <v>115</v>
      </c>
      <c r="AU1374" t="str">
        <f t="shared" si="221"/>
        <v>0</v>
      </c>
      <c r="BD1374" t="str">
        <f t="shared" si="222"/>
        <v>0</v>
      </c>
      <c r="BK1374" t="str">
        <f>IFERROR(VLOOKUP(B1374,'[1]model_S-フレーム'!$F$5:$R$7000,13,1),"")</f>
        <v>E388306_01</v>
      </c>
      <c r="BL1374" s="7">
        <f>IFERROR(VLOOKUP(B1374,'[1]model_S-フレーム'!$F$5:$V$7000,17,1),"")</f>
        <v>0</v>
      </c>
      <c r="BM1374" t="str" cm="1">
        <f t="array" ref="BM1374">_xlfn.IFS(LEFT(G1374,1)="L","外注品",LEFT(G1374,1)="W","内製品",G1374="","購買品")</f>
        <v>内製品</v>
      </c>
    </row>
    <row r="1375" spans="1:65">
      <c r="A1375" t="str">
        <f t="shared" si="214"/>
        <v>WG01</v>
      </c>
      <c r="B1375" t="s">
        <v>1498</v>
      </c>
      <c r="C1375" t="s">
        <v>1556</v>
      </c>
      <c r="D1375" s="7"/>
      <c r="E1375" s="7"/>
      <c r="G1375" t="s">
        <v>1939</v>
      </c>
      <c r="H1375" t="str" cm="1">
        <f t="array" ref="H1375">IFERROR(_xlfn.IFS(B1375="","",AND(B1375="",G1375=""),"",G1375="","記載要"),"")</f>
        <v/>
      </c>
      <c r="K1375" t="str">
        <f t="shared" si="215"/>
        <v>11WP01071794</v>
      </c>
      <c r="L1375" s="3" t="str">
        <f t="shared" si="216"/>
        <v>2001/01/01</v>
      </c>
      <c r="M1375" s="3" t="str">
        <f t="shared" si="217"/>
        <v>2199/12/31</v>
      </c>
      <c r="N1375" t="str">
        <f t="shared" si="218"/>
        <v>11WP01071794</v>
      </c>
      <c r="O1375">
        <v>15</v>
      </c>
      <c r="Q1375" t="str" cm="1">
        <f t="array" ref="Q1375">_xlfn.IFS(AND(C1375="",G1375=""),"",LEFT(G1375,1)="L","記載要",LEFT(G1375,1)="W","",AND(C1375,G1375=""),"記載要")</f>
        <v/>
      </c>
      <c r="R1375" s="21" t="str">
        <f t="shared" si="223"/>
        <v/>
      </c>
      <c r="S1375" s="21"/>
      <c r="Z1375" s="8"/>
      <c r="AA1375">
        <v>1</v>
      </c>
      <c r="AB1375">
        <f t="shared" si="219"/>
        <v>0</v>
      </c>
      <c r="AC1375">
        <v>1</v>
      </c>
      <c r="AF1375">
        <v>1</v>
      </c>
      <c r="AG1375" s="8"/>
      <c r="AH1375" s="8"/>
      <c r="AK1375" cm="1">
        <f t="array" ref="AK1375">_xlfn.IFS(B1375="","",LEFT(G1375,1)="L",1,LEFT(G1375,1)="W",1,AND(LEFT(B1375,1)="H",G1375=""),0)</f>
        <v>1</v>
      </c>
      <c r="AS1375" t="str">
        <f t="shared" si="220"/>
        <v/>
      </c>
      <c r="AT1375" t="s">
        <v>115</v>
      </c>
      <c r="AU1375" t="str">
        <f t="shared" si="221"/>
        <v>0</v>
      </c>
      <c r="BD1375" t="str">
        <f t="shared" si="222"/>
        <v>0</v>
      </c>
      <c r="BK1375" t="str">
        <f>IFERROR(VLOOKUP(B1375,'[1]model_S-フレーム'!$F$5:$R$7000,13,1),"")</f>
        <v>E388306_01</v>
      </c>
      <c r="BL1375" s="7">
        <f>IFERROR(VLOOKUP(B1375,'[1]model_S-フレーム'!$F$5:$V$7000,17,1),"")</f>
        <v>0</v>
      </c>
      <c r="BM1375" t="str" cm="1">
        <f t="array" ref="BM1375">_xlfn.IFS(LEFT(G1375,1)="L","外注品",LEFT(G1375,1)="W","内製品",G1375="","購買品")</f>
        <v>内製品</v>
      </c>
    </row>
    <row r="1376" spans="1:65">
      <c r="A1376" t="str">
        <f t="shared" si="214"/>
        <v>WG01</v>
      </c>
      <c r="B1376" t="s">
        <v>1499</v>
      </c>
      <c r="C1376" t="s">
        <v>1556</v>
      </c>
      <c r="D1376" s="7"/>
      <c r="E1376" s="7"/>
      <c r="G1376" t="s">
        <v>1939</v>
      </c>
      <c r="H1376" t="str" cm="1">
        <f t="array" ref="H1376">IFERROR(_xlfn.IFS(B1376="","",AND(B1376="",G1376=""),"",G1376="","記載要"),"")</f>
        <v/>
      </c>
      <c r="K1376" t="str">
        <f t="shared" si="215"/>
        <v>11WP01071795</v>
      </c>
      <c r="L1376" s="3" t="str">
        <f t="shared" si="216"/>
        <v>2001/01/01</v>
      </c>
      <c r="M1376" s="3" t="str">
        <f t="shared" si="217"/>
        <v>2199/12/31</v>
      </c>
      <c r="N1376" t="str">
        <f t="shared" si="218"/>
        <v>11WP01071795</v>
      </c>
      <c r="O1376">
        <v>15</v>
      </c>
      <c r="Q1376" t="str" cm="1">
        <f t="array" ref="Q1376">_xlfn.IFS(AND(C1376="",G1376=""),"",LEFT(G1376,1)="L","記載要",LEFT(G1376,1)="W","",AND(C1376,G1376=""),"記載要")</f>
        <v/>
      </c>
      <c r="R1376" s="21" t="str">
        <f t="shared" si="223"/>
        <v/>
      </c>
      <c r="S1376" s="21"/>
      <c r="Z1376" s="8"/>
      <c r="AA1376">
        <v>1</v>
      </c>
      <c r="AB1376">
        <f t="shared" si="219"/>
        <v>0</v>
      </c>
      <c r="AC1376">
        <v>1</v>
      </c>
      <c r="AF1376">
        <v>1</v>
      </c>
      <c r="AG1376" s="8"/>
      <c r="AH1376" s="8"/>
      <c r="AK1376" cm="1">
        <f t="array" ref="AK1376">_xlfn.IFS(B1376="","",LEFT(G1376,1)="L",1,LEFT(G1376,1)="W",1,AND(LEFT(B1376,1)="H",G1376=""),0)</f>
        <v>1</v>
      </c>
      <c r="AS1376" t="str">
        <f t="shared" si="220"/>
        <v/>
      </c>
      <c r="AT1376" t="s">
        <v>115</v>
      </c>
      <c r="AU1376" t="str">
        <f t="shared" si="221"/>
        <v>0</v>
      </c>
      <c r="BD1376" t="str">
        <f t="shared" si="222"/>
        <v>0</v>
      </c>
      <c r="BK1376" t="str">
        <f>IFERROR(VLOOKUP(B1376,'[1]model_S-フレーム'!$F$5:$R$7000,13,1),"")</f>
        <v>E388306_01</v>
      </c>
      <c r="BL1376" s="7">
        <f>IFERROR(VLOOKUP(B1376,'[1]model_S-フレーム'!$F$5:$V$7000,17,1),"")</f>
        <v>0</v>
      </c>
      <c r="BM1376" t="str" cm="1">
        <f t="array" ref="BM1376">_xlfn.IFS(LEFT(G1376,1)="L","外注品",LEFT(G1376,1)="W","内製品",G1376="","購買品")</f>
        <v>内製品</v>
      </c>
    </row>
    <row r="1377" spans="1:65">
      <c r="A1377" t="str">
        <f t="shared" si="214"/>
        <v>WG01</v>
      </c>
      <c r="B1377" t="s">
        <v>1500</v>
      </c>
      <c r="C1377" t="s">
        <v>1556</v>
      </c>
      <c r="D1377" s="7"/>
      <c r="E1377" s="7"/>
      <c r="G1377" t="s">
        <v>1939</v>
      </c>
      <c r="H1377" t="str" cm="1">
        <f t="array" ref="H1377">IFERROR(_xlfn.IFS(B1377="","",AND(B1377="",G1377=""),"",G1377="","記載要"),"")</f>
        <v/>
      </c>
      <c r="K1377" t="str">
        <f t="shared" si="215"/>
        <v>11WP01071796</v>
      </c>
      <c r="L1377" s="3" t="str">
        <f t="shared" si="216"/>
        <v>2001/01/01</v>
      </c>
      <c r="M1377" s="3" t="str">
        <f t="shared" si="217"/>
        <v>2199/12/31</v>
      </c>
      <c r="N1377" t="str">
        <f t="shared" si="218"/>
        <v>11WP01071796</v>
      </c>
      <c r="O1377">
        <v>15</v>
      </c>
      <c r="Q1377" t="str" cm="1">
        <f t="array" ref="Q1377">_xlfn.IFS(AND(C1377="",G1377=""),"",LEFT(G1377,1)="L","記載要",LEFT(G1377,1)="W","",AND(C1377,G1377=""),"記載要")</f>
        <v/>
      </c>
      <c r="R1377" s="21" t="str">
        <f t="shared" si="223"/>
        <v/>
      </c>
      <c r="S1377" s="21"/>
      <c r="Z1377" s="8"/>
      <c r="AA1377">
        <v>1</v>
      </c>
      <c r="AB1377">
        <f t="shared" si="219"/>
        <v>0</v>
      </c>
      <c r="AC1377">
        <v>1</v>
      </c>
      <c r="AF1377">
        <v>1</v>
      </c>
      <c r="AG1377" s="8"/>
      <c r="AH1377" s="8"/>
      <c r="AK1377" cm="1">
        <f t="array" ref="AK1377">_xlfn.IFS(B1377="","",LEFT(G1377,1)="L",1,LEFT(G1377,1)="W",1,AND(LEFT(B1377,1)="H",G1377=""),0)</f>
        <v>1</v>
      </c>
      <c r="AS1377" t="str">
        <f t="shared" si="220"/>
        <v/>
      </c>
      <c r="AT1377" t="s">
        <v>115</v>
      </c>
      <c r="AU1377" t="str">
        <f t="shared" si="221"/>
        <v>0</v>
      </c>
      <c r="BD1377" t="str">
        <f t="shared" si="222"/>
        <v>0</v>
      </c>
      <c r="BK1377" t="str">
        <f>IFERROR(VLOOKUP(B1377,'[1]model_S-フレーム'!$F$5:$R$7000,13,1),"")</f>
        <v>E388306_01</v>
      </c>
      <c r="BL1377" s="7">
        <f>IFERROR(VLOOKUP(B1377,'[1]model_S-フレーム'!$F$5:$V$7000,17,1),"")</f>
        <v>0</v>
      </c>
      <c r="BM1377" t="str" cm="1">
        <f t="array" ref="BM1377">_xlfn.IFS(LEFT(G1377,1)="L","外注品",LEFT(G1377,1)="W","内製品",G1377="","購買品")</f>
        <v>内製品</v>
      </c>
    </row>
    <row r="1378" spans="1:65">
      <c r="A1378" t="str">
        <f t="shared" si="214"/>
        <v>WG01</v>
      </c>
      <c r="B1378" t="s">
        <v>1501</v>
      </c>
      <c r="C1378" t="s">
        <v>1557</v>
      </c>
      <c r="D1378" s="7"/>
      <c r="E1378" s="7"/>
      <c r="G1378" t="s">
        <v>1939</v>
      </c>
      <c r="H1378" t="str" cm="1">
        <f t="array" ref="H1378">IFERROR(_xlfn.IFS(B1378="","",AND(B1378="",G1378=""),"",G1378="","記載要"),"")</f>
        <v/>
      </c>
      <c r="K1378" t="str">
        <f t="shared" si="215"/>
        <v>11WP01071797</v>
      </c>
      <c r="L1378" s="3" t="str">
        <f t="shared" si="216"/>
        <v>2001/01/01</v>
      </c>
      <c r="M1378" s="3" t="str">
        <f t="shared" si="217"/>
        <v>2199/12/31</v>
      </c>
      <c r="N1378" t="str">
        <f t="shared" si="218"/>
        <v>11WP01071797</v>
      </c>
      <c r="O1378">
        <v>15</v>
      </c>
      <c r="Q1378" t="str" cm="1">
        <f t="array" ref="Q1378">_xlfn.IFS(AND(C1378="",G1378=""),"",LEFT(G1378,1)="L","記載要",LEFT(G1378,1)="W","",AND(C1378,G1378=""),"記載要")</f>
        <v/>
      </c>
      <c r="R1378" s="21" t="str">
        <f t="shared" si="223"/>
        <v/>
      </c>
      <c r="S1378" s="21"/>
      <c r="Z1378" s="8"/>
      <c r="AA1378">
        <v>1</v>
      </c>
      <c r="AB1378">
        <f t="shared" si="219"/>
        <v>0</v>
      </c>
      <c r="AC1378">
        <v>1</v>
      </c>
      <c r="AF1378">
        <v>1</v>
      </c>
      <c r="AG1378" s="8"/>
      <c r="AH1378" s="8"/>
      <c r="AK1378" cm="1">
        <f t="array" ref="AK1378">_xlfn.IFS(B1378="","",LEFT(G1378,1)="L",1,LEFT(G1378,1)="W",1,AND(LEFT(B1378,1)="H",G1378=""),0)</f>
        <v>1</v>
      </c>
      <c r="AS1378" t="str">
        <f t="shared" si="220"/>
        <v/>
      </c>
      <c r="AT1378" t="s">
        <v>115</v>
      </c>
      <c r="AU1378" t="str">
        <f t="shared" si="221"/>
        <v>0</v>
      </c>
      <c r="BD1378" t="str">
        <f t="shared" si="222"/>
        <v>0</v>
      </c>
      <c r="BK1378" t="str">
        <f>IFERROR(VLOOKUP(B1378,'[1]model_S-フレーム'!$F$5:$R$7000,13,1),"")</f>
        <v>E388306_01</v>
      </c>
      <c r="BL1378" s="7">
        <f>IFERROR(VLOOKUP(B1378,'[1]model_S-フレーム'!$F$5:$V$7000,17,1),"")</f>
        <v>0</v>
      </c>
      <c r="BM1378" t="str" cm="1">
        <f t="array" ref="BM1378">_xlfn.IFS(LEFT(G1378,1)="L","外注品",LEFT(G1378,1)="W","内製品",G1378="","購買品")</f>
        <v>内製品</v>
      </c>
    </row>
    <row r="1379" spans="1:65">
      <c r="A1379" t="str">
        <f t="shared" si="214"/>
        <v>WG01</v>
      </c>
      <c r="B1379" t="s">
        <v>1502</v>
      </c>
      <c r="C1379" t="s">
        <v>1557</v>
      </c>
      <c r="D1379" s="7"/>
      <c r="E1379" s="7"/>
      <c r="G1379" t="s">
        <v>1939</v>
      </c>
      <c r="H1379" t="str" cm="1">
        <f t="array" ref="H1379">IFERROR(_xlfn.IFS(B1379="","",AND(B1379="",G1379=""),"",G1379="","記載要"),"")</f>
        <v/>
      </c>
      <c r="K1379" t="str">
        <f t="shared" si="215"/>
        <v>11WP01071798</v>
      </c>
      <c r="L1379" s="3" t="str">
        <f t="shared" si="216"/>
        <v>2001/01/01</v>
      </c>
      <c r="M1379" s="3" t="str">
        <f t="shared" si="217"/>
        <v>2199/12/31</v>
      </c>
      <c r="N1379" t="str">
        <f t="shared" si="218"/>
        <v>11WP01071798</v>
      </c>
      <c r="O1379">
        <v>15</v>
      </c>
      <c r="Q1379" t="str" cm="1">
        <f t="array" ref="Q1379">_xlfn.IFS(AND(C1379="",G1379=""),"",LEFT(G1379,1)="L","記載要",LEFT(G1379,1)="W","",AND(C1379,G1379=""),"記載要")</f>
        <v/>
      </c>
      <c r="R1379" s="21" t="str">
        <f t="shared" si="223"/>
        <v/>
      </c>
      <c r="S1379" s="21"/>
      <c r="Z1379" s="8"/>
      <c r="AA1379">
        <v>1</v>
      </c>
      <c r="AB1379">
        <f t="shared" si="219"/>
        <v>0</v>
      </c>
      <c r="AC1379">
        <v>1</v>
      </c>
      <c r="AF1379">
        <v>1</v>
      </c>
      <c r="AG1379" s="8"/>
      <c r="AH1379" s="8"/>
      <c r="AK1379" cm="1">
        <f t="array" ref="AK1379">_xlfn.IFS(B1379="","",LEFT(G1379,1)="L",1,LEFT(G1379,1)="W",1,AND(LEFT(B1379,1)="H",G1379=""),0)</f>
        <v>1</v>
      </c>
      <c r="AS1379" t="str">
        <f t="shared" si="220"/>
        <v/>
      </c>
      <c r="AT1379" t="s">
        <v>115</v>
      </c>
      <c r="AU1379" t="str">
        <f t="shared" si="221"/>
        <v>0</v>
      </c>
      <c r="BD1379" t="str">
        <f t="shared" si="222"/>
        <v>0</v>
      </c>
      <c r="BK1379" t="str">
        <f>IFERROR(VLOOKUP(B1379,'[1]model_S-フレーム'!$F$5:$R$7000,13,1),"")</f>
        <v>E388306_01</v>
      </c>
      <c r="BL1379" s="7">
        <f>IFERROR(VLOOKUP(B1379,'[1]model_S-フレーム'!$F$5:$V$7000,17,1),"")</f>
        <v>0</v>
      </c>
      <c r="BM1379" t="str" cm="1">
        <f t="array" ref="BM1379">_xlfn.IFS(LEFT(G1379,1)="L","外注品",LEFT(G1379,1)="W","内製品",G1379="","購買品")</f>
        <v>内製品</v>
      </c>
    </row>
    <row r="1380" spans="1:65">
      <c r="A1380" t="str">
        <f t="shared" si="214"/>
        <v>WG01</v>
      </c>
      <c r="B1380" t="s">
        <v>1503</v>
      </c>
      <c r="C1380" t="s">
        <v>1557</v>
      </c>
      <c r="D1380" s="7"/>
      <c r="E1380" s="7"/>
      <c r="G1380" t="s">
        <v>1939</v>
      </c>
      <c r="H1380" t="str" cm="1">
        <f t="array" ref="H1380">IFERROR(_xlfn.IFS(B1380="","",AND(B1380="",G1380=""),"",G1380="","記載要"),"")</f>
        <v/>
      </c>
      <c r="K1380" t="str">
        <f t="shared" si="215"/>
        <v>11WP01071799</v>
      </c>
      <c r="L1380" s="3" t="str">
        <f t="shared" si="216"/>
        <v>2001/01/01</v>
      </c>
      <c r="M1380" s="3" t="str">
        <f t="shared" si="217"/>
        <v>2199/12/31</v>
      </c>
      <c r="N1380" t="str">
        <f t="shared" si="218"/>
        <v>11WP01071799</v>
      </c>
      <c r="O1380">
        <v>15</v>
      </c>
      <c r="Q1380" t="str" cm="1">
        <f t="array" ref="Q1380">_xlfn.IFS(AND(C1380="",G1380=""),"",LEFT(G1380,1)="L","記載要",LEFT(G1380,1)="W","",AND(C1380,G1380=""),"記載要")</f>
        <v/>
      </c>
      <c r="R1380" s="21" t="str">
        <f t="shared" si="223"/>
        <v/>
      </c>
      <c r="S1380" s="21"/>
      <c r="Z1380" s="8"/>
      <c r="AA1380">
        <v>1</v>
      </c>
      <c r="AB1380">
        <f t="shared" si="219"/>
        <v>0</v>
      </c>
      <c r="AC1380">
        <v>1</v>
      </c>
      <c r="AF1380">
        <v>1</v>
      </c>
      <c r="AG1380" s="8"/>
      <c r="AH1380" s="8"/>
      <c r="AK1380" cm="1">
        <f t="array" ref="AK1380">_xlfn.IFS(B1380="","",LEFT(G1380,1)="L",1,LEFT(G1380,1)="W",1,AND(LEFT(B1380,1)="H",G1380=""),0)</f>
        <v>1</v>
      </c>
      <c r="AS1380" t="str">
        <f t="shared" si="220"/>
        <v/>
      </c>
      <c r="AT1380" t="s">
        <v>115</v>
      </c>
      <c r="AU1380" t="str">
        <f t="shared" si="221"/>
        <v>0</v>
      </c>
      <c r="BD1380" t="str">
        <f t="shared" si="222"/>
        <v>0</v>
      </c>
      <c r="BK1380" t="str">
        <f>IFERROR(VLOOKUP(B1380,'[1]model_S-フレーム'!$F$5:$R$7000,13,1),"")</f>
        <v>E388306_01</v>
      </c>
      <c r="BL1380" s="7">
        <f>IFERROR(VLOOKUP(B1380,'[1]model_S-フレーム'!$F$5:$V$7000,17,1),"")</f>
        <v>0</v>
      </c>
      <c r="BM1380" t="str" cm="1">
        <f t="array" ref="BM1380">_xlfn.IFS(LEFT(G1380,1)="L","外注品",LEFT(G1380,1)="W","内製品",G1380="","購買品")</f>
        <v>内製品</v>
      </c>
    </row>
    <row r="1381" spans="1:65">
      <c r="A1381" t="str">
        <f t="shared" si="214"/>
        <v>WG01</v>
      </c>
      <c r="B1381" t="s">
        <v>1504</v>
      </c>
      <c r="C1381" t="s">
        <v>1557</v>
      </c>
      <c r="D1381" s="7"/>
      <c r="E1381" s="7"/>
      <c r="G1381" t="s">
        <v>1939</v>
      </c>
      <c r="H1381" t="str" cm="1">
        <f t="array" ref="H1381">IFERROR(_xlfn.IFS(B1381="","",AND(B1381="",G1381=""),"",G1381="","記載要"),"")</f>
        <v/>
      </c>
      <c r="K1381" t="str">
        <f t="shared" si="215"/>
        <v>11WP01071800</v>
      </c>
      <c r="L1381" s="3" t="str">
        <f t="shared" si="216"/>
        <v>2001/01/01</v>
      </c>
      <c r="M1381" s="3" t="str">
        <f t="shared" si="217"/>
        <v>2199/12/31</v>
      </c>
      <c r="N1381" t="str">
        <f t="shared" si="218"/>
        <v>11WP01071800</v>
      </c>
      <c r="O1381">
        <v>15</v>
      </c>
      <c r="Q1381" t="str" cm="1">
        <f t="array" ref="Q1381">_xlfn.IFS(AND(C1381="",G1381=""),"",LEFT(G1381,1)="L","記載要",LEFT(G1381,1)="W","",AND(C1381,G1381=""),"記載要")</f>
        <v/>
      </c>
      <c r="R1381" s="21" t="str">
        <f t="shared" si="223"/>
        <v/>
      </c>
      <c r="S1381" s="21"/>
      <c r="Z1381" s="8"/>
      <c r="AA1381">
        <v>1</v>
      </c>
      <c r="AB1381">
        <f t="shared" si="219"/>
        <v>0</v>
      </c>
      <c r="AC1381">
        <v>1</v>
      </c>
      <c r="AF1381">
        <v>1</v>
      </c>
      <c r="AG1381" s="8"/>
      <c r="AH1381" s="8"/>
      <c r="AK1381" cm="1">
        <f t="array" ref="AK1381">_xlfn.IFS(B1381="","",LEFT(G1381,1)="L",1,LEFT(G1381,1)="W",1,AND(LEFT(B1381,1)="H",G1381=""),0)</f>
        <v>1</v>
      </c>
      <c r="AS1381" t="str">
        <f t="shared" si="220"/>
        <v/>
      </c>
      <c r="AT1381" t="s">
        <v>115</v>
      </c>
      <c r="AU1381" t="str">
        <f t="shared" si="221"/>
        <v>0</v>
      </c>
      <c r="BD1381" t="str">
        <f t="shared" si="222"/>
        <v>0</v>
      </c>
      <c r="BK1381" t="str">
        <f>IFERROR(VLOOKUP(B1381,'[1]model_S-フレーム'!$F$5:$R$7000,13,1),"")</f>
        <v>E388306_01</v>
      </c>
      <c r="BL1381" s="7">
        <f>IFERROR(VLOOKUP(B1381,'[1]model_S-フレーム'!$F$5:$V$7000,17,1),"")</f>
        <v>0</v>
      </c>
      <c r="BM1381" t="str" cm="1">
        <f t="array" ref="BM1381">_xlfn.IFS(LEFT(G1381,1)="L","外注品",LEFT(G1381,1)="W","内製品",G1381="","購買品")</f>
        <v>内製品</v>
      </c>
    </row>
    <row r="1382" spans="1:65" s="13" customFormat="1">
      <c r="A1382" t="str">
        <f t="shared" si="214"/>
        <v>WG01</v>
      </c>
      <c r="B1382" t="s">
        <v>1505</v>
      </c>
      <c r="C1382" t="s">
        <v>1558</v>
      </c>
      <c r="D1382" s="7"/>
      <c r="E1382" s="7"/>
      <c r="F1382"/>
      <c r="G1382"/>
      <c r="H1382">
        <v>27616</v>
      </c>
      <c r="I1382"/>
      <c r="J1382"/>
      <c r="K1382" t="str">
        <f t="shared" si="215"/>
        <v/>
      </c>
      <c r="L1382" s="3" t="str">
        <f t="shared" si="216"/>
        <v>2001/01/01</v>
      </c>
      <c r="M1382" s="3" t="str">
        <f t="shared" si="217"/>
        <v>2199/12/31</v>
      </c>
      <c r="N1382" t="str">
        <f t="shared" si="218"/>
        <v/>
      </c>
      <c r="O1382" t="str">
        <f t="shared" ref="O1382:O1401" si="224">IF(G1382="","","記載要")</f>
        <v/>
      </c>
      <c r="P1382"/>
      <c r="Q1382">
        <v>15</v>
      </c>
      <c r="R1382" s="21">
        <v>100000000</v>
      </c>
      <c r="S1382" s="21" t="str" cm="1">
        <f t="array" ref="S1382">_xlfn.IFS(LEFT(G1382,1)="L","記載要",LEFT(G1382,1)="W","記載要",G1382="","")</f>
        <v/>
      </c>
      <c r="T1382"/>
      <c r="U1382"/>
      <c r="V1382"/>
      <c r="W1382"/>
      <c r="X1382"/>
      <c r="Y1382"/>
      <c r="Z1382" s="8"/>
      <c r="AA1382" s="8">
        <v>1</v>
      </c>
      <c r="AB1382">
        <f t="shared" si="219"/>
        <v>0</v>
      </c>
      <c r="AC1382" s="8">
        <v>1</v>
      </c>
      <c r="AD1382"/>
      <c r="AE1382"/>
      <c r="AF1382">
        <v>1</v>
      </c>
      <c r="AG1382" s="8"/>
      <c r="AH1382" s="8"/>
      <c r="AI1382"/>
      <c r="AJ1382"/>
      <c r="AK1382" cm="1">
        <f t="array" ref="AK1382">_xlfn.IFS(B1382="","",LEFT(G1382,1)="L",1,LEFT(G1382,1)="W",1,AND(LEFT(B1382,1)="H",G1382=""),0)</f>
        <v>0</v>
      </c>
      <c r="AL1382"/>
      <c r="AM1382"/>
      <c r="AN1382"/>
      <c r="AO1382"/>
      <c r="AP1382"/>
      <c r="AQ1382"/>
      <c r="AR1382"/>
      <c r="AS1382">
        <f t="shared" si="220"/>
        <v>1</v>
      </c>
      <c r="AT1382" t="s">
        <v>115</v>
      </c>
      <c r="AU1382" t="str">
        <f t="shared" si="221"/>
        <v>0</v>
      </c>
      <c r="AV1382"/>
      <c r="AW1382"/>
      <c r="AX1382"/>
      <c r="AY1382"/>
      <c r="AZ1382"/>
      <c r="BA1382"/>
      <c r="BB1382"/>
      <c r="BC1382"/>
      <c r="BD1382" t="str">
        <f t="shared" si="222"/>
        <v>0</v>
      </c>
      <c r="BE1382"/>
      <c r="BF1382"/>
      <c r="BG1382"/>
      <c r="BH1382"/>
      <c r="BI1382"/>
      <c r="BJ1382"/>
      <c r="BK1382" s="13" t="str">
        <f>IFERROR(VLOOKUP(B1382,'[1]model_S-フレーム'!$F$5:$R$7000,13,1),"")</f>
        <v>E388306_01</v>
      </c>
      <c r="BL1382" s="14">
        <f>IFERROR(VLOOKUP(B1382,'[1]model_S-フレーム'!$F$5:$V$7000,17,1),"")</f>
        <v>0</v>
      </c>
      <c r="BM1382" s="13" t="str" cm="1">
        <f t="array" ref="BM1382">_xlfn.IFS(LEFT(G1382,1)="L","外注品",LEFT(G1382,1)="W","内製品",G1382="","購買品")</f>
        <v>購買品</v>
      </c>
    </row>
    <row r="1383" spans="1:65" s="13" customFormat="1">
      <c r="A1383" t="str">
        <f t="shared" si="214"/>
        <v>WG01</v>
      </c>
      <c r="B1383" t="s">
        <v>1505</v>
      </c>
      <c r="C1383" t="s">
        <v>1558</v>
      </c>
      <c r="D1383" s="7"/>
      <c r="E1383" s="7"/>
      <c r="F1383"/>
      <c r="G1383"/>
      <c r="H1383">
        <v>43453</v>
      </c>
      <c r="I1383"/>
      <c r="J1383"/>
      <c r="K1383" t="str">
        <f t="shared" si="215"/>
        <v/>
      </c>
      <c r="L1383" s="3" t="str">
        <f t="shared" si="216"/>
        <v>2001/01/01</v>
      </c>
      <c r="M1383" s="3" t="str">
        <f t="shared" si="217"/>
        <v>2199/12/31</v>
      </c>
      <c r="N1383" t="str">
        <f t="shared" si="218"/>
        <v/>
      </c>
      <c r="O1383" t="str">
        <f t="shared" si="224"/>
        <v/>
      </c>
      <c r="P1383"/>
      <c r="Q1383">
        <v>15</v>
      </c>
      <c r="R1383" s="21">
        <v>100000000</v>
      </c>
      <c r="S1383" s="21" t="str" cm="1">
        <f t="array" ref="S1383">_xlfn.IFS(LEFT(G1383,1)="L","記載要",LEFT(G1383,1)="W","記載要",G1383="","")</f>
        <v/>
      </c>
      <c r="T1383"/>
      <c r="U1383"/>
      <c r="V1383"/>
      <c r="W1383"/>
      <c r="X1383"/>
      <c r="Y1383"/>
      <c r="Z1383" s="8"/>
      <c r="AA1383" s="8">
        <v>1</v>
      </c>
      <c r="AB1383">
        <f t="shared" si="219"/>
        <v>0</v>
      </c>
      <c r="AC1383" s="8">
        <v>1</v>
      </c>
      <c r="AD1383"/>
      <c r="AE1383"/>
      <c r="AF1383">
        <v>0</v>
      </c>
      <c r="AG1383" s="8"/>
      <c r="AH1383" s="8"/>
      <c r="AI1383"/>
      <c r="AJ1383"/>
      <c r="AK1383" cm="1">
        <f t="array" ref="AK1383">_xlfn.IFS(B1383="","",LEFT(G1383,1)="L",1,LEFT(G1383,1)="W",1,AND(LEFT(B1383,1)="H",G1383=""),0)</f>
        <v>0</v>
      </c>
      <c r="AL1383"/>
      <c r="AM1383"/>
      <c r="AN1383"/>
      <c r="AO1383"/>
      <c r="AP1383"/>
      <c r="AQ1383"/>
      <c r="AR1383"/>
      <c r="AS1383">
        <f t="shared" si="220"/>
        <v>1</v>
      </c>
      <c r="AT1383" t="s">
        <v>115</v>
      </c>
      <c r="AU1383" t="str">
        <f t="shared" si="221"/>
        <v>0</v>
      </c>
      <c r="AV1383"/>
      <c r="AW1383"/>
      <c r="AX1383"/>
      <c r="AY1383"/>
      <c r="AZ1383"/>
      <c r="BA1383"/>
      <c r="BB1383"/>
      <c r="BC1383"/>
      <c r="BD1383" t="str">
        <f t="shared" si="222"/>
        <v>0</v>
      </c>
      <c r="BE1383"/>
      <c r="BF1383"/>
      <c r="BG1383"/>
      <c r="BH1383"/>
      <c r="BI1383"/>
      <c r="BJ1383"/>
      <c r="BK1383" s="13" t="str">
        <f>IFERROR(VLOOKUP(B1383,'[1]model_S-フレーム'!$F$5:$R$7000,13,1),"")</f>
        <v>E388306_01</v>
      </c>
      <c r="BL1383" s="14">
        <f>IFERROR(VLOOKUP(B1383,'[1]model_S-フレーム'!$F$5:$V$7000,17,1),"")</f>
        <v>0</v>
      </c>
      <c r="BM1383" s="13" t="str" cm="1">
        <f t="array" ref="BM1383">_xlfn.IFS(LEFT(G1383,1)="L","外注品",LEFT(G1383,1)="W","内製品",G1383="","購買品")</f>
        <v>購買品</v>
      </c>
    </row>
    <row r="1384" spans="1:65" s="13" customFormat="1">
      <c r="A1384" t="str">
        <f t="shared" si="214"/>
        <v>WG01</v>
      </c>
      <c r="B1384" t="s">
        <v>1505</v>
      </c>
      <c r="C1384" t="s">
        <v>1558</v>
      </c>
      <c r="D1384" s="7"/>
      <c r="E1384" s="7"/>
      <c r="F1384"/>
      <c r="G1384"/>
      <c r="H1384">
        <v>47081</v>
      </c>
      <c r="I1384"/>
      <c r="J1384"/>
      <c r="K1384" t="str">
        <f t="shared" si="215"/>
        <v/>
      </c>
      <c r="L1384" s="3" t="str">
        <f t="shared" si="216"/>
        <v>2001/01/01</v>
      </c>
      <c r="M1384" s="3" t="str">
        <f t="shared" si="217"/>
        <v>2199/12/31</v>
      </c>
      <c r="N1384" t="str">
        <f t="shared" si="218"/>
        <v/>
      </c>
      <c r="O1384" t="str">
        <f t="shared" si="224"/>
        <v/>
      </c>
      <c r="P1384"/>
      <c r="Q1384">
        <v>15</v>
      </c>
      <c r="R1384" s="21">
        <v>100000000</v>
      </c>
      <c r="S1384" s="21" t="str" cm="1">
        <f t="array" ref="S1384">_xlfn.IFS(LEFT(G1384,1)="L","記載要",LEFT(G1384,1)="W","記載要",G1384="","")</f>
        <v/>
      </c>
      <c r="T1384"/>
      <c r="U1384"/>
      <c r="V1384"/>
      <c r="W1384"/>
      <c r="X1384"/>
      <c r="Y1384"/>
      <c r="Z1384" s="8"/>
      <c r="AA1384" s="8">
        <v>1</v>
      </c>
      <c r="AB1384">
        <f t="shared" si="219"/>
        <v>0</v>
      </c>
      <c r="AC1384" s="8">
        <v>1</v>
      </c>
      <c r="AD1384"/>
      <c r="AE1384"/>
      <c r="AF1384">
        <v>0</v>
      </c>
      <c r="AG1384" s="8"/>
      <c r="AH1384" s="8"/>
      <c r="AI1384"/>
      <c r="AJ1384"/>
      <c r="AK1384" cm="1">
        <f t="array" ref="AK1384">_xlfn.IFS(B1384="","",LEFT(G1384,1)="L",1,LEFT(G1384,1)="W",1,AND(LEFT(B1384,1)="H",G1384=""),0)</f>
        <v>0</v>
      </c>
      <c r="AL1384"/>
      <c r="AM1384"/>
      <c r="AN1384"/>
      <c r="AO1384"/>
      <c r="AP1384"/>
      <c r="AQ1384"/>
      <c r="AR1384"/>
      <c r="AS1384">
        <f t="shared" si="220"/>
        <v>1</v>
      </c>
      <c r="AT1384" t="s">
        <v>115</v>
      </c>
      <c r="AU1384" t="str">
        <f t="shared" si="221"/>
        <v>0</v>
      </c>
      <c r="AV1384"/>
      <c r="AW1384"/>
      <c r="AX1384"/>
      <c r="AY1384"/>
      <c r="AZ1384"/>
      <c r="BA1384"/>
      <c r="BB1384"/>
      <c r="BC1384"/>
      <c r="BD1384" t="str">
        <f t="shared" si="222"/>
        <v>0</v>
      </c>
      <c r="BE1384"/>
      <c r="BF1384"/>
      <c r="BG1384"/>
      <c r="BH1384"/>
      <c r="BI1384"/>
      <c r="BJ1384"/>
      <c r="BK1384" s="13" t="str">
        <f>IFERROR(VLOOKUP(B1384,'[1]model_S-フレーム'!$F$5:$R$7000,13,1),"")</f>
        <v>E388306_01</v>
      </c>
      <c r="BL1384" s="14">
        <f>IFERROR(VLOOKUP(B1384,'[1]model_S-フレーム'!$F$5:$V$7000,17,1),"")</f>
        <v>0</v>
      </c>
      <c r="BM1384" s="13" t="str" cm="1">
        <f t="array" ref="BM1384">_xlfn.IFS(LEFT(G1384,1)="L","外注品",LEFT(G1384,1)="W","内製品",G1384="","購買品")</f>
        <v>購買品</v>
      </c>
    </row>
    <row r="1385" spans="1:65">
      <c r="A1385" t="str">
        <f t="shared" si="214"/>
        <v>WG01</v>
      </c>
      <c r="B1385" t="s">
        <v>1505</v>
      </c>
      <c r="C1385" t="s">
        <v>1558</v>
      </c>
      <c r="D1385" s="7"/>
      <c r="E1385" s="7"/>
      <c r="H1385" s="19" t="s">
        <v>1937</v>
      </c>
      <c r="K1385" t="str">
        <f t="shared" si="215"/>
        <v/>
      </c>
      <c r="L1385" s="3" t="str">
        <f t="shared" si="216"/>
        <v>2001/01/01</v>
      </c>
      <c r="M1385" s="3" t="str">
        <f t="shared" si="217"/>
        <v>2199/12/31</v>
      </c>
      <c r="N1385" t="str">
        <f t="shared" si="218"/>
        <v/>
      </c>
      <c r="O1385" t="str">
        <f t="shared" si="224"/>
        <v/>
      </c>
      <c r="Q1385">
        <v>15</v>
      </c>
      <c r="R1385" s="21">
        <v>100000000</v>
      </c>
      <c r="S1385" s="21" t="str" cm="1">
        <f t="array" ref="S1385">_xlfn.IFS(LEFT(G1385,1)="L","記載要",LEFT(G1385,1)="W","記載要",G1385="","")</f>
        <v/>
      </c>
      <c r="Z1385" s="8"/>
      <c r="AA1385" s="8">
        <v>1</v>
      </c>
      <c r="AB1385">
        <f t="shared" si="219"/>
        <v>0</v>
      </c>
      <c r="AC1385" s="8">
        <v>1</v>
      </c>
      <c r="AF1385">
        <v>1</v>
      </c>
      <c r="AG1385" s="8"/>
      <c r="AH1385" s="8"/>
      <c r="AK1385" cm="1">
        <f t="array" ref="AK1385">_xlfn.IFS(B1385="","",LEFT(G1385,1)="L",1,LEFT(G1385,1)="W",1,AND(LEFT(B1385,1)="H",G1385=""),0)</f>
        <v>0</v>
      </c>
      <c r="AS1385">
        <f t="shared" si="220"/>
        <v>1</v>
      </c>
      <c r="AT1385" t="s">
        <v>115</v>
      </c>
      <c r="AU1385" t="str">
        <f t="shared" si="221"/>
        <v>0</v>
      </c>
      <c r="BD1385" t="str">
        <f t="shared" si="222"/>
        <v>0</v>
      </c>
      <c r="BK1385" t="str">
        <f>IFERROR(VLOOKUP(B1385,'[1]model_S-フレーム'!$F$5:$R$7000,13,1),"")</f>
        <v>E388306_01</v>
      </c>
      <c r="BL1385" s="7">
        <f>IFERROR(VLOOKUP(B1385,'[1]model_S-フレーム'!$F$5:$V$7000,17,1),"")</f>
        <v>0</v>
      </c>
      <c r="BM1385" t="str" cm="1">
        <f t="array" ref="BM1385">_xlfn.IFS(LEFT(G1385,1)="L","外注品",LEFT(G1385,1)="W","内製品",G1385="","購買品")</f>
        <v>購買品</v>
      </c>
    </row>
    <row r="1386" spans="1:65" s="13" customFormat="1">
      <c r="A1386" t="str">
        <f t="shared" si="214"/>
        <v>WG01</v>
      </c>
      <c r="B1386" t="s">
        <v>1506</v>
      </c>
      <c r="C1386" t="s">
        <v>1559</v>
      </c>
      <c r="D1386" s="7"/>
      <c r="E1386" s="7"/>
      <c r="F1386"/>
      <c r="G1386"/>
      <c r="H1386">
        <v>27616</v>
      </c>
      <c r="I1386"/>
      <c r="J1386"/>
      <c r="K1386" t="str">
        <f t="shared" si="215"/>
        <v/>
      </c>
      <c r="L1386" s="3" t="str">
        <f t="shared" si="216"/>
        <v>2001/01/01</v>
      </c>
      <c r="M1386" s="3" t="str">
        <f t="shared" si="217"/>
        <v>2199/12/31</v>
      </c>
      <c r="N1386" t="str">
        <f t="shared" si="218"/>
        <v/>
      </c>
      <c r="O1386" t="str">
        <f t="shared" si="224"/>
        <v/>
      </c>
      <c r="P1386"/>
      <c r="Q1386">
        <v>15</v>
      </c>
      <c r="R1386" s="21">
        <v>100000000</v>
      </c>
      <c r="S1386" s="21" t="str" cm="1">
        <f t="array" ref="S1386">_xlfn.IFS(LEFT(G1386,1)="L","記載要",LEFT(G1386,1)="W","記載要",G1386="","")</f>
        <v/>
      </c>
      <c r="T1386"/>
      <c r="U1386"/>
      <c r="V1386"/>
      <c r="W1386"/>
      <c r="X1386"/>
      <c r="Y1386"/>
      <c r="Z1386" s="8"/>
      <c r="AA1386" s="8">
        <v>1</v>
      </c>
      <c r="AB1386">
        <f t="shared" si="219"/>
        <v>0</v>
      </c>
      <c r="AC1386" s="8">
        <v>1</v>
      </c>
      <c r="AD1386"/>
      <c r="AE1386"/>
      <c r="AF1386">
        <v>1</v>
      </c>
      <c r="AG1386" s="8"/>
      <c r="AH1386" s="8"/>
      <c r="AI1386"/>
      <c r="AJ1386"/>
      <c r="AK1386" cm="1">
        <f t="array" ref="AK1386">_xlfn.IFS(B1386="","",LEFT(G1386,1)="L",1,LEFT(G1386,1)="W",1,AND(LEFT(B1386,1)="H",G1386=""),0)</f>
        <v>0</v>
      </c>
      <c r="AL1386"/>
      <c r="AM1386"/>
      <c r="AN1386"/>
      <c r="AO1386"/>
      <c r="AP1386"/>
      <c r="AQ1386"/>
      <c r="AR1386"/>
      <c r="AS1386">
        <f t="shared" si="220"/>
        <v>1</v>
      </c>
      <c r="AT1386" t="s">
        <v>115</v>
      </c>
      <c r="AU1386" t="str">
        <f t="shared" si="221"/>
        <v>0</v>
      </c>
      <c r="AV1386"/>
      <c r="AW1386"/>
      <c r="AX1386"/>
      <c r="AY1386"/>
      <c r="AZ1386"/>
      <c r="BA1386"/>
      <c r="BB1386"/>
      <c r="BC1386"/>
      <c r="BD1386" t="str">
        <f t="shared" si="222"/>
        <v>0</v>
      </c>
      <c r="BE1386"/>
      <c r="BF1386"/>
      <c r="BG1386"/>
      <c r="BH1386"/>
      <c r="BI1386"/>
      <c r="BJ1386"/>
      <c r="BK1386" s="13" t="str">
        <f>IFERROR(VLOOKUP(B1386,'[1]model_S-フレーム'!$F$5:$R$7000,13,1),"")</f>
        <v>E388306_01</v>
      </c>
      <c r="BL1386" s="14">
        <f>IFERROR(VLOOKUP(B1386,'[1]model_S-フレーム'!$F$5:$V$7000,17,1),"")</f>
        <v>0</v>
      </c>
      <c r="BM1386" s="13" t="str" cm="1">
        <f t="array" ref="BM1386">_xlfn.IFS(LEFT(G1386,1)="L","外注品",LEFT(G1386,1)="W","内製品",G1386="","購買品")</f>
        <v>購買品</v>
      </c>
    </row>
    <row r="1387" spans="1:65" s="13" customFormat="1">
      <c r="A1387" t="str">
        <f t="shared" si="214"/>
        <v>WG01</v>
      </c>
      <c r="B1387" t="s">
        <v>1506</v>
      </c>
      <c r="C1387" t="s">
        <v>1559</v>
      </c>
      <c r="D1387" s="7"/>
      <c r="E1387" s="7"/>
      <c r="F1387"/>
      <c r="G1387"/>
      <c r="H1387">
        <v>43453</v>
      </c>
      <c r="I1387"/>
      <c r="J1387"/>
      <c r="K1387" t="str">
        <f t="shared" si="215"/>
        <v/>
      </c>
      <c r="L1387" s="3" t="str">
        <f t="shared" si="216"/>
        <v>2001/01/01</v>
      </c>
      <c r="M1387" s="3" t="str">
        <f t="shared" si="217"/>
        <v>2199/12/31</v>
      </c>
      <c r="N1387" t="str">
        <f t="shared" si="218"/>
        <v/>
      </c>
      <c r="O1387" t="str">
        <f t="shared" si="224"/>
        <v/>
      </c>
      <c r="P1387"/>
      <c r="Q1387">
        <v>15</v>
      </c>
      <c r="R1387" s="21">
        <v>100000000</v>
      </c>
      <c r="S1387" s="21" t="str" cm="1">
        <f t="array" ref="S1387">_xlfn.IFS(LEFT(G1387,1)="L","記載要",LEFT(G1387,1)="W","記載要",G1387="","")</f>
        <v/>
      </c>
      <c r="T1387"/>
      <c r="U1387"/>
      <c r="V1387"/>
      <c r="W1387"/>
      <c r="X1387"/>
      <c r="Y1387"/>
      <c r="Z1387" s="8"/>
      <c r="AA1387" s="8">
        <v>1</v>
      </c>
      <c r="AB1387">
        <f t="shared" si="219"/>
        <v>0</v>
      </c>
      <c r="AC1387" s="8">
        <v>1</v>
      </c>
      <c r="AD1387"/>
      <c r="AE1387"/>
      <c r="AF1387">
        <v>0</v>
      </c>
      <c r="AG1387" s="8"/>
      <c r="AH1387" s="8"/>
      <c r="AI1387"/>
      <c r="AJ1387"/>
      <c r="AK1387" cm="1">
        <f t="array" ref="AK1387">_xlfn.IFS(B1387="","",LEFT(G1387,1)="L",1,LEFT(G1387,1)="W",1,AND(LEFT(B1387,1)="H",G1387=""),0)</f>
        <v>0</v>
      </c>
      <c r="AL1387"/>
      <c r="AM1387"/>
      <c r="AN1387"/>
      <c r="AO1387"/>
      <c r="AP1387"/>
      <c r="AQ1387"/>
      <c r="AR1387"/>
      <c r="AS1387">
        <f t="shared" si="220"/>
        <v>1</v>
      </c>
      <c r="AT1387" t="s">
        <v>115</v>
      </c>
      <c r="AU1387" t="str">
        <f t="shared" si="221"/>
        <v>0</v>
      </c>
      <c r="AV1387"/>
      <c r="AW1387"/>
      <c r="AX1387"/>
      <c r="AY1387"/>
      <c r="AZ1387"/>
      <c r="BA1387"/>
      <c r="BB1387"/>
      <c r="BC1387"/>
      <c r="BD1387" t="str">
        <f t="shared" si="222"/>
        <v>0</v>
      </c>
      <c r="BE1387"/>
      <c r="BF1387"/>
      <c r="BG1387"/>
      <c r="BH1387"/>
      <c r="BI1387"/>
      <c r="BJ1387"/>
      <c r="BK1387" s="13" t="str">
        <f>IFERROR(VLOOKUP(B1387,'[1]model_S-フレーム'!$F$5:$R$7000,13,1),"")</f>
        <v>E388306_01</v>
      </c>
      <c r="BL1387" s="14">
        <f>IFERROR(VLOOKUP(B1387,'[1]model_S-フレーム'!$F$5:$V$7000,17,1),"")</f>
        <v>0</v>
      </c>
      <c r="BM1387" s="13" t="str" cm="1">
        <f t="array" ref="BM1387">_xlfn.IFS(LEFT(G1387,1)="L","外注品",LEFT(G1387,1)="W","内製品",G1387="","購買品")</f>
        <v>購買品</v>
      </c>
    </row>
    <row r="1388" spans="1:65" s="13" customFormat="1">
      <c r="A1388" t="str">
        <f t="shared" si="214"/>
        <v>WG01</v>
      </c>
      <c r="B1388" t="s">
        <v>1506</v>
      </c>
      <c r="C1388" t="s">
        <v>1559</v>
      </c>
      <c r="D1388" s="7"/>
      <c r="E1388" s="7"/>
      <c r="F1388"/>
      <c r="G1388"/>
      <c r="H1388">
        <v>47081</v>
      </c>
      <c r="I1388"/>
      <c r="J1388"/>
      <c r="K1388" t="str">
        <f t="shared" si="215"/>
        <v/>
      </c>
      <c r="L1388" s="3" t="str">
        <f t="shared" si="216"/>
        <v>2001/01/01</v>
      </c>
      <c r="M1388" s="3" t="str">
        <f t="shared" si="217"/>
        <v>2199/12/31</v>
      </c>
      <c r="N1388" t="str">
        <f t="shared" si="218"/>
        <v/>
      </c>
      <c r="O1388" t="str">
        <f t="shared" si="224"/>
        <v/>
      </c>
      <c r="P1388"/>
      <c r="Q1388">
        <v>15</v>
      </c>
      <c r="R1388" s="21">
        <v>100000000</v>
      </c>
      <c r="S1388" s="21" t="str" cm="1">
        <f t="array" ref="S1388">_xlfn.IFS(LEFT(G1388,1)="L","記載要",LEFT(G1388,1)="W","記載要",G1388="","")</f>
        <v/>
      </c>
      <c r="T1388"/>
      <c r="U1388"/>
      <c r="V1388"/>
      <c r="W1388"/>
      <c r="X1388"/>
      <c r="Y1388"/>
      <c r="Z1388" s="8"/>
      <c r="AA1388" s="8">
        <v>1</v>
      </c>
      <c r="AB1388">
        <f t="shared" si="219"/>
        <v>0</v>
      </c>
      <c r="AC1388" s="8">
        <v>1</v>
      </c>
      <c r="AD1388"/>
      <c r="AE1388"/>
      <c r="AF1388">
        <v>0</v>
      </c>
      <c r="AG1388" s="8"/>
      <c r="AH1388" s="8"/>
      <c r="AI1388"/>
      <c r="AJ1388"/>
      <c r="AK1388" cm="1">
        <f t="array" ref="AK1388">_xlfn.IFS(B1388="","",LEFT(G1388,1)="L",1,LEFT(G1388,1)="W",1,AND(LEFT(B1388,1)="H",G1388=""),0)</f>
        <v>0</v>
      </c>
      <c r="AL1388"/>
      <c r="AM1388"/>
      <c r="AN1388"/>
      <c r="AO1388"/>
      <c r="AP1388"/>
      <c r="AQ1388"/>
      <c r="AR1388"/>
      <c r="AS1388">
        <f t="shared" si="220"/>
        <v>1</v>
      </c>
      <c r="AT1388" t="s">
        <v>115</v>
      </c>
      <c r="AU1388" t="str">
        <f t="shared" si="221"/>
        <v>0</v>
      </c>
      <c r="AV1388"/>
      <c r="AW1388"/>
      <c r="AX1388"/>
      <c r="AY1388"/>
      <c r="AZ1388"/>
      <c r="BA1388"/>
      <c r="BB1388"/>
      <c r="BC1388"/>
      <c r="BD1388" t="str">
        <f t="shared" si="222"/>
        <v>0</v>
      </c>
      <c r="BE1388"/>
      <c r="BF1388"/>
      <c r="BG1388"/>
      <c r="BH1388"/>
      <c r="BI1388"/>
      <c r="BJ1388"/>
      <c r="BK1388" s="13" t="str">
        <f>IFERROR(VLOOKUP(B1388,'[1]model_S-フレーム'!$F$5:$R$7000,13,1),"")</f>
        <v>E388306_01</v>
      </c>
      <c r="BL1388" s="14">
        <f>IFERROR(VLOOKUP(B1388,'[1]model_S-フレーム'!$F$5:$V$7000,17,1),"")</f>
        <v>0</v>
      </c>
      <c r="BM1388" s="13" t="str" cm="1">
        <f t="array" ref="BM1388">_xlfn.IFS(LEFT(G1388,1)="L","外注品",LEFT(G1388,1)="W","内製品",G1388="","購買品")</f>
        <v>購買品</v>
      </c>
    </row>
    <row r="1389" spans="1:65">
      <c r="A1389" t="str">
        <f t="shared" si="214"/>
        <v>WG01</v>
      </c>
      <c r="B1389" t="s">
        <v>1506</v>
      </c>
      <c r="C1389" t="s">
        <v>1559</v>
      </c>
      <c r="D1389" s="7"/>
      <c r="E1389" s="7"/>
      <c r="H1389" s="19" t="s">
        <v>1937</v>
      </c>
      <c r="K1389" t="str">
        <f t="shared" si="215"/>
        <v/>
      </c>
      <c r="L1389" s="3" t="str">
        <f t="shared" si="216"/>
        <v>2001/01/01</v>
      </c>
      <c r="M1389" s="3" t="str">
        <f t="shared" si="217"/>
        <v>2199/12/31</v>
      </c>
      <c r="N1389" t="str">
        <f t="shared" si="218"/>
        <v/>
      </c>
      <c r="O1389" t="str">
        <f t="shared" si="224"/>
        <v/>
      </c>
      <c r="Q1389">
        <v>15</v>
      </c>
      <c r="R1389" s="21">
        <v>100000000</v>
      </c>
      <c r="S1389" s="21" t="str" cm="1">
        <f t="array" ref="S1389">_xlfn.IFS(LEFT(G1389,1)="L","記載要",LEFT(G1389,1)="W","記載要",G1389="","")</f>
        <v/>
      </c>
      <c r="Z1389" s="8"/>
      <c r="AA1389" s="8">
        <v>1</v>
      </c>
      <c r="AB1389">
        <f t="shared" si="219"/>
        <v>0</v>
      </c>
      <c r="AC1389" s="8">
        <v>1</v>
      </c>
      <c r="AF1389">
        <v>1</v>
      </c>
      <c r="AG1389" s="8"/>
      <c r="AH1389" s="8"/>
      <c r="AK1389" cm="1">
        <f t="array" ref="AK1389">_xlfn.IFS(B1389="","",LEFT(G1389,1)="L",1,LEFT(G1389,1)="W",1,AND(LEFT(B1389,1)="H",G1389=""),0)</f>
        <v>0</v>
      </c>
      <c r="AS1389">
        <f t="shared" si="220"/>
        <v>1</v>
      </c>
      <c r="AT1389" t="s">
        <v>115</v>
      </c>
      <c r="AU1389" t="str">
        <f t="shared" si="221"/>
        <v>0</v>
      </c>
      <c r="BD1389" t="str">
        <f t="shared" si="222"/>
        <v>0</v>
      </c>
      <c r="BK1389" t="str">
        <f>IFERROR(VLOOKUP(B1389,'[1]model_S-フレーム'!$F$5:$R$7000,13,1),"")</f>
        <v>E388306_01</v>
      </c>
      <c r="BL1389" s="7">
        <f>IFERROR(VLOOKUP(B1389,'[1]model_S-フレーム'!$F$5:$V$7000,17,1),"")</f>
        <v>0</v>
      </c>
      <c r="BM1389" t="str" cm="1">
        <f t="array" ref="BM1389">_xlfn.IFS(LEFT(G1389,1)="L","外注品",LEFT(G1389,1)="W","内製品",G1389="","購買品")</f>
        <v>購買品</v>
      </c>
    </row>
    <row r="1390" spans="1:65" s="13" customFormat="1">
      <c r="A1390" t="str">
        <f t="shared" si="214"/>
        <v>WG01</v>
      </c>
      <c r="B1390" t="s">
        <v>1507</v>
      </c>
      <c r="C1390" t="s">
        <v>1560</v>
      </c>
      <c r="D1390" s="7"/>
      <c r="E1390" s="7"/>
      <c r="F1390"/>
      <c r="G1390"/>
      <c r="H1390">
        <v>27616</v>
      </c>
      <c r="I1390"/>
      <c r="J1390"/>
      <c r="K1390" t="str">
        <f t="shared" si="215"/>
        <v/>
      </c>
      <c r="L1390" s="3" t="str">
        <f t="shared" si="216"/>
        <v>2001/01/01</v>
      </c>
      <c r="M1390" s="3" t="str">
        <f t="shared" si="217"/>
        <v>2199/12/31</v>
      </c>
      <c r="N1390" t="str">
        <f t="shared" si="218"/>
        <v/>
      </c>
      <c r="O1390" t="str">
        <f t="shared" si="224"/>
        <v/>
      </c>
      <c r="P1390"/>
      <c r="Q1390">
        <v>15</v>
      </c>
      <c r="R1390" s="21">
        <v>100000000</v>
      </c>
      <c r="S1390" s="21" t="str" cm="1">
        <f t="array" ref="S1390">_xlfn.IFS(LEFT(G1390,1)="L","記載要",LEFT(G1390,1)="W","記載要",G1390="","")</f>
        <v/>
      </c>
      <c r="T1390"/>
      <c r="U1390"/>
      <c r="V1390"/>
      <c r="W1390"/>
      <c r="X1390"/>
      <c r="Y1390"/>
      <c r="Z1390" s="8"/>
      <c r="AA1390" s="8">
        <v>1</v>
      </c>
      <c r="AB1390">
        <f t="shared" si="219"/>
        <v>0</v>
      </c>
      <c r="AC1390" s="8">
        <v>1</v>
      </c>
      <c r="AD1390"/>
      <c r="AE1390"/>
      <c r="AF1390">
        <v>1</v>
      </c>
      <c r="AG1390" s="8"/>
      <c r="AH1390" s="8"/>
      <c r="AI1390"/>
      <c r="AJ1390"/>
      <c r="AK1390" cm="1">
        <f t="array" ref="AK1390">_xlfn.IFS(B1390="","",LEFT(G1390,1)="L",1,LEFT(G1390,1)="W",1,AND(LEFT(B1390,1)="H",G1390=""),0)</f>
        <v>0</v>
      </c>
      <c r="AL1390"/>
      <c r="AM1390"/>
      <c r="AN1390"/>
      <c r="AO1390"/>
      <c r="AP1390"/>
      <c r="AQ1390"/>
      <c r="AR1390"/>
      <c r="AS1390">
        <f t="shared" si="220"/>
        <v>1</v>
      </c>
      <c r="AT1390" t="s">
        <v>115</v>
      </c>
      <c r="AU1390" t="str">
        <f t="shared" si="221"/>
        <v>0</v>
      </c>
      <c r="AV1390"/>
      <c r="AW1390"/>
      <c r="AX1390"/>
      <c r="AY1390"/>
      <c r="AZ1390"/>
      <c r="BA1390"/>
      <c r="BB1390"/>
      <c r="BC1390"/>
      <c r="BD1390" t="str">
        <f t="shared" si="222"/>
        <v>0</v>
      </c>
      <c r="BE1390"/>
      <c r="BF1390"/>
      <c r="BG1390"/>
      <c r="BH1390"/>
      <c r="BI1390"/>
      <c r="BJ1390"/>
      <c r="BK1390" s="13" t="str">
        <f>IFERROR(VLOOKUP(B1390,'[1]model_S-フレーム'!$F$5:$R$7000,13,1),"")</f>
        <v>E388306_01</v>
      </c>
      <c r="BL1390" s="14">
        <f>IFERROR(VLOOKUP(B1390,'[1]model_S-フレーム'!$F$5:$V$7000,17,1),"")</f>
        <v>0</v>
      </c>
      <c r="BM1390" s="13" t="str" cm="1">
        <f t="array" ref="BM1390">_xlfn.IFS(LEFT(G1390,1)="L","外注品",LEFT(G1390,1)="W","内製品",G1390="","購買品")</f>
        <v>購買品</v>
      </c>
    </row>
    <row r="1391" spans="1:65" s="13" customFormat="1">
      <c r="A1391" t="str">
        <f t="shared" si="214"/>
        <v>WG01</v>
      </c>
      <c r="B1391" t="s">
        <v>1507</v>
      </c>
      <c r="C1391" t="s">
        <v>1560</v>
      </c>
      <c r="D1391" s="7"/>
      <c r="E1391" s="7"/>
      <c r="F1391"/>
      <c r="G1391"/>
      <c r="H1391">
        <v>43453</v>
      </c>
      <c r="I1391"/>
      <c r="J1391"/>
      <c r="K1391" t="str">
        <f t="shared" si="215"/>
        <v/>
      </c>
      <c r="L1391" s="3" t="str">
        <f t="shared" si="216"/>
        <v>2001/01/01</v>
      </c>
      <c r="M1391" s="3" t="str">
        <f t="shared" si="217"/>
        <v>2199/12/31</v>
      </c>
      <c r="N1391" t="str">
        <f t="shared" si="218"/>
        <v/>
      </c>
      <c r="O1391" t="str">
        <f t="shared" si="224"/>
        <v/>
      </c>
      <c r="P1391"/>
      <c r="Q1391">
        <v>15</v>
      </c>
      <c r="R1391" s="21">
        <v>100000000</v>
      </c>
      <c r="S1391" s="21" t="str" cm="1">
        <f t="array" ref="S1391">_xlfn.IFS(LEFT(G1391,1)="L","記載要",LEFT(G1391,1)="W","記載要",G1391="","")</f>
        <v/>
      </c>
      <c r="T1391"/>
      <c r="U1391"/>
      <c r="V1391"/>
      <c r="W1391"/>
      <c r="X1391"/>
      <c r="Y1391"/>
      <c r="Z1391" s="8"/>
      <c r="AA1391" s="8">
        <v>1</v>
      </c>
      <c r="AB1391">
        <f t="shared" si="219"/>
        <v>0</v>
      </c>
      <c r="AC1391" s="8">
        <v>1</v>
      </c>
      <c r="AD1391"/>
      <c r="AE1391"/>
      <c r="AF1391">
        <v>0</v>
      </c>
      <c r="AG1391" s="8"/>
      <c r="AH1391" s="8"/>
      <c r="AI1391"/>
      <c r="AJ1391"/>
      <c r="AK1391" cm="1">
        <f t="array" ref="AK1391">_xlfn.IFS(B1391="","",LEFT(G1391,1)="L",1,LEFT(G1391,1)="W",1,AND(LEFT(B1391,1)="H",G1391=""),0)</f>
        <v>0</v>
      </c>
      <c r="AL1391"/>
      <c r="AM1391"/>
      <c r="AN1391"/>
      <c r="AO1391"/>
      <c r="AP1391"/>
      <c r="AQ1391"/>
      <c r="AR1391"/>
      <c r="AS1391">
        <f t="shared" si="220"/>
        <v>1</v>
      </c>
      <c r="AT1391" t="s">
        <v>115</v>
      </c>
      <c r="AU1391" t="str">
        <f t="shared" si="221"/>
        <v>0</v>
      </c>
      <c r="AV1391"/>
      <c r="AW1391"/>
      <c r="AX1391"/>
      <c r="AY1391"/>
      <c r="AZ1391"/>
      <c r="BA1391"/>
      <c r="BB1391"/>
      <c r="BC1391"/>
      <c r="BD1391" t="str">
        <f t="shared" si="222"/>
        <v>0</v>
      </c>
      <c r="BE1391"/>
      <c r="BF1391"/>
      <c r="BG1391"/>
      <c r="BH1391"/>
      <c r="BI1391"/>
      <c r="BJ1391"/>
      <c r="BK1391" s="13" t="str">
        <f>IFERROR(VLOOKUP(B1391,'[1]model_S-フレーム'!$F$5:$R$7000,13,1),"")</f>
        <v>E388306_01</v>
      </c>
      <c r="BL1391" s="14">
        <f>IFERROR(VLOOKUP(B1391,'[1]model_S-フレーム'!$F$5:$V$7000,17,1),"")</f>
        <v>0</v>
      </c>
      <c r="BM1391" s="13" t="str" cm="1">
        <f t="array" ref="BM1391">_xlfn.IFS(LEFT(G1391,1)="L","外注品",LEFT(G1391,1)="W","内製品",G1391="","購買品")</f>
        <v>購買品</v>
      </c>
    </row>
    <row r="1392" spans="1:65" s="13" customFormat="1">
      <c r="A1392" t="str">
        <f t="shared" si="214"/>
        <v>WG01</v>
      </c>
      <c r="B1392" t="s">
        <v>1507</v>
      </c>
      <c r="C1392" t="s">
        <v>1560</v>
      </c>
      <c r="D1392" s="7"/>
      <c r="E1392" s="7"/>
      <c r="F1392"/>
      <c r="G1392"/>
      <c r="H1392">
        <v>47081</v>
      </c>
      <c r="I1392"/>
      <c r="J1392"/>
      <c r="K1392" t="str">
        <f t="shared" si="215"/>
        <v/>
      </c>
      <c r="L1392" s="3" t="str">
        <f t="shared" si="216"/>
        <v>2001/01/01</v>
      </c>
      <c r="M1392" s="3" t="str">
        <f t="shared" si="217"/>
        <v>2199/12/31</v>
      </c>
      <c r="N1392" t="str">
        <f t="shared" si="218"/>
        <v/>
      </c>
      <c r="O1392" t="str">
        <f t="shared" si="224"/>
        <v/>
      </c>
      <c r="P1392"/>
      <c r="Q1392">
        <v>15</v>
      </c>
      <c r="R1392" s="21">
        <v>100000000</v>
      </c>
      <c r="S1392" s="21" t="str" cm="1">
        <f t="array" ref="S1392">_xlfn.IFS(LEFT(G1392,1)="L","記載要",LEFT(G1392,1)="W","記載要",G1392="","")</f>
        <v/>
      </c>
      <c r="T1392"/>
      <c r="U1392"/>
      <c r="V1392"/>
      <c r="W1392"/>
      <c r="X1392"/>
      <c r="Y1392"/>
      <c r="Z1392" s="8"/>
      <c r="AA1392" s="8">
        <v>1</v>
      </c>
      <c r="AB1392">
        <f t="shared" si="219"/>
        <v>0</v>
      </c>
      <c r="AC1392" s="8">
        <v>1</v>
      </c>
      <c r="AD1392"/>
      <c r="AE1392"/>
      <c r="AF1392">
        <v>0</v>
      </c>
      <c r="AG1392" s="8"/>
      <c r="AH1392" s="8"/>
      <c r="AI1392"/>
      <c r="AJ1392"/>
      <c r="AK1392" cm="1">
        <f t="array" ref="AK1392">_xlfn.IFS(B1392="","",LEFT(G1392,1)="L",1,LEFT(G1392,1)="W",1,AND(LEFT(B1392,1)="H",G1392=""),0)</f>
        <v>0</v>
      </c>
      <c r="AL1392"/>
      <c r="AM1392"/>
      <c r="AN1392"/>
      <c r="AO1392"/>
      <c r="AP1392"/>
      <c r="AQ1392"/>
      <c r="AR1392"/>
      <c r="AS1392">
        <f t="shared" si="220"/>
        <v>1</v>
      </c>
      <c r="AT1392" t="s">
        <v>115</v>
      </c>
      <c r="AU1392" t="str">
        <f t="shared" si="221"/>
        <v>0</v>
      </c>
      <c r="AV1392"/>
      <c r="AW1392"/>
      <c r="AX1392"/>
      <c r="AY1392"/>
      <c r="AZ1392"/>
      <c r="BA1392"/>
      <c r="BB1392"/>
      <c r="BC1392"/>
      <c r="BD1392" t="str">
        <f t="shared" si="222"/>
        <v>0</v>
      </c>
      <c r="BE1392"/>
      <c r="BF1392"/>
      <c r="BG1392"/>
      <c r="BH1392"/>
      <c r="BI1392"/>
      <c r="BJ1392"/>
      <c r="BK1392" s="13" t="str">
        <f>IFERROR(VLOOKUP(B1392,'[1]model_S-フレーム'!$F$5:$R$7000,13,1),"")</f>
        <v>E388306_01</v>
      </c>
      <c r="BL1392" s="14">
        <f>IFERROR(VLOOKUP(B1392,'[1]model_S-フレーム'!$F$5:$V$7000,17,1),"")</f>
        <v>0</v>
      </c>
      <c r="BM1392" s="13" t="str" cm="1">
        <f t="array" ref="BM1392">_xlfn.IFS(LEFT(G1392,1)="L","外注品",LEFT(G1392,1)="W","内製品",G1392="","購買品")</f>
        <v>購買品</v>
      </c>
    </row>
    <row r="1393" spans="1:65">
      <c r="A1393" t="str">
        <f t="shared" si="214"/>
        <v>WG01</v>
      </c>
      <c r="B1393" t="s">
        <v>1507</v>
      </c>
      <c r="C1393" t="s">
        <v>1560</v>
      </c>
      <c r="D1393" s="7"/>
      <c r="E1393" s="7"/>
      <c r="H1393" s="19" t="s">
        <v>1937</v>
      </c>
      <c r="K1393" t="str">
        <f t="shared" si="215"/>
        <v/>
      </c>
      <c r="L1393" s="3" t="str">
        <f t="shared" si="216"/>
        <v>2001/01/01</v>
      </c>
      <c r="M1393" s="3" t="str">
        <f t="shared" si="217"/>
        <v>2199/12/31</v>
      </c>
      <c r="N1393" t="str">
        <f t="shared" si="218"/>
        <v/>
      </c>
      <c r="O1393" t="str">
        <f t="shared" si="224"/>
        <v/>
      </c>
      <c r="Q1393">
        <v>15</v>
      </c>
      <c r="R1393" s="21">
        <v>100000000</v>
      </c>
      <c r="S1393" s="21" t="str" cm="1">
        <f t="array" ref="S1393">_xlfn.IFS(LEFT(G1393,1)="L","記載要",LEFT(G1393,1)="W","記載要",G1393="","")</f>
        <v/>
      </c>
      <c r="Z1393" s="8"/>
      <c r="AA1393" s="8">
        <v>1</v>
      </c>
      <c r="AB1393">
        <f t="shared" si="219"/>
        <v>0</v>
      </c>
      <c r="AC1393" s="8">
        <v>1</v>
      </c>
      <c r="AF1393">
        <v>1</v>
      </c>
      <c r="AG1393" s="8"/>
      <c r="AH1393" s="8"/>
      <c r="AK1393" cm="1">
        <f t="array" ref="AK1393">_xlfn.IFS(B1393="","",LEFT(G1393,1)="L",1,LEFT(G1393,1)="W",1,AND(LEFT(B1393,1)="H",G1393=""),0)</f>
        <v>0</v>
      </c>
      <c r="AS1393">
        <f t="shared" si="220"/>
        <v>1</v>
      </c>
      <c r="AT1393" t="s">
        <v>115</v>
      </c>
      <c r="AU1393" t="str">
        <f t="shared" si="221"/>
        <v>0</v>
      </c>
      <c r="BD1393" t="str">
        <f t="shared" si="222"/>
        <v>0</v>
      </c>
      <c r="BK1393" t="str">
        <f>IFERROR(VLOOKUP(B1393,'[1]model_S-フレーム'!$F$5:$R$7000,13,1),"")</f>
        <v>E388306_01</v>
      </c>
      <c r="BL1393" s="7">
        <f>IFERROR(VLOOKUP(B1393,'[1]model_S-フレーム'!$F$5:$V$7000,17,1),"")</f>
        <v>0</v>
      </c>
      <c r="BM1393" t="str" cm="1">
        <f t="array" ref="BM1393">_xlfn.IFS(LEFT(G1393,1)="L","外注品",LEFT(G1393,1)="W","内製品",G1393="","購買品")</f>
        <v>購買品</v>
      </c>
    </row>
    <row r="1394" spans="1:65" s="13" customFormat="1">
      <c r="A1394" t="str">
        <f t="shared" si="214"/>
        <v>WG01</v>
      </c>
      <c r="B1394" t="s">
        <v>1508</v>
      </c>
      <c r="C1394" t="s">
        <v>1561</v>
      </c>
      <c r="D1394" s="7"/>
      <c r="E1394" s="7"/>
      <c r="F1394"/>
      <c r="G1394"/>
      <c r="H1394">
        <v>27616</v>
      </c>
      <c r="I1394"/>
      <c r="J1394"/>
      <c r="K1394" t="str">
        <f t="shared" si="215"/>
        <v/>
      </c>
      <c r="L1394" s="3" t="str">
        <f t="shared" si="216"/>
        <v>2001/01/01</v>
      </c>
      <c r="M1394" s="3" t="str">
        <f t="shared" si="217"/>
        <v>2199/12/31</v>
      </c>
      <c r="N1394" t="str">
        <f t="shared" si="218"/>
        <v/>
      </c>
      <c r="O1394" t="str">
        <f t="shared" si="224"/>
        <v/>
      </c>
      <c r="P1394"/>
      <c r="Q1394">
        <v>15</v>
      </c>
      <c r="R1394" s="21">
        <v>100000000</v>
      </c>
      <c r="S1394" s="21" t="str" cm="1">
        <f t="array" ref="S1394">_xlfn.IFS(LEFT(G1394,1)="L","記載要",LEFT(G1394,1)="W","記載要",G1394="","")</f>
        <v/>
      </c>
      <c r="T1394"/>
      <c r="U1394"/>
      <c r="V1394"/>
      <c r="W1394"/>
      <c r="X1394"/>
      <c r="Y1394"/>
      <c r="Z1394" s="8"/>
      <c r="AA1394" s="8">
        <v>1</v>
      </c>
      <c r="AB1394">
        <f t="shared" si="219"/>
        <v>0</v>
      </c>
      <c r="AC1394" s="8">
        <v>1</v>
      </c>
      <c r="AD1394"/>
      <c r="AE1394"/>
      <c r="AF1394">
        <v>1</v>
      </c>
      <c r="AG1394" s="8"/>
      <c r="AH1394" s="8"/>
      <c r="AI1394"/>
      <c r="AJ1394"/>
      <c r="AK1394" cm="1">
        <f t="array" ref="AK1394">_xlfn.IFS(B1394="","",LEFT(G1394,1)="L",1,LEFT(G1394,1)="W",1,AND(LEFT(B1394,1)="H",G1394=""),0)</f>
        <v>0</v>
      </c>
      <c r="AL1394"/>
      <c r="AM1394"/>
      <c r="AN1394"/>
      <c r="AO1394"/>
      <c r="AP1394"/>
      <c r="AQ1394"/>
      <c r="AR1394"/>
      <c r="AS1394">
        <f t="shared" si="220"/>
        <v>1</v>
      </c>
      <c r="AT1394" t="s">
        <v>115</v>
      </c>
      <c r="AU1394" t="str">
        <f t="shared" si="221"/>
        <v>0</v>
      </c>
      <c r="AV1394"/>
      <c r="AW1394"/>
      <c r="AX1394"/>
      <c r="AY1394"/>
      <c r="AZ1394"/>
      <c r="BA1394"/>
      <c r="BB1394"/>
      <c r="BC1394"/>
      <c r="BD1394" t="str">
        <f t="shared" si="222"/>
        <v>0</v>
      </c>
      <c r="BE1394"/>
      <c r="BF1394"/>
      <c r="BG1394"/>
      <c r="BH1394"/>
      <c r="BI1394"/>
      <c r="BJ1394"/>
      <c r="BK1394" s="13" t="str">
        <f>IFERROR(VLOOKUP(B1394,'[1]model_S-フレーム'!$F$5:$R$7000,13,1),"")</f>
        <v>E388306_01</v>
      </c>
      <c r="BL1394" s="14">
        <f>IFERROR(VLOOKUP(B1394,'[1]model_S-フレーム'!$F$5:$V$7000,17,1),"")</f>
        <v>0</v>
      </c>
      <c r="BM1394" s="13" t="str" cm="1">
        <f t="array" ref="BM1394">_xlfn.IFS(LEFT(G1394,1)="L","外注品",LEFT(G1394,1)="W","内製品",G1394="","購買品")</f>
        <v>購買品</v>
      </c>
    </row>
    <row r="1395" spans="1:65" s="13" customFormat="1">
      <c r="A1395" t="str">
        <f t="shared" si="214"/>
        <v>WG01</v>
      </c>
      <c r="B1395" t="s">
        <v>1508</v>
      </c>
      <c r="C1395" t="s">
        <v>1561</v>
      </c>
      <c r="D1395" s="7"/>
      <c r="E1395" s="7"/>
      <c r="F1395"/>
      <c r="G1395"/>
      <c r="H1395">
        <v>43453</v>
      </c>
      <c r="I1395"/>
      <c r="J1395"/>
      <c r="K1395" t="str">
        <f t="shared" si="215"/>
        <v/>
      </c>
      <c r="L1395" s="3" t="str">
        <f t="shared" si="216"/>
        <v>2001/01/01</v>
      </c>
      <c r="M1395" s="3" t="str">
        <f t="shared" si="217"/>
        <v>2199/12/31</v>
      </c>
      <c r="N1395" t="str">
        <f t="shared" si="218"/>
        <v/>
      </c>
      <c r="O1395" t="str">
        <f t="shared" si="224"/>
        <v/>
      </c>
      <c r="P1395"/>
      <c r="Q1395">
        <v>15</v>
      </c>
      <c r="R1395" s="21">
        <v>100000000</v>
      </c>
      <c r="S1395" s="21" t="str" cm="1">
        <f t="array" ref="S1395">_xlfn.IFS(LEFT(G1395,1)="L","記載要",LEFT(G1395,1)="W","記載要",G1395="","")</f>
        <v/>
      </c>
      <c r="T1395"/>
      <c r="U1395"/>
      <c r="V1395"/>
      <c r="W1395"/>
      <c r="X1395"/>
      <c r="Y1395"/>
      <c r="Z1395" s="8"/>
      <c r="AA1395" s="8">
        <v>1</v>
      </c>
      <c r="AB1395">
        <f t="shared" si="219"/>
        <v>0</v>
      </c>
      <c r="AC1395" s="8">
        <v>1</v>
      </c>
      <c r="AD1395"/>
      <c r="AE1395"/>
      <c r="AF1395">
        <v>0</v>
      </c>
      <c r="AG1395" s="8"/>
      <c r="AH1395" s="8"/>
      <c r="AI1395"/>
      <c r="AJ1395"/>
      <c r="AK1395" cm="1">
        <f t="array" ref="AK1395">_xlfn.IFS(B1395="","",LEFT(G1395,1)="L",1,LEFT(G1395,1)="W",1,AND(LEFT(B1395,1)="H",G1395=""),0)</f>
        <v>0</v>
      </c>
      <c r="AL1395"/>
      <c r="AM1395"/>
      <c r="AN1395"/>
      <c r="AO1395"/>
      <c r="AP1395"/>
      <c r="AQ1395"/>
      <c r="AR1395"/>
      <c r="AS1395">
        <f t="shared" si="220"/>
        <v>1</v>
      </c>
      <c r="AT1395" t="s">
        <v>115</v>
      </c>
      <c r="AU1395" t="str">
        <f t="shared" si="221"/>
        <v>0</v>
      </c>
      <c r="AV1395"/>
      <c r="AW1395"/>
      <c r="AX1395"/>
      <c r="AY1395"/>
      <c r="AZ1395"/>
      <c r="BA1395"/>
      <c r="BB1395"/>
      <c r="BC1395"/>
      <c r="BD1395" t="str">
        <f t="shared" si="222"/>
        <v>0</v>
      </c>
      <c r="BE1395"/>
      <c r="BF1395"/>
      <c r="BG1395"/>
      <c r="BH1395"/>
      <c r="BI1395"/>
      <c r="BJ1395"/>
      <c r="BK1395" s="13" t="str">
        <f>IFERROR(VLOOKUP(B1395,'[1]model_S-フレーム'!$F$5:$R$7000,13,1),"")</f>
        <v>E388306_01</v>
      </c>
      <c r="BL1395" s="14">
        <f>IFERROR(VLOOKUP(B1395,'[1]model_S-フレーム'!$F$5:$V$7000,17,1),"")</f>
        <v>0</v>
      </c>
      <c r="BM1395" s="13" t="str" cm="1">
        <f t="array" ref="BM1395">_xlfn.IFS(LEFT(G1395,1)="L","外注品",LEFT(G1395,1)="W","内製品",G1395="","購買品")</f>
        <v>購買品</v>
      </c>
    </row>
    <row r="1396" spans="1:65" s="13" customFormat="1">
      <c r="A1396" t="str">
        <f t="shared" si="214"/>
        <v>WG01</v>
      </c>
      <c r="B1396" t="s">
        <v>1508</v>
      </c>
      <c r="C1396" t="s">
        <v>1561</v>
      </c>
      <c r="D1396" s="7"/>
      <c r="E1396" s="7"/>
      <c r="F1396"/>
      <c r="G1396"/>
      <c r="H1396">
        <v>47081</v>
      </c>
      <c r="I1396"/>
      <c r="J1396"/>
      <c r="K1396" t="str">
        <f t="shared" si="215"/>
        <v/>
      </c>
      <c r="L1396" s="3" t="str">
        <f t="shared" si="216"/>
        <v>2001/01/01</v>
      </c>
      <c r="M1396" s="3" t="str">
        <f t="shared" si="217"/>
        <v>2199/12/31</v>
      </c>
      <c r="N1396" t="str">
        <f t="shared" si="218"/>
        <v/>
      </c>
      <c r="O1396" t="str">
        <f t="shared" si="224"/>
        <v/>
      </c>
      <c r="P1396"/>
      <c r="Q1396">
        <v>15</v>
      </c>
      <c r="R1396" s="21">
        <v>100000000</v>
      </c>
      <c r="S1396" s="21" t="str" cm="1">
        <f t="array" ref="S1396">_xlfn.IFS(LEFT(G1396,1)="L","記載要",LEFT(G1396,1)="W","記載要",G1396="","")</f>
        <v/>
      </c>
      <c r="T1396"/>
      <c r="U1396"/>
      <c r="V1396"/>
      <c r="W1396"/>
      <c r="X1396"/>
      <c r="Y1396"/>
      <c r="Z1396" s="8"/>
      <c r="AA1396" s="8">
        <v>1</v>
      </c>
      <c r="AB1396">
        <f t="shared" si="219"/>
        <v>0</v>
      </c>
      <c r="AC1396" s="8">
        <v>1</v>
      </c>
      <c r="AD1396"/>
      <c r="AE1396"/>
      <c r="AF1396">
        <v>0</v>
      </c>
      <c r="AG1396" s="8"/>
      <c r="AH1396" s="8"/>
      <c r="AI1396"/>
      <c r="AJ1396"/>
      <c r="AK1396" cm="1">
        <f t="array" ref="AK1396">_xlfn.IFS(B1396="","",LEFT(G1396,1)="L",1,LEFT(G1396,1)="W",1,AND(LEFT(B1396,1)="H",G1396=""),0)</f>
        <v>0</v>
      </c>
      <c r="AL1396"/>
      <c r="AM1396"/>
      <c r="AN1396"/>
      <c r="AO1396"/>
      <c r="AP1396"/>
      <c r="AQ1396"/>
      <c r="AR1396"/>
      <c r="AS1396">
        <f t="shared" si="220"/>
        <v>1</v>
      </c>
      <c r="AT1396" t="s">
        <v>115</v>
      </c>
      <c r="AU1396" t="str">
        <f t="shared" si="221"/>
        <v>0</v>
      </c>
      <c r="AV1396"/>
      <c r="AW1396"/>
      <c r="AX1396"/>
      <c r="AY1396"/>
      <c r="AZ1396"/>
      <c r="BA1396"/>
      <c r="BB1396"/>
      <c r="BC1396"/>
      <c r="BD1396" t="str">
        <f t="shared" si="222"/>
        <v>0</v>
      </c>
      <c r="BE1396"/>
      <c r="BF1396"/>
      <c r="BG1396"/>
      <c r="BH1396"/>
      <c r="BI1396"/>
      <c r="BJ1396"/>
      <c r="BK1396" s="13" t="str">
        <f>IFERROR(VLOOKUP(B1396,'[1]model_S-フレーム'!$F$5:$R$7000,13,1),"")</f>
        <v>E388306_01</v>
      </c>
      <c r="BL1396" s="14">
        <f>IFERROR(VLOOKUP(B1396,'[1]model_S-フレーム'!$F$5:$V$7000,17,1),"")</f>
        <v>0</v>
      </c>
      <c r="BM1396" s="13" t="str" cm="1">
        <f t="array" ref="BM1396">_xlfn.IFS(LEFT(G1396,1)="L","外注品",LEFT(G1396,1)="W","内製品",G1396="","購買品")</f>
        <v>購買品</v>
      </c>
    </row>
    <row r="1397" spans="1:65">
      <c r="A1397" t="str">
        <f t="shared" si="214"/>
        <v>WG01</v>
      </c>
      <c r="B1397" t="s">
        <v>1508</v>
      </c>
      <c r="C1397" t="s">
        <v>1561</v>
      </c>
      <c r="D1397" s="7"/>
      <c r="E1397" s="7"/>
      <c r="H1397" s="19" t="s">
        <v>1937</v>
      </c>
      <c r="K1397" t="str">
        <f t="shared" si="215"/>
        <v/>
      </c>
      <c r="L1397" s="3" t="str">
        <f t="shared" si="216"/>
        <v>2001/01/01</v>
      </c>
      <c r="M1397" s="3" t="str">
        <f t="shared" si="217"/>
        <v>2199/12/31</v>
      </c>
      <c r="N1397" t="str">
        <f t="shared" si="218"/>
        <v/>
      </c>
      <c r="O1397" t="str">
        <f t="shared" si="224"/>
        <v/>
      </c>
      <c r="Q1397">
        <v>15</v>
      </c>
      <c r="R1397" s="21">
        <v>100000000</v>
      </c>
      <c r="S1397" s="21" t="str" cm="1">
        <f t="array" ref="S1397">_xlfn.IFS(LEFT(G1397,1)="L","記載要",LEFT(G1397,1)="W","記載要",G1397="","")</f>
        <v/>
      </c>
      <c r="Z1397" s="8"/>
      <c r="AA1397" s="8">
        <v>1</v>
      </c>
      <c r="AB1397">
        <f t="shared" si="219"/>
        <v>0</v>
      </c>
      <c r="AC1397" s="8">
        <v>1</v>
      </c>
      <c r="AF1397">
        <v>1</v>
      </c>
      <c r="AG1397" s="8"/>
      <c r="AH1397" s="8"/>
      <c r="AK1397" cm="1">
        <f t="array" ref="AK1397">_xlfn.IFS(B1397="","",LEFT(G1397,1)="L",1,LEFT(G1397,1)="W",1,AND(LEFT(B1397,1)="H",G1397=""),0)</f>
        <v>0</v>
      </c>
      <c r="AS1397">
        <f t="shared" si="220"/>
        <v>1</v>
      </c>
      <c r="AT1397" t="s">
        <v>115</v>
      </c>
      <c r="AU1397" t="str">
        <f t="shared" si="221"/>
        <v>0</v>
      </c>
      <c r="BD1397" t="str">
        <f t="shared" si="222"/>
        <v>0</v>
      </c>
      <c r="BK1397" t="str">
        <f>IFERROR(VLOOKUP(B1397,'[1]model_S-フレーム'!$F$5:$R$7000,13,1),"")</f>
        <v>E388306_01</v>
      </c>
      <c r="BL1397" s="7">
        <f>IFERROR(VLOOKUP(B1397,'[1]model_S-フレーム'!$F$5:$V$7000,17,1),"")</f>
        <v>0</v>
      </c>
      <c r="BM1397" t="str" cm="1">
        <f t="array" ref="BM1397">_xlfn.IFS(LEFT(G1397,1)="L","外注品",LEFT(G1397,1)="W","内製品",G1397="","購買品")</f>
        <v>購買品</v>
      </c>
    </row>
    <row r="1398" spans="1:65" s="13" customFormat="1">
      <c r="A1398" t="str">
        <f t="shared" si="214"/>
        <v>WG01</v>
      </c>
      <c r="B1398" t="s">
        <v>1509</v>
      </c>
      <c r="C1398" t="s">
        <v>1941</v>
      </c>
      <c r="D1398" s="7"/>
      <c r="E1398" s="7"/>
      <c r="F1398"/>
      <c r="G1398"/>
      <c r="H1398">
        <v>27616</v>
      </c>
      <c r="I1398"/>
      <c r="J1398"/>
      <c r="K1398" t="str">
        <f t="shared" si="215"/>
        <v/>
      </c>
      <c r="L1398" s="3" t="str">
        <f t="shared" si="216"/>
        <v>2001/01/01</v>
      </c>
      <c r="M1398" s="3" t="str">
        <f t="shared" si="217"/>
        <v>2199/12/31</v>
      </c>
      <c r="N1398" t="str">
        <f t="shared" si="218"/>
        <v/>
      </c>
      <c r="O1398" t="str">
        <f t="shared" si="224"/>
        <v/>
      </c>
      <c r="P1398"/>
      <c r="Q1398">
        <v>15</v>
      </c>
      <c r="R1398" s="21">
        <v>100000000</v>
      </c>
      <c r="S1398" s="21" t="str" cm="1">
        <f t="array" ref="S1398">_xlfn.IFS(LEFT(G1398,1)="L","記載要",LEFT(G1398,1)="W","記載要",G1398="","")</f>
        <v/>
      </c>
      <c r="T1398"/>
      <c r="U1398"/>
      <c r="V1398"/>
      <c r="W1398"/>
      <c r="X1398"/>
      <c r="Y1398"/>
      <c r="Z1398" s="8"/>
      <c r="AA1398" s="8">
        <v>1</v>
      </c>
      <c r="AB1398">
        <f t="shared" si="219"/>
        <v>0</v>
      </c>
      <c r="AC1398" s="8">
        <v>1</v>
      </c>
      <c r="AD1398"/>
      <c r="AE1398"/>
      <c r="AF1398">
        <v>1</v>
      </c>
      <c r="AG1398" s="8"/>
      <c r="AH1398" s="8"/>
      <c r="AI1398"/>
      <c r="AJ1398"/>
      <c r="AK1398" cm="1">
        <f t="array" ref="AK1398">_xlfn.IFS(B1398="","",LEFT(G1398,1)="L",1,LEFT(G1398,1)="W",1,AND(LEFT(B1398,1)="H",G1398=""),0)</f>
        <v>0</v>
      </c>
      <c r="AL1398"/>
      <c r="AM1398"/>
      <c r="AN1398"/>
      <c r="AO1398"/>
      <c r="AP1398"/>
      <c r="AQ1398"/>
      <c r="AR1398"/>
      <c r="AS1398">
        <f t="shared" si="220"/>
        <v>1</v>
      </c>
      <c r="AT1398" t="s">
        <v>115</v>
      </c>
      <c r="AU1398" t="str">
        <f t="shared" si="221"/>
        <v>0</v>
      </c>
      <c r="AV1398"/>
      <c r="AW1398"/>
      <c r="AX1398"/>
      <c r="AY1398"/>
      <c r="AZ1398"/>
      <c r="BA1398"/>
      <c r="BB1398"/>
      <c r="BC1398"/>
      <c r="BD1398" t="str">
        <f t="shared" si="222"/>
        <v>0</v>
      </c>
      <c r="BE1398"/>
      <c r="BF1398"/>
      <c r="BG1398"/>
      <c r="BH1398"/>
      <c r="BI1398"/>
      <c r="BJ1398"/>
      <c r="BK1398" s="13" t="str">
        <f>IFERROR(VLOOKUP(B1398,'[1]model_S-フレーム'!$F$5:$R$7000,13,1),"")</f>
        <v>E388306_02</v>
      </c>
      <c r="BL1398" s="14">
        <f>IFERROR(VLOOKUP(B1398,'[1]model_S-フレーム'!$F$5:$V$7000,17,1),"")</f>
        <v>0</v>
      </c>
      <c r="BM1398" s="13" t="str" cm="1">
        <f t="array" ref="BM1398">_xlfn.IFS(LEFT(G1398,1)="L","外注品",LEFT(G1398,1)="W","内製品",G1398="","購買品")</f>
        <v>購買品</v>
      </c>
    </row>
    <row r="1399" spans="1:65" s="13" customFormat="1">
      <c r="A1399" t="str">
        <f t="shared" si="214"/>
        <v>WG01</v>
      </c>
      <c r="B1399" t="s">
        <v>1509</v>
      </c>
      <c r="C1399" t="s">
        <v>1941</v>
      </c>
      <c r="D1399" s="7"/>
      <c r="E1399" s="7"/>
      <c r="F1399"/>
      <c r="G1399"/>
      <c r="H1399">
        <v>43453</v>
      </c>
      <c r="I1399"/>
      <c r="J1399"/>
      <c r="K1399" t="str">
        <f t="shared" si="215"/>
        <v/>
      </c>
      <c r="L1399" s="3" t="str">
        <f t="shared" si="216"/>
        <v>2001/01/01</v>
      </c>
      <c r="M1399" s="3" t="str">
        <f t="shared" si="217"/>
        <v>2199/12/31</v>
      </c>
      <c r="N1399" t="str">
        <f t="shared" si="218"/>
        <v/>
      </c>
      <c r="O1399" t="str">
        <f t="shared" si="224"/>
        <v/>
      </c>
      <c r="P1399"/>
      <c r="Q1399">
        <v>15</v>
      </c>
      <c r="R1399" s="21">
        <v>100000000</v>
      </c>
      <c r="S1399" s="21" t="str" cm="1">
        <f t="array" ref="S1399">_xlfn.IFS(LEFT(G1399,1)="L","記載要",LEFT(G1399,1)="W","記載要",G1399="","")</f>
        <v/>
      </c>
      <c r="T1399"/>
      <c r="U1399"/>
      <c r="V1399"/>
      <c r="W1399"/>
      <c r="X1399"/>
      <c r="Y1399"/>
      <c r="Z1399" s="8"/>
      <c r="AA1399" s="8">
        <v>1</v>
      </c>
      <c r="AB1399">
        <f t="shared" si="219"/>
        <v>0</v>
      </c>
      <c r="AC1399" s="8">
        <v>1</v>
      </c>
      <c r="AD1399"/>
      <c r="AE1399"/>
      <c r="AF1399">
        <v>0</v>
      </c>
      <c r="AG1399" s="8"/>
      <c r="AH1399" s="8"/>
      <c r="AI1399"/>
      <c r="AJ1399"/>
      <c r="AK1399" cm="1">
        <f t="array" ref="AK1399">_xlfn.IFS(B1399="","",LEFT(G1399,1)="L",1,LEFT(G1399,1)="W",1,AND(LEFT(B1399,1)="H",G1399=""),0)</f>
        <v>0</v>
      </c>
      <c r="AL1399"/>
      <c r="AM1399"/>
      <c r="AN1399"/>
      <c r="AO1399"/>
      <c r="AP1399"/>
      <c r="AQ1399"/>
      <c r="AR1399"/>
      <c r="AS1399">
        <f t="shared" si="220"/>
        <v>1</v>
      </c>
      <c r="AT1399" t="s">
        <v>115</v>
      </c>
      <c r="AU1399" t="str">
        <f t="shared" si="221"/>
        <v>0</v>
      </c>
      <c r="AV1399"/>
      <c r="AW1399"/>
      <c r="AX1399"/>
      <c r="AY1399"/>
      <c r="AZ1399"/>
      <c r="BA1399"/>
      <c r="BB1399"/>
      <c r="BC1399"/>
      <c r="BD1399" t="str">
        <f t="shared" si="222"/>
        <v>0</v>
      </c>
      <c r="BE1399"/>
      <c r="BF1399"/>
      <c r="BG1399"/>
      <c r="BH1399"/>
      <c r="BI1399"/>
      <c r="BJ1399"/>
      <c r="BK1399" s="13" t="str">
        <f>IFERROR(VLOOKUP(B1399,'[1]model_S-フレーム'!$F$5:$R$7000,13,1),"")</f>
        <v>E388306_02</v>
      </c>
      <c r="BL1399" s="14">
        <f>IFERROR(VLOOKUP(B1399,'[1]model_S-フレーム'!$F$5:$V$7000,17,1),"")</f>
        <v>0</v>
      </c>
      <c r="BM1399" s="13" t="str" cm="1">
        <f t="array" ref="BM1399">_xlfn.IFS(LEFT(G1399,1)="L","外注品",LEFT(G1399,1)="W","内製品",G1399="","購買品")</f>
        <v>購買品</v>
      </c>
    </row>
    <row r="1400" spans="1:65" s="13" customFormat="1">
      <c r="A1400" t="str">
        <f t="shared" si="214"/>
        <v>WG01</v>
      </c>
      <c r="B1400" t="s">
        <v>1509</v>
      </c>
      <c r="C1400" t="s">
        <v>1941</v>
      </c>
      <c r="D1400" s="7"/>
      <c r="E1400" s="7"/>
      <c r="F1400"/>
      <c r="G1400"/>
      <c r="H1400">
        <v>47081</v>
      </c>
      <c r="I1400"/>
      <c r="J1400"/>
      <c r="K1400" t="str">
        <f t="shared" si="215"/>
        <v/>
      </c>
      <c r="L1400" s="3" t="str">
        <f t="shared" si="216"/>
        <v>2001/01/01</v>
      </c>
      <c r="M1400" s="3" t="str">
        <f t="shared" si="217"/>
        <v>2199/12/31</v>
      </c>
      <c r="N1400" t="str">
        <f t="shared" si="218"/>
        <v/>
      </c>
      <c r="O1400" t="str">
        <f t="shared" si="224"/>
        <v/>
      </c>
      <c r="P1400"/>
      <c r="Q1400">
        <v>15</v>
      </c>
      <c r="R1400" s="21">
        <v>100000000</v>
      </c>
      <c r="S1400" s="21" t="str" cm="1">
        <f t="array" ref="S1400">_xlfn.IFS(LEFT(G1400,1)="L","記載要",LEFT(G1400,1)="W","記載要",G1400="","")</f>
        <v/>
      </c>
      <c r="T1400"/>
      <c r="U1400"/>
      <c r="V1400"/>
      <c r="W1400"/>
      <c r="X1400"/>
      <c r="Y1400"/>
      <c r="Z1400" s="8"/>
      <c r="AA1400" s="8">
        <v>1</v>
      </c>
      <c r="AB1400">
        <f t="shared" si="219"/>
        <v>0</v>
      </c>
      <c r="AC1400" s="8">
        <v>1</v>
      </c>
      <c r="AD1400"/>
      <c r="AE1400"/>
      <c r="AF1400">
        <v>0</v>
      </c>
      <c r="AG1400" s="8"/>
      <c r="AH1400" s="8"/>
      <c r="AI1400"/>
      <c r="AJ1400"/>
      <c r="AK1400" cm="1">
        <f t="array" ref="AK1400">_xlfn.IFS(B1400="","",LEFT(G1400,1)="L",1,LEFT(G1400,1)="W",1,AND(LEFT(B1400,1)="H",G1400=""),0)</f>
        <v>0</v>
      </c>
      <c r="AL1400"/>
      <c r="AM1400"/>
      <c r="AN1400"/>
      <c r="AO1400"/>
      <c r="AP1400"/>
      <c r="AQ1400"/>
      <c r="AR1400"/>
      <c r="AS1400">
        <f t="shared" si="220"/>
        <v>1</v>
      </c>
      <c r="AT1400" t="s">
        <v>115</v>
      </c>
      <c r="AU1400" t="str">
        <f t="shared" si="221"/>
        <v>0</v>
      </c>
      <c r="AV1400"/>
      <c r="AW1400"/>
      <c r="AX1400"/>
      <c r="AY1400"/>
      <c r="AZ1400"/>
      <c r="BA1400"/>
      <c r="BB1400"/>
      <c r="BC1400"/>
      <c r="BD1400" t="str">
        <f t="shared" si="222"/>
        <v>0</v>
      </c>
      <c r="BE1400"/>
      <c r="BF1400"/>
      <c r="BG1400"/>
      <c r="BH1400"/>
      <c r="BI1400"/>
      <c r="BJ1400"/>
      <c r="BK1400" s="13" t="str">
        <f>IFERROR(VLOOKUP(B1400,'[1]model_S-フレーム'!$F$5:$R$7000,13,1),"")</f>
        <v>E388306_02</v>
      </c>
      <c r="BL1400" s="14">
        <f>IFERROR(VLOOKUP(B1400,'[1]model_S-フレーム'!$F$5:$V$7000,17,1),"")</f>
        <v>0</v>
      </c>
      <c r="BM1400" s="13" t="str" cm="1">
        <f t="array" ref="BM1400">_xlfn.IFS(LEFT(G1400,1)="L","外注品",LEFT(G1400,1)="W","内製品",G1400="","購買品")</f>
        <v>購買品</v>
      </c>
    </row>
    <row r="1401" spans="1:65">
      <c r="A1401" t="str">
        <f t="shared" si="214"/>
        <v>WG01</v>
      </c>
      <c r="B1401" t="s">
        <v>1509</v>
      </c>
      <c r="C1401" t="s">
        <v>1941</v>
      </c>
      <c r="D1401" s="7"/>
      <c r="E1401" s="7"/>
      <c r="H1401" s="19" t="s">
        <v>1937</v>
      </c>
      <c r="K1401" t="str">
        <f t="shared" si="215"/>
        <v/>
      </c>
      <c r="L1401" s="3" t="str">
        <f t="shared" si="216"/>
        <v>2001/01/01</v>
      </c>
      <c r="M1401" s="3" t="str">
        <f t="shared" si="217"/>
        <v>2199/12/31</v>
      </c>
      <c r="N1401" t="str">
        <f t="shared" si="218"/>
        <v/>
      </c>
      <c r="O1401" t="str">
        <f t="shared" si="224"/>
        <v/>
      </c>
      <c r="Q1401">
        <v>15</v>
      </c>
      <c r="R1401" s="21">
        <v>100000000</v>
      </c>
      <c r="S1401" s="21" t="str" cm="1">
        <f t="array" ref="S1401">_xlfn.IFS(LEFT(G1401,1)="L","記載要",LEFT(G1401,1)="W","記載要",G1401="","")</f>
        <v/>
      </c>
      <c r="Z1401" s="8"/>
      <c r="AA1401" s="8">
        <v>1</v>
      </c>
      <c r="AB1401">
        <f t="shared" si="219"/>
        <v>0</v>
      </c>
      <c r="AC1401" s="8">
        <v>1</v>
      </c>
      <c r="AF1401">
        <v>1</v>
      </c>
      <c r="AG1401" s="8"/>
      <c r="AH1401" s="8"/>
      <c r="AK1401" cm="1">
        <f t="array" ref="AK1401">_xlfn.IFS(B1401="","",LEFT(G1401,1)="L",1,LEFT(G1401,1)="W",1,AND(LEFT(B1401,1)="H",G1401=""),0)</f>
        <v>0</v>
      </c>
      <c r="AS1401">
        <f t="shared" si="220"/>
        <v>1</v>
      </c>
      <c r="AT1401" t="s">
        <v>115</v>
      </c>
      <c r="AU1401" t="str">
        <f t="shared" si="221"/>
        <v>0</v>
      </c>
      <c r="BD1401" t="str">
        <f t="shared" si="222"/>
        <v>0</v>
      </c>
      <c r="BK1401" t="str">
        <f>IFERROR(VLOOKUP(B1401,'[1]model_S-フレーム'!$F$5:$R$7000,13,1),"")</f>
        <v>E388306_02</v>
      </c>
      <c r="BL1401" s="7">
        <f>IFERROR(VLOOKUP(B1401,'[1]model_S-フレーム'!$F$5:$V$7000,17,1),"")</f>
        <v>0</v>
      </c>
      <c r="BM1401" t="str" cm="1">
        <f t="array" ref="BM1401">_xlfn.IFS(LEFT(G1401,1)="L","外注品",LEFT(G1401,1)="W","内製品",G1401="","購買品")</f>
        <v>購買品</v>
      </c>
    </row>
    <row r="1402" spans="1:65">
      <c r="A1402" t="str">
        <f t="shared" si="214"/>
        <v>WG01</v>
      </c>
      <c r="B1402" t="s">
        <v>1562</v>
      </c>
      <c r="C1402" t="s">
        <v>1897</v>
      </c>
      <c r="D1402" s="7"/>
      <c r="E1402" s="7"/>
      <c r="G1402" t="s">
        <v>1939</v>
      </c>
      <c r="H1402" t="str" cm="1">
        <f t="array" ref="H1402">IFERROR(_xlfn.IFS(B1402="","",AND(B1402="",G1402=""),"",G1402="","記載要"),"")</f>
        <v/>
      </c>
      <c r="K1402" t="str">
        <f t="shared" si="215"/>
        <v>11WP01073776</v>
      </c>
      <c r="L1402" s="3" t="str">
        <f t="shared" si="216"/>
        <v>2001/01/01</v>
      </c>
      <c r="M1402" s="3" t="str">
        <f t="shared" si="217"/>
        <v>2199/12/31</v>
      </c>
      <c r="N1402" t="str">
        <f t="shared" si="218"/>
        <v>11WP01073776</v>
      </c>
      <c r="O1402">
        <v>15</v>
      </c>
      <c r="Q1402" t="str" cm="1">
        <f t="array" ref="Q1402">_xlfn.IFS(AND(C1402="",G1402=""),"",LEFT(G1402,1)="L","記載要",LEFT(G1402,1)="W","",AND(C1402,G1402=""),"記載要")</f>
        <v/>
      </c>
      <c r="R1402" s="21" t="str">
        <f t="shared" si="223"/>
        <v/>
      </c>
      <c r="S1402" s="21"/>
      <c r="Z1402" s="8"/>
      <c r="AA1402">
        <v>1</v>
      </c>
      <c r="AB1402">
        <f t="shared" si="219"/>
        <v>0</v>
      </c>
      <c r="AC1402">
        <v>1</v>
      </c>
      <c r="AF1402">
        <v>1</v>
      </c>
      <c r="AG1402" s="8"/>
      <c r="AH1402" s="8"/>
      <c r="AK1402" cm="1">
        <f t="array" ref="AK1402">_xlfn.IFS(B1402="","",LEFT(G1402,1)="L",1,LEFT(G1402,1)="W",1,AND(LEFT(B1402,1)="H",G1402=""),0)</f>
        <v>1</v>
      </c>
      <c r="AS1402" t="str">
        <f t="shared" si="220"/>
        <v/>
      </c>
      <c r="AT1402" t="s">
        <v>115</v>
      </c>
      <c r="AU1402" t="str">
        <f t="shared" si="221"/>
        <v>0</v>
      </c>
      <c r="BD1402" t="str">
        <f t="shared" si="222"/>
        <v>0</v>
      </c>
      <c r="BK1402" t="str">
        <f>IFERROR(VLOOKUP(B1402,'[1]model_S-フレーム'!$F$5:$R$7000,13,1),"")</f>
        <v>E387186_01</v>
      </c>
      <c r="BL1402" s="7">
        <f>IFERROR(VLOOKUP(B1402,'[1]model_S-フレーム'!$F$5:$V$7000,17,1),"")</f>
        <v>0</v>
      </c>
      <c r="BM1402" t="str" cm="1">
        <f t="array" ref="BM1402">_xlfn.IFS(LEFT(G1402,1)="L","外注品",LEFT(G1402,1)="W","内製品",G1402="","購買品")</f>
        <v>内製品</v>
      </c>
    </row>
    <row r="1403" spans="1:65">
      <c r="A1403" t="str">
        <f t="shared" si="214"/>
        <v>WG01</v>
      </c>
      <c r="B1403" t="s">
        <v>1563</v>
      </c>
      <c r="C1403" t="s">
        <v>1897</v>
      </c>
      <c r="D1403" s="7"/>
      <c r="E1403" s="7"/>
      <c r="G1403" t="s">
        <v>1939</v>
      </c>
      <c r="H1403" t="str" cm="1">
        <f t="array" ref="H1403">IFERROR(_xlfn.IFS(B1403="","",AND(B1403="",G1403=""),"",G1403="","記載要"),"")</f>
        <v/>
      </c>
      <c r="K1403" t="str">
        <f t="shared" si="215"/>
        <v>11WP01073777</v>
      </c>
      <c r="L1403" s="3" t="str">
        <f t="shared" si="216"/>
        <v>2001/01/01</v>
      </c>
      <c r="M1403" s="3" t="str">
        <f t="shared" si="217"/>
        <v>2199/12/31</v>
      </c>
      <c r="N1403" t="str">
        <f t="shared" si="218"/>
        <v>11WP01073777</v>
      </c>
      <c r="O1403">
        <v>15</v>
      </c>
      <c r="Q1403" t="str" cm="1">
        <f t="array" ref="Q1403">_xlfn.IFS(AND(C1403="",G1403=""),"",LEFT(G1403,1)="L","記載要",LEFT(G1403,1)="W","",AND(C1403,G1403=""),"記載要")</f>
        <v/>
      </c>
      <c r="R1403" s="21" t="str">
        <f t="shared" si="223"/>
        <v/>
      </c>
      <c r="S1403" s="21"/>
      <c r="Z1403" s="8"/>
      <c r="AA1403">
        <v>1</v>
      </c>
      <c r="AB1403">
        <f t="shared" si="219"/>
        <v>0</v>
      </c>
      <c r="AC1403">
        <v>1</v>
      </c>
      <c r="AF1403">
        <v>1</v>
      </c>
      <c r="AG1403" s="8"/>
      <c r="AH1403" s="8"/>
      <c r="AK1403" cm="1">
        <f t="array" ref="AK1403">_xlfn.IFS(B1403="","",LEFT(G1403,1)="L",1,LEFT(G1403,1)="W",1,AND(LEFT(B1403,1)="H",G1403=""),0)</f>
        <v>1</v>
      </c>
      <c r="AS1403" t="str">
        <f t="shared" si="220"/>
        <v/>
      </c>
      <c r="AT1403" t="s">
        <v>115</v>
      </c>
      <c r="AU1403" t="str">
        <f t="shared" si="221"/>
        <v>0</v>
      </c>
      <c r="BD1403" t="str">
        <f t="shared" si="222"/>
        <v>0</v>
      </c>
      <c r="BK1403" t="str">
        <f>IFERROR(VLOOKUP(B1403,'[1]model_S-フレーム'!$F$5:$R$7000,13,1),"")</f>
        <v>E387186_01</v>
      </c>
      <c r="BL1403" s="7">
        <f>IFERROR(VLOOKUP(B1403,'[1]model_S-フレーム'!$F$5:$V$7000,17,1),"")</f>
        <v>0</v>
      </c>
      <c r="BM1403" t="str" cm="1">
        <f t="array" ref="BM1403">_xlfn.IFS(LEFT(G1403,1)="L","外注品",LEFT(G1403,1)="W","内製品",G1403="","購買品")</f>
        <v>内製品</v>
      </c>
    </row>
    <row r="1404" spans="1:65">
      <c r="A1404" t="str">
        <f t="shared" si="214"/>
        <v>WG01</v>
      </c>
      <c r="B1404" t="s">
        <v>1564</v>
      </c>
      <c r="C1404" t="s">
        <v>1897</v>
      </c>
      <c r="D1404" s="7"/>
      <c r="E1404" s="7"/>
      <c r="G1404" t="s">
        <v>1939</v>
      </c>
      <c r="H1404" t="str" cm="1">
        <f t="array" ref="H1404">IFERROR(_xlfn.IFS(B1404="","",AND(B1404="",G1404=""),"",G1404="","記載要"),"")</f>
        <v/>
      </c>
      <c r="K1404" t="str">
        <f t="shared" si="215"/>
        <v>11WP01073778</v>
      </c>
      <c r="L1404" s="3" t="str">
        <f t="shared" si="216"/>
        <v>2001/01/01</v>
      </c>
      <c r="M1404" s="3" t="str">
        <f t="shared" si="217"/>
        <v>2199/12/31</v>
      </c>
      <c r="N1404" t="str">
        <f t="shared" si="218"/>
        <v>11WP01073778</v>
      </c>
      <c r="O1404">
        <v>15</v>
      </c>
      <c r="Q1404" t="str" cm="1">
        <f t="array" ref="Q1404">_xlfn.IFS(AND(C1404="",G1404=""),"",LEFT(G1404,1)="L","記載要",LEFT(G1404,1)="W","",AND(C1404,G1404=""),"記載要")</f>
        <v/>
      </c>
      <c r="R1404" s="21" t="str">
        <f t="shared" si="223"/>
        <v/>
      </c>
      <c r="S1404" s="21"/>
      <c r="Z1404" s="8"/>
      <c r="AA1404">
        <v>1</v>
      </c>
      <c r="AB1404">
        <f t="shared" si="219"/>
        <v>0</v>
      </c>
      <c r="AC1404">
        <v>1</v>
      </c>
      <c r="AF1404">
        <v>1</v>
      </c>
      <c r="AG1404" s="8"/>
      <c r="AH1404" s="8"/>
      <c r="AK1404" cm="1">
        <f t="array" ref="AK1404">_xlfn.IFS(B1404="","",LEFT(G1404,1)="L",1,LEFT(G1404,1)="W",1,AND(LEFT(B1404,1)="H",G1404=""),0)</f>
        <v>1</v>
      </c>
      <c r="AS1404" t="str">
        <f t="shared" si="220"/>
        <v/>
      </c>
      <c r="AT1404" t="s">
        <v>115</v>
      </c>
      <c r="AU1404" t="str">
        <f t="shared" si="221"/>
        <v>0</v>
      </c>
      <c r="BD1404" t="str">
        <f t="shared" si="222"/>
        <v>0</v>
      </c>
      <c r="BK1404" t="str">
        <f>IFERROR(VLOOKUP(B1404,'[1]model_S-フレーム'!$F$5:$R$7000,13,1),"")</f>
        <v>E387186_01</v>
      </c>
      <c r="BL1404" s="7">
        <f>IFERROR(VLOOKUP(B1404,'[1]model_S-フレーム'!$F$5:$V$7000,17,1),"")</f>
        <v>0</v>
      </c>
      <c r="BM1404" t="str" cm="1">
        <f t="array" ref="BM1404">_xlfn.IFS(LEFT(G1404,1)="L","外注品",LEFT(G1404,1)="W","内製品",G1404="","購買品")</f>
        <v>内製品</v>
      </c>
    </row>
    <row r="1405" spans="1:65">
      <c r="A1405" t="str">
        <f t="shared" si="214"/>
        <v>WG01</v>
      </c>
      <c r="B1405" t="s">
        <v>1565</v>
      </c>
      <c r="C1405" t="s">
        <v>1897</v>
      </c>
      <c r="D1405" s="7"/>
      <c r="E1405" s="7"/>
      <c r="G1405" t="s">
        <v>1939</v>
      </c>
      <c r="H1405" t="str" cm="1">
        <f t="array" ref="H1405">IFERROR(_xlfn.IFS(B1405="","",AND(B1405="",G1405=""),"",G1405="","記載要"),"")</f>
        <v/>
      </c>
      <c r="K1405" t="str">
        <f t="shared" si="215"/>
        <v>11WP01073779</v>
      </c>
      <c r="L1405" s="3" t="str">
        <f t="shared" si="216"/>
        <v>2001/01/01</v>
      </c>
      <c r="M1405" s="3" t="str">
        <f t="shared" si="217"/>
        <v>2199/12/31</v>
      </c>
      <c r="N1405" t="str">
        <f t="shared" si="218"/>
        <v>11WP01073779</v>
      </c>
      <c r="O1405">
        <v>15</v>
      </c>
      <c r="Q1405" t="str" cm="1">
        <f t="array" ref="Q1405">_xlfn.IFS(AND(C1405="",G1405=""),"",LEFT(G1405,1)="L","記載要",LEFT(G1405,1)="W","",AND(C1405,G1405=""),"記載要")</f>
        <v/>
      </c>
      <c r="R1405" s="21" t="str">
        <f t="shared" si="223"/>
        <v/>
      </c>
      <c r="S1405" s="21"/>
      <c r="Z1405" s="8"/>
      <c r="AA1405">
        <v>1</v>
      </c>
      <c r="AB1405">
        <f t="shared" si="219"/>
        <v>0</v>
      </c>
      <c r="AC1405">
        <v>1</v>
      </c>
      <c r="AF1405">
        <v>1</v>
      </c>
      <c r="AG1405" s="8"/>
      <c r="AH1405" s="8"/>
      <c r="AK1405" cm="1">
        <f t="array" ref="AK1405">_xlfn.IFS(B1405="","",LEFT(G1405,1)="L",1,LEFT(G1405,1)="W",1,AND(LEFT(B1405,1)="H",G1405=""),0)</f>
        <v>1</v>
      </c>
      <c r="AS1405" t="str">
        <f t="shared" si="220"/>
        <v/>
      </c>
      <c r="AT1405" t="s">
        <v>115</v>
      </c>
      <c r="AU1405" t="str">
        <f t="shared" si="221"/>
        <v>0</v>
      </c>
      <c r="BD1405" t="str">
        <f t="shared" si="222"/>
        <v>0</v>
      </c>
      <c r="BK1405" t="str">
        <f>IFERROR(VLOOKUP(B1405,'[1]model_S-フレーム'!$F$5:$R$7000,13,1),"")</f>
        <v>E387186_01</v>
      </c>
      <c r="BL1405" s="7">
        <f>IFERROR(VLOOKUP(B1405,'[1]model_S-フレーム'!$F$5:$V$7000,17,1),"")</f>
        <v>0</v>
      </c>
      <c r="BM1405" t="str" cm="1">
        <f t="array" ref="BM1405">_xlfn.IFS(LEFT(G1405,1)="L","外注品",LEFT(G1405,1)="W","内製品",G1405="","購買品")</f>
        <v>内製品</v>
      </c>
    </row>
    <row r="1406" spans="1:65">
      <c r="A1406" t="str">
        <f t="shared" si="214"/>
        <v>WG01</v>
      </c>
      <c r="B1406" t="s">
        <v>1566</v>
      </c>
      <c r="C1406" t="s">
        <v>1897</v>
      </c>
      <c r="D1406" s="7"/>
      <c r="E1406" s="7"/>
      <c r="G1406" t="s">
        <v>1939</v>
      </c>
      <c r="H1406" t="str" cm="1">
        <f t="array" ref="H1406">IFERROR(_xlfn.IFS(B1406="","",AND(B1406="",G1406=""),"",G1406="","記載要"),"")</f>
        <v/>
      </c>
      <c r="K1406" t="str">
        <f t="shared" si="215"/>
        <v>11WP01073780</v>
      </c>
      <c r="L1406" s="3" t="str">
        <f t="shared" si="216"/>
        <v>2001/01/01</v>
      </c>
      <c r="M1406" s="3" t="str">
        <f t="shared" si="217"/>
        <v>2199/12/31</v>
      </c>
      <c r="N1406" t="str">
        <f t="shared" si="218"/>
        <v>11WP01073780</v>
      </c>
      <c r="O1406">
        <v>15</v>
      </c>
      <c r="Q1406" t="str" cm="1">
        <f t="array" ref="Q1406">_xlfn.IFS(AND(C1406="",G1406=""),"",LEFT(G1406,1)="L","記載要",LEFT(G1406,1)="W","",AND(C1406,G1406=""),"記載要")</f>
        <v/>
      </c>
      <c r="R1406" s="21" t="str">
        <f t="shared" si="223"/>
        <v/>
      </c>
      <c r="S1406" s="21"/>
      <c r="Z1406" s="8"/>
      <c r="AA1406">
        <v>1</v>
      </c>
      <c r="AB1406">
        <f t="shared" si="219"/>
        <v>0</v>
      </c>
      <c r="AC1406">
        <v>1</v>
      </c>
      <c r="AF1406">
        <v>1</v>
      </c>
      <c r="AG1406" s="8"/>
      <c r="AH1406" s="8"/>
      <c r="AK1406" cm="1">
        <f t="array" ref="AK1406">_xlfn.IFS(B1406="","",LEFT(G1406,1)="L",1,LEFT(G1406,1)="W",1,AND(LEFT(B1406,1)="H",G1406=""),0)</f>
        <v>1</v>
      </c>
      <c r="AS1406" t="str">
        <f t="shared" si="220"/>
        <v/>
      </c>
      <c r="AT1406" t="s">
        <v>115</v>
      </c>
      <c r="AU1406" t="str">
        <f t="shared" si="221"/>
        <v>0</v>
      </c>
      <c r="BD1406" t="str">
        <f t="shared" si="222"/>
        <v>0</v>
      </c>
      <c r="BK1406" t="str">
        <f>IFERROR(VLOOKUP(B1406,'[1]model_S-フレーム'!$F$5:$R$7000,13,1),"")</f>
        <v>E387186_01</v>
      </c>
      <c r="BL1406" s="7">
        <f>IFERROR(VLOOKUP(B1406,'[1]model_S-フレーム'!$F$5:$V$7000,17,1),"")</f>
        <v>0</v>
      </c>
      <c r="BM1406" t="str" cm="1">
        <f t="array" ref="BM1406">_xlfn.IFS(LEFT(G1406,1)="L","外注品",LEFT(G1406,1)="W","内製品",G1406="","購買品")</f>
        <v>内製品</v>
      </c>
    </row>
    <row r="1407" spans="1:65">
      <c r="A1407" t="str">
        <f t="shared" si="214"/>
        <v>WG01</v>
      </c>
      <c r="B1407" t="s">
        <v>1567</v>
      </c>
      <c r="C1407" t="s">
        <v>1897</v>
      </c>
      <c r="D1407" s="7"/>
      <c r="E1407" s="7"/>
      <c r="G1407" t="s">
        <v>1939</v>
      </c>
      <c r="H1407" t="str" cm="1">
        <f t="array" ref="H1407">IFERROR(_xlfn.IFS(B1407="","",AND(B1407="",G1407=""),"",G1407="","記載要"),"")</f>
        <v/>
      </c>
      <c r="K1407" t="str">
        <f t="shared" si="215"/>
        <v>11WP01073781</v>
      </c>
      <c r="L1407" s="3" t="str">
        <f t="shared" si="216"/>
        <v>2001/01/01</v>
      </c>
      <c r="M1407" s="3" t="str">
        <f t="shared" si="217"/>
        <v>2199/12/31</v>
      </c>
      <c r="N1407" t="str">
        <f t="shared" si="218"/>
        <v>11WP01073781</v>
      </c>
      <c r="O1407">
        <v>15</v>
      </c>
      <c r="Q1407" t="str" cm="1">
        <f t="array" ref="Q1407">_xlfn.IFS(AND(C1407="",G1407=""),"",LEFT(G1407,1)="L","記載要",LEFT(G1407,1)="W","",AND(C1407,G1407=""),"記載要")</f>
        <v/>
      </c>
      <c r="R1407" s="21" t="str">
        <f t="shared" si="223"/>
        <v/>
      </c>
      <c r="S1407" s="21"/>
      <c r="Z1407" s="8"/>
      <c r="AA1407">
        <v>1</v>
      </c>
      <c r="AB1407">
        <f t="shared" si="219"/>
        <v>0</v>
      </c>
      <c r="AC1407">
        <v>1</v>
      </c>
      <c r="AF1407">
        <v>1</v>
      </c>
      <c r="AG1407" s="8"/>
      <c r="AH1407" s="8"/>
      <c r="AK1407" cm="1">
        <f t="array" ref="AK1407">_xlfn.IFS(B1407="","",LEFT(G1407,1)="L",1,LEFT(G1407,1)="W",1,AND(LEFT(B1407,1)="H",G1407=""),0)</f>
        <v>1</v>
      </c>
      <c r="AS1407" t="str">
        <f t="shared" si="220"/>
        <v/>
      </c>
      <c r="AT1407" t="s">
        <v>115</v>
      </c>
      <c r="AU1407" t="str">
        <f t="shared" si="221"/>
        <v>0</v>
      </c>
      <c r="BD1407" t="str">
        <f t="shared" si="222"/>
        <v>0</v>
      </c>
      <c r="BK1407" t="str">
        <f>IFERROR(VLOOKUP(B1407,'[1]model_S-フレーム'!$F$5:$R$7000,13,1),"")</f>
        <v>E387186_01</v>
      </c>
      <c r="BL1407" s="7">
        <f>IFERROR(VLOOKUP(B1407,'[1]model_S-フレーム'!$F$5:$V$7000,17,1),"")</f>
        <v>0</v>
      </c>
      <c r="BM1407" t="str" cm="1">
        <f t="array" ref="BM1407">_xlfn.IFS(LEFT(G1407,1)="L","外注品",LEFT(G1407,1)="W","内製品",G1407="","購買品")</f>
        <v>内製品</v>
      </c>
    </row>
    <row r="1408" spans="1:65">
      <c r="A1408" t="str">
        <f t="shared" si="214"/>
        <v>WG01</v>
      </c>
      <c r="B1408" t="s">
        <v>1568</v>
      </c>
      <c r="C1408" t="s">
        <v>1897</v>
      </c>
      <c r="D1408" s="7"/>
      <c r="E1408" s="7"/>
      <c r="G1408" t="s">
        <v>1939</v>
      </c>
      <c r="H1408" t="str" cm="1">
        <f t="array" ref="H1408">IFERROR(_xlfn.IFS(B1408="","",AND(B1408="",G1408=""),"",G1408="","記載要"),"")</f>
        <v/>
      </c>
      <c r="K1408" t="str">
        <f t="shared" si="215"/>
        <v>11WP01073782</v>
      </c>
      <c r="L1408" s="3" t="str">
        <f t="shared" si="216"/>
        <v>2001/01/01</v>
      </c>
      <c r="M1408" s="3" t="str">
        <f t="shared" si="217"/>
        <v>2199/12/31</v>
      </c>
      <c r="N1408" t="str">
        <f t="shared" si="218"/>
        <v>11WP01073782</v>
      </c>
      <c r="O1408">
        <v>15</v>
      </c>
      <c r="Q1408" t="str" cm="1">
        <f t="array" ref="Q1408">_xlfn.IFS(AND(C1408="",G1408=""),"",LEFT(G1408,1)="L","記載要",LEFT(G1408,1)="W","",AND(C1408,G1408=""),"記載要")</f>
        <v/>
      </c>
      <c r="R1408" s="21" t="str">
        <f t="shared" si="223"/>
        <v/>
      </c>
      <c r="S1408" s="21"/>
      <c r="Z1408" s="8"/>
      <c r="AA1408">
        <v>1</v>
      </c>
      <c r="AB1408">
        <f t="shared" si="219"/>
        <v>0</v>
      </c>
      <c r="AC1408">
        <v>1</v>
      </c>
      <c r="AF1408">
        <v>1</v>
      </c>
      <c r="AG1408" s="8"/>
      <c r="AH1408" s="8"/>
      <c r="AK1408" cm="1">
        <f t="array" ref="AK1408">_xlfn.IFS(B1408="","",LEFT(G1408,1)="L",1,LEFT(G1408,1)="W",1,AND(LEFT(B1408,1)="H",G1408=""),0)</f>
        <v>1</v>
      </c>
      <c r="AS1408" t="str">
        <f t="shared" si="220"/>
        <v/>
      </c>
      <c r="AT1408" t="s">
        <v>115</v>
      </c>
      <c r="AU1408" t="str">
        <f t="shared" si="221"/>
        <v>0</v>
      </c>
      <c r="BD1408" t="str">
        <f t="shared" si="222"/>
        <v>0</v>
      </c>
      <c r="BK1408" t="str">
        <f>IFERROR(VLOOKUP(B1408,'[1]model_S-フレーム'!$F$5:$R$7000,13,1),"")</f>
        <v>E387186_01</v>
      </c>
      <c r="BL1408" s="7">
        <f>IFERROR(VLOOKUP(B1408,'[1]model_S-フレーム'!$F$5:$V$7000,17,1),"")</f>
        <v>0</v>
      </c>
      <c r="BM1408" t="str" cm="1">
        <f t="array" ref="BM1408">_xlfn.IFS(LEFT(G1408,1)="L","外注品",LEFT(G1408,1)="W","内製品",G1408="","購買品")</f>
        <v>内製品</v>
      </c>
    </row>
    <row r="1409" spans="1:65">
      <c r="A1409" t="str">
        <f t="shared" si="214"/>
        <v>WG01</v>
      </c>
      <c r="B1409" t="s">
        <v>1569</v>
      </c>
      <c r="C1409" t="s">
        <v>1897</v>
      </c>
      <c r="D1409" s="7"/>
      <c r="E1409" s="7"/>
      <c r="G1409" t="s">
        <v>1939</v>
      </c>
      <c r="H1409" t="str" cm="1">
        <f t="array" ref="H1409">IFERROR(_xlfn.IFS(B1409="","",AND(B1409="",G1409=""),"",G1409="","記載要"),"")</f>
        <v/>
      </c>
      <c r="K1409" t="str">
        <f t="shared" si="215"/>
        <v>11WP01073783</v>
      </c>
      <c r="L1409" s="3" t="str">
        <f t="shared" si="216"/>
        <v>2001/01/01</v>
      </c>
      <c r="M1409" s="3" t="str">
        <f t="shared" si="217"/>
        <v>2199/12/31</v>
      </c>
      <c r="N1409" t="str">
        <f t="shared" si="218"/>
        <v>11WP01073783</v>
      </c>
      <c r="O1409">
        <v>15</v>
      </c>
      <c r="Q1409" t="str" cm="1">
        <f t="array" ref="Q1409">_xlfn.IFS(AND(C1409="",G1409=""),"",LEFT(G1409,1)="L","記載要",LEFT(G1409,1)="W","",AND(C1409,G1409=""),"記載要")</f>
        <v/>
      </c>
      <c r="R1409" s="21" t="str">
        <f t="shared" si="223"/>
        <v/>
      </c>
      <c r="S1409" s="21"/>
      <c r="Z1409" s="8"/>
      <c r="AA1409">
        <v>1</v>
      </c>
      <c r="AB1409">
        <f t="shared" si="219"/>
        <v>0</v>
      </c>
      <c r="AC1409">
        <v>1</v>
      </c>
      <c r="AF1409">
        <v>1</v>
      </c>
      <c r="AG1409" s="8"/>
      <c r="AH1409" s="8"/>
      <c r="AK1409" cm="1">
        <f t="array" ref="AK1409">_xlfn.IFS(B1409="","",LEFT(G1409,1)="L",1,LEFT(G1409,1)="W",1,AND(LEFT(B1409,1)="H",G1409=""),0)</f>
        <v>1</v>
      </c>
      <c r="AS1409" t="str">
        <f t="shared" si="220"/>
        <v/>
      </c>
      <c r="AT1409" t="s">
        <v>115</v>
      </c>
      <c r="AU1409" t="str">
        <f t="shared" si="221"/>
        <v>0</v>
      </c>
      <c r="BD1409" t="str">
        <f t="shared" si="222"/>
        <v>0</v>
      </c>
      <c r="BK1409" t="str">
        <f>IFERROR(VLOOKUP(B1409,'[1]model_S-フレーム'!$F$5:$R$7000,13,1),"")</f>
        <v>E387186_01</v>
      </c>
      <c r="BL1409" s="7">
        <f>IFERROR(VLOOKUP(B1409,'[1]model_S-フレーム'!$F$5:$V$7000,17,1),"")</f>
        <v>0</v>
      </c>
      <c r="BM1409" t="str" cm="1">
        <f t="array" ref="BM1409">_xlfn.IFS(LEFT(G1409,1)="L","外注品",LEFT(G1409,1)="W","内製品",G1409="","購買品")</f>
        <v>内製品</v>
      </c>
    </row>
    <row r="1410" spans="1:65">
      <c r="A1410" t="str">
        <f t="shared" si="214"/>
        <v>WG01</v>
      </c>
      <c r="B1410" t="s">
        <v>1570</v>
      </c>
      <c r="C1410" t="s">
        <v>1897</v>
      </c>
      <c r="D1410" s="7"/>
      <c r="E1410" s="7"/>
      <c r="G1410" t="s">
        <v>1939</v>
      </c>
      <c r="H1410" t="str" cm="1">
        <f t="array" ref="H1410">IFERROR(_xlfn.IFS(B1410="","",AND(B1410="",G1410=""),"",G1410="","記載要"),"")</f>
        <v/>
      </c>
      <c r="K1410" t="str">
        <f t="shared" si="215"/>
        <v>11WP01073784</v>
      </c>
      <c r="L1410" s="3" t="str">
        <f t="shared" si="216"/>
        <v>2001/01/01</v>
      </c>
      <c r="M1410" s="3" t="str">
        <f t="shared" si="217"/>
        <v>2199/12/31</v>
      </c>
      <c r="N1410" t="str">
        <f t="shared" si="218"/>
        <v>11WP01073784</v>
      </c>
      <c r="O1410">
        <v>15</v>
      </c>
      <c r="Q1410" t="str" cm="1">
        <f t="array" ref="Q1410">_xlfn.IFS(AND(C1410="",G1410=""),"",LEFT(G1410,1)="L","記載要",LEFT(G1410,1)="W","",AND(C1410,G1410=""),"記載要")</f>
        <v/>
      </c>
      <c r="R1410" s="21" t="str">
        <f t="shared" si="223"/>
        <v/>
      </c>
      <c r="S1410" s="21"/>
      <c r="Z1410" s="8"/>
      <c r="AA1410">
        <v>1</v>
      </c>
      <c r="AB1410">
        <f t="shared" si="219"/>
        <v>0</v>
      </c>
      <c r="AC1410">
        <v>1</v>
      </c>
      <c r="AF1410">
        <v>1</v>
      </c>
      <c r="AG1410" s="8"/>
      <c r="AH1410" s="8"/>
      <c r="AK1410" cm="1">
        <f t="array" ref="AK1410">_xlfn.IFS(B1410="","",LEFT(G1410,1)="L",1,LEFT(G1410,1)="W",1,AND(LEFT(B1410,1)="H",G1410=""),0)</f>
        <v>1</v>
      </c>
      <c r="AS1410" t="str">
        <f t="shared" si="220"/>
        <v/>
      </c>
      <c r="AT1410" t="s">
        <v>115</v>
      </c>
      <c r="AU1410" t="str">
        <f t="shared" si="221"/>
        <v>0</v>
      </c>
      <c r="BD1410" t="str">
        <f t="shared" si="222"/>
        <v>0</v>
      </c>
      <c r="BK1410" t="str">
        <f>IFERROR(VLOOKUP(B1410,'[1]model_S-フレーム'!$F$5:$R$7000,13,1),"")</f>
        <v>E387186_01</v>
      </c>
      <c r="BL1410" s="7">
        <f>IFERROR(VLOOKUP(B1410,'[1]model_S-フレーム'!$F$5:$V$7000,17,1),"")</f>
        <v>0</v>
      </c>
      <c r="BM1410" t="str" cm="1">
        <f t="array" ref="BM1410">_xlfn.IFS(LEFT(G1410,1)="L","外注品",LEFT(G1410,1)="W","内製品",G1410="","購買品")</f>
        <v>内製品</v>
      </c>
    </row>
    <row r="1411" spans="1:65">
      <c r="A1411" t="str">
        <f t="shared" ref="A1411:A1474" si="225">IF(B1411="","","WG01")</f>
        <v>WG01</v>
      </c>
      <c r="B1411" t="s">
        <v>1571</v>
      </c>
      <c r="C1411" t="s">
        <v>1898</v>
      </c>
      <c r="D1411" s="7"/>
      <c r="E1411" s="7"/>
      <c r="G1411" t="s">
        <v>1939</v>
      </c>
      <c r="H1411" t="str" cm="1">
        <f t="array" ref="H1411">IFERROR(_xlfn.IFS(B1411="","",AND(B1411="",G1411=""),"",G1411="","記載要"),"")</f>
        <v/>
      </c>
      <c r="K1411" t="str">
        <f t="shared" ref="K1411:K1474" si="226">IF(G1411="","","11"&amp;G1411&amp;RIGHT(B1411,5))</f>
        <v>11WP01073785</v>
      </c>
      <c r="L1411" s="3" t="str">
        <f t="shared" ref="L1411:L1474" si="227">IF(B1411="","","2001/01/01")</f>
        <v>2001/01/01</v>
      </c>
      <c r="M1411" s="3" t="str">
        <f t="shared" ref="M1411:M1474" si="228">IF(C1411="","","2199/12/31")</f>
        <v>2199/12/31</v>
      </c>
      <c r="N1411" t="str">
        <f t="shared" ref="N1411:N1474" si="229">IF(LEFT(G1411,1)="W",K1411,"")</f>
        <v>11WP01073785</v>
      </c>
      <c r="O1411">
        <v>15</v>
      </c>
      <c r="Q1411" t="str" cm="1">
        <f t="array" ref="Q1411">_xlfn.IFS(AND(C1411="",G1411=""),"",LEFT(G1411,1)="L","記載要",LEFT(G1411,1)="W","",AND(C1411,G1411=""),"記載要")</f>
        <v/>
      </c>
      <c r="R1411" s="21" t="str">
        <f t="shared" si="223"/>
        <v/>
      </c>
      <c r="S1411" s="21"/>
      <c r="Z1411" s="8"/>
      <c r="AA1411">
        <v>1</v>
      </c>
      <c r="AB1411">
        <f t="shared" ref="AB1411:AB1474" si="230">IF(B1411="","",0)</f>
        <v>0</v>
      </c>
      <c r="AC1411">
        <v>1</v>
      </c>
      <c r="AF1411">
        <v>1</v>
      </c>
      <c r="AG1411" s="8"/>
      <c r="AH1411" s="8"/>
      <c r="AK1411" cm="1">
        <f t="array" ref="AK1411">_xlfn.IFS(B1411="","",LEFT(G1411,1)="L",1,LEFT(G1411,1)="W",1,AND(LEFT(B1411,1)="H",G1411=""),0)</f>
        <v>1</v>
      </c>
      <c r="AS1411" t="str">
        <f t="shared" ref="AS1411:AS1474" si="231">IF(Q1411="","",1)</f>
        <v/>
      </c>
      <c r="AT1411" t="s">
        <v>115</v>
      </c>
      <c r="AU1411" t="str">
        <f t="shared" ref="AU1411:AU1474" si="232">IF(B1411="","","0")</f>
        <v>0</v>
      </c>
      <c r="BD1411" t="str">
        <f t="shared" ref="BD1411:BD1474" si="233">IF(B1411="","","0")</f>
        <v>0</v>
      </c>
      <c r="BK1411" t="str">
        <f>IFERROR(VLOOKUP(B1411,'[1]model_S-フレーム'!$F$5:$R$7000,13,1),"")</f>
        <v>E387186_01</v>
      </c>
      <c r="BL1411" s="7">
        <f>IFERROR(VLOOKUP(B1411,'[1]model_S-フレーム'!$F$5:$V$7000,17,1),"")</f>
        <v>0</v>
      </c>
      <c r="BM1411" t="str" cm="1">
        <f t="array" ref="BM1411">_xlfn.IFS(LEFT(G1411,1)="L","外注品",LEFT(G1411,1)="W","内製品",G1411="","購買品")</f>
        <v>内製品</v>
      </c>
    </row>
    <row r="1412" spans="1:65">
      <c r="A1412" t="str">
        <f t="shared" si="225"/>
        <v>WG01</v>
      </c>
      <c r="B1412" t="s">
        <v>1572</v>
      </c>
      <c r="C1412" t="s">
        <v>1898</v>
      </c>
      <c r="D1412" s="7"/>
      <c r="E1412" s="7"/>
      <c r="G1412" t="s">
        <v>1939</v>
      </c>
      <c r="H1412" t="str" cm="1">
        <f t="array" ref="H1412">IFERROR(_xlfn.IFS(B1412="","",AND(B1412="",G1412=""),"",G1412="","記載要"),"")</f>
        <v/>
      </c>
      <c r="K1412" t="str">
        <f t="shared" si="226"/>
        <v>11WP01073786</v>
      </c>
      <c r="L1412" s="3" t="str">
        <f t="shared" si="227"/>
        <v>2001/01/01</v>
      </c>
      <c r="M1412" s="3" t="str">
        <f t="shared" si="228"/>
        <v>2199/12/31</v>
      </c>
      <c r="N1412" t="str">
        <f t="shared" si="229"/>
        <v>11WP01073786</v>
      </c>
      <c r="O1412">
        <v>15</v>
      </c>
      <c r="Q1412" t="str" cm="1">
        <f t="array" ref="Q1412">_xlfn.IFS(AND(C1412="",G1412=""),"",LEFT(G1412,1)="L","記載要",LEFT(G1412,1)="W","",AND(C1412,G1412=""),"記載要")</f>
        <v/>
      </c>
      <c r="R1412" s="21" t="str">
        <f t="shared" ref="R1412:R1469" si="234">IF(H1412="","","記載要")</f>
        <v/>
      </c>
      <c r="S1412" s="21"/>
      <c r="Z1412" s="8"/>
      <c r="AA1412">
        <v>1</v>
      </c>
      <c r="AB1412">
        <f t="shared" si="230"/>
        <v>0</v>
      </c>
      <c r="AC1412">
        <v>1</v>
      </c>
      <c r="AF1412">
        <v>1</v>
      </c>
      <c r="AG1412" s="8"/>
      <c r="AH1412" s="8"/>
      <c r="AK1412" cm="1">
        <f t="array" ref="AK1412">_xlfn.IFS(B1412="","",LEFT(G1412,1)="L",1,LEFT(G1412,1)="W",1,AND(LEFT(B1412,1)="H",G1412=""),0)</f>
        <v>1</v>
      </c>
      <c r="AS1412" t="str">
        <f t="shared" si="231"/>
        <v/>
      </c>
      <c r="AT1412" t="s">
        <v>115</v>
      </c>
      <c r="AU1412" t="str">
        <f t="shared" si="232"/>
        <v>0</v>
      </c>
      <c r="BD1412" t="str">
        <f t="shared" si="233"/>
        <v>0</v>
      </c>
      <c r="BK1412" t="str">
        <f>IFERROR(VLOOKUP(B1412,'[1]model_S-フレーム'!$F$5:$R$7000,13,1),"")</f>
        <v>E387186_01</v>
      </c>
      <c r="BL1412" s="7">
        <f>IFERROR(VLOOKUP(B1412,'[1]model_S-フレーム'!$F$5:$V$7000,17,1),"")</f>
        <v>0</v>
      </c>
      <c r="BM1412" t="str" cm="1">
        <f t="array" ref="BM1412">_xlfn.IFS(LEFT(G1412,1)="L","外注品",LEFT(G1412,1)="W","内製品",G1412="","購買品")</f>
        <v>内製品</v>
      </c>
    </row>
    <row r="1413" spans="1:65">
      <c r="A1413" t="str">
        <f t="shared" si="225"/>
        <v>WG01</v>
      </c>
      <c r="B1413" t="s">
        <v>1573</v>
      </c>
      <c r="C1413" t="s">
        <v>1898</v>
      </c>
      <c r="D1413" s="7"/>
      <c r="E1413" s="7"/>
      <c r="G1413" t="s">
        <v>1939</v>
      </c>
      <c r="H1413" t="str" cm="1">
        <f t="array" ref="H1413">IFERROR(_xlfn.IFS(B1413="","",AND(B1413="",G1413=""),"",G1413="","記載要"),"")</f>
        <v/>
      </c>
      <c r="K1413" t="str">
        <f t="shared" si="226"/>
        <v>11WP01073787</v>
      </c>
      <c r="L1413" s="3" t="str">
        <f t="shared" si="227"/>
        <v>2001/01/01</v>
      </c>
      <c r="M1413" s="3" t="str">
        <f t="shared" si="228"/>
        <v>2199/12/31</v>
      </c>
      <c r="N1413" t="str">
        <f t="shared" si="229"/>
        <v>11WP01073787</v>
      </c>
      <c r="O1413">
        <v>15</v>
      </c>
      <c r="Q1413" t="str" cm="1">
        <f t="array" ref="Q1413">_xlfn.IFS(AND(C1413="",G1413=""),"",LEFT(G1413,1)="L","記載要",LEFT(G1413,1)="W","",AND(C1413,G1413=""),"記載要")</f>
        <v/>
      </c>
      <c r="R1413" s="21" t="str">
        <f t="shared" si="234"/>
        <v/>
      </c>
      <c r="S1413" s="21"/>
      <c r="Z1413" s="8"/>
      <c r="AA1413">
        <v>1</v>
      </c>
      <c r="AB1413">
        <f t="shared" si="230"/>
        <v>0</v>
      </c>
      <c r="AC1413">
        <v>1</v>
      </c>
      <c r="AF1413">
        <v>1</v>
      </c>
      <c r="AG1413" s="8"/>
      <c r="AH1413" s="8"/>
      <c r="AK1413" cm="1">
        <f t="array" ref="AK1413">_xlfn.IFS(B1413="","",LEFT(G1413,1)="L",1,LEFT(G1413,1)="W",1,AND(LEFT(B1413,1)="H",G1413=""),0)</f>
        <v>1</v>
      </c>
      <c r="AS1413" t="str">
        <f t="shared" si="231"/>
        <v/>
      </c>
      <c r="AT1413" t="s">
        <v>115</v>
      </c>
      <c r="AU1413" t="str">
        <f t="shared" si="232"/>
        <v>0</v>
      </c>
      <c r="BD1413" t="str">
        <f t="shared" si="233"/>
        <v>0</v>
      </c>
      <c r="BK1413" t="str">
        <f>IFERROR(VLOOKUP(B1413,'[1]model_S-フレーム'!$F$5:$R$7000,13,1),"")</f>
        <v>E387186_01</v>
      </c>
      <c r="BL1413" s="7">
        <f>IFERROR(VLOOKUP(B1413,'[1]model_S-フレーム'!$F$5:$V$7000,17,1),"")</f>
        <v>0</v>
      </c>
      <c r="BM1413" t="str" cm="1">
        <f t="array" ref="BM1413">_xlfn.IFS(LEFT(G1413,1)="L","外注品",LEFT(G1413,1)="W","内製品",G1413="","購買品")</f>
        <v>内製品</v>
      </c>
    </row>
    <row r="1414" spans="1:65">
      <c r="A1414" t="str">
        <f t="shared" si="225"/>
        <v>WG01</v>
      </c>
      <c r="B1414" t="s">
        <v>1574</v>
      </c>
      <c r="C1414" t="s">
        <v>1898</v>
      </c>
      <c r="D1414" s="7"/>
      <c r="E1414" s="7"/>
      <c r="G1414" t="s">
        <v>1939</v>
      </c>
      <c r="H1414" t="str" cm="1">
        <f t="array" ref="H1414">IFERROR(_xlfn.IFS(B1414="","",AND(B1414="",G1414=""),"",G1414="","記載要"),"")</f>
        <v/>
      </c>
      <c r="K1414" t="str">
        <f t="shared" si="226"/>
        <v>11WP01073788</v>
      </c>
      <c r="L1414" s="3" t="str">
        <f t="shared" si="227"/>
        <v>2001/01/01</v>
      </c>
      <c r="M1414" s="3" t="str">
        <f t="shared" si="228"/>
        <v>2199/12/31</v>
      </c>
      <c r="N1414" t="str">
        <f t="shared" si="229"/>
        <v>11WP01073788</v>
      </c>
      <c r="O1414">
        <v>15</v>
      </c>
      <c r="Q1414" t="str" cm="1">
        <f t="array" ref="Q1414">_xlfn.IFS(AND(C1414="",G1414=""),"",LEFT(G1414,1)="L","記載要",LEFT(G1414,1)="W","",AND(C1414,G1414=""),"記載要")</f>
        <v/>
      </c>
      <c r="R1414" s="21" t="str">
        <f t="shared" si="234"/>
        <v/>
      </c>
      <c r="S1414" s="21"/>
      <c r="Z1414" s="8"/>
      <c r="AA1414">
        <v>1</v>
      </c>
      <c r="AB1414">
        <f t="shared" si="230"/>
        <v>0</v>
      </c>
      <c r="AC1414">
        <v>1</v>
      </c>
      <c r="AF1414">
        <v>1</v>
      </c>
      <c r="AG1414" s="8"/>
      <c r="AH1414" s="8"/>
      <c r="AK1414" cm="1">
        <f t="array" ref="AK1414">_xlfn.IFS(B1414="","",LEFT(G1414,1)="L",1,LEFT(G1414,1)="W",1,AND(LEFT(B1414,1)="H",G1414=""),0)</f>
        <v>1</v>
      </c>
      <c r="AS1414" t="str">
        <f t="shared" si="231"/>
        <v/>
      </c>
      <c r="AT1414" t="s">
        <v>115</v>
      </c>
      <c r="AU1414" t="str">
        <f t="shared" si="232"/>
        <v>0</v>
      </c>
      <c r="BD1414" t="str">
        <f t="shared" si="233"/>
        <v>0</v>
      </c>
      <c r="BK1414" t="str">
        <f>IFERROR(VLOOKUP(B1414,'[1]model_S-フレーム'!$F$5:$R$7000,13,1),"")</f>
        <v>E387186_01</v>
      </c>
      <c r="BL1414" s="7">
        <f>IFERROR(VLOOKUP(B1414,'[1]model_S-フレーム'!$F$5:$V$7000,17,1),"")</f>
        <v>0</v>
      </c>
      <c r="BM1414" t="str" cm="1">
        <f t="array" ref="BM1414">_xlfn.IFS(LEFT(G1414,1)="L","外注品",LEFT(G1414,1)="W","内製品",G1414="","購買品")</f>
        <v>内製品</v>
      </c>
    </row>
    <row r="1415" spans="1:65">
      <c r="A1415" t="str">
        <f t="shared" si="225"/>
        <v>WG01</v>
      </c>
      <c r="B1415" t="s">
        <v>1575</v>
      </c>
      <c r="C1415" t="s">
        <v>1898</v>
      </c>
      <c r="D1415" s="7"/>
      <c r="E1415" s="7"/>
      <c r="G1415" t="s">
        <v>1939</v>
      </c>
      <c r="H1415" t="str" cm="1">
        <f t="array" ref="H1415">IFERROR(_xlfn.IFS(B1415="","",AND(B1415="",G1415=""),"",G1415="","記載要"),"")</f>
        <v/>
      </c>
      <c r="K1415" t="str">
        <f t="shared" si="226"/>
        <v>11WP01073789</v>
      </c>
      <c r="L1415" s="3" t="str">
        <f t="shared" si="227"/>
        <v>2001/01/01</v>
      </c>
      <c r="M1415" s="3" t="str">
        <f t="shared" si="228"/>
        <v>2199/12/31</v>
      </c>
      <c r="N1415" t="str">
        <f t="shared" si="229"/>
        <v>11WP01073789</v>
      </c>
      <c r="O1415">
        <v>15</v>
      </c>
      <c r="Q1415" t="str" cm="1">
        <f t="array" ref="Q1415">_xlfn.IFS(AND(C1415="",G1415=""),"",LEFT(G1415,1)="L","記載要",LEFT(G1415,1)="W","",AND(C1415,G1415=""),"記載要")</f>
        <v/>
      </c>
      <c r="R1415" s="21" t="str">
        <f t="shared" si="234"/>
        <v/>
      </c>
      <c r="S1415" s="21"/>
      <c r="Z1415" s="8"/>
      <c r="AA1415">
        <v>1</v>
      </c>
      <c r="AB1415">
        <f t="shared" si="230"/>
        <v>0</v>
      </c>
      <c r="AC1415">
        <v>1</v>
      </c>
      <c r="AF1415">
        <v>1</v>
      </c>
      <c r="AG1415" s="8"/>
      <c r="AH1415" s="8"/>
      <c r="AK1415" cm="1">
        <f t="array" ref="AK1415">_xlfn.IFS(B1415="","",LEFT(G1415,1)="L",1,LEFT(G1415,1)="W",1,AND(LEFT(B1415,1)="H",G1415=""),0)</f>
        <v>1</v>
      </c>
      <c r="AS1415" t="str">
        <f t="shared" si="231"/>
        <v/>
      </c>
      <c r="AT1415" t="s">
        <v>115</v>
      </c>
      <c r="AU1415" t="str">
        <f t="shared" si="232"/>
        <v>0</v>
      </c>
      <c r="BD1415" t="str">
        <f t="shared" si="233"/>
        <v>0</v>
      </c>
      <c r="BK1415" t="str">
        <f>IFERROR(VLOOKUP(B1415,'[1]model_S-フレーム'!$F$5:$R$7000,13,1),"")</f>
        <v>E387186_01</v>
      </c>
      <c r="BL1415" s="7">
        <f>IFERROR(VLOOKUP(B1415,'[1]model_S-フレーム'!$F$5:$V$7000,17,1),"")</f>
        <v>0</v>
      </c>
      <c r="BM1415" t="str" cm="1">
        <f t="array" ref="BM1415">_xlfn.IFS(LEFT(G1415,1)="L","外注品",LEFT(G1415,1)="W","内製品",G1415="","購買品")</f>
        <v>内製品</v>
      </c>
    </row>
    <row r="1416" spans="1:65">
      <c r="A1416" t="str">
        <f t="shared" si="225"/>
        <v>WG01</v>
      </c>
      <c r="B1416" t="s">
        <v>1576</v>
      </c>
      <c r="C1416" t="s">
        <v>1898</v>
      </c>
      <c r="D1416" s="7"/>
      <c r="E1416" s="7"/>
      <c r="G1416" t="s">
        <v>1939</v>
      </c>
      <c r="H1416" t="str" cm="1">
        <f t="array" ref="H1416">IFERROR(_xlfn.IFS(B1416="","",AND(B1416="",G1416=""),"",G1416="","記載要"),"")</f>
        <v/>
      </c>
      <c r="K1416" t="str">
        <f t="shared" si="226"/>
        <v>11WP01073790</v>
      </c>
      <c r="L1416" s="3" t="str">
        <f t="shared" si="227"/>
        <v>2001/01/01</v>
      </c>
      <c r="M1416" s="3" t="str">
        <f t="shared" si="228"/>
        <v>2199/12/31</v>
      </c>
      <c r="N1416" t="str">
        <f t="shared" si="229"/>
        <v>11WP01073790</v>
      </c>
      <c r="O1416">
        <v>15</v>
      </c>
      <c r="Q1416" t="str" cm="1">
        <f t="array" ref="Q1416">_xlfn.IFS(AND(C1416="",G1416=""),"",LEFT(G1416,1)="L","記載要",LEFT(G1416,1)="W","",AND(C1416,G1416=""),"記載要")</f>
        <v/>
      </c>
      <c r="R1416" s="21" t="str">
        <f t="shared" si="234"/>
        <v/>
      </c>
      <c r="S1416" s="21"/>
      <c r="Z1416" s="8"/>
      <c r="AA1416">
        <v>1</v>
      </c>
      <c r="AB1416">
        <f t="shared" si="230"/>
        <v>0</v>
      </c>
      <c r="AC1416">
        <v>1</v>
      </c>
      <c r="AF1416">
        <v>1</v>
      </c>
      <c r="AG1416" s="8"/>
      <c r="AH1416" s="8"/>
      <c r="AK1416" cm="1">
        <f t="array" ref="AK1416">_xlfn.IFS(B1416="","",LEFT(G1416,1)="L",1,LEFT(G1416,1)="W",1,AND(LEFT(B1416,1)="H",G1416=""),0)</f>
        <v>1</v>
      </c>
      <c r="AS1416" t="str">
        <f t="shared" si="231"/>
        <v/>
      </c>
      <c r="AT1416" t="s">
        <v>115</v>
      </c>
      <c r="AU1416" t="str">
        <f t="shared" si="232"/>
        <v>0</v>
      </c>
      <c r="BD1416" t="str">
        <f t="shared" si="233"/>
        <v>0</v>
      </c>
      <c r="BK1416" t="str">
        <f>IFERROR(VLOOKUP(B1416,'[1]model_S-フレーム'!$F$5:$R$7000,13,1),"")</f>
        <v>E387186_01</v>
      </c>
      <c r="BL1416" s="7">
        <f>IFERROR(VLOOKUP(B1416,'[1]model_S-フレーム'!$F$5:$V$7000,17,1),"")</f>
        <v>0</v>
      </c>
      <c r="BM1416" t="str" cm="1">
        <f t="array" ref="BM1416">_xlfn.IFS(LEFT(G1416,1)="L","外注品",LEFT(G1416,1)="W","内製品",G1416="","購買品")</f>
        <v>内製品</v>
      </c>
    </row>
    <row r="1417" spans="1:65">
      <c r="A1417" t="str">
        <f t="shared" si="225"/>
        <v>WG01</v>
      </c>
      <c r="B1417" t="s">
        <v>1577</v>
      </c>
      <c r="C1417" t="s">
        <v>1898</v>
      </c>
      <c r="D1417" s="7"/>
      <c r="E1417" s="7"/>
      <c r="G1417" t="s">
        <v>1939</v>
      </c>
      <c r="H1417" t="str" cm="1">
        <f t="array" ref="H1417">IFERROR(_xlfn.IFS(B1417="","",AND(B1417="",G1417=""),"",G1417="","記載要"),"")</f>
        <v/>
      </c>
      <c r="K1417" t="str">
        <f t="shared" si="226"/>
        <v>11WP01073791</v>
      </c>
      <c r="L1417" s="3" t="str">
        <f t="shared" si="227"/>
        <v>2001/01/01</v>
      </c>
      <c r="M1417" s="3" t="str">
        <f t="shared" si="228"/>
        <v>2199/12/31</v>
      </c>
      <c r="N1417" t="str">
        <f t="shared" si="229"/>
        <v>11WP01073791</v>
      </c>
      <c r="O1417">
        <v>15</v>
      </c>
      <c r="Q1417" t="str" cm="1">
        <f t="array" ref="Q1417">_xlfn.IFS(AND(C1417="",G1417=""),"",LEFT(G1417,1)="L","記載要",LEFT(G1417,1)="W","",AND(C1417,G1417=""),"記載要")</f>
        <v/>
      </c>
      <c r="R1417" s="21" t="str">
        <f t="shared" si="234"/>
        <v/>
      </c>
      <c r="S1417" s="21"/>
      <c r="Z1417" s="8"/>
      <c r="AA1417">
        <v>1</v>
      </c>
      <c r="AB1417">
        <f t="shared" si="230"/>
        <v>0</v>
      </c>
      <c r="AC1417">
        <v>1</v>
      </c>
      <c r="AF1417">
        <v>1</v>
      </c>
      <c r="AG1417" s="8"/>
      <c r="AH1417" s="8"/>
      <c r="AK1417" cm="1">
        <f t="array" ref="AK1417">_xlfn.IFS(B1417="","",LEFT(G1417,1)="L",1,LEFT(G1417,1)="W",1,AND(LEFT(B1417,1)="H",G1417=""),0)</f>
        <v>1</v>
      </c>
      <c r="AS1417" t="str">
        <f t="shared" si="231"/>
        <v/>
      </c>
      <c r="AT1417" t="s">
        <v>115</v>
      </c>
      <c r="AU1417" t="str">
        <f t="shared" si="232"/>
        <v>0</v>
      </c>
      <c r="BD1417" t="str">
        <f t="shared" si="233"/>
        <v>0</v>
      </c>
      <c r="BK1417" t="str">
        <f>IFERROR(VLOOKUP(B1417,'[1]model_S-フレーム'!$F$5:$R$7000,13,1),"")</f>
        <v>E387186_01</v>
      </c>
      <c r="BL1417" s="7">
        <f>IFERROR(VLOOKUP(B1417,'[1]model_S-フレーム'!$F$5:$V$7000,17,1),"")</f>
        <v>0</v>
      </c>
      <c r="BM1417" t="str" cm="1">
        <f t="array" ref="BM1417">_xlfn.IFS(LEFT(G1417,1)="L","外注品",LEFT(G1417,1)="W","内製品",G1417="","購買品")</f>
        <v>内製品</v>
      </c>
    </row>
    <row r="1418" spans="1:65">
      <c r="A1418" t="str">
        <f t="shared" si="225"/>
        <v>WG01</v>
      </c>
      <c r="B1418" t="s">
        <v>1578</v>
      </c>
      <c r="C1418" t="s">
        <v>1898</v>
      </c>
      <c r="D1418" s="7"/>
      <c r="E1418" s="7"/>
      <c r="G1418" t="s">
        <v>1939</v>
      </c>
      <c r="H1418" t="str" cm="1">
        <f t="array" ref="H1418">IFERROR(_xlfn.IFS(B1418="","",AND(B1418="",G1418=""),"",G1418="","記載要"),"")</f>
        <v/>
      </c>
      <c r="K1418" t="str">
        <f t="shared" si="226"/>
        <v>11WP01073792</v>
      </c>
      <c r="L1418" s="3" t="str">
        <f t="shared" si="227"/>
        <v>2001/01/01</v>
      </c>
      <c r="M1418" s="3" t="str">
        <f t="shared" si="228"/>
        <v>2199/12/31</v>
      </c>
      <c r="N1418" t="str">
        <f t="shared" si="229"/>
        <v>11WP01073792</v>
      </c>
      <c r="O1418">
        <v>15</v>
      </c>
      <c r="Q1418" t="str" cm="1">
        <f t="array" ref="Q1418">_xlfn.IFS(AND(C1418="",G1418=""),"",LEFT(G1418,1)="L","記載要",LEFT(G1418,1)="W","",AND(C1418,G1418=""),"記載要")</f>
        <v/>
      </c>
      <c r="R1418" s="21" t="str">
        <f t="shared" si="234"/>
        <v/>
      </c>
      <c r="S1418" s="21"/>
      <c r="Z1418" s="8"/>
      <c r="AA1418">
        <v>1</v>
      </c>
      <c r="AB1418">
        <f t="shared" si="230"/>
        <v>0</v>
      </c>
      <c r="AC1418">
        <v>1</v>
      </c>
      <c r="AF1418">
        <v>1</v>
      </c>
      <c r="AG1418" s="8"/>
      <c r="AH1418" s="8"/>
      <c r="AK1418" cm="1">
        <f t="array" ref="AK1418">_xlfn.IFS(B1418="","",LEFT(G1418,1)="L",1,LEFT(G1418,1)="W",1,AND(LEFT(B1418,1)="H",G1418=""),0)</f>
        <v>1</v>
      </c>
      <c r="AS1418" t="str">
        <f t="shared" si="231"/>
        <v/>
      </c>
      <c r="AT1418" t="s">
        <v>115</v>
      </c>
      <c r="AU1418" t="str">
        <f t="shared" si="232"/>
        <v>0</v>
      </c>
      <c r="BD1418" t="str">
        <f t="shared" si="233"/>
        <v>0</v>
      </c>
      <c r="BK1418" t="str">
        <f>IFERROR(VLOOKUP(B1418,'[1]model_S-フレーム'!$F$5:$R$7000,13,1),"")</f>
        <v>E387186_01</v>
      </c>
      <c r="BL1418" s="7">
        <f>IFERROR(VLOOKUP(B1418,'[1]model_S-フレーム'!$F$5:$V$7000,17,1),"")</f>
        <v>0</v>
      </c>
      <c r="BM1418" t="str" cm="1">
        <f t="array" ref="BM1418">_xlfn.IFS(LEFT(G1418,1)="L","外注品",LEFT(G1418,1)="W","内製品",G1418="","購買品")</f>
        <v>内製品</v>
      </c>
    </row>
    <row r="1419" spans="1:65">
      <c r="A1419" t="str">
        <f t="shared" si="225"/>
        <v>WG01</v>
      </c>
      <c r="B1419" t="s">
        <v>1579</v>
      </c>
      <c r="C1419" t="s">
        <v>1898</v>
      </c>
      <c r="D1419" s="7"/>
      <c r="E1419" s="7"/>
      <c r="G1419" t="s">
        <v>1939</v>
      </c>
      <c r="H1419" t="str" cm="1">
        <f t="array" ref="H1419">IFERROR(_xlfn.IFS(B1419="","",AND(B1419="",G1419=""),"",G1419="","記載要"),"")</f>
        <v/>
      </c>
      <c r="K1419" t="str">
        <f t="shared" si="226"/>
        <v>11WP01073793</v>
      </c>
      <c r="L1419" s="3" t="str">
        <f t="shared" si="227"/>
        <v>2001/01/01</v>
      </c>
      <c r="M1419" s="3" t="str">
        <f t="shared" si="228"/>
        <v>2199/12/31</v>
      </c>
      <c r="N1419" t="str">
        <f t="shared" si="229"/>
        <v>11WP01073793</v>
      </c>
      <c r="O1419">
        <v>15</v>
      </c>
      <c r="Q1419" t="str" cm="1">
        <f t="array" ref="Q1419">_xlfn.IFS(AND(C1419="",G1419=""),"",LEFT(G1419,1)="L","記載要",LEFT(G1419,1)="W","",AND(C1419,G1419=""),"記載要")</f>
        <v/>
      </c>
      <c r="R1419" s="21" t="str">
        <f t="shared" si="234"/>
        <v/>
      </c>
      <c r="S1419" s="21"/>
      <c r="Z1419" s="8"/>
      <c r="AA1419">
        <v>1</v>
      </c>
      <c r="AB1419">
        <f t="shared" si="230"/>
        <v>0</v>
      </c>
      <c r="AC1419">
        <v>1</v>
      </c>
      <c r="AF1419">
        <v>1</v>
      </c>
      <c r="AG1419" s="8"/>
      <c r="AH1419" s="8"/>
      <c r="AK1419" cm="1">
        <f t="array" ref="AK1419">_xlfn.IFS(B1419="","",LEFT(G1419,1)="L",1,LEFT(G1419,1)="W",1,AND(LEFT(B1419,1)="H",G1419=""),0)</f>
        <v>1</v>
      </c>
      <c r="AS1419" t="str">
        <f t="shared" si="231"/>
        <v/>
      </c>
      <c r="AT1419" t="s">
        <v>115</v>
      </c>
      <c r="AU1419" t="str">
        <f t="shared" si="232"/>
        <v>0</v>
      </c>
      <c r="BD1419" t="str">
        <f t="shared" si="233"/>
        <v>0</v>
      </c>
      <c r="BK1419" t="str">
        <f>IFERROR(VLOOKUP(B1419,'[1]model_S-フレーム'!$F$5:$R$7000,13,1),"")</f>
        <v>E387186_01</v>
      </c>
      <c r="BL1419" s="7">
        <f>IFERROR(VLOOKUP(B1419,'[1]model_S-フレーム'!$F$5:$V$7000,17,1),"")</f>
        <v>0</v>
      </c>
      <c r="BM1419" t="str" cm="1">
        <f t="array" ref="BM1419">_xlfn.IFS(LEFT(G1419,1)="L","外注品",LEFT(G1419,1)="W","内製品",G1419="","購買品")</f>
        <v>内製品</v>
      </c>
    </row>
    <row r="1420" spans="1:65" s="13" customFormat="1">
      <c r="A1420" t="str">
        <f t="shared" si="225"/>
        <v>WG01</v>
      </c>
      <c r="B1420" t="s">
        <v>1580</v>
      </c>
      <c r="C1420" t="s">
        <v>1899</v>
      </c>
      <c r="D1420" s="7"/>
      <c r="E1420" s="7"/>
      <c r="F1420"/>
      <c r="G1420"/>
      <c r="H1420">
        <v>27616</v>
      </c>
      <c r="I1420"/>
      <c r="J1420"/>
      <c r="K1420" t="str">
        <f t="shared" si="226"/>
        <v/>
      </c>
      <c r="L1420" s="3" t="str">
        <f t="shared" si="227"/>
        <v>2001/01/01</v>
      </c>
      <c r="M1420" s="3" t="str">
        <f t="shared" si="228"/>
        <v>2199/12/31</v>
      </c>
      <c r="N1420" t="str">
        <f t="shared" si="229"/>
        <v/>
      </c>
      <c r="O1420" t="str">
        <f t="shared" ref="O1420:O1427" si="235">IF(G1420="","","記載要")</f>
        <v/>
      </c>
      <c r="P1420"/>
      <c r="Q1420">
        <v>15</v>
      </c>
      <c r="R1420" s="21">
        <v>100000000</v>
      </c>
      <c r="S1420" s="21" t="str" cm="1">
        <f t="array" ref="S1420">_xlfn.IFS(LEFT(G1420,1)="L","記載要",LEFT(G1420,1)="W","記載要",G1420="","")</f>
        <v/>
      </c>
      <c r="T1420"/>
      <c r="U1420"/>
      <c r="V1420"/>
      <c r="W1420"/>
      <c r="X1420"/>
      <c r="Y1420"/>
      <c r="Z1420" s="8"/>
      <c r="AA1420" s="8">
        <v>1</v>
      </c>
      <c r="AB1420">
        <f t="shared" si="230"/>
        <v>0</v>
      </c>
      <c r="AC1420" s="8">
        <v>1</v>
      </c>
      <c r="AD1420"/>
      <c r="AE1420"/>
      <c r="AF1420">
        <v>1</v>
      </c>
      <c r="AG1420" s="8"/>
      <c r="AH1420" s="8"/>
      <c r="AI1420"/>
      <c r="AJ1420"/>
      <c r="AK1420" cm="1">
        <f t="array" ref="AK1420">_xlfn.IFS(B1420="","",LEFT(G1420,1)="L",1,LEFT(G1420,1)="W",1,AND(LEFT(B1420,1)="H",G1420=""),0)</f>
        <v>0</v>
      </c>
      <c r="AL1420"/>
      <c r="AM1420"/>
      <c r="AN1420"/>
      <c r="AO1420"/>
      <c r="AP1420"/>
      <c r="AQ1420"/>
      <c r="AR1420"/>
      <c r="AS1420">
        <f t="shared" si="231"/>
        <v>1</v>
      </c>
      <c r="AT1420" t="s">
        <v>115</v>
      </c>
      <c r="AU1420" t="str">
        <f t="shared" si="232"/>
        <v>0</v>
      </c>
      <c r="AV1420"/>
      <c r="AW1420"/>
      <c r="AX1420"/>
      <c r="AY1420"/>
      <c r="AZ1420"/>
      <c r="BA1420"/>
      <c r="BB1420"/>
      <c r="BC1420"/>
      <c r="BD1420" t="str">
        <f t="shared" si="233"/>
        <v>0</v>
      </c>
      <c r="BE1420"/>
      <c r="BF1420"/>
      <c r="BG1420"/>
      <c r="BH1420"/>
      <c r="BI1420"/>
      <c r="BJ1420"/>
      <c r="BK1420" s="13" t="str">
        <f>IFERROR(VLOOKUP(B1420,'[1]model_S-フレーム'!$F$5:$R$7000,13,1),"")</f>
        <v>E387186_01</v>
      </c>
      <c r="BL1420" s="14">
        <f>IFERROR(VLOOKUP(B1420,'[1]model_S-フレーム'!$F$5:$V$7000,17,1),"")</f>
        <v>0</v>
      </c>
      <c r="BM1420" s="13" t="str" cm="1">
        <f t="array" ref="BM1420">_xlfn.IFS(LEFT(G1420,1)="L","外注品",LEFT(G1420,1)="W","内製品",G1420="","購買品")</f>
        <v>購買品</v>
      </c>
    </row>
    <row r="1421" spans="1:65" s="13" customFormat="1">
      <c r="A1421" t="str">
        <f t="shared" si="225"/>
        <v>WG01</v>
      </c>
      <c r="B1421" t="s">
        <v>1580</v>
      </c>
      <c r="C1421" t="s">
        <v>1899</v>
      </c>
      <c r="D1421" s="7"/>
      <c r="E1421" s="7"/>
      <c r="F1421"/>
      <c r="G1421"/>
      <c r="H1421">
        <v>43453</v>
      </c>
      <c r="I1421"/>
      <c r="J1421"/>
      <c r="K1421" t="str">
        <f t="shared" si="226"/>
        <v/>
      </c>
      <c r="L1421" s="3" t="str">
        <f t="shared" si="227"/>
        <v>2001/01/01</v>
      </c>
      <c r="M1421" s="3" t="str">
        <f t="shared" si="228"/>
        <v>2199/12/31</v>
      </c>
      <c r="N1421" t="str">
        <f t="shared" si="229"/>
        <v/>
      </c>
      <c r="O1421" t="str">
        <f t="shared" si="235"/>
        <v/>
      </c>
      <c r="P1421"/>
      <c r="Q1421">
        <v>15</v>
      </c>
      <c r="R1421" s="21">
        <v>100000000</v>
      </c>
      <c r="S1421" s="21" t="str" cm="1">
        <f t="array" ref="S1421">_xlfn.IFS(LEFT(G1421,1)="L","記載要",LEFT(G1421,1)="W","記載要",G1421="","")</f>
        <v/>
      </c>
      <c r="T1421"/>
      <c r="U1421"/>
      <c r="V1421"/>
      <c r="W1421"/>
      <c r="X1421"/>
      <c r="Y1421"/>
      <c r="Z1421" s="8"/>
      <c r="AA1421" s="8">
        <v>1</v>
      </c>
      <c r="AB1421">
        <f t="shared" si="230"/>
        <v>0</v>
      </c>
      <c r="AC1421" s="8">
        <v>1</v>
      </c>
      <c r="AD1421"/>
      <c r="AE1421"/>
      <c r="AF1421">
        <v>0</v>
      </c>
      <c r="AG1421" s="8"/>
      <c r="AH1421" s="8"/>
      <c r="AI1421"/>
      <c r="AJ1421"/>
      <c r="AK1421" cm="1">
        <f t="array" ref="AK1421">_xlfn.IFS(B1421="","",LEFT(G1421,1)="L",1,LEFT(G1421,1)="W",1,AND(LEFT(B1421,1)="H",G1421=""),0)</f>
        <v>0</v>
      </c>
      <c r="AL1421"/>
      <c r="AM1421"/>
      <c r="AN1421"/>
      <c r="AO1421"/>
      <c r="AP1421"/>
      <c r="AQ1421"/>
      <c r="AR1421"/>
      <c r="AS1421">
        <f t="shared" si="231"/>
        <v>1</v>
      </c>
      <c r="AT1421" t="s">
        <v>115</v>
      </c>
      <c r="AU1421" t="str">
        <f t="shared" si="232"/>
        <v>0</v>
      </c>
      <c r="AV1421"/>
      <c r="AW1421"/>
      <c r="AX1421"/>
      <c r="AY1421"/>
      <c r="AZ1421"/>
      <c r="BA1421"/>
      <c r="BB1421"/>
      <c r="BC1421"/>
      <c r="BD1421" t="str">
        <f t="shared" si="233"/>
        <v>0</v>
      </c>
      <c r="BE1421"/>
      <c r="BF1421"/>
      <c r="BG1421"/>
      <c r="BH1421"/>
      <c r="BI1421"/>
      <c r="BJ1421"/>
      <c r="BK1421" s="13" t="str">
        <f>IFERROR(VLOOKUP(B1421,'[1]model_S-フレーム'!$F$5:$R$7000,13,1),"")</f>
        <v>E387186_01</v>
      </c>
      <c r="BL1421" s="14">
        <f>IFERROR(VLOOKUP(B1421,'[1]model_S-フレーム'!$F$5:$V$7000,17,1),"")</f>
        <v>0</v>
      </c>
      <c r="BM1421" s="13" t="str" cm="1">
        <f t="array" ref="BM1421">_xlfn.IFS(LEFT(G1421,1)="L","外注品",LEFT(G1421,1)="W","内製品",G1421="","購買品")</f>
        <v>購買品</v>
      </c>
    </row>
    <row r="1422" spans="1:65" s="13" customFormat="1">
      <c r="A1422" t="str">
        <f t="shared" si="225"/>
        <v>WG01</v>
      </c>
      <c r="B1422" t="s">
        <v>1580</v>
      </c>
      <c r="C1422" t="s">
        <v>1899</v>
      </c>
      <c r="D1422" s="7"/>
      <c r="E1422" s="7"/>
      <c r="F1422"/>
      <c r="G1422"/>
      <c r="H1422">
        <v>47081</v>
      </c>
      <c r="I1422"/>
      <c r="J1422"/>
      <c r="K1422" t="str">
        <f t="shared" si="226"/>
        <v/>
      </c>
      <c r="L1422" s="3" t="str">
        <f t="shared" si="227"/>
        <v>2001/01/01</v>
      </c>
      <c r="M1422" s="3" t="str">
        <f t="shared" si="228"/>
        <v>2199/12/31</v>
      </c>
      <c r="N1422" t="str">
        <f t="shared" si="229"/>
        <v/>
      </c>
      <c r="O1422" t="str">
        <f t="shared" si="235"/>
        <v/>
      </c>
      <c r="P1422"/>
      <c r="Q1422">
        <v>15</v>
      </c>
      <c r="R1422" s="21">
        <v>100000000</v>
      </c>
      <c r="S1422" s="21" t="str" cm="1">
        <f t="array" ref="S1422">_xlfn.IFS(LEFT(G1422,1)="L","記載要",LEFT(G1422,1)="W","記載要",G1422="","")</f>
        <v/>
      </c>
      <c r="T1422"/>
      <c r="U1422"/>
      <c r="V1422"/>
      <c r="W1422"/>
      <c r="X1422"/>
      <c r="Y1422"/>
      <c r="Z1422" s="8"/>
      <c r="AA1422" s="8">
        <v>1</v>
      </c>
      <c r="AB1422">
        <f t="shared" si="230"/>
        <v>0</v>
      </c>
      <c r="AC1422" s="8">
        <v>1</v>
      </c>
      <c r="AD1422"/>
      <c r="AE1422"/>
      <c r="AF1422">
        <v>0</v>
      </c>
      <c r="AG1422" s="8"/>
      <c r="AH1422" s="8"/>
      <c r="AI1422"/>
      <c r="AJ1422"/>
      <c r="AK1422" cm="1">
        <f t="array" ref="AK1422">_xlfn.IFS(B1422="","",LEFT(G1422,1)="L",1,LEFT(G1422,1)="W",1,AND(LEFT(B1422,1)="H",G1422=""),0)</f>
        <v>0</v>
      </c>
      <c r="AL1422"/>
      <c r="AM1422"/>
      <c r="AN1422"/>
      <c r="AO1422"/>
      <c r="AP1422"/>
      <c r="AQ1422"/>
      <c r="AR1422"/>
      <c r="AS1422">
        <f t="shared" si="231"/>
        <v>1</v>
      </c>
      <c r="AT1422" t="s">
        <v>115</v>
      </c>
      <c r="AU1422" t="str">
        <f t="shared" si="232"/>
        <v>0</v>
      </c>
      <c r="AV1422"/>
      <c r="AW1422"/>
      <c r="AX1422"/>
      <c r="AY1422"/>
      <c r="AZ1422"/>
      <c r="BA1422"/>
      <c r="BB1422"/>
      <c r="BC1422"/>
      <c r="BD1422" t="str">
        <f t="shared" si="233"/>
        <v>0</v>
      </c>
      <c r="BE1422"/>
      <c r="BF1422"/>
      <c r="BG1422"/>
      <c r="BH1422"/>
      <c r="BI1422"/>
      <c r="BJ1422"/>
      <c r="BK1422" s="13" t="str">
        <f>IFERROR(VLOOKUP(B1422,'[1]model_S-フレーム'!$F$5:$R$7000,13,1),"")</f>
        <v>E387186_01</v>
      </c>
      <c r="BL1422" s="14">
        <f>IFERROR(VLOOKUP(B1422,'[1]model_S-フレーム'!$F$5:$V$7000,17,1),"")</f>
        <v>0</v>
      </c>
      <c r="BM1422" s="13" t="str" cm="1">
        <f t="array" ref="BM1422">_xlfn.IFS(LEFT(G1422,1)="L","外注品",LEFT(G1422,1)="W","内製品",G1422="","購買品")</f>
        <v>購買品</v>
      </c>
    </row>
    <row r="1423" spans="1:65">
      <c r="A1423" t="str">
        <f t="shared" si="225"/>
        <v>WG01</v>
      </c>
      <c r="B1423" t="s">
        <v>1580</v>
      </c>
      <c r="C1423" t="s">
        <v>1899</v>
      </c>
      <c r="D1423" s="7"/>
      <c r="E1423" s="7"/>
      <c r="H1423" s="19" t="s">
        <v>1937</v>
      </c>
      <c r="K1423" t="str">
        <f t="shared" si="226"/>
        <v/>
      </c>
      <c r="L1423" s="3" t="str">
        <f t="shared" si="227"/>
        <v>2001/01/01</v>
      </c>
      <c r="M1423" s="3" t="str">
        <f t="shared" si="228"/>
        <v>2199/12/31</v>
      </c>
      <c r="N1423" t="str">
        <f t="shared" si="229"/>
        <v/>
      </c>
      <c r="O1423" t="str">
        <f t="shared" si="235"/>
        <v/>
      </c>
      <c r="Q1423">
        <v>15</v>
      </c>
      <c r="R1423" s="21">
        <v>100000000</v>
      </c>
      <c r="S1423" s="21" t="str" cm="1">
        <f t="array" ref="S1423">_xlfn.IFS(LEFT(G1423,1)="L","記載要",LEFT(G1423,1)="W","記載要",G1423="","")</f>
        <v/>
      </c>
      <c r="Z1423" s="8"/>
      <c r="AA1423" s="8">
        <v>1</v>
      </c>
      <c r="AB1423">
        <f t="shared" si="230"/>
        <v>0</v>
      </c>
      <c r="AC1423" s="8">
        <v>1</v>
      </c>
      <c r="AF1423">
        <v>0</v>
      </c>
      <c r="AG1423" s="8"/>
      <c r="AH1423" s="8"/>
      <c r="AK1423" cm="1">
        <f t="array" ref="AK1423">_xlfn.IFS(B1423="","",LEFT(G1423,1)="L",1,LEFT(G1423,1)="W",1,AND(LEFT(B1423,1)="H",G1423=""),0)</f>
        <v>0</v>
      </c>
      <c r="AS1423">
        <f t="shared" si="231"/>
        <v>1</v>
      </c>
      <c r="AT1423" t="s">
        <v>115</v>
      </c>
      <c r="AU1423" t="str">
        <f t="shared" si="232"/>
        <v>0</v>
      </c>
      <c r="BD1423" t="str">
        <f t="shared" si="233"/>
        <v>0</v>
      </c>
      <c r="BK1423" t="str">
        <f>IFERROR(VLOOKUP(B1423,'[1]model_S-フレーム'!$F$5:$R$7000,13,1),"")</f>
        <v>E387186_01</v>
      </c>
      <c r="BL1423" s="7">
        <f>IFERROR(VLOOKUP(B1423,'[1]model_S-フレーム'!$F$5:$V$7000,17,1),"")</f>
        <v>0</v>
      </c>
      <c r="BM1423" t="str" cm="1">
        <f t="array" ref="BM1423">_xlfn.IFS(LEFT(G1423,1)="L","外注品",LEFT(G1423,1)="W","内製品",G1423="","購買品")</f>
        <v>購買品</v>
      </c>
    </row>
    <row r="1424" spans="1:65" s="13" customFormat="1">
      <c r="A1424" t="str">
        <f t="shared" si="225"/>
        <v>WG01</v>
      </c>
      <c r="B1424" t="s">
        <v>1581</v>
      </c>
      <c r="C1424" t="s">
        <v>1900</v>
      </c>
      <c r="D1424" s="7"/>
      <c r="E1424" s="7"/>
      <c r="F1424"/>
      <c r="G1424"/>
      <c r="H1424">
        <v>27616</v>
      </c>
      <c r="I1424"/>
      <c r="J1424"/>
      <c r="K1424" t="str">
        <f t="shared" si="226"/>
        <v/>
      </c>
      <c r="L1424" s="3" t="str">
        <f t="shared" si="227"/>
        <v>2001/01/01</v>
      </c>
      <c r="M1424" s="3" t="str">
        <f t="shared" si="228"/>
        <v>2199/12/31</v>
      </c>
      <c r="N1424" t="str">
        <f t="shared" si="229"/>
        <v/>
      </c>
      <c r="O1424" t="str">
        <f t="shared" si="235"/>
        <v/>
      </c>
      <c r="P1424"/>
      <c r="Q1424">
        <v>15</v>
      </c>
      <c r="R1424" s="21">
        <v>100000000</v>
      </c>
      <c r="S1424" s="21" t="str" cm="1">
        <f t="array" ref="S1424">_xlfn.IFS(LEFT(G1424,1)="L","記載要",LEFT(G1424,1)="W","記載要",G1424="","")</f>
        <v/>
      </c>
      <c r="T1424"/>
      <c r="U1424"/>
      <c r="V1424"/>
      <c r="W1424"/>
      <c r="X1424"/>
      <c r="Y1424"/>
      <c r="Z1424" s="8"/>
      <c r="AA1424" s="8">
        <v>1</v>
      </c>
      <c r="AB1424">
        <f t="shared" si="230"/>
        <v>0</v>
      </c>
      <c r="AC1424" s="8">
        <v>1</v>
      </c>
      <c r="AD1424"/>
      <c r="AE1424"/>
      <c r="AF1424">
        <v>1</v>
      </c>
      <c r="AG1424" s="8"/>
      <c r="AH1424" s="8"/>
      <c r="AI1424"/>
      <c r="AJ1424"/>
      <c r="AK1424" cm="1">
        <f t="array" ref="AK1424">_xlfn.IFS(B1424="","",LEFT(G1424,1)="L",1,LEFT(G1424,1)="W",1,AND(LEFT(B1424,1)="H",G1424=""),0)</f>
        <v>0</v>
      </c>
      <c r="AL1424"/>
      <c r="AM1424"/>
      <c r="AN1424"/>
      <c r="AO1424"/>
      <c r="AP1424"/>
      <c r="AQ1424"/>
      <c r="AR1424"/>
      <c r="AS1424">
        <f t="shared" si="231"/>
        <v>1</v>
      </c>
      <c r="AT1424" t="s">
        <v>115</v>
      </c>
      <c r="AU1424" t="str">
        <f t="shared" si="232"/>
        <v>0</v>
      </c>
      <c r="AV1424"/>
      <c r="AW1424"/>
      <c r="AX1424"/>
      <c r="AY1424"/>
      <c r="AZ1424"/>
      <c r="BA1424"/>
      <c r="BB1424"/>
      <c r="BC1424"/>
      <c r="BD1424" t="str">
        <f t="shared" si="233"/>
        <v>0</v>
      </c>
      <c r="BE1424"/>
      <c r="BF1424"/>
      <c r="BG1424"/>
      <c r="BH1424"/>
      <c r="BI1424"/>
      <c r="BJ1424"/>
      <c r="BK1424" s="13" t="str">
        <f>IFERROR(VLOOKUP(B1424,'[1]model_S-フレーム'!$F$5:$R$7000,13,1),"")</f>
        <v>E387186_02</v>
      </c>
      <c r="BL1424" s="14">
        <f>IFERROR(VLOOKUP(B1424,'[1]model_S-フレーム'!$F$5:$V$7000,17,1),"")</f>
        <v>0</v>
      </c>
      <c r="BM1424" s="13" t="str" cm="1">
        <f t="array" ref="BM1424">_xlfn.IFS(LEFT(G1424,1)="L","外注品",LEFT(G1424,1)="W","内製品",G1424="","購買品")</f>
        <v>購買品</v>
      </c>
    </row>
    <row r="1425" spans="1:65" s="13" customFormat="1">
      <c r="A1425" t="str">
        <f t="shared" si="225"/>
        <v>WG01</v>
      </c>
      <c r="B1425" t="s">
        <v>1581</v>
      </c>
      <c r="C1425" t="s">
        <v>1900</v>
      </c>
      <c r="D1425" s="7"/>
      <c r="E1425" s="7"/>
      <c r="F1425"/>
      <c r="G1425"/>
      <c r="H1425">
        <v>43453</v>
      </c>
      <c r="I1425"/>
      <c r="J1425"/>
      <c r="K1425" t="str">
        <f t="shared" si="226"/>
        <v/>
      </c>
      <c r="L1425" s="3" t="str">
        <f t="shared" si="227"/>
        <v>2001/01/01</v>
      </c>
      <c r="M1425" s="3" t="str">
        <f t="shared" si="228"/>
        <v>2199/12/31</v>
      </c>
      <c r="N1425" t="str">
        <f t="shared" si="229"/>
        <v/>
      </c>
      <c r="O1425" t="str">
        <f t="shared" si="235"/>
        <v/>
      </c>
      <c r="P1425"/>
      <c r="Q1425">
        <v>15</v>
      </c>
      <c r="R1425" s="21">
        <v>100000000</v>
      </c>
      <c r="S1425" s="21" t="str" cm="1">
        <f t="array" ref="S1425">_xlfn.IFS(LEFT(G1425,1)="L","記載要",LEFT(G1425,1)="W","記載要",G1425="","")</f>
        <v/>
      </c>
      <c r="T1425"/>
      <c r="U1425"/>
      <c r="V1425"/>
      <c r="W1425"/>
      <c r="X1425"/>
      <c r="Y1425"/>
      <c r="Z1425" s="8"/>
      <c r="AA1425" s="8">
        <v>1</v>
      </c>
      <c r="AB1425">
        <f t="shared" si="230"/>
        <v>0</v>
      </c>
      <c r="AC1425" s="8">
        <v>1</v>
      </c>
      <c r="AD1425"/>
      <c r="AE1425"/>
      <c r="AF1425">
        <v>0</v>
      </c>
      <c r="AG1425" s="8"/>
      <c r="AH1425" s="8"/>
      <c r="AI1425"/>
      <c r="AJ1425"/>
      <c r="AK1425" cm="1">
        <f t="array" ref="AK1425">_xlfn.IFS(B1425="","",LEFT(G1425,1)="L",1,LEFT(G1425,1)="W",1,AND(LEFT(B1425,1)="H",G1425=""),0)</f>
        <v>0</v>
      </c>
      <c r="AL1425"/>
      <c r="AM1425"/>
      <c r="AN1425"/>
      <c r="AO1425"/>
      <c r="AP1425"/>
      <c r="AQ1425"/>
      <c r="AR1425"/>
      <c r="AS1425">
        <f t="shared" si="231"/>
        <v>1</v>
      </c>
      <c r="AT1425" t="s">
        <v>115</v>
      </c>
      <c r="AU1425" t="str">
        <f t="shared" si="232"/>
        <v>0</v>
      </c>
      <c r="AV1425"/>
      <c r="AW1425"/>
      <c r="AX1425"/>
      <c r="AY1425"/>
      <c r="AZ1425"/>
      <c r="BA1425"/>
      <c r="BB1425"/>
      <c r="BC1425"/>
      <c r="BD1425" t="str">
        <f t="shared" si="233"/>
        <v>0</v>
      </c>
      <c r="BE1425"/>
      <c r="BF1425"/>
      <c r="BG1425"/>
      <c r="BH1425"/>
      <c r="BI1425"/>
      <c r="BJ1425"/>
      <c r="BK1425" s="13" t="str">
        <f>IFERROR(VLOOKUP(B1425,'[1]model_S-フレーム'!$F$5:$R$7000,13,1),"")</f>
        <v>E387186_02</v>
      </c>
      <c r="BL1425" s="14">
        <f>IFERROR(VLOOKUP(B1425,'[1]model_S-フレーム'!$F$5:$V$7000,17,1),"")</f>
        <v>0</v>
      </c>
      <c r="BM1425" s="13" t="str" cm="1">
        <f t="array" ref="BM1425">_xlfn.IFS(LEFT(G1425,1)="L","外注品",LEFT(G1425,1)="W","内製品",G1425="","購買品")</f>
        <v>購買品</v>
      </c>
    </row>
    <row r="1426" spans="1:65" s="13" customFormat="1">
      <c r="A1426" t="str">
        <f t="shared" si="225"/>
        <v>WG01</v>
      </c>
      <c r="B1426" t="s">
        <v>1581</v>
      </c>
      <c r="C1426" t="s">
        <v>1900</v>
      </c>
      <c r="D1426" s="7"/>
      <c r="E1426" s="7"/>
      <c r="F1426"/>
      <c r="G1426"/>
      <c r="H1426">
        <v>47081</v>
      </c>
      <c r="I1426"/>
      <c r="J1426"/>
      <c r="K1426" t="str">
        <f t="shared" si="226"/>
        <v/>
      </c>
      <c r="L1426" s="3" t="str">
        <f t="shared" si="227"/>
        <v>2001/01/01</v>
      </c>
      <c r="M1426" s="3" t="str">
        <f t="shared" si="228"/>
        <v>2199/12/31</v>
      </c>
      <c r="N1426" t="str">
        <f t="shared" si="229"/>
        <v/>
      </c>
      <c r="O1426" t="str">
        <f t="shared" si="235"/>
        <v/>
      </c>
      <c r="P1426"/>
      <c r="Q1426">
        <v>15</v>
      </c>
      <c r="R1426" s="21">
        <v>100000000</v>
      </c>
      <c r="S1426" s="21" t="str" cm="1">
        <f t="array" ref="S1426">_xlfn.IFS(LEFT(G1426,1)="L","記載要",LEFT(G1426,1)="W","記載要",G1426="","")</f>
        <v/>
      </c>
      <c r="T1426"/>
      <c r="U1426"/>
      <c r="V1426"/>
      <c r="W1426"/>
      <c r="X1426"/>
      <c r="Y1426"/>
      <c r="Z1426" s="8"/>
      <c r="AA1426" s="8">
        <v>1</v>
      </c>
      <c r="AB1426">
        <f t="shared" si="230"/>
        <v>0</v>
      </c>
      <c r="AC1426" s="8">
        <v>1</v>
      </c>
      <c r="AD1426"/>
      <c r="AE1426"/>
      <c r="AF1426">
        <v>0</v>
      </c>
      <c r="AG1426" s="8"/>
      <c r="AH1426" s="8"/>
      <c r="AI1426"/>
      <c r="AJ1426"/>
      <c r="AK1426" cm="1">
        <f t="array" ref="AK1426">_xlfn.IFS(B1426="","",LEFT(G1426,1)="L",1,LEFT(G1426,1)="W",1,AND(LEFT(B1426,1)="H",G1426=""),0)</f>
        <v>0</v>
      </c>
      <c r="AL1426"/>
      <c r="AM1426"/>
      <c r="AN1426"/>
      <c r="AO1426"/>
      <c r="AP1426"/>
      <c r="AQ1426"/>
      <c r="AR1426"/>
      <c r="AS1426">
        <f t="shared" si="231"/>
        <v>1</v>
      </c>
      <c r="AT1426" t="s">
        <v>115</v>
      </c>
      <c r="AU1426" t="str">
        <f t="shared" si="232"/>
        <v>0</v>
      </c>
      <c r="AV1426"/>
      <c r="AW1426"/>
      <c r="AX1426"/>
      <c r="AY1426"/>
      <c r="AZ1426"/>
      <c r="BA1426"/>
      <c r="BB1426"/>
      <c r="BC1426"/>
      <c r="BD1426" t="str">
        <f t="shared" si="233"/>
        <v>0</v>
      </c>
      <c r="BE1426"/>
      <c r="BF1426"/>
      <c r="BG1426"/>
      <c r="BH1426"/>
      <c r="BI1426"/>
      <c r="BJ1426"/>
      <c r="BK1426" s="13" t="str">
        <f>IFERROR(VLOOKUP(B1426,'[1]model_S-フレーム'!$F$5:$R$7000,13,1),"")</f>
        <v>E387186_02</v>
      </c>
      <c r="BL1426" s="14">
        <f>IFERROR(VLOOKUP(B1426,'[1]model_S-フレーム'!$F$5:$V$7000,17,1),"")</f>
        <v>0</v>
      </c>
      <c r="BM1426" s="13" t="str" cm="1">
        <f t="array" ref="BM1426">_xlfn.IFS(LEFT(G1426,1)="L","外注品",LEFT(G1426,1)="W","内製品",G1426="","購買品")</f>
        <v>購買品</v>
      </c>
    </row>
    <row r="1427" spans="1:65">
      <c r="A1427" t="str">
        <f t="shared" si="225"/>
        <v>WG01</v>
      </c>
      <c r="B1427" t="s">
        <v>1581</v>
      </c>
      <c r="C1427" t="s">
        <v>1900</v>
      </c>
      <c r="D1427" s="7"/>
      <c r="E1427" s="7"/>
      <c r="H1427" s="19" t="s">
        <v>1937</v>
      </c>
      <c r="K1427" t="str">
        <f t="shared" si="226"/>
        <v/>
      </c>
      <c r="L1427" s="3" t="str">
        <f t="shared" si="227"/>
        <v>2001/01/01</v>
      </c>
      <c r="M1427" s="3" t="str">
        <f t="shared" si="228"/>
        <v>2199/12/31</v>
      </c>
      <c r="N1427" t="str">
        <f t="shared" si="229"/>
        <v/>
      </c>
      <c r="O1427" t="str">
        <f t="shared" si="235"/>
        <v/>
      </c>
      <c r="Q1427">
        <v>15</v>
      </c>
      <c r="R1427" s="21">
        <v>100000000</v>
      </c>
      <c r="S1427" s="21" t="str" cm="1">
        <f t="array" ref="S1427">_xlfn.IFS(LEFT(G1427,1)="L","記載要",LEFT(G1427,1)="W","記載要",G1427="","")</f>
        <v/>
      </c>
      <c r="Z1427" s="8"/>
      <c r="AA1427" s="8">
        <v>1</v>
      </c>
      <c r="AB1427">
        <f t="shared" si="230"/>
        <v>0</v>
      </c>
      <c r="AC1427" s="8">
        <v>1</v>
      </c>
      <c r="AF1427">
        <v>0</v>
      </c>
      <c r="AG1427" s="8"/>
      <c r="AH1427" s="8"/>
      <c r="AK1427" cm="1">
        <f t="array" ref="AK1427">_xlfn.IFS(B1427="","",LEFT(G1427,1)="L",1,LEFT(G1427,1)="W",1,AND(LEFT(B1427,1)="H",G1427=""),0)</f>
        <v>0</v>
      </c>
      <c r="AS1427">
        <f t="shared" si="231"/>
        <v>1</v>
      </c>
      <c r="AT1427" t="s">
        <v>115</v>
      </c>
      <c r="AU1427" t="str">
        <f t="shared" si="232"/>
        <v>0</v>
      </c>
      <c r="BD1427" t="str">
        <f t="shared" si="233"/>
        <v>0</v>
      </c>
      <c r="BK1427" t="str">
        <f>IFERROR(VLOOKUP(B1427,'[1]model_S-フレーム'!$F$5:$R$7000,13,1),"")</f>
        <v>E387186_02</v>
      </c>
      <c r="BL1427" s="7">
        <f>IFERROR(VLOOKUP(B1427,'[1]model_S-フレーム'!$F$5:$V$7000,17,1),"")</f>
        <v>0</v>
      </c>
      <c r="BM1427" t="str" cm="1">
        <f t="array" ref="BM1427">_xlfn.IFS(LEFT(G1427,1)="L","外注品",LEFT(G1427,1)="W","内製品",G1427="","購買品")</f>
        <v>購買品</v>
      </c>
    </row>
    <row r="1428" spans="1:65">
      <c r="A1428" t="str">
        <f t="shared" si="225"/>
        <v>WG01</v>
      </c>
      <c r="B1428" t="s">
        <v>1582</v>
      </c>
      <c r="C1428" t="s">
        <v>1901</v>
      </c>
      <c r="D1428" s="7"/>
      <c r="E1428" s="7"/>
      <c r="G1428" t="s">
        <v>1939</v>
      </c>
      <c r="H1428" t="str" cm="1">
        <f t="array" ref="H1428">IFERROR(_xlfn.IFS(B1428="","",AND(B1428="",G1428=""),"",G1428="","記載要"),"")</f>
        <v/>
      </c>
      <c r="K1428" t="str">
        <f t="shared" si="226"/>
        <v>11WP01073796</v>
      </c>
      <c r="L1428" s="3" t="str">
        <f t="shared" si="227"/>
        <v>2001/01/01</v>
      </c>
      <c r="M1428" s="3" t="str">
        <f t="shared" si="228"/>
        <v>2199/12/31</v>
      </c>
      <c r="N1428" t="str">
        <f t="shared" si="229"/>
        <v>11WP01073796</v>
      </c>
      <c r="O1428">
        <v>15</v>
      </c>
      <c r="Q1428" t="str" cm="1">
        <f t="array" ref="Q1428">_xlfn.IFS(AND(C1428="",G1428=""),"",LEFT(G1428,1)="L","記載要",LEFT(G1428,1)="W","",AND(C1428,G1428=""),"記載要")</f>
        <v/>
      </c>
      <c r="R1428" s="21" t="str">
        <f t="shared" si="234"/>
        <v/>
      </c>
      <c r="S1428" s="21"/>
      <c r="Z1428" s="8"/>
      <c r="AA1428">
        <v>1</v>
      </c>
      <c r="AB1428">
        <f t="shared" si="230"/>
        <v>0</v>
      </c>
      <c r="AC1428">
        <v>1</v>
      </c>
      <c r="AF1428">
        <v>1</v>
      </c>
      <c r="AG1428" s="8"/>
      <c r="AH1428" s="8"/>
      <c r="AK1428" cm="1">
        <f t="array" ref="AK1428">_xlfn.IFS(B1428="","",LEFT(G1428,1)="L",1,LEFT(G1428,1)="W",1,AND(LEFT(B1428,1)="H",G1428=""),0)</f>
        <v>1</v>
      </c>
      <c r="AS1428" t="str">
        <f t="shared" si="231"/>
        <v/>
      </c>
      <c r="AT1428" t="s">
        <v>115</v>
      </c>
      <c r="AU1428" t="str">
        <f t="shared" si="232"/>
        <v>0</v>
      </c>
      <c r="BD1428" t="str">
        <f t="shared" si="233"/>
        <v>0</v>
      </c>
      <c r="BK1428" t="str">
        <f>IFERROR(VLOOKUP(B1428,'[1]model_S-フレーム'!$F$5:$R$7000,13,1),"")</f>
        <v>E387188_01</v>
      </c>
      <c r="BL1428" s="7">
        <f>IFERROR(VLOOKUP(B1428,'[1]model_S-フレーム'!$F$5:$V$7000,17,1),"")</f>
        <v>0</v>
      </c>
      <c r="BM1428" t="str" cm="1">
        <f t="array" ref="BM1428">_xlfn.IFS(LEFT(G1428,1)="L","外注品",LEFT(G1428,1)="W","内製品",G1428="","購買品")</f>
        <v>内製品</v>
      </c>
    </row>
    <row r="1429" spans="1:65">
      <c r="A1429" t="str">
        <f t="shared" si="225"/>
        <v>WG01</v>
      </c>
      <c r="B1429" t="s">
        <v>1583</v>
      </c>
      <c r="C1429" t="s">
        <v>1901</v>
      </c>
      <c r="D1429" s="7"/>
      <c r="E1429" s="7"/>
      <c r="G1429" t="s">
        <v>1939</v>
      </c>
      <c r="H1429" t="str" cm="1">
        <f t="array" ref="H1429">IFERROR(_xlfn.IFS(B1429="","",AND(B1429="",G1429=""),"",G1429="","記載要"),"")</f>
        <v/>
      </c>
      <c r="K1429" t="str">
        <f t="shared" si="226"/>
        <v>11WP01073797</v>
      </c>
      <c r="L1429" s="3" t="str">
        <f t="shared" si="227"/>
        <v>2001/01/01</v>
      </c>
      <c r="M1429" s="3" t="str">
        <f t="shared" si="228"/>
        <v>2199/12/31</v>
      </c>
      <c r="N1429" t="str">
        <f t="shared" si="229"/>
        <v>11WP01073797</v>
      </c>
      <c r="O1429">
        <v>15</v>
      </c>
      <c r="Q1429" t="str" cm="1">
        <f t="array" ref="Q1429">_xlfn.IFS(AND(C1429="",G1429=""),"",LEFT(G1429,1)="L","記載要",LEFT(G1429,1)="W","",AND(C1429,G1429=""),"記載要")</f>
        <v/>
      </c>
      <c r="R1429" s="21" t="str">
        <f t="shared" si="234"/>
        <v/>
      </c>
      <c r="S1429" s="21"/>
      <c r="Z1429" s="8"/>
      <c r="AA1429">
        <v>1</v>
      </c>
      <c r="AB1429">
        <f t="shared" si="230"/>
        <v>0</v>
      </c>
      <c r="AC1429">
        <v>1</v>
      </c>
      <c r="AF1429">
        <v>1</v>
      </c>
      <c r="AG1429" s="8"/>
      <c r="AH1429" s="8"/>
      <c r="AK1429" cm="1">
        <f t="array" ref="AK1429">_xlfn.IFS(B1429="","",LEFT(G1429,1)="L",1,LEFT(G1429,1)="W",1,AND(LEFT(B1429,1)="H",G1429=""),0)</f>
        <v>1</v>
      </c>
      <c r="AS1429" t="str">
        <f t="shared" si="231"/>
        <v/>
      </c>
      <c r="AT1429" t="s">
        <v>115</v>
      </c>
      <c r="AU1429" t="str">
        <f t="shared" si="232"/>
        <v>0</v>
      </c>
      <c r="BD1429" t="str">
        <f t="shared" si="233"/>
        <v>0</v>
      </c>
      <c r="BK1429" t="str">
        <f>IFERROR(VLOOKUP(B1429,'[1]model_S-フレーム'!$F$5:$R$7000,13,1),"")</f>
        <v>E387188_01</v>
      </c>
      <c r="BL1429" s="7">
        <f>IFERROR(VLOOKUP(B1429,'[1]model_S-フレーム'!$F$5:$V$7000,17,1),"")</f>
        <v>0</v>
      </c>
      <c r="BM1429" t="str" cm="1">
        <f t="array" ref="BM1429">_xlfn.IFS(LEFT(G1429,1)="L","外注品",LEFT(G1429,1)="W","内製品",G1429="","購買品")</f>
        <v>内製品</v>
      </c>
    </row>
    <row r="1430" spans="1:65">
      <c r="A1430" t="str">
        <f t="shared" si="225"/>
        <v>WG01</v>
      </c>
      <c r="B1430" t="s">
        <v>1584</v>
      </c>
      <c r="C1430" t="s">
        <v>1901</v>
      </c>
      <c r="D1430" s="7"/>
      <c r="E1430" s="7"/>
      <c r="G1430" t="s">
        <v>1939</v>
      </c>
      <c r="H1430" t="str" cm="1">
        <f t="array" ref="H1430">IFERROR(_xlfn.IFS(B1430="","",AND(B1430="",G1430=""),"",G1430="","記載要"),"")</f>
        <v/>
      </c>
      <c r="K1430" t="str">
        <f t="shared" si="226"/>
        <v>11WP01073798</v>
      </c>
      <c r="L1430" s="3" t="str">
        <f t="shared" si="227"/>
        <v>2001/01/01</v>
      </c>
      <c r="M1430" s="3" t="str">
        <f t="shared" si="228"/>
        <v>2199/12/31</v>
      </c>
      <c r="N1430" t="str">
        <f t="shared" si="229"/>
        <v>11WP01073798</v>
      </c>
      <c r="O1430">
        <v>15</v>
      </c>
      <c r="Q1430" t="str" cm="1">
        <f t="array" ref="Q1430">_xlfn.IFS(AND(C1430="",G1430=""),"",LEFT(G1430,1)="L","記載要",LEFT(G1430,1)="W","",AND(C1430,G1430=""),"記載要")</f>
        <v/>
      </c>
      <c r="R1430" s="21" t="str">
        <f t="shared" si="234"/>
        <v/>
      </c>
      <c r="S1430" s="21"/>
      <c r="Z1430" s="8"/>
      <c r="AA1430">
        <v>1</v>
      </c>
      <c r="AB1430">
        <f t="shared" si="230"/>
        <v>0</v>
      </c>
      <c r="AC1430">
        <v>1</v>
      </c>
      <c r="AF1430">
        <v>1</v>
      </c>
      <c r="AG1430" s="8"/>
      <c r="AH1430" s="8"/>
      <c r="AK1430" cm="1">
        <f t="array" ref="AK1430">_xlfn.IFS(B1430="","",LEFT(G1430,1)="L",1,LEFT(G1430,1)="W",1,AND(LEFT(B1430,1)="H",G1430=""),0)</f>
        <v>1</v>
      </c>
      <c r="AS1430" t="str">
        <f t="shared" si="231"/>
        <v/>
      </c>
      <c r="AT1430" t="s">
        <v>115</v>
      </c>
      <c r="AU1430" t="str">
        <f t="shared" si="232"/>
        <v>0</v>
      </c>
      <c r="BD1430" t="str">
        <f t="shared" si="233"/>
        <v>0</v>
      </c>
      <c r="BK1430" t="str">
        <f>IFERROR(VLOOKUP(B1430,'[1]model_S-フレーム'!$F$5:$R$7000,13,1),"")</f>
        <v>E387188_01</v>
      </c>
      <c r="BL1430" s="7">
        <f>IFERROR(VLOOKUP(B1430,'[1]model_S-フレーム'!$F$5:$V$7000,17,1),"")</f>
        <v>0</v>
      </c>
      <c r="BM1430" t="str" cm="1">
        <f t="array" ref="BM1430">_xlfn.IFS(LEFT(G1430,1)="L","外注品",LEFT(G1430,1)="W","内製品",G1430="","購買品")</f>
        <v>内製品</v>
      </c>
    </row>
    <row r="1431" spans="1:65">
      <c r="A1431" t="str">
        <f t="shared" si="225"/>
        <v>WG01</v>
      </c>
      <c r="B1431" t="s">
        <v>1585</v>
      </c>
      <c r="C1431" t="s">
        <v>1901</v>
      </c>
      <c r="D1431" s="7"/>
      <c r="E1431" s="7"/>
      <c r="G1431" t="s">
        <v>1939</v>
      </c>
      <c r="H1431" t="str" cm="1">
        <f t="array" ref="H1431">IFERROR(_xlfn.IFS(B1431="","",AND(B1431="",G1431=""),"",G1431="","記載要"),"")</f>
        <v/>
      </c>
      <c r="K1431" t="str">
        <f t="shared" si="226"/>
        <v>11WP01073799</v>
      </c>
      <c r="L1431" s="3" t="str">
        <f t="shared" si="227"/>
        <v>2001/01/01</v>
      </c>
      <c r="M1431" s="3" t="str">
        <f t="shared" si="228"/>
        <v>2199/12/31</v>
      </c>
      <c r="N1431" t="str">
        <f t="shared" si="229"/>
        <v>11WP01073799</v>
      </c>
      <c r="O1431">
        <v>15</v>
      </c>
      <c r="Q1431" t="str" cm="1">
        <f t="array" ref="Q1431">_xlfn.IFS(AND(C1431="",G1431=""),"",LEFT(G1431,1)="L","記載要",LEFT(G1431,1)="W","",AND(C1431,G1431=""),"記載要")</f>
        <v/>
      </c>
      <c r="R1431" s="21" t="str">
        <f t="shared" si="234"/>
        <v/>
      </c>
      <c r="S1431" s="21"/>
      <c r="Z1431" s="8"/>
      <c r="AA1431">
        <v>1</v>
      </c>
      <c r="AB1431">
        <f t="shared" si="230"/>
        <v>0</v>
      </c>
      <c r="AC1431">
        <v>1</v>
      </c>
      <c r="AF1431">
        <v>1</v>
      </c>
      <c r="AG1431" s="8"/>
      <c r="AH1431" s="8"/>
      <c r="AK1431" cm="1">
        <f t="array" ref="AK1431">_xlfn.IFS(B1431="","",LEFT(G1431,1)="L",1,LEFT(G1431,1)="W",1,AND(LEFT(B1431,1)="H",G1431=""),0)</f>
        <v>1</v>
      </c>
      <c r="AS1431" t="str">
        <f t="shared" si="231"/>
        <v/>
      </c>
      <c r="AT1431" t="s">
        <v>115</v>
      </c>
      <c r="AU1431" t="str">
        <f t="shared" si="232"/>
        <v>0</v>
      </c>
      <c r="BD1431" t="str">
        <f t="shared" si="233"/>
        <v>0</v>
      </c>
      <c r="BK1431" t="str">
        <f>IFERROR(VLOOKUP(B1431,'[1]model_S-フレーム'!$F$5:$R$7000,13,1),"")</f>
        <v>E387188_01</v>
      </c>
      <c r="BL1431" s="7">
        <f>IFERROR(VLOOKUP(B1431,'[1]model_S-フレーム'!$F$5:$V$7000,17,1),"")</f>
        <v>0</v>
      </c>
      <c r="BM1431" t="str" cm="1">
        <f t="array" ref="BM1431">_xlfn.IFS(LEFT(G1431,1)="L","外注品",LEFT(G1431,1)="W","内製品",G1431="","購買品")</f>
        <v>内製品</v>
      </c>
    </row>
    <row r="1432" spans="1:65">
      <c r="A1432" t="str">
        <f t="shared" si="225"/>
        <v>WG01</v>
      </c>
      <c r="B1432" t="s">
        <v>1586</v>
      </c>
      <c r="C1432" t="s">
        <v>1901</v>
      </c>
      <c r="D1432" s="7"/>
      <c r="E1432" s="7"/>
      <c r="G1432" t="s">
        <v>1939</v>
      </c>
      <c r="H1432" t="str" cm="1">
        <f t="array" ref="H1432">IFERROR(_xlfn.IFS(B1432="","",AND(B1432="",G1432=""),"",G1432="","記載要"),"")</f>
        <v/>
      </c>
      <c r="K1432" t="str">
        <f t="shared" si="226"/>
        <v>11WP01073800</v>
      </c>
      <c r="L1432" s="3" t="str">
        <f t="shared" si="227"/>
        <v>2001/01/01</v>
      </c>
      <c r="M1432" s="3" t="str">
        <f t="shared" si="228"/>
        <v>2199/12/31</v>
      </c>
      <c r="N1432" t="str">
        <f t="shared" si="229"/>
        <v>11WP01073800</v>
      </c>
      <c r="O1432">
        <v>15</v>
      </c>
      <c r="Q1432" t="str" cm="1">
        <f t="array" ref="Q1432">_xlfn.IFS(AND(C1432="",G1432=""),"",LEFT(G1432,1)="L","記載要",LEFT(G1432,1)="W","",AND(C1432,G1432=""),"記載要")</f>
        <v/>
      </c>
      <c r="R1432" s="21" t="str">
        <f t="shared" si="234"/>
        <v/>
      </c>
      <c r="S1432" s="21"/>
      <c r="Z1432" s="8"/>
      <c r="AA1432">
        <v>1</v>
      </c>
      <c r="AB1432">
        <f t="shared" si="230"/>
        <v>0</v>
      </c>
      <c r="AC1432">
        <v>1</v>
      </c>
      <c r="AF1432">
        <v>1</v>
      </c>
      <c r="AG1432" s="8"/>
      <c r="AH1432" s="8"/>
      <c r="AK1432" cm="1">
        <f t="array" ref="AK1432">_xlfn.IFS(B1432="","",LEFT(G1432,1)="L",1,LEFT(G1432,1)="W",1,AND(LEFT(B1432,1)="H",G1432=""),0)</f>
        <v>1</v>
      </c>
      <c r="AS1432" t="str">
        <f t="shared" si="231"/>
        <v/>
      </c>
      <c r="AT1432" t="s">
        <v>115</v>
      </c>
      <c r="AU1432" t="str">
        <f t="shared" si="232"/>
        <v>0</v>
      </c>
      <c r="BD1432" t="str">
        <f t="shared" si="233"/>
        <v>0</v>
      </c>
      <c r="BK1432" t="str">
        <f>IFERROR(VLOOKUP(B1432,'[1]model_S-フレーム'!$F$5:$R$7000,13,1),"")</f>
        <v>E387188_01</v>
      </c>
      <c r="BL1432" s="7">
        <f>IFERROR(VLOOKUP(B1432,'[1]model_S-フレーム'!$F$5:$V$7000,17,1),"")</f>
        <v>0</v>
      </c>
      <c r="BM1432" t="str" cm="1">
        <f t="array" ref="BM1432">_xlfn.IFS(LEFT(G1432,1)="L","外注品",LEFT(G1432,1)="W","内製品",G1432="","購買品")</f>
        <v>内製品</v>
      </c>
    </row>
    <row r="1433" spans="1:65">
      <c r="A1433" t="str">
        <f t="shared" si="225"/>
        <v>WG01</v>
      </c>
      <c r="B1433" t="s">
        <v>1587</v>
      </c>
      <c r="C1433" t="s">
        <v>1901</v>
      </c>
      <c r="D1433" s="7"/>
      <c r="E1433" s="7"/>
      <c r="G1433" t="s">
        <v>1939</v>
      </c>
      <c r="H1433" t="str" cm="1">
        <f t="array" ref="H1433">IFERROR(_xlfn.IFS(B1433="","",AND(B1433="",G1433=""),"",G1433="","記載要"),"")</f>
        <v/>
      </c>
      <c r="K1433" t="str">
        <f t="shared" si="226"/>
        <v>11WP01073801</v>
      </c>
      <c r="L1433" s="3" t="str">
        <f t="shared" si="227"/>
        <v>2001/01/01</v>
      </c>
      <c r="M1433" s="3" t="str">
        <f t="shared" si="228"/>
        <v>2199/12/31</v>
      </c>
      <c r="N1433" t="str">
        <f t="shared" si="229"/>
        <v>11WP01073801</v>
      </c>
      <c r="O1433">
        <v>15</v>
      </c>
      <c r="Q1433" t="str" cm="1">
        <f t="array" ref="Q1433">_xlfn.IFS(AND(C1433="",G1433=""),"",LEFT(G1433,1)="L","記載要",LEFT(G1433,1)="W","",AND(C1433,G1433=""),"記載要")</f>
        <v/>
      </c>
      <c r="R1433" s="21" t="str">
        <f t="shared" si="234"/>
        <v/>
      </c>
      <c r="S1433" s="21"/>
      <c r="Z1433" s="8"/>
      <c r="AA1433">
        <v>1</v>
      </c>
      <c r="AB1433">
        <f t="shared" si="230"/>
        <v>0</v>
      </c>
      <c r="AC1433">
        <v>1</v>
      </c>
      <c r="AF1433">
        <v>1</v>
      </c>
      <c r="AG1433" s="8"/>
      <c r="AH1433" s="8"/>
      <c r="AK1433" cm="1">
        <f t="array" ref="AK1433">_xlfn.IFS(B1433="","",LEFT(G1433,1)="L",1,LEFT(G1433,1)="W",1,AND(LEFT(B1433,1)="H",G1433=""),0)</f>
        <v>1</v>
      </c>
      <c r="AS1433" t="str">
        <f t="shared" si="231"/>
        <v/>
      </c>
      <c r="AT1433" t="s">
        <v>115</v>
      </c>
      <c r="AU1433" t="str">
        <f t="shared" si="232"/>
        <v>0</v>
      </c>
      <c r="BD1433" t="str">
        <f t="shared" si="233"/>
        <v>0</v>
      </c>
      <c r="BK1433" t="str">
        <f>IFERROR(VLOOKUP(B1433,'[1]model_S-フレーム'!$F$5:$R$7000,13,1),"")</f>
        <v>E387188_01</v>
      </c>
      <c r="BL1433" s="7">
        <f>IFERROR(VLOOKUP(B1433,'[1]model_S-フレーム'!$F$5:$V$7000,17,1),"")</f>
        <v>0</v>
      </c>
      <c r="BM1433" t="str" cm="1">
        <f t="array" ref="BM1433">_xlfn.IFS(LEFT(G1433,1)="L","外注品",LEFT(G1433,1)="W","内製品",G1433="","購買品")</f>
        <v>内製品</v>
      </c>
    </row>
    <row r="1434" spans="1:65">
      <c r="A1434" t="str">
        <f t="shared" si="225"/>
        <v>WG01</v>
      </c>
      <c r="B1434" t="s">
        <v>1588</v>
      </c>
      <c r="C1434" t="s">
        <v>1901</v>
      </c>
      <c r="D1434" s="7"/>
      <c r="E1434" s="7"/>
      <c r="G1434" t="s">
        <v>1939</v>
      </c>
      <c r="H1434" t="str" cm="1">
        <f t="array" ref="H1434">IFERROR(_xlfn.IFS(B1434="","",AND(B1434="",G1434=""),"",G1434="","記載要"),"")</f>
        <v/>
      </c>
      <c r="K1434" t="str">
        <f t="shared" si="226"/>
        <v>11WP01073802</v>
      </c>
      <c r="L1434" s="3" t="str">
        <f t="shared" si="227"/>
        <v>2001/01/01</v>
      </c>
      <c r="M1434" s="3" t="str">
        <f t="shared" si="228"/>
        <v>2199/12/31</v>
      </c>
      <c r="N1434" t="str">
        <f t="shared" si="229"/>
        <v>11WP01073802</v>
      </c>
      <c r="O1434">
        <v>15</v>
      </c>
      <c r="Q1434" t="str" cm="1">
        <f t="array" ref="Q1434">_xlfn.IFS(AND(C1434="",G1434=""),"",LEFT(G1434,1)="L","記載要",LEFT(G1434,1)="W","",AND(C1434,G1434=""),"記載要")</f>
        <v/>
      </c>
      <c r="R1434" s="21" t="str">
        <f t="shared" si="234"/>
        <v/>
      </c>
      <c r="S1434" s="21"/>
      <c r="Z1434" s="8"/>
      <c r="AA1434">
        <v>1</v>
      </c>
      <c r="AB1434">
        <f t="shared" si="230"/>
        <v>0</v>
      </c>
      <c r="AC1434">
        <v>1</v>
      </c>
      <c r="AF1434">
        <v>1</v>
      </c>
      <c r="AG1434" s="8"/>
      <c r="AH1434" s="8"/>
      <c r="AK1434" cm="1">
        <f t="array" ref="AK1434">_xlfn.IFS(B1434="","",LEFT(G1434,1)="L",1,LEFT(G1434,1)="W",1,AND(LEFT(B1434,1)="H",G1434=""),0)</f>
        <v>1</v>
      </c>
      <c r="AS1434" t="str">
        <f t="shared" si="231"/>
        <v/>
      </c>
      <c r="AT1434" t="s">
        <v>115</v>
      </c>
      <c r="AU1434" t="str">
        <f t="shared" si="232"/>
        <v>0</v>
      </c>
      <c r="BD1434" t="str">
        <f t="shared" si="233"/>
        <v>0</v>
      </c>
      <c r="BK1434" t="str">
        <f>IFERROR(VLOOKUP(B1434,'[1]model_S-フレーム'!$F$5:$R$7000,13,1),"")</f>
        <v>E387188_01</v>
      </c>
      <c r="BL1434" s="7">
        <f>IFERROR(VLOOKUP(B1434,'[1]model_S-フレーム'!$F$5:$V$7000,17,1),"")</f>
        <v>0</v>
      </c>
      <c r="BM1434" t="str" cm="1">
        <f t="array" ref="BM1434">_xlfn.IFS(LEFT(G1434,1)="L","外注品",LEFT(G1434,1)="W","内製品",G1434="","購買品")</f>
        <v>内製品</v>
      </c>
    </row>
    <row r="1435" spans="1:65">
      <c r="A1435" t="str">
        <f t="shared" si="225"/>
        <v>WG01</v>
      </c>
      <c r="B1435" t="s">
        <v>1589</v>
      </c>
      <c r="C1435" t="s">
        <v>1901</v>
      </c>
      <c r="D1435" s="7"/>
      <c r="E1435" s="7"/>
      <c r="G1435" t="s">
        <v>1939</v>
      </c>
      <c r="H1435" t="str" cm="1">
        <f t="array" ref="H1435">IFERROR(_xlfn.IFS(B1435="","",AND(B1435="",G1435=""),"",G1435="","記載要"),"")</f>
        <v/>
      </c>
      <c r="K1435" t="str">
        <f t="shared" si="226"/>
        <v>11WP01073803</v>
      </c>
      <c r="L1435" s="3" t="str">
        <f t="shared" si="227"/>
        <v>2001/01/01</v>
      </c>
      <c r="M1435" s="3" t="str">
        <f t="shared" si="228"/>
        <v>2199/12/31</v>
      </c>
      <c r="N1435" t="str">
        <f t="shared" si="229"/>
        <v>11WP01073803</v>
      </c>
      <c r="O1435">
        <v>15</v>
      </c>
      <c r="Q1435" t="str" cm="1">
        <f t="array" ref="Q1435">_xlfn.IFS(AND(C1435="",G1435=""),"",LEFT(G1435,1)="L","記載要",LEFT(G1435,1)="W","",AND(C1435,G1435=""),"記載要")</f>
        <v/>
      </c>
      <c r="R1435" s="21" t="str">
        <f t="shared" si="234"/>
        <v/>
      </c>
      <c r="S1435" s="21"/>
      <c r="Z1435" s="8"/>
      <c r="AA1435">
        <v>1</v>
      </c>
      <c r="AB1435">
        <f t="shared" si="230"/>
        <v>0</v>
      </c>
      <c r="AC1435">
        <v>1</v>
      </c>
      <c r="AF1435">
        <v>1</v>
      </c>
      <c r="AG1435" s="8"/>
      <c r="AH1435" s="8"/>
      <c r="AK1435" cm="1">
        <f t="array" ref="AK1435">_xlfn.IFS(B1435="","",LEFT(G1435,1)="L",1,LEFT(G1435,1)="W",1,AND(LEFT(B1435,1)="H",G1435=""),0)</f>
        <v>1</v>
      </c>
      <c r="AS1435" t="str">
        <f t="shared" si="231"/>
        <v/>
      </c>
      <c r="AT1435" t="s">
        <v>115</v>
      </c>
      <c r="AU1435" t="str">
        <f t="shared" si="232"/>
        <v>0</v>
      </c>
      <c r="BD1435" t="str">
        <f t="shared" si="233"/>
        <v>0</v>
      </c>
      <c r="BK1435" t="str">
        <f>IFERROR(VLOOKUP(B1435,'[1]model_S-フレーム'!$F$5:$R$7000,13,1),"")</f>
        <v>E387188_01</v>
      </c>
      <c r="BL1435" s="7">
        <f>IFERROR(VLOOKUP(B1435,'[1]model_S-フレーム'!$F$5:$V$7000,17,1),"")</f>
        <v>0</v>
      </c>
      <c r="BM1435" t="str" cm="1">
        <f t="array" ref="BM1435">_xlfn.IFS(LEFT(G1435,1)="L","外注品",LEFT(G1435,1)="W","内製品",G1435="","購買品")</f>
        <v>内製品</v>
      </c>
    </row>
    <row r="1436" spans="1:65">
      <c r="A1436" t="str">
        <f t="shared" si="225"/>
        <v>WG01</v>
      </c>
      <c r="B1436" t="s">
        <v>1590</v>
      </c>
      <c r="C1436" t="s">
        <v>1901</v>
      </c>
      <c r="D1436" s="7"/>
      <c r="E1436" s="7"/>
      <c r="G1436" t="s">
        <v>1939</v>
      </c>
      <c r="H1436" t="str" cm="1">
        <f t="array" ref="H1436">IFERROR(_xlfn.IFS(B1436="","",AND(B1436="",G1436=""),"",G1436="","記載要"),"")</f>
        <v/>
      </c>
      <c r="K1436" t="str">
        <f t="shared" si="226"/>
        <v>11WP01073804</v>
      </c>
      <c r="L1436" s="3" t="str">
        <f t="shared" si="227"/>
        <v>2001/01/01</v>
      </c>
      <c r="M1436" s="3" t="str">
        <f t="shared" si="228"/>
        <v>2199/12/31</v>
      </c>
      <c r="N1436" t="str">
        <f t="shared" si="229"/>
        <v>11WP01073804</v>
      </c>
      <c r="O1436">
        <v>15</v>
      </c>
      <c r="Q1436" t="str" cm="1">
        <f t="array" ref="Q1436">_xlfn.IFS(AND(C1436="",G1436=""),"",LEFT(G1436,1)="L","記載要",LEFT(G1436,1)="W","",AND(C1436,G1436=""),"記載要")</f>
        <v/>
      </c>
      <c r="R1436" s="21" t="str">
        <f t="shared" si="234"/>
        <v/>
      </c>
      <c r="S1436" s="21"/>
      <c r="Z1436" s="8"/>
      <c r="AA1436">
        <v>1</v>
      </c>
      <c r="AB1436">
        <f t="shared" si="230"/>
        <v>0</v>
      </c>
      <c r="AC1436">
        <v>1</v>
      </c>
      <c r="AF1436">
        <v>1</v>
      </c>
      <c r="AG1436" s="8"/>
      <c r="AH1436" s="8"/>
      <c r="AK1436" cm="1">
        <f t="array" ref="AK1436">_xlfn.IFS(B1436="","",LEFT(G1436,1)="L",1,LEFT(G1436,1)="W",1,AND(LEFT(B1436,1)="H",G1436=""),0)</f>
        <v>1</v>
      </c>
      <c r="AS1436" t="str">
        <f t="shared" si="231"/>
        <v/>
      </c>
      <c r="AT1436" t="s">
        <v>115</v>
      </c>
      <c r="AU1436" t="str">
        <f t="shared" si="232"/>
        <v>0</v>
      </c>
      <c r="BD1436" t="str">
        <f t="shared" si="233"/>
        <v>0</v>
      </c>
      <c r="BK1436" t="str">
        <f>IFERROR(VLOOKUP(B1436,'[1]model_S-フレーム'!$F$5:$R$7000,13,1),"")</f>
        <v>E387188_01</v>
      </c>
      <c r="BL1436" s="7">
        <f>IFERROR(VLOOKUP(B1436,'[1]model_S-フレーム'!$F$5:$V$7000,17,1),"")</f>
        <v>0</v>
      </c>
      <c r="BM1436" t="str" cm="1">
        <f t="array" ref="BM1436">_xlfn.IFS(LEFT(G1436,1)="L","外注品",LEFT(G1436,1)="W","内製品",G1436="","購買品")</f>
        <v>内製品</v>
      </c>
    </row>
    <row r="1437" spans="1:65">
      <c r="A1437" t="str">
        <f t="shared" si="225"/>
        <v>WG01</v>
      </c>
      <c r="B1437" t="s">
        <v>1591</v>
      </c>
      <c r="C1437" t="s">
        <v>1902</v>
      </c>
      <c r="D1437" s="7"/>
      <c r="E1437" s="7"/>
      <c r="G1437" t="s">
        <v>1939</v>
      </c>
      <c r="H1437" t="str" cm="1">
        <f t="array" ref="H1437">IFERROR(_xlfn.IFS(B1437="","",AND(B1437="",G1437=""),"",G1437="","記載要"),"")</f>
        <v/>
      </c>
      <c r="K1437" t="str">
        <f t="shared" si="226"/>
        <v>11WP01073805</v>
      </c>
      <c r="L1437" s="3" t="str">
        <f t="shared" si="227"/>
        <v>2001/01/01</v>
      </c>
      <c r="M1437" s="3" t="str">
        <f t="shared" si="228"/>
        <v>2199/12/31</v>
      </c>
      <c r="N1437" t="str">
        <f t="shared" si="229"/>
        <v>11WP01073805</v>
      </c>
      <c r="O1437">
        <v>15</v>
      </c>
      <c r="Q1437" t="str" cm="1">
        <f t="array" ref="Q1437">_xlfn.IFS(AND(C1437="",G1437=""),"",LEFT(G1437,1)="L","記載要",LEFT(G1437,1)="W","",AND(C1437,G1437=""),"記載要")</f>
        <v/>
      </c>
      <c r="R1437" s="21" t="str">
        <f t="shared" si="234"/>
        <v/>
      </c>
      <c r="S1437" s="21"/>
      <c r="Z1437" s="8"/>
      <c r="AA1437">
        <v>1</v>
      </c>
      <c r="AB1437">
        <f t="shared" si="230"/>
        <v>0</v>
      </c>
      <c r="AC1437">
        <v>1</v>
      </c>
      <c r="AF1437">
        <v>1</v>
      </c>
      <c r="AG1437" s="8"/>
      <c r="AH1437" s="8"/>
      <c r="AK1437" cm="1">
        <f t="array" ref="AK1437">_xlfn.IFS(B1437="","",LEFT(G1437,1)="L",1,LEFT(G1437,1)="W",1,AND(LEFT(B1437,1)="H",G1437=""),0)</f>
        <v>1</v>
      </c>
      <c r="AS1437" t="str">
        <f t="shared" si="231"/>
        <v/>
      </c>
      <c r="AT1437" t="s">
        <v>115</v>
      </c>
      <c r="AU1437" t="str">
        <f t="shared" si="232"/>
        <v>0</v>
      </c>
      <c r="BD1437" t="str">
        <f t="shared" si="233"/>
        <v>0</v>
      </c>
      <c r="BK1437" t="str">
        <f>IFERROR(VLOOKUP(B1437,'[1]model_S-フレーム'!$F$5:$R$7000,13,1),"")</f>
        <v>E387188_01</v>
      </c>
      <c r="BL1437" s="7">
        <f>IFERROR(VLOOKUP(B1437,'[1]model_S-フレーム'!$F$5:$V$7000,17,1),"")</f>
        <v>0</v>
      </c>
      <c r="BM1437" t="str" cm="1">
        <f t="array" ref="BM1437">_xlfn.IFS(LEFT(G1437,1)="L","外注品",LEFT(G1437,1)="W","内製品",G1437="","購買品")</f>
        <v>内製品</v>
      </c>
    </row>
    <row r="1438" spans="1:65">
      <c r="A1438" t="str">
        <f t="shared" si="225"/>
        <v>WG01</v>
      </c>
      <c r="B1438" t="s">
        <v>1592</v>
      </c>
      <c r="C1438" t="s">
        <v>1902</v>
      </c>
      <c r="D1438" s="7"/>
      <c r="E1438" s="7"/>
      <c r="G1438" t="s">
        <v>1939</v>
      </c>
      <c r="H1438" t="str" cm="1">
        <f t="array" ref="H1438">IFERROR(_xlfn.IFS(B1438="","",AND(B1438="",G1438=""),"",G1438="","記載要"),"")</f>
        <v/>
      </c>
      <c r="K1438" t="str">
        <f t="shared" si="226"/>
        <v>11WP01073806</v>
      </c>
      <c r="L1438" s="3" t="str">
        <f t="shared" si="227"/>
        <v>2001/01/01</v>
      </c>
      <c r="M1438" s="3" t="str">
        <f t="shared" si="228"/>
        <v>2199/12/31</v>
      </c>
      <c r="N1438" t="str">
        <f t="shared" si="229"/>
        <v>11WP01073806</v>
      </c>
      <c r="O1438">
        <v>15</v>
      </c>
      <c r="Q1438" t="str" cm="1">
        <f t="array" ref="Q1438">_xlfn.IFS(AND(C1438="",G1438=""),"",LEFT(G1438,1)="L","記載要",LEFT(G1438,1)="W","",AND(C1438,G1438=""),"記載要")</f>
        <v/>
      </c>
      <c r="R1438" s="21" t="str">
        <f t="shared" si="234"/>
        <v/>
      </c>
      <c r="S1438" s="21"/>
      <c r="Z1438" s="8"/>
      <c r="AA1438">
        <v>1</v>
      </c>
      <c r="AB1438">
        <f t="shared" si="230"/>
        <v>0</v>
      </c>
      <c r="AC1438">
        <v>1</v>
      </c>
      <c r="AF1438">
        <v>1</v>
      </c>
      <c r="AG1438" s="8"/>
      <c r="AH1438" s="8"/>
      <c r="AK1438" cm="1">
        <f t="array" ref="AK1438">_xlfn.IFS(B1438="","",LEFT(G1438,1)="L",1,LEFT(G1438,1)="W",1,AND(LEFT(B1438,1)="H",G1438=""),0)</f>
        <v>1</v>
      </c>
      <c r="AS1438" t="str">
        <f t="shared" si="231"/>
        <v/>
      </c>
      <c r="AT1438" t="s">
        <v>115</v>
      </c>
      <c r="AU1438" t="str">
        <f t="shared" si="232"/>
        <v>0</v>
      </c>
      <c r="BD1438" t="str">
        <f t="shared" si="233"/>
        <v>0</v>
      </c>
      <c r="BK1438" t="str">
        <f>IFERROR(VLOOKUP(B1438,'[1]model_S-フレーム'!$F$5:$R$7000,13,1),"")</f>
        <v>E387188_01</v>
      </c>
      <c r="BL1438" s="7">
        <f>IFERROR(VLOOKUP(B1438,'[1]model_S-フレーム'!$F$5:$V$7000,17,1),"")</f>
        <v>0</v>
      </c>
      <c r="BM1438" t="str" cm="1">
        <f t="array" ref="BM1438">_xlfn.IFS(LEFT(G1438,1)="L","外注品",LEFT(G1438,1)="W","内製品",G1438="","購買品")</f>
        <v>内製品</v>
      </c>
    </row>
    <row r="1439" spans="1:65">
      <c r="A1439" t="str">
        <f t="shared" si="225"/>
        <v>WG01</v>
      </c>
      <c r="B1439" t="s">
        <v>1593</v>
      </c>
      <c r="C1439" t="s">
        <v>1902</v>
      </c>
      <c r="D1439" s="7"/>
      <c r="E1439" s="7"/>
      <c r="G1439" t="s">
        <v>1939</v>
      </c>
      <c r="H1439" t="str" cm="1">
        <f t="array" ref="H1439">IFERROR(_xlfn.IFS(B1439="","",AND(B1439="",G1439=""),"",G1439="","記載要"),"")</f>
        <v/>
      </c>
      <c r="K1439" t="str">
        <f t="shared" si="226"/>
        <v>11WP01073807</v>
      </c>
      <c r="L1439" s="3" t="str">
        <f t="shared" si="227"/>
        <v>2001/01/01</v>
      </c>
      <c r="M1439" s="3" t="str">
        <f t="shared" si="228"/>
        <v>2199/12/31</v>
      </c>
      <c r="N1439" t="str">
        <f t="shared" si="229"/>
        <v>11WP01073807</v>
      </c>
      <c r="O1439">
        <v>15</v>
      </c>
      <c r="Q1439" t="str" cm="1">
        <f t="array" ref="Q1439">_xlfn.IFS(AND(C1439="",G1439=""),"",LEFT(G1439,1)="L","記載要",LEFT(G1439,1)="W","",AND(C1439,G1439=""),"記載要")</f>
        <v/>
      </c>
      <c r="R1439" s="21" t="str">
        <f t="shared" si="234"/>
        <v/>
      </c>
      <c r="S1439" s="21"/>
      <c r="Z1439" s="8"/>
      <c r="AA1439">
        <v>1</v>
      </c>
      <c r="AB1439">
        <f t="shared" si="230"/>
        <v>0</v>
      </c>
      <c r="AC1439">
        <v>1</v>
      </c>
      <c r="AF1439">
        <v>1</v>
      </c>
      <c r="AG1439" s="8"/>
      <c r="AH1439" s="8"/>
      <c r="AK1439" cm="1">
        <f t="array" ref="AK1439">_xlfn.IFS(B1439="","",LEFT(G1439,1)="L",1,LEFT(G1439,1)="W",1,AND(LEFT(B1439,1)="H",G1439=""),0)</f>
        <v>1</v>
      </c>
      <c r="AS1439" t="str">
        <f t="shared" si="231"/>
        <v/>
      </c>
      <c r="AT1439" t="s">
        <v>115</v>
      </c>
      <c r="AU1439" t="str">
        <f t="shared" si="232"/>
        <v>0</v>
      </c>
      <c r="BD1439" t="str">
        <f t="shared" si="233"/>
        <v>0</v>
      </c>
      <c r="BK1439" t="str">
        <f>IFERROR(VLOOKUP(B1439,'[1]model_S-フレーム'!$F$5:$R$7000,13,1),"")</f>
        <v>E387188_01</v>
      </c>
      <c r="BL1439" s="7">
        <f>IFERROR(VLOOKUP(B1439,'[1]model_S-フレーム'!$F$5:$V$7000,17,1),"")</f>
        <v>0</v>
      </c>
      <c r="BM1439" t="str" cm="1">
        <f t="array" ref="BM1439">_xlfn.IFS(LEFT(G1439,1)="L","外注品",LEFT(G1439,1)="W","内製品",G1439="","購買品")</f>
        <v>内製品</v>
      </c>
    </row>
    <row r="1440" spans="1:65">
      <c r="A1440" t="str">
        <f t="shared" si="225"/>
        <v>WG01</v>
      </c>
      <c r="B1440" t="s">
        <v>1594</v>
      </c>
      <c r="C1440" t="s">
        <v>1902</v>
      </c>
      <c r="D1440" s="7"/>
      <c r="E1440" s="7"/>
      <c r="G1440" t="s">
        <v>1939</v>
      </c>
      <c r="H1440" t="str" cm="1">
        <f t="array" ref="H1440">IFERROR(_xlfn.IFS(B1440="","",AND(B1440="",G1440=""),"",G1440="","記載要"),"")</f>
        <v/>
      </c>
      <c r="K1440" t="str">
        <f t="shared" si="226"/>
        <v>11WP01073808</v>
      </c>
      <c r="L1440" s="3" t="str">
        <f t="shared" si="227"/>
        <v>2001/01/01</v>
      </c>
      <c r="M1440" s="3" t="str">
        <f t="shared" si="228"/>
        <v>2199/12/31</v>
      </c>
      <c r="N1440" t="str">
        <f t="shared" si="229"/>
        <v>11WP01073808</v>
      </c>
      <c r="O1440">
        <v>15</v>
      </c>
      <c r="Q1440" t="str" cm="1">
        <f t="array" ref="Q1440">_xlfn.IFS(AND(C1440="",G1440=""),"",LEFT(G1440,1)="L","記載要",LEFT(G1440,1)="W","",AND(C1440,G1440=""),"記載要")</f>
        <v/>
      </c>
      <c r="R1440" s="21" t="str">
        <f t="shared" si="234"/>
        <v/>
      </c>
      <c r="S1440" s="21"/>
      <c r="Z1440" s="8"/>
      <c r="AA1440">
        <v>1</v>
      </c>
      <c r="AB1440">
        <f t="shared" si="230"/>
        <v>0</v>
      </c>
      <c r="AC1440">
        <v>1</v>
      </c>
      <c r="AF1440">
        <v>1</v>
      </c>
      <c r="AG1440" s="8"/>
      <c r="AH1440" s="8"/>
      <c r="AK1440" cm="1">
        <f t="array" ref="AK1440">_xlfn.IFS(B1440="","",LEFT(G1440,1)="L",1,LEFT(G1440,1)="W",1,AND(LEFT(B1440,1)="H",G1440=""),0)</f>
        <v>1</v>
      </c>
      <c r="AS1440" t="str">
        <f t="shared" si="231"/>
        <v/>
      </c>
      <c r="AT1440" t="s">
        <v>115</v>
      </c>
      <c r="AU1440" t="str">
        <f t="shared" si="232"/>
        <v>0</v>
      </c>
      <c r="BD1440" t="str">
        <f t="shared" si="233"/>
        <v>0</v>
      </c>
      <c r="BK1440" t="str">
        <f>IFERROR(VLOOKUP(B1440,'[1]model_S-フレーム'!$F$5:$R$7000,13,1),"")</f>
        <v>E387188_01</v>
      </c>
      <c r="BL1440" s="7">
        <f>IFERROR(VLOOKUP(B1440,'[1]model_S-フレーム'!$F$5:$V$7000,17,1),"")</f>
        <v>0</v>
      </c>
      <c r="BM1440" t="str" cm="1">
        <f t="array" ref="BM1440">_xlfn.IFS(LEFT(G1440,1)="L","外注品",LEFT(G1440,1)="W","内製品",G1440="","購買品")</f>
        <v>内製品</v>
      </c>
    </row>
    <row r="1441" spans="1:65">
      <c r="A1441" t="str">
        <f t="shared" si="225"/>
        <v>WG01</v>
      </c>
      <c r="B1441" t="s">
        <v>1595</v>
      </c>
      <c r="C1441" t="s">
        <v>1902</v>
      </c>
      <c r="D1441" s="7"/>
      <c r="E1441" s="7"/>
      <c r="G1441" t="s">
        <v>1939</v>
      </c>
      <c r="H1441" t="str" cm="1">
        <f t="array" ref="H1441">IFERROR(_xlfn.IFS(B1441="","",AND(B1441="",G1441=""),"",G1441="","記載要"),"")</f>
        <v/>
      </c>
      <c r="K1441" t="str">
        <f t="shared" si="226"/>
        <v>11WP01073809</v>
      </c>
      <c r="L1441" s="3" t="str">
        <f t="shared" si="227"/>
        <v>2001/01/01</v>
      </c>
      <c r="M1441" s="3" t="str">
        <f t="shared" si="228"/>
        <v>2199/12/31</v>
      </c>
      <c r="N1441" t="str">
        <f t="shared" si="229"/>
        <v>11WP01073809</v>
      </c>
      <c r="O1441">
        <v>15</v>
      </c>
      <c r="Q1441" t="str" cm="1">
        <f t="array" ref="Q1441">_xlfn.IFS(AND(C1441="",G1441=""),"",LEFT(G1441,1)="L","記載要",LEFT(G1441,1)="W","",AND(C1441,G1441=""),"記載要")</f>
        <v/>
      </c>
      <c r="R1441" s="21" t="str">
        <f t="shared" si="234"/>
        <v/>
      </c>
      <c r="S1441" s="21"/>
      <c r="Z1441" s="8"/>
      <c r="AA1441">
        <v>1</v>
      </c>
      <c r="AB1441">
        <f t="shared" si="230"/>
        <v>0</v>
      </c>
      <c r="AC1441">
        <v>1</v>
      </c>
      <c r="AF1441">
        <v>1</v>
      </c>
      <c r="AG1441" s="8"/>
      <c r="AH1441" s="8"/>
      <c r="AK1441" cm="1">
        <f t="array" ref="AK1441">_xlfn.IFS(B1441="","",LEFT(G1441,1)="L",1,LEFT(G1441,1)="W",1,AND(LEFT(B1441,1)="H",G1441=""),0)</f>
        <v>1</v>
      </c>
      <c r="AS1441" t="str">
        <f t="shared" si="231"/>
        <v/>
      </c>
      <c r="AT1441" t="s">
        <v>115</v>
      </c>
      <c r="AU1441" t="str">
        <f t="shared" si="232"/>
        <v>0</v>
      </c>
      <c r="BD1441" t="str">
        <f t="shared" si="233"/>
        <v>0</v>
      </c>
      <c r="BK1441" t="str">
        <f>IFERROR(VLOOKUP(B1441,'[1]model_S-フレーム'!$F$5:$R$7000,13,1),"")</f>
        <v>E387188_01</v>
      </c>
      <c r="BL1441" s="7">
        <f>IFERROR(VLOOKUP(B1441,'[1]model_S-フレーム'!$F$5:$V$7000,17,1),"")</f>
        <v>0</v>
      </c>
      <c r="BM1441" t="str" cm="1">
        <f t="array" ref="BM1441">_xlfn.IFS(LEFT(G1441,1)="L","外注品",LEFT(G1441,1)="W","内製品",G1441="","購買品")</f>
        <v>内製品</v>
      </c>
    </row>
    <row r="1442" spans="1:65">
      <c r="A1442" t="str">
        <f t="shared" si="225"/>
        <v>WG01</v>
      </c>
      <c r="B1442" t="s">
        <v>1596</v>
      </c>
      <c r="C1442" t="s">
        <v>1902</v>
      </c>
      <c r="D1442" s="7"/>
      <c r="E1442" s="7"/>
      <c r="G1442" t="s">
        <v>1939</v>
      </c>
      <c r="H1442" t="str" cm="1">
        <f t="array" ref="H1442">IFERROR(_xlfn.IFS(B1442="","",AND(B1442="",G1442=""),"",G1442="","記載要"),"")</f>
        <v/>
      </c>
      <c r="K1442" t="str">
        <f t="shared" si="226"/>
        <v>11WP01073810</v>
      </c>
      <c r="L1442" s="3" t="str">
        <f t="shared" si="227"/>
        <v>2001/01/01</v>
      </c>
      <c r="M1442" s="3" t="str">
        <f t="shared" si="228"/>
        <v>2199/12/31</v>
      </c>
      <c r="N1442" t="str">
        <f t="shared" si="229"/>
        <v>11WP01073810</v>
      </c>
      <c r="O1442">
        <v>15</v>
      </c>
      <c r="Q1442" t="str" cm="1">
        <f t="array" ref="Q1442">_xlfn.IFS(AND(C1442="",G1442=""),"",LEFT(G1442,1)="L","記載要",LEFT(G1442,1)="W","",AND(C1442,G1442=""),"記載要")</f>
        <v/>
      </c>
      <c r="R1442" s="21" t="str">
        <f t="shared" si="234"/>
        <v/>
      </c>
      <c r="S1442" s="21"/>
      <c r="Z1442" s="8"/>
      <c r="AA1442">
        <v>1</v>
      </c>
      <c r="AB1442">
        <f t="shared" si="230"/>
        <v>0</v>
      </c>
      <c r="AC1442">
        <v>1</v>
      </c>
      <c r="AF1442">
        <v>1</v>
      </c>
      <c r="AG1442" s="8"/>
      <c r="AH1442" s="8"/>
      <c r="AK1442" cm="1">
        <f t="array" ref="AK1442">_xlfn.IFS(B1442="","",LEFT(G1442,1)="L",1,LEFT(G1442,1)="W",1,AND(LEFT(B1442,1)="H",G1442=""),0)</f>
        <v>1</v>
      </c>
      <c r="AS1442" t="str">
        <f t="shared" si="231"/>
        <v/>
      </c>
      <c r="AT1442" t="s">
        <v>115</v>
      </c>
      <c r="AU1442" t="str">
        <f t="shared" si="232"/>
        <v>0</v>
      </c>
      <c r="BD1442" t="str">
        <f t="shared" si="233"/>
        <v>0</v>
      </c>
      <c r="BK1442" t="str">
        <f>IFERROR(VLOOKUP(B1442,'[1]model_S-フレーム'!$F$5:$R$7000,13,1),"")</f>
        <v>E387188_01</v>
      </c>
      <c r="BL1442" s="7">
        <f>IFERROR(VLOOKUP(B1442,'[1]model_S-フレーム'!$F$5:$V$7000,17,1),"")</f>
        <v>0</v>
      </c>
      <c r="BM1442" t="str" cm="1">
        <f t="array" ref="BM1442">_xlfn.IFS(LEFT(G1442,1)="L","外注品",LEFT(G1442,1)="W","内製品",G1442="","購買品")</f>
        <v>内製品</v>
      </c>
    </row>
    <row r="1443" spans="1:65">
      <c r="A1443" t="str">
        <f t="shared" si="225"/>
        <v>WG01</v>
      </c>
      <c r="B1443" t="s">
        <v>1597</v>
      </c>
      <c r="C1443" t="s">
        <v>1902</v>
      </c>
      <c r="D1443" s="7"/>
      <c r="E1443" s="7"/>
      <c r="G1443" t="s">
        <v>1939</v>
      </c>
      <c r="H1443" t="str" cm="1">
        <f t="array" ref="H1443">IFERROR(_xlfn.IFS(B1443="","",AND(B1443="",G1443=""),"",G1443="","記載要"),"")</f>
        <v/>
      </c>
      <c r="K1443" t="str">
        <f t="shared" si="226"/>
        <v>11WP01073811</v>
      </c>
      <c r="L1443" s="3" t="str">
        <f t="shared" si="227"/>
        <v>2001/01/01</v>
      </c>
      <c r="M1443" s="3" t="str">
        <f t="shared" si="228"/>
        <v>2199/12/31</v>
      </c>
      <c r="N1443" t="str">
        <f t="shared" si="229"/>
        <v>11WP01073811</v>
      </c>
      <c r="O1443">
        <v>15</v>
      </c>
      <c r="Q1443" t="str" cm="1">
        <f t="array" ref="Q1443">_xlfn.IFS(AND(C1443="",G1443=""),"",LEFT(G1443,1)="L","記載要",LEFT(G1443,1)="W","",AND(C1443,G1443=""),"記載要")</f>
        <v/>
      </c>
      <c r="R1443" s="21" t="str">
        <f t="shared" si="234"/>
        <v/>
      </c>
      <c r="S1443" s="21"/>
      <c r="Z1443" s="8"/>
      <c r="AA1443">
        <v>1</v>
      </c>
      <c r="AB1443">
        <f t="shared" si="230"/>
        <v>0</v>
      </c>
      <c r="AC1443">
        <v>1</v>
      </c>
      <c r="AF1443">
        <v>1</v>
      </c>
      <c r="AG1443" s="8"/>
      <c r="AH1443" s="8"/>
      <c r="AK1443" cm="1">
        <f t="array" ref="AK1443">_xlfn.IFS(B1443="","",LEFT(G1443,1)="L",1,LEFT(G1443,1)="W",1,AND(LEFT(B1443,1)="H",G1443=""),0)</f>
        <v>1</v>
      </c>
      <c r="AS1443" t="str">
        <f t="shared" si="231"/>
        <v/>
      </c>
      <c r="AT1443" t="s">
        <v>115</v>
      </c>
      <c r="AU1443" t="str">
        <f t="shared" si="232"/>
        <v>0</v>
      </c>
      <c r="BD1443" t="str">
        <f t="shared" si="233"/>
        <v>0</v>
      </c>
      <c r="BK1443" t="str">
        <f>IFERROR(VLOOKUP(B1443,'[1]model_S-フレーム'!$F$5:$R$7000,13,1),"")</f>
        <v>E387188_01</v>
      </c>
      <c r="BL1443" s="7">
        <f>IFERROR(VLOOKUP(B1443,'[1]model_S-フレーム'!$F$5:$V$7000,17,1),"")</f>
        <v>0</v>
      </c>
      <c r="BM1443" t="str" cm="1">
        <f t="array" ref="BM1443">_xlfn.IFS(LEFT(G1443,1)="L","外注品",LEFT(G1443,1)="W","内製品",G1443="","購買品")</f>
        <v>内製品</v>
      </c>
    </row>
    <row r="1444" spans="1:65">
      <c r="A1444" t="str">
        <f t="shared" si="225"/>
        <v>WG01</v>
      </c>
      <c r="B1444" t="s">
        <v>1598</v>
      </c>
      <c r="C1444" t="s">
        <v>1902</v>
      </c>
      <c r="D1444" s="7"/>
      <c r="E1444" s="7"/>
      <c r="G1444" t="s">
        <v>1939</v>
      </c>
      <c r="H1444" t="str" cm="1">
        <f t="array" ref="H1444">IFERROR(_xlfn.IFS(B1444="","",AND(B1444="",G1444=""),"",G1444="","記載要"),"")</f>
        <v/>
      </c>
      <c r="K1444" t="str">
        <f t="shared" si="226"/>
        <v>11WP01073812</v>
      </c>
      <c r="L1444" s="3" t="str">
        <f t="shared" si="227"/>
        <v>2001/01/01</v>
      </c>
      <c r="M1444" s="3" t="str">
        <f t="shared" si="228"/>
        <v>2199/12/31</v>
      </c>
      <c r="N1444" t="str">
        <f t="shared" si="229"/>
        <v>11WP01073812</v>
      </c>
      <c r="O1444">
        <v>15</v>
      </c>
      <c r="Q1444" t="str" cm="1">
        <f t="array" ref="Q1444">_xlfn.IFS(AND(C1444="",G1444=""),"",LEFT(G1444,1)="L","記載要",LEFT(G1444,1)="W","",AND(C1444,G1444=""),"記載要")</f>
        <v/>
      </c>
      <c r="R1444" s="21" t="str">
        <f t="shared" si="234"/>
        <v/>
      </c>
      <c r="S1444" s="21"/>
      <c r="Z1444" s="8"/>
      <c r="AA1444">
        <v>1</v>
      </c>
      <c r="AB1444">
        <f t="shared" si="230"/>
        <v>0</v>
      </c>
      <c r="AC1444">
        <v>1</v>
      </c>
      <c r="AF1444">
        <v>1</v>
      </c>
      <c r="AG1444" s="8"/>
      <c r="AH1444" s="8"/>
      <c r="AK1444" cm="1">
        <f t="array" ref="AK1444">_xlfn.IFS(B1444="","",LEFT(G1444,1)="L",1,LEFT(G1444,1)="W",1,AND(LEFT(B1444,1)="H",G1444=""),0)</f>
        <v>1</v>
      </c>
      <c r="AS1444" t="str">
        <f t="shared" si="231"/>
        <v/>
      </c>
      <c r="AT1444" t="s">
        <v>115</v>
      </c>
      <c r="AU1444" t="str">
        <f t="shared" si="232"/>
        <v>0</v>
      </c>
      <c r="BD1444" t="str">
        <f t="shared" si="233"/>
        <v>0</v>
      </c>
      <c r="BK1444" t="str">
        <f>IFERROR(VLOOKUP(B1444,'[1]model_S-フレーム'!$F$5:$R$7000,13,1),"")</f>
        <v>E387188_01</v>
      </c>
      <c r="BL1444" s="7">
        <f>IFERROR(VLOOKUP(B1444,'[1]model_S-フレーム'!$F$5:$V$7000,17,1),"")</f>
        <v>0</v>
      </c>
      <c r="BM1444" t="str" cm="1">
        <f t="array" ref="BM1444">_xlfn.IFS(LEFT(G1444,1)="L","外注品",LEFT(G1444,1)="W","内製品",G1444="","購買品")</f>
        <v>内製品</v>
      </c>
    </row>
    <row r="1445" spans="1:65">
      <c r="A1445" t="str">
        <f t="shared" si="225"/>
        <v>WG01</v>
      </c>
      <c r="B1445" t="s">
        <v>1599</v>
      </c>
      <c r="C1445" t="s">
        <v>1902</v>
      </c>
      <c r="D1445" s="7"/>
      <c r="E1445" s="7"/>
      <c r="G1445" t="s">
        <v>1939</v>
      </c>
      <c r="H1445" t="str" cm="1">
        <f t="array" ref="H1445">IFERROR(_xlfn.IFS(B1445="","",AND(B1445="",G1445=""),"",G1445="","記載要"),"")</f>
        <v/>
      </c>
      <c r="K1445" t="str">
        <f t="shared" si="226"/>
        <v>11WP01073813</v>
      </c>
      <c r="L1445" s="3" t="str">
        <f t="shared" si="227"/>
        <v>2001/01/01</v>
      </c>
      <c r="M1445" s="3" t="str">
        <f t="shared" si="228"/>
        <v>2199/12/31</v>
      </c>
      <c r="N1445" t="str">
        <f t="shared" si="229"/>
        <v>11WP01073813</v>
      </c>
      <c r="O1445">
        <v>15</v>
      </c>
      <c r="Q1445" t="str" cm="1">
        <f t="array" ref="Q1445">_xlfn.IFS(AND(C1445="",G1445=""),"",LEFT(G1445,1)="L","記載要",LEFT(G1445,1)="W","",AND(C1445,G1445=""),"記載要")</f>
        <v/>
      </c>
      <c r="R1445" s="21" t="str">
        <f t="shared" si="234"/>
        <v/>
      </c>
      <c r="S1445" s="21"/>
      <c r="Z1445" s="8"/>
      <c r="AA1445">
        <v>1</v>
      </c>
      <c r="AB1445">
        <f t="shared" si="230"/>
        <v>0</v>
      </c>
      <c r="AC1445">
        <v>1</v>
      </c>
      <c r="AF1445">
        <v>1</v>
      </c>
      <c r="AG1445" s="8"/>
      <c r="AH1445" s="8"/>
      <c r="AK1445" cm="1">
        <f t="array" ref="AK1445">_xlfn.IFS(B1445="","",LEFT(G1445,1)="L",1,LEFT(G1445,1)="W",1,AND(LEFT(B1445,1)="H",G1445=""),0)</f>
        <v>1</v>
      </c>
      <c r="AS1445" t="str">
        <f t="shared" si="231"/>
        <v/>
      </c>
      <c r="AT1445" t="s">
        <v>115</v>
      </c>
      <c r="AU1445" t="str">
        <f t="shared" si="232"/>
        <v>0</v>
      </c>
      <c r="BD1445" t="str">
        <f t="shared" si="233"/>
        <v>0</v>
      </c>
      <c r="BK1445" t="str">
        <f>IFERROR(VLOOKUP(B1445,'[1]model_S-フレーム'!$F$5:$R$7000,13,1),"")</f>
        <v>E387188_01</v>
      </c>
      <c r="BL1445" s="7">
        <f>IFERROR(VLOOKUP(B1445,'[1]model_S-フレーム'!$F$5:$V$7000,17,1),"")</f>
        <v>0</v>
      </c>
      <c r="BM1445" t="str" cm="1">
        <f t="array" ref="BM1445">_xlfn.IFS(LEFT(G1445,1)="L","外注品",LEFT(G1445,1)="W","内製品",G1445="","購買品")</f>
        <v>内製品</v>
      </c>
    </row>
    <row r="1446" spans="1:65" s="13" customFormat="1">
      <c r="A1446" t="str">
        <f t="shared" si="225"/>
        <v>WG01</v>
      </c>
      <c r="B1446" t="s">
        <v>1600</v>
      </c>
      <c r="C1446" t="s">
        <v>1903</v>
      </c>
      <c r="D1446" s="7"/>
      <c r="E1446" s="7"/>
      <c r="F1446"/>
      <c r="G1446"/>
      <c r="H1446">
        <v>27616</v>
      </c>
      <c r="I1446"/>
      <c r="J1446"/>
      <c r="K1446" t="str">
        <f t="shared" si="226"/>
        <v/>
      </c>
      <c r="L1446" s="3" t="str">
        <f t="shared" si="227"/>
        <v>2001/01/01</v>
      </c>
      <c r="M1446" s="3" t="str">
        <f t="shared" si="228"/>
        <v>2199/12/31</v>
      </c>
      <c r="N1446" t="str">
        <f t="shared" si="229"/>
        <v/>
      </c>
      <c r="O1446" t="str">
        <f t="shared" ref="O1446:O1453" si="236">IF(G1446="","","記載要")</f>
        <v/>
      </c>
      <c r="P1446"/>
      <c r="Q1446">
        <v>15</v>
      </c>
      <c r="R1446" s="21">
        <v>100000000</v>
      </c>
      <c r="S1446" s="21" t="str" cm="1">
        <f t="array" ref="S1446">_xlfn.IFS(LEFT(G1446,1)="L","記載要",LEFT(G1446,1)="W","記載要",G1446="","")</f>
        <v/>
      </c>
      <c r="T1446"/>
      <c r="U1446"/>
      <c r="V1446"/>
      <c r="W1446"/>
      <c r="X1446"/>
      <c r="Y1446"/>
      <c r="Z1446" s="8"/>
      <c r="AA1446" s="8">
        <v>1</v>
      </c>
      <c r="AB1446">
        <f t="shared" si="230"/>
        <v>0</v>
      </c>
      <c r="AC1446" s="8">
        <v>1</v>
      </c>
      <c r="AD1446"/>
      <c r="AE1446"/>
      <c r="AF1446">
        <v>1</v>
      </c>
      <c r="AG1446" s="8"/>
      <c r="AH1446" s="8"/>
      <c r="AI1446"/>
      <c r="AJ1446"/>
      <c r="AK1446" cm="1">
        <f t="array" ref="AK1446">_xlfn.IFS(B1446="","",LEFT(G1446,1)="L",1,LEFT(G1446,1)="W",1,AND(LEFT(B1446,1)="H",G1446=""),0)</f>
        <v>0</v>
      </c>
      <c r="AL1446"/>
      <c r="AM1446"/>
      <c r="AN1446"/>
      <c r="AO1446"/>
      <c r="AP1446"/>
      <c r="AQ1446"/>
      <c r="AR1446"/>
      <c r="AS1446">
        <f t="shared" si="231"/>
        <v>1</v>
      </c>
      <c r="AT1446" t="s">
        <v>115</v>
      </c>
      <c r="AU1446" t="str">
        <f t="shared" si="232"/>
        <v>0</v>
      </c>
      <c r="AV1446"/>
      <c r="AW1446"/>
      <c r="AX1446"/>
      <c r="AY1446"/>
      <c r="AZ1446"/>
      <c r="BA1446"/>
      <c r="BB1446"/>
      <c r="BC1446"/>
      <c r="BD1446" t="str">
        <f t="shared" si="233"/>
        <v>0</v>
      </c>
      <c r="BE1446"/>
      <c r="BF1446"/>
      <c r="BG1446"/>
      <c r="BH1446"/>
      <c r="BI1446"/>
      <c r="BJ1446"/>
      <c r="BK1446" s="13" t="str">
        <f>IFERROR(VLOOKUP(B1446,'[1]model_S-フレーム'!$F$5:$R$7000,13,1),"")</f>
        <v>E387188_01</v>
      </c>
      <c r="BL1446" s="14">
        <f>IFERROR(VLOOKUP(B1446,'[1]model_S-フレーム'!$F$5:$V$7000,17,1),"")</f>
        <v>0</v>
      </c>
      <c r="BM1446" s="13" t="str" cm="1">
        <f t="array" ref="BM1446">_xlfn.IFS(LEFT(G1446,1)="L","外注品",LEFT(G1446,1)="W","内製品",G1446="","購買品")</f>
        <v>購買品</v>
      </c>
    </row>
    <row r="1447" spans="1:65" s="13" customFormat="1">
      <c r="A1447" t="str">
        <f t="shared" si="225"/>
        <v>WG01</v>
      </c>
      <c r="B1447" t="s">
        <v>1600</v>
      </c>
      <c r="C1447" t="s">
        <v>1903</v>
      </c>
      <c r="D1447" s="7"/>
      <c r="E1447" s="7"/>
      <c r="F1447"/>
      <c r="G1447"/>
      <c r="H1447">
        <v>43453</v>
      </c>
      <c r="I1447"/>
      <c r="J1447"/>
      <c r="K1447" t="str">
        <f t="shared" si="226"/>
        <v/>
      </c>
      <c r="L1447" s="3" t="str">
        <f t="shared" si="227"/>
        <v>2001/01/01</v>
      </c>
      <c r="M1447" s="3" t="str">
        <f t="shared" si="228"/>
        <v>2199/12/31</v>
      </c>
      <c r="N1447" t="str">
        <f t="shared" si="229"/>
        <v/>
      </c>
      <c r="O1447" t="str">
        <f t="shared" si="236"/>
        <v/>
      </c>
      <c r="P1447"/>
      <c r="Q1447">
        <v>15</v>
      </c>
      <c r="R1447" s="21">
        <v>100000000</v>
      </c>
      <c r="S1447" s="21" t="str" cm="1">
        <f t="array" ref="S1447">_xlfn.IFS(LEFT(G1447,1)="L","記載要",LEFT(G1447,1)="W","記載要",G1447="","")</f>
        <v/>
      </c>
      <c r="T1447"/>
      <c r="U1447"/>
      <c r="V1447"/>
      <c r="W1447"/>
      <c r="X1447"/>
      <c r="Y1447"/>
      <c r="Z1447" s="8"/>
      <c r="AA1447" s="8">
        <v>1</v>
      </c>
      <c r="AB1447">
        <f t="shared" si="230"/>
        <v>0</v>
      </c>
      <c r="AC1447" s="8">
        <v>1</v>
      </c>
      <c r="AD1447"/>
      <c r="AE1447"/>
      <c r="AF1447">
        <v>0</v>
      </c>
      <c r="AG1447" s="8"/>
      <c r="AH1447" s="8"/>
      <c r="AI1447"/>
      <c r="AJ1447"/>
      <c r="AK1447" cm="1">
        <f t="array" ref="AK1447">_xlfn.IFS(B1447="","",LEFT(G1447,1)="L",1,LEFT(G1447,1)="W",1,AND(LEFT(B1447,1)="H",G1447=""),0)</f>
        <v>0</v>
      </c>
      <c r="AL1447"/>
      <c r="AM1447"/>
      <c r="AN1447"/>
      <c r="AO1447"/>
      <c r="AP1447"/>
      <c r="AQ1447"/>
      <c r="AR1447"/>
      <c r="AS1447">
        <f t="shared" si="231"/>
        <v>1</v>
      </c>
      <c r="AT1447" t="s">
        <v>115</v>
      </c>
      <c r="AU1447" t="str">
        <f t="shared" si="232"/>
        <v>0</v>
      </c>
      <c r="AV1447"/>
      <c r="AW1447"/>
      <c r="AX1447"/>
      <c r="AY1447"/>
      <c r="AZ1447"/>
      <c r="BA1447"/>
      <c r="BB1447"/>
      <c r="BC1447"/>
      <c r="BD1447" t="str">
        <f t="shared" si="233"/>
        <v>0</v>
      </c>
      <c r="BE1447"/>
      <c r="BF1447"/>
      <c r="BG1447"/>
      <c r="BH1447"/>
      <c r="BI1447"/>
      <c r="BJ1447"/>
      <c r="BK1447" s="13" t="str">
        <f>IFERROR(VLOOKUP(B1447,'[1]model_S-フレーム'!$F$5:$R$7000,13,1),"")</f>
        <v>E387188_01</v>
      </c>
      <c r="BL1447" s="14">
        <f>IFERROR(VLOOKUP(B1447,'[1]model_S-フレーム'!$F$5:$V$7000,17,1),"")</f>
        <v>0</v>
      </c>
      <c r="BM1447" s="13" t="str" cm="1">
        <f t="array" ref="BM1447">_xlfn.IFS(LEFT(G1447,1)="L","外注品",LEFT(G1447,1)="W","内製品",G1447="","購買品")</f>
        <v>購買品</v>
      </c>
    </row>
    <row r="1448" spans="1:65" s="13" customFormat="1">
      <c r="A1448" t="str">
        <f t="shared" si="225"/>
        <v>WG01</v>
      </c>
      <c r="B1448" t="s">
        <v>1600</v>
      </c>
      <c r="C1448" t="s">
        <v>1903</v>
      </c>
      <c r="D1448" s="7"/>
      <c r="E1448" s="7"/>
      <c r="F1448"/>
      <c r="G1448"/>
      <c r="H1448">
        <v>47081</v>
      </c>
      <c r="I1448"/>
      <c r="J1448"/>
      <c r="K1448" t="str">
        <f t="shared" si="226"/>
        <v/>
      </c>
      <c r="L1448" s="3" t="str">
        <f t="shared" si="227"/>
        <v>2001/01/01</v>
      </c>
      <c r="M1448" s="3" t="str">
        <f t="shared" si="228"/>
        <v>2199/12/31</v>
      </c>
      <c r="N1448" t="str">
        <f t="shared" si="229"/>
        <v/>
      </c>
      <c r="O1448" t="str">
        <f t="shared" si="236"/>
        <v/>
      </c>
      <c r="P1448"/>
      <c r="Q1448">
        <v>15</v>
      </c>
      <c r="R1448" s="21">
        <v>100000000</v>
      </c>
      <c r="S1448" s="21" t="str" cm="1">
        <f t="array" ref="S1448">_xlfn.IFS(LEFT(G1448,1)="L","記載要",LEFT(G1448,1)="W","記載要",G1448="","")</f>
        <v/>
      </c>
      <c r="T1448"/>
      <c r="U1448"/>
      <c r="V1448"/>
      <c r="W1448"/>
      <c r="X1448"/>
      <c r="Y1448"/>
      <c r="Z1448" s="8"/>
      <c r="AA1448" s="8">
        <v>1</v>
      </c>
      <c r="AB1448">
        <f t="shared" si="230"/>
        <v>0</v>
      </c>
      <c r="AC1448" s="8">
        <v>1</v>
      </c>
      <c r="AD1448"/>
      <c r="AE1448"/>
      <c r="AF1448">
        <v>0</v>
      </c>
      <c r="AG1448" s="8"/>
      <c r="AH1448" s="8"/>
      <c r="AI1448"/>
      <c r="AJ1448"/>
      <c r="AK1448" cm="1">
        <f t="array" ref="AK1448">_xlfn.IFS(B1448="","",LEFT(G1448,1)="L",1,LEFT(G1448,1)="W",1,AND(LEFT(B1448,1)="H",G1448=""),0)</f>
        <v>0</v>
      </c>
      <c r="AL1448"/>
      <c r="AM1448"/>
      <c r="AN1448"/>
      <c r="AO1448"/>
      <c r="AP1448"/>
      <c r="AQ1448"/>
      <c r="AR1448"/>
      <c r="AS1448">
        <f t="shared" si="231"/>
        <v>1</v>
      </c>
      <c r="AT1448" t="s">
        <v>115</v>
      </c>
      <c r="AU1448" t="str">
        <f t="shared" si="232"/>
        <v>0</v>
      </c>
      <c r="AV1448"/>
      <c r="AW1448"/>
      <c r="AX1448"/>
      <c r="AY1448"/>
      <c r="AZ1448"/>
      <c r="BA1448"/>
      <c r="BB1448"/>
      <c r="BC1448"/>
      <c r="BD1448" t="str">
        <f t="shared" si="233"/>
        <v>0</v>
      </c>
      <c r="BE1448"/>
      <c r="BF1448"/>
      <c r="BG1448"/>
      <c r="BH1448"/>
      <c r="BI1448"/>
      <c r="BJ1448"/>
      <c r="BK1448" s="13" t="str">
        <f>IFERROR(VLOOKUP(B1448,'[1]model_S-フレーム'!$F$5:$R$7000,13,1),"")</f>
        <v>E387188_01</v>
      </c>
      <c r="BL1448" s="14">
        <f>IFERROR(VLOOKUP(B1448,'[1]model_S-フレーム'!$F$5:$V$7000,17,1),"")</f>
        <v>0</v>
      </c>
      <c r="BM1448" s="13" t="str" cm="1">
        <f t="array" ref="BM1448">_xlfn.IFS(LEFT(G1448,1)="L","外注品",LEFT(G1448,1)="W","内製品",G1448="","購買品")</f>
        <v>購買品</v>
      </c>
    </row>
    <row r="1449" spans="1:65">
      <c r="A1449" t="str">
        <f t="shared" si="225"/>
        <v>WG01</v>
      </c>
      <c r="B1449" t="s">
        <v>1600</v>
      </c>
      <c r="C1449" t="s">
        <v>1903</v>
      </c>
      <c r="D1449" s="7"/>
      <c r="E1449" s="7"/>
      <c r="H1449" s="19" t="s">
        <v>1937</v>
      </c>
      <c r="K1449" t="str">
        <f t="shared" si="226"/>
        <v/>
      </c>
      <c r="L1449" s="3" t="str">
        <f t="shared" si="227"/>
        <v>2001/01/01</v>
      </c>
      <c r="M1449" s="3" t="str">
        <f t="shared" si="228"/>
        <v>2199/12/31</v>
      </c>
      <c r="N1449" t="str">
        <f t="shared" si="229"/>
        <v/>
      </c>
      <c r="O1449" t="str">
        <f t="shared" si="236"/>
        <v/>
      </c>
      <c r="Q1449">
        <v>15</v>
      </c>
      <c r="R1449" s="21">
        <v>100000000</v>
      </c>
      <c r="S1449" s="21" t="str" cm="1">
        <f t="array" ref="S1449">_xlfn.IFS(LEFT(G1449,1)="L","記載要",LEFT(G1449,1)="W","記載要",G1449="","")</f>
        <v/>
      </c>
      <c r="Z1449" s="8"/>
      <c r="AA1449" s="8">
        <v>1</v>
      </c>
      <c r="AB1449">
        <f t="shared" si="230"/>
        <v>0</v>
      </c>
      <c r="AC1449" s="8">
        <v>1</v>
      </c>
      <c r="AF1449">
        <v>0</v>
      </c>
      <c r="AG1449" s="8"/>
      <c r="AH1449" s="8"/>
      <c r="AK1449" cm="1">
        <f t="array" ref="AK1449">_xlfn.IFS(B1449="","",LEFT(G1449,1)="L",1,LEFT(G1449,1)="W",1,AND(LEFT(B1449,1)="H",G1449=""),0)</f>
        <v>0</v>
      </c>
      <c r="AS1449">
        <f t="shared" si="231"/>
        <v>1</v>
      </c>
      <c r="AT1449" t="s">
        <v>115</v>
      </c>
      <c r="AU1449" t="str">
        <f t="shared" si="232"/>
        <v>0</v>
      </c>
      <c r="BD1449" t="str">
        <f t="shared" si="233"/>
        <v>0</v>
      </c>
      <c r="BK1449" t="str">
        <f>IFERROR(VLOOKUP(B1449,'[1]model_S-フレーム'!$F$5:$R$7000,13,1),"")</f>
        <v>E387188_01</v>
      </c>
      <c r="BL1449" s="7">
        <f>IFERROR(VLOOKUP(B1449,'[1]model_S-フレーム'!$F$5:$V$7000,17,1),"")</f>
        <v>0</v>
      </c>
      <c r="BM1449" t="str" cm="1">
        <f t="array" ref="BM1449">_xlfn.IFS(LEFT(G1449,1)="L","外注品",LEFT(G1449,1)="W","内製品",G1449="","購買品")</f>
        <v>購買品</v>
      </c>
    </row>
    <row r="1450" spans="1:65" s="15" customFormat="1">
      <c r="A1450" t="str">
        <f t="shared" si="225"/>
        <v>WG01</v>
      </c>
      <c r="B1450" t="s">
        <v>1601</v>
      </c>
      <c r="C1450" t="s">
        <v>1904</v>
      </c>
      <c r="D1450" s="7"/>
      <c r="E1450" s="7"/>
      <c r="F1450"/>
      <c r="G1450"/>
      <c r="H1450">
        <v>27616</v>
      </c>
      <c r="I1450"/>
      <c r="J1450"/>
      <c r="K1450" t="str">
        <f t="shared" si="226"/>
        <v/>
      </c>
      <c r="L1450" s="3" t="str">
        <f t="shared" si="227"/>
        <v>2001/01/01</v>
      </c>
      <c r="M1450" s="3" t="str">
        <f t="shared" si="228"/>
        <v>2199/12/31</v>
      </c>
      <c r="N1450" t="str">
        <f t="shared" si="229"/>
        <v/>
      </c>
      <c r="O1450" t="str">
        <f t="shared" si="236"/>
        <v/>
      </c>
      <c r="P1450"/>
      <c r="Q1450">
        <v>15</v>
      </c>
      <c r="R1450" s="21">
        <v>100000000</v>
      </c>
      <c r="S1450" s="21" t="str" cm="1">
        <f t="array" ref="S1450">_xlfn.IFS(LEFT(G1450,1)="L","記載要",LEFT(G1450,1)="W","記載要",G1450="","")</f>
        <v/>
      </c>
      <c r="T1450"/>
      <c r="U1450"/>
      <c r="V1450"/>
      <c r="W1450"/>
      <c r="X1450"/>
      <c r="Y1450"/>
      <c r="Z1450" s="8"/>
      <c r="AA1450" s="8">
        <v>1</v>
      </c>
      <c r="AB1450">
        <f t="shared" si="230"/>
        <v>0</v>
      </c>
      <c r="AC1450" s="8">
        <v>1</v>
      </c>
      <c r="AD1450"/>
      <c r="AE1450"/>
      <c r="AF1450">
        <v>1</v>
      </c>
      <c r="AG1450" s="8"/>
      <c r="AH1450" s="8"/>
      <c r="AI1450"/>
      <c r="AJ1450"/>
      <c r="AK1450" cm="1">
        <f t="array" ref="AK1450">_xlfn.IFS(B1450="","",LEFT(G1450,1)="L",1,LEFT(G1450,1)="W",1,AND(LEFT(B1450,1)="H",G1450=""),0)</f>
        <v>0</v>
      </c>
      <c r="AL1450"/>
      <c r="AM1450"/>
      <c r="AN1450"/>
      <c r="AO1450"/>
      <c r="AP1450"/>
      <c r="AQ1450"/>
      <c r="AR1450"/>
      <c r="AS1450">
        <f t="shared" si="231"/>
        <v>1</v>
      </c>
      <c r="AT1450" t="s">
        <v>115</v>
      </c>
      <c r="AU1450" t="str">
        <f t="shared" si="232"/>
        <v>0</v>
      </c>
      <c r="AV1450"/>
      <c r="AW1450"/>
      <c r="AX1450"/>
      <c r="AY1450"/>
      <c r="AZ1450"/>
      <c r="BA1450"/>
      <c r="BB1450"/>
      <c r="BC1450"/>
      <c r="BD1450" t="str">
        <f t="shared" si="233"/>
        <v>0</v>
      </c>
      <c r="BE1450"/>
      <c r="BF1450"/>
      <c r="BG1450"/>
      <c r="BH1450"/>
      <c r="BI1450"/>
      <c r="BJ1450"/>
      <c r="BK1450" s="15" t="str">
        <f>IFERROR(VLOOKUP(B1450,'[1]model_S-フレーム'!$F$5:$R$7000,13,1),"")</f>
        <v>E387188_02</v>
      </c>
      <c r="BL1450" s="16">
        <f>IFERROR(VLOOKUP(B1450,'[1]model_S-フレーム'!$F$5:$V$7000,17,1),"")</f>
        <v>0</v>
      </c>
      <c r="BM1450" s="15" t="str" cm="1">
        <f t="array" ref="BM1450">_xlfn.IFS(LEFT(G1450,1)="L","外注品",LEFT(G1450,1)="W","内製品",G1450="","購買品")</f>
        <v>購買品</v>
      </c>
    </row>
    <row r="1451" spans="1:65" s="15" customFormat="1">
      <c r="A1451" t="str">
        <f t="shared" si="225"/>
        <v>WG01</v>
      </c>
      <c r="B1451" t="s">
        <v>1601</v>
      </c>
      <c r="C1451" t="s">
        <v>1904</v>
      </c>
      <c r="D1451" s="7"/>
      <c r="E1451" s="7"/>
      <c r="F1451"/>
      <c r="G1451"/>
      <c r="H1451">
        <v>43453</v>
      </c>
      <c r="I1451"/>
      <c r="J1451"/>
      <c r="K1451" t="str">
        <f t="shared" si="226"/>
        <v/>
      </c>
      <c r="L1451" s="3" t="str">
        <f t="shared" si="227"/>
        <v>2001/01/01</v>
      </c>
      <c r="M1451" s="3" t="str">
        <f t="shared" si="228"/>
        <v>2199/12/31</v>
      </c>
      <c r="N1451" t="str">
        <f t="shared" si="229"/>
        <v/>
      </c>
      <c r="O1451" t="str">
        <f t="shared" si="236"/>
        <v/>
      </c>
      <c r="P1451"/>
      <c r="Q1451">
        <v>15</v>
      </c>
      <c r="R1451" s="21">
        <v>100000000</v>
      </c>
      <c r="S1451" s="21" t="str" cm="1">
        <f t="array" ref="S1451">_xlfn.IFS(LEFT(G1451,1)="L","記載要",LEFT(G1451,1)="W","記載要",G1451="","")</f>
        <v/>
      </c>
      <c r="T1451"/>
      <c r="U1451"/>
      <c r="V1451"/>
      <c r="W1451"/>
      <c r="X1451"/>
      <c r="Y1451"/>
      <c r="Z1451" s="8"/>
      <c r="AA1451" s="8">
        <v>1</v>
      </c>
      <c r="AB1451">
        <f t="shared" si="230"/>
        <v>0</v>
      </c>
      <c r="AC1451" s="8">
        <v>1</v>
      </c>
      <c r="AD1451"/>
      <c r="AE1451"/>
      <c r="AF1451">
        <v>0</v>
      </c>
      <c r="AG1451" s="8"/>
      <c r="AH1451" s="8"/>
      <c r="AI1451"/>
      <c r="AJ1451"/>
      <c r="AK1451" cm="1">
        <f t="array" ref="AK1451">_xlfn.IFS(B1451="","",LEFT(G1451,1)="L",1,LEFT(G1451,1)="W",1,AND(LEFT(B1451,1)="H",G1451=""),0)</f>
        <v>0</v>
      </c>
      <c r="AL1451"/>
      <c r="AM1451"/>
      <c r="AN1451"/>
      <c r="AO1451"/>
      <c r="AP1451"/>
      <c r="AQ1451"/>
      <c r="AR1451"/>
      <c r="AS1451">
        <f t="shared" si="231"/>
        <v>1</v>
      </c>
      <c r="AT1451" t="s">
        <v>115</v>
      </c>
      <c r="AU1451" t="str">
        <f t="shared" si="232"/>
        <v>0</v>
      </c>
      <c r="AV1451"/>
      <c r="AW1451"/>
      <c r="AX1451"/>
      <c r="AY1451"/>
      <c r="AZ1451"/>
      <c r="BA1451"/>
      <c r="BB1451"/>
      <c r="BC1451"/>
      <c r="BD1451" t="str">
        <f t="shared" si="233"/>
        <v>0</v>
      </c>
      <c r="BE1451"/>
      <c r="BF1451"/>
      <c r="BG1451"/>
      <c r="BH1451"/>
      <c r="BI1451"/>
      <c r="BJ1451"/>
      <c r="BK1451" s="15" t="str">
        <f>IFERROR(VLOOKUP(B1451,'[1]model_S-フレーム'!$F$5:$R$7000,13,1),"")</f>
        <v>E387188_02</v>
      </c>
      <c r="BL1451" s="16">
        <f>IFERROR(VLOOKUP(B1451,'[1]model_S-フレーム'!$F$5:$V$7000,17,1),"")</f>
        <v>0</v>
      </c>
      <c r="BM1451" s="15" t="str" cm="1">
        <f t="array" ref="BM1451">_xlfn.IFS(LEFT(G1451,1)="L","外注品",LEFT(G1451,1)="W","内製品",G1451="","購買品")</f>
        <v>購買品</v>
      </c>
    </row>
    <row r="1452" spans="1:65" s="15" customFormat="1">
      <c r="A1452" t="str">
        <f t="shared" si="225"/>
        <v>WG01</v>
      </c>
      <c r="B1452" t="s">
        <v>1601</v>
      </c>
      <c r="C1452" t="s">
        <v>1904</v>
      </c>
      <c r="D1452" s="7"/>
      <c r="E1452" s="7"/>
      <c r="F1452"/>
      <c r="G1452"/>
      <c r="H1452">
        <v>47081</v>
      </c>
      <c r="I1452"/>
      <c r="J1452"/>
      <c r="K1452" t="str">
        <f t="shared" si="226"/>
        <v/>
      </c>
      <c r="L1452" s="3" t="str">
        <f t="shared" si="227"/>
        <v>2001/01/01</v>
      </c>
      <c r="M1452" s="3" t="str">
        <f t="shared" si="228"/>
        <v>2199/12/31</v>
      </c>
      <c r="N1452" t="str">
        <f t="shared" si="229"/>
        <v/>
      </c>
      <c r="O1452" t="str">
        <f t="shared" si="236"/>
        <v/>
      </c>
      <c r="P1452"/>
      <c r="Q1452">
        <v>15</v>
      </c>
      <c r="R1452" s="21">
        <v>100000000</v>
      </c>
      <c r="S1452" s="21" t="str" cm="1">
        <f t="array" ref="S1452">_xlfn.IFS(LEFT(G1452,1)="L","記載要",LEFT(G1452,1)="W","記載要",G1452="","")</f>
        <v/>
      </c>
      <c r="T1452"/>
      <c r="U1452"/>
      <c r="V1452"/>
      <c r="W1452"/>
      <c r="X1452"/>
      <c r="Y1452"/>
      <c r="Z1452" s="8"/>
      <c r="AA1452" s="8">
        <v>1</v>
      </c>
      <c r="AB1452">
        <f t="shared" si="230"/>
        <v>0</v>
      </c>
      <c r="AC1452" s="8">
        <v>1</v>
      </c>
      <c r="AD1452"/>
      <c r="AE1452"/>
      <c r="AF1452">
        <v>0</v>
      </c>
      <c r="AG1452" s="8"/>
      <c r="AH1452" s="8"/>
      <c r="AI1452"/>
      <c r="AJ1452"/>
      <c r="AK1452" cm="1">
        <f t="array" ref="AK1452">_xlfn.IFS(B1452="","",LEFT(G1452,1)="L",1,LEFT(G1452,1)="W",1,AND(LEFT(B1452,1)="H",G1452=""),0)</f>
        <v>0</v>
      </c>
      <c r="AL1452"/>
      <c r="AM1452"/>
      <c r="AN1452"/>
      <c r="AO1452"/>
      <c r="AP1452"/>
      <c r="AQ1452"/>
      <c r="AR1452"/>
      <c r="AS1452">
        <f t="shared" si="231"/>
        <v>1</v>
      </c>
      <c r="AT1452" t="s">
        <v>115</v>
      </c>
      <c r="AU1452" t="str">
        <f t="shared" si="232"/>
        <v>0</v>
      </c>
      <c r="AV1452"/>
      <c r="AW1452"/>
      <c r="AX1452"/>
      <c r="AY1452"/>
      <c r="AZ1452"/>
      <c r="BA1452"/>
      <c r="BB1452"/>
      <c r="BC1452"/>
      <c r="BD1452" t="str">
        <f t="shared" si="233"/>
        <v>0</v>
      </c>
      <c r="BE1452"/>
      <c r="BF1452"/>
      <c r="BG1452"/>
      <c r="BH1452"/>
      <c r="BI1452"/>
      <c r="BJ1452"/>
      <c r="BK1452" s="15" t="str">
        <f>IFERROR(VLOOKUP(B1452,'[1]model_S-フレーム'!$F$5:$R$7000,13,1),"")</f>
        <v>E387188_02</v>
      </c>
      <c r="BL1452" s="16">
        <f>IFERROR(VLOOKUP(B1452,'[1]model_S-フレーム'!$F$5:$V$7000,17,1),"")</f>
        <v>0</v>
      </c>
      <c r="BM1452" s="15" t="str" cm="1">
        <f t="array" ref="BM1452">_xlfn.IFS(LEFT(G1452,1)="L","外注品",LEFT(G1452,1)="W","内製品",G1452="","購買品")</f>
        <v>購買品</v>
      </c>
    </row>
    <row r="1453" spans="1:65">
      <c r="A1453" t="str">
        <f t="shared" si="225"/>
        <v>WG01</v>
      </c>
      <c r="B1453" t="s">
        <v>1601</v>
      </c>
      <c r="C1453" t="s">
        <v>1904</v>
      </c>
      <c r="D1453" s="7"/>
      <c r="E1453" s="7"/>
      <c r="H1453" s="19" t="s">
        <v>1937</v>
      </c>
      <c r="K1453" t="str">
        <f t="shared" si="226"/>
        <v/>
      </c>
      <c r="L1453" s="3" t="str">
        <f t="shared" si="227"/>
        <v>2001/01/01</v>
      </c>
      <c r="M1453" s="3" t="str">
        <f t="shared" si="228"/>
        <v>2199/12/31</v>
      </c>
      <c r="N1453" t="str">
        <f t="shared" si="229"/>
        <v/>
      </c>
      <c r="O1453" t="str">
        <f t="shared" si="236"/>
        <v/>
      </c>
      <c r="Q1453">
        <v>15</v>
      </c>
      <c r="R1453" s="21">
        <v>100000000</v>
      </c>
      <c r="S1453" s="21" t="str" cm="1">
        <f t="array" ref="S1453">_xlfn.IFS(LEFT(G1453,1)="L","記載要",LEFT(G1453,1)="W","記載要",G1453="","")</f>
        <v/>
      </c>
      <c r="Z1453" s="8"/>
      <c r="AA1453" s="8">
        <v>1</v>
      </c>
      <c r="AB1453">
        <f t="shared" si="230"/>
        <v>0</v>
      </c>
      <c r="AC1453" s="8">
        <v>1</v>
      </c>
      <c r="AF1453">
        <v>0</v>
      </c>
      <c r="AG1453" s="8"/>
      <c r="AH1453" s="8"/>
      <c r="AK1453" cm="1">
        <f t="array" ref="AK1453">_xlfn.IFS(B1453="","",LEFT(G1453,1)="L",1,LEFT(G1453,1)="W",1,AND(LEFT(B1453,1)="H",G1453=""),0)</f>
        <v>0</v>
      </c>
      <c r="AS1453">
        <f t="shared" si="231"/>
        <v>1</v>
      </c>
      <c r="AT1453" t="s">
        <v>115</v>
      </c>
      <c r="AU1453" t="str">
        <f t="shared" si="232"/>
        <v>0</v>
      </c>
      <c r="BD1453" t="str">
        <f t="shared" si="233"/>
        <v>0</v>
      </c>
      <c r="BK1453" t="str">
        <f>IFERROR(VLOOKUP(B1453,'[1]model_S-フレーム'!$F$5:$R$7000,13,1),"")</f>
        <v>E387188_02</v>
      </c>
      <c r="BL1453" s="7">
        <f>IFERROR(VLOOKUP(B1453,'[1]model_S-フレーム'!$F$5:$V$7000,17,1),"")</f>
        <v>0</v>
      </c>
      <c r="BM1453" t="str" cm="1">
        <f t="array" ref="BM1453">_xlfn.IFS(LEFT(G1453,1)="L","外注品",LEFT(G1453,1)="W","内製品",G1453="","購買品")</f>
        <v>購買品</v>
      </c>
    </row>
    <row r="1454" spans="1:65">
      <c r="A1454" t="str">
        <f t="shared" si="225"/>
        <v>WG01</v>
      </c>
      <c r="B1454" t="s">
        <v>1602</v>
      </c>
      <c r="C1454" t="s">
        <v>1905</v>
      </c>
      <c r="D1454" s="7"/>
      <c r="E1454" s="7"/>
      <c r="G1454" t="s">
        <v>1939</v>
      </c>
      <c r="H1454" t="str" cm="1">
        <f t="array" ref="H1454">IFERROR(_xlfn.IFS(B1454="","",AND(B1454="",G1454=""),"",G1454="","記載要"),"")</f>
        <v/>
      </c>
      <c r="K1454" t="str">
        <f t="shared" si="226"/>
        <v>11WP01073816</v>
      </c>
      <c r="L1454" s="3" t="str">
        <f t="shared" si="227"/>
        <v>2001/01/01</v>
      </c>
      <c r="M1454" s="3" t="str">
        <f t="shared" si="228"/>
        <v>2199/12/31</v>
      </c>
      <c r="N1454" t="str">
        <f t="shared" si="229"/>
        <v>11WP01073816</v>
      </c>
      <c r="O1454">
        <v>15</v>
      </c>
      <c r="Q1454" t="str" cm="1">
        <f t="array" ref="Q1454">_xlfn.IFS(AND(C1454="",G1454=""),"",LEFT(G1454,1)="L","記載要",LEFT(G1454,1)="W","",AND(C1454,G1454=""),"記載要")</f>
        <v/>
      </c>
      <c r="R1454" s="21" t="str">
        <f t="shared" si="234"/>
        <v/>
      </c>
      <c r="S1454" s="21"/>
      <c r="Z1454" s="8"/>
      <c r="AA1454">
        <v>1</v>
      </c>
      <c r="AB1454">
        <f t="shared" si="230"/>
        <v>0</v>
      </c>
      <c r="AC1454">
        <v>1</v>
      </c>
      <c r="AF1454">
        <v>1</v>
      </c>
      <c r="AG1454" s="8"/>
      <c r="AH1454" s="8"/>
      <c r="AK1454" cm="1">
        <f t="array" ref="AK1454">_xlfn.IFS(B1454="","",LEFT(G1454,1)="L",1,LEFT(G1454,1)="W",1,AND(LEFT(B1454,1)="H",G1454=""),0)</f>
        <v>1</v>
      </c>
      <c r="AS1454" t="str">
        <f t="shared" si="231"/>
        <v/>
      </c>
      <c r="AT1454" t="s">
        <v>115</v>
      </c>
      <c r="AU1454" t="str">
        <f t="shared" si="232"/>
        <v>0</v>
      </c>
      <c r="BD1454" t="str">
        <f t="shared" si="233"/>
        <v>0</v>
      </c>
      <c r="BK1454" t="str">
        <f>IFERROR(VLOOKUP(B1454,'[1]model_S-フレーム'!$F$5:$R$7000,13,1),"")</f>
        <v>E387190_01</v>
      </c>
      <c r="BL1454" s="7">
        <f>IFERROR(VLOOKUP(B1454,'[1]model_S-フレーム'!$F$5:$V$7000,17,1),"")</f>
        <v>0</v>
      </c>
      <c r="BM1454" t="str" cm="1">
        <f t="array" ref="BM1454">_xlfn.IFS(LEFT(G1454,1)="L","外注品",LEFT(G1454,1)="W","内製品",G1454="","購買品")</f>
        <v>内製品</v>
      </c>
    </row>
    <row r="1455" spans="1:65">
      <c r="A1455" t="str">
        <f t="shared" si="225"/>
        <v>WG01</v>
      </c>
      <c r="B1455" t="s">
        <v>1603</v>
      </c>
      <c r="C1455" t="s">
        <v>1905</v>
      </c>
      <c r="D1455" s="7"/>
      <c r="E1455" s="7"/>
      <c r="G1455" t="s">
        <v>1939</v>
      </c>
      <c r="H1455" t="str" cm="1">
        <f t="array" ref="H1455">IFERROR(_xlfn.IFS(B1455="","",AND(B1455="",G1455=""),"",G1455="","記載要"),"")</f>
        <v/>
      </c>
      <c r="K1455" t="str">
        <f t="shared" si="226"/>
        <v>11WP01073817</v>
      </c>
      <c r="L1455" s="3" t="str">
        <f t="shared" si="227"/>
        <v>2001/01/01</v>
      </c>
      <c r="M1455" s="3" t="str">
        <f t="shared" si="228"/>
        <v>2199/12/31</v>
      </c>
      <c r="N1455" t="str">
        <f t="shared" si="229"/>
        <v>11WP01073817</v>
      </c>
      <c r="O1455">
        <v>15</v>
      </c>
      <c r="Q1455" t="str" cm="1">
        <f t="array" ref="Q1455">_xlfn.IFS(AND(C1455="",G1455=""),"",LEFT(G1455,1)="L","記載要",LEFT(G1455,1)="W","",AND(C1455,G1455=""),"記載要")</f>
        <v/>
      </c>
      <c r="R1455" s="21" t="str">
        <f t="shared" si="234"/>
        <v/>
      </c>
      <c r="S1455" s="21"/>
      <c r="Z1455" s="8"/>
      <c r="AA1455">
        <v>1</v>
      </c>
      <c r="AB1455">
        <f t="shared" si="230"/>
        <v>0</v>
      </c>
      <c r="AC1455">
        <v>1</v>
      </c>
      <c r="AF1455">
        <v>1</v>
      </c>
      <c r="AG1455" s="8"/>
      <c r="AH1455" s="8"/>
      <c r="AK1455" cm="1">
        <f t="array" ref="AK1455">_xlfn.IFS(B1455="","",LEFT(G1455,1)="L",1,LEFT(G1455,1)="W",1,AND(LEFT(B1455,1)="H",G1455=""),0)</f>
        <v>1</v>
      </c>
      <c r="AS1455" t="str">
        <f t="shared" si="231"/>
        <v/>
      </c>
      <c r="AT1455" t="s">
        <v>115</v>
      </c>
      <c r="AU1455" t="str">
        <f t="shared" si="232"/>
        <v>0</v>
      </c>
      <c r="BD1455" t="str">
        <f t="shared" si="233"/>
        <v>0</v>
      </c>
      <c r="BK1455" t="str">
        <f>IFERROR(VLOOKUP(B1455,'[1]model_S-フレーム'!$F$5:$R$7000,13,1),"")</f>
        <v>E387190_01</v>
      </c>
      <c r="BL1455" s="7">
        <f>IFERROR(VLOOKUP(B1455,'[1]model_S-フレーム'!$F$5:$V$7000,17,1),"")</f>
        <v>0</v>
      </c>
      <c r="BM1455" t="str" cm="1">
        <f t="array" ref="BM1455">_xlfn.IFS(LEFT(G1455,1)="L","外注品",LEFT(G1455,1)="W","内製品",G1455="","購買品")</f>
        <v>内製品</v>
      </c>
    </row>
    <row r="1456" spans="1:65">
      <c r="A1456" t="str">
        <f t="shared" si="225"/>
        <v>WG01</v>
      </c>
      <c r="B1456" t="s">
        <v>1604</v>
      </c>
      <c r="C1456" t="s">
        <v>1905</v>
      </c>
      <c r="D1456" s="7"/>
      <c r="E1456" s="7"/>
      <c r="G1456" t="s">
        <v>1939</v>
      </c>
      <c r="H1456" t="str" cm="1">
        <f t="array" ref="H1456">IFERROR(_xlfn.IFS(B1456="","",AND(B1456="",G1456=""),"",G1456="","記載要"),"")</f>
        <v/>
      </c>
      <c r="K1456" t="str">
        <f t="shared" si="226"/>
        <v>11WP01073818</v>
      </c>
      <c r="L1456" s="3" t="str">
        <f t="shared" si="227"/>
        <v>2001/01/01</v>
      </c>
      <c r="M1456" s="3" t="str">
        <f t="shared" si="228"/>
        <v>2199/12/31</v>
      </c>
      <c r="N1456" t="str">
        <f t="shared" si="229"/>
        <v>11WP01073818</v>
      </c>
      <c r="O1456">
        <v>15</v>
      </c>
      <c r="Q1456" t="str" cm="1">
        <f t="array" ref="Q1456">_xlfn.IFS(AND(C1456="",G1456=""),"",LEFT(G1456,1)="L","記載要",LEFT(G1456,1)="W","",AND(C1456,G1456=""),"記載要")</f>
        <v/>
      </c>
      <c r="R1456" s="21" t="str">
        <f t="shared" si="234"/>
        <v/>
      </c>
      <c r="S1456" s="21"/>
      <c r="Z1456" s="8"/>
      <c r="AA1456">
        <v>1</v>
      </c>
      <c r="AB1456">
        <f t="shared" si="230"/>
        <v>0</v>
      </c>
      <c r="AC1456">
        <v>1</v>
      </c>
      <c r="AF1456">
        <v>1</v>
      </c>
      <c r="AG1456" s="8"/>
      <c r="AH1456" s="8"/>
      <c r="AK1456" cm="1">
        <f t="array" ref="AK1456">_xlfn.IFS(B1456="","",LEFT(G1456,1)="L",1,LEFT(G1456,1)="W",1,AND(LEFT(B1456,1)="H",G1456=""),0)</f>
        <v>1</v>
      </c>
      <c r="AS1456" t="str">
        <f t="shared" si="231"/>
        <v/>
      </c>
      <c r="AT1456" t="s">
        <v>115</v>
      </c>
      <c r="AU1456" t="str">
        <f t="shared" si="232"/>
        <v>0</v>
      </c>
      <c r="BD1456" t="str">
        <f t="shared" si="233"/>
        <v>0</v>
      </c>
      <c r="BK1456" t="str">
        <f>IFERROR(VLOOKUP(B1456,'[1]model_S-フレーム'!$F$5:$R$7000,13,1),"")</f>
        <v>E387190_01</v>
      </c>
      <c r="BL1456" s="7">
        <f>IFERROR(VLOOKUP(B1456,'[1]model_S-フレーム'!$F$5:$V$7000,17,1),"")</f>
        <v>0</v>
      </c>
      <c r="BM1456" t="str" cm="1">
        <f t="array" ref="BM1456">_xlfn.IFS(LEFT(G1456,1)="L","外注品",LEFT(G1456,1)="W","内製品",G1456="","購買品")</f>
        <v>内製品</v>
      </c>
    </row>
    <row r="1457" spans="1:65">
      <c r="A1457" t="str">
        <f t="shared" si="225"/>
        <v>WG01</v>
      </c>
      <c r="B1457" t="s">
        <v>1605</v>
      </c>
      <c r="C1457" t="s">
        <v>1905</v>
      </c>
      <c r="D1457" s="7"/>
      <c r="E1457" s="7"/>
      <c r="G1457" t="s">
        <v>1939</v>
      </c>
      <c r="H1457" t="str" cm="1">
        <f t="array" ref="H1457">IFERROR(_xlfn.IFS(B1457="","",AND(B1457="",G1457=""),"",G1457="","記載要"),"")</f>
        <v/>
      </c>
      <c r="K1457" t="str">
        <f t="shared" si="226"/>
        <v>11WP01073819</v>
      </c>
      <c r="L1457" s="3" t="str">
        <f t="shared" si="227"/>
        <v>2001/01/01</v>
      </c>
      <c r="M1457" s="3" t="str">
        <f t="shared" si="228"/>
        <v>2199/12/31</v>
      </c>
      <c r="N1457" t="str">
        <f t="shared" si="229"/>
        <v>11WP01073819</v>
      </c>
      <c r="O1457">
        <v>15</v>
      </c>
      <c r="Q1457" t="str" cm="1">
        <f t="array" ref="Q1457">_xlfn.IFS(AND(C1457="",G1457=""),"",LEFT(G1457,1)="L","記載要",LEFT(G1457,1)="W","",AND(C1457,G1457=""),"記載要")</f>
        <v/>
      </c>
      <c r="R1457" s="21" t="str">
        <f t="shared" si="234"/>
        <v/>
      </c>
      <c r="S1457" s="21"/>
      <c r="Z1457" s="8"/>
      <c r="AA1457">
        <v>1</v>
      </c>
      <c r="AB1457">
        <f t="shared" si="230"/>
        <v>0</v>
      </c>
      <c r="AC1457">
        <v>1</v>
      </c>
      <c r="AF1457">
        <v>1</v>
      </c>
      <c r="AG1457" s="8"/>
      <c r="AH1457" s="8"/>
      <c r="AK1457" cm="1">
        <f t="array" ref="AK1457">_xlfn.IFS(B1457="","",LEFT(G1457,1)="L",1,LEFT(G1457,1)="W",1,AND(LEFT(B1457,1)="H",G1457=""),0)</f>
        <v>1</v>
      </c>
      <c r="AS1457" t="str">
        <f t="shared" si="231"/>
        <v/>
      </c>
      <c r="AT1457" t="s">
        <v>115</v>
      </c>
      <c r="AU1457" t="str">
        <f t="shared" si="232"/>
        <v>0</v>
      </c>
      <c r="BD1457" t="str">
        <f t="shared" si="233"/>
        <v>0</v>
      </c>
      <c r="BK1457" t="str">
        <f>IFERROR(VLOOKUP(B1457,'[1]model_S-フレーム'!$F$5:$R$7000,13,1),"")</f>
        <v>E387190_01</v>
      </c>
      <c r="BL1457" s="7">
        <f>IFERROR(VLOOKUP(B1457,'[1]model_S-フレーム'!$F$5:$V$7000,17,1),"")</f>
        <v>0</v>
      </c>
      <c r="BM1457" t="str" cm="1">
        <f t="array" ref="BM1457">_xlfn.IFS(LEFT(G1457,1)="L","外注品",LEFT(G1457,1)="W","内製品",G1457="","購買品")</f>
        <v>内製品</v>
      </c>
    </row>
    <row r="1458" spans="1:65">
      <c r="A1458" t="str">
        <f t="shared" si="225"/>
        <v>WG01</v>
      </c>
      <c r="B1458" t="s">
        <v>1606</v>
      </c>
      <c r="C1458" t="s">
        <v>1905</v>
      </c>
      <c r="D1458" s="7"/>
      <c r="E1458" s="7"/>
      <c r="G1458" t="s">
        <v>1939</v>
      </c>
      <c r="H1458" t="str" cm="1">
        <f t="array" ref="H1458">IFERROR(_xlfn.IFS(B1458="","",AND(B1458="",G1458=""),"",G1458="","記載要"),"")</f>
        <v/>
      </c>
      <c r="K1458" t="str">
        <f t="shared" si="226"/>
        <v>11WP01073820</v>
      </c>
      <c r="L1458" s="3" t="str">
        <f t="shared" si="227"/>
        <v>2001/01/01</v>
      </c>
      <c r="M1458" s="3" t="str">
        <f t="shared" si="228"/>
        <v>2199/12/31</v>
      </c>
      <c r="N1458" t="str">
        <f t="shared" si="229"/>
        <v>11WP01073820</v>
      </c>
      <c r="O1458">
        <v>15</v>
      </c>
      <c r="Q1458" t="str" cm="1">
        <f t="array" ref="Q1458">_xlfn.IFS(AND(C1458="",G1458=""),"",LEFT(G1458,1)="L","記載要",LEFT(G1458,1)="W","",AND(C1458,G1458=""),"記載要")</f>
        <v/>
      </c>
      <c r="R1458" s="21" t="str">
        <f t="shared" si="234"/>
        <v/>
      </c>
      <c r="S1458" s="21"/>
      <c r="Z1458" s="8"/>
      <c r="AA1458">
        <v>1</v>
      </c>
      <c r="AB1458">
        <f t="shared" si="230"/>
        <v>0</v>
      </c>
      <c r="AC1458">
        <v>1</v>
      </c>
      <c r="AF1458">
        <v>1</v>
      </c>
      <c r="AG1458" s="8"/>
      <c r="AH1458" s="8"/>
      <c r="AK1458" cm="1">
        <f t="array" ref="AK1458">_xlfn.IFS(B1458="","",LEFT(G1458,1)="L",1,LEFT(G1458,1)="W",1,AND(LEFT(B1458,1)="H",G1458=""),0)</f>
        <v>1</v>
      </c>
      <c r="AS1458" t="str">
        <f t="shared" si="231"/>
        <v/>
      </c>
      <c r="AT1458" t="s">
        <v>115</v>
      </c>
      <c r="AU1458" t="str">
        <f t="shared" si="232"/>
        <v>0</v>
      </c>
      <c r="BD1458" t="str">
        <f t="shared" si="233"/>
        <v>0</v>
      </c>
      <c r="BK1458" t="str">
        <f>IFERROR(VLOOKUP(B1458,'[1]model_S-フレーム'!$F$5:$R$7000,13,1),"")</f>
        <v>E387190_01</v>
      </c>
      <c r="BL1458" s="7">
        <f>IFERROR(VLOOKUP(B1458,'[1]model_S-フレーム'!$F$5:$V$7000,17,1),"")</f>
        <v>0</v>
      </c>
      <c r="BM1458" t="str" cm="1">
        <f t="array" ref="BM1458">_xlfn.IFS(LEFT(G1458,1)="L","外注品",LEFT(G1458,1)="W","内製品",G1458="","購買品")</f>
        <v>内製品</v>
      </c>
    </row>
    <row r="1459" spans="1:65">
      <c r="A1459" t="str">
        <f t="shared" si="225"/>
        <v>WG01</v>
      </c>
      <c r="B1459" t="s">
        <v>1607</v>
      </c>
      <c r="C1459" t="s">
        <v>1905</v>
      </c>
      <c r="D1459" s="7"/>
      <c r="E1459" s="7"/>
      <c r="G1459" t="s">
        <v>1939</v>
      </c>
      <c r="H1459" t="str" cm="1">
        <f t="array" ref="H1459">IFERROR(_xlfn.IFS(B1459="","",AND(B1459="",G1459=""),"",G1459="","記載要"),"")</f>
        <v/>
      </c>
      <c r="K1459" t="str">
        <f t="shared" si="226"/>
        <v>11WP01073821</v>
      </c>
      <c r="L1459" s="3" t="str">
        <f t="shared" si="227"/>
        <v>2001/01/01</v>
      </c>
      <c r="M1459" s="3" t="str">
        <f t="shared" si="228"/>
        <v>2199/12/31</v>
      </c>
      <c r="N1459" t="str">
        <f t="shared" si="229"/>
        <v>11WP01073821</v>
      </c>
      <c r="O1459">
        <v>15</v>
      </c>
      <c r="Q1459" t="str" cm="1">
        <f t="array" ref="Q1459">_xlfn.IFS(AND(C1459="",G1459=""),"",LEFT(G1459,1)="L","記載要",LEFT(G1459,1)="W","",AND(C1459,G1459=""),"記載要")</f>
        <v/>
      </c>
      <c r="R1459" s="21" t="str">
        <f t="shared" si="234"/>
        <v/>
      </c>
      <c r="S1459" s="21"/>
      <c r="Z1459" s="8"/>
      <c r="AA1459">
        <v>1</v>
      </c>
      <c r="AB1459">
        <f t="shared" si="230"/>
        <v>0</v>
      </c>
      <c r="AC1459">
        <v>1</v>
      </c>
      <c r="AF1459">
        <v>1</v>
      </c>
      <c r="AG1459" s="8"/>
      <c r="AH1459" s="8"/>
      <c r="AK1459" cm="1">
        <f t="array" ref="AK1459">_xlfn.IFS(B1459="","",LEFT(G1459,1)="L",1,LEFT(G1459,1)="W",1,AND(LEFT(B1459,1)="H",G1459=""),0)</f>
        <v>1</v>
      </c>
      <c r="AS1459" t="str">
        <f t="shared" si="231"/>
        <v/>
      </c>
      <c r="AT1459" t="s">
        <v>115</v>
      </c>
      <c r="AU1459" t="str">
        <f t="shared" si="232"/>
        <v>0</v>
      </c>
      <c r="BD1459" t="str">
        <f t="shared" si="233"/>
        <v>0</v>
      </c>
      <c r="BK1459" t="str">
        <f>IFERROR(VLOOKUP(B1459,'[1]model_S-フレーム'!$F$5:$R$7000,13,1),"")</f>
        <v>E387190_01</v>
      </c>
      <c r="BL1459" s="7">
        <f>IFERROR(VLOOKUP(B1459,'[1]model_S-フレーム'!$F$5:$V$7000,17,1),"")</f>
        <v>0</v>
      </c>
      <c r="BM1459" t="str" cm="1">
        <f t="array" ref="BM1459">_xlfn.IFS(LEFT(G1459,1)="L","外注品",LEFT(G1459,1)="W","内製品",G1459="","購買品")</f>
        <v>内製品</v>
      </c>
    </row>
    <row r="1460" spans="1:65">
      <c r="A1460" t="str">
        <f t="shared" si="225"/>
        <v>WG01</v>
      </c>
      <c r="B1460" t="s">
        <v>1608</v>
      </c>
      <c r="C1460" t="s">
        <v>1905</v>
      </c>
      <c r="D1460" s="7"/>
      <c r="E1460" s="7"/>
      <c r="G1460" t="s">
        <v>1939</v>
      </c>
      <c r="H1460" t="str" cm="1">
        <f t="array" ref="H1460">IFERROR(_xlfn.IFS(B1460="","",AND(B1460="",G1460=""),"",G1460="","記載要"),"")</f>
        <v/>
      </c>
      <c r="K1460" t="str">
        <f t="shared" si="226"/>
        <v>11WP01073822</v>
      </c>
      <c r="L1460" s="3" t="str">
        <f t="shared" si="227"/>
        <v>2001/01/01</v>
      </c>
      <c r="M1460" s="3" t="str">
        <f t="shared" si="228"/>
        <v>2199/12/31</v>
      </c>
      <c r="N1460" t="str">
        <f t="shared" si="229"/>
        <v>11WP01073822</v>
      </c>
      <c r="O1460">
        <v>15</v>
      </c>
      <c r="Q1460" t="str" cm="1">
        <f t="array" ref="Q1460">_xlfn.IFS(AND(C1460="",G1460=""),"",LEFT(G1460,1)="L","記載要",LEFT(G1460,1)="W","",AND(C1460,G1460=""),"記載要")</f>
        <v/>
      </c>
      <c r="R1460" s="21" t="str">
        <f t="shared" si="234"/>
        <v/>
      </c>
      <c r="S1460" s="21"/>
      <c r="Z1460" s="8"/>
      <c r="AA1460">
        <v>1</v>
      </c>
      <c r="AB1460">
        <f t="shared" si="230"/>
        <v>0</v>
      </c>
      <c r="AC1460">
        <v>1</v>
      </c>
      <c r="AF1460">
        <v>1</v>
      </c>
      <c r="AG1460" s="8"/>
      <c r="AH1460" s="8"/>
      <c r="AK1460" cm="1">
        <f t="array" ref="AK1460">_xlfn.IFS(B1460="","",LEFT(G1460,1)="L",1,LEFT(G1460,1)="W",1,AND(LEFT(B1460,1)="H",G1460=""),0)</f>
        <v>1</v>
      </c>
      <c r="AS1460" t="str">
        <f t="shared" si="231"/>
        <v/>
      </c>
      <c r="AT1460" t="s">
        <v>115</v>
      </c>
      <c r="AU1460" t="str">
        <f t="shared" si="232"/>
        <v>0</v>
      </c>
      <c r="BD1460" t="str">
        <f t="shared" si="233"/>
        <v>0</v>
      </c>
      <c r="BK1460" t="str">
        <f>IFERROR(VLOOKUP(B1460,'[1]model_S-フレーム'!$F$5:$R$7000,13,1),"")</f>
        <v>E387190_01</v>
      </c>
      <c r="BL1460" s="7">
        <f>IFERROR(VLOOKUP(B1460,'[1]model_S-フレーム'!$F$5:$V$7000,17,1),"")</f>
        <v>0</v>
      </c>
      <c r="BM1460" t="str" cm="1">
        <f t="array" ref="BM1460">_xlfn.IFS(LEFT(G1460,1)="L","外注品",LEFT(G1460,1)="W","内製品",G1460="","購買品")</f>
        <v>内製品</v>
      </c>
    </row>
    <row r="1461" spans="1:65">
      <c r="A1461" t="str">
        <f t="shared" si="225"/>
        <v>WG01</v>
      </c>
      <c r="B1461" t="s">
        <v>1609</v>
      </c>
      <c r="C1461" t="s">
        <v>1905</v>
      </c>
      <c r="D1461" s="7"/>
      <c r="E1461" s="7"/>
      <c r="G1461" t="s">
        <v>1939</v>
      </c>
      <c r="H1461" t="str" cm="1">
        <f t="array" ref="H1461">IFERROR(_xlfn.IFS(B1461="","",AND(B1461="",G1461=""),"",G1461="","記載要"),"")</f>
        <v/>
      </c>
      <c r="K1461" t="str">
        <f t="shared" si="226"/>
        <v>11WP01073823</v>
      </c>
      <c r="L1461" s="3" t="str">
        <f t="shared" si="227"/>
        <v>2001/01/01</v>
      </c>
      <c r="M1461" s="3" t="str">
        <f t="shared" si="228"/>
        <v>2199/12/31</v>
      </c>
      <c r="N1461" t="str">
        <f t="shared" si="229"/>
        <v>11WP01073823</v>
      </c>
      <c r="O1461">
        <v>15</v>
      </c>
      <c r="Q1461" t="str" cm="1">
        <f t="array" ref="Q1461">_xlfn.IFS(AND(C1461="",G1461=""),"",LEFT(G1461,1)="L","記載要",LEFT(G1461,1)="W","",AND(C1461,G1461=""),"記載要")</f>
        <v/>
      </c>
      <c r="R1461" s="21" t="str">
        <f t="shared" si="234"/>
        <v/>
      </c>
      <c r="S1461" s="21"/>
      <c r="Z1461" s="8"/>
      <c r="AA1461">
        <v>1</v>
      </c>
      <c r="AB1461">
        <f t="shared" si="230"/>
        <v>0</v>
      </c>
      <c r="AC1461">
        <v>1</v>
      </c>
      <c r="AF1461">
        <v>1</v>
      </c>
      <c r="AG1461" s="8"/>
      <c r="AH1461" s="8"/>
      <c r="AK1461" cm="1">
        <f t="array" ref="AK1461">_xlfn.IFS(B1461="","",LEFT(G1461,1)="L",1,LEFT(G1461,1)="W",1,AND(LEFT(B1461,1)="H",G1461=""),0)</f>
        <v>1</v>
      </c>
      <c r="AS1461" t="str">
        <f t="shared" si="231"/>
        <v/>
      </c>
      <c r="AT1461" t="s">
        <v>115</v>
      </c>
      <c r="AU1461" t="str">
        <f t="shared" si="232"/>
        <v>0</v>
      </c>
      <c r="BD1461" t="str">
        <f t="shared" si="233"/>
        <v>0</v>
      </c>
      <c r="BK1461" t="str">
        <f>IFERROR(VLOOKUP(B1461,'[1]model_S-フレーム'!$F$5:$R$7000,13,1),"")</f>
        <v>E387190_01</v>
      </c>
      <c r="BL1461" s="7">
        <f>IFERROR(VLOOKUP(B1461,'[1]model_S-フレーム'!$F$5:$V$7000,17,1),"")</f>
        <v>0</v>
      </c>
      <c r="BM1461" t="str" cm="1">
        <f t="array" ref="BM1461">_xlfn.IFS(LEFT(G1461,1)="L","外注品",LEFT(G1461,1)="W","内製品",G1461="","購買品")</f>
        <v>内製品</v>
      </c>
    </row>
    <row r="1462" spans="1:65">
      <c r="A1462" t="str">
        <f t="shared" si="225"/>
        <v>WG01</v>
      </c>
      <c r="B1462" t="s">
        <v>1610</v>
      </c>
      <c r="C1462" t="s">
        <v>1905</v>
      </c>
      <c r="D1462" s="7"/>
      <c r="E1462" s="7"/>
      <c r="G1462" t="s">
        <v>1939</v>
      </c>
      <c r="H1462" t="str" cm="1">
        <f t="array" ref="H1462">IFERROR(_xlfn.IFS(B1462="","",AND(B1462="",G1462=""),"",G1462="","記載要"),"")</f>
        <v/>
      </c>
      <c r="K1462" t="str">
        <f t="shared" si="226"/>
        <v>11WP01073824</v>
      </c>
      <c r="L1462" s="3" t="str">
        <f t="shared" si="227"/>
        <v>2001/01/01</v>
      </c>
      <c r="M1462" s="3" t="str">
        <f t="shared" si="228"/>
        <v>2199/12/31</v>
      </c>
      <c r="N1462" t="str">
        <f t="shared" si="229"/>
        <v>11WP01073824</v>
      </c>
      <c r="O1462">
        <v>15</v>
      </c>
      <c r="Q1462" t="str" cm="1">
        <f t="array" ref="Q1462">_xlfn.IFS(AND(C1462="",G1462=""),"",LEFT(G1462,1)="L","記載要",LEFT(G1462,1)="W","",AND(C1462,G1462=""),"記載要")</f>
        <v/>
      </c>
      <c r="R1462" s="21" t="str">
        <f t="shared" si="234"/>
        <v/>
      </c>
      <c r="S1462" s="21"/>
      <c r="Z1462" s="8"/>
      <c r="AA1462">
        <v>1</v>
      </c>
      <c r="AB1462">
        <f t="shared" si="230"/>
        <v>0</v>
      </c>
      <c r="AC1462">
        <v>1</v>
      </c>
      <c r="AF1462">
        <v>1</v>
      </c>
      <c r="AG1462" s="8"/>
      <c r="AH1462" s="8"/>
      <c r="AK1462" cm="1">
        <f t="array" ref="AK1462">_xlfn.IFS(B1462="","",LEFT(G1462,1)="L",1,LEFT(G1462,1)="W",1,AND(LEFT(B1462,1)="H",G1462=""),0)</f>
        <v>1</v>
      </c>
      <c r="AS1462" t="str">
        <f t="shared" si="231"/>
        <v/>
      </c>
      <c r="AT1462" t="s">
        <v>115</v>
      </c>
      <c r="AU1462" t="str">
        <f t="shared" si="232"/>
        <v>0</v>
      </c>
      <c r="BD1462" t="str">
        <f t="shared" si="233"/>
        <v>0</v>
      </c>
      <c r="BK1462" t="str">
        <f>IFERROR(VLOOKUP(B1462,'[1]model_S-フレーム'!$F$5:$R$7000,13,1),"")</f>
        <v>E387190_01</v>
      </c>
      <c r="BL1462" s="7">
        <f>IFERROR(VLOOKUP(B1462,'[1]model_S-フレーム'!$F$5:$V$7000,17,1),"")</f>
        <v>0</v>
      </c>
      <c r="BM1462" t="str" cm="1">
        <f t="array" ref="BM1462">_xlfn.IFS(LEFT(G1462,1)="L","外注品",LEFT(G1462,1)="W","内製品",G1462="","購買品")</f>
        <v>内製品</v>
      </c>
    </row>
    <row r="1463" spans="1:65">
      <c r="A1463" t="str">
        <f t="shared" si="225"/>
        <v>WG01</v>
      </c>
      <c r="B1463" t="s">
        <v>1611</v>
      </c>
      <c r="C1463" t="s">
        <v>1905</v>
      </c>
      <c r="D1463" s="7"/>
      <c r="E1463" s="7"/>
      <c r="G1463" t="s">
        <v>1939</v>
      </c>
      <c r="H1463" t="str" cm="1">
        <f t="array" ref="H1463">IFERROR(_xlfn.IFS(B1463="","",AND(B1463="",G1463=""),"",G1463="","記載要"),"")</f>
        <v/>
      </c>
      <c r="K1463" t="str">
        <f t="shared" si="226"/>
        <v>11WP01073825</v>
      </c>
      <c r="L1463" s="3" t="str">
        <f t="shared" si="227"/>
        <v>2001/01/01</v>
      </c>
      <c r="M1463" s="3" t="str">
        <f t="shared" si="228"/>
        <v>2199/12/31</v>
      </c>
      <c r="N1463" t="str">
        <f t="shared" si="229"/>
        <v>11WP01073825</v>
      </c>
      <c r="O1463">
        <v>15</v>
      </c>
      <c r="Q1463" t="str" cm="1">
        <f t="array" ref="Q1463">_xlfn.IFS(AND(C1463="",G1463=""),"",LEFT(G1463,1)="L","記載要",LEFT(G1463,1)="W","",AND(C1463,G1463=""),"記載要")</f>
        <v/>
      </c>
      <c r="R1463" s="21" t="str">
        <f t="shared" si="234"/>
        <v/>
      </c>
      <c r="S1463" s="21"/>
      <c r="Z1463" s="8"/>
      <c r="AA1463">
        <v>1</v>
      </c>
      <c r="AB1463">
        <f t="shared" si="230"/>
        <v>0</v>
      </c>
      <c r="AC1463">
        <v>1</v>
      </c>
      <c r="AF1463">
        <v>1</v>
      </c>
      <c r="AG1463" s="8"/>
      <c r="AH1463" s="8"/>
      <c r="AK1463" cm="1">
        <f t="array" ref="AK1463">_xlfn.IFS(B1463="","",LEFT(G1463,1)="L",1,LEFT(G1463,1)="W",1,AND(LEFT(B1463,1)="H",G1463=""),0)</f>
        <v>1</v>
      </c>
      <c r="AS1463" t="str">
        <f t="shared" si="231"/>
        <v/>
      </c>
      <c r="AT1463" t="s">
        <v>115</v>
      </c>
      <c r="AU1463" t="str">
        <f t="shared" si="232"/>
        <v>0</v>
      </c>
      <c r="BD1463" t="str">
        <f t="shared" si="233"/>
        <v>0</v>
      </c>
      <c r="BK1463" t="str">
        <f>IFERROR(VLOOKUP(B1463,'[1]model_S-フレーム'!$F$5:$R$7000,13,1),"")</f>
        <v>E387190_01</v>
      </c>
      <c r="BL1463" s="7">
        <f>IFERROR(VLOOKUP(B1463,'[1]model_S-フレーム'!$F$5:$V$7000,17,1),"")</f>
        <v>0</v>
      </c>
      <c r="BM1463" t="str" cm="1">
        <f t="array" ref="BM1463">_xlfn.IFS(LEFT(G1463,1)="L","外注品",LEFT(G1463,1)="W","内製品",G1463="","購買品")</f>
        <v>内製品</v>
      </c>
    </row>
    <row r="1464" spans="1:65">
      <c r="A1464" t="str">
        <f t="shared" si="225"/>
        <v>WG01</v>
      </c>
      <c r="B1464" t="s">
        <v>1612</v>
      </c>
      <c r="C1464" t="s">
        <v>1905</v>
      </c>
      <c r="D1464" s="7"/>
      <c r="E1464" s="7"/>
      <c r="G1464" t="s">
        <v>1939</v>
      </c>
      <c r="H1464" t="str" cm="1">
        <f t="array" ref="H1464">IFERROR(_xlfn.IFS(B1464="","",AND(B1464="",G1464=""),"",G1464="","記載要"),"")</f>
        <v/>
      </c>
      <c r="K1464" t="str">
        <f t="shared" si="226"/>
        <v>11WP01073826</v>
      </c>
      <c r="L1464" s="3" t="str">
        <f t="shared" si="227"/>
        <v>2001/01/01</v>
      </c>
      <c r="M1464" s="3" t="str">
        <f t="shared" si="228"/>
        <v>2199/12/31</v>
      </c>
      <c r="N1464" t="str">
        <f t="shared" si="229"/>
        <v>11WP01073826</v>
      </c>
      <c r="O1464">
        <v>15</v>
      </c>
      <c r="Q1464" t="str" cm="1">
        <f t="array" ref="Q1464">_xlfn.IFS(AND(C1464="",G1464=""),"",LEFT(G1464,1)="L","記載要",LEFT(G1464,1)="W","",AND(C1464,G1464=""),"記載要")</f>
        <v/>
      </c>
      <c r="R1464" s="21" t="str">
        <f t="shared" si="234"/>
        <v/>
      </c>
      <c r="S1464" s="21"/>
      <c r="Z1464" s="8"/>
      <c r="AA1464">
        <v>1</v>
      </c>
      <c r="AB1464">
        <f t="shared" si="230"/>
        <v>0</v>
      </c>
      <c r="AC1464">
        <v>1</v>
      </c>
      <c r="AF1464">
        <v>1</v>
      </c>
      <c r="AG1464" s="8"/>
      <c r="AH1464" s="8"/>
      <c r="AK1464" cm="1">
        <f t="array" ref="AK1464">_xlfn.IFS(B1464="","",LEFT(G1464,1)="L",1,LEFT(G1464,1)="W",1,AND(LEFT(B1464,1)="H",G1464=""),0)</f>
        <v>1</v>
      </c>
      <c r="AS1464" t="str">
        <f t="shared" si="231"/>
        <v/>
      </c>
      <c r="AT1464" t="s">
        <v>115</v>
      </c>
      <c r="AU1464" t="str">
        <f t="shared" si="232"/>
        <v>0</v>
      </c>
      <c r="BD1464" t="str">
        <f t="shared" si="233"/>
        <v>0</v>
      </c>
      <c r="BK1464" t="str">
        <f>IFERROR(VLOOKUP(B1464,'[1]model_S-フレーム'!$F$5:$R$7000,13,1),"")</f>
        <v>E387190_01</v>
      </c>
      <c r="BL1464" s="7">
        <f>IFERROR(VLOOKUP(B1464,'[1]model_S-フレーム'!$F$5:$V$7000,17,1),"")</f>
        <v>0</v>
      </c>
      <c r="BM1464" t="str" cm="1">
        <f t="array" ref="BM1464">_xlfn.IFS(LEFT(G1464,1)="L","外注品",LEFT(G1464,1)="W","内製品",G1464="","購買品")</f>
        <v>内製品</v>
      </c>
    </row>
    <row r="1465" spans="1:65">
      <c r="A1465" t="str">
        <f t="shared" si="225"/>
        <v>WG01</v>
      </c>
      <c r="B1465" t="s">
        <v>1613</v>
      </c>
      <c r="C1465" t="s">
        <v>1905</v>
      </c>
      <c r="D1465" s="7"/>
      <c r="E1465" s="7"/>
      <c r="G1465" t="s">
        <v>1939</v>
      </c>
      <c r="H1465" t="str" cm="1">
        <f t="array" ref="H1465">IFERROR(_xlfn.IFS(B1465="","",AND(B1465="",G1465=""),"",G1465="","記載要"),"")</f>
        <v/>
      </c>
      <c r="K1465" t="str">
        <f t="shared" si="226"/>
        <v>11WP01073827</v>
      </c>
      <c r="L1465" s="3" t="str">
        <f t="shared" si="227"/>
        <v>2001/01/01</v>
      </c>
      <c r="M1465" s="3" t="str">
        <f t="shared" si="228"/>
        <v>2199/12/31</v>
      </c>
      <c r="N1465" t="str">
        <f t="shared" si="229"/>
        <v>11WP01073827</v>
      </c>
      <c r="O1465">
        <v>15</v>
      </c>
      <c r="Q1465" t="str" cm="1">
        <f t="array" ref="Q1465">_xlfn.IFS(AND(C1465="",G1465=""),"",LEFT(G1465,1)="L","記載要",LEFT(G1465,1)="W","",AND(C1465,G1465=""),"記載要")</f>
        <v/>
      </c>
      <c r="R1465" s="21" t="str">
        <f t="shared" si="234"/>
        <v/>
      </c>
      <c r="S1465" s="21"/>
      <c r="Z1465" s="8"/>
      <c r="AA1465">
        <v>1</v>
      </c>
      <c r="AB1465">
        <f t="shared" si="230"/>
        <v>0</v>
      </c>
      <c r="AC1465">
        <v>1</v>
      </c>
      <c r="AF1465">
        <v>1</v>
      </c>
      <c r="AG1465" s="8"/>
      <c r="AH1465" s="8"/>
      <c r="AK1465" cm="1">
        <f t="array" ref="AK1465">_xlfn.IFS(B1465="","",LEFT(G1465,1)="L",1,LEFT(G1465,1)="W",1,AND(LEFT(B1465,1)="H",G1465=""),0)</f>
        <v>1</v>
      </c>
      <c r="AS1465" t="str">
        <f t="shared" si="231"/>
        <v/>
      </c>
      <c r="AT1465" t="s">
        <v>115</v>
      </c>
      <c r="AU1465" t="str">
        <f t="shared" si="232"/>
        <v>0</v>
      </c>
      <c r="BD1465" t="str">
        <f t="shared" si="233"/>
        <v>0</v>
      </c>
      <c r="BK1465" t="str">
        <f>IFERROR(VLOOKUP(B1465,'[1]model_S-フレーム'!$F$5:$R$7000,13,1),"")</f>
        <v>E387190_01</v>
      </c>
      <c r="BL1465" s="7">
        <f>IFERROR(VLOOKUP(B1465,'[1]model_S-フレーム'!$F$5:$V$7000,17,1),"")</f>
        <v>0</v>
      </c>
      <c r="BM1465" t="str" cm="1">
        <f t="array" ref="BM1465">_xlfn.IFS(LEFT(G1465,1)="L","外注品",LEFT(G1465,1)="W","内製品",G1465="","購買品")</f>
        <v>内製品</v>
      </c>
    </row>
    <row r="1466" spans="1:65">
      <c r="A1466" t="str">
        <f t="shared" si="225"/>
        <v>WG01</v>
      </c>
      <c r="B1466" t="s">
        <v>1614</v>
      </c>
      <c r="C1466" t="s">
        <v>1905</v>
      </c>
      <c r="D1466" s="7"/>
      <c r="E1466" s="7"/>
      <c r="G1466" t="s">
        <v>1939</v>
      </c>
      <c r="H1466" t="str" cm="1">
        <f t="array" ref="H1466">IFERROR(_xlfn.IFS(B1466="","",AND(B1466="",G1466=""),"",G1466="","記載要"),"")</f>
        <v/>
      </c>
      <c r="K1466" t="str">
        <f t="shared" si="226"/>
        <v>11WP01073828</v>
      </c>
      <c r="L1466" s="3" t="str">
        <f t="shared" si="227"/>
        <v>2001/01/01</v>
      </c>
      <c r="M1466" s="3" t="str">
        <f t="shared" si="228"/>
        <v>2199/12/31</v>
      </c>
      <c r="N1466" t="str">
        <f t="shared" si="229"/>
        <v>11WP01073828</v>
      </c>
      <c r="O1466">
        <v>15</v>
      </c>
      <c r="Q1466" t="str" cm="1">
        <f t="array" ref="Q1466">_xlfn.IFS(AND(C1466="",G1466=""),"",LEFT(G1466,1)="L","記載要",LEFT(G1466,1)="W","",AND(C1466,G1466=""),"記載要")</f>
        <v/>
      </c>
      <c r="R1466" s="21" t="str">
        <f t="shared" si="234"/>
        <v/>
      </c>
      <c r="S1466" s="21"/>
      <c r="Z1466" s="8"/>
      <c r="AA1466">
        <v>1</v>
      </c>
      <c r="AB1466">
        <f t="shared" si="230"/>
        <v>0</v>
      </c>
      <c r="AC1466">
        <v>1</v>
      </c>
      <c r="AF1466">
        <v>1</v>
      </c>
      <c r="AG1466" s="8"/>
      <c r="AH1466" s="8"/>
      <c r="AK1466" cm="1">
        <f t="array" ref="AK1466">_xlfn.IFS(B1466="","",LEFT(G1466,1)="L",1,LEFT(G1466,1)="W",1,AND(LEFT(B1466,1)="H",G1466=""),0)</f>
        <v>1</v>
      </c>
      <c r="AS1466" t="str">
        <f t="shared" si="231"/>
        <v/>
      </c>
      <c r="AT1466" t="s">
        <v>115</v>
      </c>
      <c r="AU1466" t="str">
        <f t="shared" si="232"/>
        <v>0</v>
      </c>
      <c r="BD1466" t="str">
        <f t="shared" si="233"/>
        <v>0</v>
      </c>
      <c r="BK1466" t="str">
        <f>IFERROR(VLOOKUP(B1466,'[1]model_S-フレーム'!$F$5:$R$7000,13,1),"")</f>
        <v>E387190_01</v>
      </c>
      <c r="BL1466" s="7">
        <f>IFERROR(VLOOKUP(B1466,'[1]model_S-フレーム'!$F$5:$V$7000,17,1),"")</f>
        <v>0</v>
      </c>
      <c r="BM1466" t="str" cm="1">
        <f t="array" ref="BM1466">_xlfn.IFS(LEFT(G1466,1)="L","外注品",LEFT(G1466,1)="W","内製品",G1466="","購買品")</f>
        <v>内製品</v>
      </c>
    </row>
    <row r="1467" spans="1:65">
      <c r="A1467" t="str">
        <f t="shared" si="225"/>
        <v>WG01</v>
      </c>
      <c r="B1467" t="s">
        <v>1615</v>
      </c>
      <c r="C1467" t="s">
        <v>1905</v>
      </c>
      <c r="D1467" s="7"/>
      <c r="E1467" s="7"/>
      <c r="G1467" t="s">
        <v>1939</v>
      </c>
      <c r="H1467" t="str" cm="1">
        <f t="array" ref="H1467">IFERROR(_xlfn.IFS(B1467="","",AND(B1467="",G1467=""),"",G1467="","記載要"),"")</f>
        <v/>
      </c>
      <c r="K1467" t="str">
        <f t="shared" si="226"/>
        <v>11WP01073829</v>
      </c>
      <c r="L1467" s="3" t="str">
        <f t="shared" si="227"/>
        <v>2001/01/01</v>
      </c>
      <c r="M1467" s="3" t="str">
        <f t="shared" si="228"/>
        <v>2199/12/31</v>
      </c>
      <c r="N1467" t="str">
        <f t="shared" si="229"/>
        <v>11WP01073829</v>
      </c>
      <c r="O1467">
        <v>15</v>
      </c>
      <c r="Q1467" t="str" cm="1">
        <f t="array" ref="Q1467">_xlfn.IFS(AND(C1467="",G1467=""),"",LEFT(G1467,1)="L","記載要",LEFT(G1467,1)="W","",AND(C1467,G1467=""),"記載要")</f>
        <v/>
      </c>
      <c r="R1467" s="21" t="str">
        <f t="shared" si="234"/>
        <v/>
      </c>
      <c r="S1467" s="21"/>
      <c r="Z1467" s="8"/>
      <c r="AA1467">
        <v>1</v>
      </c>
      <c r="AB1467">
        <f t="shared" si="230"/>
        <v>0</v>
      </c>
      <c r="AC1467">
        <v>1</v>
      </c>
      <c r="AF1467">
        <v>1</v>
      </c>
      <c r="AG1467" s="8"/>
      <c r="AH1467" s="8"/>
      <c r="AK1467" cm="1">
        <f t="array" ref="AK1467">_xlfn.IFS(B1467="","",LEFT(G1467,1)="L",1,LEFT(G1467,1)="W",1,AND(LEFT(B1467,1)="H",G1467=""),0)</f>
        <v>1</v>
      </c>
      <c r="AS1467" t="str">
        <f t="shared" si="231"/>
        <v/>
      </c>
      <c r="AT1467" t="s">
        <v>115</v>
      </c>
      <c r="AU1467" t="str">
        <f t="shared" si="232"/>
        <v>0</v>
      </c>
      <c r="BD1467" t="str">
        <f t="shared" si="233"/>
        <v>0</v>
      </c>
      <c r="BK1467" t="str">
        <f>IFERROR(VLOOKUP(B1467,'[1]model_S-フレーム'!$F$5:$R$7000,13,1),"")</f>
        <v>E387190_01</v>
      </c>
      <c r="BL1467" s="7">
        <f>IFERROR(VLOOKUP(B1467,'[1]model_S-フレーム'!$F$5:$V$7000,17,1),"")</f>
        <v>0</v>
      </c>
      <c r="BM1467" t="str" cm="1">
        <f t="array" ref="BM1467">_xlfn.IFS(LEFT(G1467,1)="L","外注品",LEFT(G1467,1)="W","内製品",G1467="","購買品")</f>
        <v>内製品</v>
      </c>
    </row>
    <row r="1468" spans="1:65">
      <c r="A1468" t="str">
        <f t="shared" si="225"/>
        <v>WG01</v>
      </c>
      <c r="B1468" t="s">
        <v>1616</v>
      </c>
      <c r="C1468" t="s">
        <v>1905</v>
      </c>
      <c r="D1468" s="7"/>
      <c r="E1468" s="7"/>
      <c r="G1468" t="s">
        <v>1939</v>
      </c>
      <c r="H1468" t="str" cm="1">
        <f t="array" ref="H1468">IFERROR(_xlfn.IFS(B1468="","",AND(B1468="",G1468=""),"",G1468="","記載要"),"")</f>
        <v/>
      </c>
      <c r="K1468" t="str">
        <f t="shared" si="226"/>
        <v>11WP01073830</v>
      </c>
      <c r="L1468" s="3" t="str">
        <f t="shared" si="227"/>
        <v>2001/01/01</v>
      </c>
      <c r="M1468" s="3" t="str">
        <f t="shared" si="228"/>
        <v>2199/12/31</v>
      </c>
      <c r="N1468" t="str">
        <f t="shared" si="229"/>
        <v>11WP01073830</v>
      </c>
      <c r="O1468">
        <v>15</v>
      </c>
      <c r="Q1468" t="str" cm="1">
        <f t="array" ref="Q1468">_xlfn.IFS(AND(C1468="",G1468=""),"",LEFT(G1468,1)="L","記載要",LEFT(G1468,1)="W","",AND(C1468,G1468=""),"記載要")</f>
        <v/>
      </c>
      <c r="R1468" s="21" t="str">
        <f t="shared" si="234"/>
        <v/>
      </c>
      <c r="S1468" s="21"/>
      <c r="Z1468" s="8"/>
      <c r="AA1468">
        <v>1</v>
      </c>
      <c r="AB1468">
        <f t="shared" si="230"/>
        <v>0</v>
      </c>
      <c r="AC1468">
        <v>1</v>
      </c>
      <c r="AF1468">
        <v>1</v>
      </c>
      <c r="AG1468" s="8"/>
      <c r="AH1468" s="8"/>
      <c r="AK1468" cm="1">
        <f t="array" ref="AK1468">_xlfn.IFS(B1468="","",LEFT(G1468,1)="L",1,LEFT(G1468,1)="W",1,AND(LEFT(B1468,1)="H",G1468=""),0)</f>
        <v>1</v>
      </c>
      <c r="AS1468" t="str">
        <f t="shared" si="231"/>
        <v/>
      </c>
      <c r="AT1468" t="s">
        <v>115</v>
      </c>
      <c r="AU1468" t="str">
        <f t="shared" si="232"/>
        <v>0</v>
      </c>
      <c r="BD1468" t="str">
        <f t="shared" si="233"/>
        <v>0</v>
      </c>
      <c r="BK1468" t="str">
        <f>IFERROR(VLOOKUP(B1468,'[1]model_S-フレーム'!$F$5:$R$7000,13,1),"")</f>
        <v>E387190_01</v>
      </c>
      <c r="BL1468" s="7">
        <f>IFERROR(VLOOKUP(B1468,'[1]model_S-フレーム'!$F$5:$V$7000,17,1),"")</f>
        <v>0</v>
      </c>
      <c r="BM1468" t="str" cm="1">
        <f t="array" ref="BM1468">_xlfn.IFS(LEFT(G1468,1)="L","外注品",LEFT(G1468,1)="W","内製品",G1468="","購買品")</f>
        <v>内製品</v>
      </c>
    </row>
    <row r="1469" spans="1:65">
      <c r="A1469" t="str">
        <f t="shared" si="225"/>
        <v>WG01</v>
      </c>
      <c r="B1469" t="s">
        <v>1617</v>
      </c>
      <c r="C1469" t="s">
        <v>1905</v>
      </c>
      <c r="D1469" s="7"/>
      <c r="E1469" s="7"/>
      <c r="G1469" t="s">
        <v>1939</v>
      </c>
      <c r="H1469" t="str" cm="1">
        <f t="array" ref="H1469">IFERROR(_xlfn.IFS(B1469="","",AND(B1469="",G1469=""),"",G1469="","記載要"),"")</f>
        <v/>
      </c>
      <c r="K1469" t="str">
        <f t="shared" si="226"/>
        <v>11WP01073831</v>
      </c>
      <c r="L1469" s="3" t="str">
        <f t="shared" si="227"/>
        <v>2001/01/01</v>
      </c>
      <c r="M1469" s="3" t="str">
        <f t="shared" si="228"/>
        <v>2199/12/31</v>
      </c>
      <c r="N1469" t="str">
        <f t="shared" si="229"/>
        <v>11WP01073831</v>
      </c>
      <c r="O1469">
        <v>15</v>
      </c>
      <c r="Q1469" t="str" cm="1">
        <f t="array" ref="Q1469">_xlfn.IFS(AND(C1469="",G1469=""),"",LEFT(G1469,1)="L","記載要",LEFT(G1469,1)="W","",AND(C1469,G1469=""),"記載要")</f>
        <v/>
      </c>
      <c r="R1469" s="21" t="str">
        <f t="shared" si="234"/>
        <v/>
      </c>
      <c r="S1469" s="21"/>
      <c r="Z1469" s="8"/>
      <c r="AA1469">
        <v>1</v>
      </c>
      <c r="AB1469">
        <f t="shared" si="230"/>
        <v>0</v>
      </c>
      <c r="AC1469">
        <v>1</v>
      </c>
      <c r="AF1469">
        <v>1</v>
      </c>
      <c r="AG1469" s="8"/>
      <c r="AH1469" s="8"/>
      <c r="AK1469" cm="1">
        <f t="array" ref="AK1469">_xlfn.IFS(B1469="","",LEFT(G1469,1)="L",1,LEFT(G1469,1)="W",1,AND(LEFT(B1469,1)="H",G1469=""),0)</f>
        <v>1</v>
      </c>
      <c r="AS1469" t="str">
        <f t="shared" si="231"/>
        <v/>
      </c>
      <c r="AT1469" t="s">
        <v>115</v>
      </c>
      <c r="AU1469" t="str">
        <f t="shared" si="232"/>
        <v>0</v>
      </c>
      <c r="BD1469" t="str">
        <f t="shared" si="233"/>
        <v>0</v>
      </c>
      <c r="BK1469" t="str">
        <f>IFERROR(VLOOKUP(B1469,'[1]model_S-フレーム'!$F$5:$R$7000,13,1),"")</f>
        <v>E387190_01</v>
      </c>
      <c r="BL1469" s="7">
        <f>IFERROR(VLOOKUP(B1469,'[1]model_S-フレーム'!$F$5:$V$7000,17,1),"")</f>
        <v>0</v>
      </c>
      <c r="BM1469" t="str" cm="1">
        <f t="array" ref="BM1469">_xlfn.IFS(LEFT(G1469,1)="L","外注品",LEFT(G1469,1)="W","内製品",G1469="","購買品")</f>
        <v>内製品</v>
      </c>
    </row>
    <row r="1470" spans="1:65" s="15" customFormat="1">
      <c r="A1470" t="str">
        <f t="shared" si="225"/>
        <v>WG01</v>
      </c>
      <c r="B1470" t="s">
        <v>1618</v>
      </c>
      <c r="C1470" t="s">
        <v>1906</v>
      </c>
      <c r="D1470" s="7"/>
      <c r="E1470" s="7"/>
      <c r="F1470"/>
      <c r="G1470"/>
      <c r="H1470">
        <v>27616</v>
      </c>
      <c r="I1470"/>
      <c r="J1470"/>
      <c r="K1470" t="str">
        <f t="shared" si="226"/>
        <v/>
      </c>
      <c r="L1470" s="3" t="str">
        <f t="shared" si="227"/>
        <v>2001/01/01</v>
      </c>
      <c r="M1470" s="3" t="str">
        <f t="shared" si="228"/>
        <v>2199/12/31</v>
      </c>
      <c r="N1470" t="str">
        <f t="shared" si="229"/>
        <v/>
      </c>
      <c r="O1470" t="str">
        <f t="shared" ref="O1470:O1489" si="237">IF(G1470="","","記載要")</f>
        <v/>
      </c>
      <c r="P1470"/>
      <c r="Q1470">
        <v>15</v>
      </c>
      <c r="R1470" s="21">
        <v>100000000</v>
      </c>
      <c r="S1470" s="21" t="str" cm="1">
        <f t="array" ref="S1470">_xlfn.IFS(LEFT(G1470,1)="L","記載要",LEFT(G1470,1)="W","記載要",G1470="","")</f>
        <v/>
      </c>
      <c r="T1470"/>
      <c r="U1470"/>
      <c r="V1470"/>
      <c r="W1470"/>
      <c r="X1470"/>
      <c r="Y1470"/>
      <c r="Z1470" s="8"/>
      <c r="AA1470" s="8">
        <v>1</v>
      </c>
      <c r="AB1470">
        <f t="shared" si="230"/>
        <v>0</v>
      </c>
      <c r="AC1470" s="8">
        <v>1</v>
      </c>
      <c r="AD1470"/>
      <c r="AE1470"/>
      <c r="AF1470">
        <v>1</v>
      </c>
      <c r="AG1470" s="8"/>
      <c r="AH1470" s="8"/>
      <c r="AI1470"/>
      <c r="AJ1470"/>
      <c r="AK1470" cm="1">
        <f t="array" ref="AK1470">_xlfn.IFS(B1470="","",LEFT(G1470,1)="L",1,LEFT(G1470,1)="W",1,AND(LEFT(B1470,1)="H",G1470=""),0)</f>
        <v>0</v>
      </c>
      <c r="AL1470"/>
      <c r="AM1470"/>
      <c r="AN1470"/>
      <c r="AO1470"/>
      <c r="AP1470"/>
      <c r="AQ1470"/>
      <c r="AR1470"/>
      <c r="AS1470">
        <f t="shared" si="231"/>
        <v>1</v>
      </c>
      <c r="AT1470" t="s">
        <v>115</v>
      </c>
      <c r="AU1470" t="str">
        <f t="shared" si="232"/>
        <v>0</v>
      </c>
      <c r="AV1470"/>
      <c r="AW1470"/>
      <c r="AX1470"/>
      <c r="AY1470"/>
      <c r="AZ1470"/>
      <c r="BA1470"/>
      <c r="BB1470"/>
      <c r="BC1470"/>
      <c r="BD1470" t="str">
        <f t="shared" si="233"/>
        <v>0</v>
      </c>
      <c r="BE1470"/>
      <c r="BF1470"/>
      <c r="BG1470"/>
      <c r="BH1470"/>
      <c r="BI1470"/>
      <c r="BJ1470"/>
      <c r="BK1470" s="15" t="str">
        <f>IFERROR(VLOOKUP(B1470,'[1]model_S-フレーム'!$F$5:$R$7000,13,1),"")</f>
        <v>E387190_01</v>
      </c>
      <c r="BL1470" s="16">
        <f>IFERROR(VLOOKUP(B1470,'[1]model_S-フレーム'!$F$5:$V$7000,17,1),"")</f>
        <v>0</v>
      </c>
      <c r="BM1470" s="15" t="str" cm="1">
        <f t="array" ref="BM1470">_xlfn.IFS(LEFT(G1470,1)="L","外注品",LEFT(G1470,1)="W","内製品",G1470="","購買品")</f>
        <v>購買品</v>
      </c>
    </row>
    <row r="1471" spans="1:65" s="15" customFormat="1">
      <c r="A1471" t="str">
        <f t="shared" si="225"/>
        <v>WG01</v>
      </c>
      <c r="B1471" t="s">
        <v>1618</v>
      </c>
      <c r="C1471" t="s">
        <v>1906</v>
      </c>
      <c r="D1471" s="7"/>
      <c r="E1471" s="7"/>
      <c r="F1471"/>
      <c r="G1471"/>
      <c r="H1471">
        <v>43453</v>
      </c>
      <c r="I1471"/>
      <c r="J1471"/>
      <c r="K1471" t="str">
        <f t="shared" si="226"/>
        <v/>
      </c>
      <c r="L1471" s="3" t="str">
        <f t="shared" si="227"/>
        <v>2001/01/01</v>
      </c>
      <c r="M1471" s="3" t="str">
        <f t="shared" si="228"/>
        <v>2199/12/31</v>
      </c>
      <c r="N1471" t="str">
        <f t="shared" si="229"/>
        <v/>
      </c>
      <c r="O1471" t="str">
        <f t="shared" si="237"/>
        <v/>
      </c>
      <c r="P1471"/>
      <c r="Q1471">
        <v>15</v>
      </c>
      <c r="R1471" s="21">
        <v>100000000</v>
      </c>
      <c r="S1471" s="21" t="str" cm="1">
        <f t="array" ref="S1471">_xlfn.IFS(LEFT(G1471,1)="L","記載要",LEFT(G1471,1)="W","記載要",G1471="","")</f>
        <v/>
      </c>
      <c r="T1471"/>
      <c r="U1471"/>
      <c r="V1471"/>
      <c r="W1471"/>
      <c r="X1471"/>
      <c r="Y1471"/>
      <c r="Z1471" s="8"/>
      <c r="AA1471" s="8">
        <v>1</v>
      </c>
      <c r="AB1471">
        <f t="shared" si="230"/>
        <v>0</v>
      </c>
      <c r="AC1471" s="8">
        <v>1</v>
      </c>
      <c r="AD1471"/>
      <c r="AE1471"/>
      <c r="AF1471">
        <v>0</v>
      </c>
      <c r="AG1471" s="8"/>
      <c r="AH1471" s="8"/>
      <c r="AI1471"/>
      <c r="AJ1471"/>
      <c r="AK1471" cm="1">
        <f t="array" ref="AK1471">_xlfn.IFS(B1471="","",LEFT(G1471,1)="L",1,LEFT(G1471,1)="W",1,AND(LEFT(B1471,1)="H",G1471=""),0)</f>
        <v>0</v>
      </c>
      <c r="AL1471"/>
      <c r="AM1471"/>
      <c r="AN1471"/>
      <c r="AO1471"/>
      <c r="AP1471"/>
      <c r="AQ1471"/>
      <c r="AR1471"/>
      <c r="AS1471">
        <f t="shared" si="231"/>
        <v>1</v>
      </c>
      <c r="AT1471" t="s">
        <v>115</v>
      </c>
      <c r="AU1471" t="str">
        <f t="shared" si="232"/>
        <v>0</v>
      </c>
      <c r="AV1471"/>
      <c r="AW1471"/>
      <c r="AX1471"/>
      <c r="AY1471"/>
      <c r="AZ1471"/>
      <c r="BA1471"/>
      <c r="BB1471"/>
      <c r="BC1471"/>
      <c r="BD1471" t="str">
        <f t="shared" si="233"/>
        <v>0</v>
      </c>
      <c r="BE1471"/>
      <c r="BF1471"/>
      <c r="BG1471"/>
      <c r="BH1471"/>
      <c r="BI1471"/>
      <c r="BJ1471"/>
      <c r="BK1471" s="15" t="str">
        <f>IFERROR(VLOOKUP(B1471,'[1]model_S-フレーム'!$F$5:$R$7000,13,1),"")</f>
        <v>E387190_01</v>
      </c>
      <c r="BL1471" s="16">
        <f>IFERROR(VLOOKUP(B1471,'[1]model_S-フレーム'!$F$5:$V$7000,17,1),"")</f>
        <v>0</v>
      </c>
      <c r="BM1471" s="15" t="str" cm="1">
        <f t="array" ref="BM1471">_xlfn.IFS(LEFT(G1471,1)="L","外注品",LEFT(G1471,1)="W","内製品",G1471="","購買品")</f>
        <v>購買品</v>
      </c>
    </row>
    <row r="1472" spans="1:65" s="15" customFormat="1">
      <c r="A1472" t="str">
        <f t="shared" si="225"/>
        <v>WG01</v>
      </c>
      <c r="B1472" t="s">
        <v>1618</v>
      </c>
      <c r="C1472" t="s">
        <v>1906</v>
      </c>
      <c r="D1472" s="7"/>
      <c r="E1472" s="7"/>
      <c r="F1472"/>
      <c r="G1472"/>
      <c r="H1472">
        <v>47081</v>
      </c>
      <c r="I1472"/>
      <c r="J1472"/>
      <c r="K1472" t="str">
        <f t="shared" si="226"/>
        <v/>
      </c>
      <c r="L1472" s="3" t="str">
        <f t="shared" si="227"/>
        <v>2001/01/01</v>
      </c>
      <c r="M1472" s="3" t="str">
        <f t="shared" si="228"/>
        <v>2199/12/31</v>
      </c>
      <c r="N1472" t="str">
        <f t="shared" si="229"/>
        <v/>
      </c>
      <c r="O1472" t="str">
        <f t="shared" si="237"/>
        <v/>
      </c>
      <c r="P1472"/>
      <c r="Q1472">
        <v>15</v>
      </c>
      <c r="R1472" s="21">
        <v>100000000</v>
      </c>
      <c r="S1472" s="21" t="str" cm="1">
        <f t="array" ref="S1472">_xlfn.IFS(LEFT(G1472,1)="L","記載要",LEFT(G1472,1)="W","記載要",G1472="","")</f>
        <v/>
      </c>
      <c r="T1472"/>
      <c r="U1472"/>
      <c r="V1472"/>
      <c r="W1472"/>
      <c r="X1472"/>
      <c r="Y1472"/>
      <c r="Z1472" s="8"/>
      <c r="AA1472" s="8">
        <v>1</v>
      </c>
      <c r="AB1472">
        <f t="shared" si="230"/>
        <v>0</v>
      </c>
      <c r="AC1472" s="8">
        <v>1</v>
      </c>
      <c r="AD1472"/>
      <c r="AE1472"/>
      <c r="AF1472">
        <v>0</v>
      </c>
      <c r="AG1472" s="8"/>
      <c r="AH1472" s="8"/>
      <c r="AI1472"/>
      <c r="AJ1472"/>
      <c r="AK1472" cm="1">
        <f t="array" ref="AK1472">_xlfn.IFS(B1472="","",LEFT(G1472,1)="L",1,LEFT(G1472,1)="W",1,AND(LEFT(B1472,1)="H",G1472=""),0)</f>
        <v>0</v>
      </c>
      <c r="AL1472"/>
      <c r="AM1472"/>
      <c r="AN1472"/>
      <c r="AO1472"/>
      <c r="AP1472"/>
      <c r="AQ1472"/>
      <c r="AR1472"/>
      <c r="AS1472">
        <f t="shared" si="231"/>
        <v>1</v>
      </c>
      <c r="AT1472" t="s">
        <v>115</v>
      </c>
      <c r="AU1472" t="str">
        <f t="shared" si="232"/>
        <v>0</v>
      </c>
      <c r="AV1472"/>
      <c r="AW1472"/>
      <c r="AX1472"/>
      <c r="AY1472"/>
      <c r="AZ1472"/>
      <c r="BA1472"/>
      <c r="BB1472"/>
      <c r="BC1472"/>
      <c r="BD1472" t="str">
        <f t="shared" si="233"/>
        <v>0</v>
      </c>
      <c r="BE1472"/>
      <c r="BF1472"/>
      <c r="BG1472"/>
      <c r="BH1472"/>
      <c r="BI1472"/>
      <c r="BJ1472"/>
      <c r="BK1472" s="15" t="str">
        <f>IFERROR(VLOOKUP(B1472,'[1]model_S-フレーム'!$F$5:$R$7000,13,1),"")</f>
        <v>E387190_01</v>
      </c>
      <c r="BL1472" s="16">
        <f>IFERROR(VLOOKUP(B1472,'[1]model_S-フレーム'!$F$5:$V$7000,17,1),"")</f>
        <v>0</v>
      </c>
      <c r="BM1472" s="15" t="str" cm="1">
        <f t="array" ref="BM1472">_xlfn.IFS(LEFT(G1472,1)="L","外注品",LEFT(G1472,1)="W","内製品",G1472="","購買品")</f>
        <v>購買品</v>
      </c>
    </row>
    <row r="1473" spans="1:65">
      <c r="A1473" t="str">
        <f t="shared" si="225"/>
        <v>WG01</v>
      </c>
      <c r="B1473" t="s">
        <v>1618</v>
      </c>
      <c r="C1473" t="s">
        <v>1906</v>
      </c>
      <c r="D1473" s="7"/>
      <c r="E1473" s="7"/>
      <c r="H1473" s="19" t="s">
        <v>1937</v>
      </c>
      <c r="K1473" t="str">
        <f t="shared" si="226"/>
        <v/>
      </c>
      <c r="L1473" s="3" t="str">
        <f t="shared" si="227"/>
        <v>2001/01/01</v>
      </c>
      <c r="M1473" s="3" t="str">
        <f t="shared" si="228"/>
        <v>2199/12/31</v>
      </c>
      <c r="N1473" t="str">
        <f t="shared" si="229"/>
        <v/>
      </c>
      <c r="O1473" t="str">
        <f t="shared" si="237"/>
        <v/>
      </c>
      <c r="Q1473">
        <v>15</v>
      </c>
      <c r="R1473" s="21">
        <v>100000000</v>
      </c>
      <c r="S1473" s="21" t="str" cm="1">
        <f t="array" ref="S1473">_xlfn.IFS(LEFT(G1473,1)="L","記載要",LEFT(G1473,1)="W","記載要",G1473="","")</f>
        <v/>
      </c>
      <c r="Z1473" s="8"/>
      <c r="AA1473" s="8">
        <v>1</v>
      </c>
      <c r="AB1473">
        <f t="shared" si="230"/>
        <v>0</v>
      </c>
      <c r="AC1473" s="8">
        <v>1</v>
      </c>
      <c r="AF1473">
        <v>0</v>
      </c>
      <c r="AG1473" s="8"/>
      <c r="AH1473" s="8"/>
      <c r="AK1473" cm="1">
        <f t="array" ref="AK1473">_xlfn.IFS(B1473="","",LEFT(G1473,1)="L",1,LEFT(G1473,1)="W",1,AND(LEFT(B1473,1)="H",G1473=""),0)</f>
        <v>0</v>
      </c>
      <c r="AS1473">
        <f t="shared" si="231"/>
        <v>1</v>
      </c>
      <c r="AT1473" t="s">
        <v>115</v>
      </c>
      <c r="AU1473" t="str">
        <f t="shared" si="232"/>
        <v>0</v>
      </c>
      <c r="BD1473" t="str">
        <f t="shared" si="233"/>
        <v>0</v>
      </c>
      <c r="BK1473" t="str">
        <f>IFERROR(VLOOKUP(B1473,'[1]model_S-フレーム'!$F$5:$R$7000,13,1),"")</f>
        <v>E387190_01</v>
      </c>
      <c r="BL1473" s="7">
        <f>IFERROR(VLOOKUP(B1473,'[1]model_S-フレーム'!$F$5:$V$7000,17,1),"")</f>
        <v>0</v>
      </c>
      <c r="BM1473" t="str" cm="1">
        <f t="array" ref="BM1473">_xlfn.IFS(LEFT(G1473,1)="L","外注品",LEFT(G1473,1)="W","内製品",G1473="","購買品")</f>
        <v>購買品</v>
      </c>
    </row>
    <row r="1474" spans="1:65" s="15" customFormat="1">
      <c r="A1474" t="str">
        <f t="shared" si="225"/>
        <v>WG01</v>
      </c>
      <c r="B1474" t="s">
        <v>1619</v>
      </c>
      <c r="C1474" t="s">
        <v>1906</v>
      </c>
      <c r="D1474" s="7"/>
      <c r="E1474" s="7"/>
      <c r="F1474"/>
      <c r="G1474"/>
      <c r="H1474">
        <v>27616</v>
      </c>
      <c r="I1474"/>
      <c r="J1474"/>
      <c r="K1474" t="str">
        <f t="shared" si="226"/>
        <v/>
      </c>
      <c r="L1474" s="3" t="str">
        <f t="shared" si="227"/>
        <v>2001/01/01</v>
      </c>
      <c r="M1474" s="3" t="str">
        <f t="shared" si="228"/>
        <v>2199/12/31</v>
      </c>
      <c r="N1474" t="str">
        <f t="shared" si="229"/>
        <v/>
      </c>
      <c r="O1474" t="str">
        <f t="shared" si="237"/>
        <v/>
      </c>
      <c r="P1474"/>
      <c r="Q1474">
        <v>15</v>
      </c>
      <c r="R1474" s="21">
        <v>100000000</v>
      </c>
      <c r="S1474" s="21" t="str" cm="1">
        <f t="array" ref="S1474">_xlfn.IFS(LEFT(G1474,1)="L","記載要",LEFT(G1474,1)="W","記載要",G1474="","")</f>
        <v/>
      </c>
      <c r="T1474"/>
      <c r="U1474"/>
      <c r="V1474"/>
      <c r="W1474"/>
      <c r="X1474"/>
      <c r="Y1474"/>
      <c r="Z1474" s="8"/>
      <c r="AA1474" s="8">
        <v>1</v>
      </c>
      <c r="AB1474">
        <f t="shared" si="230"/>
        <v>0</v>
      </c>
      <c r="AC1474" s="8">
        <v>1</v>
      </c>
      <c r="AD1474"/>
      <c r="AE1474"/>
      <c r="AF1474">
        <v>1</v>
      </c>
      <c r="AG1474" s="8"/>
      <c r="AH1474" s="8"/>
      <c r="AI1474"/>
      <c r="AJ1474"/>
      <c r="AK1474" cm="1">
        <f t="array" ref="AK1474">_xlfn.IFS(B1474="","",LEFT(G1474,1)="L",1,LEFT(G1474,1)="W",1,AND(LEFT(B1474,1)="H",G1474=""),0)</f>
        <v>0</v>
      </c>
      <c r="AL1474"/>
      <c r="AM1474"/>
      <c r="AN1474"/>
      <c r="AO1474"/>
      <c r="AP1474"/>
      <c r="AQ1474"/>
      <c r="AR1474"/>
      <c r="AS1474">
        <f t="shared" si="231"/>
        <v>1</v>
      </c>
      <c r="AT1474" t="s">
        <v>115</v>
      </c>
      <c r="AU1474" t="str">
        <f t="shared" si="232"/>
        <v>0</v>
      </c>
      <c r="AV1474"/>
      <c r="AW1474"/>
      <c r="AX1474"/>
      <c r="AY1474"/>
      <c r="AZ1474"/>
      <c r="BA1474"/>
      <c r="BB1474"/>
      <c r="BC1474"/>
      <c r="BD1474" t="str">
        <f t="shared" si="233"/>
        <v>0</v>
      </c>
      <c r="BE1474"/>
      <c r="BF1474"/>
      <c r="BG1474"/>
      <c r="BH1474"/>
      <c r="BI1474"/>
      <c r="BJ1474"/>
      <c r="BK1474" s="15" t="str">
        <f>IFERROR(VLOOKUP(B1474,'[1]model_S-フレーム'!$F$5:$R$7000,13,1),"")</f>
        <v>E387190_01</v>
      </c>
      <c r="BL1474" s="16">
        <f>IFERROR(VLOOKUP(B1474,'[1]model_S-フレーム'!$F$5:$V$7000,17,1),"")</f>
        <v>0</v>
      </c>
      <c r="BM1474" s="15" t="str" cm="1">
        <f t="array" ref="BM1474">_xlfn.IFS(LEFT(G1474,1)="L","外注品",LEFT(G1474,1)="W","内製品",G1474="","購買品")</f>
        <v>購買品</v>
      </c>
    </row>
    <row r="1475" spans="1:65" s="15" customFormat="1">
      <c r="A1475" t="str">
        <f t="shared" ref="A1475:A1538" si="238">IF(B1475="","","WG01")</f>
        <v>WG01</v>
      </c>
      <c r="B1475" t="s">
        <v>1619</v>
      </c>
      <c r="C1475" t="s">
        <v>1906</v>
      </c>
      <c r="D1475" s="7"/>
      <c r="E1475" s="7"/>
      <c r="F1475"/>
      <c r="G1475"/>
      <c r="H1475">
        <v>43453</v>
      </c>
      <c r="I1475"/>
      <c r="J1475"/>
      <c r="K1475" t="str">
        <f t="shared" ref="K1475:K1538" si="239">IF(G1475="","","11"&amp;G1475&amp;RIGHT(B1475,5))</f>
        <v/>
      </c>
      <c r="L1475" s="3" t="str">
        <f t="shared" ref="L1475:L1538" si="240">IF(B1475="","","2001/01/01")</f>
        <v>2001/01/01</v>
      </c>
      <c r="M1475" s="3" t="str">
        <f t="shared" ref="M1475:M1538" si="241">IF(C1475="","","2199/12/31")</f>
        <v>2199/12/31</v>
      </c>
      <c r="N1475" t="str">
        <f t="shared" ref="N1475:N1538" si="242">IF(LEFT(G1475,1)="W",K1475,"")</f>
        <v/>
      </c>
      <c r="O1475" t="str">
        <f t="shared" si="237"/>
        <v/>
      </c>
      <c r="P1475"/>
      <c r="Q1475">
        <v>15</v>
      </c>
      <c r="R1475" s="21">
        <v>100000000</v>
      </c>
      <c r="S1475" s="21" t="str" cm="1">
        <f t="array" ref="S1475">_xlfn.IFS(LEFT(G1475,1)="L","記載要",LEFT(G1475,1)="W","記載要",G1475="","")</f>
        <v/>
      </c>
      <c r="T1475"/>
      <c r="U1475"/>
      <c r="V1475"/>
      <c r="W1475"/>
      <c r="X1475"/>
      <c r="Y1475"/>
      <c r="Z1475" s="8"/>
      <c r="AA1475" s="8">
        <v>1</v>
      </c>
      <c r="AB1475">
        <f t="shared" ref="AB1475:AB1538" si="243">IF(B1475="","",0)</f>
        <v>0</v>
      </c>
      <c r="AC1475" s="8">
        <v>1</v>
      </c>
      <c r="AD1475"/>
      <c r="AE1475"/>
      <c r="AF1475">
        <v>0</v>
      </c>
      <c r="AG1475" s="8"/>
      <c r="AH1475" s="8"/>
      <c r="AI1475"/>
      <c r="AJ1475"/>
      <c r="AK1475" cm="1">
        <f t="array" ref="AK1475">_xlfn.IFS(B1475="","",LEFT(G1475,1)="L",1,LEFT(G1475,1)="W",1,AND(LEFT(B1475,1)="H",G1475=""),0)</f>
        <v>0</v>
      </c>
      <c r="AL1475"/>
      <c r="AM1475"/>
      <c r="AN1475"/>
      <c r="AO1475"/>
      <c r="AP1475"/>
      <c r="AQ1475"/>
      <c r="AR1475"/>
      <c r="AS1475">
        <f t="shared" ref="AS1475:AS1538" si="244">IF(Q1475="","",1)</f>
        <v>1</v>
      </c>
      <c r="AT1475" t="s">
        <v>115</v>
      </c>
      <c r="AU1475" t="str">
        <f t="shared" ref="AU1475:AU1538" si="245">IF(B1475="","","0")</f>
        <v>0</v>
      </c>
      <c r="AV1475"/>
      <c r="AW1475"/>
      <c r="AX1475"/>
      <c r="AY1475"/>
      <c r="AZ1475"/>
      <c r="BA1475"/>
      <c r="BB1475"/>
      <c r="BC1475"/>
      <c r="BD1475" t="str">
        <f t="shared" ref="BD1475:BD1538" si="246">IF(B1475="","","0")</f>
        <v>0</v>
      </c>
      <c r="BE1475"/>
      <c r="BF1475"/>
      <c r="BG1475"/>
      <c r="BH1475"/>
      <c r="BI1475"/>
      <c r="BJ1475"/>
      <c r="BK1475" s="15" t="str">
        <f>IFERROR(VLOOKUP(B1475,'[1]model_S-フレーム'!$F$5:$R$7000,13,1),"")</f>
        <v>E387190_01</v>
      </c>
      <c r="BL1475" s="16">
        <f>IFERROR(VLOOKUP(B1475,'[1]model_S-フレーム'!$F$5:$V$7000,17,1),"")</f>
        <v>0</v>
      </c>
      <c r="BM1475" s="15" t="str" cm="1">
        <f t="array" ref="BM1475">_xlfn.IFS(LEFT(G1475,1)="L","外注品",LEFT(G1475,1)="W","内製品",G1475="","購買品")</f>
        <v>購買品</v>
      </c>
    </row>
    <row r="1476" spans="1:65" s="15" customFormat="1">
      <c r="A1476" t="str">
        <f t="shared" si="238"/>
        <v>WG01</v>
      </c>
      <c r="B1476" t="s">
        <v>1619</v>
      </c>
      <c r="C1476" t="s">
        <v>1906</v>
      </c>
      <c r="D1476" s="7"/>
      <c r="E1476" s="7"/>
      <c r="F1476"/>
      <c r="G1476"/>
      <c r="H1476">
        <v>47081</v>
      </c>
      <c r="I1476"/>
      <c r="J1476"/>
      <c r="K1476" t="str">
        <f t="shared" si="239"/>
        <v/>
      </c>
      <c r="L1476" s="3" t="str">
        <f t="shared" si="240"/>
        <v>2001/01/01</v>
      </c>
      <c r="M1476" s="3" t="str">
        <f t="shared" si="241"/>
        <v>2199/12/31</v>
      </c>
      <c r="N1476" t="str">
        <f t="shared" si="242"/>
        <v/>
      </c>
      <c r="O1476" t="str">
        <f t="shared" si="237"/>
        <v/>
      </c>
      <c r="P1476"/>
      <c r="Q1476">
        <v>15</v>
      </c>
      <c r="R1476" s="21">
        <v>100000000</v>
      </c>
      <c r="S1476" s="21" t="str" cm="1">
        <f t="array" ref="S1476">_xlfn.IFS(LEFT(G1476,1)="L","記載要",LEFT(G1476,1)="W","記載要",G1476="","")</f>
        <v/>
      </c>
      <c r="T1476"/>
      <c r="U1476"/>
      <c r="V1476"/>
      <c r="W1476"/>
      <c r="X1476"/>
      <c r="Y1476"/>
      <c r="Z1476" s="8"/>
      <c r="AA1476" s="8">
        <v>1</v>
      </c>
      <c r="AB1476">
        <f t="shared" si="243"/>
        <v>0</v>
      </c>
      <c r="AC1476" s="8">
        <v>1</v>
      </c>
      <c r="AD1476"/>
      <c r="AE1476"/>
      <c r="AF1476">
        <v>0</v>
      </c>
      <c r="AG1476" s="8"/>
      <c r="AH1476" s="8"/>
      <c r="AI1476"/>
      <c r="AJ1476"/>
      <c r="AK1476" cm="1">
        <f t="array" ref="AK1476">_xlfn.IFS(B1476="","",LEFT(G1476,1)="L",1,LEFT(G1476,1)="W",1,AND(LEFT(B1476,1)="H",G1476=""),0)</f>
        <v>0</v>
      </c>
      <c r="AL1476"/>
      <c r="AM1476"/>
      <c r="AN1476"/>
      <c r="AO1476"/>
      <c r="AP1476"/>
      <c r="AQ1476"/>
      <c r="AR1476"/>
      <c r="AS1476">
        <f t="shared" si="244"/>
        <v>1</v>
      </c>
      <c r="AT1476" t="s">
        <v>115</v>
      </c>
      <c r="AU1476" t="str">
        <f t="shared" si="245"/>
        <v>0</v>
      </c>
      <c r="AV1476"/>
      <c r="AW1476"/>
      <c r="AX1476"/>
      <c r="AY1476"/>
      <c r="AZ1476"/>
      <c r="BA1476"/>
      <c r="BB1476"/>
      <c r="BC1476"/>
      <c r="BD1476" t="str">
        <f t="shared" si="246"/>
        <v>0</v>
      </c>
      <c r="BE1476"/>
      <c r="BF1476"/>
      <c r="BG1476"/>
      <c r="BH1476"/>
      <c r="BI1476"/>
      <c r="BJ1476"/>
      <c r="BK1476" s="15" t="str">
        <f>IFERROR(VLOOKUP(B1476,'[1]model_S-フレーム'!$F$5:$R$7000,13,1),"")</f>
        <v>E387190_01</v>
      </c>
      <c r="BL1476" s="16">
        <f>IFERROR(VLOOKUP(B1476,'[1]model_S-フレーム'!$F$5:$V$7000,17,1),"")</f>
        <v>0</v>
      </c>
      <c r="BM1476" s="15" t="str" cm="1">
        <f t="array" ref="BM1476">_xlfn.IFS(LEFT(G1476,1)="L","外注品",LEFT(G1476,1)="W","内製品",G1476="","購買品")</f>
        <v>購買品</v>
      </c>
    </row>
    <row r="1477" spans="1:65">
      <c r="A1477" t="str">
        <f t="shared" si="238"/>
        <v>WG01</v>
      </c>
      <c r="B1477" t="s">
        <v>1619</v>
      </c>
      <c r="C1477" t="s">
        <v>1906</v>
      </c>
      <c r="D1477" s="7"/>
      <c r="E1477" s="7"/>
      <c r="H1477" s="19" t="s">
        <v>1937</v>
      </c>
      <c r="K1477" t="str">
        <f t="shared" si="239"/>
        <v/>
      </c>
      <c r="L1477" s="3" t="str">
        <f t="shared" si="240"/>
        <v>2001/01/01</v>
      </c>
      <c r="M1477" s="3" t="str">
        <f t="shared" si="241"/>
        <v>2199/12/31</v>
      </c>
      <c r="N1477" t="str">
        <f t="shared" si="242"/>
        <v/>
      </c>
      <c r="O1477" t="str">
        <f t="shared" si="237"/>
        <v/>
      </c>
      <c r="Q1477">
        <v>15</v>
      </c>
      <c r="R1477" s="21">
        <v>100000000</v>
      </c>
      <c r="S1477" s="21" t="str" cm="1">
        <f t="array" ref="S1477">_xlfn.IFS(LEFT(G1477,1)="L","記載要",LEFT(G1477,1)="W","記載要",G1477="","")</f>
        <v/>
      </c>
      <c r="Z1477" s="8"/>
      <c r="AA1477" s="8">
        <v>1</v>
      </c>
      <c r="AB1477">
        <f t="shared" si="243"/>
        <v>0</v>
      </c>
      <c r="AC1477" s="8">
        <v>1</v>
      </c>
      <c r="AF1477">
        <v>0</v>
      </c>
      <c r="AG1477" s="8"/>
      <c r="AH1477" s="8"/>
      <c r="AK1477" cm="1">
        <f t="array" ref="AK1477">_xlfn.IFS(B1477="","",LEFT(G1477,1)="L",1,LEFT(G1477,1)="W",1,AND(LEFT(B1477,1)="H",G1477=""),0)</f>
        <v>0</v>
      </c>
      <c r="AS1477">
        <f t="shared" si="244"/>
        <v>1</v>
      </c>
      <c r="AT1477" t="s">
        <v>115</v>
      </c>
      <c r="AU1477" t="str">
        <f t="shared" si="245"/>
        <v>0</v>
      </c>
      <c r="BD1477" t="str">
        <f t="shared" si="246"/>
        <v>0</v>
      </c>
      <c r="BK1477" t="str">
        <f>IFERROR(VLOOKUP(B1477,'[1]model_S-フレーム'!$F$5:$R$7000,13,1),"")</f>
        <v>E387190_01</v>
      </c>
      <c r="BL1477" s="7">
        <f>IFERROR(VLOOKUP(B1477,'[1]model_S-フレーム'!$F$5:$V$7000,17,1),"")</f>
        <v>0</v>
      </c>
      <c r="BM1477" t="str" cm="1">
        <f t="array" ref="BM1477">_xlfn.IFS(LEFT(G1477,1)="L","外注品",LEFT(G1477,1)="W","内製品",G1477="","購買品")</f>
        <v>購買品</v>
      </c>
    </row>
    <row r="1478" spans="1:65" s="15" customFormat="1">
      <c r="A1478" t="str">
        <f t="shared" si="238"/>
        <v>WG01</v>
      </c>
      <c r="B1478" t="s">
        <v>1620</v>
      </c>
      <c r="C1478" t="s">
        <v>1906</v>
      </c>
      <c r="D1478" s="7"/>
      <c r="E1478" s="7"/>
      <c r="F1478"/>
      <c r="G1478"/>
      <c r="H1478">
        <v>27616</v>
      </c>
      <c r="I1478"/>
      <c r="J1478"/>
      <c r="K1478" t="str">
        <f t="shared" si="239"/>
        <v/>
      </c>
      <c r="L1478" s="3" t="str">
        <f t="shared" si="240"/>
        <v>2001/01/01</v>
      </c>
      <c r="M1478" s="3" t="str">
        <f t="shared" si="241"/>
        <v>2199/12/31</v>
      </c>
      <c r="N1478" t="str">
        <f t="shared" si="242"/>
        <v/>
      </c>
      <c r="O1478" t="str">
        <f t="shared" si="237"/>
        <v/>
      </c>
      <c r="P1478"/>
      <c r="Q1478">
        <v>15</v>
      </c>
      <c r="R1478" s="21">
        <v>100000000</v>
      </c>
      <c r="S1478" s="21" t="str" cm="1">
        <f t="array" ref="S1478">_xlfn.IFS(LEFT(G1478,1)="L","記載要",LEFT(G1478,1)="W","記載要",G1478="","")</f>
        <v/>
      </c>
      <c r="T1478"/>
      <c r="U1478"/>
      <c r="V1478"/>
      <c r="W1478"/>
      <c r="X1478"/>
      <c r="Y1478"/>
      <c r="Z1478" s="8"/>
      <c r="AA1478" s="8">
        <v>1</v>
      </c>
      <c r="AB1478">
        <f t="shared" si="243"/>
        <v>0</v>
      </c>
      <c r="AC1478" s="8">
        <v>1</v>
      </c>
      <c r="AD1478"/>
      <c r="AE1478"/>
      <c r="AF1478">
        <v>1</v>
      </c>
      <c r="AG1478" s="8"/>
      <c r="AH1478" s="8"/>
      <c r="AI1478"/>
      <c r="AJ1478"/>
      <c r="AK1478" cm="1">
        <f t="array" ref="AK1478">_xlfn.IFS(B1478="","",LEFT(G1478,1)="L",1,LEFT(G1478,1)="W",1,AND(LEFT(B1478,1)="H",G1478=""),0)</f>
        <v>0</v>
      </c>
      <c r="AL1478"/>
      <c r="AM1478"/>
      <c r="AN1478"/>
      <c r="AO1478"/>
      <c r="AP1478"/>
      <c r="AQ1478"/>
      <c r="AR1478"/>
      <c r="AS1478">
        <f t="shared" si="244"/>
        <v>1</v>
      </c>
      <c r="AT1478" t="s">
        <v>115</v>
      </c>
      <c r="AU1478" t="str">
        <f t="shared" si="245"/>
        <v>0</v>
      </c>
      <c r="AV1478"/>
      <c r="AW1478"/>
      <c r="AX1478"/>
      <c r="AY1478"/>
      <c r="AZ1478"/>
      <c r="BA1478"/>
      <c r="BB1478"/>
      <c r="BC1478"/>
      <c r="BD1478" t="str">
        <f t="shared" si="246"/>
        <v>0</v>
      </c>
      <c r="BE1478"/>
      <c r="BF1478"/>
      <c r="BG1478"/>
      <c r="BH1478"/>
      <c r="BI1478"/>
      <c r="BJ1478"/>
      <c r="BK1478" s="15" t="str">
        <f>IFERROR(VLOOKUP(B1478,'[1]model_S-フレーム'!$F$5:$R$7000,13,1),"")</f>
        <v>E387190_01</v>
      </c>
      <c r="BL1478" s="16">
        <f>IFERROR(VLOOKUP(B1478,'[1]model_S-フレーム'!$F$5:$V$7000,17,1),"")</f>
        <v>0</v>
      </c>
      <c r="BM1478" s="15" t="str" cm="1">
        <f t="array" ref="BM1478">_xlfn.IFS(LEFT(G1478,1)="L","外注品",LEFT(G1478,1)="W","内製品",G1478="","購買品")</f>
        <v>購買品</v>
      </c>
    </row>
    <row r="1479" spans="1:65" s="15" customFormat="1">
      <c r="A1479" t="str">
        <f t="shared" si="238"/>
        <v>WG01</v>
      </c>
      <c r="B1479" t="s">
        <v>1620</v>
      </c>
      <c r="C1479" t="s">
        <v>1906</v>
      </c>
      <c r="D1479" s="7"/>
      <c r="E1479" s="7"/>
      <c r="F1479"/>
      <c r="G1479"/>
      <c r="H1479">
        <v>43453</v>
      </c>
      <c r="I1479"/>
      <c r="J1479"/>
      <c r="K1479" t="str">
        <f t="shared" si="239"/>
        <v/>
      </c>
      <c r="L1479" s="3" t="str">
        <f t="shared" si="240"/>
        <v>2001/01/01</v>
      </c>
      <c r="M1479" s="3" t="str">
        <f t="shared" si="241"/>
        <v>2199/12/31</v>
      </c>
      <c r="N1479" t="str">
        <f t="shared" si="242"/>
        <v/>
      </c>
      <c r="O1479" t="str">
        <f t="shared" si="237"/>
        <v/>
      </c>
      <c r="P1479"/>
      <c r="Q1479">
        <v>15</v>
      </c>
      <c r="R1479" s="21">
        <v>100000000</v>
      </c>
      <c r="S1479" s="21" t="str" cm="1">
        <f t="array" ref="S1479">_xlfn.IFS(LEFT(G1479,1)="L","記載要",LEFT(G1479,1)="W","記載要",G1479="","")</f>
        <v/>
      </c>
      <c r="T1479"/>
      <c r="U1479"/>
      <c r="V1479"/>
      <c r="W1479"/>
      <c r="X1479"/>
      <c r="Y1479"/>
      <c r="Z1479" s="8"/>
      <c r="AA1479" s="8">
        <v>1</v>
      </c>
      <c r="AB1479">
        <f t="shared" si="243"/>
        <v>0</v>
      </c>
      <c r="AC1479" s="8">
        <v>1</v>
      </c>
      <c r="AD1479"/>
      <c r="AE1479"/>
      <c r="AF1479">
        <v>0</v>
      </c>
      <c r="AG1479" s="8"/>
      <c r="AH1479" s="8"/>
      <c r="AI1479"/>
      <c r="AJ1479"/>
      <c r="AK1479" cm="1">
        <f t="array" ref="AK1479">_xlfn.IFS(B1479="","",LEFT(G1479,1)="L",1,LEFT(G1479,1)="W",1,AND(LEFT(B1479,1)="H",G1479=""),0)</f>
        <v>0</v>
      </c>
      <c r="AL1479"/>
      <c r="AM1479"/>
      <c r="AN1479"/>
      <c r="AO1479"/>
      <c r="AP1479"/>
      <c r="AQ1479"/>
      <c r="AR1479"/>
      <c r="AS1479">
        <f t="shared" si="244"/>
        <v>1</v>
      </c>
      <c r="AT1479" t="s">
        <v>115</v>
      </c>
      <c r="AU1479" t="str">
        <f t="shared" si="245"/>
        <v>0</v>
      </c>
      <c r="AV1479"/>
      <c r="AW1479"/>
      <c r="AX1479"/>
      <c r="AY1479"/>
      <c r="AZ1479"/>
      <c r="BA1479"/>
      <c r="BB1479"/>
      <c r="BC1479"/>
      <c r="BD1479" t="str">
        <f t="shared" si="246"/>
        <v>0</v>
      </c>
      <c r="BE1479"/>
      <c r="BF1479"/>
      <c r="BG1479"/>
      <c r="BH1479"/>
      <c r="BI1479"/>
      <c r="BJ1479"/>
      <c r="BK1479" s="15" t="str">
        <f>IFERROR(VLOOKUP(B1479,'[1]model_S-フレーム'!$F$5:$R$7000,13,1),"")</f>
        <v>E387190_01</v>
      </c>
      <c r="BL1479" s="16">
        <f>IFERROR(VLOOKUP(B1479,'[1]model_S-フレーム'!$F$5:$V$7000,17,1),"")</f>
        <v>0</v>
      </c>
      <c r="BM1479" s="15" t="str" cm="1">
        <f t="array" ref="BM1479">_xlfn.IFS(LEFT(G1479,1)="L","外注品",LEFT(G1479,1)="W","内製品",G1479="","購買品")</f>
        <v>購買品</v>
      </c>
    </row>
    <row r="1480" spans="1:65" s="15" customFormat="1">
      <c r="A1480" t="str">
        <f t="shared" si="238"/>
        <v>WG01</v>
      </c>
      <c r="B1480" t="s">
        <v>1620</v>
      </c>
      <c r="C1480" t="s">
        <v>1906</v>
      </c>
      <c r="D1480" s="7"/>
      <c r="E1480" s="7"/>
      <c r="F1480"/>
      <c r="G1480"/>
      <c r="H1480">
        <v>47081</v>
      </c>
      <c r="I1480"/>
      <c r="J1480"/>
      <c r="K1480" t="str">
        <f t="shared" si="239"/>
        <v/>
      </c>
      <c r="L1480" s="3" t="str">
        <f t="shared" si="240"/>
        <v>2001/01/01</v>
      </c>
      <c r="M1480" s="3" t="str">
        <f t="shared" si="241"/>
        <v>2199/12/31</v>
      </c>
      <c r="N1480" t="str">
        <f t="shared" si="242"/>
        <v/>
      </c>
      <c r="O1480" t="str">
        <f t="shared" si="237"/>
        <v/>
      </c>
      <c r="P1480"/>
      <c r="Q1480">
        <v>15</v>
      </c>
      <c r="R1480" s="21">
        <v>100000000</v>
      </c>
      <c r="S1480" s="21" t="str" cm="1">
        <f t="array" ref="S1480">_xlfn.IFS(LEFT(G1480,1)="L","記載要",LEFT(G1480,1)="W","記載要",G1480="","")</f>
        <v/>
      </c>
      <c r="T1480"/>
      <c r="U1480"/>
      <c r="V1480"/>
      <c r="W1480"/>
      <c r="X1480"/>
      <c r="Y1480"/>
      <c r="Z1480" s="8"/>
      <c r="AA1480" s="8">
        <v>1</v>
      </c>
      <c r="AB1480">
        <f t="shared" si="243"/>
        <v>0</v>
      </c>
      <c r="AC1480" s="8">
        <v>1</v>
      </c>
      <c r="AD1480"/>
      <c r="AE1480"/>
      <c r="AF1480">
        <v>0</v>
      </c>
      <c r="AG1480" s="8"/>
      <c r="AH1480" s="8"/>
      <c r="AI1480"/>
      <c r="AJ1480"/>
      <c r="AK1480" cm="1">
        <f t="array" ref="AK1480">_xlfn.IFS(B1480="","",LEFT(G1480,1)="L",1,LEFT(G1480,1)="W",1,AND(LEFT(B1480,1)="H",G1480=""),0)</f>
        <v>0</v>
      </c>
      <c r="AL1480"/>
      <c r="AM1480"/>
      <c r="AN1480"/>
      <c r="AO1480"/>
      <c r="AP1480"/>
      <c r="AQ1480"/>
      <c r="AR1480"/>
      <c r="AS1480">
        <f t="shared" si="244"/>
        <v>1</v>
      </c>
      <c r="AT1480" t="s">
        <v>115</v>
      </c>
      <c r="AU1480" t="str">
        <f t="shared" si="245"/>
        <v>0</v>
      </c>
      <c r="AV1480"/>
      <c r="AW1480"/>
      <c r="AX1480"/>
      <c r="AY1480"/>
      <c r="AZ1480"/>
      <c r="BA1480"/>
      <c r="BB1480"/>
      <c r="BC1480"/>
      <c r="BD1480" t="str">
        <f t="shared" si="246"/>
        <v>0</v>
      </c>
      <c r="BE1480"/>
      <c r="BF1480"/>
      <c r="BG1480"/>
      <c r="BH1480"/>
      <c r="BI1480"/>
      <c r="BJ1480"/>
      <c r="BK1480" s="15" t="str">
        <f>IFERROR(VLOOKUP(B1480,'[1]model_S-フレーム'!$F$5:$R$7000,13,1),"")</f>
        <v>E387190_01</v>
      </c>
      <c r="BL1480" s="16">
        <f>IFERROR(VLOOKUP(B1480,'[1]model_S-フレーム'!$F$5:$V$7000,17,1),"")</f>
        <v>0</v>
      </c>
      <c r="BM1480" s="15" t="str" cm="1">
        <f t="array" ref="BM1480">_xlfn.IFS(LEFT(G1480,1)="L","外注品",LEFT(G1480,1)="W","内製品",G1480="","購買品")</f>
        <v>購買品</v>
      </c>
    </row>
    <row r="1481" spans="1:65">
      <c r="A1481" t="str">
        <f t="shared" si="238"/>
        <v>WG01</v>
      </c>
      <c r="B1481" t="s">
        <v>1620</v>
      </c>
      <c r="C1481" t="s">
        <v>1906</v>
      </c>
      <c r="D1481" s="7"/>
      <c r="E1481" s="7"/>
      <c r="H1481" s="19" t="s">
        <v>1937</v>
      </c>
      <c r="K1481" t="str">
        <f t="shared" si="239"/>
        <v/>
      </c>
      <c r="L1481" s="3" t="str">
        <f t="shared" si="240"/>
        <v>2001/01/01</v>
      </c>
      <c r="M1481" s="3" t="str">
        <f t="shared" si="241"/>
        <v>2199/12/31</v>
      </c>
      <c r="N1481" t="str">
        <f t="shared" si="242"/>
        <v/>
      </c>
      <c r="O1481" t="str">
        <f t="shared" si="237"/>
        <v/>
      </c>
      <c r="Q1481">
        <v>15</v>
      </c>
      <c r="R1481" s="21">
        <v>100000000</v>
      </c>
      <c r="S1481" s="21" t="str" cm="1">
        <f t="array" ref="S1481">_xlfn.IFS(LEFT(G1481,1)="L","記載要",LEFT(G1481,1)="W","記載要",G1481="","")</f>
        <v/>
      </c>
      <c r="Z1481" s="8"/>
      <c r="AA1481" s="8">
        <v>1</v>
      </c>
      <c r="AB1481">
        <f t="shared" si="243"/>
        <v>0</v>
      </c>
      <c r="AC1481" s="8">
        <v>1</v>
      </c>
      <c r="AF1481">
        <v>0</v>
      </c>
      <c r="AG1481" s="8"/>
      <c r="AH1481" s="8"/>
      <c r="AK1481" cm="1">
        <f t="array" ref="AK1481">_xlfn.IFS(B1481="","",LEFT(G1481,1)="L",1,LEFT(G1481,1)="W",1,AND(LEFT(B1481,1)="H",G1481=""),0)</f>
        <v>0</v>
      </c>
      <c r="AS1481">
        <f t="shared" si="244"/>
        <v>1</v>
      </c>
      <c r="AT1481" t="s">
        <v>115</v>
      </c>
      <c r="AU1481" t="str">
        <f t="shared" si="245"/>
        <v>0</v>
      </c>
      <c r="BD1481" t="str">
        <f t="shared" si="246"/>
        <v>0</v>
      </c>
      <c r="BK1481" t="str">
        <f>IFERROR(VLOOKUP(B1481,'[1]model_S-フレーム'!$F$5:$R$7000,13,1),"")</f>
        <v>E387190_01</v>
      </c>
      <c r="BL1481" s="7">
        <f>IFERROR(VLOOKUP(B1481,'[1]model_S-フレーム'!$F$5:$V$7000,17,1),"")</f>
        <v>0</v>
      </c>
      <c r="BM1481" t="str" cm="1">
        <f t="array" ref="BM1481">_xlfn.IFS(LEFT(G1481,1)="L","外注品",LEFT(G1481,1)="W","内製品",G1481="","購買品")</f>
        <v>購買品</v>
      </c>
    </row>
    <row r="1482" spans="1:65" s="15" customFormat="1">
      <c r="A1482" t="str">
        <f t="shared" si="238"/>
        <v>WG01</v>
      </c>
      <c r="B1482" t="s">
        <v>1621</v>
      </c>
      <c r="C1482" t="s">
        <v>1906</v>
      </c>
      <c r="D1482" s="7"/>
      <c r="E1482" s="7"/>
      <c r="F1482"/>
      <c r="G1482"/>
      <c r="H1482">
        <v>27616</v>
      </c>
      <c r="I1482"/>
      <c r="J1482"/>
      <c r="K1482" t="str">
        <f t="shared" si="239"/>
        <v/>
      </c>
      <c r="L1482" s="3" t="str">
        <f t="shared" si="240"/>
        <v>2001/01/01</v>
      </c>
      <c r="M1482" s="3" t="str">
        <f t="shared" si="241"/>
        <v>2199/12/31</v>
      </c>
      <c r="N1482" t="str">
        <f t="shared" si="242"/>
        <v/>
      </c>
      <c r="O1482" t="str">
        <f t="shared" si="237"/>
        <v/>
      </c>
      <c r="P1482"/>
      <c r="Q1482">
        <v>15</v>
      </c>
      <c r="R1482" s="21">
        <v>100000000</v>
      </c>
      <c r="S1482" s="21" t="str" cm="1">
        <f t="array" ref="S1482">_xlfn.IFS(LEFT(G1482,1)="L","記載要",LEFT(G1482,1)="W","記載要",G1482="","")</f>
        <v/>
      </c>
      <c r="T1482"/>
      <c r="U1482"/>
      <c r="V1482"/>
      <c r="W1482"/>
      <c r="X1482"/>
      <c r="Y1482"/>
      <c r="Z1482" s="8"/>
      <c r="AA1482" s="8">
        <v>1</v>
      </c>
      <c r="AB1482">
        <f t="shared" si="243"/>
        <v>0</v>
      </c>
      <c r="AC1482" s="8">
        <v>1</v>
      </c>
      <c r="AD1482"/>
      <c r="AE1482"/>
      <c r="AF1482">
        <v>1</v>
      </c>
      <c r="AG1482" s="8"/>
      <c r="AH1482" s="8"/>
      <c r="AI1482"/>
      <c r="AJ1482"/>
      <c r="AK1482" cm="1">
        <f t="array" ref="AK1482">_xlfn.IFS(B1482="","",LEFT(G1482,1)="L",1,LEFT(G1482,1)="W",1,AND(LEFT(B1482,1)="H",G1482=""),0)</f>
        <v>0</v>
      </c>
      <c r="AL1482"/>
      <c r="AM1482"/>
      <c r="AN1482"/>
      <c r="AO1482"/>
      <c r="AP1482"/>
      <c r="AQ1482"/>
      <c r="AR1482"/>
      <c r="AS1482">
        <f t="shared" si="244"/>
        <v>1</v>
      </c>
      <c r="AT1482" t="s">
        <v>115</v>
      </c>
      <c r="AU1482" t="str">
        <f t="shared" si="245"/>
        <v>0</v>
      </c>
      <c r="AV1482"/>
      <c r="AW1482"/>
      <c r="AX1482"/>
      <c r="AY1482"/>
      <c r="AZ1482"/>
      <c r="BA1482"/>
      <c r="BB1482"/>
      <c r="BC1482"/>
      <c r="BD1482" t="str">
        <f t="shared" si="246"/>
        <v>0</v>
      </c>
      <c r="BE1482"/>
      <c r="BF1482"/>
      <c r="BG1482"/>
      <c r="BH1482"/>
      <c r="BI1482"/>
      <c r="BJ1482"/>
      <c r="BK1482" s="15" t="str">
        <f>IFERROR(VLOOKUP(B1482,'[1]model_S-フレーム'!$F$5:$R$7000,13,1),"")</f>
        <v>E387190_01</v>
      </c>
      <c r="BL1482" s="16">
        <f>IFERROR(VLOOKUP(B1482,'[1]model_S-フレーム'!$F$5:$V$7000,17,1),"")</f>
        <v>0</v>
      </c>
      <c r="BM1482" s="15" t="str" cm="1">
        <f t="array" ref="BM1482">_xlfn.IFS(LEFT(G1482,1)="L","外注品",LEFT(G1482,1)="W","内製品",G1482="","購買品")</f>
        <v>購買品</v>
      </c>
    </row>
    <row r="1483" spans="1:65" s="15" customFormat="1">
      <c r="A1483" t="str">
        <f t="shared" si="238"/>
        <v>WG01</v>
      </c>
      <c r="B1483" t="s">
        <v>1621</v>
      </c>
      <c r="C1483" t="s">
        <v>1906</v>
      </c>
      <c r="D1483" s="7"/>
      <c r="E1483" s="7"/>
      <c r="F1483"/>
      <c r="G1483"/>
      <c r="H1483">
        <v>43453</v>
      </c>
      <c r="I1483"/>
      <c r="J1483"/>
      <c r="K1483" t="str">
        <f t="shared" si="239"/>
        <v/>
      </c>
      <c r="L1483" s="3" t="str">
        <f t="shared" si="240"/>
        <v>2001/01/01</v>
      </c>
      <c r="M1483" s="3" t="str">
        <f t="shared" si="241"/>
        <v>2199/12/31</v>
      </c>
      <c r="N1483" t="str">
        <f t="shared" si="242"/>
        <v/>
      </c>
      <c r="O1483" t="str">
        <f t="shared" si="237"/>
        <v/>
      </c>
      <c r="P1483"/>
      <c r="Q1483">
        <v>15</v>
      </c>
      <c r="R1483" s="21">
        <v>100000000</v>
      </c>
      <c r="S1483" s="21" t="str" cm="1">
        <f t="array" ref="S1483">_xlfn.IFS(LEFT(G1483,1)="L","記載要",LEFT(G1483,1)="W","記載要",G1483="","")</f>
        <v/>
      </c>
      <c r="T1483"/>
      <c r="U1483"/>
      <c r="V1483"/>
      <c r="W1483"/>
      <c r="X1483"/>
      <c r="Y1483"/>
      <c r="Z1483" s="8"/>
      <c r="AA1483" s="8">
        <v>1</v>
      </c>
      <c r="AB1483">
        <f t="shared" si="243"/>
        <v>0</v>
      </c>
      <c r="AC1483" s="8">
        <v>1</v>
      </c>
      <c r="AD1483"/>
      <c r="AE1483"/>
      <c r="AF1483">
        <v>0</v>
      </c>
      <c r="AG1483" s="8"/>
      <c r="AH1483" s="8"/>
      <c r="AI1483"/>
      <c r="AJ1483"/>
      <c r="AK1483" cm="1">
        <f t="array" ref="AK1483">_xlfn.IFS(B1483="","",LEFT(G1483,1)="L",1,LEFT(G1483,1)="W",1,AND(LEFT(B1483,1)="H",G1483=""),0)</f>
        <v>0</v>
      </c>
      <c r="AL1483"/>
      <c r="AM1483"/>
      <c r="AN1483"/>
      <c r="AO1483"/>
      <c r="AP1483"/>
      <c r="AQ1483"/>
      <c r="AR1483"/>
      <c r="AS1483">
        <f t="shared" si="244"/>
        <v>1</v>
      </c>
      <c r="AT1483" t="s">
        <v>115</v>
      </c>
      <c r="AU1483" t="str">
        <f t="shared" si="245"/>
        <v>0</v>
      </c>
      <c r="AV1483"/>
      <c r="AW1483"/>
      <c r="AX1483"/>
      <c r="AY1483"/>
      <c r="AZ1483"/>
      <c r="BA1483"/>
      <c r="BB1483"/>
      <c r="BC1483"/>
      <c r="BD1483" t="str">
        <f t="shared" si="246"/>
        <v>0</v>
      </c>
      <c r="BE1483"/>
      <c r="BF1483"/>
      <c r="BG1483"/>
      <c r="BH1483"/>
      <c r="BI1483"/>
      <c r="BJ1483"/>
      <c r="BK1483" s="15" t="str">
        <f>IFERROR(VLOOKUP(B1483,'[1]model_S-フレーム'!$F$5:$R$7000,13,1),"")</f>
        <v>E387190_01</v>
      </c>
      <c r="BL1483" s="16">
        <f>IFERROR(VLOOKUP(B1483,'[1]model_S-フレーム'!$F$5:$V$7000,17,1),"")</f>
        <v>0</v>
      </c>
      <c r="BM1483" s="15" t="str" cm="1">
        <f t="array" ref="BM1483">_xlfn.IFS(LEFT(G1483,1)="L","外注品",LEFT(G1483,1)="W","内製品",G1483="","購買品")</f>
        <v>購買品</v>
      </c>
    </row>
    <row r="1484" spans="1:65" s="15" customFormat="1">
      <c r="A1484" t="str">
        <f t="shared" si="238"/>
        <v>WG01</v>
      </c>
      <c r="B1484" t="s">
        <v>1621</v>
      </c>
      <c r="C1484" t="s">
        <v>1906</v>
      </c>
      <c r="D1484" s="7"/>
      <c r="E1484" s="7"/>
      <c r="F1484"/>
      <c r="G1484"/>
      <c r="H1484">
        <v>47081</v>
      </c>
      <c r="I1484"/>
      <c r="J1484"/>
      <c r="K1484" t="str">
        <f t="shared" si="239"/>
        <v/>
      </c>
      <c r="L1484" s="3" t="str">
        <f t="shared" si="240"/>
        <v>2001/01/01</v>
      </c>
      <c r="M1484" s="3" t="str">
        <f t="shared" si="241"/>
        <v>2199/12/31</v>
      </c>
      <c r="N1484" t="str">
        <f t="shared" si="242"/>
        <v/>
      </c>
      <c r="O1484" t="str">
        <f t="shared" si="237"/>
        <v/>
      </c>
      <c r="P1484"/>
      <c r="Q1484">
        <v>15</v>
      </c>
      <c r="R1484" s="21">
        <v>100000000</v>
      </c>
      <c r="S1484" s="21" t="str" cm="1">
        <f t="array" ref="S1484">_xlfn.IFS(LEFT(G1484,1)="L","記載要",LEFT(G1484,1)="W","記載要",G1484="","")</f>
        <v/>
      </c>
      <c r="T1484"/>
      <c r="U1484"/>
      <c r="V1484"/>
      <c r="W1484"/>
      <c r="X1484"/>
      <c r="Y1484"/>
      <c r="Z1484" s="8"/>
      <c r="AA1484" s="8">
        <v>1</v>
      </c>
      <c r="AB1484">
        <f t="shared" si="243"/>
        <v>0</v>
      </c>
      <c r="AC1484" s="8">
        <v>1</v>
      </c>
      <c r="AD1484"/>
      <c r="AE1484"/>
      <c r="AF1484">
        <v>0</v>
      </c>
      <c r="AG1484" s="8"/>
      <c r="AH1484" s="8"/>
      <c r="AI1484"/>
      <c r="AJ1484"/>
      <c r="AK1484" cm="1">
        <f t="array" ref="AK1484">_xlfn.IFS(B1484="","",LEFT(G1484,1)="L",1,LEFT(G1484,1)="W",1,AND(LEFT(B1484,1)="H",G1484=""),0)</f>
        <v>0</v>
      </c>
      <c r="AL1484"/>
      <c r="AM1484"/>
      <c r="AN1484"/>
      <c r="AO1484"/>
      <c r="AP1484"/>
      <c r="AQ1484"/>
      <c r="AR1484"/>
      <c r="AS1484">
        <f t="shared" si="244"/>
        <v>1</v>
      </c>
      <c r="AT1484" t="s">
        <v>115</v>
      </c>
      <c r="AU1484" t="str">
        <f t="shared" si="245"/>
        <v>0</v>
      </c>
      <c r="AV1484"/>
      <c r="AW1484"/>
      <c r="AX1484"/>
      <c r="AY1484"/>
      <c r="AZ1484"/>
      <c r="BA1484"/>
      <c r="BB1484"/>
      <c r="BC1484"/>
      <c r="BD1484" t="str">
        <f t="shared" si="246"/>
        <v>0</v>
      </c>
      <c r="BE1484"/>
      <c r="BF1484"/>
      <c r="BG1484"/>
      <c r="BH1484"/>
      <c r="BI1484"/>
      <c r="BJ1484"/>
      <c r="BK1484" s="15" t="str">
        <f>IFERROR(VLOOKUP(B1484,'[1]model_S-フレーム'!$F$5:$R$7000,13,1),"")</f>
        <v>E387190_01</v>
      </c>
      <c r="BL1484" s="16">
        <f>IFERROR(VLOOKUP(B1484,'[1]model_S-フレーム'!$F$5:$V$7000,17,1),"")</f>
        <v>0</v>
      </c>
      <c r="BM1484" s="15" t="str" cm="1">
        <f t="array" ref="BM1484">_xlfn.IFS(LEFT(G1484,1)="L","外注品",LEFT(G1484,1)="W","内製品",G1484="","購買品")</f>
        <v>購買品</v>
      </c>
    </row>
    <row r="1485" spans="1:65">
      <c r="A1485" t="str">
        <f t="shared" si="238"/>
        <v>WG01</v>
      </c>
      <c r="B1485" t="s">
        <v>1621</v>
      </c>
      <c r="C1485" t="s">
        <v>1906</v>
      </c>
      <c r="D1485" s="7"/>
      <c r="E1485" s="7"/>
      <c r="H1485" s="19" t="s">
        <v>1937</v>
      </c>
      <c r="K1485" t="str">
        <f t="shared" si="239"/>
        <v/>
      </c>
      <c r="L1485" s="3" t="str">
        <f t="shared" si="240"/>
        <v>2001/01/01</v>
      </c>
      <c r="M1485" s="3" t="str">
        <f t="shared" si="241"/>
        <v>2199/12/31</v>
      </c>
      <c r="N1485" t="str">
        <f t="shared" si="242"/>
        <v/>
      </c>
      <c r="O1485" t="str">
        <f t="shared" si="237"/>
        <v/>
      </c>
      <c r="Q1485">
        <v>15</v>
      </c>
      <c r="R1485" s="21">
        <v>100000000</v>
      </c>
      <c r="S1485" s="21" t="str" cm="1">
        <f t="array" ref="S1485">_xlfn.IFS(LEFT(G1485,1)="L","記載要",LEFT(G1485,1)="W","記載要",G1485="","")</f>
        <v/>
      </c>
      <c r="Z1485" s="8"/>
      <c r="AA1485" s="8">
        <v>1</v>
      </c>
      <c r="AB1485">
        <f t="shared" si="243"/>
        <v>0</v>
      </c>
      <c r="AC1485" s="8">
        <v>1</v>
      </c>
      <c r="AF1485">
        <v>0</v>
      </c>
      <c r="AG1485" s="8"/>
      <c r="AH1485" s="8"/>
      <c r="AK1485" cm="1">
        <f t="array" ref="AK1485">_xlfn.IFS(B1485="","",LEFT(G1485,1)="L",1,LEFT(G1485,1)="W",1,AND(LEFT(B1485,1)="H",G1485=""),0)</f>
        <v>0</v>
      </c>
      <c r="AS1485">
        <f t="shared" si="244"/>
        <v>1</v>
      </c>
      <c r="AT1485" t="s">
        <v>115</v>
      </c>
      <c r="AU1485" t="str">
        <f t="shared" si="245"/>
        <v>0</v>
      </c>
      <c r="BD1485" t="str">
        <f t="shared" si="246"/>
        <v>0</v>
      </c>
      <c r="BK1485" t="str">
        <f>IFERROR(VLOOKUP(B1485,'[1]model_S-フレーム'!$F$5:$R$7000,13,1),"")</f>
        <v>E387190_01</v>
      </c>
      <c r="BL1485" s="7">
        <f>IFERROR(VLOOKUP(B1485,'[1]model_S-フレーム'!$F$5:$V$7000,17,1),"")</f>
        <v>0</v>
      </c>
      <c r="BM1485" t="str" cm="1">
        <f t="array" ref="BM1485">_xlfn.IFS(LEFT(G1485,1)="L","外注品",LEFT(G1485,1)="W","内製品",G1485="","購買品")</f>
        <v>購買品</v>
      </c>
    </row>
    <row r="1486" spans="1:65" s="15" customFormat="1">
      <c r="A1486" t="str">
        <f t="shared" si="238"/>
        <v>WG01</v>
      </c>
      <c r="B1486" t="s">
        <v>1622</v>
      </c>
      <c r="C1486" t="s">
        <v>1907</v>
      </c>
      <c r="D1486" s="7"/>
      <c r="E1486" s="7"/>
      <c r="F1486"/>
      <c r="G1486"/>
      <c r="H1486">
        <v>27616</v>
      </c>
      <c r="I1486"/>
      <c r="J1486"/>
      <c r="K1486" t="str">
        <f t="shared" si="239"/>
        <v/>
      </c>
      <c r="L1486" s="3" t="str">
        <f t="shared" si="240"/>
        <v>2001/01/01</v>
      </c>
      <c r="M1486" s="3" t="str">
        <f t="shared" si="241"/>
        <v>2199/12/31</v>
      </c>
      <c r="N1486" t="str">
        <f t="shared" si="242"/>
        <v/>
      </c>
      <c r="O1486" t="str">
        <f t="shared" si="237"/>
        <v/>
      </c>
      <c r="P1486"/>
      <c r="Q1486">
        <v>15</v>
      </c>
      <c r="R1486" s="21">
        <v>100000000</v>
      </c>
      <c r="S1486" s="21" t="str" cm="1">
        <f t="array" ref="S1486">_xlfn.IFS(LEFT(G1486,1)="L","記載要",LEFT(G1486,1)="W","記載要",G1486="","")</f>
        <v/>
      </c>
      <c r="T1486"/>
      <c r="U1486"/>
      <c r="V1486"/>
      <c r="W1486"/>
      <c r="X1486"/>
      <c r="Y1486"/>
      <c r="Z1486" s="8"/>
      <c r="AA1486" s="8">
        <v>1</v>
      </c>
      <c r="AB1486">
        <f t="shared" si="243"/>
        <v>0</v>
      </c>
      <c r="AC1486" s="8">
        <v>1</v>
      </c>
      <c r="AD1486"/>
      <c r="AE1486"/>
      <c r="AF1486">
        <v>1</v>
      </c>
      <c r="AG1486" s="8"/>
      <c r="AH1486" s="8"/>
      <c r="AI1486"/>
      <c r="AJ1486"/>
      <c r="AK1486" cm="1">
        <f t="array" ref="AK1486">_xlfn.IFS(B1486="","",LEFT(G1486,1)="L",1,LEFT(G1486,1)="W",1,AND(LEFT(B1486,1)="H",G1486=""),0)</f>
        <v>0</v>
      </c>
      <c r="AL1486"/>
      <c r="AM1486"/>
      <c r="AN1486"/>
      <c r="AO1486"/>
      <c r="AP1486"/>
      <c r="AQ1486"/>
      <c r="AR1486"/>
      <c r="AS1486">
        <f t="shared" si="244"/>
        <v>1</v>
      </c>
      <c r="AT1486" t="s">
        <v>115</v>
      </c>
      <c r="AU1486" t="str">
        <f t="shared" si="245"/>
        <v>0</v>
      </c>
      <c r="AV1486"/>
      <c r="AW1486"/>
      <c r="AX1486"/>
      <c r="AY1486"/>
      <c r="AZ1486"/>
      <c r="BA1486"/>
      <c r="BB1486"/>
      <c r="BC1486"/>
      <c r="BD1486" t="str">
        <f t="shared" si="246"/>
        <v>0</v>
      </c>
      <c r="BE1486"/>
      <c r="BF1486"/>
      <c r="BG1486"/>
      <c r="BH1486"/>
      <c r="BI1486"/>
      <c r="BJ1486"/>
      <c r="BK1486" s="15" t="str">
        <f>IFERROR(VLOOKUP(B1486,'[1]model_S-フレーム'!$F$5:$R$7000,13,1),"")</f>
        <v>E387190_02</v>
      </c>
      <c r="BL1486" s="16">
        <f>IFERROR(VLOOKUP(B1486,'[1]model_S-フレーム'!$F$5:$V$7000,17,1),"")</f>
        <v>0</v>
      </c>
      <c r="BM1486" s="15" t="str" cm="1">
        <f t="array" ref="BM1486">_xlfn.IFS(LEFT(G1486,1)="L","外注品",LEFT(G1486,1)="W","内製品",G1486="","購買品")</f>
        <v>購買品</v>
      </c>
    </row>
    <row r="1487" spans="1:65" s="15" customFormat="1">
      <c r="A1487" t="str">
        <f t="shared" si="238"/>
        <v>WG01</v>
      </c>
      <c r="B1487" t="s">
        <v>1622</v>
      </c>
      <c r="C1487" t="s">
        <v>1907</v>
      </c>
      <c r="D1487" s="7"/>
      <c r="E1487" s="7"/>
      <c r="F1487"/>
      <c r="G1487"/>
      <c r="H1487">
        <v>43453</v>
      </c>
      <c r="I1487"/>
      <c r="J1487"/>
      <c r="K1487" t="str">
        <f t="shared" si="239"/>
        <v/>
      </c>
      <c r="L1487" s="3" t="str">
        <f t="shared" si="240"/>
        <v>2001/01/01</v>
      </c>
      <c r="M1487" s="3" t="str">
        <f t="shared" si="241"/>
        <v>2199/12/31</v>
      </c>
      <c r="N1487" t="str">
        <f t="shared" si="242"/>
        <v/>
      </c>
      <c r="O1487" t="str">
        <f t="shared" si="237"/>
        <v/>
      </c>
      <c r="P1487"/>
      <c r="Q1487">
        <v>15</v>
      </c>
      <c r="R1487" s="21">
        <v>100000000</v>
      </c>
      <c r="S1487" s="21" t="str" cm="1">
        <f t="array" ref="S1487">_xlfn.IFS(LEFT(G1487,1)="L","記載要",LEFT(G1487,1)="W","記載要",G1487="","")</f>
        <v/>
      </c>
      <c r="T1487"/>
      <c r="U1487"/>
      <c r="V1487"/>
      <c r="W1487"/>
      <c r="X1487"/>
      <c r="Y1487"/>
      <c r="Z1487" s="8"/>
      <c r="AA1487" s="8">
        <v>1</v>
      </c>
      <c r="AB1487">
        <f t="shared" si="243"/>
        <v>0</v>
      </c>
      <c r="AC1487" s="8">
        <v>1</v>
      </c>
      <c r="AD1487"/>
      <c r="AE1487"/>
      <c r="AF1487">
        <v>0</v>
      </c>
      <c r="AG1487" s="8"/>
      <c r="AH1487" s="8"/>
      <c r="AI1487"/>
      <c r="AJ1487"/>
      <c r="AK1487" cm="1">
        <f t="array" ref="AK1487">_xlfn.IFS(B1487="","",LEFT(G1487,1)="L",1,LEFT(G1487,1)="W",1,AND(LEFT(B1487,1)="H",G1487=""),0)</f>
        <v>0</v>
      </c>
      <c r="AL1487"/>
      <c r="AM1487"/>
      <c r="AN1487"/>
      <c r="AO1487"/>
      <c r="AP1487"/>
      <c r="AQ1487"/>
      <c r="AR1487"/>
      <c r="AS1487">
        <f t="shared" si="244"/>
        <v>1</v>
      </c>
      <c r="AT1487" t="s">
        <v>115</v>
      </c>
      <c r="AU1487" t="str">
        <f t="shared" si="245"/>
        <v>0</v>
      </c>
      <c r="AV1487"/>
      <c r="AW1487"/>
      <c r="AX1487"/>
      <c r="AY1487"/>
      <c r="AZ1487"/>
      <c r="BA1487"/>
      <c r="BB1487"/>
      <c r="BC1487"/>
      <c r="BD1487" t="str">
        <f t="shared" si="246"/>
        <v>0</v>
      </c>
      <c r="BE1487"/>
      <c r="BF1487"/>
      <c r="BG1487"/>
      <c r="BH1487"/>
      <c r="BI1487"/>
      <c r="BJ1487"/>
      <c r="BK1487" s="15" t="str">
        <f>IFERROR(VLOOKUP(B1487,'[1]model_S-フレーム'!$F$5:$R$7000,13,1),"")</f>
        <v>E387190_02</v>
      </c>
      <c r="BL1487" s="16">
        <f>IFERROR(VLOOKUP(B1487,'[1]model_S-フレーム'!$F$5:$V$7000,17,1),"")</f>
        <v>0</v>
      </c>
      <c r="BM1487" s="15" t="str" cm="1">
        <f t="array" ref="BM1487">_xlfn.IFS(LEFT(G1487,1)="L","外注品",LEFT(G1487,1)="W","内製品",G1487="","購買品")</f>
        <v>購買品</v>
      </c>
    </row>
    <row r="1488" spans="1:65" s="15" customFormat="1">
      <c r="A1488" t="str">
        <f t="shared" si="238"/>
        <v>WG01</v>
      </c>
      <c r="B1488" t="s">
        <v>1622</v>
      </c>
      <c r="C1488" t="s">
        <v>1907</v>
      </c>
      <c r="D1488" s="7"/>
      <c r="E1488" s="7"/>
      <c r="F1488"/>
      <c r="G1488"/>
      <c r="H1488">
        <v>47081</v>
      </c>
      <c r="I1488"/>
      <c r="J1488"/>
      <c r="K1488" t="str">
        <f t="shared" si="239"/>
        <v/>
      </c>
      <c r="L1488" s="3" t="str">
        <f t="shared" si="240"/>
        <v>2001/01/01</v>
      </c>
      <c r="M1488" s="3" t="str">
        <f t="shared" si="241"/>
        <v>2199/12/31</v>
      </c>
      <c r="N1488" t="str">
        <f t="shared" si="242"/>
        <v/>
      </c>
      <c r="O1488" t="str">
        <f t="shared" si="237"/>
        <v/>
      </c>
      <c r="P1488"/>
      <c r="Q1488">
        <v>15</v>
      </c>
      <c r="R1488" s="21">
        <v>100000000</v>
      </c>
      <c r="S1488" s="21" t="str" cm="1">
        <f t="array" ref="S1488">_xlfn.IFS(LEFT(G1488,1)="L","記載要",LEFT(G1488,1)="W","記載要",G1488="","")</f>
        <v/>
      </c>
      <c r="T1488"/>
      <c r="U1488"/>
      <c r="V1488"/>
      <c r="W1488"/>
      <c r="X1488"/>
      <c r="Y1488"/>
      <c r="Z1488" s="8"/>
      <c r="AA1488" s="8">
        <v>1</v>
      </c>
      <c r="AB1488">
        <f t="shared" si="243"/>
        <v>0</v>
      </c>
      <c r="AC1488" s="8">
        <v>1</v>
      </c>
      <c r="AD1488"/>
      <c r="AE1488"/>
      <c r="AF1488">
        <v>0</v>
      </c>
      <c r="AG1488" s="8"/>
      <c r="AH1488" s="8"/>
      <c r="AI1488"/>
      <c r="AJ1488"/>
      <c r="AK1488" cm="1">
        <f t="array" ref="AK1488">_xlfn.IFS(B1488="","",LEFT(G1488,1)="L",1,LEFT(G1488,1)="W",1,AND(LEFT(B1488,1)="H",G1488=""),0)</f>
        <v>0</v>
      </c>
      <c r="AL1488"/>
      <c r="AM1488"/>
      <c r="AN1488"/>
      <c r="AO1488"/>
      <c r="AP1488"/>
      <c r="AQ1488"/>
      <c r="AR1488"/>
      <c r="AS1488">
        <f t="shared" si="244"/>
        <v>1</v>
      </c>
      <c r="AT1488" t="s">
        <v>115</v>
      </c>
      <c r="AU1488" t="str">
        <f t="shared" si="245"/>
        <v>0</v>
      </c>
      <c r="AV1488"/>
      <c r="AW1488"/>
      <c r="AX1488"/>
      <c r="AY1488"/>
      <c r="AZ1488"/>
      <c r="BA1488"/>
      <c r="BB1488"/>
      <c r="BC1488"/>
      <c r="BD1488" t="str">
        <f t="shared" si="246"/>
        <v>0</v>
      </c>
      <c r="BE1488"/>
      <c r="BF1488"/>
      <c r="BG1488"/>
      <c r="BH1488"/>
      <c r="BI1488"/>
      <c r="BJ1488"/>
      <c r="BK1488" s="15" t="str">
        <f>IFERROR(VLOOKUP(B1488,'[1]model_S-フレーム'!$F$5:$R$7000,13,1),"")</f>
        <v>E387190_02</v>
      </c>
      <c r="BL1488" s="16">
        <f>IFERROR(VLOOKUP(B1488,'[1]model_S-フレーム'!$F$5:$V$7000,17,1),"")</f>
        <v>0</v>
      </c>
      <c r="BM1488" s="15" t="str" cm="1">
        <f t="array" ref="BM1488">_xlfn.IFS(LEFT(G1488,1)="L","外注品",LEFT(G1488,1)="W","内製品",G1488="","購買品")</f>
        <v>購買品</v>
      </c>
    </row>
    <row r="1489" spans="1:65">
      <c r="A1489" t="str">
        <f t="shared" si="238"/>
        <v>WG01</v>
      </c>
      <c r="B1489" t="s">
        <v>1622</v>
      </c>
      <c r="C1489" t="s">
        <v>1907</v>
      </c>
      <c r="D1489" s="7"/>
      <c r="E1489" s="7"/>
      <c r="H1489" s="19" t="s">
        <v>1937</v>
      </c>
      <c r="K1489" t="str">
        <f t="shared" si="239"/>
        <v/>
      </c>
      <c r="L1489" s="3" t="str">
        <f t="shared" si="240"/>
        <v>2001/01/01</v>
      </c>
      <c r="M1489" s="3" t="str">
        <f t="shared" si="241"/>
        <v>2199/12/31</v>
      </c>
      <c r="N1489" t="str">
        <f t="shared" si="242"/>
        <v/>
      </c>
      <c r="O1489" t="str">
        <f t="shared" si="237"/>
        <v/>
      </c>
      <c r="Q1489">
        <v>15</v>
      </c>
      <c r="R1489" s="21">
        <v>100000000</v>
      </c>
      <c r="S1489" s="21" t="str" cm="1">
        <f t="array" ref="S1489">_xlfn.IFS(LEFT(G1489,1)="L","記載要",LEFT(G1489,1)="W","記載要",G1489="","")</f>
        <v/>
      </c>
      <c r="Z1489" s="8"/>
      <c r="AA1489" s="8">
        <v>1</v>
      </c>
      <c r="AB1489">
        <f t="shared" si="243"/>
        <v>0</v>
      </c>
      <c r="AC1489" s="8">
        <v>1</v>
      </c>
      <c r="AF1489">
        <v>0</v>
      </c>
      <c r="AG1489" s="8"/>
      <c r="AH1489" s="8"/>
      <c r="AK1489" cm="1">
        <f t="array" ref="AK1489">_xlfn.IFS(B1489="","",LEFT(G1489,1)="L",1,LEFT(G1489,1)="W",1,AND(LEFT(B1489,1)="H",G1489=""),0)</f>
        <v>0</v>
      </c>
      <c r="AS1489">
        <f t="shared" si="244"/>
        <v>1</v>
      </c>
      <c r="AT1489" t="s">
        <v>115</v>
      </c>
      <c r="AU1489" t="str">
        <f t="shared" si="245"/>
        <v>0</v>
      </c>
      <c r="BD1489" t="str">
        <f t="shared" si="246"/>
        <v>0</v>
      </c>
      <c r="BK1489" t="str">
        <f>IFERROR(VLOOKUP(B1489,'[1]model_S-フレーム'!$F$5:$R$7000,13,1),"")</f>
        <v>E387190_02</v>
      </c>
      <c r="BL1489" s="7">
        <f>IFERROR(VLOOKUP(B1489,'[1]model_S-フレーム'!$F$5:$V$7000,17,1),"")</f>
        <v>0</v>
      </c>
      <c r="BM1489" t="str" cm="1">
        <f t="array" ref="BM1489">_xlfn.IFS(LEFT(G1489,1)="L","外注品",LEFT(G1489,1)="W","内製品",G1489="","購買品")</f>
        <v>購買品</v>
      </c>
    </row>
    <row r="1490" spans="1:65">
      <c r="A1490" t="str">
        <f t="shared" si="238"/>
        <v>WG01</v>
      </c>
      <c r="B1490" t="s">
        <v>1623</v>
      </c>
      <c r="C1490" t="s">
        <v>1908</v>
      </c>
      <c r="D1490" s="7"/>
      <c r="E1490" s="7"/>
      <c r="G1490" t="s">
        <v>1939</v>
      </c>
      <c r="H1490" t="str" cm="1">
        <f t="array" ref="H1490">IFERROR(_xlfn.IFS(B1490="","",AND(B1490="",G1490=""),"",G1490="","記載要"),"")</f>
        <v/>
      </c>
      <c r="K1490" t="str">
        <f t="shared" si="239"/>
        <v>11WP01073837</v>
      </c>
      <c r="L1490" s="3" t="str">
        <f t="shared" si="240"/>
        <v>2001/01/01</v>
      </c>
      <c r="M1490" s="3" t="str">
        <f t="shared" si="241"/>
        <v>2199/12/31</v>
      </c>
      <c r="N1490" t="str">
        <f t="shared" si="242"/>
        <v>11WP01073837</v>
      </c>
      <c r="O1490">
        <v>15</v>
      </c>
      <c r="Q1490" t="str" cm="1">
        <f t="array" ref="Q1490">_xlfn.IFS(AND(C1490="",G1490=""),"",LEFT(G1490,1)="L","記載要",LEFT(G1490,1)="W","",AND(C1490,G1490=""),"記載要")</f>
        <v/>
      </c>
      <c r="R1490" s="21" t="str">
        <f t="shared" ref="R1490:R1538" si="247">IF(H1490="","","記載要")</f>
        <v/>
      </c>
      <c r="S1490" s="21"/>
      <c r="Z1490" s="8"/>
      <c r="AA1490">
        <v>1</v>
      </c>
      <c r="AB1490">
        <f t="shared" si="243"/>
        <v>0</v>
      </c>
      <c r="AC1490">
        <v>1</v>
      </c>
      <c r="AF1490">
        <v>1</v>
      </c>
      <c r="AG1490" s="8"/>
      <c r="AH1490" s="8"/>
      <c r="AK1490" cm="1">
        <f t="array" ref="AK1490">_xlfn.IFS(B1490="","",LEFT(G1490,1)="L",1,LEFT(G1490,1)="W",1,AND(LEFT(B1490,1)="H",G1490=""),0)</f>
        <v>1</v>
      </c>
      <c r="AS1490" t="str">
        <f t="shared" si="244"/>
        <v/>
      </c>
      <c r="AT1490" t="s">
        <v>115</v>
      </c>
      <c r="AU1490" t="str">
        <f t="shared" si="245"/>
        <v>0</v>
      </c>
      <c r="BD1490" t="str">
        <f t="shared" si="246"/>
        <v>0</v>
      </c>
      <c r="BK1490" t="str">
        <f>IFERROR(VLOOKUP(B1490,'[1]model_S-フレーム'!$F$5:$R$7000,13,1),"")</f>
        <v>E380400_01</v>
      </c>
      <c r="BL1490" s="7">
        <f>IFERROR(VLOOKUP(B1490,'[1]model_S-フレーム'!$F$5:$V$7000,17,1),"")</f>
        <v>0</v>
      </c>
      <c r="BM1490" t="str" cm="1">
        <f t="array" ref="BM1490">_xlfn.IFS(LEFT(G1490,1)="L","外注品",LEFT(G1490,1)="W","内製品",G1490="","購買品")</f>
        <v>内製品</v>
      </c>
    </row>
    <row r="1491" spans="1:65">
      <c r="A1491" t="str">
        <f t="shared" si="238"/>
        <v>WG01</v>
      </c>
      <c r="B1491" t="s">
        <v>1624</v>
      </c>
      <c r="C1491" t="s">
        <v>1908</v>
      </c>
      <c r="D1491" s="7"/>
      <c r="E1491" s="7"/>
      <c r="G1491" t="s">
        <v>1939</v>
      </c>
      <c r="H1491" t="str" cm="1">
        <f t="array" ref="H1491">IFERROR(_xlfn.IFS(B1491="","",AND(B1491="",G1491=""),"",G1491="","記載要"),"")</f>
        <v/>
      </c>
      <c r="K1491" t="str">
        <f t="shared" si="239"/>
        <v>11WP01073838</v>
      </c>
      <c r="L1491" s="3" t="str">
        <f t="shared" si="240"/>
        <v>2001/01/01</v>
      </c>
      <c r="M1491" s="3" t="str">
        <f t="shared" si="241"/>
        <v>2199/12/31</v>
      </c>
      <c r="N1491" t="str">
        <f t="shared" si="242"/>
        <v>11WP01073838</v>
      </c>
      <c r="O1491">
        <v>15</v>
      </c>
      <c r="Q1491" t="str" cm="1">
        <f t="array" ref="Q1491">_xlfn.IFS(AND(C1491="",G1491=""),"",LEFT(G1491,1)="L","記載要",LEFT(G1491,1)="W","",AND(C1491,G1491=""),"記載要")</f>
        <v/>
      </c>
      <c r="R1491" s="21" t="str">
        <f t="shared" si="247"/>
        <v/>
      </c>
      <c r="S1491" s="21"/>
      <c r="Z1491" s="8"/>
      <c r="AA1491">
        <v>1</v>
      </c>
      <c r="AB1491">
        <f t="shared" si="243"/>
        <v>0</v>
      </c>
      <c r="AC1491">
        <v>1</v>
      </c>
      <c r="AF1491">
        <v>1</v>
      </c>
      <c r="AG1491" s="8"/>
      <c r="AH1491" s="8"/>
      <c r="AK1491" cm="1">
        <f t="array" ref="AK1491">_xlfn.IFS(B1491="","",LEFT(G1491,1)="L",1,LEFT(G1491,1)="W",1,AND(LEFT(B1491,1)="H",G1491=""),0)</f>
        <v>1</v>
      </c>
      <c r="AS1491" t="str">
        <f t="shared" si="244"/>
        <v/>
      </c>
      <c r="AT1491" t="s">
        <v>115</v>
      </c>
      <c r="AU1491" t="str">
        <f t="shared" si="245"/>
        <v>0</v>
      </c>
      <c r="BD1491" t="str">
        <f t="shared" si="246"/>
        <v>0</v>
      </c>
      <c r="BK1491" t="str">
        <f>IFERROR(VLOOKUP(B1491,'[1]model_S-フレーム'!$F$5:$R$7000,13,1),"")</f>
        <v>E380400_01</v>
      </c>
      <c r="BL1491" s="7">
        <f>IFERROR(VLOOKUP(B1491,'[1]model_S-フレーム'!$F$5:$V$7000,17,1),"")</f>
        <v>0</v>
      </c>
      <c r="BM1491" t="str" cm="1">
        <f t="array" ref="BM1491">_xlfn.IFS(LEFT(G1491,1)="L","外注品",LEFT(G1491,1)="W","内製品",G1491="","購買品")</f>
        <v>内製品</v>
      </c>
    </row>
    <row r="1492" spans="1:65">
      <c r="A1492" t="str">
        <f t="shared" si="238"/>
        <v>WG01</v>
      </c>
      <c r="B1492" t="s">
        <v>1625</v>
      </c>
      <c r="C1492" t="s">
        <v>1908</v>
      </c>
      <c r="D1492" s="7"/>
      <c r="E1492" s="7"/>
      <c r="G1492" t="s">
        <v>1939</v>
      </c>
      <c r="H1492" t="str" cm="1">
        <f t="array" ref="H1492">IFERROR(_xlfn.IFS(B1492="","",AND(B1492="",G1492=""),"",G1492="","記載要"),"")</f>
        <v/>
      </c>
      <c r="K1492" t="str">
        <f t="shared" si="239"/>
        <v>11WP01073839</v>
      </c>
      <c r="L1492" s="3" t="str">
        <f t="shared" si="240"/>
        <v>2001/01/01</v>
      </c>
      <c r="M1492" s="3" t="str">
        <f t="shared" si="241"/>
        <v>2199/12/31</v>
      </c>
      <c r="N1492" t="str">
        <f t="shared" si="242"/>
        <v>11WP01073839</v>
      </c>
      <c r="O1492">
        <v>15</v>
      </c>
      <c r="Q1492" t="str" cm="1">
        <f t="array" ref="Q1492">_xlfn.IFS(AND(C1492="",G1492=""),"",LEFT(G1492,1)="L","記載要",LEFT(G1492,1)="W","",AND(C1492,G1492=""),"記載要")</f>
        <v/>
      </c>
      <c r="R1492" s="21" t="str">
        <f t="shared" si="247"/>
        <v/>
      </c>
      <c r="S1492" s="21"/>
      <c r="Z1492" s="8"/>
      <c r="AA1492">
        <v>1</v>
      </c>
      <c r="AB1492">
        <f t="shared" si="243"/>
        <v>0</v>
      </c>
      <c r="AC1492">
        <v>1</v>
      </c>
      <c r="AF1492">
        <v>1</v>
      </c>
      <c r="AG1492" s="8"/>
      <c r="AH1492" s="8"/>
      <c r="AK1492" cm="1">
        <f t="array" ref="AK1492">_xlfn.IFS(B1492="","",LEFT(G1492,1)="L",1,LEFT(G1492,1)="W",1,AND(LEFT(B1492,1)="H",G1492=""),0)</f>
        <v>1</v>
      </c>
      <c r="AS1492" t="str">
        <f t="shared" si="244"/>
        <v/>
      </c>
      <c r="AT1492" t="s">
        <v>115</v>
      </c>
      <c r="AU1492" t="str">
        <f t="shared" si="245"/>
        <v>0</v>
      </c>
      <c r="BD1492" t="str">
        <f t="shared" si="246"/>
        <v>0</v>
      </c>
      <c r="BK1492" t="str">
        <f>IFERROR(VLOOKUP(B1492,'[1]model_S-フレーム'!$F$5:$R$7000,13,1),"")</f>
        <v>E380400_01</v>
      </c>
      <c r="BL1492" s="7">
        <f>IFERROR(VLOOKUP(B1492,'[1]model_S-フレーム'!$F$5:$V$7000,17,1),"")</f>
        <v>0</v>
      </c>
      <c r="BM1492" t="str" cm="1">
        <f t="array" ref="BM1492">_xlfn.IFS(LEFT(G1492,1)="L","外注品",LEFT(G1492,1)="W","内製品",G1492="","購買品")</f>
        <v>内製品</v>
      </c>
    </row>
    <row r="1493" spans="1:65">
      <c r="A1493" t="str">
        <f t="shared" si="238"/>
        <v>WG01</v>
      </c>
      <c r="B1493" t="s">
        <v>1626</v>
      </c>
      <c r="C1493" t="s">
        <v>1908</v>
      </c>
      <c r="D1493" s="7"/>
      <c r="E1493" s="7"/>
      <c r="G1493" t="s">
        <v>1939</v>
      </c>
      <c r="H1493" t="str" cm="1">
        <f t="array" ref="H1493">IFERROR(_xlfn.IFS(B1493="","",AND(B1493="",G1493=""),"",G1493="","記載要"),"")</f>
        <v/>
      </c>
      <c r="K1493" t="str">
        <f t="shared" si="239"/>
        <v>11WP01073840</v>
      </c>
      <c r="L1493" s="3" t="str">
        <f t="shared" si="240"/>
        <v>2001/01/01</v>
      </c>
      <c r="M1493" s="3" t="str">
        <f t="shared" si="241"/>
        <v>2199/12/31</v>
      </c>
      <c r="N1493" t="str">
        <f t="shared" si="242"/>
        <v>11WP01073840</v>
      </c>
      <c r="O1493">
        <v>15</v>
      </c>
      <c r="Q1493" t="str" cm="1">
        <f t="array" ref="Q1493">_xlfn.IFS(AND(C1493="",G1493=""),"",LEFT(G1493,1)="L","記載要",LEFT(G1493,1)="W","",AND(C1493,G1493=""),"記載要")</f>
        <v/>
      </c>
      <c r="R1493" s="21" t="str">
        <f t="shared" si="247"/>
        <v/>
      </c>
      <c r="S1493" s="21"/>
      <c r="Z1493" s="8"/>
      <c r="AA1493">
        <v>1</v>
      </c>
      <c r="AB1493">
        <f t="shared" si="243"/>
        <v>0</v>
      </c>
      <c r="AC1493">
        <v>1</v>
      </c>
      <c r="AF1493">
        <v>1</v>
      </c>
      <c r="AG1493" s="8"/>
      <c r="AH1493" s="8"/>
      <c r="AK1493" cm="1">
        <f t="array" ref="AK1493">_xlfn.IFS(B1493="","",LEFT(G1493,1)="L",1,LEFT(G1493,1)="W",1,AND(LEFT(B1493,1)="H",G1493=""),0)</f>
        <v>1</v>
      </c>
      <c r="AS1493" t="str">
        <f t="shared" si="244"/>
        <v/>
      </c>
      <c r="AT1493" t="s">
        <v>115</v>
      </c>
      <c r="AU1493" t="str">
        <f t="shared" si="245"/>
        <v>0</v>
      </c>
      <c r="BD1493" t="str">
        <f t="shared" si="246"/>
        <v>0</v>
      </c>
      <c r="BK1493" t="str">
        <f>IFERROR(VLOOKUP(B1493,'[1]model_S-フレーム'!$F$5:$R$7000,13,1),"")</f>
        <v>E380400_01</v>
      </c>
      <c r="BL1493" s="7">
        <f>IFERROR(VLOOKUP(B1493,'[1]model_S-フレーム'!$F$5:$V$7000,17,1),"")</f>
        <v>0</v>
      </c>
      <c r="BM1493" t="str" cm="1">
        <f t="array" ref="BM1493">_xlfn.IFS(LEFT(G1493,1)="L","外注品",LEFT(G1493,1)="W","内製品",G1493="","購買品")</f>
        <v>内製品</v>
      </c>
    </row>
    <row r="1494" spans="1:65">
      <c r="A1494" t="str">
        <f t="shared" si="238"/>
        <v>WG01</v>
      </c>
      <c r="B1494" t="s">
        <v>1627</v>
      </c>
      <c r="C1494" t="s">
        <v>1908</v>
      </c>
      <c r="D1494" s="7"/>
      <c r="E1494" s="7"/>
      <c r="G1494" t="s">
        <v>1939</v>
      </c>
      <c r="H1494" t="str" cm="1">
        <f t="array" ref="H1494">IFERROR(_xlfn.IFS(B1494="","",AND(B1494="",G1494=""),"",G1494="","記載要"),"")</f>
        <v/>
      </c>
      <c r="K1494" t="str">
        <f t="shared" si="239"/>
        <v>11WP01073841</v>
      </c>
      <c r="L1494" s="3" t="str">
        <f t="shared" si="240"/>
        <v>2001/01/01</v>
      </c>
      <c r="M1494" s="3" t="str">
        <f t="shared" si="241"/>
        <v>2199/12/31</v>
      </c>
      <c r="N1494" t="str">
        <f t="shared" si="242"/>
        <v>11WP01073841</v>
      </c>
      <c r="O1494">
        <v>15</v>
      </c>
      <c r="Q1494" t="str" cm="1">
        <f t="array" ref="Q1494">_xlfn.IFS(AND(C1494="",G1494=""),"",LEFT(G1494,1)="L","記載要",LEFT(G1494,1)="W","",AND(C1494,G1494=""),"記載要")</f>
        <v/>
      </c>
      <c r="R1494" s="21" t="str">
        <f t="shared" si="247"/>
        <v/>
      </c>
      <c r="S1494" s="21"/>
      <c r="Z1494" s="8"/>
      <c r="AA1494">
        <v>1</v>
      </c>
      <c r="AB1494">
        <f t="shared" si="243"/>
        <v>0</v>
      </c>
      <c r="AC1494">
        <v>1</v>
      </c>
      <c r="AF1494">
        <v>1</v>
      </c>
      <c r="AG1494" s="8"/>
      <c r="AH1494" s="8"/>
      <c r="AK1494" cm="1">
        <f t="array" ref="AK1494">_xlfn.IFS(B1494="","",LEFT(G1494,1)="L",1,LEFT(G1494,1)="W",1,AND(LEFT(B1494,1)="H",G1494=""),0)</f>
        <v>1</v>
      </c>
      <c r="AS1494" t="str">
        <f t="shared" si="244"/>
        <v/>
      </c>
      <c r="AT1494" t="s">
        <v>115</v>
      </c>
      <c r="AU1494" t="str">
        <f t="shared" si="245"/>
        <v>0</v>
      </c>
      <c r="BD1494" t="str">
        <f t="shared" si="246"/>
        <v>0</v>
      </c>
      <c r="BK1494" t="str">
        <f>IFERROR(VLOOKUP(B1494,'[1]model_S-フレーム'!$F$5:$R$7000,13,1),"")</f>
        <v>E380400_01</v>
      </c>
      <c r="BL1494" s="7">
        <f>IFERROR(VLOOKUP(B1494,'[1]model_S-フレーム'!$F$5:$V$7000,17,1),"")</f>
        <v>0</v>
      </c>
      <c r="BM1494" t="str" cm="1">
        <f t="array" ref="BM1494">_xlfn.IFS(LEFT(G1494,1)="L","外注品",LEFT(G1494,1)="W","内製品",G1494="","購買品")</f>
        <v>内製品</v>
      </c>
    </row>
    <row r="1495" spans="1:65">
      <c r="A1495" t="str">
        <f t="shared" si="238"/>
        <v>WG01</v>
      </c>
      <c r="B1495" t="s">
        <v>1628</v>
      </c>
      <c r="C1495" t="s">
        <v>1908</v>
      </c>
      <c r="D1495" s="7"/>
      <c r="E1495" s="7"/>
      <c r="G1495" t="s">
        <v>1939</v>
      </c>
      <c r="H1495" t="str" cm="1">
        <f t="array" ref="H1495">IFERROR(_xlfn.IFS(B1495="","",AND(B1495="",G1495=""),"",G1495="","記載要"),"")</f>
        <v/>
      </c>
      <c r="K1495" t="str">
        <f t="shared" si="239"/>
        <v>11WP01073842</v>
      </c>
      <c r="L1495" s="3" t="str">
        <f t="shared" si="240"/>
        <v>2001/01/01</v>
      </c>
      <c r="M1495" s="3" t="str">
        <f t="shared" si="241"/>
        <v>2199/12/31</v>
      </c>
      <c r="N1495" t="str">
        <f t="shared" si="242"/>
        <v>11WP01073842</v>
      </c>
      <c r="O1495">
        <v>15</v>
      </c>
      <c r="Q1495" t="str" cm="1">
        <f t="array" ref="Q1495">_xlfn.IFS(AND(C1495="",G1495=""),"",LEFT(G1495,1)="L","記載要",LEFT(G1495,1)="W","",AND(C1495,G1495=""),"記載要")</f>
        <v/>
      </c>
      <c r="R1495" s="21" t="str">
        <f t="shared" si="247"/>
        <v/>
      </c>
      <c r="S1495" s="21"/>
      <c r="Z1495" s="8"/>
      <c r="AA1495">
        <v>1</v>
      </c>
      <c r="AB1495">
        <f t="shared" si="243"/>
        <v>0</v>
      </c>
      <c r="AC1495">
        <v>1</v>
      </c>
      <c r="AF1495">
        <v>1</v>
      </c>
      <c r="AG1495" s="8"/>
      <c r="AH1495" s="8"/>
      <c r="AK1495" cm="1">
        <f t="array" ref="AK1495">_xlfn.IFS(B1495="","",LEFT(G1495,1)="L",1,LEFT(G1495,1)="W",1,AND(LEFT(B1495,1)="H",G1495=""),0)</f>
        <v>1</v>
      </c>
      <c r="AS1495" t="str">
        <f t="shared" si="244"/>
        <v/>
      </c>
      <c r="AT1495" t="s">
        <v>115</v>
      </c>
      <c r="AU1495" t="str">
        <f t="shared" si="245"/>
        <v>0</v>
      </c>
      <c r="BD1495" t="str">
        <f t="shared" si="246"/>
        <v>0</v>
      </c>
      <c r="BK1495" t="str">
        <f>IFERROR(VLOOKUP(B1495,'[1]model_S-フレーム'!$F$5:$R$7000,13,1),"")</f>
        <v>E380400_01</v>
      </c>
      <c r="BL1495" s="7">
        <f>IFERROR(VLOOKUP(B1495,'[1]model_S-フレーム'!$F$5:$V$7000,17,1),"")</f>
        <v>0</v>
      </c>
      <c r="BM1495" t="str" cm="1">
        <f t="array" ref="BM1495">_xlfn.IFS(LEFT(G1495,1)="L","外注品",LEFT(G1495,1)="W","内製品",G1495="","購買品")</f>
        <v>内製品</v>
      </c>
    </row>
    <row r="1496" spans="1:65">
      <c r="A1496" t="str">
        <f t="shared" si="238"/>
        <v>WG01</v>
      </c>
      <c r="B1496" t="s">
        <v>1629</v>
      </c>
      <c r="C1496" t="s">
        <v>1908</v>
      </c>
      <c r="D1496" s="7"/>
      <c r="E1496" s="7"/>
      <c r="G1496" t="s">
        <v>1939</v>
      </c>
      <c r="H1496" t="str" cm="1">
        <f t="array" ref="H1496">IFERROR(_xlfn.IFS(B1496="","",AND(B1496="",G1496=""),"",G1496="","記載要"),"")</f>
        <v/>
      </c>
      <c r="K1496" t="str">
        <f t="shared" si="239"/>
        <v>11WP01073843</v>
      </c>
      <c r="L1496" s="3" t="str">
        <f t="shared" si="240"/>
        <v>2001/01/01</v>
      </c>
      <c r="M1496" s="3" t="str">
        <f t="shared" si="241"/>
        <v>2199/12/31</v>
      </c>
      <c r="N1496" t="str">
        <f t="shared" si="242"/>
        <v>11WP01073843</v>
      </c>
      <c r="O1496">
        <v>15</v>
      </c>
      <c r="Q1496" t="str" cm="1">
        <f t="array" ref="Q1496">_xlfn.IFS(AND(C1496="",G1496=""),"",LEFT(G1496,1)="L","記載要",LEFT(G1496,1)="W","",AND(C1496,G1496=""),"記載要")</f>
        <v/>
      </c>
      <c r="R1496" s="21" t="str">
        <f t="shared" si="247"/>
        <v/>
      </c>
      <c r="S1496" s="21"/>
      <c r="Z1496" s="8"/>
      <c r="AA1496">
        <v>1</v>
      </c>
      <c r="AB1496">
        <f t="shared" si="243"/>
        <v>0</v>
      </c>
      <c r="AC1496">
        <v>1</v>
      </c>
      <c r="AF1496">
        <v>1</v>
      </c>
      <c r="AG1496" s="8"/>
      <c r="AH1496" s="8"/>
      <c r="AK1496" cm="1">
        <f t="array" ref="AK1496">_xlfn.IFS(B1496="","",LEFT(G1496,1)="L",1,LEFT(G1496,1)="W",1,AND(LEFT(B1496,1)="H",G1496=""),0)</f>
        <v>1</v>
      </c>
      <c r="AS1496" t="str">
        <f t="shared" si="244"/>
        <v/>
      </c>
      <c r="AT1496" t="s">
        <v>115</v>
      </c>
      <c r="AU1496" t="str">
        <f t="shared" si="245"/>
        <v>0</v>
      </c>
      <c r="BD1496" t="str">
        <f t="shared" si="246"/>
        <v>0</v>
      </c>
      <c r="BK1496" t="str">
        <f>IFERROR(VLOOKUP(B1496,'[1]model_S-フレーム'!$F$5:$R$7000,13,1),"")</f>
        <v>E380400_01</v>
      </c>
      <c r="BL1496" s="7">
        <f>IFERROR(VLOOKUP(B1496,'[1]model_S-フレーム'!$F$5:$V$7000,17,1),"")</f>
        <v>0</v>
      </c>
      <c r="BM1496" t="str" cm="1">
        <f t="array" ref="BM1496">_xlfn.IFS(LEFT(G1496,1)="L","外注品",LEFT(G1496,1)="W","内製品",G1496="","購買品")</f>
        <v>内製品</v>
      </c>
    </row>
    <row r="1497" spans="1:65">
      <c r="A1497" t="str">
        <f t="shared" si="238"/>
        <v>WG01</v>
      </c>
      <c r="B1497" t="s">
        <v>1630</v>
      </c>
      <c r="C1497" t="s">
        <v>1908</v>
      </c>
      <c r="D1497" s="7"/>
      <c r="E1497" s="7"/>
      <c r="G1497" t="s">
        <v>1939</v>
      </c>
      <c r="H1497" t="str" cm="1">
        <f t="array" ref="H1497">IFERROR(_xlfn.IFS(B1497="","",AND(B1497="",G1497=""),"",G1497="","記載要"),"")</f>
        <v/>
      </c>
      <c r="K1497" t="str">
        <f t="shared" si="239"/>
        <v>11WP01073844</v>
      </c>
      <c r="L1497" s="3" t="str">
        <f t="shared" si="240"/>
        <v>2001/01/01</v>
      </c>
      <c r="M1497" s="3" t="str">
        <f t="shared" si="241"/>
        <v>2199/12/31</v>
      </c>
      <c r="N1497" t="str">
        <f t="shared" si="242"/>
        <v>11WP01073844</v>
      </c>
      <c r="O1497">
        <v>15</v>
      </c>
      <c r="Q1497" t="str" cm="1">
        <f t="array" ref="Q1497">_xlfn.IFS(AND(C1497="",G1497=""),"",LEFT(G1497,1)="L","記載要",LEFT(G1497,1)="W","",AND(C1497,G1497=""),"記載要")</f>
        <v/>
      </c>
      <c r="R1497" s="21" t="str">
        <f t="shared" si="247"/>
        <v/>
      </c>
      <c r="S1497" s="21"/>
      <c r="Z1497" s="8"/>
      <c r="AA1497">
        <v>1</v>
      </c>
      <c r="AB1497">
        <f t="shared" si="243"/>
        <v>0</v>
      </c>
      <c r="AC1497">
        <v>1</v>
      </c>
      <c r="AF1497">
        <v>1</v>
      </c>
      <c r="AG1497" s="8"/>
      <c r="AH1497" s="8"/>
      <c r="AK1497" cm="1">
        <f t="array" ref="AK1497">_xlfn.IFS(B1497="","",LEFT(G1497,1)="L",1,LEFT(G1497,1)="W",1,AND(LEFT(B1497,1)="H",G1497=""),0)</f>
        <v>1</v>
      </c>
      <c r="AS1497" t="str">
        <f t="shared" si="244"/>
        <v/>
      </c>
      <c r="AT1497" t="s">
        <v>115</v>
      </c>
      <c r="AU1497" t="str">
        <f t="shared" si="245"/>
        <v>0</v>
      </c>
      <c r="BD1497" t="str">
        <f t="shared" si="246"/>
        <v>0</v>
      </c>
      <c r="BK1497" t="str">
        <f>IFERROR(VLOOKUP(B1497,'[1]model_S-フレーム'!$F$5:$R$7000,13,1),"")</f>
        <v>E380400_01</v>
      </c>
      <c r="BL1497" s="7">
        <f>IFERROR(VLOOKUP(B1497,'[1]model_S-フレーム'!$F$5:$V$7000,17,1),"")</f>
        <v>0</v>
      </c>
      <c r="BM1497" t="str" cm="1">
        <f t="array" ref="BM1497">_xlfn.IFS(LEFT(G1497,1)="L","外注品",LEFT(G1497,1)="W","内製品",G1497="","購買品")</f>
        <v>内製品</v>
      </c>
    </row>
    <row r="1498" spans="1:65">
      <c r="A1498" t="str">
        <f t="shared" si="238"/>
        <v>WG01</v>
      </c>
      <c r="B1498" t="s">
        <v>1631</v>
      </c>
      <c r="C1498" t="s">
        <v>1908</v>
      </c>
      <c r="D1498" s="7"/>
      <c r="E1498" s="7"/>
      <c r="G1498" t="s">
        <v>1939</v>
      </c>
      <c r="H1498" t="str" cm="1">
        <f t="array" ref="H1498">IFERROR(_xlfn.IFS(B1498="","",AND(B1498="",G1498=""),"",G1498="","記載要"),"")</f>
        <v/>
      </c>
      <c r="K1498" t="str">
        <f t="shared" si="239"/>
        <v>11WP01073845</v>
      </c>
      <c r="L1498" s="3" t="str">
        <f t="shared" si="240"/>
        <v>2001/01/01</v>
      </c>
      <c r="M1498" s="3" t="str">
        <f t="shared" si="241"/>
        <v>2199/12/31</v>
      </c>
      <c r="N1498" t="str">
        <f t="shared" si="242"/>
        <v>11WP01073845</v>
      </c>
      <c r="O1498">
        <v>15</v>
      </c>
      <c r="Q1498" t="str" cm="1">
        <f t="array" ref="Q1498">_xlfn.IFS(AND(C1498="",G1498=""),"",LEFT(G1498,1)="L","記載要",LEFT(G1498,1)="W","",AND(C1498,G1498=""),"記載要")</f>
        <v/>
      </c>
      <c r="R1498" s="21" t="str">
        <f t="shared" si="247"/>
        <v/>
      </c>
      <c r="S1498" s="21"/>
      <c r="Z1498" s="8"/>
      <c r="AA1498">
        <v>1</v>
      </c>
      <c r="AB1498">
        <f t="shared" si="243"/>
        <v>0</v>
      </c>
      <c r="AC1498">
        <v>1</v>
      </c>
      <c r="AF1498">
        <v>1</v>
      </c>
      <c r="AG1498" s="8"/>
      <c r="AH1498" s="8"/>
      <c r="AK1498" cm="1">
        <f t="array" ref="AK1498">_xlfn.IFS(B1498="","",LEFT(G1498,1)="L",1,LEFT(G1498,1)="W",1,AND(LEFT(B1498,1)="H",G1498=""),0)</f>
        <v>1</v>
      </c>
      <c r="AS1498" t="str">
        <f t="shared" si="244"/>
        <v/>
      </c>
      <c r="AT1498" t="s">
        <v>115</v>
      </c>
      <c r="AU1498" t="str">
        <f t="shared" si="245"/>
        <v>0</v>
      </c>
      <c r="BD1498" t="str">
        <f t="shared" si="246"/>
        <v>0</v>
      </c>
      <c r="BK1498" t="str">
        <f>IFERROR(VLOOKUP(B1498,'[1]model_S-フレーム'!$F$5:$R$7000,13,1),"")</f>
        <v>E380400_01</v>
      </c>
      <c r="BL1498" s="7">
        <f>IFERROR(VLOOKUP(B1498,'[1]model_S-フレーム'!$F$5:$V$7000,17,1),"")</f>
        <v>0</v>
      </c>
      <c r="BM1498" t="str" cm="1">
        <f t="array" ref="BM1498">_xlfn.IFS(LEFT(G1498,1)="L","外注品",LEFT(G1498,1)="W","内製品",G1498="","購買品")</f>
        <v>内製品</v>
      </c>
    </row>
    <row r="1499" spans="1:65">
      <c r="A1499" t="str">
        <f t="shared" si="238"/>
        <v>WG01</v>
      </c>
      <c r="B1499" t="s">
        <v>1632</v>
      </c>
      <c r="C1499" t="s">
        <v>1908</v>
      </c>
      <c r="D1499" s="7"/>
      <c r="E1499" s="7"/>
      <c r="G1499" t="s">
        <v>1939</v>
      </c>
      <c r="H1499" t="str" cm="1">
        <f t="array" ref="H1499">IFERROR(_xlfn.IFS(B1499="","",AND(B1499="",G1499=""),"",G1499="","記載要"),"")</f>
        <v/>
      </c>
      <c r="K1499" t="str">
        <f t="shared" si="239"/>
        <v>11WP01073846</v>
      </c>
      <c r="L1499" s="3" t="str">
        <f t="shared" si="240"/>
        <v>2001/01/01</v>
      </c>
      <c r="M1499" s="3" t="str">
        <f t="shared" si="241"/>
        <v>2199/12/31</v>
      </c>
      <c r="N1499" t="str">
        <f t="shared" si="242"/>
        <v>11WP01073846</v>
      </c>
      <c r="O1499">
        <v>15</v>
      </c>
      <c r="Q1499" t="str" cm="1">
        <f t="array" ref="Q1499">_xlfn.IFS(AND(C1499="",G1499=""),"",LEFT(G1499,1)="L","記載要",LEFT(G1499,1)="W","",AND(C1499,G1499=""),"記載要")</f>
        <v/>
      </c>
      <c r="R1499" s="21" t="str">
        <f t="shared" si="247"/>
        <v/>
      </c>
      <c r="S1499" s="21"/>
      <c r="Z1499" s="8"/>
      <c r="AA1499">
        <v>1</v>
      </c>
      <c r="AB1499">
        <f t="shared" si="243"/>
        <v>0</v>
      </c>
      <c r="AC1499">
        <v>1</v>
      </c>
      <c r="AF1499">
        <v>1</v>
      </c>
      <c r="AG1499" s="8"/>
      <c r="AH1499" s="8"/>
      <c r="AK1499" cm="1">
        <f t="array" ref="AK1499">_xlfn.IFS(B1499="","",LEFT(G1499,1)="L",1,LEFT(G1499,1)="W",1,AND(LEFT(B1499,1)="H",G1499=""),0)</f>
        <v>1</v>
      </c>
      <c r="AS1499" t="str">
        <f t="shared" si="244"/>
        <v/>
      </c>
      <c r="AT1499" t="s">
        <v>115</v>
      </c>
      <c r="AU1499" t="str">
        <f t="shared" si="245"/>
        <v>0</v>
      </c>
      <c r="BD1499" t="str">
        <f t="shared" si="246"/>
        <v>0</v>
      </c>
      <c r="BK1499" t="str">
        <f>IFERROR(VLOOKUP(B1499,'[1]model_S-フレーム'!$F$5:$R$7000,13,1),"")</f>
        <v>E380400_01</v>
      </c>
      <c r="BL1499" s="7">
        <f>IFERROR(VLOOKUP(B1499,'[1]model_S-フレーム'!$F$5:$V$7000,17,1),"")</f>
        <v>0</v>
      </c>
      <c r="BM1499" t="str" cm="1">
        <f t="array" ref="BM1499">_xlfn.IFS(LEFT(G1499,1)="L","外注品",LEFT(G1499,1)="W","内製品",G1499="","購買品")</f>
        <v>内製品</v>
      </c>
    </row>
    <row r="1500" spans="1:65">
      <c r="A1500" t="str">
        <f t="shared" si="238"/>
        <v>WG01</v>
      </c>
      <c r="B1500" t="s">
        <v>1633</v>
      </c>
      <c r="C1500" t="s">
        <v>1908</v>
      </c>
      <c r="D1500" s="7"/>
      <c r="E1500" s="7"/>
      <c r="G1500" t="s">
        <v>1939</v>
      </c>
      <c r="H1500" t="str" cm="1">
        <f t="array" ref="H1500">IFERROR(_xlfn.IFS(B1500="","",AND(B1500="",G1500=""),"",G1500="","記載要"),"")</f>
        <v/>
      </c>
      <c r="K1500" t="str">
        <f t="shared" si="239"/>
        <v>11WP01073847</v>
      </c>
      <c r="L1500" s="3" t="str">
        <f t="shared" si="240"/>
        <v>2001/01/01</v>
      </c>
      <c r="M1500" s="3" t="str">
        <f t="shared" si="241"/>
        <v>2199/12/31</v>
      </c>
      <c r="N1500" t="str">
        <f t="shared" si="242"/>
        <v>11WP01073847</v>
      </c>
      <c r="O1500">
        <v>15</v>
      </c>
      <c r="Q1500" t="str" cm="1">
        <f t="array" ref="Q1500">_xlfn.IFS(AND(C1500="",G1500=""),"",LEFT(G1500,1)="L","記載要",LEFT(G1500,1)="W","",AND(C1500,G1500=""),"記載要")</f>
        <v/>
      </c>
      <c r="R1500" s="21" t="str">
        <f t="shared" si="247"/>
        <v/>
      </c>
      <c r="S1500" s="21"/>
      <c r="Z1500" s="8"/>
      <c r="AA1500">
        <v>1</v>
      </c>
      <c r="AB1500">
        <f t="shared" si="243"/>
        <v>0</v>
      </c>
      <c r="AC1500">
        <v>1</v>
      </c>
      <c r="AF1500">
        <v>1</v>
      </c>
      <c r="AG1500" s="8"/>
      <c r="AH1500" s="8"/>
      <c r="AK1500" cm="1">
        <f t="array" ref="AK1500">_xlfn.IFS(B1500="","",LEFT(G1500,1)="L",1,LEFT(G1500,1)="W",1,AND(LEFT(B1500,1)="H",G1500=""),0)</f>
        <v>1</v>
      </c>
      <c r="AS1500" t="str">
        <f t="shared" si="244"/>
        <v/>
      </c>
      <c r="AT1500" t="s">
        <v>115</v>
      </c>
      <c r="AU1500" t="str">
        <f t="shared" si="245"/>
        <v>0</v>
      </c>
      <c r="BD1500" t="str">
        <f t="shared" si="246"/>
        <v>0</v>
      </c>
      <c r="BK1500" t="str">
        <f>IFERROR(VLOOKUP(B1500,'[1]model_S-フレーム'!$F$5:$R$7000,13,1),"")</f>
        <v>E380400_01</v>
      </c>
      <c r="BL1500" s="7">
        <f>IFERROR(VLOOKUP(B1500,'[1]model_S-フレーム'!$F$5:$V$7000,17,1),"")</f>
        <v>0</v>
      </c>
      <c r="BM1500" t="str" cm="1">
        <f t="array" ref="BM1500">_xlfn.IFS(LEFT(G1500,1)="L","外注品",LEFT(G1500,1)="W","内製品",G1500="","購買品")</f>
        <v>内製品</v>
      </c>
    </row>
    <row r="1501" spans="1:65">
      <c r="A1501" t="str">
        <f t="shared" si="238"/>
        <v>WG01</v>
      </c>
      <c r="B1501" t="s">
        <v>1634</v>
      </c>
      <c r="C1501" t="s">
        <v>1908</v>
      </c>
      <c r="D1501" s="7"/>
      <c r="E1501" s="7"/>
      <c r="G1501" t="s">
        <v>1939</v>
      </c>
      <c r="H1501" t="str" cm="1">
        <f t="array" ref="H1501">IFERROR(_xlfn.IFS(B1501="","",AND(B1501="",G1501=""),"",G1501="","記載要"),"")</f>
        <v/>
      </c>
      <c r="K1501" t="str">
        <f t="shared" si="239"/>
        <v>11WP01073848</v>
      </c>
      <c r="L1501" s="3" t="str">
        <f t="shared" si="240"/>
        <v>2001/01/01</v>
      </c>
      <c r="M1501" s="3" t="str">
        <f t="shared" si="241"/>
        <v>2199/12/31</v>
      </c>
      <c r="N1501" t="str">
        <f t="shared" si="242"/>
        <v>11WP01073848</v>
      </c>
      <c r="O1501">
        <v>15</v>
      </c>
      <c r="Q1501" t="str" cm="1">
        <f t="array" ref="Q1501">_xlfn.IFS(AND(C1501="",G1501=""),"",LEFT(G1501,1)="L","記載要",LEFT(G1501,1)="W","",AND(C1501,G1501=""),"記載要")</f>
        <v/>
      </c>
      <c r="R1501" s="21" t="str">
        <f t="shared" si="247"/>
        <v/>
      </c>
      <c r="S1501" s="21"/>
      <c r="Z1501" s="8"/>
      <c r="AA1501">
        <v>1</v>
      </c>
      <c r="AB1501">
        <f t="shared" si="243"/>
        <v>0</v>
      </c>
      <c r="AC1501">
        <v>1</v>
      </c>
      <c r="AF1501">
        <v>1</v>
      </c>
      <c r="AG1501" s="8"/>
      <c r="AH1501" s="8"/>
      <c r="AK1501" cm="1">
        <f t="array" ref="AK1501">_xlfn.IFS(B1501="","",LEFT(G1501,1)="L",1,LEFT(G1501,1)="W",1,AND(LEFT(B1501,1)="H",G1501=""),0)</f>
        <v>1</v>
      </c>
      <c r="AS1501" t="str">
        <f t="shared" si="244"/>
        <v/>
      </c>
      <c r="AT1501" t="s">
        <v>115</v>
      </c>
      <c r="AU1501" t="str">
        <f t="shared" si="245"/>
        <v>0</v>
      </c>
      <c r="BD1501" t="str">
        <f t="shared" si="246"/>
        <v>0</v>
      </c>
      <c r="BK1501" t="str">
        <f>IFERROR(VLOOKUP(B1501,'[1]model_S-フレーム'!$F$5:$R$7000,13,1),"")</f>
        <v>E380400_01</v>
      </c>
      <c r="BL1501" s="7">
        <f>IFERROR(VLOOKUP(B1501,'[1]model_S-フレーム'!$F$5:$V$7000,17,1),"")</f>
        <v>0</v>
      </c>
      <c r="BM1501" t="str" cm="1">
        <f t="array" ref="BM1501">_xlfn.IFS(LEFT(G1501,1)="L","外注品",LEFT(G1501,1)="W","内製品",G1501="","購買品")</f>
        <v>内製品</v>
      </c>
    </row>
    <row r="1502" spans="1:65">
      <c r="A1502" t="str">
        <f t="shared" si="238"/>
        <v>WG01</v>
      </c>
      <c r="B1502" t="s">
        <v>1635</v>
      </c>
      <c r="C1502" t="s">
        <v>1908</v>
      </c>
      <c r="D1502" s="7"/>
      <c r="E1502" s="7"/>
      <c r="G1502" t="s">
        <v>1939</v>
      </c>
      <c r="H1502" t="str" cm="1">
        <f t="array" ref="H1502">IFERROR(_xlfn.IFS(B1502="","",AND(B1502="",G1502=""),"",G1502="","記載要"),"")</f>
        <v/>
      </c>
      <c r="K1502" t="str">
        <f t="shared" si="239"/>
        <v>11WP01073849</v>
      </c>
      <c r="L1502" s="3" t="str">
        <f t="shared" si="240"/>
        <v>2001/01/01</v>
      </c>
      <c r="M1502" s="3" t="str">
        <f t="shared" si="241"/>
        <v>2199/12/31</v>
      </c>
      <c r="N1502" t="str">
        <f t="shared" si="242"/>
        <v>11WP01073849</v>
      </c>
      <c r="O1502">
        <v>15</v>
      </c>
      <c r="Q1502" t="str" cm="1">
        <f t="array" ref="Q1502">_xlfn.IFS(AND(C1502="",G1502=""),"",LEFT(G1502,1)="L","記載要",LEFT(G1502,1)="W","",AND(C1502,G1502=""),"記載要")</f>
        <v/>
      </c>
      <c r="R1502" s="21" t="str">
        <f t="shared" si="247"/>
        <v/>
      </c>
      <c r="S1502" s="21"/>
      <c r="Z1502" s="8"/>
      <c r="AA1502">
        <v>1</v>
      </c>
      <c r="AB1502">
        <f t="shared" si="243"/>
        <v>0</v>
      </c>
      <c r="AC1502">
        <v>1</v>
      </c>
      <c r="AF1502">
        <v>1</v>
      </c>
      <c r="AG1502" s="8"/>
      <c r="AH1502" s="8"/>
      <c r="AK1502" cm="1">
        <f t="array" ref="AK1502">_xlfn.IFS(B1502="","",LEFT(G1502,1)="L",1,LEFT(G1502,1)="W",1,AND(LEFT(B1502,1)="H",G1502=""),0)</f>
        <v>1</v>
      </c>
      <c r="AS1502" t="str">
        <f t="shared" si="244"/>
        <v/>
      </c>
      <c r="AT1502" t="s">
        <v>115</v>
      </c>
      <c r="AU1502" t="str">
        <f t="shared" si="245"/>
        <v>0</v>
      </c>
      <c r="BD1502" t="str">
        <f t="shared" si="246"/>
        <v>0</v>
      </c>
      <c r="BK1502" t="str">
        <f>IFERROR(VLOOKUP(B1502,'[1]model_S-フレーム'!$F$5:$R$7000,13,1),"")</f>
        <v>E380400_01</v>
      </c>
      <c r="BL1502" s="7">
        <f>IFERROR(VLOOKUP(B1502,'[1]model_S-フレーム'!$F$5:$V$7000,17,1),"")</f>
        <v>0</v>
      </c>
      <c r="BM1502" t="str" cm="1">
        <f t="array" ref="BM1502">_xlfn.IFS(LEFT(G1502,1)="L","外注品",LEFT(G1502,1)="W","内製品",G1502="","購買品")</f>
        <v>内製品</v>
      </c>
    </row>
    <row r="1503" spans="1:65">
      <c r="A1503" t="str">
        <f t="shared" si="238"/>
        <v>WG01</v>
      </c>
      <c r="B1503" t="s">
        <v>1636</v>
      </c>
      <c r="C1503" t="s">
        <v>1908</v>
      </c>
      <c r="D1503" s="7"/>
      <c r="E1503" s="7"/>
      <c r="G1503" t="s">
        <v>1939</v>
      </c>
      <c r="H1503" t="str" cm="1">
        <f t="array" ref="H1503">IFERROR(_xlfn.IFS(B1503="","",AND(B1503="",G1503=""),"",G1503="","記載要"),"")</f>
        <v/>
      </c>
      <c r="K1503" t="str">
        <f t="shared" si="239"/>
        <v>11WP01073850</v>
      </c>
      <c r="L1503" s="3" t="str">
        <f t="shared" si="240"/>
        <v>2001/01/01</v>
      </c>
      <c r="M1503" s="3" t="str">
        <f t="shared" si="241"/>
        <v>2199/12/31</v>
      </c>
      <c r="N1503" t="str">
        <f t="shared" si="242"/>
        <v>11WP01073850</v>
      </c>
      <c r="O1503">
        <v>15</v>
      </c>
      <c r="Q1503" t="str" cm="1">
        <f t="array" ref="Q1503">_xlfn.IFS(AND(C1503="",G1503=""),"",LEFT(G1503,1)="L","記載要",LEFT(G1503,1)="W","",AND(C1503,G1503=""),"記載要")</f>
        <v/>
      </c>
      <c r="R1503" s="21" t="str">
        <f t="shared" si="247"/>
        <v/>
      </c>
      <c r="S1503" s="21"/>
      <c r="Z1503" s="8"/>
      <c r="AA1503">
        <v>1</v>
      </c>
      <c r="AB1503">
        <f t="shared" si="243"/>
        <v>0</v>
      </c>
      <c r="AC1503">
        <v>1</v>
      </c>
      <c r="AF1503">
        <v>1</v>
      </c>
      <c r="AG1503" s="8"/>
      <c r="AH1503" s="8"/>
      <c r="AK1503" cm="1">
        <f t="array" ref="AK1503">_xlfn.IFS(B1503="","",LEFT(G1503,1)="L",1,LEFT(G1503,1)="W",1,AND(LEFT(B1503,1)="H",G1503=""),0)</f>
        <v>1</v>
      </c>
      <c r="AS1503" t="str">
        <f t="shared" si="244"/>
        <v/>
      </c>
      <c r="AT1503" t="s">
        <v>115</v>
      </c>
      <c r="AU1503" t="str">
        <f t="shared" si="245"/>
        <v>0</v>
      </c>
      <c r="BD1503" t="str">
        <f t="shared" si="246"/>
        <v>0</v>
      </c>
      <c r="BK1503" t="str">
        <f>IFERROR(VLOOKUP(B1503,'[1]model_S-フレーム'!$F$5:$R$7000,13,1),"")</f>
        <v>E380400_01</v>
      </c>
      <c r="BL1503" s="7">
        <f>IFERROR(VLOOKUP(B1503,'[1]model_S-フレーム'!$F$5:$V$7000,17,1),"")</f>
        <v>0</v>
      </c>
      <c r="BM1503" t="str" cm="1">
        <f t="array" ref="BM1503">_xlfn.IFS(LEFT(G1503,1)="L","外注品",LEFT(G1503,1)="W","内製品",G1503="","購買品")</f>
        <v>内製品</v>
      </c>
    </row>
    <row r="1504" spans="1:65">
      <c r="A1504" t="str">
        <f t="shared" si="238"/>
        <v>WG01</v>
      </c>
      <c r="B1504" t="s">
        <v>1637</v>
      </c>
      <c r="C1504" t="s">
        <v>1908</v>
      </c>
      <c r="D1504" s="7"/>
      <c r="E1504" s="7"/>
      <c r="G1504" t="s">
        <v>1939</v>
      </c>
      <c r="H1504" t="str" cm="1">
        <f t="array" ref="H1504">IFERROR(_xlfn.IFS(B1504="","",AND(B1504="",G1504=""),"",G1504="","記載要"),"")</f>
        <v/>
      </c>
      <c r="K1504" t="str">
        <f t="shared" si="239"/>
        <v>11WP01073851</v>
      </c>
      <c r="L1504" s="3" t="str">
        <f t="shared" si="240"/>
        <v>2001/01/01</v>
      </c>
      <c r="M1504" s="3" t="str">
        <f t="shared" si="241"/>
        <v>2199/12/31</v>
      </c>
      <c r="N1504" t="str">
        <f t="shared" si="242"/>
        <v>11WP01073851</v>
      </c>
      <c r="O1504">
        <v>15</v>
      </c>
      <c r="Q1504" t="str" cm="1">
        <f t="array" ref="Q1504">_xlfn.IFS(AND(C1504="",G1504=""),"",LEFT(G1504,1)="L","記載要",LEFT(G1504,1)="W","",AND(C1504,G1504=""),"記載要")</f>
        <v/>
      </c>
      <c r="R1504" s="21" t="str">
        <f t="shared" si="247"/>
        <v/>
      </c>
      <c r="S1504" s="21"/>
      <c r="Z1504" s="8"/>
      <c r="AA1504">
        <v>1</v>
      </c>
      <c r="AB1504">
        <f t="shared" si="243"/>
        <v>0</v>
      </c>
      <c r="AC1504">
        <v>1</v>
      </c>
      <c r="AF1504">
        <v>1</v>
      </c>
      <c r="AG1504" s="8"/>
      <c r="AH1504" s="8"/>
      <c r="AK1504" cm="1">
        <f t="array" ref="AK1504">_xlfn.IFS(B1504="","",LEFT(G1504,1)="L",1,LEFT(G1504,1)="W",1,AND(LEFT(B1504,1)="H",G1504=""),0)</f>
        <v>1</v>
      </c>
      <c r="AS1504" t="str">
        <f t="shared" si="244"/>
        <v/>
      </c>
      <c r="AT1504" t="s">
        <v>115</v>
      </c>
      <c r="AU1504" t="str">
        <f t="shared" si="245"/>
        <v>0</v>
      </c>
      <c r="BD1504" t="str">
        <f t="shared" si="246"/>
        <v>0</v>
      </c>
      <c r="BK1504" t="str">
        <f>IFERROR(VLOOKUP(B1504,'[1]model_S-フレーム'!$F$5:$R$7000,13,1),"")</f>
        <v>E380400_01</v>
      </c>
      <c r="BL1504" s="7">
        <f>IFERROR(VLOOKUP(B1504,'[1]model_S-フレーム'!$F$5:$V$7000,17,1),"")</f>
        <v>0</v>
      </c>
      <c r="BM1504" t="str" cm="1">
        <f t="array" ref="BM1504">_xlfn.IFS(LEFT(G1504,1)="L","外注品",LEFT(G1504,1)="W","内製品",G1504="","購買品")</f>
        <v>内製品</v>
      </c>
    </row>
    <row r="1505" spans="1:65">
      <c r="A1505" t="str">
        <f t="shared" si="238"/>
        <v>WG01</v>
      </c>
      <c r="B1505" t="s">
        <v>1638</v>
      </c>
      <c r="C1505" t="s">
        <v>1908</v>
      </c>
      <c r="D1505" s="7"/>
      <c r="E1505" s="7"/>
      <c r="G1505" t="s">
        <v>1939</v>
      </c>
      <c r="H1505" t="str" cm="1">
        <f t="array" ref="H1505">IFERROR(_xlfn.IFS(B1505="","",AND(B1505="",G1505=""),"",G1505="","記載要"),"")</f>
        <v/>
      </c>
      <c r="K1505" t="str">
        <f t="shared" si="239"/>
        <v>11WP01073852</v>
      </c>
      <c r="L1505" s="3" t="str">
        <f t="shared" si="240"/>
        <v>2001/01/01</v>
      </c>
      <c r="M1505" s="3" t="str">
        <f t="shared" si="241"/>
        <v>2199/12/31</v>
      </c>
      <c r="N1505" t="str">
        <f t="shared" si="242"/>
        <v>11WP01073852</v>
      </c>
      <c r="O1505">
        <v>15</v>
      </c>
      <c r="Q1505" t="str" cm="1">
        <f t="array" ref="Q1505">_xlfn.IFS(AND(C1505="",G1505=""),"",LEFT(G1505,1)="L","記載要",LEFT(G1505,1)="W","",AND(C1505,G1505=""),"記載要")</f>
        <v/>
      </c>
      <c r="R1505" s="21" t="str">
        <f t="shared" si="247"/>
        <v/>
      </c>
      <c r="S1505" s="21"/>
      <c r="Z1505" s="8"/>
      <c r="AA1505">
        <v>1</v>
      </c>
      <c r="AB1505">
        <f t="shared" si="243"/>
        <v>0</v>
      </c>
      <c r="AC1505">
        <v>1</v>
      </c>
      <c r="AF1505">
        <v>1</v>
      </c>
      <c r="AG1505" s="8"/>
      <c r="AH1505" s="8"/>
      <c r="AK1505" cm="1">
        <f t="array" ref="AK1505">_xlfn.IFS(B1505="","",LEFT(G1505,1)="L",1,LEFT(G1505,1)="W",1,AND(LEFT(B1505,1)="H",G1505=""),0)</f>
        <v>1</v>
      </c>
      <c r="AS1505" t="str">
        <f t="shared" si="244"/>
        <v/>
      </c>
      <c r="AT1505" t="s">
        <v>115</v>
      </c>
      <c r="AU1505" t="str">
        <f t="shared" si="245"/>
        <v>0</v>
      </c>
      <c r="BD1505" t="str">
        <f t="shared" si="246"/>
        <v>0</v>
      </c>
      <c r="BK1505" t="str">
        <f>IFERROR(VLOOKUP(B1505,'[1]model_S-フレーム'!$F$5:$R$7000,13,1),"")</f>
        <v>E380400_01</v>
      </c>
      <c r="BL1505" s="7">
        <f>IFERROR(VLOOKUP(B1505,'[1]model_S-フレーム'!$F$5:$V$7000,17,1),"")</f>
        <v>0</v>
      </c>
      <c r="BM1505" t="str" cm="1">
        <f t="array" ref="BM1505">_xlfn.IFS(LEFT(G1505,1)="L","外注品",LEFT(G1505,1)="W","内製品",G1505="","購買品")</f>
        <v>内製品</v>
      </c>
    </row>
    <row r="1506" spans="1:65">
      <c r="A1506" t="str">
        <f t="shared" si="238"/>
        <v>WG01</v>
      </c>
      <c r="B1506" t="s">
        <v>1639</v>
      </c>
      <c r="C1506" t="s">
        <v>1908</v>
      </c>
      <c r="D1506" s="7"/>
      <c r="E1506" s="7"/>
      <c r="G1506" t="s">
        <v>1939</v>
      </c>
      <c r="H1506" t="str" cm="1">
        <f t="array" ref="H1506">IFERROR(_xlfn.IFS(B1506="","",AND(B1506="",G1506=""),"",G1506="","記載要"),"")</f>
        <v/>
      </c>
      <c r="K1506" t="str">
        <f t="shared" si="239"/>
        <v>11WP01073853</v>
      </c>
      <c r="L1506" s="3" t="str">
        <f t="shared" si="240"/>
        <v>2001/01/01</v>
      </c>
      <c r="M1506" s="3" t="str">
        <f t="shared" si="241"/>
        <v>2199/12/31</v>
      </c>
      <c r="N1506" t="str">
        <f t="shared" si="242"/>
        <v>11WP01073853</v>
      </c>
      <c r="O1506">
        <v>15</v>
      </c>
      <c r="Q1506" t="str" cm="1">
        <f t="array" ref="Q1506">_xlfn.IFS(AND(C1506="",G1506=""),"",LEFT(G1506,1)="L","記載要",LEFT(G1506,1)="W","",AND(C1506,G1506=""),"記載要")</f>
        <v/>
      </c>
      <c r="R1506" s="21" t="str">
        <f t="shared" si="247"/>
        <v/>
      </c>
      <c r="S1506" s="21"/>
      <c r="Z1506" s="8"/>
      <c r="AA1506">
        <v>1</v>
      </c>
      <c r="AB1506">
        <f t="shared" si="243"/>
        <v>0</v>
      </c>
      <c r="AC1506">
        <v>1</v>
      </c>
      <c r="AF1506">
        <v>1</v>
      </c>
      <c r="AG1506" s="8"/>
      <c r="AH1506" s="8"/>
      <c r="AK1506" cm="1">
        <f t="array" ref="AK1506">_xlfn.IFS(B1506="","",LEFT(G1506,1)="L",1,LEFT(G1506,1)="W",1,AND(LEFT(B1506,1)="H",G1506=""),0)</f>
        <v>1</v>
      </c>
      <c r="AS1506" t="str">
        <f t="shared" si="244"/>
        <v/>
      </c>
      <c r="AT1506" t="s">
        <v>115</v>
      </c>
      <c r="AU1506" t="str">
        <f t="shared" si="245"/>
        <v>0</v>
      </c>
      <c r="BD1506" t="str">
        <f t="shared" si="246"/>
        <v>0</v>
      </c>
      <c r="BK1506" t="str">
        <f>IFERROR(VLOOKUP(B1506,'[1]model_S-フレーム'!$F$5:$R$7000,13,1),"")</f>
        <v>E380400_01</v>
      </c>
      <c r="BL1506" s="7">
        <f>IFERROR(VLOOKUP(B1506,'[1]model_S-フレーム'!$F$5:$V$7000,17,1),"")</f>
        <v>0</v>
      </c>
      <c r="BM1506" t="str" cm="1">
        <f t="array" ref="BM1506">_xlfn.IFS(LEFT(G1506,1)="L","外注品",LEFT(G1506,1)="W","内製品",G1506="","購買品")</f>
        <v>内製品</v>
      </c>
    </row>
    <row r="1507" spans="1:65">
      <c r="A1507" t="str">
        <f t="shared" si="238"/>
        <v>WG01</v>
      </c>
      <c r="B1507" t="s">
        <v>1640</v>
      </c>
      <c r="C1507" t="s">
        <v>1908</v>
      </c>
      <c r="D1507" s="7"/>
      <c r="E1507" s="7"/>
      <c r="G1507" t="s">
        <v>1939</v>
      </c>
      <c r="H1507" t="str" cm="1">
        <f t="array" ref="H1507">IFERROR(_xlfn.IFS(B1507="","",AND(B1507="",G1507=""),"",G1507="","記載要"),"")</f>
        <v/>
      </c>
      <c r="K1507" t="str">
        <f t="shared" si="239"/>
        <v>11WP01073854</v>
      </c>
      <c r="L1507" s="3" t="str">
        <f t="shared" si="240"/>
        <v>2001/01/01</v>
      </c>
      <c r="M1507" s="3" t="str">
        <f t="shared" si="241"/>
        <v>2199/12/31</v>
      </c>
      <c r="N1507" t="str">
        <f t="shared" si="242"/>
        <v>11WP01073854</v>
      </c>
      <c r="O1507">
        <v>15</v>
      </c>
      <c r="Q1507" t="str" cm="1">
        <f t="array" ref="Q1507">_xlfn.IFS(AND(C1507="",G1507=""),"",LEFT(G1507,1)="L","記載要",LEFT(G1507,1)="W","",AND(C1507,G1507=""),"記載要")</f>
        <v/>
      </c>
      <c r="R1507" s="21" t="str">
        <f t="shared" si="247"/>
        <v/>
      </c>
      <c r="S1507" s="21"/>
      <c r="Z1507" s="8"/>
      <c r="AA1507">
        <v>1</v>
      </c>
      <c r="AB1507">
        <f t="shared" si="243"/>
        <v>0</v>
      </c>
      <c r="AC1507">
        <v>1</v>
      </c>
      <c r="AF1507">
        <v>1</v>
      </c>
      <c r="AG1507" s="8"/>
      <c r="AH1507" s="8"/>
      <c r="AK1507" cm="1">
        <f t="array" ref="AK1507">_xlfn.IFS(B1507="","",LEFT(G1507,1)="L",1,LEFT(G1507,1)="W",1,AND(LEFT(B1507,1)="H",G1507=""),0)</f>
        <v>1</v>
      </c>
      <c r="AS1507" t="str">
        <f t="shared" si="244"/>
        <v/>
      </c>
      <c r="AT1507" t="s">
        <v>115</v>
      </c>
      <c r="AU1507" t="str">
        <f t="shared" si="245"/>
        <v>0</v>
      </c>
      <c r="BD1507" t="str">
        <f t="shared" si="246"/>
        <v>0</v>
      </c>
      <c r="BK1507" t="str">
        <f>IFERROR(VLOOKUP(B1507,'[1]model_S-フレーム'!$F$5:$R$7000,13,1),"")</f>
        <v>E380400_01</v>
      </c>
      <c r="BL1507" s="7">
        <f>IFERROR(VLOOKUP(B1507,'[1]model_S-フレーム'!$F$5:$V$7000,17,1),"")</f>
        <v>0</v>
      </c>
      <c r="BM1507" t="str" cm="1">
        <f t="array" ref="BM1507">_xlfn.IFS(LEFT(G1507,1)="L","外注品",LEFT(G1507,1)="W","内製品",G1507="","購買品")</f>
        <v>内製品</v>
      </c>
    </row>
    <row r="1508" spans="1:65">
      <c r="A1508" t="str">
        <f t="shared" si="238"/>
        <v>WG01</v>
      </c>
      <c r="B1508" t="s">
        <v>1641</v>
      </c>
      <c r="C1508" t="s">
        <v>1908</v>
      </c>
      <c r="D1508" s="7"/>
      <c r="E1508" s="7"/>
      <c r="G1508" t="s">
        <v>1939</v>
      </c>
      <c r="H1508" t="str" cm="1">
        <f t="array" ref="H1508">IFERROR(_xlfn.IFS(B1508="","",AND(B1508="",G1508=""),"",G1508="","記載要"),"")</f>
        <v/>
      </c>
      <c r="K1508" t="str">
        <f t="shared" si="239"/>
        <v>11WP01073855</v>
      </c>
      <c r="L1508" s="3" t="str">
        <f t="shared" si="240"/>
        <v>2001/01/01</v>
      </c>
      <c r="M1508" s="3" t="str">
        <f t="shared" si="241"/>
        <v>2199/12/31</v>
      </c>
      <c r="N1508" t="str">
        <f t="shared" si="242"/>
        <v>11WP01073855</v>
      </c>
      <c r="O1508">
        <v>15</v>
      </c>
      <c r="Q1508" t="str" cm="1">
        <f t="array" ref="Q1508">_xlfn.IFS(AND(C1508="",G1508=""),"",LEFT(G1508,1)="L","記載要",LEFT(G1508,1)="W","",AND(C1508,G1508=""),"記載要")</f>
        <v/>
      </c>
      <c r="R1508" s="21" t="str">
        <f t="shared" si="247"/>
        <v/>
      </c>
      <c r="S1508" s="21"/>
      <c r="Z1508" s="8"/>
      <c r="AA1508">
        <v>1</v>
      </c>
      <c r="AB1508">
        <f t="shared" si="243"/>
        <v>0</v>
      </c>
      <c r="AC1508">
        <v>1</v>
      </c>
      <c r="AF1508">
        <v>1</v>
      </c>
      <c r="AG1508" s="8"/>
      <c r="AH1508" s="8"/>
      <c r="AK1508" cm="1">
        <f t="array" ref="AK1508">_xlfn.IFS(B1508="","",LEFT(G1508,1)="L",1,LEFT(G1508,1)="W",1,AND(LEFT(B1508,1)="H",G1508=""),0)</f>
        <v>1</v>
      </c>
      <c r="AS1508" t="str">
        <f t="shared" si="244"/>
        <v/>
      </c>
      <c r="AT1508" t="s">
        <v>115</v>
      </c>
      <c r="AU1508" t="str">
        <f t="shared" si="245"/>
        <v>0</v>
      </c>
      <c r="BD1508" t="str">
        <f t="shared" si="246"/>
        <v>0</v>
      </c>
      <c r="BK1508" t="str">
        <f>IFERROR(VLOOKUP(B1508,'[1]model_S-フレーム'!$F$5:$R$7000,13,1),"")</f>
        <v>E380400_01</v>
      </c>
      <c r="BL1508" s="7">
        <f>IFERROR(VLOOKUP(B1508,'[1]model_S-フレーム'!$F$5:$V$7000,17,1),"")</f>
        <v>0</v>
      </c>
      <c r="BM1508" t="str" cm="1">
        <f t="array" ref="BM1508">_xlfn.IFS(LEFT(G1508,1)="L","外注品",LEFT(G1508,1)="W","内製品",G1508="","購買品")</f>
        <v>内製品</v>
      </c>
    </row>
    <row r="1509" spans="1:65">
      <c r="A1509" t="str">
        <f t="shared" si="238"/>
        <v>WG01</v>
      </c>
      <c r="B1509" t="s">
        <v>1642</v>
      </c>
      <c r="C1509" t="s">
        <v>1908</v>
      </c>
      <c r="D1509" s="7"/>
      <c r="E1509" s="7"/>
      <c r="G1509" t="s">
        <v>1939</v>
      </c>
      <c r="H1509" t="str" cm="1">
        <f t="array" ref="H1509">IFERROR(_xlfn.IFS(B1509="","",AND(B1509="",G1509=""),"",G1509="","記載要"),"")</f>
        <v/>
      </c>
      <c r="K1509" t="str">
        <f t="shared" si="239"/>
        <v>11WP01073856</v>
      </c>
      <c r="L1509" s="3" t="str">
        <f t="shared" si="240"/>
        <v>2001/01/01</v>
      </c>
      <c r="M1509" s="3" t="str">
        <f t="shared" si="241"/>
        <v>2199/12/31</v>
      </c>
      <c r="N1509" t="str">
        <f t="shared" si="242"/>
        <v>11WP01073856</v>
      </c>
      <c r="O1509">
        <v>15</v>
      </c>
      <c r="Q1509" t="str" cm="1">
        <f t="array" ref="Q1509">_xlfn.IFS(AND(C1509="",G1509=""),"",LEFT(G1509,1)="L","記載要",LEFT(G1509,1)="W","",AND(C1509,G1509=""),"記載要")</f>
        <v/>
      </c>
      <c r="R1509" s="21" t="str">
        <f t="shared" si="247"/>
        <v/>
      </c>
      <c r="S1509" s="21"/>
      <c r="Z1509" s="8"/>
      <c r="AA1509">
        <v>1</v>
      </c>
      <c r="AB1509">
        <f t="shared" si="243"/>
        <v>0</v>
      </c>
      <c r="AC1509">
        <v>1</v>
      </c>
      <c r="AF1509">
        <v>1</v>
      </c>
      <c r="AG1509" s="8"/>
      <c r="AH1509" s="8"/>
      <c r="AK1509" cm="1">
        <f t="array" ref="AK1509">_xlfn.IFS(B1509="","",LEFT(G1509,1)="L",1,LEFT(G1509,1)="W",1,AND(LEFT(B1509,1)="H",G1509=""),0)</f>
        <v>1</v>
      </c>
      <c r="AS1509" t="str">
        <f t="shared" si="244"/>
        <v/>
      </c>
      <c r="AT1509" t="s">
        <v>115</v>
      </c>
      <c r="AU1509" t="str">
        <f t="shared" si="245"/>
        <v>0</v>
      </c>
      <c r="BD1509" t="str">
        <f t="shared" si="246"/>
        <v>0</v>
      </c>
      <c r="BK1509" t="str">
        <f>IFERROR(VLOOKUP(B1509,'[1]model_S-フレーム'!$F$5:$R$7000,13,1),"")</f>
        <v>E380400_01</v>
      </c>
      <c r="BL1509" s="7">
        <f>IFERROR(VLOOKUP(B1509,'[1]model_S-フレーム'!$F$5:$V$7000,17,1),"")</f>
        <v>0</v>
      </c>
      <c r="BM1509" t="str" cm="1">
        <f t="array" ref="BM1509">_xlfn.IFS(LEFT(G1509,1)="L","外注品",LEFT(G1509,1)="W","内製品",G1509="","購買品")</f>
        <v>内製品</v>
      </c>
    </row>
    <row r="1510" spans="1:65">
      <c r="A1510" t="str">
        <f t="shared" si="238"/>
        <v>WG01</v>
      </c>
      <c r="B1510" t="s">
        <v>1643</v>
      </c>
      <c r="C1510" t="s">
        <v>1908</v>
      </c>
      <c r="D1510" s="7"/>
      <c r="E1510" s="7"/>
      <c r="G1510" t="s">
        <v>1939</v>
      </c>
      <c r="H1510" t="str" cm="1">
        <f t="array" ref="H1510">IFERROR(_xlfn.IFS(B1510="","",AND(B1510="",G1510=""),"",G1510="","記載要"),"")</f>
        <v/>
      </c>
      <c r="K1510" t="str">
        <f t="shared" si="239"/>
        <v>11WP01073857</v>
      </c>
      <c r="L1510" s="3" t="str">
        <f t="shared" si="240"/>
        <v>2001/01/01</v>
      </c>
      <c r="M1510" s="3" t="str">
        <f t="shared" si="241"/>
        <v>2199/12/31</v>
      </c>
      <c r="N1510" t="str">
        <f t="shared" si="242"/>
        <v>11WP01073857</v>
      </c>
      <c r="O1510">
        <v>15</v>
      </c>
      <c r="Q1510" t="str" cm="1">
        <f t="array" ref="Q1510">_xlfn.IFS(AND(C1510="",G1510=""),"",LEFT(G1510,1)="L","記載要",LEFT(G1510,1)="W","",AND(C1510,G1510=""),"記載要")</f>
        <v/>
      </c>
      <c r="R1510" s="21" t="str">
        <f t="shared" si="247"/>
        <v/>
      </c>
      <c r="S1510" s="21"/>
      <c r="Z1510" s="8"/>
      <c r="AA1510">
        <v>1</v>
      </c>
      <c r="AB1510">
        <f t="shared" si="243"/>
        <v>0</v>
      </c>
      <c r="AC1510">
        <v>1</v>
      </c>
      <c r="AF1510">
        <v>1</v>
      </c>
      <c r="AG1510" s="8"/>
      <c r="AH1510" s="8"/>
      <c r="AK1510" cm="1">
        <f t="array" ref="AK1510">_xlfn.IFS(B1510="","",LEFT(G1510,1)="L",1,LEFT(G1510,1)="W",1,AND(LEFT(B1510,1)="H",G1510=""),0)</f>
        <v>1</v>
      </c>
      <c r="AS1510" t="str">
        <f t="shared" si="244"/>
        <v/>
      </c>
      <c r="AT1510" t="s">
        <v>115</v>
      </c>
      <c r="AU1510" t="str">
        <f t="shared" si="245"/>
        <v>0</v>
      </c>
      <c r="BD1510" t="str">
        <f t="shared" si="246"/>
        <v>0</v>
      </c>
      <c r="BK1510" t="str">
        <f>IFERROR(VLOOKUP(B1510,'[1]model_S-フレーム'!$F$5:$R$7000,13,1),"")</f>
        <v>E380400_01</v>
      </c>
      <c r="BL1510" s="7">
        <f>IFERROR(VLOOKUP(B1510,'[1]model_S-フレーム'!$F$5:$V$7000,17,1),"")</f>
        <v>0</v>
      </c>
      <c r="BM1510" t="str" cm="1">
        <f t="array" ref="BM1510">_xlfn.IFS(LEFT(G1510,1)="L","外注品",LEFT(G1510,1)="W","内製品",G1510="","購買品")</f>
        <v>内製品</v>
      </c>
    </row>
    <row r="1511" spans="1:65">
      <c r="A1511" t="str">
        <f t="shared" si="238"/>
        <v>WG01</v>
      </c>
      <c r="B1511" t="s">
        <v>1644</v>
      </c>
      <c r="C1511" t="s">
        <v>1908</v>
      </c>
      <c r="D1511" s="7"/>
      <c r="E1511" s="7"/>
      <c r="G1511" t="s">
        <v>1939</v>
      </c>
      <c r="H1511" t="str" cm="1">
        <f t="array" ref="H1511">IFERROR(_xlfn.IFS(B1511="","",AND(B1511="",G1511=""),"",G1511="","記載要"),"")</f>
        <v/>
      </c>
      <c r="K1511" t="str">
        <f t="shared" si="239"/>
        <v>11WP01073858</v>
      </c>
      <c r="L1511" s="3" t="str">
        <f t="shared" si="240"/>
        <v>2001/01/01</v>
      </c>
      <c r="M1511" s="3" t="str">
        <f t="shared" si="241"/>
        <v>2199/12/31</v>
      </c>
      <c r="N1511" t="str">
        <f t="shared" si="242"/>
        <v>11WP01073858</v>
      </c>
      <c r="O1511">
        <v>15</v>
      </c>
      <c r="Q1511" t="str" cm="1">
        <f t="array" ref="Q1511">_xlfn.IFS(AND(C1511="",G1511=""),"",LEFT(G1511,1)="L","記載要",LEFT(G1511,1)="W","",AND(C1511,G1511=""),"記載要")</f>
        <v/>
      </c>
      <c r="R1511" s="21" t="str">
        <f t="shared" si="247"/>
        <v/>
      </c>
      <c r="S1511" s="21"/>
      <c r="Z1511" s="8"/>
      <c r="AA1511">
        <v>1</v>
      </c>
      <c r="AB1511">
        <f t="shared" si="243"/>
        <v>0</v>
      </c>
      <c r="AC1511">
        <v>1</v>
      </c>
      <c r="AF1511">
        <v>1</v>
      </c>
      <c r="AG1511" s="8"/>
      <c r="AH1511" s="8"/>
      <c r="AK1511" cm="1">
        <f t="array" ref="AK1511">_xlfn.IFS(B1511="","",LEFT(G1511,1)="L",1,LEFT(G1511,1)="W",1,AND(LEFT(B1511,1)="H",G1511=""),0)</f>
        <v>1</v>
      </c>
      <c r="AS1511" t="str">
        <f t="shared" si="244"/>
        <v/>
      </c>
      <c r="AT1511" t="s">
        <v>115</v>
      </c>
      <c r="AU1511" t="str">
        <f t="shared" si="245"/>
        <v>0</v>
      </c>
      <c r="BD1511" t="str">
        <f t="shared" si="246"/>
        <v>0</v>
      </c>
      <c r="BK1511" t="str">
        <f>IFERROR(VLOOKUP(B1511,'[1]model_S-フレーム'!$F$5:$R$7000,13,1),"")</f>
        <v>E380400_01</v>
      </c>
      <c r="BL1511" s="7">
        <f>IFERROR(VLOOKUP(B1511,'[1]model_S-フレーム'!$F$5:$V$7000,17,1),"")</f>
        <v>0</v>
      </c>
      <c r="BM1511" t="str" cm="1">
        <f t="array" ref="BM1511">_xlfn.IFS(LEFT(G1511,1)="L","外注品",LEFT(G1511,1)="W","内製品",G1511="","購買品")</f>
        <v>内製品</v>
      </c>
    </row>
    <row r="1512" spans="1:65">
      <c r="A1512" t="str">
        <f t="shared" si="238"/>
        <v>WG01</v>
      </c>
      <c r="B1512" t="s">
        <v>1645</v>
      </c>
      <c r="C1512" t="s">
        <v>1908</v>
      </c>
      <c r="D1512" s="7"/>
      <c r="E1512" s="7"/>
      <c r="G1512" t="s">
        <v>1939</v>
      </c>
      <c r="H1512" t="str" cm="1">
        <f t="array" ref="H1512">IFERROR(_xlfn.IFS(B1512="","",AND(B1512="",G1512=""),"",G1512="","記載要"),"")</f>
        <v/>
      </c>
      <c r="K1512" t="str">
        <f t="shared" si="239"/>
        <v>11WP01073859</v>
      </c>
      <c r="L1512" s="3" t="str">
        <f t="shared" si="240"/>
        <v>2001/01/01</v>
      </c>
      <c r="M1512" s="3" t="str">
        <f t="shared" si="241"/>
        <v>2199/12/31</v>
      </c>
      <c r="N1512" t="str">
        <f t="shared" si="242"/>
        <v>11WP01073859</v>
      </c>
      <c r="O1512">
        <v>15</v>
      </c>
      <c r="Q1512" t="str" cm="1">
        <f t="array" ref="Q1512">_xlfn.IFS(AND(C1512="",G1512=""),"",LEFT(G1512,1)="L","記載要",LEFT(G1512,1)="W","",AND(C1512,G1512=""),"記載要")</f>
        <v/>
      </c>
      <c r="R1512" s="21" t="str">
        <f t="shared" si="247"/>
        <v/>
      </c>
      <c r="S1512" s="21"/>
      <c r="Z1512" s="8"/>
      <c r="AA1512">
        <v>1</v>
      </c>
      <c r="AB1512">
        <f t="shared" si="243"/>
        <v>0</v>
      </c>
      <c r="AC1512">
        <v>1</v>
      </c>
      <c r="AF1512">
        <v>1</v>
      </c>
      <c r="AG1512" s="8"/>
      <c r="AH1512" s="8"/>
      <c r="AK1512" cm="1">
        <f t="array" ref="AK1512">_xlfn.IFS(B1512="","",LEFT(G1512,1)="L",1,LEFT(G1512,1)="W",1,AND(LEFT(B1512,1)="H",G1512=""),0)</f>
        <v>1</v>
      </c>
      <c r="AS1512" t="str">
        <f t="shared" si="244"/>
        <v/>
      </c>
      <c r="AT1512" t="s">
        <v>115</v>
      </c>
      <c r="AU1512" t="str">
        <f t="shared" si="245"/>
        <v>0</v>
      </c>
      <c r="BD1512" t="str">
        <f t="shared" si="246"/>
        <v>0</v>
      </c>
      <c r="BK1512" t="str">
        <f>IFERROR(VLOOKUP(B1512,'[1]model_S-フレーム'!$F$5:$R$7000,13,1),"")</f>
        <v>E380400_01</v>
      </c>
      <c r="BL1512" s="7">
        <f>IFERROR(VLOOKUP(B1512,'[1]model_S-フレーム'!$F$5:$V$7000,17,1),"")</f>
        <v>0</v>
      </c>
      <c r="BM1512" t="str" cm="1">
        <f t="array" ref="BM1512">_xlfn.IFS(LEFT(G1512,1)="L","外注品",LEFT(G1512,1)="W","内製品",G1512="","購買品")</f>
        <v>内製品</v>
      </c>
    </row>
    <row r="1513" spans="1:65">
      <c r="A1513" t="str">
        <f t="shared" si="238"/>
        <v>WG01</v>
      </c>
      <c r="B1513" t="s">
        <v>1646</v>
      </c>
      <c r="C1513" t="s">
        <v>1908</v>
      </c>
      <c r="D1513" s="7"/>
      <c r="E1513" s="7"/>
      <c r="G1513" t="s">
        <v>1939</v>
      </c>
      <c r="H1513" t="str" cm="1">
        <f t="array" ref="H1513">IFERROR(_xlfn.IFS(B1513="","",AND(B1513="",G1513=""),"",G1513="","記載要"),"")</f>
        <v/>
      </c>
      <c r="K1513" t="str">
        <f t="shared" si="239"/>
        <v>11WP01073860</v>
      </c>
      <c r="L1513" s="3" t="str">
        <f t="shared" si="240"/>
        <v>2001/01/01</v>
      </c>
      <c r="M1513" s="3" t="str">
        <f t="shared" si="241"/>
        <v>2199/12/31</v>
      </c>
      <c r="N1513" t="str">
        <f t="shared" si="242"/>
        <v>11WP01073860</v>
      </c>
      <c r="O1513">
        <v>15</v>
      </c>
      <c r="Q1513" t="str" cm="1">
        <f t="array" ref="Q1513">_xlfn.IFS(AND(C1513="",G1513=""),"",LEFT(G1513,1)="L","記載要",LEFT(G1513,1)="W","",AND(C1513,G1513=""),"記載要")</f>
        <v/>
      </c>
      <c r="R1513" s="21" t="str">
        <f t="shared" si="247"/>
        <v/>
      </c>
      <c r="S1513" s="21"/>
      <c r="Z1513" s="8"/>
      <c r="AA1513">
        <v>1</v>
      </c>
      <c r="AB1513">
        <f t="shared" si="243"/>
        <v>0</v>
      </c>
      <c r="AC1513">
        <v>1</v>
      </c>
      <c r="AF1513">
        <v>1</v>
      </c>
      <c r="AG1513" s="8"/>
      <c r="AH1513" s="8"/>
      <c r="AK1513" cm="1">
        <f t="array" ref="AK1513">_xlfn.IFS(B1513="","",LEFT(G1513,1)="L",1,LEFT(G1513,1)="W",1,AND(LEFT(B1513,1)="H",G1513=""),0)</f>
        <v>1</v>
      </c>
      <c r="AS1513" t="str">
        <f t="shared" si="244"/>
        <v/>
      </c>
      <c r="AT1513" t="s">
        <v>115</v>
      </c>
      <c r="AU1513" t="str">
        <f t="shared" si="245"/>
        <v>0</v>
      </c>
      <c r="BD1513" t="str">
        <f t="shared" si="246"/>
        <v>0</v>
      </c>
      <c r="BK1513" t="str">
        <f>IFERROR(VLOOKUP(B1513,'[1]model_S-フレーム'!$F$5:$R$7000,13,1),"")</f>
        <v>E380400_01</v>
      </c>
      <c r="BL1513" s="7">
        <f>IFERROR(VLOOKUP(B1513,'[1]model_S-フレーム'!$F$5:$V$7000,17,1),"")</f>
        <v>0</v>
      </c>
      <c r="BM1513" t="str" cm="1">
        <f t="array" ref="BM1513">_xlfn.IFS(LEFT(G1513,1)="L","外注品",LEFT(G1513,1)="W","内製品",G1513="","購買品")</f>
        <v>内製品</v>
      </c>
    </row>
    <row r="1514" spans="1:65">
      <c r="A1514" t="str">
        <f t="shared" si="238"/>
        <v>WG01</v>
      </c>
      <c r="B1514" t="s">
        <v>1647</v>
      </c>
      <c r="C1514" t="s">
        <v>1908</v>
      </c>
      <c r="D1514" s="7"/>
      <c r="E1514" s="7"/>
      <c r="G1514" t="s">
        <v>1939</v>
      </c>
      <c r="H1514" t="str" cm="1">
        <f t="array" ref="H1514">IFERROR(_xlfn.IFS(B1514="","",AND(B1514="",G1514=""),"",G1514="","記載要"),"")</f>
        <v/>
      </c>
      <c r="K1514" t="str">
        <f t="shared" si="239"/>
        <v>11WP01073861</v>
      </c>
      <c r="L1514" s="3" t="str">
        <f t="shared" si="240"/>
        <v>2001/01/01</v>
      </c>
      <c r="M1514" s="3" t="str">
        <f t="shared" si="241"/>
        <v>2199/12/31</v>
      </c>
      <c r="N1514" t="str">
        <f t="shared" si="242"/>
        <v>11WP01073861</v>
      </c>
      <c r="O1514">
        <v>15</v>
      </c>
      <c r="Q1514" t="str" cm="1">
        <f t="array" ref="Q1514">_xlfn.IFS(AND(C1514="",G1514=""),"",LEFT(G1514,1)="L","記載要",LEFT(G1514,1)="W","",AND(C1514,G1514=""),"記載要")</f>
        <v/>
      </c>
      <c r="R1514" s="21" t="str">
        <f t="shared" si="247"/>
        <v/>
      </c>
      <c r="S1514" s="21"/>
      <c r="Z1514" s="8"/>
      <c r="AA1514">
        <v>1</v>
      </c>
      <c r="AB1514">
        <f t="shared" si="243"/>
        <v>0</v>
      </c>
      <c r="AC1514">
        <v>1</v>
      </c>
      <c r="AF1514">
        <v>1</v>
      </c>
      <c r="AG1514" s="8"/>
      <c r="AH1514" s="8"/>
      <c r="AK1514" cm="1">
        <f t="array" ref="AK1514">_xlfn.IFS(B1514="","",LEFT(G1514,1)="L",1,LEFT(G1514,1)="W",1,AND(LEFT(B1514,1)="H",G1514=""),0)</f>
        <v>1</v>
      </c>
      <c r="AS1514" t="str">
        <f t="shared" si="244"/>
        <v/>
      </c>
      <c r="AT1514" t="s">
        <v>115</v>
      </c>
      <c r="AU1514" t="str">
        <f t="shared" si="245"/>
        <v>0</v>
      </c>
      <c r="BD1514" t="str">
        <f t="shared" si="246"/>
        <v>0</v>
      </c>
      <c r="BK1514" t="str">
        <f>IFERROR(VLOOKUP(B1514,'[1]model_S-フレーム'!$F$5:$R$7000,13,1),"")</f>
        <v>E380400_01</v>
      </c>
      <c r="BL1514" s="7">
        <f>IFERROR(VLOOKUP(B1514,'[1]model_S-フレーム'!$F$5:$V$7000,17,1),"")</f>
        <v>0</v>
      </c>
      <c r="BM1514" t="str" cm="1">
        <f t="array" ref="BM1514">_xlfn.IFS(LEFT(G1514,1)="L","外注品",LEFT(G1514,1)="W","内製品",G1514="","購買品")</f>
        <v>内製品</v>
      </c>
    </row>
    <row r="1515" spans="1:65">
      <c r="A1515" t="str">
        <f t="shared" si="238"/>
        <v>WG01</v>
      </c>
      <c r="B1515" t="s">
        <v>1648</v>
      </c>
      <c r="C1515" t="s">
        <v>1908</v>
      </c>
      <c r="D1515" s="7"/>
      <c r="E1515" s="7"/>
      <c r="G1515" t="s">
        <v>1939</v>
      </c>
      <c r="H1515" t="str" cm="1">
        <f t="array" ref="H1515">IFERROR(_xlfn.IFS(B1515="","",AND(B1515="",G1515=""),"",G1515="","記載要"),"")</f>
        <v/>
      </c>
      <c r="K1515" t="str">
        <f t="shared" si="239"/>
        <v>11WP01073862</v>
      </c>
      <c r="L1515" s="3" t="str">
        <f t="shared" si="240"/>
        <v>2001/01/01</v>
      </c>
      <c r="M1515" s="3" t="str">
        <f t="shared" si="241"/>
        <v>2199/12/31</v>
      </c>
      <c r="N1515" t="str">
        <f t="shared" si="242"/>
        <v>11WP01073862</v>
      </c>
      <c r="O1515">
        <v>15</v>
      </c>
      <c r="Q1515" t="str" cm="1">
        <f t="array" ref="Q1515">_xlfn.IFS(AND(C1515="",G1515=""),"",LEFT(G1515,1)="L","記載要",LEFT(G1515,1)="W","",AND(C1515,G1515=""),"記載要")</f>
        <v/>
      </c>
      <c r="R1515" s="21" t="str">
        <f t="shared" si="247"/>
        <v/>
      </c>
      <c r="S1515" s="21"/>
      <c r="Z1515" s="8"/>
      <c r="AA1515">
        <v>1</v>
      </c>
      <c r="AB1515">
        <f t="shared" si="243"/>
        <v>0</v>
      </c>
      <c r="AC1515">
        <v>1</v>
      </c>
      <c r="AF1515">
        <v>1</v>
      </c>
      <c r="AG1515" s="8"/>
      <c r="AH1515" s="8"/>
      <c r="AK1515" cm="1">
        <f t="array" ref="AK1515">_xlfn.IFS(B1515="","",LEFT(G1515,1)="L",1,LEFT(G1515,1)="W",1,AND(LEFT(B1515,1)="H",G1515=""),0)</f>
        <v>1</v>
      </c>
      <c r="AS1515" t="str">
        <f t="shared" si="244"/>
        <v/>
      </c>
      <c r="AT1515" t="s">
        <v>115</v>
      </c>
      <c r="AU1515" t="str">
        <f t="shared" si="245"/>
        <v>0</v>
      </c>
      <c r="BD1515" t="str">
        <f t="shared" si="246"/>
        <v>0</v>
      </c>
      <c r="BK1515" t="str">
        <f>IFERROR(VLOOKUP(B1515,'[1]model_S-フレーム'!$F$5:$R$7000,13,1),"")</f>
        <v>E380400_01</v>
      </c>
      <c r="BL1515" s="7">
        <f>IFERROR(VLOOKUP(B1515,'[1]model_S-フレーム'!$F$5:$V$7000,17,1),"")</f>
        <v>0</v>
      </c>
      <c r="BM1515" t="str" cm="1">
        <f t="array" ref="BM1515">_xlfn.IFS(LEFT(G1515,1)="L","外注品",LEFT(G1515,1)="W","内製品",G1515="","購買品")</f>
        <v>内製品</v>
      </c>
    </row>
    <row r="1516" spans="1:65">
      <c r="A1516" t="str">
        <f t="shared" si="238"/>
        <v>WG01</v>
      </c>
      <c r="B1516" t="s">
        <v>1649</v>
      </c>
      <c r="C1516" t="s">
        <v>1908</v>
      </c>
      <c r="D1516" s="7"/>
      <c r="E1516" s="7"/>
      <c r="G1516" t="s">
        <v>1939</v>
      </c>
      <c r="H1516" t="str" cm="1">
        <f t="array" ref="H1516">IFERROR(_xlfn.IFS(B1516="","",AND(B1516="",G1516=""),"",G1516="","記載要"),"")</f>
        <v/>
      </c>
      <c r="K1516" t="str">
        <f t="shared" si="239"/>
        <v>11WP01073863</v>
      </c>
      <c r="L1516" s="3" t="str">
        <f t="shared" si="240"/>
        <v>2001/01/01</v>
      </c>
      <c r="M1516" s="3" t="str">
        <f t="shared" si="241"/>
        <v>2199/12/31</v>
      </c>
      <c r="N1516" t="str">
        <f t="shared" si="242"/>
        <v>11WP01073863</v>
      </c>
      <c r="O1516">
        <v>15</v>
      </c>
      <c r="Q1516" t="str" cm="1">
        <f t="array" ref="Q1516">_xlfn.IFS(AND(C1516="",G1516=""),"",LEFT(G1516,1)="L","記載要",LEFT(G1516,1)="W","",AND(C1516,G1516=""),"記載要")</f>
        <v/>
      </c>
      <c r="R1516" s="21" t="str">
        <f t="shared" si="247"/>
        <v/>
      </c>
      <c r="S1516" s="21"/>
      <c r="Z1516" s="8"/>
      <c r="AA1516">
        <v>1</v>
      </c>
      <c r="AB1516">
        <f t="shared" si="243"/>
        <v>0</v>
      </c>
      <c r="AC1516">
        <v>1</v>
      </c>
      <c r="AF1516">
        <v>1</v>
      </c>
      <c r="AG1516" s="8"/>
      <c r="AH1516" s="8"/>
      <c r="AK1516" cm="1">
        <f t="array" ref="AK1516">_xlfn.IFS(B1516="","",LEFT(G1516,1)="L",1,LEFT(G1516,1)="W",1,AND(LEFT(B1516,1)="H",G1516=""),0)</f>
        <v>1</v>
      </c>
      <c r="AS1516" t="str">
        <f t="shared" si="244"/>
        <v/>
      </c>
      <c r="AT1516" t="s">
        <v>115</v>
      </c>
      <c r="AU1516" t="str">
        <f t="shared" si="245"/>
        <v>0</v>
      </c>
      <c r="BD1516" t="str">
        <f t="shared" si="246"/>
        <v>0</v>
      </c>
      <c r="BK1516" t="str">
        <f>IFERROR(VLOOKUP(B1516,'[1]model_S-フレーム'!$F$5:$R$7000,13,1),"")</f>
        <v>E380400_01</v>
      </c>
      <c r="BL1516" s="7">
        <f>IFERROR(VLOOKUP(B1516,'[1]model_S-フレーム'!$F$5:$V$7000,17,1),"")</f>
        <v>0</v>
      </c>
      <c r="BM1516" t="str" cm="1">
        <f t="array" ref="BM1516">_xlfn.IFS(LEFT(G1516,1)="L","外注品",LEFT(G1516,1)="W","内製品",G1516="","購買品")</f>
        <v>内製品</v>
      </c>
    </row>
    <row r="1517" spans="1:65">
      <c r="A1517" t="str">
        <f t="shared" si="238"/>
        <v>WG01</v>
      </c>
      <c r="B1517" t="s">
        <v>1650</v>
      </c>
      <c r="C1517" t="s">
        <v>1908</v>
      </c>
      <c r="D1517" s="7"/>
      <c r="E1517" s="7"/>
      <c r="G1517" t="s">
        <v>1939</v>
      </c>
      <c r="H1517" t="str" cm="1">
        <f t="array" ref="H1517">IFERROR(_xlfn.IFS(B1517="","",AND(B1517="",G1517=""),"",G1517="","記載要"),"")</f>
        <v/>
      </c>
      <c r="K1517" t="str">
        <f t="shared" si="239"/>
        <v>11WP01073864</v>
      </c>
      <c r="L1517" s="3" t="str">
        <f t="shared" si="240"/>
        <v>2001/01/01</v>
      </c>
      <c r="M1517" s="3" t="str">
        <f t="shared" si="241"/>
        <v>2199/12/31</v>
      </c>
      <c r="N1517" t="str">
        <f t="shared" si="242"/>
        <v>11WP01073864</v>
      </c>
      <c r="O1517">
        <v>15</v>
      </c>
      <c r="Q1517" t="str" cm="1">
        <f t="array" ref="Q1517">_xlfn.IFS(AND(C1517="",G1517=""),"",LEFT(G1517,1)="L","記載要",LEFT(G1517,1)="W","",AND(C1517,G1517=""),"記載要")</f>
        <v/>
      </c>
      <c r="R1517" s="21" t="str">
        <f t="shared" si="247"/>
        <v/>
      </c>
      <c r="S1517" s="21"/>
      <c r="Z1517" s="8"/>
      <c r="AA1517">
        <v>1</v>
      </c>
      <c r="AB1517">
        <f t="shared" si="243"/>
        <v>0</v>
      </c>
      <c r="AC1517">
        <v>1</v>
      </c>
      <c r="AF1517">
        <v>1</v>
      </c>
      <c r="AG1517" s="8"/>
      <c r="AH1517" s="8"/>
      <c r="AK1517" cm="1">
        <f t="array" ref="AK1517">_xlfn.IFS(B1517="","",LEFT(G1517,1)="L",1,LEFT(G1517,1)="W",1,AND(LEFT(B1517,1)="H",G1517=""),0)</f>
        <v>1</v>
      </c>
      <c r="AS1517" t="str">
        <f t="shared" si="244"/>
        <v/>
      </c>
      <c r="AT1517" t="s">
        <v>115</v>
      </c>
      <c r="AU1517" t="str">
        <f t="shared" si="245"/>
        <v>0</v>
      </c>
      <c r="BD1517" t="str">
        <f t="shared" si="246"/>
        <v>0</v>
      </c>
      <c r="BK1517" t="str">
        <f>IFERROR(VLOOKUP(B1517,'[1]model_S-フレーム'!$F$5:$R$7000,13,1),"")</f>
        <v>E380400_01</v>
      </c>
      <c r="BL1517" s="7">
        <f>IFERROR(VLOOKUP(B1517,'[1]model_S-フレーム'!$F$5:$V$7000,17,1),"")</f>
        <v>0</v>
      </c>
      <c r="BM1517" t="str" cm="1">
        <f t="array" ref="BM1517">_xlfn.IFS(LEFT(G1517,1)="L","外注品",LEFT(G1517,1)="W","内製品",G1517="","購買品")</f>
        <v>内製品</v>
      </c>
    </row>
    <row r="1518" spans="1:65">
      <c r="A1518" t="str">
        <f t="shared" si="238"/>
        <v>WG01</v>
      </c>
      <c r="B1518" t="s">
        <v>1651</v>
      </c>
      <c r="C1518" t="s">
        <v>1908</v>
      </c>
      <c r="D1518" s="7"/>
      <c r="E1518" s="7"/>
      <c r="G1518" t="s">
        <v>1939</v>
      </c>
      <c r="H1518" t="str" cm="1">
        <f t="array" ref="H1518">IFERROR(_xlfn.IFS(B1518="","",AND(B1518="",G1518=""),"",G1518="","記載要"),"")</f>
        <v/>
      </c>
      <c r="K1518" t="str">
        <f t="shared" si="239"/>
        <v>11WP01073865</v>
      </c>
      <c r="L1518" s="3" t="str">
        <f t="shared" si="240"/>
        <v>2001/01/01</v>
      </c>
      <c r="M1518" s="3" t="str">
        <f t="shared" si="241"/>
        <v>2199/12/31</v>
      </c>
      <c r="N1518" t="str">
        <f t="shared" si="242"/>
        <v>11WP01073865</v>
      </c>
      <c r="O1518">
        <v>15</v>
      </c>
      <c r="Q1518" t="str" cm="1">
        <f t="array" ref="Q1518">_xlfn.IFS(AND(C1518="",G1518=""),"",LEFT(G1518,1)="L","記載要",LEFT(G1518,1)="W","",AND(C1518,G1518=""),"記載要")</f>
        <v/>
      </c>
      <c r="R1518" s="21" t="str">
        <f t="shared" si="247"/>
        <v/>
      </c>
      <c r="S1518" s="21"/>
      <c r="Z1518" s="8"/>
      <c r="AA1518">
        <v>1</v>
      </c>
      <c r="AB1518">
        <f t="shared" si="243"/>
        <v>0</v>
      </c>
      <c r="AC1518">
        <v>1</v>
      </c>
      <c r="AF1518">
        <v>1</v>
      </c>
      <c r="AG1518" s="8"/>
      <c r="AH1518" s="8"/>
      <c r="AK1518" cm="1">
        <f t="array" ref="AK1518">_xlfn.IFS(B1518="","",LEFT(G1518,1)="L",1,LEFT(G1518,1)="W",1,AND(LEFT(B1518,1)="H",G1518=""),0)</f>
        <v>1</v>
      </c>
      <c r="AS1518" t="str">
        <f t="shared" si="244"/>
        <v/>
      </c>
      <c r="AT1518" t="s">
        <v>115</v>
      </c>
      <c r="AU1518" t="str">
        <f t="shared" si="245"/>
        <v>0</v>
      </c>
      <c r="BD1518" t="str">
        <f t="shared" si="246"/>
        <v>0</v>
      </c>
      <c r="BK1518" t="str">
        <f>IFERROR(VLOOKUP(B1518,'[1]model_S-フレーム'!$F$5:$R$7000,13,1),"")</f>
        <v>E380400_01</v>
      </c>
      <c r="BL1518" s="7">
        <f>IFERROR(VLOOKUP(B1518,'[1]model_S-フレーム'!$F$5:$V$7000,17,1),"")</f>
        <v>0</v>
      </c>
      <c r="BM1518" t="str" cm="1">
        <f t="array" ref="BM1518">_xlfn.IFS(LEFT(G1518,1)="L","外注品",LEFT(G1518,1)="W","内製品",G1518="","購買品")</f>
        <v>内製品</v>
      </c>
    </row>
    <row r="1519" spans="1:65">
      <c r="A1519" t="str">
        <f t="shared" si="238"/>
        <v>WG01</v>
      </c>
      <c r="B1519" t="s">
        <v>1652</v>
      </c>
      <c r="C1519" t="s">
        <v>1908</v>
      </c>
      <c r="D1519" s="7"/>
      <c r="E1519" s="7"/>
      <c r="G1519" t="s">
        <v>1939</v>
      </c>
      <c r="H1519" t="str" cm="1">
        <f t="array" ref="H1519">IFERROR(_xlfn.IFS(B1519="","",AND(B1519="",G1519=""),"",G1519="","記載要"),"")</f>
        <v/>
      </c>
      <c r="K1519" t="str">
        <f t="shared" si="239"/>
        <v>11WP01073866</v>
      </c>
      <c r="L1519" s="3" t="str">
        <f t="shared" si="240"/>
        <v>2001/01/01</v>
      </c>
      <c r="M1519" s="3" t="str">
        <f t="shared" si="241"/>
        <v>2199/12/31</v>
      </c>
      <c r="N1519" t="str">
        <f t="shared" si="242"/>
        <v>11WP01073866</v>
      </c>
      <c r="O1519">
        <v>15</v>
      </c>
      <c r="Q1519" t="str" cm="1">
        <f t="array" ref="Q1519">_xlfn.IFS(AND(C1519="",G1519=""),"",LEFT(G1519,1)="L","記載要",LEFT(G1519,1)="W","",AND(C1519,G1519=""),"記載要")</f>
        <v/>
      </c>
      <c r="R1519" s="21" t="str">
        <f t="shared" si="247"/>
        <v/>
      </c>
      <c r="S1519" s="21"/>
      <c r="Z1519" s="8"/>
      <c r="AA1519">
        <v>1</v>
      </c>
      <c r="AB1519">
        <f t="shared" si="243"/>
        <v>0</v>
      </c>
      <c r="AC1519">
        <v>1</v>
      </c>
      <c r="AF1519">
        <v>1</v>
      </c>
      <c r="AG1519" s="8"/>
      <c r="AH1519" s="8"/>
      <c r="AK1519" cm="1">
        <f t="array" ref="AK1519">_xlfn.IFS(B1519="","",LEFT(G1519,1)="L",1,LEFT(G1519,1)="W",1,AND(LEFT(B1519,1)="H",G1519=""),0)</f>
        <v>1</v>
      </c>
      <c r="AS1519" t="str">
        <f t="shared" si="244"/>
        <v/>
      </c>
      <c r="AT1519" t="s">
        <v>115</v>
      </c>
      <c r="AU1519" t="str">
        <f t="shared" si="245"/>
        <v>0</v>
      </c>
      <c r="BD1519" t="str">
        <f t="shared" si="246"/>
        <v>0</v>
      </c>
      <c r="BK1519" t="str">
        <f>IFERROR(VLOOKUP(B1519,'[1]model_S-フレーム'!$F$5:$R$7000,13,1),"")</f>
        <v>E380400_01</v>
      </c>
      <c r="BL1519" s="7">
        <f>IFERROR(VLOOKUP(B1519,'[1]model_S-フレーム'!$F$5:$V$7000,17,1),"")</f>
        <v>0</v>
      </c>
      <c r="BM1519" t="str" cm="1">
        <f t="array" ref="BM1519">_xlfn.IFS(LEFT(G1519,1)="L","外注品",LEFT(G1519,1)="W","内製品",G1519="","購買品")</f>
        <v>内製品</v>
      </c>
    </row>
    <row r="1520" spans="1:65">
      <c r="A1520" t="str">
        <f t="shared" si="238"/>
        <v>WG01</v>
      </c>
      <c r="B1520" t="s">
        <v>1653</v>
      </c>
      <c r="C1520" t="s">
        <v>1908</v>
      </c>
      <c r="D1520" s="7"/>
      <c r="E1520" s="7"/>
      <c r="G1520" t="s">
        <v>1939</v>
      </c>
      <c r="H1520" t="str" cm="1">
        <f t="array" ref="H1520">IFERROR(_xlfn.IFS(B1520="","",AND(B1520="",G1520=""),"",G1520="","記載要"),"")</f>
        <v/>
      </c>
      <c r="K1520" t="str">
        <f t="shared" si="239"/>
        <v>11WP01073867</v>
      </c>
      <c r="L1520" s="3" t="str">
        <f t="shared" si="240"/>
        <v>2001/01/01</v>
      </c>
      <c r="M1520" s="3" t="str">
        <f t="shared" si="241"/>
        <v>2199/12/31</v>
      </c>
      <c r="N1520" t="str">
        <f t="shared" si="242"/>
        <v>11WP01073867</v>
      </c>
      <c r="O1520">
        <v>15</v>
      </c>
      <c r="Q1520" t="str" cm="1">
        <f t="array" ref="Q1520">_xlfn.IFS(AND(C1520="",G1520=""),"",LEFT(G1520,1)="L","記載要",LEFT(G1520,1)="W","",AND(C1520,G1520=""),"記載要")</f>
        <v/>
      </c>
      <c r="R1520" s="21" t="str">
        <f t="shared" si="247"/>
        <v/>
      </c>
      <c r="S1520" s="21"/>
      <c r="Z1520" s="8"/>
      <c r="AA1520">
        <v>1</v>
      </c>
      <c r="AB1520">
        <f t="shared" si="243"/>
        <v>0</v>
      </c>
      <c r="AC1520">
        <v>1</v>
      </c>
      <c r="AF1520">
        <v>1</v>
      </c>
      <c r="AG1520" s="8"/>
      <c r="AH1520" s="8"/>
      <c r="AK1520" cm="1">
        <f t="array" ref="AK1520">_xlfn.IFS(B1520="","",LEFT(G1520,1)="L",1,LEFT(G1520,1)="W",1,AND(LEFT(B1520,1)="H",G1520=""),0)</f>
        <v>1</v>
      </c>
      <c r="AS1520" t="str">
        <f t="shared" si="244"/>
        <v/>
      </c>
      <c r="AT1520" t="s">
        <v>115</v>
      </c>
      <c r="AU1520" t="str">
        <f t="shared" si="245"/>
        <v>0</v>
      </c>
      <c r="BD1520" t="str">
        <f t="shared" si="246"/>
        <v>0</v>
      </c>
      <c r="BK1520" t="str">
        <f>IFERROR(VLOOKUP(B1520,'[1]model_S-フレーム'!$F$5:$R$7000,13,1),"")</f>
        <v>E380400_01</v>
      </c>
      <c r="BL1520" s="7">
        <f>IFERROR(VLOOKUP(B1520,'[1]model_S-フレーム'!$F$5:$V$7000,17,1),"")</f>
        <v>0</v>
      </c>
      <c r="BM1520" t="str" cm="1">
        <f t="array" ref="BM1520">_xlfn.IFS(LEFT(G1520,1)="L","外注品",LEFT(G1520,1)="W","内製品",G1520="","購買品")</f>
        <v>内製品</v>
      </c>
    </row>
    <row r="1521" spans="1:65">
      <c r="A1521" t="str">
        <f t="shared" si="238"/>
        <v>WG01</v>
      </c>
      <c r="B1521" t="s">
        <v>1654</v>
      </c>
      <c r="C1521" t="s">
        <v>1908</v>
      </c>
      <c r="D1521" s="7"/>
      <c r="E1521" s="7"/>
      <c r="G1521" t="s">
        <v>1939</v>
      </c>
      <c r="H1521" t="str" cm="1">
        <f t="array" ref="H1521">IFERROR(_xlfn.IFS(B1521="","",AND(B1521="",G1521=""),"",G1521="","記載要"),"")</f>
        <v/>
      </c>
      <c r="K1521" t="str">
        <f t="shared" si="239"/>
        <v>11WP01073868</v>
      </c>
      <c r="L1521" s="3" t="str">
        <f t="shared" si="240"/>
        <v>2001/01/01</v>
      </c>
      <c r="M1521" s="3" t="str">
        <f t="shared" si="241"/>
        <v>2199/12/31</v>
      </c>
      <c r="N1521" t="str">
        <f t="shared" si="242"/>
        <v>11WP01073868</v>
      </c>
      <c r="O1521">
        <v>15</v>
      </c>
      <c r="Q1521" t="str" cm="1">
        <f t="array" ref="Q1521">_xlfn.IFS(AND(C1521="",G1521=""),"",LEFT(G1521,1)="L","記載要",LEFT(G1521,1)="W","",AND(C1521,G1521=""),"記載要")</f>
        <v/>
      </c>
      <c r="R1521" s="21" t="str">
        <f t="shared" si="247"/>
        <v/>
      </c>
      <c r="S1521" s="21"/>
      <c r="Z1521" s="8"/>
      <c r="AA1521">
        <v>1</v>
      </c>
      <c r="AB1521">
        <f t="shared" si="243"/>
        <v>0</v>
      </c>
      <c r="AC1521">
        <v>1</v>
      </c>
      <c r="AF1521">
        <v>1</v>
      </c>
      <c r="AG1521" s="8"/>
      <c r="AH1521" s="8"/>
      <c r="AK1521" cm="1">
        <f t="array" ref="AK1521">_xlfn.IFS(B1521="","",LEFT(G1521,1)="L",1,LEFT(G1521,1)="W",1,AND(LEFT(B1521,1)="H",G1521=""),0)</f>
        <v>1</v>
      </c>
      <c r="AS1521" t="str">
        <f t="shared" si="244"/>
        <v/>
      </c>
      <c r="AT1521" t="s">
        <v>115</v>
      </c>
      <c r="AU1521" t="str">
        <f t="shared" si="245"/>
        <v>0</v>
      </c>
      <c r="BD1521" t="str">
        <f t="shared" si="246"/>
        <v>0</v>
      </c>
      <c r="BK1521" t="str">
        <f>IFERROR(VLOOKUP(B1521,'[1]model_S-フレーム'!$F$5:$R$7000,13,1),"")</f>
        <v>E380400_01</v>
      </c>
      <c r="BL1521" s="7">
        <f>IFERROR(VLOOKUP(B1521,'[1]model_S-フレーム'!$F$5:$V$7000,17,1),"")</f>
        <v>0</v>
      </c>
      <c r="BM1521" t="str" cm="1">
        <f t="array" ref="BM1521">_xlfn.IFS(LEFT(G1521,1)="L","外注品",LEFT(G1521,1)="W","内製品",G1521="","購買品")</f>
        <v>内製品</v>
      </c>
    </row>
    <row r="1522" spans="1:65">
      <c r="A1522" t="str">
        <f t="shared" si="238"/>
        <v>WG01</v>
      </c>
      <c r="B1522" t="s">
        <v>1655</v>
      </c>
      <c r="C1522" t="s">
        <v>1908</v>
      </c>
      <c r="D1522" s="7"/>
      <c r="E1522" s="7"/>
      <c r="G1522" t="s">
        <v>1939</v>
      </c>
      <c r="H1522" t="str" cm="1">
        <f t="array" ref="H1522">IFERROR(_xlfn.IFS(B1522="","",AND(B1522="",G1522=""),"",G1522="","記載要"),"")</f>
        <v/>
      </c>
      <c r="K1522" t="str">
        <f t="shared" si="239"/>
        <v>11WP01073869</v>
      </c>
      <c r="L1522" s="3" t="str">
        <f t="shared" si="240"/>
        <v>2001/01/01</v>
      </c>
      <c r="M1522" s="3" t="str">
        <f t="shared" si="241"/>
        <v>2199/12/31</v>
      </c>
      <c r="N1522" t="str">
        <f t="shared" si="242"/>
        <v>11WP01073869</v>
      </c>
      <c r="O1522">
        <v>15</v>
      </c>
      <c r="Q1522" t="str" cm="1">
        <f t="array" ref="Q1522">_xlfn.IFS(AND(C1522="",G1522=""),"",LEFT(G1522,1)="L","記載要",LEFT(G1522,1)="W","",AND(C1522,G1522=""),"記載要")</f>
        <v/>
      </c>
      <c r="R1522" s="21" t="str">
        <f t="shared" si="247"/>
        <v/>
      </c>
      <c r="S1522" s="21"/>
      <c r="Z1522" s="8"/>
      <c r="AA1522">
        <v>1</v>
      </c>
      <c r="AB1522">
        <f t="shared" si="243"/>
        <v>0</v>
      </c>
      <c r="AC1522">
        <v>1</v>
      </c>
      <c r="AF1522">
        <v>1</v>
      </c>
      <c r="AG1522" s="8"/>
      <c r="AH1522" s="8"/>
      <c r="AK1522" cm="1">
        <f t="array" ref="AK1522">_xlfn.IFS(B1522="","",LEFT(G1522,1)="L",1,LEFT(G1522,1)="W",1,AND(LEFT(B1522,1)="H",G1522=""),0)</f>
        <v>1</v>
      </c>
      <c r="AS1522" t="str">
        <f t="shared" si="244"/>
        <v/>
      </c>
      <c r="AT1522" t="s">
        <v>115</v>
      </c>
      <c r="AU1522" t="str">
        <f t="shared" si="245"/>
        <v>0</v>
      </c>
      <c r="BD1522" t="str">
        <f t="shared" si="246"/>
        <v>0</v>
      </c>
      <c r="BK1522" t="str">
        <f>IFERROR(VLOOKUP(B1522,'[1]model_S-フレーム'!$F$5:$R$7000,13,1),"")</f>
        <v>E380400_01</v>
      </c>
      <c r="BL1522" s="7">
        <f>IFERROR(VLOOKUP(B1522,'[1]model_S-フレーム'!$F$5:$V$7000,17,1),"")</f>
        <v>0</v>
      </c>
      <c r="BM1522" t="str" cm="1">
        <f t="array" ref="BM1522">_xlfn.IFS(LEFT(G1522,1)="L","外注品",LEFT(G1522,1)="W","内製品",G1522="","購買品")</f>
        <v>内製品</v>
      </c>
    </row>
    <row r="1523" spans="1:65">
      <c r="A1523" t="str">
        <f t="shared" si="238"/>
        <v>WG01</v>
      </c>
      <c r="B1523" t="s">
        <v>1656</v>
      </c>
      <c r="C1523" t="s">
        <v>1908</v>
      </c>
      <c r="D1523" s="7"/>
      <c r="E1523" s="7"/>
      <c r="G1523" t="s">
        <v>1939</v>
      </c>
      <c r="H1523" t="str" cm="1">
        <f t="array" ref="H1523">IFERROR(_xlfn.IFS(B1523="","",AND(B1523="",G1523=""),"",G1523="","記載要"),"")</f>
        <v/>
      </c>
      <c r="K1523" t="str">
        <f t="shared" si="239"/>
        <v>11WP01073870</v>
      </c>
      <c r="L1523" s="3" t="str">
        <f t="shared" si="240"/>
        <v>2001/01/01</v>
      </c>
      <c r="M1523" s="3" t="str">
        <f t="shared" si="241"/>
        <v>2199/12/31</v>
      </c>
      <c r="N1523" t="str">
        <f t="shared" si="242"/>
        <v>11WP01073870</v>
      </c>
      <c r="O1523">
        <v>15</v>
      </c>
      <c r="Q1523" t="str" cm="1">
        <f t="array" ref="Q1523">_xlfn.IFS(AND(C1523="",G1523=""),"",LEFT(G1523,1)="L","記載要",LEFT(G1523,1)="W","",AND(C1523,G1523=""),"記載要")</f>
        <v/>
      </c>
      <c r="R1523" s="21" t="str">
        <f t="shared" si="247"/>
        <v/>
      </c>
      <c r="S1523" s="21"/>
      <c r="Z1523" s="8"/>
      <c r="AA1523">
        <v>1</v>
      </c>
      <c r="AB1523">
        <f t="shared" si="243"/>
        <v>0</v>
      </c>
      <c r="AC1523">
        <v>1</v>
      </c>
      <c r="AF1523">
        <v>1</v>
      </c>
      <c r="AG1523" s="8"/>
      <c r="AH1523" s="8"/>
      <c r="AK1523" cm="1">
        <f t="array" ref="AK1523">_xlfn.IFS(B1523="","",LEFT(G1523,1)="L",1,LEFT(G1523,1)="W",1,AND(LEFT(B1523,1)="H",G1523=""),0)</f>
        <v>1</v>
      </c>
      <c r="AS1523" t="str">
        <f t="shared" si="244"/>
        <v/>
      </c>
      <c r="AT1523" t="s">
        <v>115</v>
      </c>
      <c r="AU1523" t="str">
        <f t="shared" si="245"/>
        <v>0</v>
      </c>
      <c r="BD1523" t="str">
        <f t="shared" si="246"/>
        <v>0</v>
      </c>
      <c r="BK1523" t="str">
        <f>IFERROR(VLOOKUP(B1523,'[1]model_S-フレーム'!$F$5:$R$7000,13,1),"")</f>
        <v>E380400_01</v>
      </c>
      <c r="BL1523" s="7">
        <f>IFERROR(VLOOKUP(B1523,'[1]model_S-フレーム'!$F$5:$V$7000,17,1),"")</f>
        <v>0</v>
      </c>
      <c r="BM1523" t="str" cm="1">
        <f t="array" ref="BM1523">_xlfn.IFS(LEFT(G1523,1)="L","外注品",LEFT(G1523,1)="W","内製品",G1523="","購買品")</f>
        <v>内製品</v>
      </c>
    </row>
    <row r="1524" spans="1:65">
      <c r="A1524" t="str">
        <f t="shared" si="238"/>
        <v>WG01</v>
      </c>
      <c r="B1524" t="s">
        <v>1657</v>
      </c>
      <c r="C1524" t="s">
        <v>1908</v>
      </c>
      <c r="D1524" s="7"/>
      <c r="E1524" s="7"/>
      <c r="G1524" t="s">
        <v>1939</v>
      </c>
      <c r="H1524" t="str" cm="1">
        <f t="array" ref="H1524">IFERROR(_xlfn.IFS(B1524="","",AND(B1524="",G1524=""),"",G1524="","記載要"),"")</f>
        <v/>
      </c>
      <c r="K1524" t="str">
        <f t="shared" si="239"/>
        <v>11WP01073871</v>
      </c>
      <c r="L1524" s="3" t="str">
        <f t="shared" si="240"/>
        <v>2001/01/01</v>
      </c>
      <c r="M1524" s="3" t="str">
        <f t="shared" si="241"/>
        <v>2199/12/31</v>
      </c>
      <c r="N1524" t="str">
        <f t="shared" si="242"/>
        <v>11WP01073871</v>
      </c>
      <c r="O1524">
        <v>15</v>
      </c>
      <c r="Q1524" t="str" cm="1">
        <f t="array" ref="Q1524">_xlfn.IFS(AND(C1524="",G1524=""),"",LEFT(G1524,1)="L","記載要",LEFT(G1524,1)="W","",AND(C1524,G1524=""),"記載要")</f>
        <v/>
      </c>
      <c r="R1524" s="21" t="str">
        <f t="shared" si="247"/>
        <v/>
      </c>
      <c r="S1524" s="21"/>
      <c r="Z1524" s="8"/>
      <c r="AA1524">
        <v>1</v>
      </c>
      <c r="AB1524">
        <f t="shared" si="243"/>
        <v>0</v>
      </c>
      <c r="AC1524">
        <v>1</v>
      </c>
      <c r="AF1524">
        <v>1</v>
      </c>
      <c r="AG1524" s="8"/>
      <c r="AH1524" s="8"/>
      <c r="AK1524" cm="1">
        <f t="array" ref="AK1524">_xlfn.IFS(B1524="","",LEFT(G1524,1)="L",1,LEFT(G1524,1)="W",1,AND(LEFT(B1524,1)="H",G1524=""),0)</f>
        <v>1</v>
      </c>
      <c r="AS1524" t="str">
        <f t="shared" si="244"/>
        <v/>
      </c>
      <c r="AT1524" t="s">
        <v>115</v>
      </c>
      <c r="AU1524" t="str">
        <f t="shared" si="245"/>
        <v>0</v>
      </c>
      <c r="BD1524" t="str">
        <f t="shared" si="246"/>
        <v>0</v>
      </c>
      <c r="BK1524" t="str">
        <f>IFERROR(VLOOKUP(B1524,'[1]model_S-フレーム'!$F$5:$R$7000,13,1),"")</f>
        <v>E380400_01</v>
      </c>
      <c r="BL1524" s="7">
        <f>IFERROR(VLOOKUP(B1524,'[1]model_S-フレーム'!$F$5:$V$7000,17,1),"")</f>
        <v>0</v>
      </c>
      <c r="BM1524" t="str" cm="1">
        <f t="array" ref="BM1524">_xlfn.IFS(LEFT(G1524,1)="L","外注品",LEFT(G1524,1)="W","内製品",G1524="","購買品")</f>
        <v>内製品</v>
      </c>
    </row>
    <row r="1525" spans="1:65">
      <c r="A1525" t="str">
        <f t="shared" si="238"/>
        <v>WG01</v>
      </c>
      <c r="B1525" t="s">
        <v>1658</v>
      </c>
      <c r="C1525" t="s">
        <v>1908</v>
      </c>
      <c r="D1525" s="7"/>
      <c r="E1525" s="7"/>
      <c r="G1525" t="s">
        <v>1939</v>
      </c>
      <c r="H1525" t="str" cm="1">
        <f t="array" ref="H1525">IFERROR(_xlfn.IFS(B1525="","",AND(B1525="",G1525=""),"",G1525="","記載要"),"")</f>
        <v/>
      </c>
      <c r="K1525" t="str">
        <f t="shared" si="239"/>
        <v>11WP01073872</v>
      </c>
      <c r="L1525" s="3" t="str">
        <f t="shared" si="240"/>
        <v>2001/01/01</v>
      </c>
      <c r="M1525" s="3" t="str">
        <f t="shared" si="241"/>
        <v>2199/12/31</v>
      </c>
      <c r="N1525" t="str">
        <f t="shared" si="242"/>
        <v>11WP01073872</v>
      </c>
      <c r="O1525">
        <v>15</v>
      </c>
      <c r="Q1525" t="str" cm="1">
        <f t="array" ref="Q1525">_xlfn.IFS(AND(C1525="",G1525=""),"",LEFT(G1525,1)="L","記載要",LEFT(G1525,1)="W","",AND(C1525,G1525=""),"記載要")</f>
        <v/>
      </c>
      <c r="R1525" s="21" t="str">
        <f t="shared" si="247"/>
        <v/>
      </c>
      <c r="S1525" s="21"/>
      <c r="Z1525" s="8"/>
      <c r="AA1525">
        <v>1</v>
      </c>
      <c r="AB1525">
        <f t="shared" si="243"/>
        <v>0</v>
      </c>
      <c r="AC1525">
        <v>1</v>
      </c>
      <c r="AF1525">
        <v>1</v>
      </c>
      <c r="AG1525" s="8"/>
      <c r="AH1525" s="8"/>
      <c r="AK1525" cm="1">
        <f t="array" ref="AK1525">_xlfn.IFS(B1525="","",LEFT(G1525,1)="L",1,LEFT(G1525,1)="W",1,AND(LEFT(B1525,1)="H",G1525=""),0)</f>
        <v>1</v>
      </c>
      <c r="AS1525" t="str">
        <f t="shared" si="244"/>
        <v/>
      </c>
      <c r="AT1525" t="s">
        <v>115</v>
      </c>
      <c r="AU1525" t="str">
        <f t="shared" si="245"/>
        <v>0</v>
      </c>
      <c r="BD1525" t="str">
        <f t="shared" si="246"/>
        <v>0</v>
      </c>
      <c r="BK1525" t="str">
        <f>IFERROR(VLOOKUP(B1525,'[1]model_S-フレーム'!$F$5:$R$7000,13,1),"")</f>
        <v>E380400_01</v>
      </c>
      <c r="BL1525" s="7">
        <f>IFERROR(VLOOKUP(B1525,'[1]model_S-フレーム'!$F$5:$V$7000,17,1),"")</f>
        <v>0</v>
      </c>
      <c r="BM1525" t="str" cm="1">
        <f t="array" ref="BM1525">_xlfn.IFS(LEFT(G1525,1)="L","外注品",LEFT(G1525,1)="W","内製品",G1525="","購買品")</f>
        <v>内製品</v>
      </c>
    </row>
    <row r="1526" spans="1:65">
      <c r="A1526" t="str">
        <f t="shared" si="238"/>
        <v>WG01</v>
      </c>
      <c r="B1526" t="s">
        <v>1659</v>
      </c>
      <c r="C1526" t="s">
        <v>1908</v>
      </c>
      <c r="D1526" s="7"/>
      <c r="E1526" s="7"/>
      <c r="G1526" t="s">
        <v>1939</v>
      </c>
      <c r="H1526" t="str" cm="1">
        <f t="array" ref="H1526">IFERROR(_xlfn.IFS(B1526="","",AND(B1526="",G1526=""),"",G1526="","記載要"),"")</f>
        <v/>
      </c>
      <c r="K1526" t="str">
        <f t="shared" si="239"/>
        <v>11WP01073873</v>
      </c>
      <c r="L1526" s="3" t="str">
        <f t="shared" si="240"/>
        <v>2001/01/01</v>
      </c>
      <c r="M1526" s="3" t="str">
        <f t="shared" si="241"/>
        <v>2199/12/31</v>
      </c>
      <c r="N1526" t="str">
        <f t="shared" si="242"/>
        <v>11WP01073873</v>
      </c>
      <c r="O1526">
        <v>15</v>
      </c>
      <c r="Q1526" t="str" cm="1">
        <f t="array" ref="Q1526">_xlfn.IFS(AND(C1526="",G1526=""),"",LEFT(G1526,1)="L","記載要",LEFT(G1526,1)="W","",AND(C1526,G1526=""),"記載要")</f>
        <v/>
      </c>
      <c r="R1526" s="21" t="str">
        <f t="shared" si="247"/>
        <v/>
      </c>
      <c r="S1526" s="21"/>
      <c r="Z1526" s="8"/>
      <c r="AA1526">
        <v>1</v>
      </c>
      <c r="AB1526">
        <f t="shared" si="243"/>
        <v>0</v>
      </c>
      <c r="AC1526">
        <v>1</v>
      </c>
      <c r="AF1526">
        <v>1</v>
      </c>
      <c r="AG1526" s="8"/>
      <c r="AH1526" s="8"/>
      <c r="AK1526" cm="1">
        <f t="array" ref="AK1526">_xlfn.IFS(B1526="","",LEFT(G1526,1)="L",1,LEFT(G1526,1)="W",1,AND(LEFT(B1526,1)="H",G1526=""),0)</f>
        <v>1</v>
      </c>
      <c r="AS1526" t="str">
        <f t="shared" si="244"/>
        <v/>
      </c>
      <c r="AT1526" t="s">
        <v>115</v>
      </c>
      <c r="AU1526" t="str">
        <f t="shared" si="245"/>
        <v>0</v>
      </c>
      <c r="BD1526" t="str">
        <f t="shared" si="246"/>
        <v>0</v>
      </c>
      <c r="BK1526" t="str">
        <f>IFERROR(VLOOKUP(B1526,'[1]model_S-フレーム'!$F$5:$R$7000,13,1),"")</f>
        <v>E380400_01</v>
      </c>
      <c r="BL1526" s="7">
        <f>IFERROR(VLOOKUP(B1526,'[1]model_S-フレーム'!$F$5:$V$7000,17,1),"")</f>
        <v>0</v>
      </c>
      <c r="BM1526" t="str" cm="1">
        <f t="array" ref="BM1526">_xlfn.IFS(LEFT(G1526,1)="L","外注品",LEFT(G1526,1)="W","内製品",G1526="","購買品")</f>
        <v>内製品</v>
      </c>
    </row>
    <row r="1527" spans="1:65">
      <c r="A1527" t="str">
        <f t="shared" si="238"/>
        <v>WG01</v>
      </c>
      <c r="B1527" t="s">
        <v>1660</v>
      </c>
      <c r="C1527" t="s">
        <v>1908</v>
      </c>
      <c r="D1527" s="7"/>
      <c r="E1527" s="7"/>
      <c r="G1527" t="s">
        <v>1939</v>
      </c>
      <c r="H1527" t="str" cm="1">
        <f t="array" ref="H1527">IFERROR(_xlfn.IFS(B1527="","",AND(B1527="",G1527=""),"",G1527="","記載要"),"")</f>
        <v/>
      </c>
      <c r="K1527" t="str">
        <f t="shared" si="239"/>
        <v>11WP01073874</v>
      </c>
      <c r="L1527" s="3" t="str">
        <f t="shared" si="240"/>
        <v>2001/01/01</v>
      </c>
      <c r="M1527" s="3" t="str">
        <f t="shared" si="241"/>
        <v>2199/12/31</v>
      </c>
      <c r="N1527" t="str">
        <f t="shared" si="242"/>
        <v>11WP01073874</v>
      </c>
      <c r="O1527">
        <v>15</v>
      </c>
      <c r="Q1527" t="str" cm="1">
        <f t="array" ref="Q1527">_xlfn.IFS(AND(C1527="",G1527=""),"",LEFT(G1527,1)="L","記載要",LEFT(G1527,1)="W","",AND(C1527,G1527=""),"記載要")</f>
        <v/>
      </c>
      <c r="R1527" s="21" t="str">
        <f t="shared" si="247"/>
        <v/>
      </c>
      <c r="S1527" s="21"/>
      <c r="Z1527" s="8"/>
      <c r="AA1527">
        <v>1</v>
      </c>
      <c r="AB1527">
        <f t="shared" si="243"/>
        <v>0</v>
      </c>
      <c r="AC1527">
        <v>1</v>
      </c>
      <c r="AF1527">
        <v>1</v>
      </c>
      <c r="AG1527" s="8"/>
      <c r="AH1527" s="8"/>
      <c r="AK1527" cm="1">
        <f t="array" ref="AK1527">_xlfn.IFS(B1527="","",LEFT(G1527,1)="L",1,LEFT(G1527,1)="W",1,AND(LEFT(B1527,1)="H",G1527=""),0)</f>
        <v>1</v>
      </c>
      <c r="AS1527" t="str">
        <f t="shared" si="244"/>
        <v/>
      </c>
      <c r="AT1527" t="s">
        <v>115</v>
      </c>
      <c r="AU1527" t="str">
        <f t="shared" si="245"/>
        <v>0</v>
      </c>
      <c r="BD1527" t="str">
        <f t="shared" si="246"/>
        <v>0</v>
      </c>
      <c r="BK1527" t="str">
        <f>IFERROR(VLOOKUP(B1527,'[1]model_S-フレーム'!$F$5:$R$7000,13,1),"")</f>
        <v>E380400_01</v>
      </c>
      <c r="BL1527" s="7">
        <f>IFERROR(VLOOKUP(B1527,'[1]model_S-フレーム'!$F$5:$V$7000,17,1),"")</f>
        <v>0</v>
      </c>
      <c r="BM1527" t="str" cm="1">
        <f t="array" ref="BM1527">_xlfn.IFS(LEFT(G1527,1)="L","外注品",LEFT(G1527,1)="W","内製品",G1527="","購買品")</f>
        <v>内製品</v>
      </c>
    </row>
    <row r="1528" spans="1:65">
      <c r="A1528" t="str">
        <f t="shared" si="238"/>
        <v>WG01</v>
      </c>
      <c r="B1528" t="s">
        <v>1661</v>
      </c>
      <c r="C1528" t="s">
        <v>1908</v>
      </c>
      <c r="D1528" s="7"/>
      <c r="E1528" s="7"/>
      <c r="G1528" t="s">
        <v>1939</v>
      </c>
      <c r="H1528" t="str" cm="1">
        <f t="array" ref="H1528">IFERROR(_xlfn.IFS(B1528="","",AND(B1528="",G1528=""),"",G1528="","記載要"),"")</f>
        <v/>
      </c>
      <c r="K1528" t="str">
        <f t="shared" si="239"/>
        <v>11WP01073875</v>
      </c>
      <c r="L1528" s="3" t="str">
        <f t="shared" si="240"/>
        <v>2001/01/01</v>
      </c>
      <c r="M1528" s="3" t="str">
        <f t="shared" si="241"/>
        <v>2199/12/31</v>
      </c>
      <c r="N1528" t="str">
        <f t="shared" si="242"/>
        <v>11WP01073875</v>
      </c>
      <c r="O1528">
        <v>15</v>
      </c>
      <c r="Q1528" t="str" cm="1">
        <f t="array" ref="Q1528">_xlfn.IFS(AND(C1528="",G1528=""),"",LEFT(G1528,1)="L","記載要",LEFT(G1528,1)="W","",AND(C1528,G1528=""),"記載要")</f>
        <v/>
      </c>
      <c r="R1528" s="21" t="str">
        <f t="shared" si="247"/>
        <v/>
      </c>
      <c r="S1528" s="21"/>
      <c r="Z1528" s="8"/>
      <c r="AA1528">
        <v>1</v>
      </c>
      <c r="AB1528">
        <f t="shared" si="243"/>
        <v>0</v>
      </c>
      <c r="AC1528">
        <v>1</v>
      </c>
      <c r="AF1528">
        <v>1</v>
      </c>
      <c r="AG1528" s="8"/>
      <c r="AH1528" s="8"/>
      <c r="AK1528" cm="1">
        <f t="array" ref="AK1528">_xlfn.IFS(B1528="","",LEFT(G1528,1)="L",1,LEFT(G1528,1)="W",1,AND(LEFT(B1528,1)="H",G1528=""),0)</f>
        <v>1</v>
      </c>
      <c r="AS1528" t="str">
        <f t="shared" si="244"/>
        <v/>
      </c>
      <c r="AT1528" t="s">
        <v>115</v>
      </c>
      <c r="AU1528" t="str">
        <f t="shared" si="245"/>
        <v>0</v>
      </c>
      <c r="BD1528" t="str">
        <f t="shared" si="246"/>
        <v>0</v>
      </c>
      <c r="BK1528" t="str">
        <f>IFERROR(VLOOKUP(B1528,'[1]model_S-フレーム'!$F$5:$R$7000,13,1),"")</f>
        <v>E380400_01</v>
      </c>
      <c r="BL1528" s="7">
        <f>IFERROR(VLOOKUP(B1528,'[1]model_S-フレーム'!$F$5:$V$7000,17,1),"")</f>
        <v>0</v>
      </c>
      <c r="BM1528" t="str" cm="1">
        <f t="array" ref="BM1528">_xlfn.IFS(LEFT(G1528,1)="L","外注品",LEFT(G1528,1)="W","内製品",G1528="","購買品")</f>
        <v>内製品</v>
      </c>
    </row>
    <row r="1529" spans="1:65">
      <c r="A1529" t="str">
        <f t="shared" si="238"/>
        <v>WG01</v>
      </c>
      <c r="B1529" t="s">
        <v>1662</v>
      </c>
      <c r="C1529" t="s">
        <v>1908</v>
      </c>
      <c r="D1529" s="7"/>
      <c r="E1529" s="7"/>
      <c r="G1529" t="s">
        <v>1939</v>
      </c>
      <c r="H1529" t="str" cm="1">
        <f t="array" ref="H1529">IFERROR(_xlfn.IFS(B1529="","",AND(B1529="",G1529=""),"",G1529="","記載要"),"")</f>
        <v/>
      </c>
      <c r="K1529" t="str">
        <f t="shared" si="239"/>
        <v>11WP01073876</v>
      </c>
      <c r="L1529" s="3" t="str">
        <f t="shared" si="240"/>
        <v>2001/01/01</v>
      </c>
      <c r="M1529" s="3" t="str">
        <f t="shared" si="241"/>
        <v>2199/12/31</v>
      </c>
      <c r="N1529" t="str">
        <f t="shared" si="242"/>
        <v>11WP01073876</v>
      </c>
      <c r="O1529">
        <v>15</v>
      </c>
      <c r="Q1529" t="str" cm="1">
        <f t="array" ref="Q1529">_xlfn.IFS(AND(C1529="",G1529=""),"",LEFT(G1529,1)="L","記載要",LEFT(G1529,1)="W","",AND(C1529,G1529=""),"記載要")</f>
        <v/>
      </c>
      <c r="R1529" s="21" t="str">
        <f t="shared" si="247"/>
        <v/>
      </c>
      <c r="S1529" s="21"/>
      <c r="Z1529" s="8"/>
      <c r="AA1529">
        <v>1</v>
      </c>
      <c r="AB1529">
        <f t="shared" si="243"/>
        <v>0</v>
      </c>
      <c r="AC1529">
        <v>1</v>
      </c>
      <c r="AF1529">
        <v>1</v>
      </c>
      <c r="AG1529" s="8"/>
      <c r="AH1529" s="8"/>
      <c r="AK1529" cm="1">
        <f t="array" ref="AK1529">_xlfn.IFS(B1529="","",LEFT(G1529,1)="L",1,LEFT(G1529,1)="W",1,AND(LEFT(B1529,1)="H",G1529=""),0)</f>
        <v>1</v>
      </c>
      <c r="AS1529" t="str">
        <f t="shared" si="244"/>
        <v/>
      </c>
      <c r="AT1529" t="s">
        <v>115</v>
      </c>
      <c r="AU1529" t="str">
        <f t="shared" si="245"/>
        <v>0</v>
      </c>
      <c r="BD1529" t="str">
        <f t="shared" si="246"/>
        <v>0</v>
      </c>
      <c r="BK1529" t="str">
        <f>IFERROR(VLOOKUP(B1529,'[1]model_S-フレーム'!$F$5:$R$7000,13,1),"")</f>
        <v>E380400_01</v>
      </c>
      <c r="BL1529" s="7">
        <f>IFERROR(VLOOKUP(B1529,'[1]model_S-フレーム'!$F$5:$V$7000,17,1),"")</f>
        <v>0</v>
      </c>
      <c r="BM1529" t="str" cm="1">
        <f t="array" ref="BM1529">_xlfn.IFS(LEFT(G1529,1)="L","外注品",LEFT(G1529,1)="W","内製品",G1529="","購買品")</f>
        <v>内製品</v>
      </c>
    </row>
    <row r="1530" spans="1:65">
      <c r="A1530" t="str">
        <f t="shared" si="238"/>
        <v>WG01</v>
      </c>
      <c r="B1530" t="s">
        <v>1663</v>
      </c>
      <c r="C1530" t="s">
        <v>1908</v>
      </c>
      <c r="D1530" s="7"/>
      <c r="E1530" s="7"/>
      <c r="G1530" t="s">
        <v>1939</v>
      </c>
      <c r="H1530" t="str" cm="1">
        <f t="array" ref="H1530">IFERROR(_xlfn.IFS(B1530="","",AND(B1530="",G1530=""),"",G1530="","記載要"),"")</f>
        <v/>
      </c>
      <c r="K1530" t="str">
        <f t="shared" si="239"/>
        <v>11WP01073877</v>
      </c>
      <c r="L1530" s="3" t="str">
        <f t="shared" si="240"/>
        <v>2001/01/01</v>
      </c>
      <c r="M1530" s="3" t="str">
        <f t="shared" si="241"/>
        <v>2199/12/31</v>
      </c>
      <c r="N1530" t="str">
        <f t="shared" si="242"/>
        <v>11WP01073877</v>
      </c>
      <c r="O1530">
        <v>15</v>
      </c>
      <c r="Q1530" t="str" cm="1">
        <f t="array" ref="Q1530">_xlfn.IFS(AND(C1530="",G1530=""),"",LEFT(G1530,1)="L","記載要",LEFT(G1530,1)="W","",AND(C1530,G1530=""),"記載要")</f>
        <v/>
      </c>
      <c r="R1530" s="21" t="str">
        <f t="shared" si="247"/>
        <v/>
      </c>
      <c r="S1530" s="21"/>
      <c r="Z1530" s="8"/>
      <c r="AA1530">
        <v>1</v>
      </c>
      <c r="AB1530">
        <f t="shared" si="243"/>
        <v>0</v>
      </c>
      <c r="AC1530">
        <v>1</v>
      </c>
      <c r="AF1530">
        <v>1</v>
      </c>
      <c r="AG1530" s="8"/>
      <c r="AH1530" s="8"/>
      <c r="AK1530" cm="1">
        <f t="array" ref="AK1530">_xlfn.IFS(B1530="","",LEFT(G1530,1)="L",1,LEFT(G1530,1)="W",1,AND(LEFT(B1530,1)="H",G1530=""),0)</f>
        <v>1</v>
      </c>
      <c r="AS1530" t="str">
        <f t="shared" si="244"/>
        <v/>
      </c>
      <c r="AT1530" t="s">
        <v>115</v>
      </c>
      <c r="AU1530" t="str">
        <f t="shared" si="245"/>
        <v>0</v>
      </c>
      <c r="BD1530" t="str">
        <f t="shared" si="246"/>
        <v>0</v>
      </c>
      <c r="BK1530" t="str">
        <f>IFERROR(VLOOKUP(B1530,'[1]model_S-フレーム'!$F$5:$R$7000,13,1),"")</f>
        <v>E380400_01</v>
      </c>
      <c r="BL1530" s="7">
        <f>IFERROR(VLOOKUP(B1530,'[1]model_S-フレーム'!$F$5:$V$7000,17,1),"")</f>
        <v>0</v>
      </c>
      <c r="BM1530" t="str" cm="1">
        <f t="array" ref="BM1530">_xlfn.IFS(LEFT(G1530,1)="L","外注品",LEFT(G1530,1)="W","内製品",G1530="","購買品")</f>
        <v>内製品</v>
      </c>
    </row>
    <row r="1531" spans="1:65">
      <c r="A1531" t="str">
        <f t="shared" si="238"/>
        <v>WG01</v>
      </c>
      <c r="B1531" t="s">
        <v>1664</v>
      </c>
      <c r="C1531" t="s">
        <v>1908</v>
      </c>
      <c r="D1531" s="7"/>
      <c r="E1531" s="7"/>
      <c r="G1531" t="s">
        <v>1939</v>
      </c>
      <c r="H1531" t="str" cm="1">
        <f t="array" ref="H1531">IFERROR(_xlfn.IFS(B1531="","",AND(B1531="",G1531=""),"",G1531="","記載要"),"")</f>
        <v/>
      </c>
      <c r="K1531" t="str">
        <f t="shared" si="239"/>
        <v>11WP01073878</v>
      </c>
      <c r="L1531" s="3" t="str">
        <f t="shared" si="240"/>
        <v>2001/01/01</v>
      </c>
      <c r="M1531" s="3" t="str">
        <f t="shared" si="241"/>
        <v>2199/12/31</v>
      </c>
      <c r="N1531" t="str">
        <f t="shared" si="242"/>
        <v>11WP01073878</v>
      </c>
      <c r="O1531">
        <v>15</v>
      </c>
      <c r="Q1531" t="str" cm="1">
        <f t="array" ref="Q1531">_xlfn.IFS(AND(C1531="",G1531=""),"",LEFT(G1531,1)="L","記載要",LEFT(G1531,1)="W","",AND(C1531,G1531=""),"記載要")</f>
        <v/>
      </c>
      <c r="R1531" s="21" t="str">
        <f t="shared" si="247"/>
        <v/>
      </c>
      <c r="S1531" s="21"/>
      <c r="Z1531" s="8"/>
      <c r="AA1531">
        <v>1</v>
      </c>
      <c r="AB1531">
        <f t="shared" si="243"/>
        <v>0</v>
      </c>
      <c r="AC1531">
        <v>1</v>
      </c>
      <c r="AF1531">
        <v>1</v>
      </c>
      <c r="AG1531" s="8"/>
      <c r="AH1531" s="8"/>
      <c r="AK1531" cm="1">
        <f t="array" ref="AK1531">_xlfn.IFS(B1531="","",LEFT(G1531,1)="L",1,LEFT(G1531,1)="W",1,AND(LEFT(B1531,1)="H",G1531=""),0)</f>
        <v>1</v>
      </c>
      <c r="AS1531" t="str">
        <f t="shared" si="244"/>
        <v/>
      </c>
      <c r="AT1531" t="s">
        <v>115</v>
      </c>
      <c r="AU1531" t="str">
        <f t="shared" si="245"/>
        <v>0</v>
      </c>
      <c r="BD1531" t="str">
        <f t="shared" si="246"/>
        <v>0</v>
      </c>
      <c r="BK1531" t="str">
        <f>IFERROR(VLOOKUP(B1531,'[1]model_S-フレーム'!$F$5:$R$7000,13,1),"")</f>
        <v>E380400_01</v>
      </c>
      <c r="BL1531" s="7">
        <f>IFERROR(VLOOKUP(B1531,'[1]model_S-フレーム'!$F$5:$V$7000,17,1),"")</f>
        <v>0</v>
      </c>
      <c r="BM1531" t="str" cm="1">
        <f t="array" ref="BM1531">_xlfn.IFS(LEFT(G1531,1)="L","外注品",LEFT(G1531,1)="W","内製品",G1531="","購買品")</f>
        <v>内製品</v>
      </c>
    </row>
    <row r="1532" spans="1:65">
      <c r="A1532" t="str">
        <f t="shared" si="238"/>
        <v>WG01</v>
      </c>
      <c r="B1532" t="s">
        <v>1665</v>
      </c>
      <c r="C1532" t="s">
        <v>1908</v>
      </c>
      <c r="D1532" s="7"/>
      <c r="E1532" s="7"/>
      <c r="G1532" t="s">
        <v>1939</v>
      </c>
      <c r="H1532" t="str" cm="1">
        <f t="array" ref="H1532">IFERROR(_xlfn.IFS(B1532="","",AND(B1532="",G1532=""),"",G1532="","記載要"),"")</f>
        <v/>
      </c>
      <c r="K1532" t="str">
        <f t="shared" si="239"/>
        <v>11WP01073879</v>
      </c>
      <c r="L1532" s="3" t="str">
        <f t="shared" si="240"/>
        <v>2001/01/01</v>
      </c>
      <c r="M1532" s="3" t="str">
        <f t="shared" si="241"/>
        <v>2199/12/31</v>
      </c>
      <c r="N1532" t="str">
        <f t="shared" si="242"/>
        <v>11WP01073879</v>
      </c>
      <c r="O1532">
        <v>15</v>
      </c>
      <c r="Q1532" t="str" cm="1">
        <f t="array" ref="Q1532">_xlfn.IFS(AND(C1532="",G1532=""),"",LEFT(G1532,1)="L","記載要",LEFT(G1532,1)="W","",AND(C1532,G1532=""),"記載要")</f>
        <v/>
      </c>
      <c r="R1532" s="21" t="str">
        <f t="shared" si="247"/>
        <v/>
      </c>
      <c r="S1532" s="21"/>
      <c r="Z1532" s="8"/>
      <c r="AA1532">
        <v>1</v>
      </c>
      <c r="AB1532">
        <f t="shared" si="243"/>
        <v>0</v>
      </c>
      <c r="AC1532">
        <v>1</v>
      </c>
      <c r="AF1532">
        <v>1</v>
      </c>
      <c r="AG1532" s="8"/>
      <c r="AH1532" s="8"/>
      <c r="AK1532" cm="1">
        <f t="array" ref="AK1532">_xlfn.IFS(B1532="","",LEFT(G1532,1)="L",1,LEFT(G1532,1)="W",1,AND(LEFT(B1532,1)="H",G1532=""),0)</f>
        <v>1</v>
      </c>
      <c r="AS1532" t="str">
        <f t="shared" si="244"/>
        <v/>
      </c>
      <c r="AT1532" t="s">
        <v>115</v>
      </c>
      <c r="AU1532" t="str">
        <f t="shared" si="245"/>
        <v>0</v>
      </c>
      <c r="BD1532" t="str">
        <f t="shared" si="246"/>
        <v>0</v>
      </c>
      <c r="BK1532" t="str">
        <f>IFERROR(VLOOKUP(B1532,'[1]model_S-フレーム'!$F$5:$R$7000,13,1),"")</f>
        <v>E380400_01</v>
      </c>
      <c r="BL1532" s="7">
        <f>IFERROR(VLOOKUP(B1532,'[1]model_S-フレーム'!$F$5:$V$7000,17,1),"")</f>
        <v>0</v>
      </c>
      <c r="BM1532" t="str" cm="1">
        <f t="array" ref="BM1532">_xlfn.IFS(LEFT(G1532,1)="L","外注品",LEFT(G1532,1)="W","内製品",G1532="","購買品")</f>
        <v>内製品</v>
      </c>
    </row>
    <row r="1533" spans="1:65">
      <c r="A1533" t="str">
        <f t="shared" si="238"/>
        <v>WG01</v>
      </c>
      <c r="B1533" t="s">
        <v>1666</v>
      </c>
      <c r="C1533" t="s">
        <v>1908</v>
      </c>
      <c r="D1533" s="7"/>
      <c r="E1533" s="7"/>
      <c r="G1533" t="s">
        <v>1939</v>
      </c>
      <c r="H1533" t="str" cm="1">
        <f t="array" ref="H1533">IFERROR(_xlfn.IFS(B1533="","",AND(B1533="",G1533=""),"",G1533="","記載要"),"")</f>
        <v/>
      </c>
      <c r="K1533" t="str">
        <f t="shared" si="239"/>
        <v>11WP01073880</v>
      </c>
      <c r="L1533" s="3" t="str">
        <f t="shared" si="240"/>
        <v>2001/01/01</v>
      </c>
      <c r="M1533" s="3" t="str">
        <f t="shared" si="241"/>
        <v>2199/12/31</v>
      </c>
      <c r="N1533" t="str">
        <f t="shared" si="242"/>
        <v>11WP01073880</v>
      </c>
      <c r="O1533">
        <v>15</v>
      </c>
      <c r="Q1533" t="str" cm="1">
        <f t="array" ref="Q1533">_xlfn.IFS(AND(C1533="",G1533=""),"",LEFT(G1533,1)="L","記載要",LEFT(G1533,1)="W","",AND(C1533,G1533=""),"記載要")</f>
        <v/>
      </c>
      <c r="R1533" s="21" t="str">
        <f t="shared" si="247"/>
        <v/>
      </c>
      <c r="S1533" s="21"/>
      <c r="Z1533" s="8"/>
      <c r="AA1533">
        <v>1</v>
      </c>
      <c r="AB1533">
        <f t="shared" si="243"/>
        <v>0</v>
      </c>
      <c r="AC1533">
        <v>1</v>
      </c>
      <c r="AF1533">
        <v>1</v>
      </c>
      <c r="AG1533" s="8"/>
      <c r="AH1533" s="8"/>
      <c r="AK1533" cm="1">
        <f t="array" ref="AK1533">_xlfn.IFS(B1533="","",LEFT(G1533,1)="L",1,LEFT(G1533,1)="W",1,AND(LEFT(B1533,1)="H",G1533=""),0)</f>
        <v>1</v>
      </c>
      <c r="AS1533" t="str">
        <f t="shared" si="244"/>
        <v/>
      </c>
      <c r="AT1533" t="s">
        <v>115</v>
      </c>
      <c r="AU1533" t="str">
        <f t="shared" si="245"/>
        <v>0</v>
      </c>
      <c r="BD1533" t="str">
        <f t="shared" si="246"/>
        <v>0</v>
      </c>
      <c r="BK1533" t="str">
        <f>IFERROR(VLOOKUP(B1533,'[1]model_S-フレーム'!$F$5:$R$7000,13,1),"")</f>
        <v>E380400_01</v>
      </c>
      <c r="BL1533" s="7">
        <f>IFERROR(VLOOKUP(B1533,'[1]model_S-フレーム'!$F$5:$V$7000,17,1),"")</f>
        <v>0</v>
      </c>
      <c r="BM1533" t="str" cm="1">
        <f t="array" ref="BM1533">_xlfn.IFS(LEFT(G1533,1)="L","外注品",LEFT(G1533,1)="W","内製品",G1533="","購買品")</f>
        <v>内製品</v>
      </c>
    </row>
    <row r="1534" spans="1:65">
      <c r="A1534" t="str">
        <f t="shared" si="238"/>
        <v>WG01</v>
      </c>
      <c r="B1534" t="s">
        <v>1667</v>
      </c>
      <c r="C1534" t="s">
        <v>1908</v>
      </c>
      <c r="D1534" s="7"/>
      <c r="E1534" s="7"/>
      <c r="G1534" t="s">
        <v>1939</v>
      </c>
      <c r="H1534" t="str" cm="1">
        <f t="array" ref="H1534">IFERROR(_xlfn.IFS(B1534="","",AND(B1534="",G1534=""),"",G1534="","記載要"),"")</f>
        <v/>
      </c>
      <c r="K1534" t="str">
        <f t="shared" si="239"/>
        <v>11WP01073881</v>
      </c>
      <c r="L1534" s="3" t="str">
        <f t="shared" si="240"/>
        <v>2001/01/01</v>
      </c>
      <c r="M1534" s="3" t="str">
        <f t="shared" si="241"/>
        <v>2199/12/31</v>
      </c>
      <c r="N1534" t="str">
        <f t="shared" si="242"/>
        <v>11WP01073881</v>
      </c>
      <c r="O1534">
        <v>15</v>
      </c>
      <c r="Q1534" t="str" cm="1">
        <f t="array" ref="Q1534">_xlfn.IFS(AND(C1534="",G1534=""),"",LEFT(G1534,1)="L","記載要",LEFT(G1534,1)="W","",AND(C1534,G1534=""),"記載要")</f>
        <v/>
      </c>
      <c r="R1534" s="21" t="str">
        <f t="shared" si="247"/>
        <v/>
      </c>
      <c r="S1534" s="21"/>
      <c r="Z1534" s="8"/>
      <c r="AA1534">
        <v>1</v>
      </c>
      <c r="AB1534">
        <f t="shared" si="243"/>
        <v>0</v>
      </c>
      <c r="AC1534">
        <v>1</v>
      </c>
      <c r="AF1534">
        <v>1</v>
      </c>
      <c r="AG1534" s="8"/>
      <c r="AH1534" s="8"/>
      <c r="AK1534" cm="1">
        <f t="array" ref="AK1534">_xlfn.IFS(B1534="","",LEFT(G1534,1)="L",1,LEFT(G1534,1)="W",1,AND(LEFT(B1534,1)="H",G1534=""),0)</f>
        <v>1</v>
      </c>
      <c r="AS1534" t="str">
        <f t="shared" si="244"/>
        <v/>
      </c>
      <c r="AT1534" t="s">
        <v>115</v>
      </c>
      <c r="AU1534" t="str">
        <f t="shared" si="245"/>
        <v>0</v>
      </c>
      <c r="BD1534" t="str">
        <f t="shared" si="246"/>
        <v>0</v>
      </c>
      <c r="BK1534" t="str">
        <f>IFERROR(VLOOKUP(B1534,'[1]model_S-フレーム'!$F$5:$R$7000,13,1),"")</f>
        <v>E380400_01</v>
      </c>
      <c r="BL1534" s="7">
        <f>IFERROR(VLOOKUP(B1534,'[1]model_S-フレーム'!$F$5:$V$7000,17,1),"")</f>
        <v>0</v>
      </c>
      <c r="BM1534" t="str" cm="1">
        <f t="array" ref="BM1534">_xlfn.IFS(LEFT(G1534,1)="L","外注品",LEFT(G1534,1)="W","内製品",G1534="","購買品")</f>
        <v>内製品</v>
      </c>
    </row>
    <row r="1535" spans="1:65">
      <c r="A1535" t="str">
        <f t="shared" si="238"/>
        <v>WG01</v>
      </c>
      <c r="B1535" t="s">
        <v>1668</v>
      </c>
      <c r="C1535" t="s">
        <v>1908</v>
      </c>
      <c r="D1535" s="7"/>
      <c r="E1535" s="7"/>
      <c r="G1535" t="s">
        <v>1939</v>
      </c>
      <c r="H1535" t="str" cm="1">
        <f t="array" ref="H1535">IFERROR(_xlfn.IFS(B1535="","",AND(B1535="",G1535=""),"",G1535="","記載要"),"")</f>
        <v/>
      </c>
      <c r="K1535" t="str">
        <f t="shared" si="239"/>
        <v>11WP01073882</v>
      </c>
      <c r="L1535" s="3" t="str">
        <f t="shared" si="240"/>
        <v>2001/01/01</v>
      </c>
      <c r="M1535" s="3" t="str">
        <f t="shared" si="241"/>
        <v>2199/12/31</v>
      </c>
      <c r="N1535" t="str">
        <f t="shared" si="242"/>
        <v>11WP01073882</v>
      </c>
      <c r="O1535">
        <v>15</v>
      </c>
      <c r="Q1535" t="str" cm="1">
        <f t="array" ref="Q1535">_xlfn.IFS(AND(C1535="",G1535=""),"",LEFT(G1535,1)="L","記載要",LEFT(G1535,1)="W","",AND(C1535,G1535=""),"記載要")</f>
        <v/>
      </c>
      <c r="R1535" s="21" t="str">
        <f t="shared" si="247"/>
        <v/>
      </c>
      <c r="S1535" s="21"/>
      <c r="Z1535" s="8"/>
      <c r="AA1535">
        <v>1</v>
      </c>
      <c r="AB1535">
        <f t="shared" si="243"/>
        <v>0</v>
      </c>
      <c r="AC1535">
        <v>1</v>
      </c>
      <c r="AF1535">
        <v>1</v>
      </c>
      <c r="AG1535" s="8"/>
      <c r="AH1535" s="8"/>
      <c r="AK1535" cm="1">
        <f t="array" ref="AK1535">_xlfn.IFS(B1535="","",LEFT(G1535,1)="L",1,LEFT(G1535,1)="W",1,AND(LEFT(B1535,1)="H",G1535=""),0)</f>
        <v>1</v>
      </c>
      <c r="AS1535" t="str">
        <f t="shared" si="244"/>
        <v/>
      </c>
      <c r="AT1535" t="s">
        <v>115</v>
      </c>
      <c r="AU1535" t="str">
        <f t="shared" si="245"/>
        <v>0</v>
      </c>
      <c r="BD1535" t="str">
        <f t="shared" si="246"/>
        <v>0</v>
      </c>
      <c r="BK1535" t="str">
        <f>IFERROR(VLOOKUP(B1535,'[1]model_S-フレーム'!$F$5:$R$7000,13,1),"")</f>
        <v>E380400_01</v>
      </c>
      <c r="BL1535" s="7">
        <f>IFERROR(VLOOKUP(B1535,'[1]model_S-フレーム'!$F$5:$V$7000,17,1),"")</f>
        <v>0</v>
      </c>
      <c r="BM1535" t="str" cm="1">
        <f t="array" ref="BM1535">_xlfn.IFS(LEFT(G1535,1)="L","外注品",LEFT(G1535,1)="W","内製品",G1535="","購買品")</f>
        <v>内製品</v>
      </c>
    </row>
    <row r="1536" spans="1:65">
      <c r="A1536" t="str">
        <f t="shared" si="238"/>
        <v>WG01</v>
      </c>
      <c r="B1536" t="s">
        <v>1669</v>
      </c>
      <c r="C1536" t="s">
        <v>1908</v>
      </c>
      <c r="D1536" s="7"/>
      <c r="E1536" s="7"/>
      <c r="G1536" t="s">
        <v>1939</v>
      </c>
      <c r="H1536" t="str" cm="1">
        <f t="array" ref="H1536">IFERROR(_xlfn.IFS(B1536="","",AND(B1536="",G1536=""),"",G1536="","記載要"),"")</f>
        <v/>
      </c>
      <c r="K1536" t="str">
        <f t="shared" si="239"/>
        <v>11WP01073883</v>
      </c>
      <c r="L1536" s="3" t="str">
        <f t="shared" si="240"/>
        <v>2001/01/01</v>
      </c>
      <c r="M1536" s="3" t="str">
        <f t="shared" si="241"/>
        <v>2199/12/31</v>
      </c>
      <c r="N1536" t="str">
        <f t="shared" si="242"/>
        <v>11WP01073883</v>
      </c>
      <c r="O1536">
        <v>15</v>
      </c>
      <c r="Q1536" t="str" cm="1">
        <f t="array" ref="Q1536">_xlfn.IFS(AND(C1536="",G1536=""),"",LEFT(G1536,1)="L","記載要",LEFT(G1536,1)="W","",AND(C1536,G1536=""),"記載要")</f>
        <v/>
      </c>
      <c r="R1536" s="21" t="str">
        <f t="shared" si="247"/>
        <v/>
      </c>
      <c r="S1536" s="21"/>
      <c r="Z1536" s="8"/>
      <c r="AA1536">
        <v>1</v>
      </c>
      <c r="AB1536">
        <f t="shared" si="243"/>
        <v>0</v>
      </c>
      <c r="AC1536">
        <v>1</v>
      </c>
      <c r="AF1536">
        <v>1</v>
      </c>
      <c r="AG1536" s="8"/>
      <c r="AH1536" s="8"/>
      <c r="AK1536" cm="1">
        <f t="array" ref="AK1536">_xlfn.IFS(B1536="","",LEFT(G1536,1)="L",1,LEFT(G1536,1)="W",1,AND(LEFT(B1536,1)="H",G1536=""),0)</f>
        <v>1</v>
      </c>
      <c r="AS1536" t="str">
        <f t="shared" si="244"/>
        <v/>
      </c>
      <c r="AT1536" t="s">
        <v>115</v>
      </c>
      <c r="AU1536" t="str">
        <f t="shared" si="245"/>
        <v>0</v>
      </c>
      <c r="BD1536" t="str">
        <f t="shared" si="246"/>
        <v>0</v>
      </c>
      <c r="BK1536" t="str">
        <f>IFERROR(VLOOKUP(B1536,'[1]model_S-フレーム'!$F$5:$R$7000,13,1),"")</f>
        <v>E380400_01</v>
      </c>
      <c r="BL1536" s="7">
        <f>IFERROR(VLOOKUP(B1536,'[1]model_S-フレーム'!$F$5:$V$7000,17,1),"")</f>
        <v>0</v>
      </c>
      <c r="BM1536" t="str" cm="1">
        <f t="array" ref="BM1536">_xlfn.IFS(LEFT(G1536,1)="L","外注品",LEFT(G1536,1)="W","内製品",G1536="","購買品")</f>
        <v>内製品</v>
      </c>
    </row>
    <row r="1537" spans="1:65">
      <c r="A1537" t="str">
        <f t="shared" si="238"/>
        <v>WG01</v>
      </c>
      <c r="B1537" t="s">
        <v>1670</v>
      </c>
      <c r="C1537" t="s">
        <v>1908</v>
      </c>
      <c r="D1537" s="7"/>
      <c r="E1537" s="7"/>
      <c r="G1537" t="s">
        <v>1939</v>
      </c>
      <c r="H1537" t="str" cm="1">
        <f t="array" ref="H1537">IFERROR(_xlfn.IFS(B1537="","",AND(B1537="",G1537=""),"",G1537="","記載要"),"")</f>
        <v/>
      </c>
      <c r="K1537" t="str">
        <f t="shared" si="239"/>
        <v>11WP01073884</v>
      </c>
      <c r="L1537" s="3" t="str">
        <f t="shared" si="240"/>
        <v>2001/01/01</v>
      </c>
      <c r="M1537" s="3" t="str">
        <f t="shared" si="241"/>
        <v>2199/12/31</v>
      </c>
      <c r="N1537" t="str">
        <f t="shared" si="242"/>
        <v>11WP01073884</v>
      </c>
      <c r="O1537">
        <v>15</v>
      </c>
      <c r="Q1537" t="str" cm="1">
        <f t="array" ref="Q1537">_xlfn.IFS(AND(C1537="",G1537=""),"",LEFT(G1537,1)="L","記載要",LEFT(G1537,1)="W","",AND(C1537,G1537=""),"記載要")</f>
        <v/>
      </c>
      <c r="R1537" s="21" t="str">
        <f t="shared" si="247"/>
        <v/>
      </c>
      <c r="S1537" s="21"/>
      <c r="Z1537" s="8"/>
      <c r="AA1537">
        <v>1</v>
      </c>
      <c r="AB1537">
        <f t="shared" si="243"/>
        <v>0</v>
      </c>
      <c r="AC1537">
        <v>1</v>
      </c>
      <c r="AF1537">
        <v>1</v>
      </c>
      <c r="AG1537" s="8"/>
      <c r="AH1537" s="8"/>
      <c r="AK1537" cm="1">
        <f t="array" ref="AK1537">_xlfn.IFS(B1537="","",LEFT(G1537,1)="L",1,LEFT(G1537,1)="W",1,AND(LEFT(B1537,1)="H",G1537=""),0)</f>
        <v>1</v>
      </c>
      <c r="AS1537" t="str">
        <f t="shared" si="244"/>
        <v/>
      </c>
      <c r="AT1537" t="s">
        <v>115</v>
      </c>
      <c r="AU1537" t="str">
        <f t="shared" si="245"/>
        <v>0</v>
      </c>
      <c r="BD1537" t="str">
        <f t="shared" si="246"/>
        <v>0</v>
      </c>
      <c r="BK1537" t="str">
        <f>IFERROR(VLOOKUP(B1537,'[1]model_S-フレーム'!$F$5:$R$7000,13,1),"")</f>
        <v>E380400_01</v>
      </c>
      <c r="BL1537" s="7">
        <f>IFERROR(VLOOKUP(B1537,'[1]model_S-フレーム'!$F$5:$V$7000,17,1),"")</f>
        <v>0</v>
      </c>
      <c r="BM1537" t="str" cm="1">
        <f t="array" ref="BM1537">_xlfn.IFS(LEFT(G1537,1)="L","外注品",LEFT(G1537,1)="W","内製品",G1537="","購買品")</f>
        <v>内製品</v>
      </c>
    </row>
    <row r="1538" spans="1:65">
      <c r="A1538" t="str">
        <f t="shared" si="238"/>
        <v>WG01</v>
      </c>
      <c r="B1538" t="s">
        <v>1671</v>
      </c>
      <c r="C1538" t="s">
        <v>1908</v>
      </c>
      <c r="D1538" s="7"/>
      <c r="E1538" s="7"/>
      <c r="G1538" t="s">
        <v>1939</v>
      </c>
      <c r="H1538" t="str" cm="1">
        <f t="array" ref="H1538">IFERROR(_xlfn.IFS(B1538="","",AND(B1538="",G1538=""),"",G1538="","記載要"),"")</f>
        <v/>
      </c>
      <c r="K1538" t="str">
        <f t="shared" si="239"/>
        <v>11WP01073885</v>
      </c>
      <c r="L1538" s="3" t="str">
        <f t="shared" si="240"/>
        <v>2001/01/01</v>
      </c>
      <c r="M1538" s="3" t="str">
        <f t="shared" si="241"/>
        <v>2199/12/31</v>
      </c>
      <c r="N1538" t="str">
        <f t="shared" si="242"/>
        <v>11WP01073885</v>
      </c>
      <c r="O1538">
        <v>15</v>
      </c>
      <c r="Q1538" t="str" cm="1">
        <f t="array" ref="Q1538">_xlfn.IFS(AND(C1538="",G1538=""),"",LEFT(G1538,1)="L","記載要",LEFT(G1538,1)="W","",AND(C1538,G1538=""),"記載要")</f>
        <v/>
      </c>
      <c r="R1538" s="21" t="str">
        <f t="shared" si="247"/>
        <v/>
      </c>
      <c r="S1538" s="21"/>
      <c r="Z1538" s="8"/>
      <c r="AA1538">
        <v>1</v>
      </c>
      <c r="AB1538">
        <f t="shared" si="243"/>
        <v>0</v>
      </c>
      <c r="AC1538">
        <v>1</v>
      </c>
      <c r="AF1538">
        <v>1</v>
      </c>
      <c r="AG1538" s="8"/>
      <c r="AH1538" s="8"/>
      <c r="AK1538" cm="1">
        <f t="array" ref="AK1538">_xlfn.IFS(B1538="","",LEFT(G1538,1)="L",1,LEFT(G1538,1)="W",1,AND(LEFT(B1538,1)="H",G1538=""),0)</f>
        <v>1</v>
      </c>
      <c r="AS1538" t="str">
        <f t="shared" si="244"/>
        <v/>
      </c>
      <c r="AT1538" t="s">
        <v>115</v>
      </c>
      <c r="AU1538" t="str">
        <f t="shared" si="245"/>
        <v>0</v>
      </c>
      <c r="BD1538" t="str">
        <f t="shared" si="246"/>
        <v>0</v>
      </c>
      <c r="BK1538" t="str">
        <f>IFERROR(VLOOKUP(B1538,'[1]model_S-フレーム'!$F$5:$R$7000,13,1),"")</f>
        <v>E380400_01</v>
      </c>
      <c r="BL1538" s="7">
        <f>IFERROR(VLOOKUP(B1538,'[1]model_S-フレーム'!$F$5:$V$7000,17,1),"")</f>
        <v>0</v>
      </c>
      <c r="BM1538" t="str" cm="1">
        <f t="array" ref="BM1538">_xlfn.IFS(LEFT(G1538,1)="L","外注品",LEFT(G1538,1)="W","内製品",G1538="","購買品")</f>
        <v>内製品</v>
      </c>
    </row>
    <row r="1539" spans="1:65" s="15" customFormat="1">
      <c r="A1539" t="str">
        <f t="shared" ref="A1539:A1602" si="248">IF(B1539="","","WG01")</f>
        <v>WG01</v>
      </c>
      <c r="B1539" t="s">
        <v>1672</v>
      </c>
      <c r="C1539" t="s">
        <v>1909</v>
      </c>
      <c r="D1539" s="7"/>
      <c r="E1539" s="7"/>
      <c r="F1539"/>
      <c r="G1539"/>
      <c r="H1539">
        <v>27616</v>
      </c>
      <c r="I1539"/>
      <c r="J1539"/>
      <c r="K1539" t="str">
        <f t="shared" ref="K1539:K1602" si="249">IF(G1539="","","11"&amp;G1539&amp;RIGHT(B1539,5))</f>
        <v/>
      </c>
      <c r="L1539" s="3" t="str">
        <f t="shared" ref="L1539:L1602" si="250">IF(B1539="","","2001/01/01")</f>
        <v>2001/01/01</v>
      </c>
      <c r="M1539" s="3" t="str">
        <f t="shared" ref="M1539:M1602" si="251">IF(C1539="","","2199/12/31")</f>
        <v>2199/12/31</v>
      </c>
      <c r="N1539" t="str">
        <f t="shared" ref="N1539:N1602" si="252">IF(LEFT(G1539,1)="W",K1539,"")</f>
        <v/>
      </c>
      <c r="O1539" t="str">
        <f t="shared" ref="O1539:O1558" si="253">IF(G1539="","","記載要")</f>
        <v/>
      </c>
      <c r="P1539"/>
      <c r="Q1539">
        <v>15</v>
      </c>
      <c r="R1539" s="21">
        <v>100000000</v>
      </c>
      <c r="S1539" s="21" t="str" cm="1">
        <f t="array" ref="S1539">_xlfn.IFS(LEFT(G1539,1)="L","記載要",LEFT(G1539,1)="W","記載要",G1539="","")</f>
        <v/>
      </c>
      <c r="T1539"/>
      <c r="U1539"/>
      <c r="V1539"/>
      <c r="W1539"/>
      <c r="X1539"/>
      <c r="Y1539"/>
      <c r="Z1539" s="8"/>
      <c r="AA1539" s="8">
        <v>1</v>
      </c>
      <c r="AB1539">
        <f t="shared" ref="AB1539:AB1602" si="254">IF(B1539="","",0)</f>
        <v>0</v>
      </c>
      <c r="AC1539" s="8">
        <v>1</v>
      </c>
      <c r="AD1539"/>
      <c r="AE1539"/>
      <c r="AF1539">
        <v>1</v>
      </c>
      <c r="AG1539" s="8"/>
      <c r="AH1539" s="8"/>
      <c r="AI1539"/>
      <c r="AJ1539"/>
      <c r="AK1539" cm="1">
        <f t="array" ref="AK1539">_xlfn.IFS(B1539="","",LEFT(G1539,1)="L",1,LEFT(G1539,1)="W",1,AND(LEFT(B1539,1)="H",G1539=""),0)</f>
        <v>0</v>
      </c>
      <c r="AL1539"/>
      <c r="AM1539"/>
      <c r="AN1539"/>
      <c r="AO1539"/>
      <c r="AP1539"/>
      <c r="AQ1539"/>
      <c r="AR1539"/>
      <c r="AS1539">
        <f t="shared" ref="AS1539:AS1602" si="255">IF(Q1539="","",1)</f>
        <v>1</v>
      </c>
      <c r="AT1539" t="s">
        <v>115</v>
      </c>
      <c r="AU1539" t="str">
        <f t="shared" ref="AU1539:AU1602" si="256">IF(B1539="","","0")</f>
        <v>0</v>
      </c>
      <c r="AV1539"/>
      <c r="AW1539"/>
      <c r="AX1539"/>
      <c r="AY1539"/>
      <c r="AZ1539"/>
      <c r="BA1539"/>
      <c r="BB1539"/>
      <c r="BC1539"/>
      <c r="BD1539" t="str">
        <f t="shared" ref="BD1539:BD1602" si="257">IF(B1539="","","0")</f>
        <v>0</v>
      </c>
      <c r="BE1539"/>
      <c r="BF1539"/>
      <c r="BG1539"/>
      <c r="BH1539"/>
      <c r="BI1539"/>
      <c r="BJ1539"/>
      <c r="BK1539" s="15" t="str">
        <f>IFERROR(VLOOKUP(B1539,'[1]model_S-フレーム'!$F$5:$R$7000,13,1),"")</f>
        <v>E380400_01</v>
      </c>
      <c r="BL1539" s="16">
        <f>IFERROR(VLOOKUP(B1539,'[1]model_S-フレーム'!$F$5:$V$7000,17,1),"")</f>
        <v>0</v>
      </c>
      <c r="BM1539" s="15" t="str" cm="1">
        <f t="array" ref="BM1539">_xlfn.IFS(LEFT(G1539,1)="L","外注品",LEFT(G1539,1)="W","内製品",G1539="","購買品")</f>
        <v>購買品</v>
      </c>
    </row>
    <row r="1540" spans="1:65" s="15" customFormat="1">
      <c r="A1540" t="str">
        <f t="shared" si="248"/>
        <v>WG01</v>
      </c>
      <c r="B1540" t="s">
        <v>1672</v>
      </c>
      <c r="C1540" t="s">
        <v>1909</v>
      </c>
      <c r="D1540" s="7"/>
      <c r="E1540" s="7"/>
      <c r="F1540"/>
      <c r="G1540"/>
      <c r="H1540">
        <v>43453</v>
      </c>
      <c r="I1540"/>
      <c r="J1540"/>
      <c r="K1540" t="str">
        <f t="shared" si="249"/>
        <v/>
      </c>
      <c r="L1540" s="3" t="str">
        <f t="shared" si="250"/>
        <v>2001/01/01</v>
      </c>
      <c r="M1540" s="3" t="str">
        <f t="shared" si="251"/>
        <v>2199/12/31</v>
      </c>
      <c r="N1540" t="str">
        <f t="shared" si="252"/>
        <v/>
      </c>
      <c r="O1540" t="str">
        <f t="shared" si="253"/>
        <v/>
      </c>
      <c r="P1540"/>
      <c r="Q1540">
        <v>15</v>
      </c>
      <c r="R1540" s="21">
        <v>100000000</v>
      </c>
      <c r="S1540" s="21" t="str" cm="1">
        <f t="array" ref="S1540">_xlfn.IFS(LEFT(G1540,1)="L","記載要",LEFT(G1540,1)="W","記載要",G1540="","")</f>
        <v/>
      </c>
      <c r="T1540"/>
      <c r="U1540"/>
      <c r="V1540"/>
      <c r="W1540"/>
      <c r="X1540"/>
      <c r="Y1540"/>
      <c r="Z1540" s="8"/>
      <c r="AA1540" s="8">
        <v>1</v>
      </c>
      <c r="AB1540">
        <f t="shared" si="254"/>
        <v>0</v>
      </c>
      <c r="AC1540" s="8">
        <v>1</v>
      </c>
      <c r="AD1540"/>
      <c r="AE1540"/>
      <c r="AF1540">
        <v>0</v>
      </c>
      <c r="AG1540" s="8"/>
      <c r="AH1540" s="8"/>
      <c r="AI1540"/>
      <c r="AJ1540"/>
      <c r="AK1540" cm="1">
        <f t="array" ref="AK1540">_xlfn.IFS(B1540="","",LEFT(G1540,1)="L",1,LEFT(G1540,1)="W",1,AND(LEFT(B1540,1)="H",G1540=""),0)</f>
        <v>0</v>
      </c>
      <c r="AL1540"/>
      <c r="AM1540"/>
      <c r="AN1540"/>
      <c r="AO1540"/>
      <c r="AP1540"/>
      <c r="AQ1540"/>
      <c r="AR1540"/>
      <c r="AS1540">
        <f t="shared" si="255"/>
        <v>1</v>
      </c>
      <c r="AT1540" t="s">
        <v>115</v>
      </c>
      <c r="AU1540" t="str">
        <f t="shared" si="256"/>
        <v>0</v>
      </c>
      <c r="AV1540"/>
      <c r="AW1540"/>
      <c r="AX1540"/>
      <c r="AY1540"/>
      <c r="AZ1540"/>
      <c r="BA1540"/>
      <c r="BB1540"/>
      <c r="BC1540"/>
      <c r="BD1540" t="str">
        <f t="shared" si="257"/>
        <v>0</v>
      </c>
      <c r="BE1540"/>
      <c r="BF1540"/>
      <c r="BG1540"/>
      <c r="BH1540"/>
      <c r="BI1540"/>
      <c r="BJ1540"/>
      <c r="BK1540" s="15" t="str">
        <f>IFERROR(VLOOKUP(B1540,'[1]model_S-フレーム'!$F$5:$R$7000,13,1),"")</f>
        <v>E380400_01</v>
      </c>
      <c r="BL1540" s="16">
        <f>IFERROR(VLOOKUP(B1540,'[1]model_S-フレーム'!$F$5:$V$7000,17,1),"")</f>
        <v>0</v>
      </c>
      <c r="BM1540" s="15" t="str" cm="1">
        <f t="array" ref="BM1540">_xlfn.IFS(LEFT(G1540,1)="L","外注品",LEFT(G1540,1)="W","内製品",G1540="","購買品")</f>
        <v>購買品</v>
      </c>
    </row>
    <row r="1541" spans="1:65" s="15" customFormat="1">
      <c r="A1541" t="str">
        <f t="shared" si="248"/>
        <v>WG01</v>
      </c>
      <c r="B1541" t="s">
        <v>1672</v>
      </c>
      <c r="C1541" t="s">
        <v>1909</v>
      </c>
      <c r="D1541" s="7"/>
      <c r="E1541" s="7"/>
      <c r="F1541"/>
      <c r="G1541"/>
      <c r="H1541">
        <v>47081</v>
      </c>
      <c r="I1541"/>
      <c r="J1541"/>
      <c r="K1541" t="str">
        <f t="shared" si="249"/>
        <v/>
      </c>
      <c r="L1541" s="3" t="str">
        <f t="shared" si="250"/>
        <v>2001/01/01</v>
      </c>
      <c r="M1541" s="3" t="str">
        <f t="shared" si="251"/>
        <v>2199/12/31</v>
      </c>
      <c r="N1541" t="str">
        <f t="shared" si="252"/>
        <v/>
      </c>
      <c r="O1541" t="str">
        <f t="shared" si="253"/>
        <v/>
      </c>
      <c r="P1541"/>
      <c r="Q1541">
        <v>15</v>
      </c>
      <c r="R1541" s="21">
        <v>100000000</v>
      </c>
      <c r="S1541" s="21" t="str" cm="1">
        <f t="array" ref="S1541">_xlfn.IFS(LEFT(G1541,1)="L","記載要",LEFT(G1541,1)="W","記載要",G1541="","")</f>
        <v/>
      </c>
      <c r="T1541"/>
      <c r="U1541"/>
      <c r="V1541"/>
      <c r="W1541"/>
      <c r="X1541"/>
      <c r="Y1541"/>
      <c r="Z1541" s="8"/>
      <c r="AA1541" s="8">
        <v>1</v>
      </c>
      <c r="AB1541">
        <f t="shared" si="254"/>
        <v>0</v>
      </c>
      <c r="AC1541" s="8">
        <v>1</v>
      </c>
      <c r="AD1541"/>
      <c r="AE1541"/>
      <c r="AF1541">
        <v>0</v>
      </c>
      <c r="AG1541" s="8"/>
      <c r="AH1541" s="8"/>
      <c r="AI1541"/>
      <c r="AJ1541"/>
      <c r="AK1541" cm="1">
        <f t="array" ref="AK1541">_xlfn.IFS(B1541="","",LEFT(G1541,1)="L",1,LEFT(G1541,1)="W",1,AND(LEFT(B1541,1)="H",G1541=""),0)</f>
        <v>0</v>
      </c>
      <c r="AL1541"/>
      <c r="AM1541"/>
      <c r="AN1541"/>
      <c r="AO1541"/>
      <c r="AP1541"/>
      <c r="AQ1541"/>
      <c r="AR1541"/>
      <c r="AS1541">
        <f t="shared" si="255"/>
        <v>1</v>
      </c>
      <c r="AT1541" t="s">
        <v>115</v>
      </c>
      <c r="AU1541" t="str">
        <f t="shared" si="256"/>
        <v>0</v>
      </c>
      <c r="AV1541"/>
      <c r="AW1541"/>
      <c r="AX1541"/>
      <c r="AY1541"/>
      <c r="AZ1541"/>
      <c r="BA1541"/>
      <c r="BB1541"/>
      <c r="BC1541"/>
      <c r="BD1541" t="str">
        <f t="shared" si="257"/>
        <v>0</v>
      </c>
      <c r="BE1541"/>
      <c r="BF1541"/>
      <c r="BG1541"/>
      <c r="BH1541"/>
      <c r="BI1541"/>
      <c r="BJ1541"/>
      <c r="BK1541" s="15" t="str">
        <f>IFERROR(VLOOKUP(B1541,'[1]model_S-フレーム'!$F$5:$R$7000,13,1),"")</f>
        <v>E380400_01</v>
      </c>
      <c r="BL1541" s="16">
        <f>IFERROR(VLOOKUP(B1541,'[1]model_S-フレーム'!$F$5:$V$7000,17,1),"")</f>
        <v>0</v>
      </c>
      <c r="BM1541" s="15" t="str" cm="1">
        <f t="array" ref="BM1541">_xlfn.IFS(LEFT(G1541,1)="L","外注品",LEFT(G1541,1)="W","内製品",G1541="","購買品")</f>
        <v>購買品</v>
      </c>
    </row>
    <row r="1542" spans="1:65">
      <c r="A1542" t="str">
        <f t="shared" si="248"/>
        <v>WG01</v>
      </c>
      <c r="B1542" t="s">
        <v>1672</v>
      </c>
      <c r="C1542" t="s">
        <v>1909</v>
      </c>
      <c r="D1542" s="7"/>
      <c r="E1542" s="7"/>
      <c r="H1542" s="19" t="s">
        <v>1937</v>
      </c>
      <c r="K1542" t="str">
        <f t="shared" si="249"/>
        <v/>
      </c>
      <c r="L1542" s="3" t="str">
        <f t="shared" si="250"/>
        <v>2001/01/01</v>
      </c>
      <c r="M1542" s="3" t="str">
        <f t="shared" si="251"/>
        <v>2199/12/31</v>
      </c>
      <c r="N1542" t="str">
        <f t="shared" si="252"/>
        <v/>
      </c>
      <c r="O1542" t="str">
        <f t="shared" si="253"/>
        <v/>
      </c>
      <c r="Q1542">
        <v>15</v>
      </c>
      <c r="R1542" s="21">
        <v>100000000</v>
      </c>
      <c r="S1542" s="21" t="str" cm="1">
        <f t="array" ref="S1542">_xlfn.IFS(LEFT(G1542,1)="L","記載要",LEFT(G1542,1)="W","記載要",G1542="","")</f>
        <v/>
      </c>
      <c r="Z1542" s="8"/>
      <c r="AA1542" s="8">
        <v>1</v>
      </c>
      <c r="AB1542">
        <f t="shared" si="254"/>
        <v>0</v>
      </c>
      <c r="AC1542" s="8">
        <v>1</v>
      </c>
      <c r="AF1542">
        <v>0</v>
      </c>
      <c r="AG1542" s="8"/>
      <c r="AH1542" s="8"/>
      <c r="AK1542" cm="1">
        <f t="array" ref="AK1542">_xlfn.IFS(B1542="","",LEFT(G1542,1)="L",1,LEFT(G1542,1)="W",1,AND(LEFT(B1542,1)="H",G1542=""),0)</f>
        <v>0</v>
      </c>
      <c r="AS1542">
        <f t="shared" si="255"/>
        <v>1</v>
      </c>
      <c r="AT1542" t="s">
        <v>115</v>
      </c>
      <c r="AU1542" t="str">
        <f t="shared" si="256"/>
        <v>0</v>
      </c>
      <c r="BD1542" t="str">
        <f t="shared" si="257"/>
        <v>0</v>
      </c>
      <c r="BK1542" t="str">
        <f>IFERROR(VLOOKUP(B1542,'[1]model_S-フレーム'!$F$5:$R$7000,13,1),"")</f>
        <v>E380400_01</v>
      </c>
      <c r="BL1542" s="7">
        <f>IFERROR(VLOOKUP(B1542,'[1]model_S-フレーム'!$F$5:$V$7000,17,1),"")</f>
        <v>0</v>
      </c>
      <c r="BM1542" t="str" cm="1">
        <f t="array" ref="BM1542">_xlfn.IFS(LEFT(G1542,1)="L","外注品",LEFT(G1542,1)="W","内製品",G1542="","購買品")</f>
        <v>購買品</v>
      </c>
    </row>
    <row r="1543" spans="1:65" s="15" customFormat="1">
      <c r="A1543" t="str">
        <f t="shared" si="248"/>
        <v>WG01</v>
      </c>
      <c r="B1543" t="s">
        <v>1673</v>
      </c>
      <c r="C1543" t="s">
        <v>1909</v>
      </c>
      <c r="D1543" s="7"/>
      <c r="E1543" s="7"/>
      <c r="F1543"/>
      <c r="G1543"/>
      <c r="H1543">
        <v>27616</v>
      </c>
      <c r="I1543"/>
      <c r="J1543"/>
      <c r="K1543" t="str">
        <f t="shared" si="249"/>
        <v/>
      </c>
      <c r="L1543" s="3" t="str">
        <f t="shared" si="250"/>
        <v>2001/01/01</v>
      </c>
      <c r="M1543" s="3" t="str">
        <f t="shared" si="251"/>
        <v>2199/12/31</v>
      </c>
      <c r="N1543" t="str">
        <f t="shared" si="252"/>
        <v/>
      </c>
      <c r="O1543" t="str">
        <f t="shared" si="253"/>
        <v/>
      </c>
      <c r="P1543"/>
      <c r="Q1543">
        <v>15</v>
      </c>
      <c r="R1543" s="21">
        <v>100000000</v>
      </c>
      <c r="S1543" s="21" t="str" cm="1">
        <f t="array" ref="S1543">_xlfn.IFS(LEFT(G1543,1)="L","記載要",LEFT(G1543,1)="W","記載要",G1543="","")</f>
        <v/>
      </c>
      <c r="T1543"/>
      <c r="U1543"/>
      <c r="V1543"/>
      <c r="W1543"/>
      <c r="X1543"/>
      <c r="Y1543"/>
      <c r="Z1543" s="8"/>
      <c r="AA1543" s="8">
        <v>1</v>
      </c>
      <c r="AB1543">
        <f t="shared" si="254"/>
        <v>0</v>
      </c>
      <c r="AC1543" s="8">
        <v>1</v>
      </c>
      <c r="AD1543"/>
      <c r="AE1543"/>
      <c r="AF1543">
        <v>1</v>
      </c>
      <c r="AG1543" s="8"/>
      <c r="AH1543" s="8"/>
      <c r="AI1543"/>
      <c r="AJ1543"/>
      <c r="AK1543" cm="1">
        <f t="array" ref="AK1543">_xlfn.IFS(B1543="","",LEFT(G1543,1)="L",1,LEFT(G1543,1)="W",1,AND(LEFT(B1543,1)="H",G1543=""),0)</f>
        <v>0</v>
      </c>
      <c r="AL1543"/>
      <c r="AM1543"/>
      <c r="AN1543"/>
      <c r="AO1543"/>
      <c r="AP1543"/>
      <c r="AQ1543"/>
      <c r="AR1543"/>
      <c r="AS1543">
        <f t="shared" si="255"/>
        <v>1</v>
      </c>
      <c r="AT1543" t="s">
        <v>115</v>
      </c>
      <c r="AU1543" t="str">
        <f t="shared" si="256"/>
        <v>0</v>
      </c>
      <c r="AV1543"/>
      <c r="AW1543"/>
      <c r="AX1543"/>
      <c r="AY1543"/>
      <c r="AZ1543"/>
      <c r="BA1543"/>
      <c r="BB1543"/>
      <c r="BC1543"/>
      <c r="BD1543" t="str">
        <f t="shared" si="257"/>
        <v>0</v>
      </c>
      <c r="BE1543"/>
      <c r="BF1543"/>
      <c r="BG1543"/>
      <c r="BH1543"/>
      <c r="BI1543"/>
      <c r="BJ1543"/>
      <c r="BK1543" s="15" t="str">
        <f>IFERROR(VLOOKUP(B1543,'[1]model_S-フレーム'!$F$5:$R$7000,13,1),"")</f>
        <v>E380400_01</v>
      </c>
      <c r="BL1543" s="16">
        <f>IFERROR(VLOOKUP(B1543,'[1]model_S-フレーム'!$F$5:$V$7000,17,1),"")</f>
        <v>0</v>
      </c>
      <c r="BM1543" s="15" t="str" cm="1">
        <f t="array" ref="BM1543">_xlfn.IFS(LEFT(G1543,1)="L","外注品",LEFT(G1543,1)="W","内製品",G1543="","購買品")</f>
        <v>購買品</v>
      </c>
    </row>
    <row r="1544" spans="1:65" s="15" customFormat="1">
      <c r="A1544" t="str">
        <f t="shared" si="248"/>
        <v>WG01</v>
      </c>
      <c r="B1544" t="s">
        <v>1673</v>
      </c>
      <c r="C1544" t="s">
        <v>1909</v>
      </c>
      <c r="D1544" s="7"/>
      <c r="E1544" s="7"/>
      <c r="F1544"/>
      <c r="G1544"/>
      <c r="H1544">
        <v>43453</v>
      </c>
      <c r="I1544"/>
      <c r="J1544"/>
      <c r="K1544" t="str">
        <f t="shared" si="249"/>
        <v/>
      </c>
      <c r="L1544" s="3" t="str">
        <f t="shared" si="250"/>
        <v>2001/01/01</v>
      </c>
      <c r="M1544" s="3" t="str">
        <f t="shared" si="251"/>
        <v>2199/12/31</v>
      </c>
      <c r="N1544" t="str">
        <f t="shared" si="252"/>
        <v/>
      </c>
      <c r="O1544" t="str">
        <f t="shared" si="253"/>
        <v/>
      </c>
      <c r="P1544"/>
      <c r="Q1544">
        <v>15</v>
      </c>
      <c r="R1544" s="21">
        <v>100000000</v>
      </c>
      <c r="S1544" s="21" t="str" cm="1">
        <f t="array" ref="S1544">_xlfn.IFS(LEFT(G1544,1)="L","記載要",LEFT(G1544,1)="W","記載要",G1544="","")</f>
        <v/>
      </c>
      <c r="T1544"/>
      <c r="U1544"/>
      <c r="V1544"/>
      <c r="W1544"/>
      <c r="X1544"/>
      <c r="Y1544"/>
      <c r="Z1544" s="8"/>
      <c r="AA1544" s="8">
        <v>1</v>
      </c>
      <c r="AB1544">
        <f t="shared" si="254"/>
        <v>0</v>
      </c>
      <c r="AC1544" s="8">
        <v>1</v>
      </c>
      <c r="AD1544"/>
      <c r="AE1544"/>
      <c r="AF1544">
        <v>0</v>
      </c>
      <c r="AG1544" s="8"/>
      <c r="AH1544" s="8"/>
      <c r="AI1544"/>
      <c r="AJ1544"/>
      <c r="AK1544" cm="1">
        <f t="array" ref="AK1544">_xlfn.IFS(B1544="","",LEFT(G1544,1)="L",1,LEFT(G1544,1)="W",1,AND(LEFT(B1544,1)="H",G1544=""),0)</f>
        <v>0</v>
      </c>
      <c r="AL1544"/>
      <c r="AM1544"/>
      <c r="AN1544"/>
      <c r="AO1544"/>
      <c r="AP1544"/>
      <c r="AQ1544"/>
      <c r="AR1544"/>
      <c r="AS1544">
        <f t="shared" si="255"/>
        <v>1</v>
      </c>
      <c r="AT1544" t="s">
        <v>115</v>
      </c>
      <c r="AU1544" t="str">
        <f t="shared" si="256"/>
        <v>0</v>
      </c>
      <c r="AV1544"/>
      <c r="AW1544"/>
      <c r="AX1544"/>
      <c r="AY1544"/>
      <c r="AZ1544"/>
      <c r="BA1544"/>
      <c r="BB1544"/>
      <c r="BC1544"/>
      <c r="BD1544" t="str">
        <f t="shared" si="257"/>
        <v>0</v>
      </c>
      <c r="BE1544"/>
      <c r="BF1544"/>
      <c r="BG1544"/>
      <c r="BH1544"/>
      <c r="BI1544"/>
      <c r="BJ1544"/>
      <c r="BK1544" s="15" t="str">
        <f>IFERROR(VLOOKUP(B1544,'[1]model_S-フレーム'!$F$5:$R$7000,13,1),"")</f>
        <v>E380400_01</v>
      </c>
      <c r="BL1544" s="16">
        <f>IFERROR(VLOOKUP(B1544,'[1]model_S-フレーム'!$F$5:$V$7000,17,1),"")</f>
        <v>0</v>
      </c>
      <c r="BM1544" s="15" t="str" cm="1">
        <f t="array" ref="BM1544">_xlfn.IFS(LEFT(G1544,1)="L","外注品",LEFT(G1544,1)="W","内製品",G1544="","購買品")</f>
        <v>購買品</v>
      </c>
    </row>
    <row r="1545" spans="1:65" s="15" customFormat="1">
      <c r="A1545" t="str">
        <f t="shared" si="248"/>
        <v>WG01</v>
      </c>
      <c r="B1545" t="s">
        <v>1673</v>
      </c>
      <c r="C1545" t="s">
        <v>1909</v>
      </c>
      <c r="D1545" s="7"/>
      <c r="E1545" s="7"/>
      <c r="F1545"/>
      <c r="G1545"/>
      <c r="H1545">
        <v>47081</v>
      </c>
      <c r="I1545"/>
      <c r="J1545"/>
      <c r="K1545" t="str">
        <f t="shared" si="249"/>
        <v/>
      </c>
      <c r="L1545" s="3" t="str">
        <f t="shared" si="250"/>
        <v>2001/01/01</v>
      </c>
      <c r="M1545" s="3" t="str">
        <f t="shared" si="251"/>
        <v>2199/12/31</v>
      </c>
      <c r="N1545" t="str">
        <f t="shared" si="252"/>
        <v/>
      </c>
      <c r="O1545" t="str">
        <f t="shared" si="253"/>
        <v/>
      </c>
      <c r="P1545"/>
      <c r="Q1545">
        <v>15</v>
      </c>
      <c r="R1545" s="21">
        <v>100000000</v>
      </c>
      <c r="S1545" s="21" t="str" cm="1">
        <f t="array" ref="S1545">_xlfn.IFS(LEFT(G1545,1)="L","記載要",LEFT(G1545,1)="W","記載要",G1545="","")</f>
        <v/>
      </c>
      <c r="T1545"/>
      <c r="U1545"/>
      <c r="V1545"/>
      <c r="W1545"/>
      <c r="X1545"/>
      <c r="Y1545"/>
      <c r="Z1545" s="8"/>
      <c r="AA1545" s="8">
        <v>1</v>
      </c>
      <c r="AB1545">
        <f t="shared" si="254"/>
        <v>0</v>
      </c>
      <c r="AC1545" s="8">
        <v>1</v>
      </c>
      <c r="AD1545"/>
      <c r="AE1545"/>
      <c r="AF1545">
        <v>0</v>
      </c>
      <c r="AG1545" s="8"/>
      <c r="AH1545" s="8"/>
      <c r="AI1545"/>
      <c r="AJ1545"/>
      <c r="AK1545" cm="1">
        <f t="array" ref="AK1545">_xlfn.IFS(B1545="","",LEFT(G1545,1)="L",1,LEFT(G1545,1)="W",1,AND(LEFT(B1545,1)="H",G1545=""),0)</f>
        <v>0</v>
      </c>
      <c r="AL1545"/>
      <c r="AM1545"/>
      <c r="AN1545"/>
      <c r="AO1545"/>
      <c r="AP1545"/>
      <c r="AQ1545"/>
      <c r="AR1545"/>
      <c r="AS1545">
        <f t="shared" si="255"/>
        <v>1</v>
      </c>
      <c r="AT1545" t="s">
        <v>115</v>
      </c>
      <c r="AU1545" t="str">
        <f t="shared" si="256"/>
        <v>0</v>
      </c>
      <c r="AV1545"/>
      <c r="AW1545"/>
      <c r="AX1545"/>
      <c r="AY1545"/>
      <c r="AZ1545"/>
      <c r="BA1545"/>
      <c r="BB1545"/>
      <c r="BC1545"/>
      <c r="BD1545" t="str">
        <f t="shared" si="257"/>
        <v>0</v>
      </c>
      <c r="BE1545"/>
      <c r="BF1545"/>
      <c r="BG1545"/>
      <c r="BH1545"/>
      <c r="BI1545"/>
      <c r="BJ1545"/>
      <c r="BK1545" s="15" t="str">
        <f>IFERROR(VLOOKUP(B1545,'[1]model_S-フレーム'!$F$5:$R$7000,13,1),"")</f>
        <v>E380400_01</v>
      </c>
      <c r="BL1545" s="16">
        <f>IFERROR(VLOOKUP(B1545,'[1]model_S-フレーム'!$F$5:$V$7000,17,1),"")</f>
        <v>0</v>
      </c>
      <c r="BM1545" s="15" t="str" cm="1">
        <f t="array" ref="BM1545">_xlfn.IFS(LEFT(G1545,1)="L","外注品",LEFT(G1545,1)="W","内製品",G1545="","購買品")</f>
        <v>購買品</v>
      </c>
    </row>
    <row r="1546" spans="1:65">
      <c r="A1546" t="str">
        <f t="shared" si="248"/>
        <v>WG01</v>
      </c>
      <c r="B1546" t="s">
        <v>1673</v>
      </c>
      <c r="C1546" t="s">
        <v>1909</v>
      </c>
      <c r="D1546" s="7"/>
      <c r="E1546" s="7"/>
      <c r="H1546" s="19" t="s">
        <v>1937</v>
      </c>
      <c r="K1546" t="str">
        <f t="shared" si="249"/>
        <v/>
      </c>
      <c r="L1546" s="3" t="str">
        <f t="shared" si="250"/>
        <v>2001/01/01</v>
      </c>
      <c r="M1546" s="3" t="str">
        <f t="shared" si="251"/>
        <v>2199/12/31</v>
      </c>
      <c r="N1546" t="str">
        <f t="shared" si="252"/>
        <v/>
      </c>
      <c r="O1546" t="str">
        <f t="shared" si="253"/>
        <v/>
      </c>
      <c r="Q1546">
        <v>15</v>
      </c>
      <c r="R1546" s="21">
        <v>100000000</v>
      </c>
      <c r="S1546" s="21" t="str" cm="1">
        <f t="array" ref="S1546">_xlfn.IFS(LEFT(G1546,1)="L","記載要",LEFT(G1546,1)="W","記載要",G1546="","")</f>
        <v/>
      </c>
      <c r="Z1546" s="8"/>
      <c r="AA1546" s="8">
        <v>1</v>
      </c>
      <c r="AB1546">
        <f t="shared" si="254"/>
        <v>0</v>
      </c>
      <c r="AC1546" s="8">
        <v>1</v>
      </c>
      <c r="AF1546">
        <v>0</v>
      </c>
      <c r="AG1546" s="8"/>
      <c r="AH1546" s="8"/>
      <c r="AK1546" cm="1">
        <f t="array" ref="AK1546">_xlfn.IFS(B1546="","",LEFT(G1546,1)="L",1,LEFT(G1546,1)="W",1,AND(LEFT(B1546,1)="H",G1546=""),0)</f>
        <v>0</v>
      </c>
      <c r="AS1546">
        <f t="shared" si="255"/>
        <v>1</v>
      </c>
      <c r="AT1546" t="s">
        <v>115</v>
      </c>
      <c r="AU1546" t="str">
        <f t="shared" si="256"/>
        <v>0</v>
      </c>
      <c r="BD1546" t="str">
        <f t="shared" si="257"/>
        <v>0</v>
      </c>
      <c r="BK1546" t="str">
        <f>IFERROR(VLOOKUP(B1546,'[1]model_S-フレーム'!$F$5:$R$7000,13,1),"")</f>
        <v>E380400_01</v>
      </c>
      <c r="BL1546" s="7">
        <f>IFERROR(VLOOKUP(B1546,'[1]model_S-フレーム'!$F$5:$V$7000,17,1),"")</f>
        <v>0</v>
      </c>
      <c r="BM1546" t="str" cm="1">
        <f t="array" ref="BM1546">_xlfn.IFS(LEFT(G1546,1)="L","外注品",LEFT(G1546,1)="W","内製品",G1546="","購買品")</f>
        <v>購買品</v>
      </c>
    </row>
    <row r="1547" spans="1:65" s="15" customFormat="1">
      <c r="A1547" t="str">
        <f t="shared" si="248"/>
        <v>WG01</v>
      </c>
      <c r="B1547" t="s">
        <v>1674</v>
      </c>
      <c r="C1547" t="s">
        <v>1909</v>
      </c>
      <c r="D1547" s="7"/>
      <c r="E1547" s="7"/>
      <c r="F1547"/>
      <c r="G1547"/>
      <c r="H1547">
        <v>27616</v>
      </c>
      <c r="I1547"/>
      <c r="J1547"/>
      <c r="K1547" t="str">
        <f t="shared" si="249"/>
        <v/>
      </c>
      <c r="L1547" s="3" t="str">
        <f t="shared" si="250"/>
        <v>2001/01/01</v>
      </c>
      <c r="M1547" s="3" t="str">
        <f t="shared" si="251"/>
        <v>2199/12/31</v>
      </c>
      <c r="N1547" t="str">
        <f t="shared" si="252"/>
        <v/>
      </c>
      <c r="O1547" t="str">
        <f t="shared" si="253"/>
        <v/>
      </c>
      <c r="P1547"/>
      <c r="Q1547">
        <v>15</v>
      </c>
      <c r="R1547" s="21">
        <v>100000000</v>
      </c>
      <c r="S1547" s="21" t="str" cm="1">
        <f t="array" ref="S1547">_xlfn.IFS(LEFT(G1547,1)="L","記載要",LEFT(G1547,1)="W","記載要",G1547="","")</f>
        <v/>
      </c>
      <c r="T1547"/>
      <c r="U1547"/>
      <c r="V1547"/>
      <c r="W1547"/>
      <c r="X1547"/>
      <c r="Y1547"/>
      <c r="Z1547" s="8"/>
      <c r="AA1547" s="8">
        <v>1</v>
      </c>
      <c r="AB1547">
        <f t="shared" si="254"/>
        <v>0</v>
      </c>
      <c r="AC1547" s="8">
        <v>1</v>
      </c>
      <c r="AD1547"/>
      <c r="AE1547"/>
      <c r="AF1547">
        <v>1</v>
      </c>
      <c r="AG1547" s="8"/>
      <c r="AH1547" s="8"/>
      <c r="AI1547"/>
      <c r="AJ1547"/>
      <c r="AK1547" cm="1">
        <f t="array" ref="AK1547">_xlfn.IFS(B1547="","",LEFT(G1547,1)="L",1,LEFT(G1547,1)="W",1,AND(LEFT(B1547,1)="H",G1547=""),0)</f>
        <v>0</v>
      </c>
      <c r="AL1547"/>
      <c r="AM1547"/>
      <c r="AN1547"/>
      <c r="AO1547"/>
      <c r="AP1547"/>
      <c r="AQ1547"/>
      <c r="AR1547"/>
      <c r="AS1547">
        <f t="shared" si="255"/>
        <v>1</v>
      </c>
      <c r="AT1547" t="s">
        <v>115</v>
      </c>
      <c r="AU1547" t="str">
        <f t="shared" si="256"/>
        <v>0</v>
      </c>
      <c r="AV1547"/>
      <c r="AW1547"/>
      <c r="AX1547"/>
      <c r="AY1547"/>
      <c r="AZ1547"/>
      <c r="BA1547"/>
      <c r="BB1547"/>
      <c r="BC1547"/>
      <c r="BD1547" t="str">
        <f t="shared" si="257"/>
        <v>0</v>
      </c>
      <c r="BE1547"/>
      <c r="BF1547"/>
      <c r="BG1547"/>
      <c r="BH1547"/>
      <c r="BI1547"/>
      <c r="BJ1547"/>
      <c r="BK1547" s="15" t="str">
        <f>IFERROR(VLOOKUP(B1547,'[1]model_S-フレーム'!$F$5:$R$7000,13,1),"")</f>
        <v>E380400_01</v>
      </c>
      <c r="BL1547" s="16">
        <f>IFERROR(VLOOKUP(B1547,'[1]model_S-フレーム'!$F$5:$V$7000,17,1),"")</f>
        <v>0</v>
      </c>
      <c r="BM1547" s="15" t="str" cm="1">
        <f t="array" ref="BM1547">_xlfn.IFS(LEFT(G1547,1)="L","外注品",LEFT(G1547,1)="W","内製品",G1547="","購買品")</f>
        <v>購買品</v>
      </c>
    </row>
    <row r="1548" spans="1:65" s="15" customFormat="1">
      <c r="A1548" t="str">
        <f t="shared" si="248"/>
        <v>WG01</v>
      </c>
      <c r="B1548" t="s">
        <v>1674</v>
      </c>
      <c r="C1548" t="s">
        <v>1909</v>
      </c>
      <c r="D1548" s="7"/>
      <c r="E1548" s="7"/>
      <c r="F1548"/>
      <c r="G1548"/>
      <c r="H1548">
        <v>43453</v>
      </c>
      <c r="I1548"/>
      <c r="J1548"/>
      <c r="K1548" t="str">
        <f t="shared" si="249"/>
        <v/>
      </c>
      <c r="L1548" s="3" t="str">
        <f t="shared" si="250"/>
        <v>2001/01/01</v>
      </c>
      <c r="M1548" s="3" t="str">
        <f t="shared" si="251"/>
        <v>2199/12/31</v>
      </c>
      <c r="N1548" t="str">
        <f t="shared" si="252"/>
        <v/>
      </c>
      <c r="O1548" t="str">
        <f t="shared" si="253"/>
        <v/>
      </c>
      <c r="P1548"/>
      <c r="Q1548">
        <v>15</v>
      </c>
      <c r="R1548" s="21">
        <v>100000000</v>
      </c>
      <c r="S1548" s="21" t="str" cm="1">
        <f t="array" ref="S1548">_xlfn.IFS(LEFT(G1548,1)="L","記載要",LEFT(G1548,1)="W","記載要",G1548="","")</f>
        <v/>
      </c>
      <c r="T1548"/>
      <c r="U1548"/>
      <c r="V1548"/>
      <c r="W1548"/>
      <c r="X1548"/>
      <c r="Y1548"/>
      <c r="Z1548" s="8"/>
      <c r="AA1548" s="8">
        <v>1</v>
      </c>
      <c r="AB1548">
        <f t="shared" si="254"/>
        <v>0</v>
      </c>
      <c r="AC1548" s="8">
        <v>1</v>
      </c>
      <c r="AD1548"/>
      <c r="AE1548"/>
      <c r="AF1548">
        <v>0</v>
      </c>
      <c r="AG1548" s="8"/>
      <c r="AH1548" s="8"/>
      <c r="AI1548"/>
      <c r="AJ1548"/>
      <c r="AK1548" cm="1">
        <f t="array" ref="AK1548">_xlfn.IFS(B1548="","",LEFT(G1548,1)="L",1,LEFT(G1548,1)="W",1,AND(LEFT(B1548,1)="H",G1548=""),0)</f>
        <v>0</v>
      </c>
      <c r="AL1548"/>
      <c r="AM1548"/>
      <c r="AN1548"/>
      <c r="AO1548"/>
      <c r="AP1548"/>
      <c r="AQ1548"/>
      <c r="AR1548"/>
      <c r="AS1548">
        <f t="shared" si="255"/>
        <v>1</v>
      </c>
      <c r="AT1548" t="s">
        <v>115</v>
      </c>
      <c r="AU1548" t="str">
        <f t="shared" si="256"/>
        <v>0</v>
      </c>
      <c r="AV1548"/>
      <c r="AW1548"/>
      <c r="AX1548"/>
      <c r="AY1548"/>
      <c r="AZ1548"/>
      <c r="BA1548"/>
      <c r="BB1548"/>
      <c r="BC1548"/>
      <c r="BD1548" t="str">
        <f t="shared" si="257"/>
        <v>0</v>
      </c>
      <c r="BE1548"/>
      <c r="BF1548"/>
      <c r="BG1548"/>
      <c r="BH1548"/>
      <c r="BI1548"/>
      <c r="BJ1548"/>
      <c r="BK1548" s="15" t="str">
        <f>IFERROR(VLOOKUP(B1548,'[1]model_S-フレーム'!$F$5:$R$7000,13,1),"")</f>
        <v>E380400_01</v>
      </c>
      <c r="BL1548" s="16">
        <f>IFERROR(VLOOKUP(B1548,'[1]model_S-フレーム'!$F$5:$V$7000,17,1),"")</f>
        <v>0</v>
      </c>
      <c r="BM1548" s="15" t="str" cm="1">
        <f t="array" ref="BM1548">_xlfn.IFS(LEFT(G1548,1)="L","外注品",LEFT(G1548,1)="W","内製品",G1548="","購買品")</f>
        <v>購買品</v>
      </c>
    </row>
    <row r="1549" spans="1:65" s="15" customFormat="1">
      <c r="A1549" t="str">
        <f t="shared" si="248"/>
        <v>WG01</v>
      </c>
      <c r="B1549" t="s">
        <v>1674</v>
      </c>
      <c r="C1549" t="s">
        <v>1909</v>
      </c>
      <c r="D1549" s="7"/>
      <c r="E1549" s="7"/>
      <c r="F1549"/>
      <c r="G1549"/>
      <c r="H1549">
        <v>47081</v>
      </c>
      <c r="I1549"/>
      <c r="J1549"/>
      <c r="K1549" t="str">
        <f t="shared" si="249"/>
        <v/>
      </c>
      <c r="L1549" s="3" t="str">
        <f t="shared" si="250"/>
        <v>2001/01/01</v>
      </c>
      <c r="M1549" s="3" t="str">
        <f t="shared" si="251"/>
        <v>2199/12/31</v>
      </c>
      <c r="N1549" t="str">
        <f t="shared" si="252"/>
        <v/>
      </c>
      <c r="O1549" t="str">
        <f t="shared" si="253"/>
        <v/>
      </c>
      <c r="P1549"/>
      <c r="Q1549">
        <v>15</v>
      </c>
      <c r="R1549" s="21">
        <v>100000000</v>
      </c>
      <c r="S1549" s="21" t="str" cm="1">
        <f t="array" ref="S1549">_xlfn.IFS(LEFT(G1549,1)="L","記載要",LEFT(G1549,1)="W","記載要",G1549="","")</f>
        <v/>
      </c>
      <c r="T1549"/>
      <c r="U1549"/>
      <c r="V1549"/>
      <c r="W1549"/>
      <c r="X1549"/>
      <c r="Y1549"/>
      <c r="Z1549" s="8"/>
      <c r="AA1549" s="8">
        <v>1</v>
      </c>
      <c r="AB1549">
        <f t="shared" si="254"/>
        <v>0</v>
      </c>
      <c r="AC1549" s="8">
        <v>1</v>
      </c>
      <c r="AD1549"/>
      <c r="AE1549"/>
      <c r="AF1549">
        <v>0</v>
      </c>
      <c r="AG1549" s="8"/>
      <c r="AH1549" s="8"/>
      <c r="AI1549"/>
      <c r="AJ1549"/>
      <c r="AK1549" cm="1">
        <f t="array" ref="AK1549">_xlfn.IFS(B1549="","",LEFT(G1549,1)="L",1,LEFT(G1549,1)="W",1,AND(LEFT(B1549,1)="H",G1549=""),0)</f>
        <v>0</v>
      </c>
      <c r="AL1549"/>
      <c r="AM1549"/>
      <c r="AN1549"/>
      <c r="AO1549"/>
      <c r="AP1549"/>
      <c r="AQ1549"/>
      <c r="AR1549"/>
      <c r="AS1549">
        <f t="shared" si="255"/>
        <v>1</v>
      </c>
      <c r="AT1549" t="s">
        <v>115</v>
      </c>
      <c r="AU1549" t="str">
        <f t="shared" si="256"/>
        <v>0</v>
      </c>
      <c r="AV1549"/>
      <c r="AW1549"/>
      <c r="AX1549"/>
      <c r="AY1549"/>
      <c r="AZ1549"/>
      <c r="BA1549"/>
      <c r="BB1549"/>
      <c r="BC1549"/>
      <c r="BD1549" t="str">
        <f t="shared" si="257"/>
        <v>0</v>
      </c>
      <c r="BE1549"/>
      <c r="BF1549"/>
      <c r="BG1549"/>
      <c r="BH1549"/>
      <c r="BI1549"/>
      <c r="BJ1549"/>
      <c r="BK1549" s="15" t="str">
        <f>IFERROR(VLOOKUP(B1549,'[1]model_S-フレーム'!$F$5:$R$7000,13,1),"")</f>
        <v>E380400_01</v>
      </c>
      <c r="BL1549" s="16">
        <f>IFERROR(VLOOKUP(B1549,'[1]model_S-フレーム'!$F$5:$V$7000,17,1),"")</f>
        <v>0</v>
      </c>
      <c r="BM1549" s="15" t="str" cm="1">
        <f t="array" ref="BM1549">_xlfn.IFS(LEFT(G1549,1)="L","外注品",LEFT(G1549,1)="W","内製品",G1549="","購買品")</f>
        <v>購買品</v>
      </c>
    </row>
    <row r="1550" spans="1:65">
      <c r="A1550" t="str">
        <f t="shared" si="248"/>
        <v>WG01</v>
      </c>
      <c r="B1550" t="s">
        <v>1674</v>
      </c>
      <c r="C1550" t="s">
        <v>1909</v>
      </c>
      <c r="D1550" s="7"/>
      <c r="E1550" s="7"/>
      <c r="H1550" s="19" t="s">
        <v>1937</v>
      </c>
      <c r="K1550" t="str">
        <f t="shared" si="249"/>
        <v/>
      </c>
      <c r="L1550" s="3" t="str">
        <f t="shared" si="250"/>
        <v>2001/01/01</v>
      </c>
      <c r="M1550" s="3" t="str">
        <f t="shared" si="251"/>
        <v>2199/12/31</v>
      </c>
      <c r="N1550" t="str">
        <f t="shared" si="252"/>
        <v/>
      </c>
      <c r="O1550" t="str">
        <f t="shared" si="253"/>
        <v/>
      </c>
      <c r="Q1550">
        <v>15</v>
      </c>
      <c r="R1550" s="21">
        <v>100000000</v>
      </c>
      <c r="S1550" s="21" t="str" cm="1">
        <f t="array" ref="S1550">_xlfn.IFS(LEFT(G1550,1)="L","記載要",LEFT(G1550,1)="W","記載要",G1550="","")</f>
        <v/>
      </c>
      <c r="Z1550" s="8"/>
      <c r="AA1550" s="8">
        <v>1</v>
      </c>
      <c r="AB1550">
        <f t="shared" si="254"/>
        <v>0</v>
      </c>
      <c r="AC1550" s="8">
        <v>1</v>
      </c>
      <c r="AF1550">
        <v>0</v>
      </c>
      <c r="AG1550" s="8"/>
      <c r="AH1550" s="8"/>
      <c r="AK1550" cm="1">
        <f t="array" ref="AK1550">_xlfn.IFS(B1550="","",LEFT(G1550,1)="L",1,LEFT(G1550,1)="W",1,AND(LEFT(B1550,1)="H",G1550=""),0)</f>
        <v>0</v>
      </c>
      <c r="AS1550">
        <f t="shared" si="255"/>
        <v>1</v>
      </c>
      <c r="AT1550" t="s">
        <v>115</v>
      </c>
      <c r="AU1550" t="str">
        <f t="shared" si="256"/>
        <v>0</v>
      </c>
      <c r="BD1550" t="str">
        <f t="shared" si="257"/>
        <v>0</v>
      </c>
      <c r="BK1550" t="str">
        <f>IFERROR(VLOOKUP(B1550,'[1]model_S-フレーム'!$F$5:$R$7000,13,1),"")</f>
        <v>E380400_01</v>
      </c>
      <c r="BL1550" s="7">
        <f>IFERROR(VLOOKUP(B1550,'[1]model_S-フレーム'!$F$5:$V$7000,17,1),"")</f>
        <v>0</v>
      </c>
      <c r="BM1550" t="str" cm="1">
        <f t="array" ref="BM1550">_xlfn.IFS(LEFT(G1550,1)="L","外注品",LEFT(G1550,1)="W","内製品",G1550="","購買品")</f>
        <v>購買品</v>
      </c>
    </row>
    <row r="1551" spans="1:65" s="15" customFormat="1">
      <c r="A1551" t="str">
        <f t="shared" si="248"/>
        <v>WG01</v>
      </c>
      <c r="B1551" t="s">
        <v>1675</v>
      </c>
      <c r="C1551" t="s">
        <v>1909</v>
      </c>
      <c r="D1551" s="7"/>
      <c r="E1551" s="7"/>
      <c r="F1551"/>
      <c r="G1551"/>
      <c r="H1551">
        <v>27616</v>
      </c>
      <c r="I1551"/>
      <c r="J1551"/>
      <c r="K1551" t="str">
        <f t="shared" si="249"/>
        <v/>
      </c>
      <c r="L1551" s="3" t="str">
        <f t="shared" si="250"/>
        <v>2001/01/01</v>
      </c>
      <c r="M1551" s="3" t="str">
        <f t="shared" si="251"/>
        <v>2199/12/31</v>
      </c>
      <c r="N1551" t="str">
        <f t="shared" si="252"/>
        <v/>
      </c>
      <c r="O1551" t="str">
        <f t="shared" si="253"/>
        <v/>
      </c>
      <c r="P1551"/>
      <c r="Q1551">
        <v>15</v>
      </c>
      <c r="R1551" s="21">
        <v>100000000</v>
      </c>
      <c r="S1551" s="21" t="str" cm="1">
        <f t="array" ref="S1551">_xlfn.IFS(LEFT(G1551,1)="L","記載要",LEFT(G1551,1)="W","記載要",G1551="","")</f>
        <v/>
      </c>
      <c r="T1551"/>
      <c r="U1551"/>
      <c r="V1551"/>
      <c r="W1551"/>
      <c r="X1551"/>
      <c r="Y1551"/>
      <c r="Z1551" s="8"/>
      <c r="AA1551" s="8">
        <v>1</v>
      </c>
      <c r="AB1551">
        <f t="shared" si="254"/>
        <v>0</v>
      </c>
      <c r="AC1551" s="8">
        <v>1</v>
      </c>
      <c r="AD1551"/>
      <c r="AE1551"/>
      <c r="AF1551">
        <v>1</v>
      </c>
      <c r="AG1551" s="8"/>
      <c r="AH1551" s="8"/>
      <c r="AI1551"/>
      <c r="AJ1551"/>
      <c r="AK1551" cm="1">
        <f t="array" ref="AK1551">_xlfn.IFS(B1551="","",LEFT(G1551,1)="L",1,LEFT(G1551,1)="W",1,AND(LEFT(B1551,1)="H",G1551=""),0)</f>
        <v>0</v>
      </c>
      <c r="AL1551"/>
      <c r="AM1551"/>
      <c r="AN1551"/>
      <c r="AO1551"/>
      <c r="AP1551"/>
      <c r="AQ1551"/>
      <c r="AR1551"/>
      <c r="AS1551">
        <f t="shared" si="255"/>
        <v>1</v>
      </c>
      <c r="AT1551" t="s">
        <v>115</v>
      </c>
      <c r="AU1551" t="str">
        <f t="shared" si="256"/>
        <v>0</v>
      </c>
      <c r="AV1551"/>
      <c r="AW1551"/>
      <c r="AX1551"/>
      <c r="AY1551"/>
      <c r="AZ1551"/>
      <c r="BA1551"/>
      <c r="BB1551"/>
      <c r="BC1551"/>
      <c r="BD1551" t="str">
        <f t="shared" si="257"/>
        <v>0</v>
      </c>
      <c r="BE1551"/>
      <c r="BF1551"/>
      <c r="BG1551"/>
      <c r="BH1551"/>
      <c r="BI1551"/>
      <c r="BJ1551"/>
      <c r="BK1551" s="15" t="str">
        <f>IFERROR(VLOOKUP(B1551,'[1]model_S-フレーム'!$F$5:$R$7000,13,1),"")</f>
        <v>E380400_01</v>
      </c>
      <c r="BL1551" s="16">
        <f>IFERROR(VLOOKUP(B1551,'[1]model_S-フレーム'!$F$5:$V$7000,17,1),"")</f>
        <v>0</v>
      </c>
      <c r="BM1551" s="15" t="str" cm="1">
        <f t="array" ref="BM1551">_xlfn.IFS(LEFT(G1551,1)="L","外注品",LEFT(G1551,1)="W","内製品",G1551="","購買品")</f>
        <v>購買品</v>
      </c>
    </row>
    <row r="1552" spans="1:65" s="15" customFormat="1">
      <c r="A1552" t="str">
        <f t="shared" si="248"/>
        <v>WG01</v>
      </c>
      <c r="B1552" t="s">
        <v>1675</v>
      </c>
      <c r="C1552" t="s">
        <v>1909</v>
      </c>
      <c r="D1552" s="7"/>
      <c r="E1552" s="7"/>
      <c r="F1552"/>
      <c r="G1552"/>
      <c r="H1552">
        <v>43453</v>
      </c>
      <c r="I1552"/>
      <c r="J1552"/>
      <c r="K1552" t="str">
        <f t="shared" si="249"/>
        <v/>
      </c>
      <c r="L1552" s="3" t="str">
        <f t="shared" si="250"/>
        <v>2001/01/01</v>
      </c>
      <c r="M1552" s="3" t="str">
        <f t="shared" si="251"/>
        <v>2199/12/31</v>
      </c>
      <c r="N1552" t="str">
        <f t="shared" si="252"/>
        <v/>
      </c>
      <c r="O1552" t="str">
        <f t="shared" si="253"/>
        <v/>
      </c>
      <c r="P1552"/>
      <c r="Q1552">
        <v>15</v>
      </c>
      <c r="R1552" s="21">
        <v>100000000</v>
      </c>
      <c r="S1552" s="21" t="str" cm="1">
        <f t="array" ref="S1552">_xlfn.IFS(LEFT(G1552,1)="L","記載要",LEFT(G1552,1)="W","記載要",G1552="","")</f>
        <v/>
      </c>
      <c r="T1552"/>
      <c r="U1552"/>
      <c r="V1552"/>
      <c r="W1552"/>
      <c r="X1552"/>
      <c r="Y1552"/>
      <c r="Z1552" s="8"/>
      <c r="AA1552" s="8">
        <v>1</v>
      </c>
      <c r="AB1552">
        <f t="shared" si="254"/>
        <v>0</v>
      </c>
      <c r="AC1552" s="8">
        <v>1</v>
      </c>
      <c r="AD1552"/>
      <c r="AE1552"/>
      <c r="AF1552">
        <v>0</v>
      </c>
      <c r="AG1552" s="8"/>
      <c r="AH1552" s="8"/>
      <c r="AI1552"/>
      <c r="AJ1552"/>
      <c r="AK1552" cm="1">
        <f t="array" ref="AK1552">_xlfn.IFS(B1552="","",LEFT(G1552,1)="L",1,LEFT(G1552,1)="W",1,AND(LEFT(B1552,1)="H",G1552=""),0)</f>
        <v>0</v>
      </c>
      <c r="AL1552"/>
      <c r="AM1552"/>
      <c r="AN1552"/>
      <c r="AO1552"/>
      <c r="AP1552"/>
      <c r="AQ1552"/>
      <c r="AR1552"/>
      <c r="AS1552">
        <f t="shared" si="255"/>
        <v>1</v>
      </c>
      <c r="AT1552" t="s">
        <v>115</v>
      </c>
      <c r="AU1552" t="str">
        <f t="shared" si="256"/>
        <v>0</v>
      </c>
      <c r="AV1552"/>
      <c r="AW1552"/>
      <c r="AX1552"/>
      <c r="AY1552"/>
      <c r="AZ1552"/>
      <c r="BA1552"/>
      <c r="BB1552"/>
      <c r="BC1552"/>
      <c r="BD1552" t="str">
        <f t="shared" si="257"/>
        <v>0</v>
      </c>
      <c r="BE1552"/>
      <c r="BF1552"/>
      <c r="BG1552"/>
      <c r="BH1552"/>
      <c r="BI1552"/>
      <c r="BJ1552"/>
      <c r="BK1552" s="15" t="str">
        <f>IFERROR(VLOOKUP(B1552,'[1]model_S-フレーム'!$F$5:$R$7000,13,1),"")</f>
        <v>E380400_01</v>
      </c>
      <c r="BL1552" s="16">
        <f>IFERROR(VLOOKUP(B1552,'[1]model_S-フレーム'!$F$5:$V$7000,17,1),"")</f>
        <v>0</v>
      </c>
      <c r="BM1552" s="15" t="str" cm="1">
        <f t="array" ref="BM1552">_xlfn.IFS(LEFT(G1552,1)="L","外注品",LEFT(G1552,1)="W","内製品",G1552="","購買品")</f>
        <v>購買品</v>
      </c>
    </row>
    <row r="1553" spans="1:65" s="15" customFormat="1">
      <c r="A1553" t="str">
        <f t="shared" si="248"/>
        <v>WG01</v>
      </c>
      <c r="B1553" t="s">
        <v>1675</v>
      </c>
      <c r="C1553" t="s">
        <v>1909</v>
      </c>
      <c r="D1553" s="7"/>
      <c r="E1553" s="7"/>
      <c r="F1553"/>
      <c r="G1553"/>
      <c r="H1553">
        <v>47081</v>
      </c>
      <c r="I1553"/>
      <c r="J1553"/>
      <c r="K1553" t="str">
        <f t="shared" si="249"/>
        <v/>
      </c>
      <c r="L1553" s="3" t="str">
        <f t="shared" si="250"/>
        <v>2001/01/01</v>
      </c>
      <c r="M1553" s="3" t="str">
        <f t="shared" si="251"/>
        <v>2199/12/31</v>
      </c>
      <c r="N1553" t="str">
        <f t="shared" si="252"/>
        <v/>
      </c>
      <c r="O1553" t="str">
        <f t="shared" si="253"/>
        <v/>
      </c>
      <c r="P1553"/>
      <c r="Q1553">
        <v>15</v>
      </c>
      <c r="R1553" s="21">
        <v>100000000</v>
      </c>
      <c r="S1553" s="21" t="str" cm="1">
        <f t="array" ref="S1553">_xlfn.IFS(LEFT(G1553,1)="L","記載要",LEFT(G1553,1)="W","記載要",G1553="","")</f>
        <v/>
      </c>
      <c r="T1553"/>
      <c r="U1553"/>
      <c r="V1553"/>
      <c r="W1553"/>
      <c r="X1553"/>
      <c r="Y1553"/>
      <c r="Z1553" s="8"/>
      <c r="AA1553" s="8">
        <v>1</v>
      </c>
      <c r="AB1553">
        <f t="shared" si="254"/>
        <v>0</v>
      </c>
      <c r="AC1553" s="8">
        <v>1</v>
      </c>
      <c r="AD1553"/>
      <c r="AE1553"/>
      <c r="AF1553">
        <v>0</v>
      </c>
      <c r="AG1553" s="8"/>
      <c r="AH1553" s="8"/>
      <c r="AI1553"/>
      <c r="AJ1553"/>
      <c r="AK1553" cm="1">
        <f t="array" ref="AK1553">_xlfn.IFS(B1553="","",LEFT(G1553,1)="L",1,LEFT(G1553,1)="W",1,AND(LEFT(B1553,1)="H",G1553=""),0)</f>
        <v>0</v>
      </c>
      <c r="AL1553"/>
      <c r="AM1553"/>
      <c r="AN1553"/>
      <c r="AO1553"/>
      <c r="AP1553"/>
      <c r="AQ1553"/>
      <c r="AR1553"/>
      <c r="AS1553">
        <f t="shared" si="255"/>
        <v>1</v>
      </c>
      <c r="AT1553" t="s">
        <v>115</v>
      </c>
      <c r="AU1553" t="str">
        <f t="shared" si="256"/>
        <v>0</v>
      </c>
      <c r="AV1553"/>
      <c r="AW1553"/>
      <c r="AX1553"/>
      <c r="AY1553"/>
      <c r="AZ1553"/>
      <c r="BA1553"/>
      <c r="BB1553"/>
      <c r="BC1553"/>
      <c r="BD1553" t="str">
        <f t="shared" si="257"/>
        <v>0</v>
      </c>
      <c r="BE1553"/>
      <c r="BF1553"/>
      <c r="BG1553"/>
      <c r="BH1553"/>
      <c r="BI1553"/>
      <c r="BJ1553"/>
      <c r="BK1553" s="15" t="str">
        <f>IFERROR(VLOOKUP(B1553,'[1]model_S-フレーム'!$F$5:$R$7000,13,1),"")</f>
        <v>E380400_01</v>
      </c>
      <c r="BL1553" s="16">
        <f>IFERROR(VLOOKUP(B1553,'[1]model_S-フレーム'!$F$5:$V$7000,17,1),"")</f>
        <v>0</v>
      </c>
      <c r="BM1553" s="15" t="str" cm="1">
        <f t="array" ref="BM1553">_xlfn.IFS(LEFT(G1553,1)="L","外注品",LEFT(G1553,1)="W","内製品",G1553="","購買品")</f>
        <v>購買品</v>
      </c>
    </row>
    <row r="1554" spans="1:65">
      <c r="A1554" t="str">
        <f t="shared" si="248"/>
        <v>WG01</v>
      </c>
      <c r="B1554" t="s">
        <v>1675</v>
      </c>
      <c r="C1554" t="s">
        <v>1909</v>
      </c>
      <c r="D1554" s="7"/>
      <c r="E1554" s="7"/>
      <c r="H1554" s="19" t="s">
        <v>1937</v>
      </c>
      <c r="K1554" t="str">
        <f t="shared" si="249"/>
        <v/>
      </c>
      <c r="L1554" s="3" t="str">
        <f t="shared" si="250"/>
        <v>2001/01/01</v>
      </c>
      <c r="M1554" s="3" t="str">
        <f t="shared" si="251"/>
        <v>2199/12/31</v>
      </c>
      <c r="N1554" t="str">
        <f t="shared" si="252"/>
        <v/>
      </c>
      <c r="O1554" t="str">
        <f t="shared" si="253"/>
        <v/>
      </c>
      <c r="Q1554">
        <v>15</v>
      </c>
      <c r="R1554" s="21">
        <v>100000000</v>
      </c>
      <c r="S1554" s="21" t="str" cm="1">
        <f t="array" ref="S1554">_xlfn.IFS(LEFT(G1554,1)="L","記載要",LEFT(G1554,1)="W","記載要",G1554="","")</f>
        <v/>
      </c>
      <c r="Z1554" s="8"/>
      <c r="AA1554" s="8">
        <v>1</v>
      </c>
      <c r="AB1554">
        <f t="shared" si="254"/>
        <v>0</v>
      </c>
      <c r="AC1554" s="8">
        <v>1</v>
      </c>
      <c r="AF1554">
        <v>0</v>
      </c>
      <c r="AG1554" s="8"/>
      <c r="AH1554" s="8"/>
      <c r="AK1554" cm="1">
        <f t="array" ref="AK1554">_xlfn.IFS(B1554="","",LEFT(G1554,1)="L",1,LEFT(G1554,1)="W",1,AND(LEFT(B1554,1)="H",G1554=""),0)</f>
        <v>0</v>
      </c>
      <c r="AS1554">
        <f t="shared" si="255"/>
        <v>1</v>
      </c>
      <c r="AT1554" t="s">
        <v>115</v>
      </c>
      <c r="AU1554" t="str">
        <f t="shared" si="256"/>
        <v>0</v>
      </c>
      <c r="BD1554" t="str">
        <f t="shared" si="257"/>
        <v>0</v>
      </c>
      <c r="BK1554" t="str">
        <f>IFERROR(VLOOKUP(B1554,'[1]model_S-フレーム'!$F$5:$R$7000,13,1),"")</f>
        <v>E380400_01</v>
      </c>
      <c r="BL1554" s="7">
        <f>IFERROR(VLOOKUP(B1554,'[1]model_S-フレーム'!$F$5:$V$7000,17,1),"")</f>
        <v>0</v>
      </c>
      <c r="BM1554" t="str" cm="1">
        <f t="array" ref="BM1554">_xlfn.IFS(LEFT(G1554,1)="L","外注品",LEFT(G1554,1)="W","内製品",G1554="","購買品")</f>
        <v>購買品</v>
      </c>
    </row>
    <row r="1555" spans="1:65" s="15" customFormat="1">
      <c r="A1555" t="str">
        <f t="shared" si="248"/>
        <v>WG01</v>
      </c>
      <c r="B1555" t="s">
        <v>1676</v>
      </c>
      <c r="C1555" t="s">
        <v>1910</v>
      </c>
      <c r="D1555" s="7"/>
      <c r="E1555" s="7"/>
      <c r="F1555"/>
      <c r="G1555"/>
      <c r="H1555">
        <v>27616</v>
      </c>
      <c r="I1555"/>
      <c r="J1555"/>
      <c r="K1555" t="str">
        <f t="shared" si="249"/>
        <v/>
      </c>
      <c r="L1555" s="3" t="str">
        <f t="shared" si="250"/>
        <v>2001/01/01</v>
      </c>
      <c r="M1555" s="3" t="str">
        <f t="shared" si="251"/>
        <v>2199/12/31</v>
      </c>
      <c r="N1555" t="str">
        <f t="shared" si="252"/>
        <v/>
      </c>
      <c r="O1555" t="str">
        <f t="shared" si="253"/>
        <v/>
      </c>
      <c r="P1555"/>
      <c r="Q1555">
        <v>15</v>
      </c>
      <c r="R1555" s="21">
        <v>100000000</v>
      </c>
      <c r="S1555" s="21" t="str" cm="1">
        <f t="array" ref="S1555">_xlfn.IFS(LEFT(G1555,1)="L","記載要",LEFT(G1555,1)="W","記載要",G1555="","")</f>
        <v/>
      </c>
      <c r="T1555"/>
      <c r="U1555"/>
      <c r="V1555"/>
      <c r="W1555"/>
      <c r="X1555"/>
      <c r="Y1555"/>
      <c r="Z1555" s="8"/>
      <c r="AA1555" s="8">
        <v>1</v>
      </c>
      <c r="AB1555">
        <f t="shared" si="254"/>
        <v>0</v>
      </c>
      <c r="AC1555" s="8">
        <v>1</v>
      </c>
      <c r="AD1555"/>
      <c r="AE1555"/>
      <c r="AF1555">
        <v>1</v>
      </c>
      <c r="AG1555" s="8"/>
      <c r="AH1555" s="8"/>
      <c r="AI1555"/>
      <c r="AJ1555"/>
      <c r="AK1555" cm="1">
        <f t="array" ref="AK1555">_xlfn.IFS(B1555="","",LEFT(G1555,1)="L",1,LEFT(G1555,1)="W",1,AND(LEFT(B1555,1)="H",G1555=""),0)</f>
        <v>0</v>
      </c>
      <c r="AL1555"/>
      <c r="AM1555"/>
      <c r="AN1555"/>
      <c r="AO1555"/>
      <c r="AP1555"/>
      <c r="AQ1555"/>
      <c r="AR1555"/>
      <c r="AS1555">
        <f t="shared" si="255"/>
        <v>1</v>
      </c>
      <c r="AT1555" t="s">
        <v>115</v>
      </c>
      <c r="AU1555" t="str">
        <f t="shared" si="256"/>
        <v>0</v>
      </c>
      <c r="AV1555"/>
      <c r="AW1555"/>
      <c r="AX1555"/>
      <c r="AY1555"/>
      <c r="AZ1555"/>
      <c r="BA1555"/>
      <c r="BB1555"/>
      <c r="BC1555"/>
      <c r="BD1555" t="str">
        <f t="shared" si="257"/>
        <v>0</v>
      </c>
      <c r="BE1555"/>
      <c r="BF1555"/>
      <c r="BG1555"/>
      <c r="BH1555"/>
      <c r="BI1555"/>
      <c r="BJ1555"/>
      <c r="BK1555" s="15" t="str">
        <f>IFERROR(VLOOKUP(B1555,'[1]model_S-フレーム'!$F$5:$R$7000,13,1),"")</f>
        <v>E380400_02</v>
      </c>
      <c r="BL1555" s="16">
        <f>IFERROR(VLOOKUP(B1555,'[1]model_S-フレーム'!$F$5:$V$7000,17,1),"")</f>
        <v>0</v>
      </c>
      <c r="BM1555" s="15" t="str" cm="1">
        <f t="array" ref="BM1555">_xlfn.IFS(LEFT(G1555,1)="L","外注品",LEFT(G1555,1)="W","内製品",G1555="","購買品")</f>
        <v>購買品</v>
      </c>
    </row>
    <row r="1556" spans="1:65" s="15" customFormat="1">
      <c r="A1556" t="str">
        <f t="shared" si="248"/>
        <v>WG01</v>
      </c>
      <c r="B1556" t="s">
        <v>1676</v>
      </c>
      <c r="C1556" t="s">
        <v>1910</v>
      </c>
      <c r="D1556" s="7"/>
      <c r="E1556" s="7"/>
      <c r="F1556"/>
      <c r="G1556"/>
      <c r="H1556">
        <v>43453</v>
      </c>
      <c r="I1556"/>
      <c r="J1556"/>
      <c r="K1556" t="str">
        <f t="shared" si="249"/>
        <v/>
      </c>
      <c r="L1556" s="3" t="str">
        <f t="shared" si="250"/>
        <v>2001/01/01</v>
      </c>
      <c r="M1556" s="3" t="str">
        <f t="shared" si="251"/>
        <v>2199/12/31</v>
      </c>
      <c r="N1556" t="str">
        <f t="shared" si="252"/>
        <v/>
      </c>
      <c r="O1556" t="str">
        <f t="shared" si="253"/>
        <v/>
      </c>
      <c r="P1556"/>
      <c r="Q1556">
        <v>15</v>
      </c>
      <c r="R1556" s="21">
        <v>100000000</v>
      </c>
      <c r="S1556" s="21" t="str" cm="1">
        <f t="array" ref="S1556">_xlfn.IFS(LEFT(G1556,1)="L","記載要",LEFT(G1556,1)="W","記載要",G1556="","")</f>
        <v/>
      </c>
      <c r="T1556"/>
      <c r="U1556"/>
      <c r="V1556"/>
      <c r="W1556"/>
      <c r="X1556"/>
      <c r="Y1556"/>
      <c r="Z1556" s="8"/>
      <c r="AA1556" s="8">
        <v>1</v>
      </c>
      <c r="AB1556">
        <f t="shared" si="254"/>
        <v>0</v>
      </c>
      <c r="AC1556" s="8">
        <v>1</v>
      </c>
      <c r="AD1556"/>
      <c r="AE1556"/>
      <c r="AF1556">
        <v>0</v>
      </c>
      <c r="AG1556" s="8"/>
      <c r="AH1556" s="8"/>
      <c r="AI1556"/>
      <c r="AJ1556"/>
      <c r="AK1556" cm="1">
        <f t="array" ref="AK1556">_xlfn.IFS(B1556="","",LEFT(G1556,1)="L",1,LEFT(G1556,1)="W",1,AND(LEFT(B1556,1)="H",G1556=""),0)</f>
        <v>0</v>
      </c>
      <c r="AL1556"/>
      <c r="AM1556"/>
      <c r="AN1556"/>
      <c r="AO1556"/>
      <c r="AP1556"/>
      <c r="AQ1556"/>
      <c r="AR1556"/>
      <c r="AS1556">
        <f t="shared" si="255"/>
        <v>1</v>
      </c>
      <c r="AT1556" t="s">
        <v>115</v>
      </c>
      <c r="AU1556" t="str">
        <f t="shared" si="256"/>
        <v>0</v>
      </c>
      <c r="AV1556"/>
      <c r="AW1556"/>
      <c r="AX1556"/>
      <c r="AY1556"/>
      <c r="AZ1556"/>
      <c r="BA1556"/>
      <c r="BB1556"/>
      <c r="BC1556"/>
      <c r="BD1556" t="str">
        <f t="shared" si="257"/>
        <v>0</v>
      </c>
      <c r="BE1556"/>
      <c r="BF1556"/>
      <c r="BG1556"/>
      <c r="BH1556"/>
      <c r="BI1556"/>
      <c r="BJ1556"/>
      <c r="BK1556" s="15" t="str">
        <f>IFERROR(VLOOKUP(B1556,'[1]model_S-フレーム'!$F$5:$R$7000,13,1),"")</f>
        <v>E380400_02</v>
      </c>
      <c r="BL1556" s="16">
        <f>IFERROR(VLOOKUP(B1556,'[1]model_S-フレーム'!$F$5:$V$7000,17,1),"")</f>
        <v>0</v>
      </c>
      <c r="BM1556" s="15" t="str" cm="1">
        <f t="array" ref="BM1556">_xlfn.IFS(LEFT(G1556,1)="L","外注品",LEFT(G1556,1)="W","内製品",G1556="","購買品")</f>
        <v>購買品</v>
      </c>
    </row>
    <row r="1557" spans="1:65" s="15" customFormat="1">
      <c r="A1557" t="str">
        <f t="shared" si="248"/>
        <v>WG01</v>
      </c>
      <c r="B1557" t="s">
        <v>1676</v>
      </c>
      <c r="C1557" t="s">
        <v>1910</v>
      </c>
      <c r="D1557" s="7"/>
      <c r="E1557" s="7"/>
      <c r="F1557"/>
      <c r="G1557"/>
      <c r="H1557">
        <v>47081</v>
      </c>
      <c r="I1557"/>
      <c r="J1557"/>
      <c r="K1557" t="str">
        <f t="shared" si="249"/>
        <v/>
      </c>
      <c r="L1557" s="3" t="str">
        <f t="shared" si="250"/>
        <v>2001/01/01</v>
      </c>
      <c r="M1557" s="3" t="str">
        <f t="shared" si="251"/>
        <v>2199/12/31</v>
      </c>
      <c r="N1557" t="str">
        <f t="shared" si="252"/>
        <v/>
      </c>
      <c r="O1557" t="str">
        <f t="shared" si="253"/>
        <v/>
      </c>
      <c r="P1557"/>
      <c r="Q1557">
        <v>15</v>
      </c>
      <c r="R1557" s="21">
        <v>100000000</v>
      </c>
      <c r="S1557" s="21" t="str" cm="1">
        <f t="array" ref="S1557">_xlfn.IFS(LEFT(G1557,1)="L","記載要",LEFT(G1557,1)="W","記載要",G1557="","")</f>
        <v/>
      </c>
      <c r="T1557"/>
      <c r="U1557"/>
      <c r="V1557"/>
      <c r="W1557"/>
      <c r="X1557"/>
      <c r="Y1557"/>
      <c r="Z1557" s="8"/>
      <c r="AA1557" s="8">
        <v>1</v>
      </c>
      <c r="AB1557">
        <f t="shared" si="254"/>
        <v>0</v>
      </c>
      <c r="AC1557" s="8">
        <v>1</v>
      </c>
      <c r="AD1557"/>
      <c r="AE1557"/>
      <c r="AF1557">
        <v>0</v>
      </c>
      <c r="AG1557" s="8"/>
      <c r="AH1557" s="8"/>
      <c r="AI1557"/>
      <c r="AJ1557"/>
      <c r="AK1557" cm="1">
        <f t="array" ref="AK1557">_xlfn.IFS(B1557="","",LEFT(G1557,1)="L",1,LEFT(G1557,1)="W",1,AND(LEFT(B1557,1)="H",G1557=""),0)</f>
        <v>0</v>
      </c>
      <c r="AL1557"/>
      <c r="AM1557"/>
      <c r="AN1557"/>
      <c r="AO1557"/>
      <c r="AP1557"/>
      <c r="AQ1557"/>
      <c r="AR1557"/>
      <c r="AS1557">
        <f t="shared" si="255"/>
        <v>1</v>
      </c>
      <c r="AT1557" t="s">
        <v>115</v>
      </c>
      <c r="AU1557" t="str">
        <f t="shared" si="256"/>
        <v>0</v>
      </c>
      <c r="AV1557"/>
      <c r="AW1557"/>
      <c r="AX1557"/>
      <c r="AY1557"/>
      <c r="AZ1557"/>
      <c r="BA1557"/>
      <c r="BB1557"/>
      <c r="BC1557"/>
      <c r="BD1557" t="str">
        <f t="shared" si="257"/>
        <v>0</v>
      </c>
      <c r="BE1557"/>
      <c r="BF1557"/>
      <c r="BG1557"/>
      <c r="BH1557"/>
      <c r="BI1557"/>
      <c r="BJ1557"/>
      <c r="BK1557" s="15" t="str">
        <f>IFERROR(VLOOKUP(B1557,'[1]model_S-フレーム'!$F$5:$R$7000,13,1),"")</f>
        <v>E380400_02</v>
      </c>
      <c r="BL1557" s="16">
        <f>IFERROR(VLOOKUP(B1557,'[1]model_S-フレーム'!$F$5:$V$7000,17,1),"")</f>
        <v>0</v>
      </c>
      <c r="BM1557" s="15" t="str" cm="1">
        <f t="array" ref="BM1557">_xlfn.IFS(LEFT(G1557,1)="L","外注品",LEFT(G1557,1)="W","内製品",G1557="","購買品")</f>
        <v>購買品</v>
      </c>
    </row>
    <row r="1558" spans="1:65">
      <c r="A1558" t="str">
        <f t="shared" si="248"/>
        <v>WG01</v>
      </c>
      <c r="B1558" t="s">
        <v>1676</v>
      </c>
      <c r="C1558" t="s">
        <v>1910</v>
      </c>
      <c r="D1558" s="7"/>
      <c r="E1558" s="7"/>
      <c r="H1558" s="19" t="s">
        <v>1937</v>
      </c>
      <c r="K1558" t="str">
        <f t="shared" si="249"/>
        <v/>
      </c>
      <c r="L1558" s="3" t="str">
        <f t="shared" si="250"/>
        <v>2001/01/01</v>
      </c>
      <c r="M1558" s="3" t="str">
        <f t="shared" si="251"/>
        <v>2199/12/31</v>
      </c>
      <c r="N1558" t="str">
        <f t="shared" si="252"/>
        <v/>
      </c>
      <c r="O1558" t="str">
        <f t="shared" si="253"/>
        <v/>
      </c>
      <c r="Q1558">
        <v>15</v>
      </c>
      <c r="R1558" s="21">
        <v>100000000</v>
      </c>
      <c r="S1558" s="21" t="str" cm="1">
        <f t="array" ref="S1558">_xlfn.IFS(LEFT(G1558,1)="L","記載要",LEFT(G1558,1)="W","記載要",G1558="","")</f>
        <v/>
      </c>
      <c r="Z1558" s="8"/>
      <c r="AA1558" s="8">
        <v>1</v>
      </c>
      <c r="AB1558">
        <f t="shared" si="254"/>
        <v>0</v>
      </c>
      <c r="AC1558" s="8">
        <v>1</v>
      </c>
      <c r="AF1558">
        <v>0</v>
      </c>
      <c r="AG1558" s="8"/>
      <c r="AH1558" s="8"/>
      <c r="AK1558" cm="1">
        <f t="array" ref="AK1558">_xlfn.IFS(B1558="","",LEFT(G1558,1)="L",1,LEFT(G1558,1)="W",1,AND(LEFT(B1558,1)="H",G1558=""),0)</f>
        <v>0</v>
      </c>
      <c r="AS1558">
        <f t="shared" si="255"/>
        <v>1</v>
      </c>
      <c r="AT1558" t="s">
        <v>115</v>
      </c>
      <c r="AU1558" t="str">
        <f t="shared" si="256"/>
        <v>0</v>
      </c>
      <c r="BD1558" t="str">
        <f t="shared" si="257"/>
        <v>0</v>
      </c>
      <c r="BK1558" t="str">
        <f>IFERROR(VLOOKUP(B1558,'[1]model_S-フレーム'!$F$5:$R$7000,13,1),"")</f>
        <v>E380400_02</v>
      </c>
      <c r="BL1558" s="7">
        <f>IFERROR(VLOOKUP(B1558,'[1]model_S-フレーム'!$F$5:$V$7000,17,1),"")</f>
        <v>0</v>
      </c>
      <c r="BM1558" t="str" cm="1">
        <f t="array" ref="BM1558">_xlfn.IFS(LEFT(G1558,1)="L","外注品",LEFT(G1558,1)="W","内製品",G1558="","購買品")</f>
        <v>購買品</v>
      </c>
    </row>
    <row r="1559" spans="1:65">
      <c r="A1559" t="str">
        <f t="shared" si="248"/>
        <v>WG01</v>
      </c>
      <c r="B1559" t="s">
        <v>1677</v>
      </c>
      <c r="C1559" t="s">
        <v>1911</v>
      </c>
      <c r="D1559" s="7"/>
      <c r="E1559" s="7"/>
      <c r="G1559" t="s">
        <v>1939</v>
      </c>
      <c r="H1559" t="str" cm="1">
        <f t="array" ref="H1559">IFERROR(_xlfn.IFS(B1559="","",AND(B1559="",G1559=""),"",G1559="","記載要"),"")</f>
        <v/>
      </c>
      <c r="K1559" t="str">
        <f t="shared" si="249"/>
        <v>11WP01073891</v>
      </c>
      <c r="L1559" s="3" t="str">
        <f t="shared" si="250"/>
        <v>2001/01/01</v>
      </c>
      <c r="M1559" s="3" t="str">
        <f t="shared" si="251"/>
        <v>2199/12/31</v>
      </c>
      <c r="N1559" t="str">
        <f t="shared" si="252"/>
        <v>11WP01073891</v>
      </c>
      <c r="O1559">
        <v>15</v>
      </c>
      <c r="Q1559" t="str" cm="1">
        <f t="array" ref="Q1559">_xlfn.IFS(AND(C1559="",G1559=""),"",LEFT(G1559,1)="L","記載要",LEFT(G1559,1)="W","",AND(C1559,G1559=""),"記載要")</f>
        <v/>
      </c>
      <c r="R1559" s="21" t="str">
        <f t="shared" ref="R1559:R1602" si="258">IF(H1559="","","記載要")</f>
        <v/>
      </c>
      <c r="S1559" s="21"/>
      <c r="Z1559" s="8"/>
      <c r="AA1559">
        <v>1</v>
      </c>
      <c r="AB1559">
        <f t="shared" si="254"/>
        <v>0</v>
      </c>
      <c r="AC1559">
        <v>1</v>
      </c>
      <c r="AF1559">
        <v>1</v>
      </c>
      <c r="AG1559" s="8"/>
      <c r="AH1559" s="8"/>
      <c r="AK1559" cm="1">
        <f t="array" ref="AK1559">_xlfn.IFS(B1559="","",LEFT(G1559,1)="L",1,LEFT(G1559,1)="W",1,AND(LEFT(B1559,1)="H",G1559=""),0)</f>
        <v>1</v>
      </c>
      <c r="AS1559" t="str">
        <f t="shared" si="255"/>
        <v/>
      </c>
      <c r="AT1559" t="s">
        <v>115</v>
      </c>
      <c r="AU1559" t="str">
        <f t="shared" si="256"/>
        <v>0</v>
      </c>
      <c r="BD1559" t="str">
        <f t="shared" si="257"/>
        <v>0</v>
      </c>
      <c r="BK1559" t="str">
        <f>IFERROR(VLOOKUP(B1559,'[1]model_S-フレーム'!$F$5:$R$7000,13,1),"")</f>
        <v>E367804_01</v>
      </c>
      <c r="BL1559" s="7">
        <f>IFERROR(VLOOKUP(B1559,'[1]model_S-フレーム'!$F$5:$V$7000,17,1),"")</f>
        <v>0</v>
      </c>
      <c r="BM1559" t="str" cm="1">
        <f t="array" ref="BM1559">_xlfn.IFS(LEFT(G1559,1)="L","外注品",LEFT(G1559,1)="W","内製品",G1559="","購買品")</f>
        <v>内製品</v>
      </c>
    </row>
    <row r="1560" spans="1:65">
      <c r="A1560" t="str">
        <f t="shared" si="248"/>
        <v>WG01</v>
      </c>
      <c r="B1560" t="s">
        <v>1678</v>
      </c>
      <c r="C1560" t="s">
        <v>1911</v>
      </c>
      <c r="D1560" s="7"/>
      <c r="E1560" s="7"/>
      <c r="G1560" t="s">
        <v>1939</v>
      </c>
      <c r="H1560" t="str" cm="1">
        <f t="array" ref="H1560">IFERROR(_xlfn.IFS(B1560="","",AND(B1560="",G1560=""),"",G1560="","記載要"),"")</f>
        <v/>
      </c>
      <c r="K1560" t="str">
        <f t="shared" si="249"/>
        <v>11WP01073892</v>
      </c>
      <c r="L1560" s="3" t="str">
        <f t="shared" si="250"/>
        <v>2001/01/01</v>
      </c>
      <c r="M1560" s="3" t="str">
        <f t="shared" si="251"/>
        <v>2199/12/31</v>
      </c>
      <c r="N1560" t="str">
        <f t="shared" si="252"/>
        <v>11WP01073892</v>
      </c>
      <c r="O1560">
        <v>15</v>
      </c>
      <c r="Q1560" t="str" cm="1">
        <f t="array" ref="Q1560">_xlfn.IFS(AND(C1560="",G1560=""),"",LEFT(G1560,1)="L","記載要",LEFT(G1560,1)="W","",AND(C1560,G1560=""),"記載要")</f>
        <v/>
      </c>
      <c r="R1560" s="21" t="str">
        <f t="shared" si="258"/>
        <v/>
      </c>
      <c r="S1560" s="21"/>
      <c r="Z1560" s="8"/>
      <c r="AA1560">
        <v>1</v>
      </c>
      <c r="AB1560">
        <f t="shared" si="254"/>
        <v>0</v>
      </c>
      <c r="AC1560">
        <v>1</v>
      </c>
      <c r="AF1560">
        <v>1</v>
      </c>
      <c r="AG1560" s="8"/>
      <c r="AH1560" s="8"/>
      <c r="AK1560" cm="1">
        <f t="array" ref="AK1560">_xlfn.IFS(B1560="","",LEFT(G1560,1)="L",1,LEFT(G1560,1)="W",1,AND(LEFT(B1560,1)="H",G1560=""),0)</f>
        <v>1</v>
      </c>
      <c r="AS1560" t="str">
        <f t="shared" si="255"/>
        <v/>
      </c>
      <c r="AT1560" t="s">
        <v>115</v>
      </c>
      <c r="AU1560" t="str">
        <f t="shared" si="256"/>
        <v>0</v>
      </c>
      <c r="BD1560" t="str">
        <f t="shared" si="257"/>
        <v>0</v>
      </c>
      <c r="BK1560" t="str">
        <f>IFERROR(VLOOKUP(B1560,'[1]model_S-フレーム'!$F$5:$R$7000,13,1),"")</f>
        <v>E367804_01</v>
      </c>
      <c r="BL1560" s="7">
        <f>IFERROR(VLOOKUP(B1560,'[1]model_S-フレーム'!$F$5:$V$7000,17,1),"")</f>
        <v>0</v>
      </c>
      <c r="BM1560" t="str" cm="1">
        <f t="array" ref="BM1560">_xlfn.IFS(LEFT(G1560,1)="L","外注品",LEFT(G1560,1)="W","内製品",G1560="","購買品")</f>
        <v>内製品</v>
      </c>
    </row>
    <row r="1561" spans="1:65">
      <c r="A1561" t="str">
        <f t="shared" si="248"/>
        <v>WG01</v>
      </c>
      <c r="B1561" t="s">
        <v>1679</v>
      </c>
      <c r="C1561" t="s">
        <v>1911</v>
      </c>
      <c r="D1561" s="7"/>
      <c r="E1561" s="7"/>
      <c r="G1561" t="s">
        <v>1939</v>
      </c>
      <c r="H1561" t="str" cm="1">
        <f t="array" ref="H1561">IFERROR(_xlfn.IFS(B1561="","",AND(B1561="",G1561=""),"",G1561="","記載要"),"")</f>
        <v/>
      </c>
      <c r="K1561" t="str">
        <f t="shared" si="249"/>
        <v>11WP01073893</v>
      </c>
      <c r="L1561" s="3" t="str">
        <f t="shared" si="250"/>
        <v>2001/01/01</v>
      </c>
      <c r="M1561" s="3" t="str">
        <f t="shared" si="251"/>
        <v>2199/12/31</v>
      </c>
      <c r="N1561" t="str">
        <f t="shared" si="252"/>
        <v>11WP01073893</v>
      </c>
      <c r="O1561">
        <v>15</v>
      </c>
      <c r="Q1561" t="str" cm="1">
        <f t="array" ref="Q1561">_xlfn.IFS(AND(C1561="",G1561=""),"",LEFT(G1561,1)="L","記載要",LEFT(G1561,1)="W","",AND(C1561,G1561=""),"記載要")</f>
        <v/>
      </c>
      <c r="R1561" s="21" t="str">
        <f t="shared" si="258"/>
        <v/>
      </c>
      <c r="S1561" s="21"/>
      <c r="Z1561" s="8"/>
      <c r="AA1561">
        <v>1</v>
      </c>
      <c r="AB1561">
        <f t="shared" si="254"/>
        <v>0</v>
      </c>
      <c r="AC1561">
        <v>1</v>
      </c>
      <c r="AF1561">
        <v>1</v>
      </c>
      <c r="AG1561" s="8"/>
      <c r="AH1561" s="8"/>
      <c r="AK1561" cm="1">
        <f t="array" ref="AK1561">_xlfn.IFS(B1561="","",LEFT(G1561,1)="L",1,LEFT(G1561,1)="W",1,AND(LEFT(B1561,1)="H",G1561=""),0)</f>
        <v>1</v>
      </c>
      <c r="AS1561" t="str">
        <f t="shared" si="255"/>
        <v/>
      </c>
      <c r="AT1561" t="s">
        <v>115</v>
      </c>
      <c r="AU1561" t="str">
        <f t="shared" si="256"/>
        <v>0</v>
      </c>
      <c r="BD1561" t="str">
        <f t="shared" si="257"/>
        <v>0</v>
      </c>
      <c r="BK1561" t="str">
        <f>IFERROR(VLOOKUP(B1561,'[1]model_S-フレーム'!$F$5:$R$7000,13,1),"")</f>
        <v>E367804_01</v>
      </c>
      <c r="BL1561" s="7">
        <f>IFERROR(VLOOKUP(B1561,'[1]model_S-フレーム'!$F$5:$V$7000,17,1),"")</f>
        <v>0</v>
      </c>
      <c r="BM1561" t="str" cm="1">
        <f t="array" ref="BM1561">_xlfn.IFS(LEFT(G1561,1)="L","外注品",LEFT(G1561,1)="W","内製品",G1561="","購買品")</f>
        <v>内製品</v>
      </c>
    </row>
    <row r="1562" spans="1:65">
      <c r="A1562" t="str">
        <f t="shared" si="248"/>
        <v>WG01</v>
      </c>
      <c r="B1562" t="s">
        <v>1680</v>
      </c>
      <c r="C1562" t="s">
        <v>1911</v>
      </c>
      <c r="D1562" s="7"/>
      <c r="E1562" s="7"/>
      <c r="G1562" t="s">
        <v>1939</v>
      </c>
      <c r="H1562" t="str" cm="1">
        <f t="array" ref="H1562">IFERROR(_xlfn.IFS(B1562="","",AND(B1562="",G1562=""),"",G1562="","記載要"),"")</f>
        <v/>
      </c>
      <c r="K1562" t="str">
        <f t="shared" si="249"/>
        <v>11WP01073894</v>
      </c>
      <c r="L1562" s="3" t="str">
        <f t="shared" si="250"/>
        <v>2001/01/01</v>
      </c>
      <c r="M1562" s="3" t="str">
        <f t="shared" si="251"/>
        <v>2199/12/31</v>
      </c>
      <c r="N1562" t="str">
        <f t="shared" si="252"/>
        <v>11WP01073894</v>
      </c>
      <c r="O1562">
        <v>15</v>
      </c>
      <c r="Q1562" t="str" cm="1">
        <f t="array" ref="Q1562">_xlfn.IFS(AND(C1562="",G1562=""),"",LEFT(G1562,1)="L","記載要",LEFT(G1562,1)="W","",AND(C1562,G1562=""),"記載要")</f>
        <v/>
      </c>
      <c r="R1562" s="21" t="str">
        <f t="shared" si="258"/>
        <v/>
      </c>
      <c r="S1562" s="21"/>
      <c r="Z1562" s="8"/>
      <c r="AA1562">
        <v>1</v>
      </c>
      <c r="AB1562">
        <f t="shared" si="254"/>
        <v>0</v>
      </c>
      <c r="AC1562">
        <v>1</v>
      </c>
      <c r="AF1562">
        <v>1</v>
      </c>
      <c r="AG1562" s="8"/>
      <c r="AH1562" s="8"/>
      <c r="AK1562" cm="1">
        <f t="array" ref="AK1562">_xlfn.IFS(B1562="","",LEFT(G1562,1)="L",1,LEFT(G1562,1)="W",1,AND(LEFT(B1562,1)="H",G1562=""),0)</f>
        <v>1</v>
      </c>
      <c r="AS1562" t="str">
        <f t="shared" si="255"/>
        <v/>
      </c>
      <c r="AT1562" t="s">
        <v>115</v>
      </c>
      <c r="AU1562" t="str">
        <f t="shared" si="256"/>
        <v>0</v>
      </c>
      <c r="BD1562" t="str">
        <f t="shared" si="257"/>
        <v>0</v>
      </c>
      <c r="BK1562" t="str">
        <f>IFERROR(VLOOKUP(B1562,'[1]model_S-フレーム'!$F$5:$R$7000,13,1),"")</f>
        <v>E367804_01</v>
      </c>
      <c r="BL1562" s="7">
        <f>IFERROR(VLOOKUP(B1562,'[1]model_S-フレーム'!$F$5:$V$7000,17,1),"")</f>
        <v>0</v>
      </c>
      <c r="BM1562" t="str" cm="1">
        <f t="array" ref="BM1562">_xlfn.IFS(LEFT(G1562,1)="L","外注品",LEFT(G1562,1)="W","内製品",G1562="","購買品")</f>
        <v>内製品</v>
      </c>
    </row>
    <row r="1563" spans="1:65">
      <c r="A1563" t="str">
        <f t="shared" si="248"/>
        <v>WG01</v>
      </c>
      <c r="B1563" t="s">
        <v>1681</v>
      </c>
      <c r="C1563" t="s">
        <v>1911</v>
      </c>
      <c r="D1563" s="7"/>
      <c r="E1563" s="7"/>
      <c r="G1563" t="s">
        <v>1939</v>
      </c>
      <c r="H1563" t="str" cm="1">
        <f t="array" ref="H1563">IFERROR(_xlfn.IFS(B1563="","",AND(B1563="",G1563=""),"",G1563="","記載要"),"")</f>
        <v/>
      </c>
      <c r="K1563" t="str">
        <f t="shared" si="249"/>
        <v>11WP01073895</v>
      </c>
      <c r="L1563" s="3" t="str">
        <f t="shared" si="250"/>
        <v>2001/01/01</v>
      </c>
      <c r="M1563" s="3" t="str">
        <f t="shared" si="251"/>
        <v>2199/12/31</v>
      </c>
      <c r="N1563" t="str">
        <f t="shared" si="252"/>
        <v>11WP01073895</v>
      </c>
      <c r="O1563">
        <v>15</v>
      </c>
      <c r="Q1563" t="str" cm="1">
        <f t="array" ref="Q1563">_xlfn.IFS(AND(C1563="",G1563=""),"",LEFT(G1563,1)="L","記載要",LEFT(G1563,1)="W","",AND(C1563,G1563=""),"記載要")</f>
        <v/>
      </c>
      <c r="R1563" s="21" t="str">
        <f t="shared" si="258"/>
        <v/>
      </c>
      <c r="S1563" s="21"/>
      <c r="Z1563" s="8"/>
      <c r="AA1563">
        <v>1</v>
      </c>
      <c r="AB1563">
        <f t="shared" si="254"/>
        <v>0</v>
      </c>
      <c r="AC1563">
        <v>1</v>
      </c>
      <c r="AF1563">
        <v>1</v>
      </c>
      <c r="AG1563" s="8"/>
      <c r="AH1563" s="8"/>
      <c r="AK1563" cm="1">
        <f t="array" ref="AK1563">_xlfn.IFS(B1563="","",LEFT(G1563,1)="L",1,LEFT(G1563,1)="W",1,AND(LEFT(B1563,1)="H",G1563=""),0)</f>
        <v>1</v>
      </c>
      <c r="AS1563" t="str">
        <f t="shared" si="255"/>
        <v/>
      </c>
      <c r="AT1563" t="s">
        <v>115</v>
      </c>
      <c r="AU1563" t="str">
        <f t="shared" si="256"/>
        <v>0</v>
      </c>
      <c r="BD1563" t="str">
        <f t="shared" si="257"/>
        <v>0</v>
      </c>
      <c r="BK1563" t="str">
        <f>IFERROR(VLOOKUP(B1563,'[1]model_S-フレーム'!$F$5:$R$7000,13,1),"")</f>
        <v>E367804_01</v>
      </c>
      <c r="BL1563" s="7">
        <f>IFERROR(VLOOKUP(B1563,'[1]model_S-フレーム'!$F$5:$V$7000,17,1),"")</f>
        <v>0</v>
      </c>
      <c r="BM1563" t="str" cm="1">
        <f t="array" ref="BM1563">_xlfn.IFS(LEFT(G1563,1)="L","外注品",LEFT(G1563,1)="W","内製品",G1563="","購買品")</f>
        <v>内製品</v>
      </c>
    </row>
    <row r="1564" spans="1:65">
      <c r="A1564" t="str">
        <f t="shared" si="248"/>
        <v>WG01</v>
      </c>
      <c r="B1564" t="s">
        <v>1682</v>
      </c>
      <c r="C1564" t="s">
        <v>1911</v>
      </c>
      <c r="D1564" s="7"/>
      <c r="E1564" s="7"/>
      <c r="G1564" t="s">
        <v>1939</v>
      </c>
      <c r="H1564" t="str" cm="1">
        <f t="array" ref="H1564">IFERROR(_xlfn.IFS(B1564="","",AND(B1564="",G1564=""),"",G1564="","記載要"),"")</f>
        <v/>
      </c>
      <c r="K1564" t="str">
        <f t="shared" si="249"/>
        <v>11WP01073896</v>
      </c>
      <c r="L1564" s="3" t="str">
        <f t="shared" si="250"/>
        <v>2001/01/01</v>
      </c>
      <c r="M1564" s="3" t="str">
        <f t="shared" si="251"/>
        <v>2199/12/31</v>
      </c>
      <c r="N1564" t="str">
        <f t="shared" si="252"/>
        <v>11WP01073896</v>
      </c>
      <c r="O1564">
        <v>15</v>
      </c>
      <c r="Q1564" t="str" cm="1">
        <f t="array" ref="Q1564">_xlfn.IFS(AND(C1564="",G1564=""),"",LEFT(G1564,1)="L","記載要",LEFT(G1564,1)="W","",AND(C1564,G1564=""),"記載要")</f>
        <v/>
      </c>
      <c r="R1564" s="21" t="str">
        <f t="shared" si="258"/>
        <v/>
      </c>
      <c r="S1564" s="21"/>
      <c r="Z1564" s="8"/>
      <c r="AA1564">
        <v>1</v>
      </c>
      <c r="AB1564">
        <f t="shared" si="254"/>
        <v>0</v>
      </c>
      <c r="AC1564">
        <v>1</v>
      </c>
      <c r="AF1564">
        <v>1</v>
      </c>
      <c r="AG1564" s="8"/>
      <c r="AH1564" s="8"/>
      <c r="AK1564" cm="1">
        <f t="array" ref="AK1564">_xlfn.IFS(B1564="","",LEFT(G1564,1)="L",1,LEFT(G1564,1)="W",1,AND(LEFT(B1564,1)="H",G1564=""),0)</f>
        <v>1</v>
      </c>
      <c r="AS1564" t="str">
        <f t="shared" si="255"/>
        <v/>
      </c>
      <c r="AT1564" t="s">
        <v>115</v>
      </c>
      <c r="AU1564" t="str">
        <f t="shared" si="256"/>
        <v>0</v>
      </c>
      <c r="BD1564" t="str">
        <f t="shared" si="257"/>
        <v>0</v>
      </c>
      <c r="BK1564" t="str">
        <f>IFERROR(VLOOKUP(B1564,'[1]model_S-フレーム'!$F$5:$R$7000,13,1),"")</f>
        <v>E367804_01</v>
      </c>
      <c r="BL1564" s="7">
        <f>IFERROR(VLOOKUP(B1564,'[1]model_S-フレーム'!$F$5:$V$7000,17,1),"")</f>
        <v>0</v>
      </c>
      <c r="BM1564" t="str" cm="1">
        <f t="array" ref="BM1564">_xlfn.IFS(LEFT(G1564,1)="L","外注品",LEFT(G1564,1)="W","内製品",G1564="","購買品")</f>
        <v>内製品</v>
      </c>
    </row>
    <row r="1565" spans="1:65">
      <c r="A1565" t="str">
        <f t="shared" si="248"/>
        <v>WG01</v>
      </c>
      <c r="B1565" t="s">
        <v>1683</v>
      </c>
      <c r="C1565" t="s">
        <v>1911</v>
      </c>
      <c r="D1565" s="7"/>
      <c r="E1565" s="7"/>
      <c r="G1565" t="s">
        <v>1939</v>
      </c>
      <c r="H1565" t="str" cm="1">
        <f t="array" ref="H1565">IFERROR(_xlfn.IFS(B1565="","",AND(B1565="",G1565=""),"",G1565="","記載要"),"")</f>
        <v/>
      </c>
      <c r="K1565" t="str">
        <f t="shared" si="249"/>
        <v>11WP01073897</v>
      </c>
      <c r="L1565" s="3" t="str">
        <f t="shared" si="250"/>
        <v>2001/01/01</v>
      </c>
      <c r="M1565" s="3" t="str">
        <f t="shared" si="251"/>
        <v>2199/12/31</v>
      </c>
      <c r="N1565" t="str">
        <f t="shared" si="252"/>
        <v>11WP01073897</v>
      </c>
      <c r="O1565">
        <v>15</v>
      </c>
      <c r="Q1565" t="str" cm="1">
        <f t="array" ref="Q1565">_xlfn.IFS(AND(C1565="",G1565=""),"",LEFT(G1565,1)="L","記載要",LEFT(G1565,1)="W","",AND(C1565,G1565=""),"記載要")</f>
        <v/>
      </c>
      <c r="R1565" s="21" t="str">
        <f t="shared" si="258"/>
        <v/>
      </c>
      <c r="S1565" s="21"/>
      <c r="Z1565" s="8"/>
      <c r="AA1565">
        <v>1</v>
      </c>
      <c r="AB1565">
        <f t="shared" si="254"/>
        <v>0</v>
      </c>
      <c r="AC1565">
        <v>1</v>
      </c>
      <c r="AF1565">
        <v>1</v>
      </c>
      <c r="AG1565" s="8"/>
      <c r="AH1565" s="8"/>
      <c r="AK1565" cm="1">
        <f t="array" ref="AK1565">_xlfn.IFS(B1565="","",LEFT(G1565,1)="L",1,LEFT(G1565,1)="W",1,AND(LEFT(B1565,1)="H",G1565=""),0)</f>
        <v>1</v>
      </c>
      <c r="AS1565" t="str">
        <f t="shared" si="255"/>
        <v/>
      </c>
      <c r="AT1565" t="s">
        <v>115</v>
      </c>
      <c r="AU1565" t="str">
        <f t="shared" si="256"/>
        <v>0</v>
      </c>
      <c r="BD1565" t="str">
        <f t="shared" si="257"/>
        <v>0</v>
      </c>
      <c r="BK1565" t="str">
        <f>IFERROR(VLOOKUP(B1565,'[1]model_S-フレーム'!$F$5:$R$7000,13,1),"")</f>
        <v>E367804_01</v>
      </c>
      <c r="BL1565" s="7">
        <f>IFERROR(VLOOKUP(B1565,'[1]model_S-フレーム'!$F$5:$V$7000,17,1),"")</f>
        <v>0</v>
      </c>
      <c r="BM1565" t="str" cm="1">
        <f t="array" ref="BM1565">_xlfn.IFS(LEFT(G1565,1)="L","外注品",LEFT(G1565,1)="W","内製品",G1565="","購買品")</f>
        <v>内製品</v>
      </c>
    </row>
    <row r="1566" spans="1:65">
      <c r="A1566" t="str">
        <f t="shared" si="248"/>
        <v>WG01</v>
      </c>
      <c r="B1566" t="s">
        <v>1684</v>
      </c>
      <c r="C1566" t="s">
        <v>1911</v>
      </c>
      <c r="D1566" s="7"/>
      <c r="E1566" s="7"/>
      <c r="G1566" t="s">
        <v>1939</v>
      </c>
      <c r="H1566" t="str" cm="1">
        <f t="array" ref="H1566">IFERROR(_xlfn.IFS(B1566="","",AND(B1566="",G1566=""),"",G1566="","記載要"),"")</f>
        <v/>
      </c>
      <c r="K1566" t="str">
        <f t="shared" si="249"/>
        <v>11WP01073898</v>
      </c>
      <c r="L1566" s="3" t="str">
        <f t="shared" si="250"/>
        <v>2001/01/01</v>
      </c>
      <c r="M1566" s="3" t="str">
        <f t="shared" si="251"/>
        <v>2199/12/31</v>
      </c>
      <c r="N1566" t="str">
        <f t="shared" si="252"/>
        <v>11WP01073898</v>
      </c>
      <c r="O1566">
        <v>15</v>
      </c>
      <c r="Q1566" t="str" cm="1">
        <f t="array" ref="Q1566">_xlfn.IFS(AND(C1566="",G1566=""),"",LEFT(G1566,1)="L","記載要",LEFT(G1566,1)="W","",AND(C1566,G1566=""),"記載要")</f>
        <v/>
      </c>
      <c r="R1566" s="21" t="str">
        <f t="shared" si="258"/>
        <v/>
      </c>
      <c r="S1566" s="21"/>
      <c r="Z1566" s="8"/>
      <c r="AA1566">
        <v>1</v>
      </c>
      <c r="AB1566">
        <f t="shared" si="254"/>
        <v>0</v>
      </c>
      <c r="AC1566">
        <v>1</v>
      </c>
      <c r="AF1566">
        <v>1</v>
      </c>
      <c r="AG1566" s="8"/>
      <c r="AH1566" s="8"/>
      <c r="AK1566" cm="1">
        <f t="array" ref="AK1566">_xlfn.IFS(B1566="","",LEFT(G1566,1)="L",1,LEFT(G1566,1)="W",1,AND(LEFT(B1566,1)="H",G1566=""),0)</f>
        <v>1</v>
      </c>
      <c r="AS1566" t="str">
        <f t="shared" si="255"/>
        <v/>
      </c>
      <c r="AT1566" t="s">
        <v>115</v>
      </c>
      <c r="AU1566" t="str">
        <f t="shared" si="256"/>
        <v>0</v>
      </c>
      <c r="BD1566" t="str">
        <f t="shared" si="257"/>
        <v>0</v>
      </c>
      <c r="BK1566" t="str">
        <f>IFERROR(VLOOKUP(B1566,'[1]model_S-フレーム'!$F$5:$R$7000,13,1),"")</f>
        <v>E367804_01</v>
      </c>
      <c r="BL1566" s="7">
        <f>IFERROR(VLOOKUP(B1566,'[1]model_S-フレーム'!$F$5:$V$7000,17,1),"")</f>
        <v>0</v>
      </c>
      <c r="BM1566" t="str" cm="1">
        <f t="array" ref="BM1566">_xlfn.IFS(LEFT(G1566,1)="L","外注品",LEFT(G1566,1)="W","内製品",G1566="","購買品")</f>
        <v>内製品</v>
      </c>
    </row>
    <row r="1567" spans="1:65">
      <c r="A1567" t="str">
        <f t="shared" si="248"/>
        <v>WG01</v>
      </c>
      <c r="B1567" t="s">
        <v>1685</v>
      </c>
      <c r="C1567" t="s">
        <v>1911</v>
      </c>
      <c r="D1567" s="7"/>
      <c r="E1567" s="7"/>
      <c r="G1567" t="s">
        <v>1939</v>
      </c>
      <c r="H1567" t="str" cm="1">
        <f t="array" ref="H1567">IFERROR(_xlfn.IFS(B1567="","",AND(B1567="",G1567=""),"",G1567="","記載要"),"")</f>
        <v/>
      </c>
      <c r="K1567" t="str">
        <f t="shared" si="249"/>
        <v>11WP01073899</v>
      </c>
      <c r="L1567" s="3" t="str">
        <f t="shared" si="250"/>
        <v>2001/01/01</v>
      </c>
      <c r="M1567" s="3" t="str">
        <f t="shared" si="251"/>
        <v>2199/12/31</v>
      </c>
      <c r="N1567" t="str">
        <f t="shared" si="252"/>
        <v>11WP01073899</v>
      </c>
      <c r="O1567">
        <v>15</v>
      </c>
      <c r="Q1567" t="str" cm="1">
        <f t="array" ref="Q1567">_xlfn.IFS(AND(C1567="",G1567=""),"",LEFT(G1567,1)="L","記載要",LEFT(G1567,1)="W","",AND(C1567,G1567=""),"記載要")</f>
        <v/>
      </c>
      <c r="R1567" s="21" t="str">
        <f t="shared" si="258"/>
        <v/>
      </c>
      <c r="S1567" s="21"/>
      <c r="Z1567" s="8"/>
      <c r="AA1567">
        <v>1</v>
      </c>
      <c r="AB1567">
        <f t="shared" si="254"/>
        <v>0</v>
      </c>
      <c r="AC1567">
        <v>1</v>
      </c>
      <c r="AF1567">
        <v>1</v>
      </c>
      <c r="AG1567" s="8"/>
      <c r="AH1567" s="8"/>
      <c r="AK1567" cm="1">
        <f t="array" ref="AK1567">_xlfn.IFS(B1567="","",LEFT(G1567,1)="L",1,LEFT(G1567,1)="W",1,AND(LEFT(B1567,1)="H",G1567=""),0)</f>
        <v>1</v>
      </c>
      <c r="AS1567" t="str">
        <f t="shared" si="255"/>
        <v/>
      </c>
      <c r="AT1567" t="s">
        <v>115</v>
      </c>
      <c r="AU1567" t="str">
        <f t="shared" si="256"/>
        <v>0</v>
      </c>
      <c r="BD1567" t="str">
        <f t="shared" si="257"/>
        <v>0</v>
      </c>
      <c r="BK1567" t="str">
        <f>IFERROR(VLOOKUP(B1567,'[1]model_S-フレーム'!$F$5:$R$7000,13,1),"")</f>
        <v>E367804_01</v>
      </c>
      <c r="BL1567" s="7">
        <f>IFERROR(VLOOKUP(B1567,'[1]model_S-フレーム'!$F$5:$V$7000,17,1),"")</f>
        <v>0</v>
      </c>
      <c r="BM1567" t="str" cm="1">
        <f t="array" ref="BM1567">_xlfn.IFS(LEFT(G1567,1)="L","外注品",LEFT(G1567,1)="W","内製品",G1567="","購買品")</f>
        <v>内製品</v>
      </c>
    </row>
    <row r="1568" spans="1:65">
      <c r="A1568" t="str">
        <f t="shared" si="248"/>
        <v>WG01</v>
      </c>
      <c r="B1568" t="s">
        <v>1686</v>
      </c>
      <c r="C1568" t="s">
        <v>1912</v>
      </c>
      <c r="D1568" s="7"/>
      <c r="E1568" s="7"/>
      <c r="G1568" t="s">
        <v>1939</v>
      </c>
      <c r="H1568" t="str" cm="1">
        <f t="array" ref="H1568">IFERROR(_xlfn.IFS(B1568="","",AND(B1568="",G1568=""),"",G1568="","記載要"),"")</f>
        <v/>
      </c>
      <c r="K1568" t="str">
        <f t="shared" si="249"/>
        <v>11WP01073900</v>
      </c>
      <c r="L1568" s="3" t="str">
        <f t="shared" si="250"/>
        <v>2001/01/01</v>
      </c>
      <c r="M1568" s="3" t="str">
        <f t="shared" si="251"/>
        <v>2199/12/31</v>
      </c>
      <c r="N1568" t="str">
        <f t="shared" si="252"/>
        <v>11WP01073900</v>
      </c>
      <c r="O1568">
        <v>15</v>
      </c>
      <c r="Q1568" t="str" cm="1">
        <f t="array" ref="Q1568">_xlfn.IFS(AND(C1568="",G1568=""),"",LEFT(G1568,1)="L","記載要",LEFT(G1568,1)="W","",AND(C1568,G1568=""),"記載要")</f>
        <v/>
      </c>
      <c r="R1568" s="21" t="str">
        <f t="shared" si="258"/>
        <v/>
      </c>
      <c r="S1568" s="21"/>
      <c r="Z1568" s="8"/>
      <c r="AA1568">
        <v>1</v>
      </c>
      <c r="AB1568">
        <f t="shared" si="254"/>
        <v>0</v>
      </c>
      <c r="AC1568">
        <v>1</v>
      </c>
      <c r="AF1568">
        <v>1</v>
      </c>
      <c r="AG1568" s="8"/>
      <c r="AH1568" s="8"/>
      <c r="AK1568" cm="1">
        <f t="array" ref="AK1568">_xlfn.IFS(B1568="","",LEFT(G1568,1)="L",1,LEFT(G1568,1)="W",1,AND(LEFT(B1568,1)="H",G1568=""),0)</f>
        <v>1</v>
      </c>
      <c r="AS1568" t="str">
        <f t="shared" si="255"/>
        <v/>
      </c>
      <c r="AT1568" t="s">
        <v>115</v>
      </c>
      <c r="AU1568" t="str">
        <f t="shared" si="256"/>
        <v>0</v>
      </c>
      <c r="BD1568" t="str">
        <f t="shared" si="257"/>
        <v>0</v>
      </c>
      <c r="BK1568" t="str">
        <f>IFERROR(VLOOKUP(B1568,'[1]model_S-フレーム'!$F$5:$R$7000,13,1),"")</f>
        <v>E367804_01</v>
      </c>
      <c r="BL1568" s="7">
        <f>IFERROR(VLOOKUP(B1568,'[1]model_S-フレーム'!$F$5:$V$7000,17,1),"")</f>
        <v>0</v>
      </c>
      <c r="BM1568" t="str" cm="1">
        <f t="array" ref="BM1568">_xlfn.IFS(LEFT(G1568,1)="L","外注品",LEFT(G1568,1)="W","内製品",G1568="","購買品")</f>
        <v>内製品</v>
      </c>
    </row>
    <row r="1569" spans="1:65">
      <c r="A1569" t="str">
        <f t="shared" si="248"/>
        <v>WG01</v>
      </c>
      <c r="B1569" t="s">
        <v>1687</v>
      </c>
      <c r="C1569" t="s">
        <v>1912</v>
      </c>
      <c r="D1569" s="7"/>
      <c r="E1569" s="7"/>
      <c r="G1569" t="s">
        <v>1939</v>
      </c>
      <c r="H1569" t="str" cm="1">
        <f t="array" ref="H1569">IFERROR(_xlfn.IFS(B1569="","",AND(B1569="",G1569=""),"",G1569="","記載要"),"")</f>
        <v/>
      </c>
      <c r="K1569" t="str">
        <f t="shared" si="249"/>
        <v>11WP01073901</v>
      </c>
      <c r="L1569" s="3" t="str">
        <f t="shared" si="250"/>
        <v>2001/01/01</v>
      </c>
      <c r="M1569" s="3" t="str">
        <f t="shared" si="251"/>
        <v>2199/12/31</v>
      </c>
      <c r="N1569" t="str">
        <f t="shared" si="252"/>
        <v>11WP01073901</v>
      </c>
      <c r="O1569">
        <v>15</v>
      </c>
      <c r="Q1569" t="str" cm="1">
        <f t="array" ref="Q1569">_xlfn.IFS(AND(C1569="",G1569=""),"",LEFT(G1569,1)="L","記載要",LEFT(G1569,1)="W","",AND(C1569,G1569=""),"記載要")</f>
        <v/>
      </c>
      <c r="R1569" s="21" t="str">
        <f t="shared" si="258"/>
        <v/>
      </c>
      <c r="S1569" s="21"/>
      <c r="Z1569" s="8"/>
      <c r="AA1569">
        <v>1</v>
      </c>
      <c r="AB1569">
        <f t="shared" si="254"/>
        <v>0</v>
      </c>
      <c r="AC1569">
        <v>1</v>
      </c>
      <c r="AF1569">
        <v>1</v>
      </c>
      <c r="AG1569" s="8"/>
      <c r="AH1569" s="8"/>
      <c r="AK1569" cm="1">
        <f t="array" ref="AK1569">_xlfn.IFS(B1569="","",LEFT(G1569,1)="L",1,LEFT(G1569,1)="W",1,AND(LEFT(B1569,1)="H",G1569=""),0)</f>
        <v>1</v>
      </c>
      <c r="AS1569" t="str">
        <f t="shared" si="255"/>
        <v/>
      </c>
      <c r="AT1569" t="s">
        <v>115</v>
      </c>
      <c r="AU1569" t="str">
        <f t="shared" si="256"/>
        <v>0</v>
      </c>
      <c r="BD1569" t="str">
        <f t="shared" si="257"/>
        <v>0</v>
      </c>
      <c r="BK1569" t="str">
        <f>IFERROR(VLOOKUP(B1569,'[1]model_S-フレーム'!$F$5:$R$7000,13,1),"")</f>
        <v>E367804_01</v>
      </c>
      <c r="BL1569" s="7">
        <f>IFERROR(VLOOKUP(B1569,'[1]model_S-フレーム'!$F$5:$V$7000,17,1),"")</f>
        <v>0</v>
      </c>
      <c r="BM1569" t="str" cm="1">
        <f t="array" ref="BM1569">_xlfn.IFS(LEFT(G1569,1)="L","外注品",LEFT(G1569,1)="W","内製品",G1569="","購買品")</f>
        <v>内製品</v>
      </c>
    </row>
    <row r="1570" spans="1:65">
      <c r="A1570" t="str">
        <f t="shared" si="248"/>
        <v>WG01</v>
      </c>
      <c r="B1570" t="s">
        <v>1688</v>
      </c>
      <c r="C1570" t="s">
        <v>1912</v>
      </c>
      <c r="D1570" s="7"/>
      <c r="E1570" s="7"/>
      <c r="G1570" t="s">
        <v>1939</v>
      </c>
      <c r="H1570" t="str" cm="1">
        <f t="array" ref="H1570">IFERROR(_xlfn.IFS(B1570="","",AND(B1570="",G1570=""),"",G1570="","記載要"),"")</f>
        <v/>
      </c>
      <c r="K1570" t="str">
        <f t="shared" si="249"/>
        <v>11WP01073902</v>
      </c>
      <c r="L1570" s="3" t="str">
        <f t="shared" si="250"/>
        <v>2001/01/01</v>
      </c>
      <c r="M1570" s="3" t="str">
        <f t="shared" si="251"/>
        <v>2199/12/31</v>
      </c>
      <c r="N1570" t="str">
        <f t="shared" si="252"/>
        <v>11WP01073902</v>
      </c>
      <c r="O1570">
        <v>15</v>
      </c>
      <c r="Q1570" t="str" cm="1">
        <f t="array" ref="Q1570">_xlfn.IFS(AND(C1570="",G1570=""),"",LEFT(G1570,1)="L","記載要",LEFT(G1570,1)="W","",AND(C1570,G1570=""),"記載要")</f>
        <v/>
      </c>
      <c r="R1570" s="21" t="str">
        <f t="shared" si="258"/>
        <v/>
      </c>
      <c r="S1570" s="21"/>
      <c r="Z1570" s="8"/>
      <c r="AA1570">
        <v>1</v>
      </c>
      <c r="AB1570">
        <f t="shared" si="254"/>
        <v>0</v>
      </c>
      <c r="AC1570">
        <v>1</v>
      </c>
      <c r="AF1570">
        <v>1</v>
      </c>
      <c r="AG1570" s="8"/>
      <c r="AH1570" s="8"/>
      <c r="AK1570" cm="1">
        <f t="array" ref="AK1570">_xlfn.IFS(B1570="","",LEFT(G1570,1)="L",1,LEFT(G1570,1)="W",1,AND(LEFT(B1570,1)="H",G1570=""),0)</f>
        <v>1</v>
      </c>
      <c r="AS1570" t="str">
        <f t="shared" si="255"/>
        <v/>
      </c>
      <c r="AT1570" t="s">
        <v>115</v>
      </c>
      <c r="AU1570" t="str">
        <f t="shared" si="256"/>
        <v>0</v>
      </c>
      <c r="BD1570" t="str">
        <f t="shared" si="257"/>
        <v>0</v>
      </c>
      <c r="BK1570" t="str">
        <f>IFERROR(VLOOKUP(B1570,'[1]model_S-フレーム'!$F$5:$R$7000,13,1),"")</f>
        <v>E367804_01</v>
      </c>
      <c r="BL1570" s="7">
        <f>IFERROR(VLOOKUP(B1570,'[1]model_S-フレーム'!$F$5:$V$7000,17,1),"")</f>
        <v>0</v>
      </c>
      <c r="BM1570" t="str" cm="1">
        <f t="array" ref="BM1570">_xlfn.IFS(LEFT(G1570,1)="L","外注品",LEFT(G1570,1)="W","内製品",G1570="","購買品")</f>
        <v>内製品</v>
      </c>
    </row>
    <row r="1571" spans="1:65">
      <c r="A1571" t="str">
        <f t="shared" si="248"/>
        <v>WG01</v>
      </c>
      <c r="B1571" t="s">
        <v>1689</v>
      </c>
      <c r="C1571" t="s">
        <v>1912</v>
      </c>
      <c r="D1571" s="7"/>
      <c r="E1571" s="7"/>
      <c r="G1571" t="s">
        <v>1939</v>
      </c>
      <c r="H1571" t="str" cm="1">
        <f t="array" ref="H1571">IFERROR(_xlfn.IFS(B1571="","",AND(B1571="",G1571=""),"",G1571="","記載要"),"")</f>
        <v/>
      </c>
      <c r="K1571" t="str">
        <f t="shared" si="249"/>
        <v>11WP01073903</v>
      </c>
      <c r="L1571" s="3" t="str">
        <f t="shared" si="250"/>
        <v>2001/01/01</v>
      </c>
      <c r="M1571" s="3" t="str">
        <f t="shared" si="251"/>
        <v>2199/12/31</v>
      </c>
      <c r="N1571" t="str">
        <f t="shared" si="252"/>
        <v>11WP01073903</v>
      </c>
      <c r="O1571">
        <v>15</v>
      </c>
      <c r="Q1571" t="str" cm="1">
        <f t="array" ref="Q1571">_xlfn.IFS(AND(C1571="",G1571=""),"",LEFT(G1571,1)="L","記載要",LEFT(G1571,1)="W","",AND(C1571,G1571=""),"記載要")</f>
        <v/>
      </c>
      <c r="R1571" s="21" t="str">
        <f t="shared" si="258"/>
        <v/>
      </c>
      <c r="S1571" s="21"/>
      <c r="Z1571" s="8"/>
      <c r="AA1571">
        <v>1</v>
      </c>
      <c r="AB1571">
        <f t="shared" si="254"/>
        <v>0</v>
      </c>
      <c r="AC1571">
        <v>1</v>
      </c>
      <c r="AF1571">
        <v>1</v>
      </c>
      <c r="AG1571" s="8"/>
      <c r="AH1571" s="8"/>
      <c r="AK1571" cm="1">
        <f t="array" ref="AK1571">_xlfn.IFS(B1571="","",LEFT(G1571,1)="L",1,LEFT(G1571,1)="W",1,AND(LEFT(B1571,1)="H",G1571=""),0)</f>
        <v>1</v>
      </c>
      <c r="AS1571" t="str">
        <f t="shared" si="255"/>
        <v/>
      </c>
      <c r="AT1571" t="s">
        <v>115</v>
      </c>
      <c r="AU1571" t="str">
        <f t="shared" si="256"/>
        <v>0</v>
      </c>
      <c r="BD1571" t="str">
        <f t="shared" si="257"/>
        <v>0</v>
      </c>
      <c r="BK1571" t="str">
        <f>IFERROR(VLOOKUP(B1571,'[1]model_S-フレーム'!$F$5:$R$7000,13,1),"")</f>
        <v>E367804_01</v>
      </c>
      <c r="BL1571" s="7">
        <f>IFERROR(VLOOKUP(B1571,'[1]model_S-フレーム'!$F$5:$V$7000,17,1),"")</f>
        <v>0</v>
      </c>
      <c r="BM1571" t="str" cm="1">
        <f t="array" ref="BM1571">_xlfn.IFS(LEFT(G1571,1)="L","外注品",LEFT(G1571,1)="W","内製品",G1571="","購買品")</f>
        <v>内製品</v>
      </c>
    </row>
    <row r="1572" spans="1:65">
      <c r="A1572" t="str">
        <f t="shared" si="248"/>
        <v>WG01</v>
      </c>
      <c r="B1572" t="s">
        <v>1690</v>
      </c>
      <c r="C1572" t="s">
        <v>1912</v>
      </c>
      <c r="D1572" s="7"/>
      <c r="E1572" s="7"/>
      <c r="G1572" t="s">
        <v>1939</v>
      </c>
      <c r="H1572" t="str" cm="1">
        <f t="array" ref="H1572">IFERROR(_xlfn.IFS(B1572="","",AND(B1572="",G1572=""),"",G1572="","記載要"),"")</f>
        <v/>
      </c>
      <c r="K1572" t="str">
        <f t="shared" si="249"/>
        <v>11WP01073904</v>
      </c>
      <c r="L1572" s="3" t="str">
        <f t="shared" si="250"/>
        <v>2001/01/01</v>
      </c>
      <c r="M1572" s="3" t="str">
        <f t="shared" si="251"/>
        <v>2199/12/31</v>
      </c>
      <c r="N1572" t="str">
        <f t="shared" si="252"/>
        <v>11WP01073904</v>
      </c>
      <c r="O1572">
        <v>15</v>
      </c>
      <c r="Q1572" t="str" cm="1">
        <f t="array" ref="Q1572">_xlfn.IFS(AND(C1572="",G1572=""),"",LEFT(G1572,1)="L","記載要",LEFT(G1572,1)="W","",AND(C1572,G1572=""),"記載要")</f>
        <v/>
      </c>
      <c r="R1572" s="21" t="str">
        <f t="shared" si="258"/>
        <v/>
      </c>
      <c r="S1572" s="21"/>
      <c r="Z1572" s="8"/>
      <c r="AA1572">
        <v>1</v>
      </c>
      <c r="AB1572">
        <f t="shared" si="254"/>
        <v>0</v>
      </c>
      <c r="AC1572">
        <v>1</v>
      </c>
      <c r="AF1572">
        <v>1</v>
      </c>
      <c r="AG1572" s="8"/>
      <c r="AH1572" s="8"/>
      <c r="AK1572" cm="1">
        <f t="array" ref="AK1572">_xlfn.IFS(B1572="","",LEFT(G1572,1)="L",1,LEFT(G1572,1)="W",1,AND(LEFT(B1572,1)="H",G1572=""),0)</f>
        <v>1</v>
      </c>
      <c r="AS1572" t="str">
        <f t="shared" si="255"/>
        <v/>
      </c>
      <c r="AT1572" t="s">
        <v>115</v>
      </c>
      <c r="AU1572" t="str">
        <f t="shared" si="256"/>
        <v>0</v>
      </c>
      <c r="BD1572" t="str">
        <f t="shared" si="257"/>
        <v>0</v>
      </c>
      <c r="BK1572" t="str">
        <f>IFERROR(VLOOKUP(B1572,'[1]model_S-フレーム'!$F$5:$R$7000,13,1),"")</f>
        <v>E367804_01</v>
      </c>
      <c r="BL1572" s="7">
        <f>IFERROR(VLOOKUP(B1572,'[1]model_S-フレーム'!$F$5:$V$7000,17,1),"")</f>
        <v>0</v>
      </c>
      <c r="BM1572" t="str" cm="1">
        <f t="array" ref="BM1572">_xlfn.IFS(LEFT(G1572,1)="L","外注品",LEFT(G1572,1)="W","内製品",G1572="","購買品")</f>
        <v>内製品</v>
      </c>
    </row>
    <row r="1573" spans="1:65">
      <c r="A1573" t="str">
        <f t="shared" si="248"/>
        <v>WG01</v>
      </c>
      <c r="B1573" t="s">
        <v>1691</v>
      </c>
      <c r="C1573" t="s">
        <v>1912</v>
      </c>
      <c r="D1573" s="7"/>
      <c r="E1573" s="7"/>
      <c r="G1573" t="s">
        <v>1939</v>
      </c>
      <c r="H1573" t="str" cm="1">
        <f t="array" ref="H1573">IFERROR(_xlfn.IFS(B1573="","",AND(B1573="",G1573=""),"",G1573="","記載要"),"")</f>
        <v/>
      </c>
      <c r="K1573" t="str">
        <f t="shared" si="249"/>
        <v>11WP01073905</v>
      </c>
      <c r="L1573" s="3" t="str">
        <f t="shared" si="250"/>
        <v>2001/01/01</v>
      </c>
      <c r="M1573" s="3" t="str">
        <f t="shared" si="251"/>
        <v>2199/12/31</v>
      </c>
      <c r="N1573" t="str">
        <f t="shared" si="252"/>
        <v>11WP01073905</v>
      </c>
      <c r="O1573">
        <v>15</v>
      </c>
      <c r="Q1573" t="str" cm="1">
        <f t="array" ref="Q1573">_xlfn.IFS(AND(C1573="",G1573=""),"",LEFT(G1573,1)="L","記載要",LEFT(G1573,1)="W","",AND(C1573,G1573=""),"記載要")</f>
        <v/>
      </c>
      <c r="R1573" s="21" t="str">
        <f t="shared" si="258"/>
        <v/>
      </c>
      <c r="S1573" s="21"/>
      <c r="Z1573" s="8"/>
      <c r="AA1573">
        <v>1</v>
      </c>
      <c r="AB1573">
        <f t="shared" si="254"/>
        <v>0</v>
      </c>
      <c r="AC1573">
        <v>1</v>
      </c>
      <c r="AF1573">
        <v>1</v>
      </c>
      <c r="AG1573" s="8"/>
      <c r="AH1573" s="8"/>
      <c r="AK1573" cm="1">
        <f t="array" ref="AK1573">_xlfn.IFS(B1573="","",LEFT(G1573,1)="L",1,LEFT(G1573,1)="W",1,AND(LEFT(B1573,1)="H",G1573=""),0)</f>
        <v>1</v>
      </c>
      <c r="AS1573" t="str">
        <f t="shared" si="255"/>
        <v/>
      </c>
      <c r="AT1573" t="s">
        <v>115</v>
      </c>
      <c r="AU1573" t="str">
        <f t="shared" si="256"/>
        <v>0</v>
      </c>
      <c r="BD1573" t="str">
        <f t="shared" si="257"/>
        <v>0</v>
      </c>
      <c r="BK1573" t="str">
        <f>IFERROR(VLOOKUP(B1573,'[1]model_S-フレーム'!$F$5:$R$7000,13,1),"")</f>
        <v>E367804_01</v>
      </c>
      <c r="BL1573" s="7">
        <f>IFERROR(VLOOKUP(B1573,'[1]model_S-フレーム'!$F$5:$V$7000,17,1),"")</f>
        <v>0</v>
      </c>
      <c r="BM1573" t="str" cm="1">
        <f t="array" ref="BM1573">_xlfn.IFS(LEFT(G1573,1)="L","外注品",LEFT(G1573,1)="W","内製品",G1573="","購買品")</f>
        <v>内製品</v>
      </c>
    </row>
    <row r="1574" spans="1:65">
      <c r="A1574" t="str">
        <f t="shared" si="248"/>
        <v>WG01</v>
      </c>
      <c r="B1574" t="s">
        <v>1692</v>
      </c>
      <c r="C1574" t="s">
        <v>1912</v>
      </c>
      <c r="D1574" s="7"/>
      <c r="E1574" s="7"/>
      <c r="G1574" t="s">
        <v>1939</v>
      </c>
      <c r="H1574" t="str" cm="1">
        <f t="array" ref="H1574">IFERROR(_xlfn.IFS(B1574="","",AND(B1574="",G1574=""),"",G1574="","記載要"),"")</f>
        <v/>
      </c>
      <c r="K1574" t="str">
        <f t="shared" si="249"/>
        <v>11WP01073906</v>
      </c>
      <c r="L1574" s="3" t="str">
        <f t="shared" si="250"/>
        <v>2001/01/01</v>
      </c>
      <c r="M1574" s="3" t="str">
        <f t="shared" si="251"/>
        <v>2199/12/31</v>
      </c>
      <c r="N1574" t="str">
        <f t="shared" si="252"/>
        <v>11WP01073906</v>
      </c>
      <c r="O1574">
        <v>15</v>
      </c>
      <c r="Q1574" t="str" cm="1">
        <f t="array" ref="Q1574">_xlfn.IFS(AND(C1574="",G1574=""),"",LEFT(G1574,1)="L","記載要",LEFT(G1574,1)="W","",AND(C1574,G1574=""),"記載要")</f>
        <v/>
      </c>
      <c r="R1574" s="21" t="str">
        <f t="shared" si="258"/>
        <v/>
      </c>
      <c r="S1574" s="21"/>
      <c r="Z1574" s="8"/>
      <c r="AA1574">
        <v>1</v>
      </c>
      <c r="AB1574">
        <f t="shared" si="254"/>
        <v>0</v>
      </c>
      <c r="AC1574">
        <v>1</v>
      </c>
      <c r="AF1574">
        <v>1</v>
      </c>
      <c r="AG1574" s="8"/>
      <c r="AH1574" s="8"/>
      <c r="AK1574" cm="1">
        <f t="array" ref="AK1574">_xlfn.IFS(B1574="","",LEFT(G1574,1)="L",1,LEFT(G1574,1)="W",1,AND(LEFT(B1574,1)="H",G1574=""),0)</f>
        <v>1</v>
      </c>
      <c r="AS1574" t="str">
        <f t="shared" si="255"/>
        <v/>
      </c>
      <c r="AT1574" t="s">
        <v>115</v>
      </c>
      <c r="AU1574" t="str">
        <f t="shared" si="256"/>
        <v>0</v>
      </c>
      <c r="BD1574" t="str">
        <f t="shared" si="257"/>
        <v>0</v>
      </c>
      <c r="BK1574" t="str">
        <f>IFERROR(VLOOKUP(B1574,'[1]model_S-フレーム'!$F$5:$R$7000,13,1),"")</f>
        <v>E367804_01</v>
      </c>
      <c r="BL1574" s="7">
        <f>IFERROR(VLOOKUP(B1574,'[1]model_S-フレーム'!$F$5:$V$7000,17,1),"")</f>
        <v>0</v>
      </c>
      <c r="BM1574" t="str" cm="1">
        <f t="array" ref="BM1574">_xlfn.IFS(LEFT(G1574,1)="L","外注品",LEFT(G1574,1)="W","内製品",G1574="","購買品")</f>
        <v>内製品</v>
      </c>
    </row>
    <row r="1575" spans="1:65">
      <c r="A1575" t="str">
        <f t="shared" si="248"/>
        <v>WG01</v>
      </c>
      <c r="B1575" t="s">
        <v>1693</v>
      </c>
      <c r="C1575" t="s">
        <v>1912</v>
      </c>
      <c r="D1575" s="7"/>
      <c r="E1575" s="7"/>
      <c r="G1575" t="s">
        <v>1939</v>
      </c>
      <c r="H1575" t="str" cm="1">
        <f t="array" ref="H1575">IFERROR(_xlfn.IFS(B1575="","",AND(B1575="",G1575=""),"",G1575="","記載要"),"")</f>
        <v/>
      </c>
      <c r="K1575" t="str">
        <f t="shared" si="249"/>
        <v>11WP01073907</v>
      </c>
      <c r="L1575" s="3" t="str">
        <f t="shared" si="250"/>
        <v>2001/01/01</v>
      </c>
      <c r="M1575" s="3" t="str">
        <f t="shared" si="251"/>
        <v>2199/12/31</v>
      </c>
      <c r="N1575" t="str">
        <f t="shared" si="252"/>
        <v>11WP01073907</v>
      </c>
      <c r="O1575">
        <v>15</v>
      </c>
      <c r="Q1575" t="str" cm="1">
        <f t="array" ref="Q1575">_xlfn.IFS(AND(C1575="",G1575=""),"",LEFT(G1575,1)="L","記載要",LEFT(G1575,1)="W","",AND(C1575,G1575=""),"記載要")</f>
        <v/>
      </c>
      <c r="R1575" s="21" t="str">
        <f t="shared" si="258"/>
        <v/>
      </c>
      <c r="S1575" s="21"/>
      <c r="Z1575" s="8"/>
      <c r="AA1575">
        <v>1</v>
      </c>
      <c r="AB1575">
        <f t="shared" si="254"/>
        <v>0</v>
      </c>
      <c r="AC1575">
        <v>1</v>
      </c>
      <c r="AF1575">
        <v>1</v>
      </c>
      <c r="AG1575" s="8"/>
      <c r="AH1575" s="8"/>
      <c r="AK1575" cm="1">
        <f t="array" ref="AK1575">_xlfn.IFS(B1575="","",LEFT(G1575,1)="L",1,LEFT(G1575,1)="W",1,AND(LEFT(B1575,1)="H",G1575=""),0)</f>
        <v>1</v>
      </c>
      <c r="AS1575" t="str">
        <f t="shared" si="255"/>
        <v/>
      </c>
      <c r="AT1575" t="s">
        <v>115</v>
      </c>
      <c r="AU1575" t="str">
        <f t="shared" si="256"/>
        <v>0</v>
      </c>
      <c r="BD1575" t="str">
        <f t="shared" si="257"/>
        <v>0</v>
      </c>
      <c r="BK1575" t="str">
        <f>IFERROR(VLOOKUP(B1575,'[1]model_S-フレーム'!$F$5:$R$7000,13,1),"")</f>
        <v>E367804_01</v>
      </c>
      <c r="BL1575" s="7">
        <f>IFERROR(VLOOKUP(B1575,'[1]model_S-フレーム'!$F$5:$V$7000,17,1),"")</f>
        <v>0</v>
      </c>
      <c r="BM1575" t="str" cm="1">
        <f t="array" ref="BM1575">_xlfn.IFS(LEFT(G1575,1)="L","外注品",LEFT(G1575,1)="W","内製品",G1575="","購買品")</f>
        <v>内製品</v>
      </c>
    </row>
    <row r="1576" spans="1:65">
      <c r="A1576" t="str">
        <f t="shared" si="248"/>
        <v>WG01</v>
      </c>
      <c r="B1576" t="s">
        <v>1694</v>
      </c>
      <c r="C1576" t="s">
        <v>1912</v>
      </c>
      <c r="D1576" s="7"/>
      <c r="E1576" s="7"/>
      <c r="G1576" t="s">
        <v>1939</v>
      </c>
      <c r="H1576" t="str" cm="1">
        <f t="array" ref="H1576">IFERROR(_xlfn.IFS(B1576="","",AND(B1576="",G1576=""),"",G1576="","記載要"),"")</f>
        <v/>
      </c>
      <c r="K1576" t="str">
        <f t="shared" si="249"/>
        <v>11WP01073908</v>
      </c>
      <c r="L1576" s="3" t="str">
        <f t="shared" si="250"/>
        <v>2001/01/01</v>
      </c>
      <c r="M1576" s="3" t="str">
        <f t="shared" si="251"/>
        <v>2199/12/31</v>
      </c>
      <c r="N1576" t="str">
        <f t="shared" si="252"/>
        <v>11WP01073908</v>
      </c>
      <c r="O1576">
        <v>15</v>
      </c>
      <c r="Q1576" t="str" cm="1">
        <f t="array" ref="Q1576">_xlfn.IFS(AND(C1576="",G1576=""),"",LEFT(G1576,1)="L","記載要",LEFT(G1576,1)="W","",AND(C1576,G1576=""),"記載要")</f>
        <v/>
      </c>
      <c r="R1576" s="21" t="str">
        <f t="shared" si="258"/>
        <v/>
      </c>
      <c r="S1576" s="21"/>
      <c r="Z1576" s="8"/>
      <c r="AA1576">
        <v>1</v>
      </c>
      <c r="AB1576">
        <f t="shared" si="254"/>
        <v>0</v>
      </c>
      <c r="AC1576">
        <v>1</v>
      </c>
      <c r="AF1576">
        <v>1</v>
      </c>
      <c r="AG1576" s="8"/>
      <c r="AH1576" s="8"/>
      <c r="AK1576" cm="1">
        <f t="array" ref="AK1576">_xlfn.IFS(B1576="","",LEFT(G1576,1)="L",1,LEFT(G1576,1)="W",1,AND(LEFT(B1576,1)="H",G1576=""),0)</f>
        <v>1</v>
      </c>
      <c r="AS1576" t="str">
        <f t="shared" si="255"/>
        <v/>
      </c>
      <c r="AT1576" t="s">
        <v>115</v>
      </c>
      <c r="AU1576" t="str">
        <f t="shared" si="256"/>
        <v>0</v>
      </c>
      <c r="BD1576" t="str">
        <f t="shared" si="257"/>
        <v>0</v>
      </c>
      <c r="BK1576" t="str">
        <f>IFERROR(VLOOKUP(B1576,'[1]model_S-フレーム'!$F$5:$R$7000,13,1),"")</f>
        <v>E367804_01</v>
      </c>
      <c r="BL1576" s="7">
        <f>IFERROR(VLOOKUP(B1576,'[1]model_S-フレーム'!$F$5:$V$7000,17,1),"")</f>
        <v>0</v>
      </c>
      <c r="BM1576" t="str" cm="1">
        <f t="array" ref="BM1576">_xlfn.IFS(LEFT(G1576,1)="L","外注品",LEFT(G1576,1)="W","内製品",G1576="","購買品")</f>
        <v>内製品</v>
      </c>
    </row>
    <row r="1577" spans="1:65" s="15" customFormat="1">
      <c r="A1577" t="str">
        <f t="shared" si="248"/>
        <v>WG01</v>
      </c>
      <c r="B1577" t="s">
        <v>1695</v>
      </c>
      <c r="C1577" t="s">
        <v>1913</v>
      </c>
      <c r="D1577" s="7"/>
      <c r="E1577" s="7"/>
      <c r="F1577"/>
      <c r="G1577"/>
      <c r="H1577">
        <v>27616</v>
      </c>
      <c r="I1577"/>
      <c r="J1577"/>
      <c r="K1577" t="str">
        <f t="shared" si="249"/>
        <v/>
      </c>
      <c r="L1577" s="3" t="str">
        <f t="shared" si="250"/>
        <v>2001/01/01</v>
      </c>
      <c r="M1577" s="3" t="str">
        <f t="shared" si="251"/>
        <v>2199/12/31</v>
      </c>
      <c r="N1577" t="str">
        <f t="shared" si="252"/>
        <v/>
      </c>
      <c r="O1577" t="str">
        <f t="shared" ref="O1577:O1584" si="259">IF(G1577="","","記載要")</f>
        <v/>
      </c>
      <c r="P1577"/>
      <c r="Q1577">
        <v>15</v>
      </c>
      <c r="R1577" s="21">
        <v>100000000</v>
      </c>
      <c r="S1577" s="21" t="str" cm="1">
        <f t="array" ref="S1577">_xlfn.IFS(LEFT(G1577,1)="L","記載要",LEFT(G1577,1)="W","記載要",G1577="","")</f>
        <v/>
      </c>
      <c r="T1577"/>
      <c r="U1577"/>
      <c r="V1577"/>
      <c r="W1577"/>
      <c r="X1577"/>
      <c r="Y1577"/>
      <c r="Z1577" s="8"/>
      <c r="AA1577" s="8">
        <v>1</v>
      </c>
      <c r="AB1577">
        <f t="shared" si="254"/>
        <v>0</v>
      </c>
      <c r="AC1577" s="8">
        <v>1</v>
      </c>
      <c r="AD1577"/>
      <c r="AE1577"/>
      <c r="AF1577">
        <v>1</v>
      </c>
      <c r="AG1577" s="8"/>
      <c r="AH1577" s="8"/>
      <c r="AI1577"/>
      <c r="AJ1577"/>
      <c r="AK1577" cm="1">
        <f t="array" ref="AK1577">_xlfn.IFS(B1577="","",LEFT(G1577,1)="L",1,LEFT(G1577,1)="W",1,AND(LEFT(B1577,1)="H",G1577=""),0)</f>
        <v>0</v>
      </c>
      <c r="AL1577"/>
      <c r="AM1577"/>
      <c r="AN1577"/>
      <c r="AO1577"/>
      <c r="AP1577"/>
      <c r="AQ1577"/>
      <c r="AR1577"/>
      <c r="AS1577">
        <f t="shared" si="255"/>
        <v>1</v>
      </c>
      <c r="AT1577" t="s">
        <v>115</v>
      </c>
      <c r="AU1577" t="str">
        <f t="shared" si="256"/>
        <v>0</v>
      </c>
      <c r="AV1577"/>
      <c r="AW1577"/>
      <c r="AX1577"/>
      <c r="AY1577"/>
      <c r="AZ1577"/>
      <c r="BA1577"/>
      <c r="BB1577"/>
      <c r="BC1577"/>
      <c r="BD1577" t="str">
        <f t="shared" si="257"/>
        <v>0</v>
      </c>
      <c r="BE1577"/>
      <c r="BF1577"/>
      <c r="BG1577"/>
      <c r="BH1577"/>
      <c r="BI1577"/>
      <c r="BJ1577"/>
      <c r="BK1577" s="15" t="str">
        <f>IFERROR(VLOOKUP(B1577,'[1]model_S-フレーム'!$F$5:$R$7000,13,1),"")</f>
        <v>E367803_01</v>
      </c>
      <c r="BL1577" s="16">
        <f>IFERROR(VLOOKUP(B1577,'[1]model_S-フレーム'!$F$5:$V$7000,17,1),"")</f>
        <v>0</v>
      </c>
      <c r="BM1577" s="15" t="str" cm="1">
        <f t="array" ref="BM1577">_xlfn.IFS(LEFT(G1577,1)="L","外注品",LEFT(G1577,1)="W","内製品",G1577="","購買品")</f>
        <v>購買品</v>
      </c>
    </row>
    <row r="1578" spans="1:65" s="15" customFormat="1">
      <c r="A1578" t="str">
        <f t="shared" si="248"/>
        <v>WG01</v>
      </c>
      <c r="B1578" t="s">
        <v>1695</v>
      </c>
      <c r="C1578" t="s">
        <v>1913</v>
      </c>
      <c r="D1578" s="7"/>
      <c r="E1578" s="7"/>
      <c r="F1578"/>
      <c r="G1578"/>
      <c r="H1578">
        <v>43453</v>
      </c>
      <c r="I1578"/>
      <c r="J1578"/>
      <c r="K1578" t="str">
        <f t="shared" si="249"/>
        <v/>
      </c>
      <c r="L1578" s="3" t="str">
        <f t="shared" si="250"/>
        <v>2001/01/01</v>
      </c>
      <c r="M1578" s="3" t="str">
        <f t="shared" si="251"/>
        <v>2199/12/31</v>
      </c>
      <c r="N1578" t="str">
        <f t="shared" si="252"/>
        <v/>
      </c>
      <c r="O1578" t="str">
        <f t="shared" si="259"/>
        <v/>
      </c>
      <c r="P1578"/>
      <c r="Q1578">
        <v>15</v>
      </c>
      <c r="R1578" s="21">
        <v>100000000</v>
      </c>
      <c r="S1578" s="21" t="str" cm="1">
        <f t="array" ref="S1578">_xlfn.IFS(LEFT(G1578,1)="L","記載要",LEFT(G1578,1)="W","記載要",G1578="","")</f>
        <v/>
      </c>
      <c r="T1578"/>
      <c r="U1578"/>
      <c r="V1578"/>
      <c r="W1578"/>
      <c r="X1578"/>
      <c r="Y1578"/>
      <c r="Z1578" s="8"/>
      <c r="AA1578" s="8">
        <v>1</v>
      </c>
      <c r="AB1578">
        <f t="shared" si="254"/>
        <v>0</v>
      </c>
      <c r="AC1578" s="8">
        <v>1</v>
      </c>
      <c r="AD1578"/>
      <c r="AE1578"/>
      <c r="AF1578">
        <v>0</v>
      </c>
      <c r="AG1578" s="8"/>
      <c r="AH1578" s="8"/>
      <c r="AI1578"/>
      <c r="AJ1578"/>
      <c r="AK1578" cm="1">
        <f t="array" ref="AK1578">_xlfn.IFS(B1578="","",LEFT(G1578,1)="L",1,LEFT(G1578,1)="W",1,AND(LEFT(B1578,1)="H",G1578=""),0)</f>
        <v>0</v>
      </c>
      <c r="AL1578"/>
      <c r="AM1578"/>
      <c r="AN1578"/>
      <c r="AO1578"/>
      <c r="AP1578"/>
      <c r="AQ1578"/>
      <c r="AR1578"/>
      <c r="AS1578">
        <f t="shared" si="255"/>
        <v>1</v>
      </c>
      <c r="AT1578" t="s">
        <v>115</v>
      </c>
      <c r="AU1578" t="str">
        <f t="shared" si="256"/>
        <v>0</v>
      </c>
      <c r="AV1578"/>
      <c r="AW1578"/>
      <c r="AX1578"/>
      <c r="AY1578"/>
      <c r="AZ1578"/>
      <c r="BA1578"/>
      <c r="BB1578"/>
      <c r="BC1578"/>
      <c r="BD1578" t="str">
        <f t="shared" si="257"/>
        <v>0</v>
      </c>
      <c r="BE1578"/>
      <c r="BF1578"/>
      <c r="BG1578"/>
      <c r="BH1578"/>
      <c r="BI1578"/>
      <c r="BJ1578"/>
      <c r="BK1578" s="15" t="str">
        <f>IFERROR(VLOOKUP(B1578,'[1]model_S-フレーム'!$F$5:$R$7000,13,1),"")</f>
        <v>E367803_01</v>
      </c>
      <c r="BL1578" s="16">
        <f>IFERROR(VLOOKUP(B1578,'[1]model_S-フレーム'!$F$5:$V$7000,17,1),"")</f>
        <v>0</v>
      </c>
      <c r="BM1578" s="15" t="str" cm="1">
        <f t="array" ref="BM1578">_xlfn.IFS(LEFT(G1578,1)="L","外注品",LEFT(G1578,1)="W","内製品",G1578="","購買品")</f>
        <v>購買品</v>
      </c>
    </row>
    <row r="1579" spans="1:65" s="15" customFormat="1">
      <c r="A1579" t="str">
        <f t="shared" si="248"/>
        <v>WG01</v>
      </c>
      <c r="B1579" t="s">
        <v>1695</v>
      </c>
      <c r="C1579" t="s">
        <v>1913</v>
      </c>
      <c r="D1579" s="7"/>
      <c r="E1579" s="7"/>
      <c r="F1579"/>
      <c r="G1579"/>
      <c r="H1579">
        <v>47081</v>
      </c>
      <c r="I1579"/>
      <c r="J1579"/>
      <c r="K1579" t="str">
        <f t="shared" si="249"/>
        <v/>
      </c>
      <c r="L1579" s="3" t="str">
        <f t="shared" si="250"/>
        <v>2001/01/01</v>
      </c>
      <c r="M1579" s="3" t="str">
        <f t="shared" si="251"/>
        <v>2199/12/31</v>
      </c>
      <c r="N1579" t="str">
        <f t="shared" si="252"/>
        <v/>
      </c>
      <c r="O1579" t="str">
        <f t="shared" si="259"/>
        <v/>
      </c>
      <c r="P1579"/>
      <c r="Q1579">
        <v>15</v>
      </c>
      <c r="R1579" s="21">
        <v>100000000</v>
      </c>
      <c r="S1579" s="21" t="str" cm="1">
        <f t="array" ref="S1579">_xlfn.IFS(LEFT(G1579,1)="L","記載要",LEFT(G1579,1)="W","記載要",G1579="","")</f>
        <v/>
      </c>
      <c r="T1579"/>
      <c r="U1579"/>
      <c r="V1579"/>
      <c r="W1579"/>
      <c r="X1579"/>
      <c r="Y1579"/>
      <c r="Z1579" s="8"/>
      <c r="AA1579" s="8">
        <v>1</v>
      </c>
      <c r="AB1579">
        <f t="shared" si="254"/>
        <v>0</v>
      </c>
      <c r="AC1579" s="8">
        <v>1</v>
      </c>
      <c r="AD1579"/>
      <c r="AE1579"/>
      <c r="AF1579">
        <v>0</v>
      </c>
      <c r="AG1579" s="8"/>
      <c r="AH1579" s="8"/>
      <c r="AI1579"/>
      <c r="AJ1579"/>
      <c r="AK1579" cm="1">
        <f t="array" ref="AK1579">_xlfn.IFS(B1579="","",LEFT(G1579,1)="L",1,LEFT(G1579,1)="W",1,AND(LEFT(B1579,1)="H",G1579=""),0)</f>
        <v>0</v>
      </c>
      <c r="AL1579"/>
      <c r="AM1579"/>
      <c r="AN1579"/>
      <c r="AO1579"/>
      <c r="AP1579"/>
      <c r="AQ1579"/>
      <c r="AR1579"/>
      <c r="AS1579">
        <f t="shared" si="255"/>
        <v>1</v>
      </c>
      <c r="AT1579" t="s">
        <v>115</v>
      </c>
      <c r="AU1579" t="str">
        <f t="shared" si="256"/>
        <v>0</v>
      </c>
      <c r="AV1579"/>
      <c r="AW1579"/>
      <c r="AX1579"/>
      <c r="AY1579"/>
      <c r="AZ1579"/>
      <c r="BA1579"/>
      <c r="BB1579"/>
      <c r="BC1579"/>
      <c r="BD1579" t="str">
        <f t="shared" si="257"/>
        <v>0</v>
      </c>
      <c r="BE1579"/>
      <c r="BF1579"/>
      <c r="BG1579"/>
      <c r="BH1579"/>
      <c r="BI1579"/>
      <c r="BJ1579"/>
      <c r="BK1579" s="15" t="str">
        <f>IFERROR(VLOOKUP(B1579,'[1]model_S-フレーム'!$F$5:$R$7000,13,1),"")</f>
        <v>E367803_01</v>
      </c>
      <c r="BL1579" s="16">
        <f>IFERROR(VLOOKUP(B1579,'[1]model_S-フレーム'!$F$5:$V$7000,17,1),"")</f>
        <v>0</v>
      </c>
      <c r="BM1579" s="15" t="str" cm="1">
        <f t="array" ref="BM1579">_xlfn.IFS(LEFT(G1579,1)="L","外注品",LEFT(G1579,1)="W","内製品",G1579="","購買品")</f>
        <v>購買品</v>
      </c>
    </row>
    <row r="1580" spans="1:65">
      <c r="A1580" t="str">
        <f t="shared" si="248"/>
        <v>WG01</v>
      </c>
      <c r="B1580" t="s">
        <v>1695</v>
      </c>
      <c r="C1580" t="s">
        <v>1913</v>
      </c>
      <c r="D1580" s="7"/>
      <c r="E1580" s="7"/>
      <c r="H1580" s="19" t="s">
        <v>1937</v>
      </c>
      <c r="K1580" t="str">
        <f t="shared" si="249"/>
        <v/>
      </c>
      <c r="L1580" s="3" t="str">
        <f t="shared" si="250"/>
        <v>2001/01/01</v>
      </c>
      <c r="M1580" s="3" t="str">
        <f t="shared" si="251"/>
        <v>2199/12/31</v>
      </c>
      <c r="N1580" t="str">
        <f t="shared" si="252"/>
        <v/>
      </c>
      <c r="O1580" t="str">
        <f t="shared" si="259"/>
        <v/>
      </c>
      <c r="Q1580">
        <v>15</v>
      </c>
      <c r="R1580" s="21">
        <v>100000000</v>
      </c>
      <c r="S1580" s="21" t="str" cm="1">
        <f t="array" ref="S1580">_xlfn.IFS(LEFT(G1580,1)="L","記載要",LEFT(G1580,1)="W","記載要",G1580="","")</f>
        <v/>
      </c>
      <c r="Z1580" s="8"/>
      <c r="AA1580" s="8">
        <v>1</v>
      </c>
      <c r="AB1580">
        <f t="shared" si="254"/>
        <v>0</v>
      </c>
      <c r="AC1580" s="8">
        <v>1</v>
      </c>
      <c r="AF1580">
        <v>0</v>
      </c>
      <c r="AG1580" s="8"/>
      <c r="AH1580" s="8"/>
      <c r="AK1580" cm="1">
        <f t="array" ref="AK1580">_xlfn.IFS(B1580="","",LEFT(G1580,1)="L",1,LEFT(G1580,1)="W",1,AND(LEFT(B1580,1)="H",G1580=""),0)</f>
        <v>0</v>
      </c>
      <c r="AS1580">
        <f t="shared" si="255"/>
        <v>1</v>
      </c>
      <c r="AT1580" t="s">
        <v>115</v>
      </c>
      <c r="AU1580" t="str">
        <f t="shared" si="256"/>
        <v>0</v>
      </c>
      <c r="BD1580" t="str">
        <f t="shared" si="257"/>
        <v>0</v>
      </c>
      <c r="BK1580" t="str">
        <f>IFERROR(VLOOKUP(B1580,'[1]model_S-フレーム'!$F$5:$R$7000,13,1),"")</f>
        <v>E367803_01</v>
      </c>
      <c r="BL1580" s="7">
        <f>IFERROR(VLOOKUP(B1580,'[1]model_S-フレーム'!$F$5:$V$7000,17,1),"")</f>
        <v>0</v>
      </c>
      <c r="BM1580" t="str" cm="1">
        <f t="array" ref="BM1580">_xlfn.IFS(LEFT(G1580,1)="L","外注品",LEFT(G1580,1)="W","内製品",G1580="","購買品")</f>
        <v>購買品</v>
      </c>
    </row>
    <row r="1581" spans="1:65" s="15" customFormat="1">
      <c r="A1581" t="str">
        <f t="shared" si="248"/>
        <v>WG01</v>
      </c>
      <c r="B1581" t="s">
        <v>1696</v>
      </c>
      <c r="C1581" t="s">
        <v>1914</v>
      </c>
      <c r="D1581" s="7"/>
      <c r="E1581" s="7"/>
      <c r="F1581"/>
      <c r="G1581"/>
      <c r="H1581">
        <v>27616</v>
      </c>
      <c r="I1581"/>
      <c r="J1581"/>
      <c r="K1581" t="str">
        <f t="shared" si="249"/>
        <v/>
      </c>
      <c r="L1581" s="3" t="str">
        <f t="shared" si="250"/>
        <v>2001/01/01</v>
      </c>
      <c r="M1581" s="3" t="str">
        <f t="shared" si="251"/>
        <v>2199/12/31</v>
      </c>
      <c r="N1581" t="str">
        <f t="shared" si="252"/>
        <v/>
      </c>
      <c r="O1581" t="str">
        <f t="shared" si="259"/>
        <v/>
      </c>
      <c r="P1581"/>
      <c r="Q1581">
        <v>15</v>
      </c>
      <c r="R1581" s="21">
        <v>100000000</v>
      </c>
      <c r="S1581" s="21" t="str" cm="1">
        <f t="array" ref="S1581">_xlfn.IFS(LEFT(G1581,1)="L","記載要",LEFT(G1581,1)="W","記載要",G1581="","")</f>
        <v/>
      </c>
      <c r="T1581"/>
      <c r="U1581"/>
      <c r="V1581"/>
      <c r="W1581"/>
      <c r="X1581"/>
      <c r="Y1581"/>
      <c r="Z1581" s="8"/>
      <c r="AA1581" s="8">
        <v>1</v>
      </c>
      <c r="AB1581">
        <f t="shared" si="254"/>
        <v>0</v>
      </c>
      <c r="AC1581" s="8">
        <v>1</v>
      </c>
      <c r="AD1581"/>
      <c r="AE1581"/>
      <c r="AF1581">
        <v>1</v>
      </c>
      <c r="AG1581" s="8"/>
      <c r="AH1581" s="8"/>
      <c r="AI1581"/>
      <c r="AJ1581"/>
      <c r="AK1581" cm="1">
        <f t="array" ref="AK1581">_xlfn.IFS(B1581="","",LEFT(G1581,1)="L",1,LEFT(G1581,1)="W",1,AND(LEFT(B1581,1)="H",G1581=""),0)</f>
        <v>0</v>
      </c>
      <c r="AL1581"/>
      <c r="AM1581"/>
      <c r="AN1581"/>
      <c r="AO1581"/>
      <c r="AP1581"/>
      <c r="AQ1581"/>
      <c r="AR1581"/>
      <c r="AS1581">
        <f t="shared" si="255"/>
        <v>1</v>
      </c>
      <c r="AT1581" t="s">
        <v>115</v>
      </c>
      <c r="AU1581" t="str">
        <f t="shared" si="256"/>
        <v>0</v>
      </c>
      <c r="AV1581"/>
      <c r="AW1581"/>
      <c r="AX1581"/>
      <c r="AY1581"/>
      <c r="AZ1581"/>
      <c r="BA1581"/>
      <c r="BB1581"/>
      <c r="BC1581"/>
      <c r="BD1581" t="str">
        <f t="shared" si="257"/>
        <v>0</v>
      </c>
      <c r="BE1581"/>
      <c r="BF1581"/>
      <c r="BG1581"/>
      <c r="BH1581"/>
      <c r="BI1581"/>
      <c r="BJ1581"/>
      <c r="BK1581" s="15" t="str">
        <f>IFERROR(VLOOKUP(B1581,'[1]model_S-フレーム'!$F$5:$R$7000,13,1),"")</f>
        <v>E367804_02</v>
      </c>
      <c r="BL1581" s="16" t="str">
        <f>IFERROR(VLOOKUP(B1581,'[1]model_S-フレーム'!$F$5:$V$7000,17,1),"")</f>
        <v>SX-80L</v>
      </c>
      <c r="BM1581" s="15" t="str" cm="1">
        <f t="array" ref="BM1581">_xlfn.IFS(LEFT(G1581,1)="L","外注品",LEFT(G1581,1)="W","内製品",G1581="","購買品")</f>
        <v>購買品</v>
      </c>
    </row>
    <row r="1582" spans="1:65" s="15" customFormat="1">
      <c r="A1582" t="str">
        <f t="shared" si="248"/>
        <v>WG01</v>
      </c>
      <c r="B1582" t="s">
        <v>1696</v>
      </c>
      <c r="C1582" t="s">
        <v>1914</v>
      </c>
      <c r="D1582" s="7"/>
      <c r="E1582" s="7"/>
      <c r="F1582"/>
      <c r="G1582"/>
      <c r="H1582">
        <v>43453</v>
      </c>
      <c r="I1582"/>
      <c r="J1582"/>
      <c r="K1582" t="str">
        <f t="shared" si="249"/>
        <v/>
      </c>
      <c r="L1582" s="3" t="str">
        <f t="shared" si="250"/>
        <v>2001/01/01</v>
      </c>
      <c r="M1582" s="3" t="str">
        <f t="shared" si="251"/>
        <v>2199/12/31</v>
      </c>
      <c r="N1582" t="str">
        <f t="shared" si="252"/>
        <v/>
      </c>
      <c r="O1582" t="str">
        <f t="shared" si="259"/>
        <v/>
      </c>
      <c r="P1582"/>
      <c r="Q1582">
        <v>15</v>
      </c>
      <c r="R1582" s="21">
        <v>100000000</v>
      </c>
      <c r="S1582" s="21" t="str" cm="1">
        <f t="array" ref="S1582">_xlfn.IFS(LEFT(G1582,1)="L","記載要",LEFT(G1582,1)="W","記載要",G1582="","")</f>
        <v/>
      </c>
      <c r="T1582"/>
      <c r="U1582"/>
      <c r="V1582"/>
      <c r="W1582"/>
      <c r="X1582"/>
      <c r="Y1582"/>
      <c r="Z1582" s="8"/>
      <c r="AA1582" s="8">
        <v>1</v>
      </c>
      <c r="AB1582">
        <f t="shared" si="254"/>
        <v>0</v>
      </c>
      <c r="AC1582" s="8">
        <v>1</v>
      </c>
      <c r="AD1582"/>
      <c r="AE1582"/>
      <c r="AF1582">
        <v>0</v>
      </c>
      <c r="AG1582" s="8"/>
      <c r="AH1582" s="8"/>
      <c r="AI1582"/>
      <c r="AJ1582"/>
      <c r="AK1582" cm="1">
        <f t="array" ref="AK1582">_xlfn.IFS(B1582="","",LEFT(G1582,1)="L",1,LEFT(G1582,1)="W",1,AND(LEFT(B1582,1)="H",G1582=""),0)</f>
        <v>0</v>
      </c>
      <c r="AL1582"/>
      <c r="AM1582"/>
      <c r="AN1582"/>
      <c r="AO1582"/>
      <c r="AP1582"/>
      <c r="AQ1582"/>
      <c r="AR1582"/>
      <c r="AS1582">
        <f t="shared" si="255"/>
        <v>1</v>
      </c>
      <c r="AT1582" t="s">
        <v>115</v>
      </c>
      <c r="AU1582" t="str">
        <f t="shared" si="256"/>
        <v>0</v>
      </c>
      <c r="AV1582"/>
      <c r="AW1582"/>
      <c r="AX1582"/>
      <c r="AY1582"/>
      <c r="AZ1582"/>
      <c r="BA1582"/>
      <c r="BB1582"/>
      <c r="BC1582"/>
      <c r="BD1582" t="str">
        <f t="shared" si="257"/>
        <v>0</v>
      </c>
      <c r="BE1582"/>
      <c r="BF1582"/>
      <c r="BG1582"/>
      <c r="BH1582"/>
      <c r="BI1582"/>
      <c r="BJ1582"/>
      <c r="BK1582" s="15" t="str">
        <f>IFERROR(VLOOKUP(B1582,'[1]model_S-フレーム'!$F$5:$R$7000,13,1),"")</f>
        <v>E367804_02</v>
      </c>
      <c r="BL1582" s="16" t="str">
        <f>IFERROR(VLOOKUP(B1582,'[1]model_S-フレーム'!$F$5:$V$7000,17,1),"")</f>
        <v>SX-80L</v>
      </c>
      <c r="BM1582" s="15" t="str" cm="1">
        <f t="array" ref="BM1582">_xlfn.IFS(LEFT(G1582,1)="L","外注品",LEFT(G1582,1)="W","内製品",G1582="","購買品")</f>
        <v>購買品</v>
      </c>
    </row>
    <row r="1583" spans="1:65" s="15" customFormat="1">
      <c r="A1583" t="str">
        <f t="shared" si="248"/>
        <v>WG01</v>
      </c>
      <c r="B1583" t="s">
        <v>1696</v>
      </c>
      <c r="C1583" t="s">
        <v>1914</v>
      </c>
      <c r="D1583" s="7"/>
      <c r="E1583" s="7"/>
      <c r="F1583"/>
      <c r="G1583"/>
      <c r="H1583">
        <v>47081</v>
      </c>
      <c r="I1583"/>
      <c r="J1583"/>
      <c r="K1583" t="str">
        <f t="shared" si="249"/>
        <v/>
      </c>
      <c r="L1583" s="3" t="str">
        <f t="shared" si="250"/>
        <v>2001/01/01</v>
      </c>
      <c r="M1583" s="3" t="str">
        <f t="shared" si="251"/>
        <v>2199/12/31</v>
      </c>
      <c r="N1583" t="str">
        <f t="shared" si="252"/>
        <v/>
      </c>
      <c r="O1583" t="str">
        <f t="shared" si="259"/>
        <v/>
      </c>
      <c r="P1583"/>
      <c r="Q1583">
        <v>15</v>
      </c>
      <c r="R1583" s="21">
        <v>100000000</v>
      </c>
      <c r="S1583" s="21" t="str" cm="1">
        <f t="array" ref="S1583">_xlfn.IFS(LEFT(G1583,1)="L","記載要",LEFT(G1583,1)="W","記載要",G1583="","")</f>
        <v/>
      </c>
      <c r="T1583"/>
      <c r="U1583"/>
      <c r="V1583"/>
      <c r="W1583"/>
      <c r="X1583"/>
      <c r="Y1583"/>
      <c r="Z1583" s="8"/>
      <c r="AA1583" s="8">
        <v>1</v>
      </c>
      <c r="AB1583">
        <f t="shared" si="254"/>
        <v>0</v>
      </c>
      <c r="AC1583" s="8">
        <v>1</v>
      </c>
      <c r="AD1583"/>
      <c r="AE1583"/>
      <c r="AF1583">
        <v>0</v>
      </c>
      <c r="AG1583" s="8"/>
      <c r="AH1583" s="8"/>
      <c r="AI1583"/>
      <c r="AJ1583"/>
      <c r="AK1583" cm="1">
        <f t="array" ref="AK1583">_xlfn.IFS(B1583="","",LEFT(G1583,1)="L",1,LEFT(G1583,1)="W",1,AND(LEFT(B1583,1)="H",G1583=""),0)</f>
        <v>0</v>
      </c>
      <c r="AL1583"/>
      <c r="AM1583"/>
      <c r="AN1583"/>
      <c r="AO1583"/>
      <c r="AP1583"/>
      <c r="AQ1583"/>
      <c r="AR1583"/>
      <c r="AS1583">
        <f t="shared" si="255"/>
        <v>1</v>
      </c>
      <c r="AT1583" t="s">
        <v>115</v>
      </c>
      <c r="AU1583" t="str">
        <f t="shared" si="256"/>
        <v>0</v>
      </c>
      <c r="AV1583"/>
      <c r="AW1583"/>
      <c r="AX1583"/>
      <c r="AY1583"/>
      <c r="AZ1583"/>
      <c r="BA1583"/>
      <c r="BB1583"/>
      <c r="BC1583"/>
      <c r="BD1583" t="str">
        <f t="shared" si="257"/>
        <v>0</v>
      </c>
      <c r="BE1583"/>
      <c r="BF1583"/>
      <c r="BG1583"/>
      <c r="BH1583"/>
      <c r="BI1583"/>
      <c r="BJ1583"/>
      <c r="BK1583" s="15" t="str">
        <f>IFERROR(VLOOKUP(B1583,'[1]model_S-フレーム'!$F$5:$R$7000,13,1),"")</f>
        <v>E367804_02</v>
      </c>
      <c r="BL1583" s="16" t="str">
        <f>IFERROR(VLOOKUP(B1583,'[1]model_S-フレーム'!$F$5:$V$7000,17,1),"")</f>
        <v>SX-80L</v>
      </c>
      <c r="BM1583" s="15" t="str" cm="1">
        <f t="array" ref="BM1583">_xlfn.IFS(LEFT(G1583,1)="L","外注品",LEFT(G1583,1)="W","内製品",G1583="","購買品")</f>
        <v>購買品</v>
      </c>
    </row>
    <row r="1584" spans="1:65">
      <c r="A1584" t="str">
        <f t="shared" si="248"/>
        <v>WG01</v>
      </c>
      <c r="B1584" t="s">
        <v>1696</v>
      </c>
      <c r="C1584" t="s">
        <v>1914</v>
      </c>
      <c r="D1584" s="7"/>
      <c r="E1584" s="7"/>
      <c r="H1584" s="19" t="s">
        <v>1937</v>
      </c>
      <c r="K1584" t="str">
        <f t="shared" si="249"/>
        <v/>
      </c>
      <c r="L1584" s="3" t="str">
        <f t="shared" si="250"/>
        <v>2001/01/01</v>
      </c>
      <c r="M1584" s="3" t="str">
        <f t="shared" si="251"/>
        <v>2199/12/31</v>
      </c>
      <c r="N1584" t="str">
        <f t="shared" si="252"/>
        <v/>
      </c>
      <c r="O1584" t="str">
        <f t="shared" si="259"/>
        <v/>
      </c>
      <c r="Q1584">
        <v>15</v>
      </c>
      <c r="R1584" s="21">
        <v>100000000</v>
      </c>
      <c r="S1584" s="21" t="str" cm="1">
        <f t="array" ref="S1584">_xlfn.IFS(LEFT(G1584,1)="L","記載要",LEFT(G1584,1)="W","記載要",G1584="","")</f>
        <v/>
      </c>
      <c r="Z1584" s="8"/>
      <c r="AA1584" s="8">
        <v>1</v>
      </c>
      <c r="AB1584">
        <f t="shared" si="254"/>
        <v>0</v>
      </c>
      <c r="AC1584" s="8">
        <v>1</v>
      </c>
      <c r="AF1584">
        <v>0</v>
      </c>
      <c r="AG1584" s="8"/>
      <c r="AH1584" s="8"/>
      <c r="AK1584" cm="1">
        <f t="array" ref="AK1584">_xlfn.IFS(B1584="","",LEFT(G1584,1)="L",1,LEFT(G1584,1)="W",1,AND(LEFT(B1584,1)="H",G1584=""),0)</f>
        <v>0</v>
      </c>
      <c r="AS1584">
        <f t="shared" si="255"/>
        <v>1</v>
      </c>
      <c r="AT1584" t="s">
        <v>115</v>
      </c>
      <c r="AU1584" t="str">
        <f t="shared" si="256"/>
        <v>0</v>
      </c>
      <c r="BD1584" t="str">
        <f t="shared" si="257"/>
        <v>0</v>
      </c>
      <c r="BK1584" t="str">
        <f>IFERROR(VLOOKUP(B1584,'[1]model_S-フレーム'!$F$5:$R$7000,13,1),"")</f>
        <v>E367804_02</v>
      </c>
      <c r="BL1584" s="7" t="str">
        <f>IFERROR(VLOOKUP(B1584,'[1]model_S-フレーム'!$F$5:$V$7000,17,1),"")</f>
        <v>SX-80L</v>
      </c>
      <c r="BM1584" t="str" cm="1">
        <f t="array" ref="BM1584">_xlfn.IFS(LEFT(G1584,1)="L","外注品",LEFT(G1584,1)="W","内製品",G1584="","購買品")</f>
        <v>購買品</v>
      </c>
    </row>
    <row r="1585" spans="1:65">
      <c r="A1585" t="str">
        <f t="shared" si="248"/>
        <v>WG01</v>
      </c>
      <c r="B1585" t="s">
        <v>1697</v>
      </c>
      <c r="C1585" t="s">
        <v>1915</v>
      </c>
      <c r="D1585" s="7"/>
      <c r="E1585" s="7"/>
      <c r="G1585" t="s">
        <v>1939</v>
      </c>
      <c r="H1585" t="str" cm="1">
        <f t="array" ref="H1585">IFERROR(_xlfn.IFS(B1585="","",AND(B1585="",G1585=""),"",G1585="","記載要"),"")</f>
        <v/>
      </c>
      <c r="K1585" t="str">
        <f t="shared" si="249"/>
        <v>11WP01073911</v>
      </c>
      <c r="L1585" s="3" t="str">
        <f t="shared" si="250"/>
        <v>2001/01/01</v>
      </c>
      <c r="M1585" s="3" t="str">
        <f t="shared" si="251"/>
        <v>2199/12/31</v>
      </c>
      <c r="N1585" t="str">
        <f t="shared" si="252"/>
        <v>11WP01073911</v>
      </c>
      <c r="O1585">
        <v>15</v>
      </c>
      <c r="Q1585" t="str" cm="1">
        <f t="array" ref="Q1585">_xlfn.IFS(AND(C1585="",G1585=""),"",LEFT(G1585,1)="L","記載要",LEFT(G1585,1)="W","",AND(C1585,G1585=""),"記載要")</f>
        <v/>
      </c>
      <c r="R1585" s="21" t="str">
        <f t="shared" si="258"/>
        <v/>
      </c>
      <c r="S1585" s="21"/>
      <c r="Z1585" s="8"/>
      <c r="AA1585">
        <v>1</v>
      </c>
      <c r="AB1585">
        <f t="shared" si="254"/>
        <v>0</v>
      </c>
      <c r="AC1585">
        <v>1</v>
      </c>
      <c r="AF1585">
        <v>1</v>
      </c>
      <c r="AG1585" s="8"/>
      <c r="AH1585" s="8"/>
      <c r="AK1585" cm="1">
        <f t="array" ref="AK1585">_xlfn.IFS(B1585="","",LEFT(G1585,1)="L",1,LEFT(G1585,1)="W",1,AND(LEFT(B1585,1)="H",G1585=""),0)</f>
        <v>1</v>
      </c>
      <c r="AS1585" t="str">
        <f t="shared" si="255"/>
        <v/>
      </c>
      <c r="AT1585" t="s">
        <v>115</v>
      </c>
      <c r="AU1585" t="str">
        <f t="shared" si="256"/>
        <v>0</v>
      </c>
      <c r="BD1585" t="str">
        <f t="shared" si="257"/>
        <v>0</v>
      </c>
      <c r="BK1585" t="str">
        <f>IFERROR(VLOOKUP(B1585,'[1]model_S-フレーム'!$F$5:$R$7000,13,1),"")</f>
        <v>E367808_01</v>
      </c>
      <c r="BL1585" s="7">
        <f>IFERROR(VLOOKUP(B1585,'[1]model_S-フレーム'!$F$5:$V$7000,17,1),"")</f>
        <v>0</v>
      </c>
      <c r="BM1585" t="str" cm="1">
        <f t="array" ref="BM1585">_xlfn.IFS(LEFT(G1585,1)="L","外注品",LEFT(G1585,1)="W","内製品",G1585="","購買品")</f>
        <v>内製品</v>
      </c>
    </row>
    <row r="1586" spans="1:65">
      <c r="A1586" t="str">
        <f t="shared" si="248"/>
        <v>WG01</v>
      </c>
      <c r="B1586" t="s">
        <v>1698</v>
      </c>
      <c r="C1586" t="s">
        <v>1915</v>
      </c>
      <c r="D1586" s="7"/>
      <c r="E1586" s="7"/>
      <c r="G1586" t="s">
        <v>1939</v>
      </c>
      <c r="H1586" t="str" cm="1">
        <f t="array" ref="H1586">IFERROR(_xlfn.IFS(B1586="","",AND(B1586="",G1586=""),"",G1586="","記載要"),"")</f>
        <v/>
      </c>
      <c r="K1586" t="str">
        <f t="shared" si="249"/>
        <v>11WP01073912</v>
      </c>
      <c r="L1586" s="3" t="str">
        <f t="shared" si="250"/>
        <v>2001/01/01</v>
      </c>
      <c r="M1586" s="3" t="str">
        <f t="shared" si="251"/>
        <v>2199/12/31</v>
      </c>
      <c r="N1586" t="str">
        <f t="shared" si="252"/>
        <v>11WP01073912</v>
      </c>
      <c r="O1586">
        <v>15</v>
      </c>
      <c r="Q1586" t="str" cm="1">
        <f t="array" ref="Q1586">_xlfn.IFS(AND(C1586="",G1586=""),"",LEFT(G1586,1)="L","記載要",LEFT(G1586,1)="W","",AND(C1586,G1586=""),"記載要")</f>
        <v/>
      </c>
      <c r="R1586" s="21" t="str">
        <f t="shared" si="258"/>
        <v/>
      </c>
      <c r="S1586" s="21"/>
      <c r="Z1586" s="8"/>
      <c r="AA1586">
        <v>1</v>
      </c>
      <c r="AB1586">
        <f t="shared" si="254"/>
        <v>0</v>
      </c>
      <c r="AC1586">
        <v>1</v>
      </c>
      <c r="AF1586">
        <v>1</v>
      </c>
      <c r="AG1586" s="8"/>
      <c r="AH1586" s="8"/>
      <c r="AK1586" cm="1">
        <f t="array" ref="AK1586">_xlfn.IFS(B1586="","",LEFT(G1586,1)="L",1,LEFT(G1586,1)="W",1,AND(LEFT(B1586,1)="H",G1586=""),0)</f>
        <v>1</v>
      </c>
      <c r="AS1586" t="str">
        <f t="shared" si="255"/>
        <v/>
      </c>
      <c r="AT1586" t="s">
        <v>115</v>
      </c>
      <c r="AU1586" t="str">
        <f t="shared" si="256"/>
        <v>0</v>
      </c>
      <c r="BD1586" t="str">
        <f t="shared" si="257"/>
        <v>0</v>
      </c>
      <c r="BK1586" t="str">
        <f>IFERROR(VLOOKUP(B1586,'[1]model_S-フレーム'!$F$5:$R$7000,13,1),"")</f>
        <v>E367808_01</v>
      </c>
      <c r="BL1586" s="7">
        <f>IFERROR(VLOOKUP(B1586,'[1]model_S-フレーム'!$F$5:$V$7000,17,1),"")</f>
        <v>0</v>
      </c>
      <c r="BM1586" t="str" cm="1">
        <f t="array" ref="BM1586">_xlfn.IFS(LEFT(G1586,1)="L","外注品",LEFT(G1586,1)="W","内製品",G1586="","購買品")</f>
        <v>内製品</v>
      </c>
    </row>
    <row r="1587" spans="1:65">
      <c r="A1587" t="str">
        <f t="shared" si="248"/>
        <v>WG01</v>
      </c>
      <c r="B1587" t="s">
        <v>1699</v>
      </c>
      <c r="C1587" t="s">
        <v>1915</v>
      </c>
      <c r="D1587" s="7"/>
      <c r="E1587" s="7"/>
      <c r="G1587" t="s">
        <v>1939</v>
      </c>
      <c r="H1587" t="str" cm="1">
        <f t="array" ref="H1587">IFERROR(_xlfn.IFS(B1587="","",AND(B1587="",G1587=""),"",G1587="","記載要"),"")</f>
        <v/>
      </c>
      <c r="K1587" t="str">
        <f t="shared" si="249"/>
        <v>11WP01073913</v>
      </c>
      <c r="L1587" s="3" t="str">
        <f t="shared" si="250"/>
        <v>2001/01/01</v>
      </c>
      <c r="M1587" s="3" t="str">
        <f t="shared" si="251"/>
        <v>2199/12/31</v>
      </c>
      <c r="N1587" t="str">
        <f t="shared" si="252"/>
        <v>11WP01073913</v>
      </c>
      <c r="O1587">
        <v>15</v>
      </c>
      <c r="Q1587" t="str" cm="1">
        <f t="array" ref="Q1587">_xlfn.IFS(AND(C1587="",G1587=""),"",LEFT(G1587,1)="L","記載要",LEFT(G1587,1)="W","",AND(C1587,G1587=""),"記載要")</f>
        <v/>
      </c>
      <c r="R1587" s="21" t="str">
        <f t="shared" si="258"/>
        <v/>
      </c>
      <c r="S1587" s="21"/>
      <c r="Z1587" s="8"/>
      <c r="AA1587">
        <v>1</v>
      </c>
      <c r="AB1587">
        <f t="shared" si="254"/>
        <v>0</v>
      </c>
      <c r="AC1587">
        <v>1</v>
      </c>
      <c r="AF1587">
        <v>1</v>
      </c>
      <c r="AG1587" s="8"/>
      <c r="AH1587" s="8"/>
      <c r="AK1587" cm="1">
        <f t="array" ref="AK1587">_xlfn.IFS(B1587="","",LEFT(G1587,1)="L",1,LEFT(G1587,1)="W",1,AND(LEFT(B1587,1)="H",G1587=""),0)</f>
        <v>1</v>
      </c>
      <c r="AS1587" t="str">
        <f t="shared" si="255"/>
        <v/>
      </c>
      <c r="AT1587" t="s">
        <v>115</v>
      </c>
      <c r="AU1587" t="str">
        <f t="shared" si="256"/>
        <v>0</v>
      </c>
      <c r="BD1587" t="str">
        <f t="shared" si="257"/>
        <v>0</v>
      </c>
      <c r="BK1587" t="str">
        <f>IFERROR(VLOOKUP(B1587,'[1]model_S-フレーム'!$F$5:$R$7000,13,1),"")</f>
        <v>E367808_01</v>
      </c>
      <c r="BL1587" s="7">
        <f>IFERROR(VLOOKUP(B1587,'[1]model_S-フレーム'!$F$5:$V$7000,17,1),"")</f>
        <v>0</v>
      </c>
      <c r="BM1587" t="str" cm="1">
        <f t="array" ref="BM1587">_xlfn.IFS(LEFT(G1587,1)="L","外注品",LEFT(G1587,1)="W","内製品",G1587="","購買品")</f>
        <v>内製品</v>
      </c>
    </row>
    <row r="1588" spans="1:65">
      <c r="A1588" t="str">
        <f t="shared" si="248"/>
        <v>WG01</v>
      </c>
      <c r="B1588" t="s">
        <v>1700</v>
      </c>
      <c r="C1588" t="s">
        <v>1915</v>
      </c>
      <c r="D1588" s="7"/>
      <c r="E1588" s="7"/>
      <c r="G1588" t="s">
        <v>1939</v>
      </c>
      <c r="H1588" t="str" cm="1">
        <f t="array" ref="H1588">IFERROR(_xlfn.IFS(B1588="","",AND(B1588="",G1588=""),"",G1588="","記載要"),"")</f>
        <v/>
      </c>
      <c r="K1588" t="str">
        <f t="shared" si="249"/>
        <v>11WP01073914</v>
      </c>
      <c r="L1588" s="3" t="str">
        <f t="shared" si="250"/>
        <v>2001/01/01</v>
      </c>
      <c r="M1588" s="3" t="str">
        <f t="shared" si="251"/>
        <v>2199/12/31</v>
      </c>
      <c r="N1588" t="str">
        <f t="shared" si="252"/>
        <v>11WP01073914</v>
      </c>
      <c r="O1588">
        <v>15</v>
      </c>
      <c r="Q1588" t="str" cm="1">
        <f t="array" ref="Q1588">_xlfn.IFS(AND(C1588="",G1588=""),"",LEFT(G1588,1)="L","記載要",LEFT(G1588,1)="W","",AND(C1588,G1588=""),"記載要")</f>
        <v/>
      </c>
      <c r="R1588" s="21" t="str">
        <f t="shared" si="258"/>
        <v/>
      </c>
      <c r="S1588" s="21"/>
      <c r="Z1588" s="8"/>
      <c r="AA1588">
        <v>1</v>
      </c>
      <c r="AB1588">
        <f t="shared" si="254"/>
        <v>0</v>
      </c>
      <c r="AC1588">
        <v>1</v>
      </c>
      <c r="AF1588">
        <v>1</v>
      </c>
      <c r="AG1588" s="8"/>
      <c r="AH1588" s="8"/>
      <c r="AK1588" cm="1">
        <f t="array" ref="AK1588">_xlfn.IFS(B1588="","",LEFT(G1588,1)="L",1,LEFT(G1588,1)="W",1,AND(LEFT(B1588,1)="H",G1588=""),0)</f>
        <v>1</v>
      </c>
      <c r="AS1588" t="str">
        <f t="shared" si="255"/>
        <v/>
      </c>
      <c r="AT1588" t="s">
        <v>115</v>
      </c>
      <c r="AU1588" t="str">
        <f t="shared" si="256"/>
        <v>0</v>
      </c>
      <c r="BD1588" t="str">
        <f t="shared" si="257"/>
        <v>0</v>
      </c>
      <c r="BK1588" t="str">
        <f>IFERROR(VLOOKUP(B1588,'[1]model_S-フレーム'!$F$5:$R$7000,13,1),"")</f>
        <v>E367808_01</v>
      </c>
      <c r="BL1588" s="7">
        <f>IFERROR(VLOOKUP(B1588,'[1]model_S-フレーム'!$F$5:$V$7000,17,1),"")</f>
        <v>0</v>
      </c>
      <c r="BM1588" t="str" cm="1">
        <f t="array" ref="BM1588">_xlfn.IFS(LEFT(G1588,1)="L","外注品",LEFT(G1588,1)="W","内製品",G1588="","購買品")</f>
        <v>内製品</v>
      </c>
    </row>
    <row r="1589" spans="1:65">
      <c r="A1589" t="str">
        <f t="shared" si="248"/>
        <v>WG01</v>
      </c>
      <c r="B1589" t="s">
        <v>1701</v>
      </c>
      <c r="C1589" t="s">
        <v>1915</v>
      </c>
      <c r="D1589" s="7"/>
      <c r="E1589" s="7"/>
      <c r="G1589" t="s">
        <v>1939</v>
      </c>
      <c r="H1589" t="str" cm="1">
        <f t="array" ref="H1589">IFERROR(_xlfn.IFS(B1589="","",AND(B1589="",G1589=""),"",G1589="","記載要"),"")</f>
        <v/>
      </c>
      <c r="K1589" t="str">
        <f t="shared" si="249"/>
        <v>11WP01073915</v>
      </c>
      <c r="L1589" s="3" t="str">
        <f t="shared" si="250"/>
        <v>2001/01/01</v>
      </c>
      <c r="M1589" s="3" t="str">
        <f t="shared" si="251"/>
        <v>2199/12/31</v>
      </c>
      <c r="N1589" t="str">
        <f t="shared" si="252"/>
        <v>11WP01073915</v>
      </c>
      <c r="O1589">
        <v>15</v>
      </c>
      <c r="Q1589" t="str" cm="1">
        <f t="array" ref="Q1589">_xlfn.IFS(AND(C1589="",G1589=""),"",LEFT(G1589,1)="L","記載要",LEFT(G1589,1)="W","",AND(C1589,G1589=""),"記載要")</f>
        <v/>
      </c>
      <c r="R1589" s="21" t="str">
        <f t="shared" si="258"/>
        <v/>
      </c>
      <c r="S1589" s="21"/>
      <c r="Z1589" s="8"/>
      <c r="AA1589">
        <v>1</v>
      </c>
      <c r="AB1589">
        <f t="shared" si="254"/>
        <v>0</v>
      </c>
      <c r="AC1589">
        <v>1</v>
      </c>
      <c r="AF1589">
        <v>1</v>
      </c>
      <c r="AG1589" s="8"/>
      <c r="AH1589" s="8"/>
      <c r="AK1589" cm="1">
        <f t="array" ref="AK1589">_xlfn.IFS(B1589="","",LEFT(G1589,1)="L",1,LEFT(G1589,1)="W",1,AND(LEFT(B1589,1)="H",G1589=""),0)</f>
        <v>1</v>
      </c>
      <c r="AS1589" t="str">
        <f t="shared" si="255"/>
        <v/>
      </c>
      <c r="AT1589" t="s">
        <v>115</v>
      </c>
      <c r="AU1589" t="str">
        <f t="shared" si="256"/>
        <v>0</v>
      </c>
      <c r="BD1589" t="str">
        <f t="shared" si="257"/>
        <v>0</v>
      </c>
      <c r="BK1589" t="str">
        <f>IFERROR(VLOOKUP(B1589,'[1]model_S-フレーム'!$F$5:$R$7000,13,1),"")</f>
        <v>E367808_01</v>
      </c>
      <c r="BL1589" s="7">
        <f>IFERROR(VLOOKUP(B1589,'[1]model_S-フレーム'!$F$5:$V$7000,17,1),"")</f>
        <v>0</v>
      </c>
      <c r="BM1589" t="str" cm="1">
        <f t="array" ref="BM1589">_xlfn.IFS(LEFT(G1589,1)="L","外注品",LEFT(G1589,1)="W","内製品",G1589="","購買品")</f>
        <v>内製品</v>
      </c>
    </row>
    <row r="1590" spans="1:65">
      <c r="A1590" t="str">
        <f t="shared" si="248"/>
        <v>WG01</v>
      </c>
      <c r="B1590" t="s">
        <v>1702</v>
      </c>
      <c r="C1590" t="s">
        <v>1915</v>
      </c>
      <c r="D1590" s="7"/>
      <c r="E1590" s="7"/>
      <c r="G1590" t="s">
        <v>1939</v>
      </c>
      <c r="H1590" t="str" cm="1">
        <f t="array" ref="H1590">IFERROR(_xlfn.IFS(B1590="","",AND(B1590="",G1590=""),"",G1590="","記載要"),"")</f>
        <v/>
      </c>
      <c r="K1590" t="str">
        <f t="shared" si="249"/>
        <v>11WP01073916</v>
      </c>
      <c r="L1590" s="3" t="str">
        <f t="shared" si="250"/>
        <v>2001/01/01</v>
      </c>
      <c r="M1590" s="3" t="str">
        <f t="shared" si="251"/>
        <v>2199/12/31</v>
      </c>
      <c r="N1590" t="str">
        <f t="shared" si="252"/>
        <v>11WP01073916</v>
      </c>
      <c r="O1590">
        <v>15</v>
      </c>
      <c r="Q1590" t="str" cm="1">
        <f t="array" ref="Q1590">_xlfn.IFS(AND(C1590="",G1590=""),"",LEFT(G1590,1)="L","記載要",LEFT(G1590,1)="W","",AND(C1590,G1590=""),"記載要")</f>
        <v/>
      </c>
      <c r="R1590" s="21" t="str">
        <f t="shared" si="258"/>
        <v/>
      </c>
      <c r="S1590" s="21"/>
      <c r="Z1590" s="8"/>
      <c r="AA1590">
        <v>1</v>
      </c>
      <c r="AB1590">
        <f t="shared" si="254"/>
        <v>0</v>
      </c>
      <c r="AC1590">
        <v>1</v>
      </c>
      <c r="AF1590">
        <v>1</v>
      </c>
      <c r="AG1590" s="8"/>
      <c r="AH1590" s="8"/>
      <c r="AK1590" cm="1">
        <f t="array" ref="AK1590">_xlfn.IFS(B1590="","",LEFT(G1590,1)="L",1,LEFT(G1590,1)="W",1,AND(LEFT(B1590,1)="H",G1590=""),0)</f>
        <v>1</v>
      </c>
      <c r="AS1590" t="str">
        <f t="shared" si="255"/>
        <v/>
      </c>
      <c r="AT1590" t="s">
        <v>115</v>
      </c>
      <c r="AU1590" t="str">
        <f t="shared" si="256"/>
        <v>0</v>
      </c>
      <c r="BD1590" t="str">
        <f t="shared" si="257"/>
        <v>0</v>
      </c>
      <c r="BK1590" t="str">
        <f>IFERROR(VLOOKUP(B1590,'[1]model_S-フレーム'!$F$5:$R$7000,13,1),"")</f>
        <v>E367808_01</v>
      </c>
      <c r="BL1590" s="7">
        <f>IFERROR(VLOOKUP(B1590,'[1]model_S-フレーム'!$F$5:$V$7000,17,1),"")</f>
        <v>0</v>
      </c>
      <c r="BM1590" t="str" cm="1">
        <f t="array" ref="BM1590">_xlfn.IFS(LEFT(G1590,1)="L","外注品",LEFT(G1590,1)="W","内製品",G1590="","購買品")</f>
        <v>内製品</v>
      </c>
    </row>
    <row r="1591" spans="1:65">
      <c r="A1591" t="str">
        <f t="shared" si="248"/>
        <v>WG01</v>
      </c>
      <c r="B1591" t="s">
        <v>1703</v>
      </c>
      <c r="C1591" t="s">
        <v>1915</v>
      </c>
      <c r="D1591" s="7"/>
      <c r="E1591" s="7"/>
      <c r="G1591" t="s">
        <v>1939</v>
      </c>
      <c r="H1591" t="str" cm="1">
        <f t="array" ref="H1591">IFERROR(_xlfn.IFS(B1591="","",AND(B1591="",G1591=""),"",G1591="","記載要"),"")</f>
        <v/>
      </c>
      <c r="K1591" t="str">
        <f t="shared" si="249"/>
        <v>11WP01073917</v>
      </c>
      <c r="L1591" s="3" t="str">
        <f t="shared" si="250"/>
        <v>2001/01/01</v>
      </c>
      <c r="M1591" s="3" t="str">
        <f t="shared" si="251"/>
        <v>2199/12/31</v>
      </c>
      <c r="N1591" t="str">
        <f t="shared" si="252"/>
        <v>11WP01073917</v>
      </c>
      <c r="O1591">
        <v>15</v>
      </c>
      <c r="Q1591" t="str" cm="1">
        <f t="array" ref="Q1591">_xlfn.IFS(AND(C1591="",G1591=""),"",LEFT(G1591,1)="L","記載要",LEFT(G1591,1)="W","",AND(C1591,G1591=""),"記載要")</f>
        <v/>
      </c>
      <c r="R1591" s="21" t="str">
        <f t="shared" si="258"/>
        <v/>
      </c>
      <c r="S1591" s="21"/>
      <c r="Z1591" s="8"/>
      <c r="AA1591">
        <v>1</v>
      </c>
      <c r="AB1591">
        <f t="shared" si="254"/>
        <v>0</v>
      </c>
      <c r="AC1591">
        <v>1</v>
      </c>
      <c r="AF1591">
        <v>1</v>
      </c>
      <c r="AG1591" s="8"/>
      <c r="AH1591" s="8"/>
      <c r="AK1591" cm="1">
        <f t="array" ref="AK1591">_xlfn.IFS(B1591="","",LEFT(G1591,1)="L",1,LEFT(G1591,1)="W",1,AND(LEFT(B1591,1)="H",G1591=""),0)</f>
        <v>1</v>
      </c>
      <c r="AS1591" t="str">
        <f t="shared" si="255"/>
        <v/>
      </c>
      <c r="AT1591" t="s">
        <v>115</v>
      </c>
      <c r="AU1591" t="str">
        <f t="shared" si="256"/>
        <v>0</v>
      </c>
      <c r="BD1591" t="str">
        <f t="shared" si="257"/>
        <v>0</v>
      </c>
      <c r="BK1591" t="str">
        <f>IFERROR(VLOOKUP(B1591,'[1]model_S-フレーム'!$F$5:$R$7000,13,1),"")</f>
        <v>E367808_01</v>
      </c>
      <c r="BL1591" s="7">
        <f>IFERROR(VLOOKUP(B1591,'[1]model_S-フレーム'!$F$5:$V$7000,17,1),"")</f>
        <v>0</v>
      </c>
      <c r="BM1591" t="str" cm="1">
        <f t="array" ref="BM1591">_xlfn.IFS(LEFT(G1591,1)="L","外注品",LEFT(G1591,1)="W","内製品",G1591="","購買品")</f>
        <v>内製品</v>
      </c>
    </row>
    <row r="1592" spans="1:65">
      <c r="A1592" t="str">
        <f t="shared" si="248"/>
        <v>WG01</v>
      </c>
      <c r="B1592" t="s">
        <v>1704</v>
      </c>
      <c r="C1592" t="s">
        <v>1915</v>
      </c>
      <c r="D1592" s="7"/>
      <c r="E1592" s="7"/>
      <c r="G1592" t="s">
        <v>1939</v>
      </c>
      <c r="H1592" t="str" cm="1">
        <f t="array" ref="H1592">IFERROR(_xlfn.IFS(B1592="","",AND(B1592="",G1592=""),"",G1592="","記載要"),"")</f>
        <v/>
      </c>
      <c r="K1592" t="str">
        <f t="shared" si="249"/>
        <v>11WP01073918</v>
      </c>
      <c r="L1592" s="3" t="str">
        <f t="shared" si="250"/>
        <v>2001/01/01</v>
      </c>
      <c r="M1592" s="3" t="str">
        <f t="shared" si="251"/>
        <v>2199/12/31</v>
      </c>
      <c r="N1592" t="str">
        <f t="shared" si="252"/>
        <v>11WP01073918</v>
      </c>
      <c r="O1592">
        <v>15</v>
      </c>
      <c r="Q1592" t="str" cm="1">
        <f t="array" ref="Q1592">_xlfn.IFS(AND(C1592="",G1592=""),"",LEFT(G1592,1)="L","記載要",LEFT(G1592,1)="W","",AND(C1592,G1592=""),"記載要")</f>
        <v/>
      </c>
      <c r="R1592" s="21" t="str">
        <f t="shared" si="258"/>
        <v/>
      </c>
      <c r="S1592" s="21"/>
      <c r="Z1592" s="8"/>
      <c r="AA1592">
        <v>1</v>
      </c>
      <c r="AB1592">
        <f t="shared" si="254"/>
        <v>0</v>
      </c>
      <c r="AC1592">
        <v>1</v>
      </c>
      <c r="AF1592">
        <v>1</v>
      </c>
      <c r="AG1592" s="8"/>
      <c r="AH1592" s="8"/>
      <c r="AK1592" cm="1">
        <f t="array" ref="AK1592">_xlfn.IFS(B1592="","",LEFT(G1592,1)="L",1,LEFT(G1592,1)="W",1,AND(LEFT(B1592,1)="H",G1592=""),0)</f>
        <v>1</v>
      </c>
      <c r="AS1592" t="str">
        <f t="shared" si="255"/>
        <v/>
      </c>
      <c r="AT1592" t="s">
        <v>115</v>
      </c>
      <c r="AU1592" t="str">
        <f t="shared" si="256"/>
        <v>0</v>
      </c>
      <c r="BD1592" t="str">
        <f t="shared" si="257"/>
        <v>0</v>
      </c>
      <c r="BK1592" t="str">
        <f>IFERROR(VLOOKUP(B1592,'[1]model_S-フレーム'!$F$5:$R$7000,13,1),"")</f>
        <v>E367808_01</v>
      </c>
      <c r="BL1592" s="7">
        <f>IFERROR(VLOOKUP(B1592,'[1]model_S-フレーム'!$F$5:$V$7000,17,1),"")</f>
        <v>0</v>
      </c>
      <c r="BM1592" t="str" cm="1">
        <f t="array" ref="BM1592">_xlfn.IFS(LEFT(G1592,1)="L","外注品",LEFT(G1592,1)="W","内製品",G1592="","購買品")</f>
        <v>内製品</v>
      </c>
    </row>
    <row r="1593" spans="1:65">
      <c r="A1593" t="str">
        <f t="shared" si="248"/>
        <v>WG01</v>
      </c>
      <c r="B1593" t="s">
        <v>1705</v>
      </c>
      <c r="C1593" t="s">
        <v>1915</v>
      </c>
      <c r="D1593" s="7"/>
      <c r="E1593" s="7"/>
      <c r="G1593" t="s">
        <v>1939</v>
      </c>
      <c r="H1593" t="str" cm="1">
        <f t="array" ref="H1593">IFERROR(_xlfn.IFS(B1593="","",AND(B1593="",G1593=""),"",G1593="","記載要"),"")</f>
        <v/>
      </c>
      <c r="K1593" t="str">
        <f t="shared" si="249"/>
        <v>11WP01073919</v>
      </c>
      <c r="L1593" s="3" t="str">
        <f t="shared" si="250"/>
        <v>2001/01/01</v>
      </c>
      <c r="M1593" s="3" t="str">
        <f t="shared" si="251"/>
        <v>2199/12/31</v>
      </c>
      <c r="N1593" t="str">
        <f t="shared" si="252"/>
        <v>11WP01073919</v>
      </c>
      <c r="O1593">
        <v>15</v>
      </c>
      <c r="Q1593" t="str" cm="1">
        <f t="array" ref="Q1593">_xlfn.IFS(AND(C1593="",G1593=""),"",LEFT(G1593,1)="L","記載要",LEFT(G1593,1)="W","",AND(C1593,G1593=""),"記載要")</f>
        <v/>
      </c>
      <c r="R1593" s="21" t="str">
        <f t="shared" si="258"/>
        <v/>
      </c>
      <c r="S1593" s="21"/>
      <c r="Z1593" s="8"/>
      <c r="AA1593">
        <v>1</v>
      </c>
      <c r="AB1593">
        <f t="shared" si="254"/>
        <v>0</v>
      </c>
      <c r="AC1593">
        <v>1</v>
      </c>
      <c r="AF1593">
        <v>1</v>
      </c>
      <c r="AG1593" s="8"/>
      <c r="AH1593" s="8"/>
      <c r="AK1593" cm="1">
        <f t="array" ref="AK1593">_xlfn.IFS(B1593="","",LEFT(G1593,1)="L",1,LEFT(G1593,1)="W",1,AND(LEFT(B1593,1)="H",G1593=""),0)</f>
        <v>1</v>
      </c>
      <c r="AS1593" t="str">
        <f t="shared" si="255"/>
        <v/>
      </c>
      <c r="AT1593" t="s">
        <v>115</v>
      </c>
      <c r="AU1593" t="str">
        <f t="shared" si="256"/>
        <v>0</v>
      </c>
      <c r="BD1593" t="str">
        <f t="shared" si="257"/>
        <v>0</v>
      </c>
      <c r="BK1593" t="str">
        <f>IFERROR(VLOOKUP(B1593,'[1]model_S-フレーム'!$F$5:$R$7000,13,1),"")</f>
        <v>E367808_01</v>
      </c>
      <c r="BL1593" s="7">
        <f>IFERROR(VLOOKUP(B1593,'[1]model_S-フレーム'!$F$5:$V$7000,17,1),"")</f>
        <v>0</v>
      </c>
      <c r="BM1593" t="str" cm="1">
        <f t="array" ref="BM1593">_xlfn.IFS(LEFT(G1593,1)="L","外注品",LEFT(G1593,1)="W","内製品",G1593="","購買品")</f>
        <v>内製品</v>
      </c>
    </row>
    <row r="1594" spans="1:65">
      <c r="A1594" t="str">
        <f t="shared" si="248"/>
        <v>WG01</v>
      </c>
      <c r="B1594" t="s">
        <v>1706</v>
      </c>
      <c r="C1594" t="s">
        <v>1916</v>
      </c>
      <c r="D1594" s="7"/>
      <c r="E1594" s="7"/>
      <c r="G1594" t="s">
        <v>1939</v>
      </c>
      <c r="H1594" t="str" cm="1">
        <f t="array" ref="H1594">IFERROR(_xlfn.IFS(B1594="","",AND(B1594="",G1594=""),"",G1594="","記載要"),"")</f>
        <v/>
      </c>
      <c r="K1594" t="str">
        <f t="shared" si="249"/>
        <v>11WP01073920</v>
      </c>
      <c r="L1594" s="3" t="str">
        <f t="shared" si="250"/>
        <v>2001/01/01</v>
      </c>
      <c r="M1594" s="3" t="str">
        <f t="shared" si="251"/>
        <v>2199/12/31</v>
      </c>
      <c r="N1594" t="str">
        <f t="shared" si="252"/>
        <v>11WP01073920</v>
      </c>
      <c r="O1594">
        <v>15</v>
      </c>
      <c r="Q1594" t="str" cm="1">
        <f t="array" ref="Q1594">_xlfn.IFS(AND(C1594="",G1594=""),"",LEFT(G1594,1)="L","記載要",LEFT(G1594,1)="W","",AND(C1594,G1594=""),"記載要")</f>
        <v/>
      </c>
      <c r="R1594" s="21" t="str">
        <f t="shared" si="258"/>
        <v/>
      </c>
      <c r="S1594" s="21"/>
      <c r="Z1594" s="8"/>
      <c r="AA1594">
        <v>1</v>
      </c>
      <c r="AB1594">
        <f t="shared" si="254"/>
        <v>0</v>
      </c>
      <c r="AC1594">
        <v>1</v>
      </c>
      <c r="AF1594">
        <v>1</v>
      </c>
      <c r="AG1594" s="8"/>
      <c r="AH1594" s="8"/>
      <c r="AK1594" cm="1">
        <f t="array" ref="AK1594">_xlfn.IFS(B1594="","",LEFT(G1594,1)="L",1,LEFT(G1594,1)="W",1,AND(LEFT(B1594,1)="H",G1594=""),0)</f>
        <v>1</v>
      </c>
      <c r="AS1594" t="str">
        <f t="shared" si="255"/>
        <v/>
      </c>
      <c r="AT1594" t="s">
        <v>115</v>
      </c>
      <c r="AU1594" t="str">
        <f t="shared" si="256"/>
        <v>0</v>
      </c>
      <c r="BD1594" t="str">
        <f t="shared" si="257"/>
        <v>0</v>
      </c>
      <c r="BK1594" t="str">
        <f>IFERROR(VLOOKUP(B1594,'[1]model_S-フレーム'!$F$5:$R$7000,13,1),"")</f>
        <v>E367808_01</v>
      </c>
      <c r="BL1594" s="7">
        <f>IFERROR(VLOOKUP(B1594,'[1]model_S-フレーム'!$F$5:$V$7000,17,1),"")</f>
        <v>0</v>
      </c>
      <c r="BM1594" t="str" cm="1">
        <f t="array" ref="BM1594">_xlfn.IFS(LEFT(G1594,1)="L","外注品",LEFT(G1594,1)="W","内製品",G1594="","購買品")</f>
        <v>内製品</v>
      </c>
    </row>
    <row r="1595" spans="1:65">
      <c r="A1595" t="str">
        <f t="shared" si="248"/>
        <v>WG01</v>
      </c>
      <c r="B1595" t="s">
        <v>1707</v>
      </c>
      <c r="C1595" t="s">
        <v>1916</v>
      </c>
      <c r="D1595" s="7"/>
      <c r="E1595" s="7"/>
      <c r="G1595" t="s">
        <v>1939</v>
      </c>
      <c r="H1595" t="str" cm="1">
        <f t="array" ref="H1595">IFERROR(_xlfn.IFS(B1595="","",AND(B1595="",G1595=""),"",G1595="","記載要"),"")</f>
        <v/>
      </c>
      <c r="K1595" t="str">
        <f t="shared" si="249"/>
        <v>11WP01073921</v>
      </c>
      <c r="L1595" s="3" t="str">
        <f t="shared" si="250"/>
        <v>2001/01/01</v>
      </c>
      <c r="M1595" s="3" t="str">
        <f t="shared" si="251"/>
        <v>2199/12/31</v>
      </c>
      <c r="N1595" t="str">
        <f t="shared" si="252"/>
        <v>11WP01073921</v>
      </c>
      <c r="O1595">
        <v>15</v>
      </c>
      <c r="Q1595" t="str" cm="1">
        <f t="array" ref="Q1595">_xlfn.IFS(AND(C1595="",G1595=""),"",LEFT(G1595,1)="L","記載要",LEFT(G1595,1)="W","",AND(C1595,G1595=""),"記載要")</f>
        <v/>
      </c>
      <c r="R1595" s="21" t="str">
        <f t="shared" si="258"/>
        <v/>
      </c>
      <c r="S1595" s="21"/>
      <c r="Z1595" s="8"/>
      <c r="AA1595">
        <v>1</v>
      </c>
      <c r="AB1595">
        <f t="shared" si="254"/>
        <v>0</v>
      </c>
      <c r="AC1595">
        <v>1</v>
      </c>
      <c r="AF1595">
        <v>1</v>
      </c>
      <c r="AG1595" s="8"/>
      <c r="AH1595" s="8"/>
      <c r="AK1595" cm="1">
        <f t="array" ref="AK1595">_xlfn.IFS(B1595="","",LEFT(G1595,1)="L",1,LEFT(G1595,1)="W",1,AND(LEFT(B1595,1)="H",G1595=""),0)</f>
        <v>1</v>
      </c>
      <c r="AS1595" t="str">
        <f t="shared" si="255"/>
        <v/>
      </c>
      <c r="AT1595" t="s">
        <v>115</v>
      </c>
      <c r="AU1595" t="str">
        <f t="shared" si="256"/>
        <v>0</v>
      </c>
      <c r="BD1595" t="str">
        <f t="shared" si="257"/>
        <v>0</v>
      </c>
      <c r="BK1595" t="str">
        <f>IFERROR(VLOOKUP(B1595,'[1]model_S-フレーム'!$F$5:$R$7000,13,1),"")</f>
        <v>E367808_01</v>
      </c>
      <c r="BL1595" s="7">
        <f>IFERROR(VLOOKUP(B1595,'[1]model_S-フレーム'!$F$5:$V$7000,17,1),"")</f>
        <v>0</v>
      </c>
      <c r="BM1595" t="str" cm="1">
        <f t="array" ref="BM1595">_xlfn.IFS(LEFT(G1595,1)="L","外注品",LEFT(G1595,1)="W","内製品",G1595="","購買品")</f>
        <v>内製品</v>
      </c>
    </row>
    <row r="1596" spans="1:65">
      <c r="A1596" t="str">
        <f t="shared" si="248"/>
        <v>WG01</v>
      </c>
      <c r="B1596" t="s">
        <v>1708</v>
      </c>
      <c r="C1596" t="s">
        <v>1916</v>
      </c>
      <c r="D1596" s="7"/>
      <c r="E1596" s="7"/>
      <c r="G1596" t="s">
        <v>1939</v>
      </c>
      <c r="H1596" t="str" cm="1">
        <f t="array" ref="H1596">IFERROR(_xlfn.IFS(B1596="","",AND(B1596="",G1596=""),"",G1596="","記載要"),"")</f>
        <v/>
      </c>
      <c r="K1596" t="str">
        <f t="shared" si="249"/>
        <v>11WP01073922</v>
      </c>
      <c r="L1596" s="3" t="str">
        <f t="shared" si="250"/>
        <v>2001/01/01</v>
      </c>
      <c r="M1596" s="3" t="str">
        <f t="shared" si="251"/>
        <v>2199/12/31</v>
      </c>
      <c r="N1596" t="str">
        <f t="shared" si="252"/>
        <v>11WP01073922</v>
      </c>
      <c r="O1596">
        <v>15</v>
      </c>
      <c r="Q1596" t="str" cm="1">
        <f t="array" ref="Q1596">_xlfn.IFS(AND(C1596="",G1596=""),"",LEFT(G1596,1)="L","記載要",LEFT(G1596,1)="W","",AND(C1596,G1596=""),"記載要")</f>
        <v/>
      </c>
      <c r="R1596" s="21" t="str">
        <f t="shared" si="258"/>
        <v/>
      </c>
      <c r="S1596" s="21"/>
      <c r="Z1596" s="8"/>
      <c r="AA1596">
        <v>1</v>
      </c>
      <c r="AB1596">
        <f t="shared" si="254"/>
        <v>0</v>
      </c>
      <c r="AC1596">
        <v>1</v>
      </c>
      <c r="AF1596">
        <v>1</v>
      </c>
      <c r="AG1596" s="8"/>
      <c r="AH1596" s="8"/>
      <c r="AK1596" cm="1">
        <f t="array" ref="AK1596">_xlfn.IFS(B1596="","",LEFT(G1596,1)="L",1,LEFT(G1596,1)="W",1,AND(LEFT(B1596,1)="H",G1596=""),0)</f>
        <v>1</v>
      </c>
      <c r="AS1596" t="str">
        <f t="shared" si="255"/>
        <v/>
      </c>
      <c r="AT1596" t="s">
        <v>115</v>
      </c>
      <c r="AU1596" t="str">
        <f t="shared" si="256"/>
        <v>0</v>
      </c>
      <c r="BD1596" t="str">
        <f t="shared" si="257"/>
        <v>0</v>
      </c>
      <c r="BK1596" t="str">
        <f>IFERROR(VLOOKUP(B1596,'[1]model_S-フレーム'!$F$5:$R$7000,13,1),"")</f>
        <v>E367808_01</v>
      </c>
      <c r="BL1596" s="7">
        <f>IFERROR(VLOOKUP(B1596,'[1]model_S-フレーム'!$F$5:$V$7000,17,1),"")</f>
        <v>0</v>
      </c>
      <c r="BM1596" t="str" cm="1">
        <f t="array" ref="BM1596">_xlfn.IFS(LEFT(G1596,1)="L","外注品",LEFT(G1596,1)="W","内製品",G1596="","購買品")</f>
        <v>内製品</v>
      </c>
    </row>
    <row r="1597" spans="1:65">
      <c r="A1597" t="str">
        <f t="shared" si="248"/>
        <v>WG01</v>
      </c>
      <c r="B1597" t="s">
        <v>1709</v>
      </c>
      <c r="C1597" t="s">
        <v>1916</v>
      </c>
      <c r="D1597" s="7"/>
      <c r="E1597" s="7"/>
      <c r="G1597" t="s">
        <v>1939</v>
      </c>
      <c r="H1597" t="str" cm="1">
        <f t="array" ref="H1597">IFERROR(_xlfn.IFS(B1597="","",AND(B1597="",G1597=""),"",G1597="","記載要"),"")</f>
        <v/>
      </c>
      <c r="K1597" t="str">
        <f t="shared" si="249"/>
        <v>11WP01073923</v>
      </c>
      <c r="L1597" s="3" t="str">
        <f t="shared" si="250"/>
        <v>2001/01/01</v>
      </c>
      <c r="M1597" s="3" t="str">
        <f t="shared" si="251"/>
        <v>2199/12/31</v>
      </c>
      <c r="N1597" t="str">
        <f t="shared" si="252"/>
        <v>11WP01073923</v>
      </c>
      <c r="O1597">
        <v>15</v>
      </c>
      <c r="Q1597" t="str" cm="1">
        <f t="array" ref="Q1597">_xlfn.IFS(AND(C1597="",G1597=""),"",LEFT(G1597,1)="L","記載要",LEFT(G1597,1)="W","",AND(C1597,G1597=""),"記載要")</f>
        <v/>
      </c>
      <c r="R1597" s="21" t="str">
        <f t="shared" si="258"/>
        <v/>
      </c>
      <c r="S1597" s="21"/>
      <c r="Z1597" s="8"/>
      <c r="AA1597">
        <v>1</v>
      </c>
      <c r="AB1597">
        <f t="shared" si="254"/>
        <v>0</v>
      </c>
      <c r="AC1597">
        <v>1</v>
      </c>
      <c r="AF1597">
        <v>1</v>
      </c>
      <c r="AG1597" s="8"/>
      <c r="AH1597" s="8"/>
      <c r="AK1597" cm="1">
        <f t="array" ref="AK1597">_xlfn.IFS(B1597="","",LEFT(G1597,1)="L",1,LEFT(G1597,1)="W",1,AND(LEFT(B1597,1)="H",G1597=""),0)</f>
        <v>1</v>
      </c>
      <c r="AS1597" t="str">
        <f t="shared" si="255"/>
        <v/>
      </c>
      <c r="AT1597" t="s">
        <v>115</v>
      </c>
      <c r="AU1597" t="str">
        <f t="shared" si="256"/>
        <v>0</v>
      </c>
      <c r="BD1597" t="str">
        <f t="shared" si="257"/>
        <v>0</v>
      </c>
      <c r="BK1597" t="str">
        <f>IFERROR(VLOOKUP(B1597,'[1]model_S-フレーム'!$F$5:$R$7000,13,1),"")</f>
        <v>E367808_01</v>
      </c>
      <c r="BL1597" s="7">
        <f>IFERROR(VLOOKUP(B1597,'[1]model_S-フレーム'!$F$5:$V$7000,17,1),"")</f>
        <v>0</v>
      </c>
      <c r="BM1597" t="str" cm="1">
        <f t="array" ref="BM1597">_xlfn.IFS(LEFT(G1597,1)="L","外注品",LEFT(G1597,1)="W","内製品",G1597="","購買品")</f>
        <v>内製品</v>
      </c>
    </row>
    <row r="1598" spans="1:65">
      <c r="A1598" t="str">
        <f t="shared" si="248"/>
        <v>WG01</v>
      </c>
      <c r="B1598" t="s">
        <v>1710</v>
      </c>
      <c r="C1598" t="s">
        <v>1916</v>
      </c>
      <c r="D1598" s="7"/>
      <c r="E1598" s="7"/>
      <c r="G1598" t="s">
        <v>1939</v>
      </c>
      <c r="H1598" t="str" cm="1">
        <f t="array" ref="H1598">IFERROR(_xlfn.IFS(B1598="","",AND(B1598="",G1598=""),"",G1598="","記載要"),"")</f>
        <v/>
      </c>
      <c r="K1598" t="str">
        <f t="shared" si="249"/>
        <v>11WP01073924</v>
      </c>
      <c r="L1598" s="3" t="str">
        <f t="shared" si="250"/>
        <v>2001/01/01</v>
      </c>
      <c r="M1598" s="3" t="str">
        <f t="shared" si="251"/>
        <v>2199/12/31</v>
      </c>
      <c r="N1598" t="str">
        <f t="shared" si="252"/>
        <v>11WP01073924</v>
      </c>
      <c r="O1598">
        <v>15</v>
      </c>
      <c r="Q1598" t="str" cm="1">
        <f t="array" ref="Q1598">_xlfn.IFS(AND(C1598="",G1598=""),"",LEFT(G1598,1)="L","記載要",LEFT(G1598,1)="W","",AND(C1598,G1598=""),"記載要")</f>
        <v/>
      </c>
      <c r="R1598" s="21" t="str">
        <f t="shared" si="258"/>
        <v/>
      </c>
      <c r="S1598" s="21"/>
      <c r="Z1598" s="8"/>
      <c r="AA1598">
        <v>1</v>
      </c>
      <c r="AB1598">
        <f t="shared" si="254"/>
        <v>0</v>
      </c>
      <c r="AC1598">
        <v>1</v>
      </c>
      <c r="AF1598">
        <v>1</v>
      </c>
      <c r="AG1598" s="8"/>
      <c r="AH1598" s="8"/>
      <c r="AK1598" cm="1">
        <f t="array" ref="AK1598">_xlfn.IFS(B1598="","",LEFT(G1598,1)="L",1,LEFT(G1598,1)="W",1,AND(LEFT(B1598,1)="H",G1598=""),0)</f>
        <v>1</v>
      </c>
      <c r="AS1598" t="str">
        <f t="shared" si="255"/>
        <v/>
      </c>
      <c r="AT1598" t="s">
        <v>115</v>
      </c>
      <c r="AU1598" t="str">
        <f t="shared" si="256"/>
        <v>0</v>
      </c>
      <c r="BD1598" t="str">
        <f t="shared" si="257"/>
        <v>0</v>
      </c>
      <c r="BK1598" t="str">
        <f>IFERROR(VLOOKUP(B1598,'[1]model_S-フレーム'!$F$5:$R$7000,13,1),"")</f>
        <v>E367808_01</v>
      </c>
      <c r="BL1598" s="7">
        <f>IFERROR(VLOOKUP(B1598,'[1]model_S-フレーム'!$F$5:$V$7000,17,1),"")</f>
        <v>0</v>
      </c>
      <c r="BM1598" t="str" cm="1">
        <f t="array" ref="BM1598">_xlfn.IFS(LEFT(G1598,1)="L","外注品",LEFT(G1598,1)="W","内製品",G1598="","購買品")</f>
        <v>内製品</v>
      </c>
    </row>
    <row r="1599" spans="1:65">
      <c r="A1599" t="str">
        <f t="shared" si="248"/>
        <v>WG01</v>
      </c>
      <c r="B1599" t="s">
        <v>1711</v>
      </c>
      <c r="C1599" t="s">
        <v>1916</v>
      </c>
      <c r="D1599" s="7"/>
      <c r="E1599" s="7"/>
      <c r="G1599" t="s">
        <v>1939</v>
      </c>
      <c r="H1599" t="str" cm="1">
        <f t="array" ref="H1599">IFERROR(_xlfn.IFS(B1599="","",AND(B1599="",G1599=""),"",G1599="","記載要"),"")</f>
        <v/>
      </c>
      <c r="K1599" t="str">
        <f t="shared" si="249"/>
        <v>11WP01073925</v>
      </c>
      <c r="L1599" s="3" t="str">
        <f t="shared" si="250"/>
        <v>2001/01/01</v>
      </c>
      <c r="M1599" s="3" t="str">
        <f t="shared" si="251"/>
        <v>2199/12/31</v>
      </c>
      <c r="N1599" t="str">
        <f t="shared" si="252"/>
        <v>11WP01073925</v>
      </c>
      <c r="O1599">
        <v>15</v>
      </c>
      <c r="Q1599" t="str" cm="1">
        <f t="array" ref="Q1599">_xlfn.IFS(AND(C1599="",G1599=""),"",LEFT(G1599,1)="L","記載要",LEFT(G1599,1)="W","",AND(C1599,G1599=""),"記載要")</f>
        <v/>
      </c>
      <c r="R1599" s="21" t="str">
        <f t="shared" si="258"/>
        <v/>
      </c>
      <c r="S1599" s="21"/>
      <c r="Z1599" s="8"/>
      <c r="AA1599">
        <v>1</v>
      </c>
      <c r="AB1599">
        <f t="shared" si="254"/>
        <v>0</v>
      </c>
      <c r="AC1599">
        <v>1</v>
      </c>
      <c r="AF1599">
        <v>1</v>
      </c>
      <c r="AG1599" s="8"/>
      <c r="AH1599" s="8"/>
      <c r="AK1599" cm="1">
        <f t="array" ref="AK1599">_xlfn.IFS(B1599="","",LEFT(G1599,1)="L",1,LEFT(G1599,1)="W",1,AND(LEFT(B1599,1)="H",G1599=""),0)</f>
        <v>1</v>
      </c>
      <c r="AS1599" t="str">
        <f t="shared" si="255"/>
        <v/>
      </c>
      <c r="AT1599" t="s">
        <v>115</v>
      </c>
      <c r="AU1599" t="str">
        <f t="shared" si="256"/>
        <v>0</v>
      </c>
      <c r="BD1599" t="str">
        <f t="shared" si="257"/>
        <v>0</v>
      </c>
      <c r="BK1599" t="str">
        <f>IFERROR(VLOOKUP(B1599,'[1]model_S-フレーム'!$F$5:$R$7000,13,1),"")</f>
        <v>E367808_01</v>
      </c>
      <c r="BL1599" s="7">
        <f>IFERROR(VLOOKUP(B1599,'[1]model_S-フレーム'!$F$5:$V$7000,17,1),"")</f>
        <v>0</v>
      </c>
      <c r="BM1599" t="str" cm="1">
        <f t="array" ref="BM1599">_xlfn.IFS(LEFT(G1599,1)="L","外注品",LEFT(G1599,1)="W","内製品",G1599="","購買品")</f>
        <v>内製品</v>
      </c>
    </row>
    <row r="1600" spans="1:65">
      <c r="A1600" t="str">
        <f t="shared" si="248"/>
        <v>WG01</v>
      </c>
      <c r="B1600" t="s">
        <v>1712</v>
      </c>
      <c r="C1600" t="s">
        <v>1916</v>
      </c>
      <c r="D1600" s="7"/>
      <c r="E1600" s="7"/>
      <c r="G1600" t="s">
        <v>1939</v>
      </c>
      <c r="H1600" t="str" cm="1">
        <f t="array" ref="H1600">IFERROR(_xlfn.IFS(B1600="","",AND(B1600="",G1600=""),"",G1600="","記載要"),"")</f>
        <v/>
      </c>
      <c r="K1600" t="str">
        <f t="shared" si="249"/>
        <v>11WP01073926</v>
      </c>
      <c r="L1600" s="3" t="str">
        <f t="shared" si="250"/>
        <v>2001/01/01</v>
      </c>
      <c r="M1600" s="3" t="str">
        <f t="shared" si="251"/>
        <v>2199/12/31</v>
      </c>
      <c r="N1600" t="str">
        <f t="shared" si="252"/>
        <v>11WP01073926</v>
      </c>
      <c r="O1600">
        <v>15</v>
      </c>
      <c r="Q1600" t="str" cm="1">
        <f t="array" ref="Q1600">_xlfn.IFS(AND(C1600="",G1600=""),"",LEFT(G1600,1)="L","記載要",LEFT(G1600,1)="W","",AND(C1600,G1600=""),"記載要")</f>
        <v/>
      </c>
      <c r="R1600" s="21" t="str">
        <f t="shared" si="258"/>
        <v/>
      </c>
      <c r="S1600" s="21"/>
      <c r="Z1600" s="8"/>
      <c r="AA1600">
        <v>1</v>
      </c>
      <c r="AB1600">
        <f t="shared" si="254"/>
        <v>0</v>
      </c>
      <c r="AC1600">
        <v>1</v>
      </c>
      <c r="AF1600">
        <v>1</v>
      </c>
      <c r="AG1600" s="8"/>
      <c r="AH1600" s="8"/>
      <c r="AK1600" cm="1">
        <f t="array" ref="AK1600">_xlfn.IFS(B1600="","",LEFT(G1600,1)="L",1,LEFT(G1600,1)="W",1,AND(LEFT(B1600,1)="H",G1600=""),0)</f>
        <v>1</v>
      </c>
      <c r="AS1600" t="str">
        <f t="shared" si="255"/>
        <v/>
      </c>
      <c r="AT1600" t="s">
        <v>115</v>
      </c>
      <c r="AU1600" t="str">
        <f t="shared" si="256"/>
        <v>0</v>
      </c>
      <c r="BD1600" t="str">
        <f t="shared" si="257"/>
        <v>0</v>
      </c>
      <c r="BK1600" t="str">
        <f>IFERROR(VLOOKUP(B1600,'[1]model_S-フレーム'!$F$5:$R$7000,13,1),"")</f>
        <v>E367808_01</v>
      </c>
      <c r="BL1600" s="7">
        <f>IFERROR(VLOOKUP(B1600,'[1]model_S-フレーム'!$F$5:$V$7000,17,1),"")</f>
        <v>0</v>
      </c>
      <c r="BM1600" t="str" cm="1">
        <f t="array" ref="BM1600">_xlfn.IFS(LEFT(G1600,1)="L","外注品",LEFT(G1600,1)="W","内製品",G1600="","購買品")</f>
        <v>内製品</v>
      </c>
    </row>
    <row r="1601" spans="1:65">
      <c r="A1601" t="str">
        <f t="shared" si="248"/>
        <v>WG01</v>
      </c>
      <c r="B1601" t="s">
        <v>1713</v>
      </c>
      <c r="C1601" t="s">
        <v>1916</v>
      </c>
      <c r="D1601" s="7"/>
      <c r="E1601" s="7"/>
      <c r="G1601" t="s">
        <v>1939</v>
      </c>
      <c r="H1601" t="str" cm="1">
        <f t="array" ref="H1601">IFERROR(_xlfn.IFS(B1601="","",AND(B1601="",G1601=""),"",G1601="","記載要"),"")</f>
        <v/>
      </c>
      <c r="K1601" t="str">
        <f t="shared" si="249"/>
        <v>11WP01073927</v>
      </c>
      <c r="L1601" s="3" t="str">
        <f t="shared" si="250"/>
        <v>2001/01/01</v>
      </c>
      <c r="M1601" s="3" t="str">
        <f t="shared" si="251"/>
        <v>2199/12/31</v>
      </c>
      <c r="N1601" t="str">
        <f t="shared" si="252"/>
        <v>11WP01073927</v>
      </c>
      <c r="O1601">
        <v>15</v>
      </c>
      <c r="Q1601" t="str" cm="1">
        <f t="array" ref="Q1601">_xlfn.IFS(AND(C1601="",G1601=""),"",LEFT(G1601,1)="L","記載要",LEFT(G1601,1)="W","",AND(C1601,G1601=""),"記載要")</f>
        <v/>
      </c>
      <c r="R1601" s="21" t="str">
        <f t="shared" si="258"/>
        <v/>
      </c>
      <c r="S1601" s="21"/>
      <c r="Z1601" s="8"/>
      <c r="AA1601">
        <v>1</v>
      </c>
      <c r="AB1601">
        <f t="shared" si="254"/>
        <v>0</v>
      </c>
      <c r="AC1601">
        <v>1</v>
      </c>
      <c r="AF1601">
        <v>1</v>
      </c>
      <c r="AG1601" s="8"/>
      <c r="AH1601" s="8"/>
      <c r="AK1601" cm="1">
        <f t="array" ref="AK1601">_xlfn.IFS(B1601="","",LEFT(G1601,1)="L",1,LEFT(G1601,1)="W",1,AND(LEFT(B1601,1)="H",G1601=""),0)</f>
        <v>1</v>
      </c>
      <c r="AS1601" t="str">
        <f t="shared" si="255"/>
        <v/>
      </c>
      <c r="AT1601" t="s">
        <v>115</v>
      </c>
      <c r="AU1601" t="str">
        <f t="shared" si="256"/>
        <v>0</v>
      </c>
      <c r="BD1601" t="str">
        <f t="shared" si="257"/>
        <v>0</v>
      </c>
      <c r="BK1601" t="str">
        <f>IFERROR(VLOOKUP(B1601,'[1]model_S-フレーム'!$F$5:$R$7000,13,1),"")</f>
        <v>E367808_01</v>
      </c>
      <c r="BL1601" s="7">
        <f>IFERROR(VLOOKUP(B1601,'[1]model_S-フレーム'!$F$5:$V$7000,17,1),"")</f>
        <v>0</v>
      </c>
      <c r="BM1601" t="str" cm="1">
        <f t="array" ref="BM1601">_xlfn.IFS(LEFT(G1601,1)="L","外注品",LEFT(G1601,1)="W","内製品",G1601="","購買品")</f>
        <v>内製品</v>
      </c>
    </row>
    <row r="1602" spans="1:65">
      <c r="A1602" t="str">
        <f t="shared" si="248"/>
        <v>WG01</v>
      </c>
      <c r="B1602" t="s">
        <v>1714</v>
      </c>
      <c r="C1602" t="s">
        <v>1916</v>
      </c>
      <c r="D1602" s="7"/>
      <c r="E1602" s="7"/>
      <c r="G1602" t="s">
        <v>1939</v>
      </c>
      <c r="H1602" t="str" cm="1">
        <f t="array" ref="H1602">IFERROR(_xlfn.IFS(B1602="","",AND(B1602="",G1602=""),"",G1602="","記載要"),"")</f>
        <v/>
      </c>
      <c r="K1602" t="str">
        <f t="shared" si="249"/>
        <v>11WP01073928</v>
      </c>
      <c r="L1602" s="3" t="str">
        <f t="shared" si="250"/>
        <v>2001/01/01</v>
      </c>
      <c r="M1602" s="3" t="str">
        <f t="shared" si="251"/>
        <v>2199/12/31</v>
      </c>
      <c r="N1602" t="str">
        <f t="shared" si="252"/>
        <v>11WP01073928</v>
      </c>
      <c r="O1602">
        <v>15</v>
      </c>
      <c r="Q1602" t="str" cm="1">
        <f t="array" ref="Q1602">_xlfn.IFS(AND(C1602="",G1602=""),"",LEFT(G1602,1)="L","記載要",LEFT(G1602,1)="W","",AND(C1602,G1602=""),"記載要")</f>
        <v/>
      </c>
      <c r="R1602" s="21" t="str">
        <f t="shared" si="258"/>
        <v/>
      </c>
      <c r="S1602" s="21"/>
      <c r="Z1602" s="8"/>
      <c r="AA1602">
        <v>1</v>
      </c>
      <c r="AB1602">
        <f t="shared" si="254"/>
        <v>0</v>
      </c>
      <c r="AC1602">
        <v>1</v>
      </c>
      <c r="AF1602">
        <v>1</v>
      </c>
      <c r="AG1602" s="8"/>
      <c r="AH1602" s="8"/>
      <c r="AK1602" cm="1">
        <f t="array" ref="AK1602">_xlfn.IFS(B1602="","",LEFT(G1602,1)="L",1,LEFT(G1602,1)="W",1,AND(LEFT(B1602,1)="H",G1602=""),0)</f>
        <v>1</v>
      </c>
      <c r="AS1602" t="str">
        <f t="shared" si="255"/>
        <v/>
      </c>
      <c r="AT1602" t="s">
        <v>115</v>
      </c>
      <c r="AU1602" t="str">
        <f t="shared" si="256"/>
        <v>0</v>
      </c>
      <c r="BD1602" t="str">
        <f t="shared" si="257"/>
        <v>0</v>
      </c>
      <c r="BK1602" t="str">
        <f>IFERROR(VLOOKUP(B1602,'[1]model_S-フレーム'!$F$5:$R$7000,13,1),"")</f>
        <v>E367808_01</v>
      </c>
      <c r="BL1602" s="7">
        <f>IFERROR(VLOOKUP(B1602,'[1]model_S-フレーム'!$F$5:$V$7000,17,1),"")</f>
        <v>0</v>
      </c>
      <c r="BM1602" t="str" cm="1">
        <f t="array" ref="BM1602">_xlfn.IFS(LEFT(G1602,1)="L","外注品",LEFT(G1602,1)="W","内製品",G1602="","購買品")</f>
        <v>内製品</v>
      </c>
    </row>
    <row r="1603" spans="1:65" s="15" customFormat="1">
      <c r="A1603" t="str">
        <f t="shared" ref="A1603:A1666" si="260">IF(B1603="","","WG01")</f>
        <v>WG01</v>
      </c>
      <c r="B1603" t="s">
        <v>1715</v>
      </c>
      <c r="C1603" t="s">
        <v>1917</v>
      </c>
      <c r="D1603" s="7"/>
      <c r="E1603" s="7"/>
      <c r="F1603"/>
      <c r="G1603"/>
      <c r="H1603">
        <v>27616</v>
      </c>
      <c r="I1603"/>
      <c r="J1603"/>
      <c r="K1603" t="str">
        <f t="shared" ref="K1603:K1666" si="261">IF(G1603="","","11"&amp;G1603&amp;RIGHT(B1603,5))</f>
        <v/>
      </c>
      <c r="L1603" s="3" t="str">
        <f t="shared" ref="L1603:L1666" si="262">IF(B1603="","","2001/01/01")</f>
        <v>2001/01/01</v>
      </c>
      <c r="M1603" s="3" t="str">
        <f t="shared" ref="M1603:M1666" si="263">IF(C1603="","","2199/12/31")</f>
        <v>2199/12/31</v>
      </c>
      <c r="N1603" t="str">
        <f t="shared" ref="N1603:N1666" si="264">IF(LEFT(G1603,1)="W",K1603,"")</f>
        <v/>
      </c>
      <c r="O1603" t="str">
        <f t="shared" ref="O1603:O1610" si="265">IF(G1603="","","記載要")</f>
        <v/>
      </c>
      <c r="P1603"/>
      <c r="Q1603">
        <v>15</v>
      </c>
      <c r="R1603" s="21">
        <v>100000000</v>
      </c>
      <c r="S1603" s="21" t="str" cm="1">
        <f t="array" ref="S1603">_xlfn.IFS(LEFT(G1603,1)="L","記載要",LEFT(G1603,1)="W","記載要",G1603="","")</f>
        <v/>
      </c>
      <c r="T1603"/>
      <c r="U1603"/>
      <c r="V1603"/>
      <c r="W1603"/>
      <c r="X1603"/>
      <c r="Y1603"/>
      <c r="Z1603" s="8"/>
      <c r="AA1603" s="8">
        <v>1</v>
      </c>
      <c r="AB1603">
        <f t="shared" ref="AB1603:AB1666" si="266">IF(B1603="","",0)</f>
        <v>0</v>
      </c>
      <c r="AC1603" s="8">
        <v>1</v>
      </c>
      <c r="AD1603"/>
      <c r="AE1603"/>
      <c r="AF1603">
        <v>1</v>
      </c>
      <c r="AG1603" s="8"/>
      <c r="AH1603" s="8"/>
      <c r="AI1603"/>
      <c r="AJ1603"/>
      <c r="AK1603" cm="1">
        <f t="array" ref="AK1603">_xlfn.IFS(B1603="","",LEFT(G1603,1)="L",1,LEFT(G1603,1)="W",1,AND(LEFT(B1603,1)="H",G1603=""),0)</f>
        <v>0</v>
      </c>
      <c r="AL1603"/>
      <c r="AM1603"/>
      <c r="AN1603"/>
      <c r="AO1603"/>
      <c r="AP1603"/>
      <c r="AQ1603"/>
      <c r="AR1603"/>
      <c r="AS1603">
        <f t="shared" ref="AS1603:AS1666" si="267">IF(Q1603="","",1)</f>
        <v>1</v>
      </c>
      <c r="AT1603" t="s">
        <v>115</v>
      </c>
      <c r="AU1603" t="str">
        <f t="shared" ref="AU1603:AU1666" si="268">IF(B1603="","","0")</f>
        <v>0</v>
      </c>
      <c r="AV1603"/>
      <c r="AW1603"/>
      <c r="AX1603"/>
      <c r="AY1603"/>
      <c r="AZ1603"/>
      <c r="BA1603"/>
      <c r="BB1603"/>
      <c r="BC1603"/>
      <c r="BD1603" t="str">
        <f t="shared" ref="BD1603:BD1666" si="269">IF(B1603="","","0")</f>
        <v>0</v>
      </c>
      <c r="BE1603"/>
      <c r="BF1603"/>
      <c r="BG1603"/>
      <c r="BH1603"/>
      <c r="BI1603"/>
      <c r="BJ1603"/>
      <c r="BK1603" s="15" t="str">
        <f>IFERROR(VLOOKUP(B1603,'[1]model_S-フレーム'!$F$5:$R$7000,13,1),"")</f>
        <v>E367807_01</v>
      </c>
      <c r="BL1603" s="16">
        <f>IFERROR(VLOOKUP(B1603,'[1]model_S-フレーム'!$F$5:$V$7000,17,1),"")</f>
        <v>0</v>
      </c>
      <c r="BM1603" s="15" t="str" cm="1">
        <f t="array" ref="BM1603">_xlfn.IFS(LEFT(G1603,1)="L","外注品",LEFT(G1603,1)="W","内製品",G1603="","購買品")</f>
        <v>購買品</v>
      </c>
    </row>
    <row r="1604" spans="1:65" s="15" customFormat="1">
      <c r="A1604" t="str">
        <f t="shared" si="260"/>
        <v>WG01</v>
      </c>
      <c r="B1604" t="s">
        <v>1715</v>
      </c>
      <c r="C1604" t="s">
        <v>1917</v>
      </c>
      <c r="D1604" s="7"/>
      <c r="E1604" s="7"/>
      <c r="F1604"/>
      <c r="G1604"/>
      <c r="H1604">
        <v>43453</v>
      </c>
      <c r="I1604"/>
      <c r="J1604"/>
      <c r="K1604" t="str">
        <f t="shared" si="261"/>
        <v/>
      </c>
      <c r="L1604" s="3" t="str">
        <f t="shared" si="262"/>
        <v>2001/01/01</v>
      </c>
      <c r="M1604" s="3" t="str">
        <f t="shared" si="263"/>
        <v>2199/12/31</v>
      </c>
      <c r="N1604" t="str">
        <f t="shared" si="264"/>
        <v/>
      </c>
      <c r="O1604" t="str">
        <f t="shared" si="265"/>
        <v/>
      </c>
      <c r="P1604"/>
      <c r="Q1604">
        <v>15</v>
      </c>
      <c r="R1604" s="21">
        <v>100000000</v>
      </c>
      <c r="S1604" s="21" t="str" cm="1">
        <f t="array" ref="S1604">_xlfn.IFS(LEFT(G1604,1)="L","記載要",LEFT(G1604,1)="W","記載要",G1604="","")</f>
        <v/>
      </c>
      <c r="T1604"/>
      <c r="U1604"/>
      <c r="V1604"/>
      <c r="W1604"/>
      <c r="X1604"/>
      <c r="Y1604"/>
      <c r="Z1604" s="8"/>
      <c r="AA1604" s="8">
        <v>1</v>
      </c>
      <c r="AB1604">
        <f t="shared" si="266"/>
        <v>0</v>
      </c>
      <c r="AC1604" s="8">
        <v>1</v>
      </c>
      <c r="AD1604"/>
      <c r="AE1604"/>
      <c r="AF1604">
        <v>0</v>
      </c>
      <c r="AG1604" s="8"/>
      <c r="AH1604" s="8"/>
      <c r="AI1604"/>
      <c r="AJ1604"/>
      <c r="AK1604" cm="1">
        <f t="array" ref="AK1604">_xlfn.IFS(B1604="","",LEFT(G1604,1)="L",1,LEFT(G1604,1)="W",1,AND(LEFT(B1604,1)="H",G1604=""),0)</f>
        <v>0</v>
      </c>
      <c r="AL1604"/>
      <c r="AM1604"/>
      <c r="AN1604"/>
      <c r="AO1604"/>
      <c r="AP1604"/>
      <c r="AQ1604"/>
      <c r="AR1604"/>
      <c r="AS1604">
        <f t="shared" si="267"/>
        <v>1</v>
      </c>
      <c r="AT1604" t="s">
        <v>115</v>
      </c>
      <c r="AU1604" t="str">
        <f t="shared" si="268"/>
        <v>0</v>
      </c>
      <c r="AV1604"/>
      <c r="AW1604"/>
      <c r="AX1604"/>
      <c r="AY1604"/>
      <c r="AZ1604"/>
      <c r="BA1604"/>
      <c r="BB1604"/>
      <c r="BC1604"/>
      <c r="BD1604" t="str">
        <f t="shared" si="269"/>
        <v>0</v>
      </c>
      <c r="BE1604"/>
      <c r="BF1604"/>
      <c r="BG1604"/>
      <c r="BH1604"/>
      <c r="BI1604"/>
      <c r="BJ1604"/>
      <c r="BK1604" s="15" t="str">
        <f>IFERROR(VLOOKUP(B1604,'[1]model_S-フレーム'!$F$5:$R$7000,13,1),"")</f>
        <v>E367807_01</v>
      </c>
      <c r="BL1604" s="16">
        <f>IFERROR(VLOOKUP(B1604,'[1]model_S-フレーム'!$F$5:$V$7000,17,1),"")</f>
        <v>0</v>
      </c>
      <c r="BM1604" s="15" t="str" cm="1">
        <f t="array" ref="BM1604">_xlfn.IFS(LEFT(G1604,1)="L","外注品",LEFT(G1604,1)="W","内製品",G1604="","購買品")</f>
        <v>購買品</v>
      </c>
    </row>
    <row r="1605" spans="1:65" s="15" customFormat="1">
      <c r="A1605" t="str">
        <f t="shared" si="260"/>
        <v>WG01</v>
      </c>
      <c r="B1605" t="s">
        <v>1715</v>
      </c>
      <c r="C1605" t="s">
        <v>1917</v>
      </c>
      <c r="D1605" s="7"/>
      <c r="E1605" s="7"/>
      <c r="F1605"/>
      <c r="G1605"/>
      <c r="H1605">
        <v>47081</v>
      </c>
      <c r="I1605"/>
      <c r="J1605"/>
      <c r="K1605" t="str">
        <f t="shared" si="261"/>
        <v/>
      </c>
      <c r="L1605" s="3" t="str">
        <f t="shared" si="262"/>
        <v>2001/01/01</v>
      </c>
      <c r="M1605" s="3" t="str">
        <f t="shared" si="263"/>
        <v>2199/12/31</v>
      </c>
      <c r="N1605" t="str">
        <f t="shared" si="264"/>
        <v/>
      </c>
      <c r="O1605" t="str">
        <f t="shared" si="265"/>
        <v/>
      </c>
      <c r="P1605"/>
      <c r="Q1605">
        <v>15</v>
      </c>
      <c r="R1605" s="21">
        <v>100000000</v>
      </c>
      <c r="S1605" s="21" t="str" cm="1">
        <f t="array" ref="S1605">_xlfn.IFS(LEFT(G1605,1)="L","記載要",LEFT(G1605,1)="W","記載要",G1605="","")</f>
        <v/>
      </c>
      <c r="T1605"/>
      <c r="U1605"/>
      <c r="V1605"/>
      <c r="W1605"/>
      <c r="X1605"/>
      <c r="Y1605"/>
      <c r="Z1605" s="8"/>
      <c r="AA1605" s="8">
        <v>1</v>
      </c>
      <c r="AB1605">
        <f t="shared" si="266"/>
        <v>0</v>
      </c>
      <c r="AC1605" s="8">
        <v>1</v>
      </c>
      <c r="AD1605"/>
      <c r="AE1605"/>
      <c r="AF1605">
        <v>0</v>
      </c>
      <c r="AG1605" s="8"/>
      <c r="AH1605" s="8"/>
      <c r="AI1605"/>
      <c r="AJ1605"/>
      <c r="AK1605" cm="1">
        <f t="array" ref="AK1605">_xlfn.IFS(B1605="","",LEFT(G1605,1)="L",1,LEFT(G1605,1)="W",1,AND(LEFT(B1605,1)="H",G1605=""),0)</f>
        <v>0</v>
      </c>
      <c r="AL1605"/>
      <c r="AM1605"/>
      <c r="AN1605"/>
      <c r="AO1605"/>
      <c r="AP1605"/>
      <c r="AQ1605"/>
      <c r="AR1605"/>
      <c r="AS1605">
        <f t="shared" si="267"/>
        <v>1</v>
      </c>
      <c r="AT1605" t="s">
        <v>115</v>
      </c>
      <c r="AU1605" t="str">
        <f t="shared" si="268"/>
        <v>0</v>
      </c>
      <c r="AV1605"/>
      <c r="AW1605"/>
      <c r="AX1605"/>
      <c r="AY1605"/>
      <c r="AZ1605"/>
      <c r="BA1605"/>
      <c r="BB1605"/>
      <c r="BC1605"/>
      <c r="BD1605" t="str">
        <f t="shared" si="269"/>
        <v>0</v>
      </c>
      <c r="BE1605"/>
      <c r="BF1605"/>
      <c r="BG1605"/>
      <c r="BH1605"/>
      <c r="BI1605"/>
      <c r="BJ1605"/>
      <c r="BK1605" s="15" t="str">
        <f>IFERROR(VLOOKUP(B1605,'[1]model_S-フレーム'!$F$5:$R$7000,13,1),"")</f>
        <v>E367807_01</v>
      </c>
      <c r="BL1605" s="16">
        <f>IFERROR(VLOOKUP(B1605,'[1]model_S-フレーム'!$F$5:$V$7000,17,1),"")</f>
        <v>0</v>
      </c>
      <c r="BM1605" s="15" t="str" cm="1">
        <f t="array" ref="BM1605">_xlfn.IFS(LEFT(G1605,1)="L","外注品",LEFT(G1605,1)="W","内製品",G1605="","購買品")</f>
        <v>購買品</v>
      </c>
    </row>
    <row r="1606" spans="1:65">
      <c r="A1606" t="str">
        <f t="shared" si="260"/>
        <v>WG01</v>
      </c>
      <c r="B1606" t="s">
        <v>1715</v>
      </c>
      <c r="C1606" t="s">
        <v>1917</v>
      </c>
      <c r="D1606" s="7"/>
      <c r="E1606" s="7"/>
      <c r="H1606" s="19" t="s">
        <v>1937</v>
      </c>
      <c r="K1606" t="str">
        <f t="shared" si="261"/>
        <v/>
      </c>
      <c r="L1606" s="3" t="str">
        <f t="shared" si="262"/>
        <v>2001/01/01</v>
      </c>
      <c r="M1606" s="3" t="str">
        <f t="shared" si="263"/>
        <v>2199/12/31</v>
      </c>
      <c r="N1606" t="str">
        <f t="shared" si="264"/>
        <v/>
      </c>
      <c r="O1606" t="str">
        <f t="shared" si="265"/>
        <v/>
      </c>
      <c r="Q1606">
        <v>15</v>
      </c>
      <c r="R1606" s="21">
        <v>100000000</v>
      </c>
      <c r="S1606" s="21" t="str" cm="1">
        <f t="array" ref="S1606">_xlfn.IFS(LEFT(G1606,1)="L","記載要",LEFT(G1606,1)="W","記載要",G1606="","")</f>
        <v/>
      </c>
      <c r="Z1606" s="8"/>
      <c r="AA1606" s="8">
        <v>1</v>
      </c>
      <c r="AB1606">
        <f t="shared" si="266"/>
        <v>0</v>
      </c>
      <c r="AC1606" s="8">
        <v>1</v>
      </c>
      <c r="AF1606">
        <v>0</v>
      </c>
      <c r="AG1606" s="8"/>
      <c r="AH1606" s="8"/>
      <c r="AK1606" cm="1">
        <f t="array" ref="AK1606">_xlfn.IFS(B1606="","",LEFT(G1606,1)="L",1,LEFT(G1606,1)="W",1,AND(LEFT(B1606,1)="H",G1606=""),0)</f>
        <v>0</v>
      </c>
      <c r="AS1606">
        <f t="shared" si="267"/>
        <v>1</v>
      </c>
      <c r="AT1606" t="s">
        <v>115</v>
      </c>
      <c r="AU1606" t="str">
        <f t="shared" si="268"/>
        <v>0</v>
      </c>
      <c r="BD1606" t="str">
        <f t="shared" si="269"/>
        <v>0</v>
      </c>
      <c r="BK1606" t="str">
        <f>IFERROR(VLOOKUP(B1606,'[1]model_S-フレーム'!$F$5:$R$7000,13,1),"")</f>
        <v>E367807_01</v>
      </c>
      <c r="BL1606" s="7">
        <f>IFERROR(VLOOKUP(B1606,'[1]model_S-フレーム'!$F$5:$V$7000,17,1),"")</f>
        <v>0</v>
      </c>
      <c r="BM1606" t="str" cm="1">
        <f t="array" ref="BM1606">_xlfn.IFS(LEFT(G1606,1)="L","外注品",LEFT(G1606,1)="W","内製品",G1606="","購買品")</f>
        <v>購買品</v>
      </c>
    </row>
    <row r="1607" spans="1:65" s="15" customFormat="1">
      <c r="A1607" t="str">
        <f t="shared" si="260"/>
        <v>WG01</v>
      </c>
      <c r="B1607" t="s">
        <v>1716</v>
      </c>
      <c r="C1607" t="s">
        <v>1918</v>
      </c>
      <c r="D1607" s="7"/>
      <c r="E1607" s="7"/>
      <c r="F1607"/>
      <c r="G1607"/>
      <c r="H1607">
        <v>27616</v>
      </c>
      <c r="I1607"/>
      <c r="J1607"/>
      <c r="K1607" t="str">
        <f t="shared" si="261"/>
        <v/>
      </c>
      <c r="L1607" s="3" t="str">
        <f t="shared" si="262"/>
        <v>2001/01/01</v>
      </c>
      <c r="M1607" s="3" t="str">
        <f t="shared" si="263"/>
        <v>2199/12/31</v>
      </c>
      <c r="N1607" t="str">
        <f t="shared" si="264"/>
        <v/>
      </c>
      <c r="O1607" t="str">
        <f t="shared" si="265"/>
        <v/>
      </c>
      <c r="P1607"/>
      <c r="Q1607">
        <v>15</v>
      </c>
      <c r="R1607" s="21">
        <v>100000000</v>
      </c>
      <c r="S1607" s="21" t="str" cm="1">
        <f t="array" ref="S1607">_xlfn.IFS(LEFT(G1607,1)="L","記載要",LEFT(G1607,1)="W","記載要",G1607="","")</f>
        <v/>
      </c>
      <c r="T1607"/>
      <c r="U1607"/>
      <c r="V1607"/>
      <c r="W1607"/>
      <c r="X1607"/>
      <c r="Y1607"/>
      <c r="Z1607" s="8"/>
      <c r="AA1607" s="8">
        <v>1</v>
      </c>
      <c r="AB1607">
        <f t="shared" si="266"/>
        <v>0</v>
      </c>
      <c r="AC1607" s="8">
        <v>1</v>
      </c>
      <c r="AD1607"/>
      <c r="AE1607"/>
      <c r="AF1607">
        <v>1</v>
      </c>
      <c r="AG1607" s="8"/>
      <c r="AH1607" s="8"/>
      <c r="AI1607"/>
      <c r="AJ1607"/>
      <c r="AK1607" cm="1">
        <f t="array" ref="AK1607">_xlfn.IFS(B1607="","",LEFT(G1607,1)="L",1,LEFT(G1607,1)="W",1,AND(LEFT(B1607,1)="H",G1607=""),0)</f>
        <v>0</v>
      </c>
      <c r="AL1607"/>
      <c r="AM1607"/>
      <c r="AN1607"/>
      <c r="AO1607"/>
      <c r="AP1607"/>
      <c r="AQ1607"/>
      <c r="AR1607"/>
      <c r="AS1607">
        <f t="shared" si="267"/>
        <v>1</v>
      </c>
      <c r="AT1607" t="s">
        <v>115</v>
      </c>
      <c r="AU1607" t="str">
        <f t="shared" si="268"/>
        <v>0</v>
      </c>
      <c r="AV1607"/>
      <c r="AW1607"/>
      <c r="AX1607"/>
      <c r="AY1607"/>
      <c r="AZ1607"/>
      <c r="BA1607"/>
      <c r="BB1607"/>
      <c r="BC1607"/>
      <c r="BD1607" t="str">
        <f t="shared" si="269"/>
        <v>0</v>
      </c>
      <c r="BE1607"/>
      <c r="BF1607"/>
      <c r="BG1607"/>
      <c r="BH1607"/>
      <c r="BI1607"/>
      <c r="BJ1607"/>
      <c r="BK1607" s="15" t="str">
        <f>IFERROR(VLOOKUP(B1607,'[1]model_S-フレーム'!$F$5:$R$7000,13,1),"")</f>
        <v>E367808_02</v>
      </c>
      <c r="BL1607" s="16">
        <f>IFERROR(VLOOKUP(B1607,'[1]model_S-フレーム'!$F$5:$V$7000,17,1),"")</f>
        <v>0</v>
      </c>
      <c r="BM1607" s="15" t="str" cm="1">
        <f t="array" ref="BM1607">_xlfn.IFS(LEFT(G1607,1)="L","外注品",LEFT(G1607,1)="W","内製品",G1607="","購買品")</f>
        <v>購買品</v>
      </c>
    </row>
    <row r="1608" spans="1:65" s="15" customFormat="1">
      <c r="A1608" t="str">
        <f t="shared" si="260"/>
        <v>WG01</v>
      </c>
      <c r="B1608" t="s">
        <v>1716</v>
      </c>
      <c r="C1608" t="s">
        <v>1918</v>
      </c>
      <c r="D1608" s="7"/>
      <c r="E1608" s="7"/>
      <c r="F1608"/>
      <c r="G1608"/>
      <c r="H1608">
        <v>43453</v>
      </c>
      <c r="I1608"/>
      <c r="J1608"/>
      <c r="K1608" t="str">
        <f t="shared" si="261"/>
        <v/>
      </c>
      <c r="L1608" s="3" t="str">
        <f t="shared" si="262"/>
        <v>2001/01/01</v>
      </c>
      <c r="M1608" s="3" t="str">
        <f t="shared" si="263"/>
        <v>2199/12/31</v>
      </c>
      <c r="N1608" t="str">
        <f t="shared" si="264"/>
        <v/>
      </c>
      <c r="O1608" t="str">
        <f t="shared" si="265"/>
        <v/>
      </c>
      <c r="P1608"/>
      <c r="Q1608">
        <v>15</v>
      </c>
      <c r="R1608" s="21">
        <v>100000000</v>
      </c>
      <c r="S1608" s="21" t="str" cm="1">
        <f t="array" ref="S1608">_xlfn.IFS(LEFT(G1608,1)="L","記載要",LEFT(G1608,1)="W","記載要",G1608="","")</f>
        <v/>
      </c>
      <c r="T1608"/>
      <c r="U1608"/>
      <c r="V1608"/>
      <c r="W1608"/>
      <c r="X1608"/>
      <c r="Y1608"/>
      <c r="Z1608" s="8"/>
      <c r="AA1608" s="8">
        <v>1</v>
      </c>
      <c r="AB1608">
        <f t="shared" si="266"/>
        <v>0</v>
      </c>
      <c r="AC1608" s="8">
        <v>1</v>
      </c>
      <c r="AD1608"/>
      <c r="AE1608"/>
      <c r="AF1608">
        <v>0</v>
      </c>
      <c r="AG1608" s="8"/>
      <c r="AH1608" s="8"/>
      <c r="AI1608"/>
      <c r="AJ1608"/>
      <c r="AK1608" cm="1">
        <f t="array" ref="AK1608">_xlfn.IFS(B1608="","",LEFT(G1608,1)="L",1,LEFT(G1608,1)="W",1,AND(LEFT(B1608,1)="H",G1608=""),0)</f>
        <v>0</v>
      </c>
      <c r="AL1608"/>
      <c r="AM1608"/>
      <c r="AN1608"/>
      <c r="AO1608"/>
      <c r="AP1608"/>
      <c r="AQ1608"/>
      <c r="AR1608"/>
      <c r="AS1608">
        <f t="shared" si="267"/>
        <v>1</v>
      </c>
      <c r="AT1608" t="s">
        <v>115</v>
      </c>
      <c r="AU1608" t="str">
        <f t="shared" si="268"/>
        <v>0</v>
      </c>
      <c r="AV1608"/>
      <c r="AW1608"/>
      <c r="AX1608"/>
      <c r="AY1608"/>
      <c r="AZ1608"/>
      <c r="BA1608"/>
      <c r="BB1608"/>
      <c r="BC1608"/>
      <c r="BD1608" t="str">
        <f t="shared" si="269"/>
        <v>0</v>
      </c>
      <c r="BE1608"/>
      <c r="BF1608"/>
      <c r="BG1608"/>
      <c r="BH1608"/>
      <c r="BI1608"/>
      <c r="BJ1608"/>
      <c r="BK1608" s="15" t="str">
        <f>IFERROR(VLOOKUP(B1608,'[1]model_S-フレーム'!$F$5:$R$7000,13,1),"")</f>
        <v>E367808_02</v>
      </c>
      <c r="BL1608" s="16">
        <f>IFERROR(VLOOKUP(B1608,'[1]model_S-フレーム'!$F$5:$V$7000,17,1),"")</f>
        <v>0</v>
      </c>
      <c r="BM1608" s="15" t="str" cm="1">
        <f t="array" ref="BM1608">_xlfn.IFS(LEFT(G1608,1)="L","外注品",LEFT(G1608,1)="W","内製品",G1608="","購買品")</f>
        <v>購買品</v>
      </c>
    </row>
    <row r="1609" spans="1:65" s="15" customFormat="1">
      <c r="A1609" t="str">
        <f t="shared" si="260"/>
        <v>WG01</v>
      </c>
      <c r="B1609" t="s">
        <v>1716</v>
      </c>
      <c r="C1609" t="s">
        <v>1918</v>
      </c>
      <c r="D1609" s="7"/>
      <c r="E1609" s="7"/>
      <c r="F1609"/>
      <c r="G1609"/>
      <c r="H1609">
        <v>47081</v>
      </c>
      <c r="I1609"/>
      <c r="J1609"/>
      <c r="K1609" t="str">
        <f t="shared" si="261"/>
        <v/>
      </c>
      <c r="L1609" s="3" t="str">
        <f t="shared" si="262"/>
        <v>2001/01/01</v>
      </c>
      <c r="M1609" s="3" t="str">
        <f t="shared" si="263"/>
        <v>2199/12/31</v>
      </c>
      <c r="N1609" t="str">
        <f t="shared" si="264"/>
        <v/>
      </c>
      <c r="O1609" t="str">
        <f t="shared" si="265"/>
        <v/>
      </c>
      <c r="P1609"/>
      <c r="Q1609">
        <v>15</v>
      </c>
      <c r="R1609" s="21">
        <v>100000000</v>
      </c>
      <c r="S1609" s="21" t="str" cm="1">
        <f t="array" ref="S1609">_xlfn.IFS(LEFT(G1609,1)="L","記載要",LEFT(G1609,1)="W","記載要",G1609="","")</f>
        <v/>
      </c>
      <c r="T1609"/>
      <c r="U1609"/>
      <c r="V1609"/>
      <c r="W1609"/>
      <c r="X1609"/>
      <c r="Y1609"/>
      <c r="Z1609" s="8"/>
      <c r="AA1609" s="8">
        <v>1</v>
      </c>
      <c r="AB1609">
        <f t="shared" si="266"/>
        <v>0</v>
      </c>
      <c r="AC1609" s="8">
        <v>1</v>
      </c>
      <c r="AD1609"/>
      <c r="AE1609"/>
      <c r="AF1609">
        <v>0</v>
      </c>
      <c r="AG1609" s="8"/>
      <c r="AH1609" s="8"/>
      <c r="AI1609"/>
      <c r="AJ1609"/>
      <c r="AK1609" cm="1">
        <f t="array" ref="AK1609">_xlfn.IFS(B1609="","",LEFT(G1609,1)="L",1,LEFT(G1609,1)="W",1,AND(LEFT(B1609,1)="H",G1609=""),0)</f>
        <v>0</v>
      </c>
      <c r="AL1609"/>
      <c r="AM1609"/>
      <c r="AN1609"/>
      <c r="AO1609"/>
      <c r="AP1609"/>
      <c r="AQ1609"/>
      <c r="AR1609"/>
      <c r="AS1609">
        <f t="shared" si="267"/>
        <v>1</v>
      </c>
      <c r="AT1609" t="s">
        <v>115</v>
      </c>
      <c r="AU1609" t="str">
        <f t="shared" si="268"/>
        <v>0</v>
      </c>
      <c r="AV1609"/>
      <c r="AW1609"/>
      <c r="AX1609"/>
      <c r="AY1609"/>
      <c r="AZ1609"/>
      <c r="BA1609"/>
      <c r="BB1609"/>
      <c r="BC1609"/>
      <c r="BD1609" t="str">
        <f t="shared" si="269"/>
        <v>0</v>
      </c>
      <c r="BE1609"/>
      <c r="BF1609"/>
      <c r="BG1609"/>
      <c r="BH1609"/>
      <c r="BI1609"/>
      <c r="BJ1609"/>
      <c r="BK1609" s="15" t="str">
        <f>IFERROR(VLOOKUP(B1609,'[1]model_S-フレーム'!$F$5:$R$7000,13,1),"")</f>
        <v>E367808_02</v>
      </c>
      <c r="BL1609" s="16">
        <f>IFERROR(VLOOKUP(B1609,'[1]model_S-フレーム'!$F$5:$V$7000,17,1),"")</f>
        <v>0</v>
      </c>
      <c r="BM1609" s="15" t="str" cm="1">
        <f t="array" ref="BM1609">_xlfn.IFS(LEFT(G1609,1)="L","外注品",LEFT(G1609,1)="W","内製品",G1609="","購買品")</f>
        <v>購買品</v>
      </c>
    </row>
    <row r="1610" spans="1:65">
      <c r="A1610" t="str">
        <f t="shared" si="260"/>
        <v>WG01</v>
      </c>
      <c r="B1610" t="s">
        <v>1716</v>
      </c>
      <c r="C1610" t="s">
        <v>1918</v>
      </c>
      <c r="D1610" s="7"/>
      <c r="E1610" s="7"/>
      <c r="H1610" s="19" t="s">
        <v>1937</v>
      </c>
      <c r="K1610" t="str">
        <f t="shared" si="261"/>
        <v/>
      </c>
      <c r="L1610" s="3" t="str">
        <f t="shared" si="262"/>
        <v>2001/01/01</v>
      </c>
      <c r="M1610" s="3" t="str">
        <f t="shared" si="263"/>
        <v>2199/12/31</v>
      </c>
      <c r="N1610" t="str">
        <f t="shared" si="264"/>
        <v/>
      </c>
      <c r="O1610" t="str">
        <f t="shared" si="265"/>
        <v/>
      </c>
      <c r="Q1610">
        <v>15</v>
      </c>
      <c r="R1610" s="21">
        <v>100000000</v>
      </c>
      <c r="S1610" s="21" t="str" cm="1">
        <f t="array" ref="S1610">_xlfn.IFS(LEFT(G1610,1)="L","記載要",LEFT(G1610,1)="W","記載要",G1610="","")</f>
        <v/>
      </c>
      <c r="Z1610" s="8"/>
      <c r="AA1610" s="8">
        <v>1</v>
      </c>
      <c r="AB1610">
        <f t="shared" si="266"/>
        <v>0</v>
      </c>
      <c r="AC1610" s="8">
        <v>1</v>
      </c>
      <c r="AF1610">
        <v>0</v>
      </c>
      <c r="AG1610" s="8"/>
      <c r="AH1610" s="8"/>
      <c r="AK1610" cm="1">
        <f t="array" ref="AK1610">_xlfn.IFS(B1610="","",LEFT(G1610,1)="L",1,LEFT(G1610,1)="W",1,AND(LEFT(B1610,1)="H",G1610=""),0)</f>
        <v>0</v>
      </c>
      <c r="AS1610">
        <f t="shared" si="267"/>
        <v>1</v>
      </c>
      <c r="AT1610" t="s">
        <v>115</v>
      </c>
      <c r="AU1610" t="str">
        <f t="shared" si="268"/>
        <v>0</v>
      </c>
      <c r="BD1610" t="str">
        <f t="shared" si="269"/>
        <v>0</v>
      </c>
      <c r="BK1610" t="str">
        <f>IFERROR(VLOOKUP(B1610,'[1]model_S-フレーム'!$F$5:$R$7000,13,1),"")</f>
        <v>E367808_02</v>
      </c>
      <c r="BL1610" s="7">
        <f>IFERROR(VLOOKUP(B1610,'[1]model_S-フレーム'!$F$5:$V$7000,17,1),"")</f>
        <v>0</v>
      </c>
      <c r="BM1610" t="str" cm="1">
        <f t="array" ref="BM1610">_xlfn.IFS(LEFT(G1610,1)="L","外注品",LEFT(G1610,1)="W","内製品",G1610="","購買品")</f>
        <v>購買品</v>
      </c>
    </row>
    <row r="1611" spans="1:65">
      <c r="A1611" t="str">
        <f t="shared" si="260"/>
        <v>WG01</v>
      </c>
      <c r="B1611" t="s">
        <v>1717</v>
      </c>
      <c r="C1611" t="s">
        <v>1919</v>
      </c>
      <c r="D1611" s="7"/>
      <c r="E1611" s="7"/>
      <c r="G1611" t="s">
        <v>1939</v>
      </c>
      <c r="H1611" t="str" cm="1">
        <f t="array" ref="H1611">IFERROR(_xlfn.IFS(B1611="","",AND(B1611="",G1611=""),"",G1611="","記載要"),"")</f>
        <v/>
      </c>
      <c r="K1611" t="str">
        <f t="shared" si="261"/>
        <v>11WP01073931</v>
      </c>
      <c r="L1611" s="3" t="str">
        <f t="shared" si="262"/>
        <v>2001/01/01</v>
      </c>
      <c r="M1611" s="3" t="str">
        <f t="shared" si="263"/>
        <v>2199/12/31</v>
      </c>
      <c r="N1611" t="str">
        <f t="shared" si="264"/>
        <v>11WP01073931</v>
      </c>
      <c r="O1611">
        <v>15</v>
      </c>
      <c r="Q1611" t="str" cm="1">
        <f t="array" ref="Q1611">_xlfn.IFS(AND(C1611="",G1611=""),"",LEFT(G1611,1)="L","記載要",LEFT(G1611,1)="W","",AND(C1611,G1611=""),"記載要")</f>
        <v/>
      </c>
      <c r="R1611" s="21" t="str">
        <f t="shared" ref="R1611:R1667" si="270">IF(H1611="","","記載要")</f>
        <v/>
      </c>
      <c r="S1611" s="21"/>
      <c r="Z1611" s="8"/>
      <c r="AA1611">
        <v>1</v>
      </c>
      <c r="AB1611">
        <f t="shared" si="266"/>
        <v>0</v>
      </c>
      <c r="AC1611">
        <v>1</v>
      </c>
      <c r="AF1611">
        <v>1</v>
      </c>
      <c r="AG1611" s="8"/>
      <c r="AH1611" s="8"/>
      <c r="AK1611" cm="1">
        <f t="array" ref="AK1611">_xlfn.IFS(B1611="","",LEFT(G1611,1)="L",1,LEFT(G1611,1)="W",1,AND(LEFT(B1611,1)="H",G1611=""),0)</f>
        <v>1</v>
      </c>
      <c r="AS1611" t="str">
        <f t="shared" si="267"/>
        <v/>
      </c>
      <c r="AT1611" t="s">
        <v>115</v>
      </c>
      <c r="AU1611" t="str">
        <f t="shared" si="268"/>
        <v>0</v>
      </c>
      <c r="BD1611" t="str">
        <f t="shared" si="269"/>
        <v>0</v>
      </c>
      <c r="BK1611" t="str">
        <f>IFERROR(VLOOKUP(B1611,'[1]model_S-フレーム'!$F$5:$R$7000,13,1),"")</f>
        <v>E367812_01</v>
      </c>
      <c r="BL1611" s="7">
        <f>IFERROR(VLOOKUP(B1611,'[1]model_S-フレーム'!$F$5:$V$7000,17,1),"")</f>
        <v>0</v>
      </c>
      <c r="BM1611" t="str" cm="1">
        <f t="array" ref="BM1611">_xlfn.IFS(LEFT(G1611,1)="L","外注品",LEFT(G1611,1)="W","内製品",G1611="","購買品")</f>
        <v>内製品</v>
      </c>
    </row>
    <row r="1612" spans="1:65">
      <c r="A1612" t="str">
        <f t="shared" si="260"/>
        <v>WG01</v>
      </c>
      <c r="B1612" t="s">
        <v>1718</v>
      </c>
      <c r="C1612" t="s">
        <v>1919</v>
      </c>
      <c r="D1612" s="7"/>
      <c r="E1612" s="7"/>
      <c r="G1612" t="s">
        <v>1939</v>
      </c>
      <c r="H1612" t="str" cm="1">
        <f t="array" ref="H1612">IFERROR(_xlfn.IFS(B1612="","",AND(B1612="",G1612=""),"",G1612="","記載要"),"")</f>
        <v/>
      </c>
      <c r="K1612" t="str">
        <f t="shared" si="261"/>
        <v>11WP01073932</v>
      </c>
      <c r="L1612" s="3" t="str">
        <f t="shared" si="262"/>
        <v>2001/01/01</v>
      </c>
      <c r="M1612" s="3" t="str">
        <f t="shared" si="263"/>
        <v>2199/12/31</v>
      </c>
      <c r="N1612" t="str">
        <f t="shared" si="264"/>
        <v>11WP01073932</v>
      </c>
      <c r="O1612">
        <v>15</v>
      </c>
      <c r="Q1612" t="str" cm="1">
        <f t="array" ref="Q1612">_xlfn.IFS(AND(C1612="",G1612=""),"",LEFT(G1612,1)="L","記載要",LEFT(G1612,1)="W","",AND(C1612,G1612=""),"記載要")</f>
        <v/>
      </c>
      <c r="R1612" s="21" t="str">
        <f t="shared" si="270"/>
        <v/>
      </c>
      <c r="S1612" s="21"/>
      <c r="Z1612" s="8"/>
      <c r="AA1612">
        <v>1</v>
      </c>
      <c r="AB1612">
        <f t="shared" si="266"/>
        <v>0</v>
      </c>
      <c r="AC1612">
        <v>1</v>
      </c>
      <c r="AF1612">
        <v>1</v>
      </c>
      <c r="AG1612" s="8"/>
      <c r="AH1612" s="8"/>
      <c r="AK1612" cm="1">
        <f t="array" ref="AK1612">_xlfn.IFS(B1612="","",LEFT(G1612,1)="L",1,LEFT(G1612,1)="W",1,AND(LEFT(B1612,1)="H",G1612=""),0)</f>
        <v>1</v>
      </c>
      <c r="AS1612" t="str">
        <f t="shared" si="267"/>
        <v/>
      </c>
      <c r="AT1612" t="s">
        <v>115</v>
      </c>
      <c r="AU1612" t="str">
        <f t="shared" si="268"/>
        <v>0</v>
      </c>
      <c r="BD1612" t="str">
        <f t="shared" si="269"/>
        <v>0</v>
      </c>
      <c r="BK1612" t="str">
        <f>IFERROR(VLOOKUP(B1612,'[1]model_S-フレーム'!$F$5:$R$7000,13,1),"")</f>
        <v>E367812_01</v>
      </c>
      <c r="BL1612" s="7">
        <f>IFERROR(VLOOKUP(B1612,'[1]model_S-フレーム'!$F$5:$V$7000,17,1),"")</f>
        <v>0</v>
      </c>
      <c r="BM1612" t="str" cm="1">
        <f t="array" ref="BM1612">_xlfn.IFS(LEFT(G1612,1)="L","外注品",LEFT(G1612,1)="W","内製品",G1612="","購買品")</f>
        <v>内製品</v>
      </c>
    </row>
    <row r="1613" spans="1:65">
      <c r="A1613" t="str">
        <f t="shared" si="260"/>
        <v>WG01</v>
      </c>
      <c r="B1613" t="s">
        <v>1719</v>
      </c>
      <c r="C1613" t="s">
        <v>1919</v>
      </c>
      <c r="D1613" s="7"/>
      <c r="E1613" s="7"/>
      <c r="G1613" t="s">
        <v>1939</v>
      </c>
      <c r="H1613" t="str" cm="1">
        <f t="array" ref="H1613">IFERROR(_xlfn.IFS(B1613="","",AND(B1613="",G1613=""),"",G1613="","記載要"),"")</f>
        <v/>
      </c>
      <c r="K1613" t="str">
        <f t="shared" si="261"/>
        <v>11WP01073933</v>
      </c>
      <c r="L1613" s="3" t="str">
        <f t="shared" si="262"/>
        <v>2001/01/01</v>
      </c>
      <c r="M1613" s="3" t="str">
        <f t="shared" si="263"/>
        <v>2199/12/31</v>
      </c>
      <c r="N1613" t="str">
        <f t="shared" si="264"/>
        <v>11WP01073933</v>
      </c>
      <c r="O1613">
        <v>15</v>
      </c>
      <c r="Q1613" t="str" cm="1">
        <f t="array" ref="Q1613">_xlfn.IFS(AND(C1613="",G1613=""),"",LEFT(G1613,1)="L","記載要",LEFT(G1613,1)="W","",AND(C1613,G1613=""),"記載要")</f>
        <v/>
      </c>
      <c r="R1613" s="21" t="str">
        <f t="shared" si="270"/>
        <v/>
      </c>
      <c r="S1613" s="21"/>
      <c r="Z1613" s="8"/>
      <c r="AA1613">
        <v>1</v>
      </c>
      <c r="AB1613">
        <f t="shared" si="266"/>
        <v>0</v>
      </c>
      <c r="AC1613">
        <v>1</v>
      </c>
      <c r="AF1613">
        <v>1</v>
      </c>
      <c r="AG1613" s="8"/>
      <c r="AH1613" s="8"/>
      <c r="AK1613" cm="1">
        <f t="array" ref="AK1613">_xlfn.IFS(B1613="","",LEFT(G1613,1)="L",1,LEFT(G1613,1)="W",1,AND(LEFT(B1613,1)="H",G1613=""),0)</f>
        <v>1</v>
      </c>
      <c r="AS1613" t="str">
        <f t="shared" si="267"/>
        <v/>
      </c>
      <c r="AT1613" t="s">
        <v>115</v>
      </c>
      <c r="AU1613" t="str">
        <f t="shared" si="268"/>
        <v>0</v>
      </c>
      <c r="BD1613" t="str">
        <f t="shared" si="269"/>
        <v>0</v>
      </c>
      <c r="BK1613" t="str">
        <f>IFERROR(VLOOKUP(B1613,'[1]model_S-フレーム'!$F$5:$R$7000,13,1),"")</f>
        <v>E367812_01</v>
      </c>
      <c r="BL1613" s="7">
        <f>IFERROR(VLOOKUP(B1613,'[1]model_S-フレーム'!$F$5:$V$7000,17,1),"")</f>
        <v>0</v>
      </c>
      <c r="BM1613" t="str" cm="1">
        <f t="array" ref="BM1613">_xlfn.IFS(LEFT(G1613,1)="L","外注品",LEFT(G1613,1)="W","内製品",G1613="","購買品")</f>
        <v>内製品</v>
      </c>
    </row>
    <row r="1614" spans="1:65">
      <c r="A1614" t="str">
        <f t="shared" si="260"/>
        <v>WG01</v>
      </c>
      <c r="B1614" t="s">
        <v>1720</v>
      </c>
      <c r="C1614" t="s">
        <v>1919</v>
      </c>
      <c r="D1614" s="7"/>
      <c r="E1614" s="7"/>
      <c r="G1614" t="s">
        <v>1939</v>
      </c>
      <c r="H1614" t="str" cm="1">
        <f t="array" ref="H1614">IFERROR(_xlfn.IFS(B1614="","",AND(B1614="",G1614=""),"",G1614="","記載要"),"")</f>
        <v/>
      </c>
      <c r="K1614" t="str">
        <f t="shared" si="261"/>
        <v>11WP01073934</v>
      </c>
      <c r="L1614" s="3" t="str">
        <f t="shared" si="262"/>
        <v>2001/01/01</v>
      </c>
      <c r="M1614" s="3" t="str">
        <f t="shared" si="263"/>
        <v>2199/12/31</v>
      </c>
      <c r="N1614" t="str">
        <f t="shared" si="264"/>
        <v>11WP01073934</v>
      </c>
      <c r="O1614">
        <v>15</v>
      </c>
      <c r="Q1614" t="str" cm="1">
        <f t="array" ref="Q1614">_xlfn.IFS(AND(C1614="",G1614=""),"",LEFT(G1614,1)="L","記載要",LEFT(G1614,1)="W","",AND(C1614,G1614=""),"記載要")</f>
        <v/>
      </c>
      <c r="R1614" s="21" t="str">
        <f t="shared" si="270"/>
        <v/>
      </c>
      <c r="S1614" s="21"/>
      <c r="Z1614" s="8"/>
      <c r="AA1614">
        <v>1</v>
      </c>
      <c r="AB1614">
        <f t="shared" si="266"/>
        <v>0</v>
      </c>
      <c r="AC1614">
        <v>1</v>
      </c>
      <c r="AF1614">
        <v>1</v>
      </c>
      <c r="AG1614" s="8"/>
      <c r="AH1614" s="8"/>
      <c r="AK1614" cm="1">
        <f t="array" ref="AK1614">_xlfn.IFS(B1614="","",LEFT(G1614,1)="L",1,LEFT(G1614,1)="W",1,AND(LEFT(B1614,1)="H",G1614=""),0)</f>
        <v>1</v>
      </c>
      <c r="AS1614" t="str">
        <f t="shared" si="267"/>
        <v/>
      </c>
      <c r="AT1614" t="s">
        <v>115</v>
      </c>
      <c r="AU1614" t="str">
        <f t="shared" si="268"/>
        <v>0</v>
      </c>
      <c r="BD1614" t="str">
        <f t="shared" si="269"/>
        <v>0</v>
      </c>
      <c r="BK1614" t="str">
        <f>IFERROR(VLOOKUP(B1614,'[1]model_S-フレーム'!$F$5:$R$7000,13,1),"")</f>
        <v>E367812_01</v>
      </c>
      <c r="BL1614" s="7">
        <f>IFERROR(VLOOKUP(B1614,'[1]model_S-フレーム'!$F$5:$V$7000,17,1),"")</f>
        <v>0</v>
      </c>
      <c r="BM1614" t="str" cm="1">
        <f t="array" ref="BM1614">_xlfn.IFS(LEFT(G1614,1)="L","外注品",LEFT(G1614,1)="W","内製品",G1614="","購買品")</f>
        <v>内製品</v>
      </c>
    </row>
    <row r="1615" spans="1:65">
      <c r="A1615" t="str">
        <f t="shared" si="260"/>
        <v>WG01</v>
      </c>
      <c r="B1615" t="s">
        <v>1721</v>
      </c>
      <c r="C1615" t="s">
        <v>1919</v>
      </c>
      <c r="D1615" s="7"/>
      <c r="E1615" s="7"/>
      <c r="G1615" t="s">
        <v>1939</v>
      </c>
      <c r="H1615" t="str" cm="1">
        <f t="array" ref="H1615">IFERROR(_xlfn.IFS(B1615="","",AND(B1615="",G1615=""),"",G1615="","記載要"),"")</f>
        <v/>
      </c>
      <c r="K1615" t="str">
        <f t="shared" si="261"/>
        <v>11WP01073935</v>
      </c>
      <c r="L1615" s="3" t="str">
        <f t="shared" si="262"/>
        <v>2001/01/01</v>
      </c>
      <c r="M1615" s="3" t="str">
        <f t="shared" si="263"/>
        <v>2199/12/31</v>
      </c>
      <c r="N1615" t="str">
        <f t="shared" si="264"/>
        <v>11WP01073935</v>
      </c>
      <c r="O1615">
        <v>15</v>
      </c>
      <c r="Q1615" t="str" cm="1">
        <f t="array" ref="Q1615">_xlfn.IFS(AND(C1615="",G1615=""),"",LEFT(G1615,1)="L","記載要",LEFT(G1615,1)="W","",AND(C1615,G1615=""),"記載要")</f>
        <v/>
      </c>
      <c r="R1615" s="21" t="str">
        <f t="shared" si="270"/>
        <v/>
      </c>
      <c r="S1615" s="21"/>
      <c r="Z1615" s="8"/>
      <c r="AA1615">
        <v>1</v>
      </c>
      <c r="AB1615">
        <f t="shared" si="266"/>
        <v>0</v>
      </c>
      <c r="AC1615">
        <v>1</v>
      </c>
      <c r="AF1615">
        <v>1</v>
      </c>
      <c r="AG1615" s="8"/>
      <c r="AH1615" s="8"/>
      <c r="AK1615" cm="1">
        <f t="array" ref="AK1615">_xlfn.IFS(B1615="","",LEFT(G1615,1)="L",1,LEFT(G1615,1)="W",1,AND(LEFT(B1615,1)="H",G1615=""),0)</f>
        <v>1</v>
      </c>
      <c r="AS1615" t="str">
        <f t="shared" si="267"/>
        <v/>
      </c>
      <c r="AT1615" t="s">
        <v>115</v>
      </c>
      <c r="AU1615" t="str">
        <f t="shared" si="268"/>
        <v>0</v>
      </c>
      <c r="BD1615" t="str">
        <f t="shared" si="269"/>
        <v>0</v>
      </c>
      <c r="BK1615" t="str">
        <f>IFERROR(VLOOKUP(B1615,'[1]model_S-フレーム'!$F$5:$R$7000,13,1),"")</f>
        <v>E367812_01</v>
      </c>
      <c r="BL1615" s="7">
        <f>IFERROR(VLOOKUP(B1615,'[1]model_S-フレーム'!$F$5:$V$7000,17,1),"")</f>
        <v>0</v>
      </c>
      <c r="BM1615" t="str" cm="1">
        <f t="array" ref="BM1615">_xlfn.IFS(LEFT(G1615,1)="L","外注品",LEFT(G1615,1)="W","内製品",G1615="","購買品")</f>
        <v>内製品</v>
      </c>
    </row>
    <row r="1616" spans="1:65">
      <c r="A1616" t="str">
        <f t="shared" si="260"/>
        <v>WG01</v>
      </c>
      <c r="B1616" t="s">
        <v>1722</v>
      </c>
      <c r="C1616" t="s">
        <v>1919</v>
      </c>
      <c r="D1616" s="7"/>
      <c r="E1616" s="7"/>
      <c r="G1616" t="s">
        <v>1939</v>
      </c>
      <c r="H1616" t="str" cm="1">
        <f t="array" ref="H1616">IFERROR(_xlfn.IFS(B1616="","",AND(B1616="",G1616=""),"",G1616="","記載要"),"")</f>
        <v/>
      </c>
      <c r="K1616" t="str">
        <f t="shared" si="261"/>
        <v>11WP01073936</v>
      </c>
      <c r="L1616" s="3" t="str">
        <f t="shared" si="262"/>
        <v>2001/01/01</v>
      </c>
      <c r="M1616" s="3" t="str">
        <f t="shared" si="263"/>
        <v>2199/12/31</v>
      </c>
      <c r="N1616" t="str">
        <f t="shared" si="264"/>
        <v>11WP01073936</v>
      </c>
      <c r="O1616">
        <v>15</v>
      </c>
      <c r="Q1616" t="str" cm="1">
        <f t="array" ref="Q1616">_xlfn.IFS(AND(C1616="",G1616=""),"",LEFT(G1616,1)="L","記載要",LEFT(G1616,1)="W","",AND(C1616,G1616=""),"記載要")</f>
        <v/>
      </c>
      <c r="R1616" s="21" t="str">
        <f t="shared" si="270"/>
        <v/>
      </c>
      <c r="S1616" s="21"/>
      <c r="Z1616" s="8"/>
      <c r="AA1616">
        <v>1</v>
      </c>
      <c r="AB1616">
        <f t="shared" si="266"/>
        <v>0</v>
      </c>
      <c r="AC1616">
        <v>1</v>
      </c>
      <c r="AF1616">
        <v>1</v>
      </c>
      <c r="AG1616" s="8"/>
      <c r="AH1616" s="8"/>
      <c r="AK1616" cm="1">
        <f t="array" ref="AK1616">_xlfn.IFS(B1616="","",LEFT(G1616,1)="L",1,LEFT(G1616,1)="W",1,AND(LEFT(B1616,1)="H",G1616=""),0)</f>
        <v>1</v>
      </c>
      <c r="AS1616" t="str">
        <f t="shared" si="267"/>
        <v/>
      </c>
      <c r="AT1616" t="s">
        <v>115</v>
      </c>
      <c r="AU1616" t="str">
        <f t="shared" si="268"/>
        <v>0</v>
      </c>
      <c r="BD1616" t="str">
        <f t="shared" si="269"/>
        <v>0</v>
      </c>
      <c r="BK1616" t="str">
        <f>IFERROR(VLOOKUP(B1616,'[1]model_S-フレーム'!$F$5:$R$7000,13,1),"")</f>
        <v>E367812_01</v>
      </c>
      <c r="BL1616" s="7">
        <f>IFERROR(VLOOKUP(B1616,'[1]model_S-フレーム'!$F$5:$V$7000,17,1),"")</f>
        <v>0</v>
      </c>
      <c r="BM1616" t="str" cm="1">
        <f t="array" ref="BM1616">_xlfn.IFS(LEFT(G1616,1)="L","外注品",LEFT(G1616,1)="W","内製品",G1616="","購買品")</f>
        <v>内製品</v>
      </c>
    </row>
    <row r="1617" spans="1:65">
      <c r="A1617" t="str">
        <f t="shared" si="260"/>
        <v>WG01</v>
      </c>
      <c r="B1617" t="s">
        <v>1723</v>
      </c>
      <c r="C1617" t="s">
        <v>1919</v>
      </c>
      <c r="D1617" s="7"/>
      <c r="E1617" s="7"/>
      <c r="G1617" t="s">
        <v>1939</v>
      </c>
      <c r="H1617" t="str" cm="1">
        <f t="array" ref="H1617">IFERROR(_xlfn.IFS(B1617="","",AND(B1617="",G1617=""),"",G1617="","記載要"),"")</f>
        <v/>
      </c>
      <c r="K1617" t="str">
        <f t="shared" si="261"/>
        <v>11WP01073937</v>
      </c>
      <c r="L1617" s="3" t="str">
        <f t="shared" si="262"/>
        <v>2001/01/01</v>
      </c>
      <c r="M1617" s="3" t="str">
        <f t="shared" si="263"/>
        <v>2199/12/31</v>
      </c>
      <c r="N1617" t="str">
        <f t="shared" si="264"/>
        <v>11WP01073937</v>
      </c>
      <c r="O1617">
        <v>15</v>
      </c>
      <c r="Q1617" t="str" cm="1">
        <f t="array" ref="Q1617">_xlfn.IFS(AND(C1617="",G1617=""),"",LEFT(G1617,1)="L","記載要",LEFT(G1617,1)="W","",AND(C1617,G1617=""),"記載要")</f>
        <v/>
      </c>
      <c r="R1617" s="21" t="str">
        <f t="shared" si="270"/>
        <v/>
      </c>
      <c r="S1617" s="21"/>
      <c r="Z1617" s="8"/>
      <c r="AA1617">
        <v>1</v>
      </c>
      <c r="AB1617">
        <f t="shared" si="266"/>
        <v>0</v>
      </c>
      <c r="AC1617">
        <v>1</v>
      </c>
      <c r="AF1617">
        <v>1</v>
      </c>
      <c r="AG1617" s="8"/>
      <c r="AH1617" s="8"/>
      <c r="AK1617" cm="1">
        <f t="array" ref="AK1617">_xlfn.IFS(B1617="","",LEFT(G1617,1)="L",1,LEFT(G1617,1)="W",1,AND(LEFT(B1617,1)="H",G1617=""),0)</f>
        <v>1</v>
      </c>
      <c r="AS1617" t="str">
        <f t="shared" si="267"/>
        <v/>
      </c>
      <c r="AT1617" t="s">
        <v>115</v>
      </c>
      <c r="AU1617" t="str">
        <f t="shared" si="268"/>
        <v>0</v>
      </c>
      <c r="BD1617" t="str">
        <f t="shared" si="269"/>
        <v>0</v>
      </c>
      <c r="BK1617" t="str">
        <f>IFERROR(VLOOKUP(B1617,'[1]model_S-フレーム'!$F$5:$R$7000,13,1),"")</f>
        <v>E367812_01</v>
      </c>
      <c r="BL1617" s="7">
        <f>IFERROR(VLOOKUP(B1617,'[1]model_S-フレーム'!$F$5:$V$7000,17,1),"")</f>
        <v>0</v>
      </c>
      <c r="BM1617" t="str" cm="1">
        <f t="array" ref="BM1617">_xlfn.IFS(LEFT(G1617,1)="L","外注品",LEFT(G1617,1)="W","内製品",G1617="","購買品")</f>
        <v>内製品</v>
      </c>
    </row>
    <row r="1618" spans="1:65">
      <c r="A1618" t="str">
        <f t="shared" si="260"/>
        <v>WG01</v>
      </c>
      <c r="B1618" t="s">
        <v>1724</v>
      </c>
      <c r="C1618" t="s">
        <v>1919</v>
      </c>
      <c r="D1618" s="7"/>
      <c r="E1618" s="7"/>
      <c r="G1618" t="s">
        <v>1939</v>
      </c>
      <c r="H1618" t="str" cm="1">
        <f t="array" ref="H1618">IFERROR(_xlfn.IFS(B1618="","",AND(B1618="",G1618=""),"",G1618="","記載要"),"")</f>
        <v/>
      </c>
      <c r="K1618" t="str">
        <f t="shared" si="261"/>
        <v>11WP01073938</v>
      </c>
      <c r="L1618" s="3" t="str">
        <f t="shared" si="262"/>
        <v>2001/01/01</v>
      </c>
      <c r="M1618" s="3" t="str">
        <f t="shared" si="263"/>
        <v>2199/12/31</v>
      </c>
      <c r="N1618" t="str">
        <f t="shared" si="264"/>
        <v>11WP01073938</v>
      </c>
      <c r="O1618">
        <v>15</v>
      </c>
      <c r="Q1618" t="str" cm="1">
        <f t="array" ref="Q1618">_xlfn.IFS(AND(C1618="",G1618=""),"",LEFT(G1618,1)="L","記載要",LEFT(G1618,1)="W","",AND(C1618,G1618=""),"記載要")</f>
        <v/>
      </c>
      <c r="R1618" s="21" t="str">
        <f t="shared" si="270"/>
        <v/>
      </c>
      <c r="S1618" s="21"/>
      <c r="Z1618" s="8"/>
      <c r="AA1618">
        <v>1</v>
      </c>
      <c r="AB1618">
        <f t="shared" si="266"/>
        <v>0</v>
      </c>
      <c r="AC1618">
        <v>1</v>
      </c>
      <c r="AF1618">
        <v>1</v>
      </c>
      <c r="AG1618" s="8"/>
      <c r="AH1618" s="8"/>
      <c r="AK1618" cm="1">
        <f t="array" ref="AK1618">_xlfn.IFS(B1618="","",LEFT(G1618,1)="L",1,LEFT(G1618,1)="W",1,AND(LEFT(B1618,1)="H",G1618=""),0)</f>
        <v>1</v>
      </c>
      <c r="AS1618" t="str">
        <f t="shared" si="267"/>
        <v/>
      </c>
      <c r="AT1618" t="s">
        <v>115</v>
      </c>
      <c r="AU1618" t="str">
        <f t="shared" si="268"/>
        <v>0</v>
      </c>
      <c r="BD1618" t="str">
        <f t="shared" si="269"/>
        <v>0</v>
      </c>
      <c r="BK1618" t="str">
        <f>IFERROR(VLOOKUP(B1618,'[1]model_S-フレーム'!$F$5:$R$7000,13,1),"")</f>
        <v>E367812_01</v>
      </c>
      <c r="BL1618" s="7">
        <f>IFERROR(VLOOKUP(B1618,'[1]model_S-フレーム'!$F$5:$V$7000,17,1),"")</f>
        <v>0</v>
      </c>
      <c r="BM1618" t="str" cm="1">
        <f t="array" ref="BM1618">_xlfn.IFS(LEFT(G1618,1)="L","外注品",LEFT(G1618,1)="W","内製品",G1618="","購買品")</f>
        <v>内製品</v>
      </c>
    </row>
    <row r="1619" spans="1:65">
      <c r="A1619" t="str">
        <f t="shared" si="260"/>
        <v>WG01</v>
      </c>
      <c r="B1619" t="s">
        <v>1725</v>
      </c>
      <c r="C1619" t="s">
        <v>1919</v>
      </c>
      <c r="D1619" s="7"/>
      <c r="E1619" s="7"/>
      <c r="G1619" t="s">
        <v>1939</v>
      </c>
      <c r="H1619" t="str" cm="1">
        <f t="array" ref="H1619">IFERROR(_xlfn.IFS(B1619="","",AND(B1619="",G1619=""),"",G1619="","記載要"),"")</f>
        <v/>
      </c>
      <c r="K1619" t="str">
        <f t="shared" si="261"/>
        <v>11WP01073939</v>
      </c>
      <c r="L1619" s="3" t="str">
        <f t="shared" si="262"/>
        <v>2001/01/01</v>
      </c>
      <c r="M1619" s="3" t="str">
        <f t="shared" si="263"/>
        <v>2199/12/31</v>
      </c>
      <c r="N1619" t="str">
        <f t="shared" si="264"/>
        <v>11WP01073939</v>
      </c>
      <c r="O1619">
        <v>15</v>
      </c>
      <c r="Q1619" t="str" cm="1">
        <f t="array" ref="Q1619">_xlfn.IFS(AND(C1619="",G1619=""),"",LEFT(G1619,1)="L","記載要",LEFT(G1619,1)="W","",AND(C1619,G1619=""),"記載要")</f>
        <v/>
      </c>
      <c r="R1619" s="21" t="str">
        <f t="shared" si="270"/>
        <v/>
      </c>
      <c r="S1619" s="21"/>
      <c r="Z1619" s="8"/>
      <c r="AA1619">
        <v>1</v>
      </c>
      <c r="AB1619">
        <f t="shared" si="266"/>
        <v>0</v>
      </c>
      <c r="AC1619">
        <v>1</v>
      </c>
      <c r="AF1619">
        <v>1</v>
      </c>
      <c r="AG1619" s="8"/>
      <c r="AH1619" s="8"/>
      <c r="AK1619" cm="1">
        <f t="array" ref="AK1619">_xlfn.IFS(B1619="","",LEFT(G1619,1)="L",1,LEFT(G1619,1)="W",1,AND(LEFT(B1619,1)="H",G1619=""),0)</f>
        <v>1</v>
      </c>
      <c r="AS1619" t="str">
        <f t="shared" si="267"/>
        <v/>
      </c>
      <c r="AT1619" t="s">
        <v>115</v>
      </c>
      <c r="AU1619" t="str">
        <f t="shared" si="268"/>
        <v>0</v>
      </c>
      <c r="BD1619" t="str">
        <f t="shared" si="269"/>
        <v>0</v>
      </c>
      <c r="BK1619" t="str">
        <f>IFERROR(VLOOKUP(B1619,'[1]model_S-フレーム'!$F$5:$R$7000,13,1),"")</f>
        <v>E367812_01</v>
      </c>
      <c r="BL1619" s="7">
        <f>IFERROR(VLOOKUP(B1619,'[1]model_S-フレーム'!$F$5:$V$7000,17,1),"")</f>
        <v>0</v>
      </c>
      <c r="BM1619" t="str" cm="1">
        <f t="array" ref="BM1619">_xlfn.IFS(LEFT(G1619,1)="L","外注品",LEFT(G1619,1)="W","内製品",G1619="","購買品")</f>
        <v>内製品</v>
      </c>
    </row>
    <row r="1620" spans="1:65">
      <c r="A1620" t="str">
        <f t="shared" si="260"/>
        <v>WG01</v>
      </c>
      <c r="B1620" t="s">
        <v>1726</v>
      </c>
      <c r="C1620" t="s">
        <v>1919</v>
      </c>
      <c r="D1620" s="7"/>
      <c r="E1620" s="7"/>
      <c r="G1620" t="s">
        <v>1939</v>
      </c>
      <c r="H1620" t="str" cm="1">
        <f t="array" ref="H1620">IFERROR(_xlfn.IFS(B1620="","",AND(B1620="",G1620=""),"",G1620="","記載要"),"")</f>
        <v/>
      </c>
      <c r="K1620" t="str">
        <f t="shared" si="261"/>
        <v>11WP01073940</v>
      </c>
      <c r="L1620" s="3" t="str">
        <f t="shared" si="262"/>
        <v>2001/01/01</v>
      </c>
      <c r="M1620" s="3" t="str">
        <f t="shared" si="263"/>
        <v>2199/12/31</v>
      </c>
      <c r="N1620" t="str">
        <f t="shared" si="264"/>
        <v>11WP01073940</v>
      </c>
      <c r="O1620">
        <v>15</v>
      </c>
      <c r="Q1620" t="str" cm="1">
        <f t="array" ref="Q1620">_xlfn.IFS(AND(C1620="",G1620=""),"",LEFT(G1620,1)="L","記載要",LEFT(G1620,1)="W","",AND(C1620,G1620=""),"記載要")</f>
        <v/>
      </c>
      <c r="R1620" s="21" t="str">
        <f t="shared" si="270"/>
        <v/>
      </c>
      <c r="S1620" s="21"/>
      <c r="Z1620" s="8"/>
      <c r="AA1620">
        <v>1</v>
      </c>
      <c r="AB1620">
        <f t="shared" si="266"/>
        <v>0</v>
      </c>
      <c r="AC1620">
        <v>1</v>
      </c>
      <c r="AF1620">
        <v>1</v>
      </c>
      <c r="AG1620" s="8"/>
      <c r="AH1620" s="8"/>
      <c r="AK1620" cm="1">
        <f t="array" ref="AK1620">_xlfn.IFS(B1620="","",LEFT(G1620,1)="L",1,LEFT(G1620,1)="W",1,AND(LEFT(B1620,1)="H",G1620=""),0)</f>
        <v>1</v>
      </c>
      <c r="AS1620" t="str">
        <f t="shared" si="267"/>
        <v/>
      </c>
      <c r="AT1620" t="s">
        <v>115</v>
      </c>
      <c r="AU1620" t="str">
        <f t="shared" si="268"/>
        <v>0</v>
      </c>
      <c r="BD1620" t="str">
        <f t="shared" si="269"/>
        <v>0</v>
      </c>
      <c r="BK1620" t="str">
        <f>IFERROR(VLOOKUP(B1620,'[1]model_S-フレーム'!$F$5:$R$7000,13,1),"")</f>
        <v>E367812_01</v>
      </c>
      <c r="BL1620" s="7">
        <f>IFERROR(VLOOKUP(B1620,'[1]model_S-フレーム'!$F$5:$V$7000,17,1),"")</f>
        <v>0</v>
      </c>
      <c r="BM1620" t="str" cm="1">
        <f t="array" ref="BM1620">_xlfn.IFS(LEFT(G1620,1)="L","外注品",LEFT(G1620,1)="W","内製品",G1620="","購買品")</f>
        <v>内製品</v>
      </c>
    </row>
    <row r="1621" spans="1:65">
      <c r="A1621" t="str">
        <f t="shared" si="260"/>
        <v>WG01</v>
      </c>
      <c r="B1621" t="s">
        <v>1727</v>
      </c>
      <c r="C1621" t="s">
        <v>1919</v>
      </c>
      <c r="D1621" s="7"/>
      <c r="E1621" s="7"/>
      <c r="G1621" t="s">
        <v>1939</v>
      </c>
      <c r="H1621" t="str" cm="1">
        <f t="array" ref="H1621">IFERROR(_xlfn.IFS(B1621="","",AND(B1621="",G1621=""),"",G1621="","記載要"),"")</f>
        <v/>
      </c>
      <c r="K1621" t="str">
        <f t="shared" si="261"/>
        <v>11WP01073941</v>
      </c>
      <c r="L1621" s="3" t="str">
        <f t="shared" si="262"/>
        <v>2001/01/01</v>
      </c>
      <c r="M1621" s="3" t="str">
        <f t="shared" si="263"/>
        <v>2199/12/31</v>
      </c>
      <c r="N1621" t="str">
        <f t="shared" si="264"/>
        <v>11WP01073941</v>
      </c>
      <c r="O1621">
        <v>15</v>
      </c>
      <c r="Q1621" t="str" cm="1">
        <f t="array" ref="Q1621">_xlfn.IFS(AND(C1621="",G1621=""),"",LEFT(G1621,1)="L","記載要",LEFT(G1621,1)="W","",AND(C1621,G1621=""),"記載要")</f>
        <v/>
      </c>
      <c r="R1621" s="21" t="str">
        <f t="shared" si="270"/>
        <v/>
      </c>
      <c r="S1621" s="21"/>
      <c r="Z1621" s="8"/>
      <c r="AA1621">
        <v>1</v>
      </c>
      <c r="AB1621">
        <f t="shared" si="266"/>
        <v>0</v>
      </c>
      <c r="AC1621">
        <v>1</v>
      </c>
      <c r="AF1621">
        <v>1</v>
      </c>
      <c r="AG1621" s="8"/>
      <c r="AH1621" s="8"/>
      <c r="AK1621" cm="1">
        <f t="array" ref="AK1621">_xlfn.IFS(B1621="","",LEFT(G1621,1)="L",1,LEFT(G1621,1)="W",1,AND(LEFT(B1621,1)="H",G1621=""),0)</f>
        <v>1</v>
      </c>
      <c r="AS1621" t="str">
        <f t="shared" si="267"/>
        <v/>
      </c>
      <c r="AT1621" t="s">
        <v>115</v>
      </c>
      <c r="AU1621" t="str">
        <f t="shared" si="268"/>
        <v>0</v>
      </c>
      <c r="BD1621" t="str">
        <f t="shared" si="269"/>
        <v>0</v>
      </c>
      <c r="BK1621" t="str">
        <f>IFERROR(VLOOKUP(B1621,'[1]model_S-フレーム'!$F$5:$R$7000,13,1),"")</f>
        <v>E367812_01</v>
      </c>
      <c r="BL1621" s="7">
        <f>IFERROR(VLOOKUP(B1621,'[1]model_S-フレーム'!$F$5:$V$7000,17,1),"")</f>
        <v>0</v>
      </c>
      <c r="BM1621" t="str" cm="1">
        <f t="array" ref="BM1621">_xlfn.IFS(LEFT(G1621,1)="L","外注品",LEFT(G1621,1)="W","内製品",G1621="","購買品")</f>
        <v>内製品</v>
      </c>
    </row>
    <row r="1622" spans="1:65">
      <c r="A1622" t="str">
        <f t="shared" si="260"/>
        <v>WG01</v>
      </c>
      <c r="B1622" t="s">
        <v>1728</v>
      </c>
      <c r="C1622" t="s">
        <v>1919</v>
      </c>
      <c r="D1622" s="7"/>
      <c r="E1622" s="7"/>
      <c r="G1622" t="s">
        <v>1939</v>
      </c>
      <c r="H1622" t="str" cm="1">
        <f t="array" ref="H1622">IFERROR(_xlfn.IFS(B1622="","",AND(B1622="",G1622=""),"",G1622="","記載要"),"")</f>
        <v/>
      </c>
      <c r="K1622" t="str">
        <f t="shared" si="261"/>
        <v>11WP01073942</v>
      </c>
      <c r="L1622" s="3" t="str">
        <f t="shared" si="262"/>
        <v>2001/01/01</v>
      </c>
      <c r="M1622" s="3" t="str">
        <f t="shared" si="263"/>
        <v>2199/12/31</v>
      </c>
      <c r="N1622" t="str">
        <f t="shared" si="264"/>
        <v>11WP01073942</v>
      </c>
      <c r="O1622">
        <v>15</v>
      </c>
      <c r="Q1622" t="str" cm="1">
        <f t="array" ref="Q1622">_xlfn.IFS(AND(C1622="",G1622=""),"",LEFT(G1622,1)="L","記載要",LEFT(G1622,1)="W","",AND(C1622,G1622=""),"記載要")</f>
        <v/>
      </c>
      <c r="R1622" s="21" t="str">
        <f t="shared" si="270"/>
        <v/>
      </c>
      <c r="S1622" s="21"/>
      <c r="Z1622" s="8"/>
      <c r="AA1622">
        <v>1</v>
      </c>
      <c r="AB1622">
        <f t="shared" si="266"/>
        <v>0</v>
      </c>
      <c r="AC1622">
        <v>1</v>
      </c>
      <c r="AF1622">
        <v>1</v>
      </c>
      <c r="AG1622" s="8"/>
      <c r="AH1622" s="8"/>
      <c r="AK1622" cm="1">
        <f t="array" ref="AK1622">_xlfn.IFS(B1622="","",LEFT(G1622,1)="L",1,LEFT(G1622,1)="W",1,AND(LEFT(B1622,1)="H",G1622=""),0)</f>
        <v>1</v>
      </c>
      <c r="AS1622" t="str">
        <f t="shared" si="267"/>
        <v/>
      </c>
      <c r="AT1622" t="s">
        <v>115</v>
      </c>
      <c r="AU1622" t="str">
        <f t="shared" si="268"/>
        <v>0</v>
      </c>
      <c r="BD1622" t="str">
        <f t="shared" si="269"/>
        <v>0</v>
      </c>
      <c r="BK1622" t="str">
        <f>IFERROR(VLOOKUP(B1622,'[1]model_S-フレーム'!$F$5:$R$7000,13,1),"")</f>
        <v>E367812_01</v>
      </c>
      <c r="BL1622" s="7">
        <f>IFERROR(VLOOKUP(B1622,'[1]model_S-フレーム'!$F$5:$V$7000,17,1),"")</f>
        <v>0</v>
      </c>
      <c r="BM1622" t="str" cm="1">
        <f t="array" ref="BM1622">_xlfn.IFS(LEFT(G1622,1)="L","外注品",LEFT(G1622,1)="W","内製品",G1622="","購買品")</f>
        <v>内製品</v>
      </c>
    </row>
    <row r="1623" spans="1:65">
      <c r="A1623" t="str">
        <f t="shared" si="260"/>
        <v>WG01</v>
      </c>
      <c r="B1623" t="s">
        <v>1729</v>
      </c>
      <c r="C1623" t="s">
        <v>1919</v>
      </c>
      <c r="D1623" s="7"/>
      <c r="E1623" s="7"/>
      <c r="G1623" t="s">
        <v>1939</v>
      </c>
      <c r="H1623" t="str" cm="1">
        <f t="array" ref="H1623">IFERROR(_xlfn.IFS(B1623="","",AND(B1623="",G1623=""),"",G1623="","記載要"),"")</f>
        <v/>
      </c>
      <c r="K1623" t="str">
        <f t="shared" si="261"/>
        <v>11WP01073943</v>
      </c>
      <c r="L1623" s="3" t="str">
        <f t="shared" si="262"/>
        <v>2001/01/01</v>
      </c>
      <c r="M1623" s="3" t="str">
        <f t="shared" si="263"/>
        <v>2199/12/31</v>
      </c>
      <c r="N1623" t="str">
        <f t="shared" si="264"/>
        <v>11WP01073943</v>
      </c>
      <c r="O1623">
        <v>15</v>
      </c>
      <c r="Q1623" t="str" cm="1">
        <f t="array" ref="Q1623">_xlfn.IFS(AND(C1623="",G1623=""),"",LEFT(G1623,1)="L","記載要",LEFT(G1623,1)="W","",AND(C1623,G1623=""),"記載要")</f>
        <v/>
      </c>
      <c r="R1623" s="21" t="str">
        <f t="shared" si="270"/>
        <v/>
      </c>
      <c r="S1623" s="21"/>
      <c r="Z1623" s="8"/>
      <c r="AA1623">
        <v>1</v>
      </c>
      <c r="AB1623">
        <f t="shared" si="266"/>
        <v>0</v>
      </c>
      <c r="AC1623">
        <v>1</v>
      </c>
      <c r="AF1623">
        <v>1</v>
      </c>
      <c r="AG1623" s="8"/>
      <c r="AH1623" s="8"/>
      <c r="AK1623" cm="1">
        <f t="array" ref="AK1623">_xlfn.IFS(B1623="","",LEFT(G1623,1)="L",1,LEFT(G1623,1)="W",1,AND(LEFT(B1623,1)="H",G1623=""),0)</f>
        <v>1</v>
      </c>
      <c r="AS1623" t="str">
        <f t="shared" si="267"/>
        <v/>
      </c>
      <c r="AT1623" t="s">
        <v>115</v>
      </c>
      <c r="AU1623" t="str">
        <f t="shared" si="268"/>
        <v>0</v>
      </c>
      <c r="BD1623" t="str">
        <f t="shared" si="269"/>
        <v>0</v>
      </c>
      <c r="BK1623" t="str">
        <f>IFERROR(VLOOKUP(B1623,'[1]model_S-フレーム'!$F$5:$R$7000,13,1),"")</f>
        <v>E367812_01</v>
      </c>
      <c r="BL1623" s="7">
        <f>IFERROR(VLOOKUP(B1623,'[1]model_S-フレーム'!$F$5:$V$7000,17,1),"")</f>
        <v>0</v>
      </c>
      <c r="BM1623" t="str" cm="1">
        <f t="array" ref="BM1623">_xlfn.IFS(LEFT(G1623,1)="L","外注品",LEFT(G1623,1)="W","内製品",G1623="","購買品")</f>
        <v>内製品</v>
      </c>
    </row>
    <row r="1624" spans="1:65">
      <c r="A1624" t="str">
        <f t="shared" si="260"/>
        <v>WG01</v>
      </c>
      <c r="B1624" t="s">
        <v>1730</v>
      </c>
      <c r="C1624" t="s">
        <v>1919</v>
      </c>
      <c r="D1624" s="7"/>
      <c r="E1624" s="7"/>
      <c r="G1624" t="s">
        <v>1939</v>
      </c>
      <c r="H1624" t="str" cm="1">
        <f t="array" ref="H1624">IFERROR(_xlfn.IFS(B1624="","",AND(B1624="",G1624=""),"",G1624="","記載要"),"")</f>
        <v/>
      </c>
      <c r="K1624" t="str">
        <f t="shared" si="261"/>
        <v>11WP01073944</v>
      </c>
      <c r="L1624" s="3" t="str">
        <f t="shared" si="262"/>
        <v>2001/01/01</v>
      </c>
      <c r="M1624" s="3" t="str">
        <f t="shared" si="263"/>
        <v>2199/12/31</v>
      </c>
      <c r="N1624" t="str">
        <f t="shared" si="264"/>
        <v>11WP01073944</v>
      </c>
      <c r="O1624">
        <v>15</v>
      </c>
      <c r="Q1624" t="str" cm="1">
        <f t="array" ref="Q1624">_xlfn.IFS(AND(C1624="",G1624=""),"",LEFT(G1624,1)="L","記載要",LEFT(G1624,1)="W","",AND(C1624,G1624=""),"記載要")</f>
        <v/>
      </c>
      <c r="R1624" s="21" t="str">
        <f t="shared" si="270"/>
        <v/>
      </c>
      <c r="S1624" s="21"/>
      <c r="Z1624" s="8"/>
      <c r="AA1624">
        <v>1</v>
      </c>
      <c r="AB1624">
        <f t="shared" si="266"/>
        <v>0</v>
      </c>
      <c r="AC1624">
        <v>1</v>
      </c>
      <c r="AF1624">
        <v>1</v>
      </c>
      <c r="AG1624" s="8"/>
      <c r="AH1624" s="8"/>
      <c r="AK1624" cm="1">
        <f t="array" ref="AK1624">_xlfn.IFS(B1624="","",LEFT(G1624,1)="L",1,LEFT(G1624,1)="W",1,AND(LEFT(B1624,1)="H",G1624=""),0)</f>
        <v>1</v>
      </c>
      <c r="AS1624" t="str">
        <f t="shared" si="267"/>
        <v/>
      </c>
      <c r="AT1624" t="s">
        <v>115</v>
      </c>
      <c r="AU1624" t="str">
        <f t="shared" si="268"/>
        <v>0</v>
      </c>
      <c r="BD1624" t="str">
        <f t="shared" si="269"/>
        <v>0</v>
      </c>
      <c r="BK1624" t="str">
        <f>IFERROR(VLOOKUP(B1624,'[1]model_S-フレーム'!$F$5:$R$7000,13,1),"")</f>
        <v>E367812_01</v>
      </c>
      <c r="BL1624" s="7">
        <f>IFERROR(VLOOKUP(B1624,'[1]model_S-フレーム'!$F$5:$V$7000,17,1),"")</f>
        <v>0</v>
      </c>
      <c r="BM1624" t="str" cm="1">
        <f t="array" ref="BM1624">_xlfn.IFS(LEFT(G1624,1)="L","外注品",LEFT(G1624,1)="W","内製品",G1624="","購買品")</f>
        <v>内製品</v>
      </c>
    </row>
    <row r="1625" spans="1:65">
      <c r="A1625" t="str">
        <f t="shared" si="260"/>
        <v>WG01</v>
      </c>
      <c r="B1625" t="s">
        <v>1731</v>
      </c>
      <c r="C1625" t="s">
        <v>1919</v>
      </c>
      <c r="D1625" s="7"/>
      <c r="E1625" s="7"/>
      <c r="G1625" t="s">
        <v>1939</v>
      </c>
      <c r="H1625" t="str" cm="1">
        <f t="array" ref="H1625">IFERROR(_xlfn.IFS(B1625="","",AND(B1625="",G1625=""),"",G1625="","記載要"),"")</f>
        <v/>
      </c>
      <c r="K1625" t="str">
        <f t="shared" si="261"/>
        <v>11WP01073945</v>
      </c>
      <c r="L1625" s="3" t="str">
        <f t="shared" si="262"/>
        <v>2001/01/01</v>
      </c>
      <c r="M1625" s="3" t="str">
        <f t="shared" si="263"/>
        <v>2199/12/31</v>
      </c>
      <c r="N1625" t="str">
        <f t="shared" si="264"/>
        <v>11WP01073945</v>
      </c>
      <c r="O1625">
        <v>15</v>
      </c>
      <c r="Q1625" t="str" cm="1">
        <f t="array" ref="Q1625">_xlfn.IFS(AND(C1625="",G1625=""),"",LEFT(G1625,1)="L","記載要",LEFT(G1625,1)="W","",AND(C1625,G1625=""),"記載要")</f>
        <v/>
      </c>
      <c r="R1625" s="21" t="str">
        <f t="shared" si="270"/>
        <v/>
      </c>
      <c r="S1625" s="21"/>
      <c r="Z1625" s="8"/>
      <c r="AA1625">
        <v>1</v>
      </c>
      <c r="AB1625">
        <f t="shared" si="266"/>
        <v>0</v>
      </c>
      <c r="AC1625">
        <v>1</v>
      </c>
      <c r="AF1625">
        <v>1</v>
      </c>
      <c r="AG1625" s="8"/>
      <c r="AH1625" s="8"/>
      <c r="AK1625" cm="1">
        <f t="array" ref="AK1625">_xlfn.IFS(B1625="","",LEFT(G1625,1)="L",1,LEFT(G1625,1)="W",1,AND(LEFT(B1625,1)="H",G1625=""),0)</f>
        <v>1</v>
      </c>
      <c r="AS1625" t="str">
        <f t="shared" si="267"/>
        <v/>
      </c>
      <c r="AT1625" t="s">
        <v>115</v>
      </c>
      <c r="AU1625" t="str">
        <f t="shared" si="268"/>
        <v>0</v>
      </c>
      <c r="BD1625" t="str">
        <f t="shared" si="269"/>
        <v>0</v>
      </c>
      <c r="BK1625" t="str">
        <f>IFERROR(VLOOKUP(B1625,'[1]model_S-フレーム'!$F$5:$R$7000,13,1),"")</f>
        <v>E367812_01</v>
      </c>
      <c r="BL1625" s="7">
        <f>IFERROR(VLOOKUP(B1625,'[1]model_S-フレーム'!$F$5:$V$7000,17,1),"")</f>
        <v>0</v>
      </c>
      <c r="BM1625" t="str" cm="1">
        <f t="array" ref="BM1625">_xlfn.IFS(LEFT(G1625,1)="L","外注品",LEFT(G1625,1)="W","内製品",G1625="","購買品")</f>
        <v>内製品</v>
      </c>
    </row>
    <row r="1626" spans="1:65">
      <c r="A1626" t="str">
        <f t="shared" si="260"/>
        <v>WG01</v>
      </c>
      <c r="B1626" t="s">
        <v>1732</v>
      </c>
      <c r="C1626" t="s">
        <v>1919</v>
      </c>
      <c r="D1626" s="7"/>
      <c r="E1626" s="7"/>
      <c r="G1626" t="s">
        <v>1939</v>
      </c>
      <c r="H1626" t="str" cm="1">
        <f t="array" ref="H1626">IFERROR(_xlfn.IFS(B1626="","",AND(B1626="",G1626=""),"",G1626="","記載要"),"")</f>
        <v/>
      </c>
      <c r="K1626" t="str">
        <f t="shared" si="261"/>
        <v>11WP01073946</v>
      </c>
      <c r="L1626" s="3" t="str">
        <f t="shared" si="262"/>
        <v>2001/01/01</v>
      </c>
      <c r="M1626" s="3" t="str">
        <f t="shared" si="263"/>
        <v>2199/12/31</v>
      </c>
      <c r="N1626" t="str">
        <f t="shared" si="264"/>
        <v>11WP01073946</v>
      </c>
      <c r="O1626">
        <v>15</v>
      </c>
      <c r="Q1626" t="str" cm="1">
        <f t="array" ref="Q1626">_xlfn.IFS(AND(C1626="",G1626=""),"",LEFT(G1626,1)="L","記載要",LEFT(G1626,1)="W","",AND(C1626,G1626=""),"記載要")</f>
        <v/>
      </c>
      <c r="R1626" s="21" t="str">
        <f t="shared" si="270"/>
        <v/>
      </c>
      <c r="S1626" s="21"/>
      <c r="Z1626" s="8"/>
      <c r="AA1626">
        <v>1</v>
      </c>
      <c r="AB1626">
        <f t="shared" si="266"/>
        <v>0</v>
      </c>
      <c r="AC1626">
        <v>1</v>
      </c>
      <c r="AF1626">
        <v>1</v>
      </c>
      <c r="AG1626" s="8"/>
      <c r="AH1626" s="8"/>
      <c r="AK1626" cm="1">
        <f t="array" ref="AK1626">_xlfn.IFS(B1626="","",LEFT(G1626,1)="L",1,LEFT(G1626,1)="W",1,AND(LEFT(B1626,1)="H",G1626=""),0)</f>
        <v>1</v>
      </c>
      <c r="AS1626" t="str">
        <f t="shared" si="267"/>
        <v/>
      </c>
      <c r="AT1626" t="s">
        <v>115</v>
      </c>
      <c r="AU1626" t="str">
        <f t="shared" si="268"/>
        <v>0</v>
      </c>
      <c r="BD1626" t="str">
        <f t="shared" si="269"/>
        <v>0</v>
      </c>
      <c r="BK1626" t="str">
        <f>IFERROR(VLOOKUP(B1626,'[1]model_S-フレーム'!$F$5:$R$7000,13,1),"")</f>
        <v>E367812_01</v>
      </c>
      <c r="BL1626" s="7">
        <f>IFERROR(VLOOKUP(B1626,'[1]model_S-フレーム'!$F$5:$V$7000,17,1),"")</f>
        <v>0</v>
      </c>
      <c r="BM1626" t="str" cm="1">
        <f t="array" ref="BM1626">_xlfn.IFS(LEFT(G1626,1)="L","外注品",LEFT(G1626,1)="W","内製品",G1626="","購買品")</f>
        <v>内製品</v>
      </c>
    </row>
    <row r="1627" spans="1:65">
      <c r="A1627" t="str">
        <f t="shared" si="260"/>
        <v>WG01</v>
      </c>
      <c r="B1627" t="s">
        <v>1733</v>
      </c>
      <c r="C1627" t="s">
        <v>1919</v>
      </c>
      <c r="D1627" s="7"/>
      <c r="E1627" s="7"/>
      <c r="G1627" t="s">
        <v>1939</v>
      </c>
      <c r="H1627" t="str" cm="1">
        <f t="array" ref="H1627">IFERROR(_xlfn.IFS(B1627="","",AND(B1627="",G1627=""),"",G1627="","記載要"),"")</f>
        <v/>
      </c>
      <c r="K1627" t="str">
        <f t="shared" si="261"/>
        <v>11WP01073947</v>
      </c>
      <c r="L1627" s="3" t="str">
        <f t="shared" si="262"/>
        <v>2001/01/01</v>
      </c>
      <c r="M1627" s="3" t="str">
        <f t="shared" si="263"/>
        <v>2199/12/31</v>
      </c>
      <c r="N1627" t="str">
        <f t="shared" si="264"/>
        <v>11WP01073947</v>
      </c>
      <c r="O1627">
        <v>15</v>
      </c>
      <c r="Q1627" t="str" cm="1">
        <f t="array" ref="Q1627">_xlfn.IFS(AND(C1627="",G1627=""),"",LEFT(G1627,1)="L","記載要",LEFT(G1627,1)="W","",AND(C1627,G1627=""),"記載要")</f>
        <v/>
      </c>
      <c r="R1627" s="21" t="str">
        <f t="shared" si="270"/>
        <v/>
      </c>
      <c r="S1627" s="21"/>
      <c r="Z1627" s="8"/>
      <c r="AA1627">
        <v>1</v>
      </c>
      <c r="AB1627">
        <f t="shared" si="266"/>
        <v>0</v>
      </c>
      <c r="AC1627">
        <v>1</v>
      </c>
      <c r="AF1627">
        <v>1</v>
      </c>
      <c r="AG1627" s="8"/>
      <c r="AH1627" s="8"/>
      <c r="AK1627" cm="1">
        <f t="array" ref="AK1627">_xlfn.IFS(B1627="","",LEFT(G1627,1)="L",1,LEFT(G1627,1)="W",1,AND(LEFT(B1627,1)="H",G1627=""),0)</f>
        <v>1</v>
      </c>
      <c r="AS1627" t="str">
        <f t="shared" si="267"/>
        <v/>
      </c>
      <c r="AT1627" t="s">
        <v>115</v>
      </c>
      <c r="AU1627" t="str">
        <f t="shared" si="268"/>
        <v>0</v>
      </c>
      <c r="BD1627" t="str">
        <f t="shared" si="269"/>
        <v>0</v>
      </c>
      <c r="BK1627" t="str">
        <f>IFERROR(VLOOKUP(B1627,'[1]model_S-フレーム'!$F$5:$R$7000,13,1),"")</f>
        <v>E367812_01</v>
      </c>
      <c r="BL1627" s="7">
        <f>IFERROR(VLOOKUP(B1627,'[1]model_S-フレーム'!$F$5:$V$7000,17,1),"")</f>
        <v>0</v>
      </c>
      <c r="BM1627" t="str" cm="1">
        <f t="array" ref="BM1627">_xlfn.IFS(LEFT(G1627,1)="L","外注品",LEFT(G1627,1)="W","内製品",G1627="","購買品")</f>
        <v>内製品</v>
      </c>
    </row>
    <row r="1628" spans="1:65">
      <c r="A1628" t="str">
        <f t="shared" si="260"/>
        <v>WG01</v>
      </c>
      <c r="B1628" t="s">
        <v>1734</v>
      </c>
      <c r="C1628" t="s">
        <v>1919</v>
      </c>
      <c r="D1628" s="7"/>
      <c r="E1628" s="7"/>
      <c r="G1628" t="s">
        <v>1939</v>
      </c>
      <c r="H1628" t="str" cm="1">
        <f t="array" ref="H1628">IFERROR(_xlfn.IFS(B1628="","",AND(B1628="",G1628=""),"",G1628="","記載要"),"")</f>
        <v/>
      </c>
      <c r="K1628" t="str">
        <f t="shared" si="261"/>
        <v>11WP01073948</v>
      </c>
      <c r="L1628" s="3" t="str">
        <f t="shared" si="262"/>
        <v>2001/01/01</v>
      </c>
      <c r="M1628" s="3" t="str">
        <f t="shared" si="263"/>
        <v>2199/12/31</v>
      </c>
      <c r="N1628" t="str">
        <f t="shared" si="264"/>
        <v>11WP01073948</v>
      </c>
      <c r="O1628">
        <v>15</v>
      </c>
      <c r="Q1628" t="str" cm="1">
        <f t="array" ref="Q1628">_xlfn.IFS(AND(C1628="",G1628=""),"",LEFT(G1628,1)="L","記載要",LEFT(G1628,1)="W","",AND(C1628,G1628=""),"記載要")</f>
        <v/>
      </c>
      <c r="R1628" s="21" t="str">
        <f t="shared" si="270"/>
        <v/>
      </c>
      <c r="S1628" s="21"/>
      <c r="Z1628" s="8"/>
      <c r="AA1628">
        <v>1</v>
      </c>
      <c r="AB1628">
        <f t="shared" si="266"/>
        <v>0</v>
      </c>
      <c r="AC1628">
        <v>1</v>
      </c>
      <c r="AF1628">
        <v>1</v>
      </c>
      <c r="AG1628" s="8"/>
      <c r="AH1628" s="8"/>
      <c r="AK1628" cm="1">
        <f t="array" ref="AK1628">_xlfn.IFS(B1628="","",LEFT(G1628,1)="L",1,LEFT(G1628,1)="W",1,AND(LEFT(B1628,1)="H",G1628=""),0)</f>
        <v>1</v>
      </c>
      <c r="AS1628" t="str">
        <f t="shared" si="267"/>
        <v/>
      </c>
      <c r="AT1628" t="s">
        <v>115</v>
      </c>
      <c r="AU1628" t="str">
        <f t="shared" si="268"/>
        <v>0</v>
      </c>
      <c r="BD1628" t="str">
        <f t="shared" si="269"/>
        <v>0</v>
      </c>
      <c r="BK1628" t="str">
        <f>IFERROR(VLOOKUP(B1628,'[1]model_S-フレーム'!$F$5:$R$7000,13,1),"")</f>
        <v>E367812_01</v>
      </c>
      <c r="BL1628" s="7">
        <f>IFERROR(VLOOKUP(B1628,'[1]model_S-フレーム'!$F$5:$V$7000,17,1),"")</f>
        <v>0</v>
      </c>
      <c r="BM1628" t="str" cm="1">
        <f t="array" ref="BM1628">_xlfn.IFS(LEFT(G1628,1)="L","外注品",LEFT(G1628,1)="W","内製品",G1628="","購買品")</f>
        <v>内製品</v>
      </c>
    </row>
    <row r="1629" spans="1:65">
      <c r="A1629" t="str">
        <f t="shared" si="260"/>
        <v>WG01</v>
      </c>
      <c r="B1629" t="s">
        <v>1735</v>
      </c>
      <c r="C1629" t="s">
        <v>1919</v>
      </c>
      <c r="D1629" s="7"/>
      <c r="E1629" s="7"/>
      <c r="G1629" t="s">
        <v>1939</v>
      </c>
      <c r="H1629" t="str" cm="1">
        <f t="array" ref="H1629">IFERROR(_xlfn.IFS(B1629="","",AND(B1629="",G1629=""),"",G1629="","記載要"),"")</f>
        <v/>
      </c>
      <c r="K1629" t="str">
        <f t="shared" si="261"/>
        <v>11WP01073949</v>
      </c>
      <c r="L1629" s="3" t="str">
        <f t="shared" si="262"/>
        <v>2001/01/01</v>
      </c>
      <c r="M1629" s="3" t="str">
        <f t="shared" si="263"/>
        <v>2199/12/31</v>
      </c>
      <c r="N1629" t="str">
        <f t="shared" si="264"/>
        <v>11WP01073949</v>
      </c>
      <c r="O1629">
        <v>15</v>
      </c>
      <c r="Q1629" t="str" cm="1">
        <f t="array" ref="Q1629">_xlfn.IFS(AND(C1629="",G1629=""),"",LEFT(G1629,1)="L","記載要",LEFT(G1629,1)="W","",AND(C1629,G1629=""),"記載要")</f>
        <v/>
      </c>
      <c r="R1629" s="21" t="str">
        <f t="shared" si="270"/>
        <v/>
      </c>
      <c r="S1629" s="21"/>
      <c r="Z1629" s="8"/>
      <c r="AA1629">
        <v>1</v>
      </c>
      <c r="AB1629">
        <f t="shared" si="266"/>
        <v>0</v>
      </c>
      <c r="AC1629">
        <v>1</v>
      </c>
      <c r="AF1629">
        <v>1</v>
      </c>
      <c r="AG1629" s="8"/>
      <c r="AH1629" s="8"/>
      <c r="AK1629" cm="1">
        <f t="array" ref="AK1629">_xlfn.IFS(B1629="","",LEFT(G1629,1)="L",1,LEFT(G1629,1)="W",1,AND(LEFT(B1629,1)="H",G1629=""),0)</f>
        <v>1</v>
      </c>
      <c r="AS1629" t="str">
        <f t="shared" si="267"/>
        <v/>
      </c>
      <c r="AT1629" t="s">
        <v>115</v>
      </c>
      <c r="AU1629" t="str">
        <f t="shared" si="268"/>
        <v>0</v>
      </c>
      <c r="BD1629" t="str">
        <f t="shared" si="269"/>
        <v>0</v>
      </c>
      <c r="BK1629" t="str">
        <f>IFERROR(VLOOKUP(B1629,'[1]model_S-フレーム'!$F$5:$R$7000,13,1),"")</f>
        <v>E367812_01</v>
      </c>
      <c r="BL1629" s="7">
        <f>IFERROR(VLOOKUP(B1629,'[1]model_S-フレーム'!$F$5:$V$7000,17,1),"")</f>
        <v>0</v>
      </c>
      <c r="BM1629" t="str" cm="1">
        <f t="array" ref="BM1629">_xlfn.IFS(LEFT(G1629,1)="L","外注品",LEFT(G1629,1)="W","内製品",G1629="","購買品")</f>
        <v>内製品</v>
      </c>
    </row>
    <row r="1630" spans="1:65">
      <c r="A1630" t="str">
        <f t="shared" si="260"/>
        <v>WG01</v>
      </c>
      <c r="B1630" t="s">
        <v>1736</v>
      </c>
      <c r="C1630" t="s">
        <v>1919</v>
      </c>
      <c r="D1630" s="7"/>
      <c r="E1630" s="7"/>
      <c r="G1630" t="s">
        <v>1939</v>
      </c>
      <c r="H1630" t="str" cm="1">
        <f t="array" ref="H1630">IFERROR(_xlfn.IFS(B1630="","",AND(B1630="",G1630=""),"",G1630="","記載要"),"")</f>
        <v/>
      </c>
      <c r="K1630" t="str">
        <f t="shared" si="261"/>
        <v>11WP01073950</v>
      </c>
      <c r="L1630" s="3" t="str">
        <f t="shared" si="262"/>
        <v>2001/01/01</v>
      </c>
      <c r="M1630" s="3" t="str">
        <f t="shared" si="263"/>
        <v>2199/12/31</v>
      </c>
      <c r="N1630" t="str">
        <f t="shared" si="264"/>
        <v>11WP01073950</v>
      </c>
      <c r="O1630">
        <v>15</v>
      </c>
      <c r="Q1630" t="str" cm="1">
        <f t="array" ref="Q1630">_xlfn.IFS(AND(C1630="",G1630=""),"",LEFT(G1630,1)="L","記載要",LEFT(G1630,1)="W","",AND(C1630,G1630=""),"記載要")</f>
        <v/>
      </c>
      <c r="R1630" s="21" t="str">
        <f t="shared" si="270"/>
        <v/>
      </c>
      <c r="S1630" s="21"/>
      <c r="Z1630" s="8"/>
      <c r="AA1630">
        <v>1</v>
      </c>
      <c r="AB1630">
        <f t="shared" si="266"/>
        <v>0</v>
      </c>
      <c r="AC1630">
        <v>1</v>
      </c>
      <c r="AF1630">
        <v>1</v>
      </c>
      <c r="AG1630" s="8"/>
      <c r="AH1630" s="8"/>
      <c r="AK1630" cm="1">
        <f t="array" ref="AK1630">_xlfn.IFS(B1630="","",LEFT(G1630,1)="L",1,LEFT(G1630,1)="W",1,AND(LEFT(B1630,1)="H",G1630=""),0)</f>
        <v>1</v>
      </c>
      <c r="AS1630" t="str">
        <f t="shared" si="267"/>
        <v/>
      </c>
      <c r="AT1630" t="s">
        <v>115</v>
      </c>
      <c r="AU1630" t="str">
        <f t="shared" si="268"/>
        <v>0</v>
      </c>
      <c r="BD1630" t="str">
        <f t="shared" si="269"/>
        <v>0</v>
      </c>
      <c r="BK1630" t="str">
        <f>IFERROR(VLOOKUP(B1630,'[1]model_S-フレーム'!$F$5:$R$7000,13,1),"")</f>
        <v>E367812_01</v>
      </c>
      <c r="BL1630" s="7">
        <f>IFERROR(VLOOKUP(B1630,'[1]model_S-フレーム'!$F$5:$V$7000,17,1),"")</f>
        <v>0</v>
      </c>
      <c r="BM1630" t="str" cm="1">
        <f t="array" ref="BM1630">_xlfn.IFS(LEFT(G1630,1)="L","外注品",LEFT(G1630,1)="W","内製品",G1630="","購買品")</f>
        <v>内製品</v>
      </c>
    </row>
    <row r="1631" spans="1:65">
      <c r="A1631" t="str">
        <f t="shared" si="260"/>
        <v>WG01</v>
      </c>
      <c r="B1631" t="s">
        <v>1737</v>
      </c>
      <c r="C1631" t="s">
        <v>1919</v>
      </c>
      <c r="D1631" s="7"/>
      <c r="E1631" s="7"/>
      <c r="G1631" t="s">
        <v>1939</v>
      </c>
      <c r="H1631" t="str" cm="1">
        <f t="array" ref="H1631">IFERROR(_xlfn.IFS(B1631="","",AND(B1631="",G1631=""),"",G1631="","記載要"),"")</f>
        <v/>
      </c>
      <c r="K1631" t="str">
        <f t="shared" si="261"/>
        <v>11WP01073951</v>
      </c>
      <c r="L1631" s="3" t="str">
        <f t="shared" si="262"/>
        <v>2001/01/01</v>
      </c>
      <c r="M1631" s="3" t="str">
        <f t="shared" si="263"/>
        <v>2199/12/31</v>
      </c>
      <c r="N1631" t="str">
        <f t="shared" si="264"/>
        <v>11WP01073951</v>
      </c>
      <c r="O1631">
        <v>15</v>
      </c>
      <c r="Q1631" t="str" cm="1">
        <f t="array" ref="Q1631">_xlfn.IFS(AND(C1631="",G1631=""),"",LEFT(G1631,1)="L","記載要",LEFT(G1631,1)="W","",AND(C1631,G1631=""),"記載要")</f>
        <v/>
      </c>
      <c r="R1631" s="21" t="str">
        <f t="shared" si="270"/>
        <v/>
      </c>
      <c r="S1631" s="21"/>
      <c r="Z1631" s="8"/>
      <c r="AA1631">
        <v>1</v>
      </c>
      <c r="AB1631">
        <f t="shared" si="266"/>
        <v>0</v>
      </c>
      <c r="AC1631">
        <v>1</v>
      </c>
      <c r="AF1631">
        <v>1</v>
      </c>
      <c r="AG1631" s="8"/>
      <c r="AH1631" s="8"/>
      <c r="AK1631" cm="1">
        <f t="array" ref="AK1631">_xlfn.IFS(B1631="","",LEFT(G1631,1)="L",1,LEFT(G1631,1)="W",1,AND(LEFT(B1631,1)="H",G1631=""),0)</f>
        <v>1</v>
      </c>
      <c r="AS1631" t="str">
        <f t="shared" si="267"/>
        <v/>
      </c>
      <c r="AT1631" t="s">
        <v>115</v>
      </c>
      <c r="AU1631" t="str">
        <f t="shared" si="268"/>
        <v>0</v>
      </c>
      <c r="BD1631" t="str">
        <f t="shared" si="269"/>
        <v>0</v>
      </c>
      <c r="BK1631" t="str">
        <f>IFERROR(VLOOKUP(B1631,'[1]model_S-フレーム'!$F$5:$R$7000,13,1),"")</f>
        <v>E367812_01</v>
      </c>
      <c r="BL1631" s="7">
        <f>IFERROR(VLOOKUP(B1631,'[1]model_S-フレーム'!$F$5:$V$7000,17,1),"")</f>
        <v>0</v>
      </c>
      <c r="BM1631" t="str" cm="1">
        <f t="array" ref="BM1631">_xlfn.IFS(LEFT(G1631,1)="L","外注品",LEFT(G1631,1)="W","内製品",G1631="","購買品")</f>
        <v>内製品</v>
      </c>
    </row>
    <row r="1632" spans="1:65">
      <c r="A1632" t="str">
        <f t="shared" si="260"/>
        <v>WG01</v>
      </c>
      <c r="B1632" t="s">
        <v>1738</v>
      </c>
      <c r="C1632" t="s">
        <v>1919</v>
      </c>
      <c r="D1632" s="7"/>
      <c r="E1632" s="7"/>
      <c r="G1632" t="s">
        <v>1939</v>
      </c>
      <c r="H1632" t="str" cm="1">
        <f t="array" ref="H1632">IFERROR(_xlfn.IFS(B1632="","",AND(B1632="",G1632=""),"",G1632="","記載要"),"")</f>
        <v/>
      </c>
      <c r="K1632" t="str">
        <f t="shared" si="261"/>
        <v>11WP01073952</v>
      </c>
      <c r="L1632" s="3" t="str">
        <f t="shared" si="262"/>
        <v>2001/01/01</v>
      </c>
      <c r="M1632" s="3" t="str">
        <f t="shared" si="263"/>
        <v>2199/12/31</v>
      </c>
      <c r="N1632" t="str">
        <f t="shared" si="264"/>
        <v>11WP01073952</v>
      </c>
      <c r="O1632">
        <v>15</v>
      </c>
      <c r="Q1632" t="str" cm="1">
        <f t="array" ref="Q1632">_xlfn.IFS(AND(C1632="",G1632=""),"",LEFT(G1632,1)="L","記載要",LEFT(G1632,1)="W","",AND(C1632,G1632=""),"記載要")</f>
        <v/>
      </c>
      <c r="R1632" s="21" t="str">
        <f t="shared" si="270"/>
        <v/>
      </c>
      <c r="S1632" s="21"/>
      <c r="Z1632" s="8"/>
      <c r="AA1632">
        <v>1</v>
      </c>
      <c r="AB1632">
        <f t="shared" si="266"/>
        <v>0</v>
      </c>
      <c r="AC1632">
        <v>1</v>
      </c>
      <c r="AF1632">
        <v>1</v>
      </c>
      <c r="AG1632" s="8"/>
      <c r="AH1632" s="8"/>
      <c r="AK1632" cm="1">
        <f t="array" ref="AK1632">_xlfn.IFS(B1632="","",LEFT(G1632,1)="L",1,LEFT(G1632,1)="W",1,AND(LEFT(B1632,1)="H",G1632=""),0)</f>
        <v>1</v>
      </c>
      <c r="AS1632" t="str">
        <f t="shared" si="267"/>
        <v/>
      </c>
      <c r="AT1632" t="s">
        <v>115</v>
      </c>
      <c r="AU1632" t="str">
        <f t="shared" si="268"/>
        <v>0</v>
      </c>
      <c r="BD1632" t="str">
        <f t="shared" si="269"/>
        <v>0</v>
      </c>
      <c r="BK1632" t="str">
        <f>IFERROR(VLOOKUP(B1632,'[1]model_S-フレーム'!$F$5:$R$7000,13,1),"")</f>
        <v>E367812_01</v>
      </c>
      <c r="BL1632" s="7">
        <f>IFERROR(VLOOKUP(B1632,'[1]model_S-フレーム'!$F$5:$V$7000,17,1),"")</f>
        <v>0</v>
      </c>
      <c r="BM1632" t="str" cm="1">
        <f t="array" ref="BM1632">_xlfn.IFS(LEFT(G1632,1)="L","外注品",LEFT(G1632,1)="W","内製品",G1632="","購買品")</f>
        <v>内製品</v>
      </c>
    </row>
    <row r="1633" spans="1:65">
      <c r="A1633" t="str">
        <f t="shared" si="260"/>
        <v>WG01</v>
      </c>
      <c r="B1633" t="s">
        <v>1739</v>
      </c>
      <c r="C1633" t="s">
        <v>1919</v>
      </c>
      <c r="D1633" s="7"/>
      <c r="E1633" s="7"/>
      <c r="G1633" t="s">
        <v>1939</v>
      </c>
      <c r="H1633" t="str" cm="1">
        <f t="array" ref="H1633">IFERROR(_xlfn.IFS(B1633="","",AND(B1633="",G1633=""),"",G1633="","記載要"),"")</f>
        <v/>
      </c>
      <c r="K1633" t="str">
        <f t="shared" si="261"/>
        <v>11WP01073953</v>
      </c>
      <c r="L1633" s="3" t="str">
        <f t="shared" si="262"/>
        <v>2001/01/01</v>
      </c>
      <c r="M1633" s="3" t="str">
        <f t="shared" si="263"/>
        <v>2199/12/31</v>
      </c>
      <c r="N1633" t="str">
        <f t="shared" si="264"/>
        <v>11WP01073953</v>
      </c>
      <c r="O1633">
        <v>15</v>
      </c>
      <c r="Q1633" t="str" cm="1">
        <f t="array" ref="Q1633">_xlfn.IFS(AND(C1633="",G1633=""),"",LEFT(G1633,1)="L","記載要",LEFT(G1633,1)="W","",AND(C1633,G1633=""),"記載要")</f>
        <v/>
      </c>
      <c r="R1633" s="21" t="str">
        <f t="shared" si="270"/>
        <v/>
      </c>
      <c r="S1633" s="21"/>
      <c r="Z1633" s="8"/>
      <c r="AA1633">
        <v>1</v>
      </c>
      <c r="AB1633">
        <f t="shared" si="266"/>
        <v>0</v>
      </c>
      <c r="AC1633">
        <v>1</v>
      </c>
      <c r="AF1633">
        <v>1</v>
      </c>
      <c r="AG1633" s="8"/>
      <c r="AH1633" s="8"/>
      <c r="AK1633" cm="1">
        <f t="array" ref="AK1633">_xlfn.IFS(B1633="","",LEFT(G1633,1)="L",1,LEFT(G1633,1)="W",1,AND(LEFT(B1633,1)="H",G1633=""),0)</f>
        <v>1</v>
      </c>
      <c r="AS1633" t="str">
        <f t="shared" si="267"/>
        <v/>
      </c>
      <c r="AT1633" t="s">
        <v>115</v>
      </c>
      <c r="AU1633" t="str">
        <f t="shared" si="268"/>
        <v>0</v>
      </c>
      <c r="BD1633" t="str">
        <f t="shared" si="269"/>
        <v>0</v>
      </c>
      <c r="BK1633" t="str">
        <f>IFERROR(VLOOKUP(B1633,'[1]model_S-フレーム'!$F$5:$R$7000,13,1),"")</f>
        <v>E367812_01</v>
      </c>
      <c r="BL1633" s="7">
        <f>IFERROR(VLOOKUP(B1633,'[1]model_S-フレーム'!$F$5:$V$7000,17,1),"")</f>
        <v>0</v>
      </c>
      <c r="BM1633" t="str" cm="1">
        <f t="array" ref="BM1633">_xlfn.IFS(LEFT(G1633,1)="L","外注品",LEFT(G1633,1)="W","内製品",G1633="","購買品")</f>
        <v>内製品</v>
      </c>
    </row>
    <row r="1634" spans="1:65">
      <c r="A1634" t="str">
        <f t="shared" si="260"/>
        <v>WG01</v>
      </c>
      <c r="B1634" t="s">
        <v>1740</v>
      </c>
      <c r="C1634" t="s">
        <v>1919</v>
      </c>
      <c r="D1634" s="7"/>
      <c r="E1634" s="7"/>
      <c r="G1634" t="s">
        <v>1939</v>
      </c>
      <c r="H1634" t="str" cm="1">
        <f t="array" ref="H1634">IFERROR(_xlfn.IFS(B1634="","",AND(B1634="",G1634=""),"",G1634="","記載要"),"")</f>
        <v/>
      </c>
      <c r="K1634" t="str">
        <f t="shared" si="261"/>
        <v>11WP01073954</v>
      </c>
      <c r="L1634" s="3" t="str">
        <f t="shared" si="262"/>
        <v>2001/01/01</v>
      </c>
      <c r="M1634" s="3" t="str">
        <f t="shared" si="263"/>
        <v>2199/12/31</v>
      </c>
      <c r="N1634" t="str">
        <f t="shared" si="264"/>
        <v>11WP01073954</v>
      </c>
      <c r="O1634">
        <v>15</v>
      </c>
      <c r="Q1634" t="str" cm="1">
        <f t="array" ref="Q1634">_xlfn.IFS(AND(C1634="",G1634=""),"",LEFT(G1634,1)="L","記載要",LEFT(G1634,1)="W","",AND(C1634,G1634=""),"記載要")</f>
        <v/>
      </c>
      <c r="R1634" s="21" t="str">
        <f t="shared" si="270"/>
        <v/>
      </c>
      <c r="S1634" s="21"/>
      <c r="Z1634" s="8"/>
      <c r="AA1634">
        <v>1</v>
      </c>
      <c r="AB1634">
        <f t="shared" si="266"/>
        <v>0</v>
      </c>
      <c r="AC1634">
        <v>1</v>
      </c>
      <c r="AF1634">
        <v>1</v>
      </c>
      <c r="AG1634" s="8"/>
      <c r="AH1634" s="8"/>
      <c r="AK1634" cm="1">
        <f t="array" ref="AK1634">_xlfn.IFS(B1634="","",LEFT(G1634,1)="L",1,LEFT(G1634,1)="W",1,AND(LEFT(B1634,1)="H",G1634=""),0)</f>
        <v>1</v>
      </c>
      <c r="AS1634" t="str">
        <f t="shared" si="267"/>
        <v/>
      </c>
      <c r="AT1634" t="s">
        <v>115</v>
      </c>
      <c r="AU1634" t="str">
        <f t="shared" si="268"/>
        <v>0</v>
      </c>
      <c r="BD1634" t="str">
        <f t="shared" si="269"/>
        <v>0</v>
      </c>
      <c r="BK1634" t="str">
        <f>IFERROR(VLOOKUP(B1634,'[1]model_S-フレーム'!$F$5:$R$7000,13,1),"")</f>
        <v>E367812_01</v>
      </c>
      <c r="BL1634" s="7">
        <f>IFERROR(VLOOKUP(B1634,'[1]model_S-フレーム'!$F$5:$V$7000,17,1),"")</f>
        <v>0</v>
      </c>
      <c r="BM1634" t="str" cm="1">
        <f t="array" ref="BM1634">_xlfn.IFS(LEFT(G1634,1)="L","外注品",LEFT(G1634,1)="W","内製品",G1634="","購買品")</f>
        <v>内製品</v>
      </c>
    </row>
    <row r="1635" spans="1:65">
      <c r="A1635" t="str">
        <f t="shared" si="260"/>
        <v>WG01</v>
      </c>
      <c r="B1635" t="s">
        <v>1741</v>
      </c>
      <c r="C1635" t="s">
        <v>1919</v>
      </c>
      <c r="D1635" s="7"/>
      <c r="E1635" s="7"/>
      <c r="G1635" t="s">
        <v>1939</v>
      </c>
      <c r="H1635" t="str" cm="1">
        <f t="array" ref="H1635">IFERROR(_xlfn.IFS(B1635="","",AND(B1635="",G1635=""),"",G1635="","記載要"),"")</f>
        <v/>
      </c>
      <c r="K1635" t="str">
        <f t="shared" si="261"/>
        <v>11WP01073955</v>
      </c>
      <c r="L1635" s="3" t="str">
        <f t="shared" si="262"/>
        <v>2001/01/01</v>
      </c>
      <c r="M1635" s="3" t="str">
        <f t="shared" si="263"/>
        <v>2199/12/31</v>
      </c>
      <c r="N1635" t="str">
        <f t="shared" si="264"/>
        <v>11WP01073955</v>
      </c>
      <c r="O1635">
        <v>15</v>
      </c>
      <c r="Q1635" t="str" cm="1">
        <f t="array" ref="Q1635">_xlfn.IFS(AND(C1635="",G1635=""),"",LEFT(G1635,1)="L","記載要",LEFT(G1635,1)="W","",AND(C1635,G1635=""),"記載要")</f>
        <v/>
      </c>
      <c r="R1635" s="21" t="str">
        <f t="shared" si="270"/>
        <v/>
      </c>
      <c r="S1635" s="21"/>
      <c r="Z1635" s="8"/>
      <c r="AA1635">
        <v>1</v>
      </c>
      <c r="AB1635">
        <f t="shared" si="266"/>
        <v>0</v>
      </c>
      <c r="AC1635">
        <v>1</v>
      </c>
      <c r="AF1635">
        <v>1</v>
      </c>
      <c r="AG1635" s="8"/>
      <c r="AH1635" s="8"/>
      <c r="AK1635" cm="1">
        <f t="array" ref="AK1635">_xlfn.IFS(B1635="","",LEFT(G1635,1)="L",1,LEFT(G1635,1)="W",1,AND(LEFT(B1635,1)="H",G1635=""),0)</f>
        <v>1</v>
      </c>
      <c r="AS1635" t="str">
        <f t="shared" si="267"/>
        <v/>
      </c>
      <c r="AT1635" t="s">
        <v>115</v>
      </c>
      <c r="AU1635" t="str">
        <f t="shared" si="268"/>
        <v>0</v>
      </c>
      <c r="BD1635" t="str">
        <f t="shared" si="269"/>
        <v>0</v>
      </c>
      <c r="BK1635" t="str">
        <f>IFERROR(VLOOKUP(B1635,'[1]model_S-フレーム'!$F$5:$R$7000,13,1),"")</f>
        <v>E367812_01</v>
      </c>
      <c r="BL1635" s="7">
        <f>IFERROR(VLOOKUP(B1635,'[1]model_S-フレーム'!$F$5:$V$7000,17,1),"")</f>
        <v>0</v>
      </c>
      <c r="BM1635" t="str" cm="1">
        <f t="array" ref="BM1635">_xlfn.IFS(LEFT(G1635,1)="L","外注品",LEFT(G1635,1)="W","内製品",G1635="","購買品")</f>
        <v>内製品</v>
      </c>
    </row>
    <row r="1636" spans="1:65">
      <c r="A1636" t="str">
        <f t="shared" si="260"/>
        <v>WG01</v>
      </c>
      <c r="B1636" t="s">
        <v>1742</v>
      </c>
      <c r="C1636" t="s">
        <v>1919</v>
      </c>
      <c r="D1636" s="7"/>
      <c r="E1636" s="7"/>
      <c r="G1636" t="s">
        <v>1939</v>
      </c>
      <c r="H1636" t="str" cm="1">
        <f t="array" ref="H1636">IFERROR(_xlfn.IFS(B1636="","",AND(B1636="",G1636=""),"",G1636="","記載要"),"")</f>
        <v/>
      </c>
      <c r="K1636" t="str">
        <f t="shared" si="261"/>
        <v>11WP01073956</v>
      </c>
      <c r="L1636" s="3" t="str">
        <f t="shared" si="262"/>
        <v>2001/01/01</v>
      </c>
      <c r="M1636" s="3" t="str">
        <f t="shared" si="263"/>
        <v>2199/12/31</v>
      </c>
      <c r="N1636" t="str">
        <f t="shared" si="264"/>
        <v>11WP01073956</v>
      </c>
      <c r="O1636">
        <v>15</v>
      </c>
      <c r="Q1636" t="str" cm="1">
        <f t="array" ref="Q1636">_xlfn.IFS(AND(C1636="",G1636=""),"",LEFT(G1636,1)="L","記載要",LEFT(G1636,1)="W","",AND(C1636,G1636=""),"記載要")</f>
        <v/>
      </c>
      <c r="R1636" s="21" t="str">
        <f t="shared" si="270"/>
        <v/>
      </c>
      <c r="S1636" s="21"/>
      <c r="Z1636" s="8"/>
      <c r="AA1636">
        <v>1</v>
      </c>
      <c r="AB1636">
        <f t="shared" si="266"/>
        <v>0</v>
      </c>
      <c r="AC1636">
        <v>1</v>
      </c>
      <c r="AF1636">
        <v>1</v>
      </c>
      <c r="AG1636" s="8"/>
      <c r="AH1636" s="8"/>
      <c r="AK1636" cm="1">
        <f t="array" ref="AK1636">_xlfn.IFS(B1636="","",LEFT(G1636,1)="L",1,LEFT(G1636,1)="W",1,AND(LEFT(B1636,1)="H",G1636=""),0)</f>
        <v>1</v>
      </c>
      <c r="AS1636" t="str">
        <f t="shared" si="267"/>
        <v/>
      </c>
      <c r="AT1636" t="s">
        <v>115</v>
      </c>
      <c r="AU1636" t="str">
        <f t="shared" si="268"/>
        <v>0</v>
      </c>
      <c r="BD1636" t="str">
        <f t="shared" si="269"/>
        <v>0</v>
      </c>
      <c r="BK1636" t="str">
        <f>IFERROR(VLOOKUP(B1636,'[1]model_S-フレーム'!$F$5:$R$7000,13,1),"")</f>
        <v>E367812_01</v>
      </c>
      <c r="BL1636" s="7">
        <f>IFERROR(VLOOKUP(B1636,'[1]model_S-フレーム'!$F$5:$V$7000,17,1),"")</f>
        <v>0</v>
      </c>
      <c r="BM1636" t="str" cm="1">
        <f t="array" ref="BM1636">_xlfn.IFS(LEFT(G1636,1)="L","外注品",LEFT(G1636,1)="W","内製品",G1636="","購買品")</f>
        <v>内製品</v>
      </c>
    </row>
    <row r="1637" spans="1:65">
      <c r="A1637" t="str">
        <f t="shared" si="260"/>
        <v>WG01</v>
      </c>
      <c r="B1637" t="s">
        <v>1743</v>
      </c>
      <c r="C1637" t="s">
        <v>1919</v>
      </c>
      <c r="D1637" s="7"/>
      <c r="E1637" s="7"/>
      <c r="G1637" t="s">
        <v>1939</v>
      </c>
      <c r="H1637" t="str" cm="1">
        <f t="array" ref="H1637">IFERROR(_xlfn.IFS(B1637="","",AND(B1637="",G1637=""),"",G1637="","記載要"),"")</f>
        <v/>
      </c>
      <c r="K1637" t="str">
        <f t="shared" si="261"/>
        <v>11WP01073957</v>
      </c>
      <c r="L1637" s="3" t="str">
        <f t="shared" si="262"/>
        <v>2001/01/01</v>
      </c>
      <c r="M1637" s="3" t="str">
        <f t="shared" si="263"/>
        <v>2199/12/31</v>
      </c>
      <c r="N1637" t="str">
        <f t="shared" si="264"/>
        <v>11WP01073957</v>
      </c>
      <c r="O1637">
        <v>15</v>
      </c>
      <c r="Q1637" t="str" cm="1">
        <f t="array" ref="Q1637">_xlfn.IFS(AND(C1637="",G1637=""),"",LEFT(G1637,1)="L","記載要",LEFT(G1637,1)="W","",AND(C1637,G1637=""),"記載要")</f>
        <v/>
      </c>
      <c r="R1637" s="21" t="str">
        <f t="shared" si="270"/>
        <v/>
      </c>
      <c r="S1637" s="21"/>
      <c r="Z1637" s="8"/>
      <c r="AA1637">
        <v>1</v>
      </c>
      <c r="AB1637">
        <f t="shared" si="266"/>
        <v>0</v>
      </c>
      <c r="AC1637">
        <v>1</v>
      </c>
      <c r="AF1637">
        <v>1</v>
      </c>
      <c r="AG1637" s="8"/>
      <c r="AH1637" s="8"/>
      <c r="AK1637" cm="1">
        <f t="array" ref="AK1637">_xlfn.IFS(B1637="","",LEFT(G1637,1)="L",1,LEFT(G1637,1)="W",1,AND(LEFT(B1637,1)="H",G1637=""),0)</f>
        <v>1</v>
      </c>
      <c r="AS1637" t="str">
        <f t="shared" si="267"/>
        <v/>
      </c>
      <c r="AT1637" t="s">
        <v>115</v>
      </c>
      <c r="AU1637" t="str">
        <f t="shared" si="268"/>
        <v>0</v>
      </c>
      <c r="BD1637" t="str">
        <f t="shared" si="269"/>
        <v>0</v>
      </c>
      <c r="BK1637" t="str">
        <f>IFERROR(VLOOKUP(B1637,'[1]model_S-フレーム'!$F$5:$R$7000,13,1),"")</f>
        <v>E367812_01</v>
      </c>
      <c r="BL1637" s="7">
        <f>IFERROR(VLOOKUP(B1637,'[1]model_S-フレーム'!$F$5:$V$7000,17,1),"")</f>
        <v>0</v>
      </c>
      <c r="BM1637" t="str" cm="1">
        <f t="array" ref="BM1637">_xlfn.IFS(LEFT(G1637,1)="L","外注品",LEFT(G1637,1)="W","内製品",G1637="","購買品")</f>
        <v>内製品</v>
      </c>
    </row>
    <row r="1638" spans="1:65">
      <c r="A1638" t="str">
        <f t="shared" si="260"/>
        <v>WG01</v>
      </c>
      <c r="B1638" t="s">
        <v>1744</v>
      </c>
      <c r="C1638" t="s">
        <v>1919</v>
      </c>
      <c r="D1638" s="7"/>
      <c r="E1638" s="7"/>
      <c r="G1638" t="s">
        <v>1939</v>
      </c>
      <c r="H1638" t="str" cm="1">
        <f t="array" ref="H1638">IFERROR(_xlfn.IFS(B1638="","",AND(B1638="",G1638=""),"",G1638="","記載要"),"")</f>
        <v/>
      </c>
      <c r="K1638" t="str">
        <f t="shared" si="261"/>
        <v>11WP01073958</v>
      </c>
      <c r="L1638" s="3" t="str">
        <f t="shared" si="262"/>
        <v>2001/01/01</v>
      </c>
      <c r="M1638" s="3" t="str">
        <f t="shared" si="263"/>
        <v>2199/12/31</v>
      </c>
      <c r="N1638" t="str">
        <f t="shared" si="264"/>
        <v>11WP01073958</v>
      </c>
      <c r="O1638">
        <v>15</v>
      </c>
      <c r="Q1638" t="str" cm="1">
        <f t="array" ref="Q1638">_xlfn.IFS(AND(C1638="",G1638=""),"",LEFT(G1638,1)="L","記載要",LEFT(G1638,1)="W","",AND(C1638,G1638=""),"記載要")</f>
        <v/>
      </c>
      <c r="R1638" s="21" t="str">
        <f t="shared" si="270"/>
        <v/>
      </c>
      <c r="S1638" s="21"/>
      <c r="Z1638" s="8"/>
      <c r="AA1638">
        <v>1</v>
      </c>
      <c r="AB1638">
        <f t="shared" si="266"/>
        <v>0</v>
      </c>
      <c r="AC1638">
        <v>1</v>
      </c>
      <c r="AF1638">
        <v>1</v>
      </c>
      <c r="AG1638" s="8"/>
      <c r="AH1638" s="8"/>
      <c r="AK1638" cm="1">
        <f t="array" ref="AK1638">_xlfn.IFS(B1638="","",LEFT(G1638,1)="L",1,LEFT(G1638,1)="W",1,AND(LEFT(B1638,1)="H",G1638=""),0)</f>
        <v>1</v>
      </c>
      <c r="AS1638" t="str">
        <f t="shared" si="267"/>
        <v/>
      </c>
      <c r="AT1638" t="s">
        <v>115</v>
      </c>
      <c r="AU1638" t="str">
        <f t="shared" si="268"/>
        <v>0</v>
      </c>
      <c r="BD1638" t="str">
        <f t="shared" si="269"/>
        <v>0</v>
      </c>
      <c r="BK1638" t="str">
        <f>IFERROR(VLOOKUP(B1638,'[1]model_S-フレーム'!$F$5:$R$7000,13,1),"")</f>
        <v>E367812_01</v>
      </c>
      <c r="BL1638" s="7">
        <f>IFERROR(VLOOKUP(B1638,'[1]model_S-フレーム'!$F$5:$V$7000,17,1),"")</f>
        <v>0</v>
      </c>
      <c r="BM1638" t="str" cm="1">
        <f t="array" ref="BM1638">_xlfn.IFS(LEFT(G1638,1)="L","外注品",LEFT(G1638,1)="W","内製品",G1638="","購買品")</f>
        <v>内製品</v>
      </c>
    </row>
    <row r="1639" spans="1:65">
      <c r="A1639" t="str">
        <f t="shared" si="260"/>
        <v>WG01</v>
      </c>
      <c r="B1639" t="s">
        <v>1745</v>
      </c>
      <c r="C1639" t="s">
        <v>1919</v>
      </c>
      <c r="D1639" s="7"/>
      <c r="E1639" s="7"/>
      <c r="G1639" t="s">
        <v>1939</v>
      </c>
      <c r="H1639" t="str" cm="1">
        <f t="array" ref="H1639">IFERROR(_xlfn.IFS(B1639="","",AND(B1639="",G1639=""),"",G1639="","記載要"),"")</f>
        <v/>
      </c>
      <c r="K1639" t="str">
        <f t="shared" si="261"/>
        <v>11WP01073959</v>
      </c>
      <c r="L1639" s="3" t="str">
        <f t="shared" si="262"/>
        <v>2001/01/01</v>
      </c>
      <c r="M1639" s="3" t="str">
        <f t="shared" si="263"/>
        <v>2199/12/31</v>
      </c>
      <c r="N1639" t="str">
        <f t="shared" si="264"/>
        <v>11WP01073959</v>
      </c>
      <c r="O1639">
        <v>15</v>
      </c>
      <c r="Q1639" t="str" cm="1">
        <f t="array" ref="Q1639">_xlfn.IFS(AND(C1639="",G1639=""),"",LEFT(G1639,1)="L","記載要",LEFT(G1639,1)="W","",AND(C1639,G1639=""),"記載要")</f>
        <v/>
      </c>
      <c r="R1639" s="21" t="str">
        <f t="shared" si="270"/>
        <v/>
      </c>
      <c r="S1639" s="21"/>
      <c r="Z1639" s="8"/>
      <c r="AA1639">
        <v>1</v>
      </c>
      <c r="AB1639">
        <f t="shared" si="266"/>
        <v>0</v>
      </c>
      <c r="AC1639">
        <v>1</v>
      </c>
      <c r="AF1639">
        <v>1</v>
      </c>
      <c r="AG1639" s="8"/>
      <c r="AH1639" s="8"/>
      <c r="AK1639" cm="1">
        <f t="array" ref="AK1639">_xlfn.IFS(B1639="","",LEFT(G1639,1)="L",1,LEFT(G1639,1)="W",1,AND(LEFT(B1639,1)="H",G1639=""),0)</f>
        <v>1</v>
      </c>
      <c r="AS1639" t="str">
        <f t="shared" si="267"/>
        <v/>
      </c>
      <c r="AT1639" t="s">
        <v>115</v>
      </c>
      <c r="AU1639" t="str">
        <f t="shared" si="268"/>
        <v>0</v>
      </c>
      <c r="BD1639" t="str">
        <f t="shared" si="269"/>
        <v>0</v>
      </c>
      <c r="BK1639" t="str">
        <f>IFERROR(VLOOKUP(B1639,'[1]model_S-フレーム'!$F$5:$R$7000,13,1),"")</f>
        <v>E367812_01</v>
      </c>
      <c r="BL1639" s="7">
        <f>IFERROR(VLOOKUP(B1639,'[1]model_S-フレーム'!$F$5:$V$7000,17,1),"")</f>
        <v>0</v>
      </c>
      <c r="BM1639" t="str" cm="1">
        <f t="array" ref="BM1639">_xlfn.IFS(LEFT(G1639,1)="L","外注品",LEFT(G1639,1)="W","内製品",G1639="","購買品")</f>
        <v>内製品</v>
      </c>
    </row>
    <row r="1640" spans="1:65">
      <c r="A1640" t="str">
        <f t="shared" si="260"/>
        <v>WG01</v>
      </c>
      <c r="B1640" t="s">
        <v>1746</v>
      </c>
      <c r="C1640" t="s">
        <v>1919</v>
      </c>
      <c r="D1640" s="7"/>
      <c r="E1640" s="7"/>
      <c r="G1640" t="s">
        <v>1939</v>
      </c>
      <c r="H1640" t="str" cm="1">
        <f t="array" ref="H1640">IFERROR(_xlfn.IFS(B1640="","",AND(B1640="",G1640=""),"",G1640="","記載要"),"")</f>
        <v/>
      </c>
      <c r="K1640" t="str">
        <f t="shared" si="261"/>
        <v>11WP01073960</v>
      </c>
      <c r="L1640" s="3" t="str">
        <f t="shared" si="262"/>
        <v>2001/01/01</v>
      </c>
      <c r="M1640" s="3" t="str">
        <f t="shared" si="263"/>
        <v>2199/12/31</v>
      </c>
      <c r="N1640" t="str">
        <f t="shared" si="264"/>
        <v>11WP01073960</v>
      </c>
      <c r="O1640">
        <v>15</v>
      </c>
      <c r="Q1640" t="str" cm="1">
        <f t="array" ref="Q1640">_xlfn.IFS(AND(C1640="",G1640=""),"",LEFT(G1640,1)="L","記載要",LEFT(G1640,1)="W","",AND(C1640,G1640=""),"記載要")</f>
        <v/>
      </c>
      <c r="R1640" s="21" t="str">
        <f t="shared" si="270"/>
        <v/>
      </c>
      <c r="S1640" s="21"/>
      <c r="Z1640" s="8"/>
      <c r="AA1640">
        <v>1</v>
      </c>
      <c r="AB1640">
        <f t="shared" si="266"/>
        <v>0</v>
      </c>
      <c r="AC1640">
        <v>1</v>
      </c>
      <c r="AF1640">
        <v>1</v>
      </c>
      <c r="AG1640" s="8"/>
      <c r="AH1640" s="8"/>
      <c r="AK1640" cm="1">
        <f t="array" ref="AK1640">_xlfn.IFS(B1640="","",LEFT(G1640,1)="L",1,LEFT(G1640,1)="W",1,AND(LEFT(B1640,1)="H",G1640=""),0)</f>
        <v>1</v>
      </c>
      <c r="AS1640" t="str">
        <f t="shared" si="267"/>
        <v/>
      </c>
      <c r="AT1640" t="s">
        <v>115</v>
      </c>
      <c r="AU1640" t="str">
        <f t="shared" si="268"/>
        <v>0</v>
      </c>
      <c r="BD1640" t="str">
        <f t="shared" si="269"/>
        <v>0</v>
      </c>
      <c r="BK1640" t="str">
        <f>IFERROR(VLOOKUP(B1640,'[1]model_S-フレーム'!$F$5:$R$7000,13,1),"")</f>
        <v>E367812_01</v>
      </c>
      <c r="BL1640" s="7">
        <f>IFERROR(VLOOKUP(B1640,'[1]model_S-フレーム'!$F$5:$V$7000,17,1),"")</f>
        <v>0</v>
      </c>
      <c r="BM1640" t="str" cm="1">
        <f t="array" ref="BM1640">_xlfn.IFS(LEFT(G1640,1)="L","外注品",LEFT(G1640,1)="W","内製品",G1640="","購買品")</f>
        <v>内製品</v>
      </c>
    </row>
    <row r="1641" spans="1:65">
      <c r="A1641" t="str">
        <f t="shared" si="260"/>
        <v>WG01</v>
      </c>
      <c r="B1641" t="s">
        <v>1747</v>
      </c>
      <c r="C1641" t="s">
        <v>1919</v>
      </c>
      <c r="D1641" s="7"/>
      <c r="E1641" s="7"/>
      <c r="G1641" t="s">
        <v>1939</v>
      </c>
      <c r="H1641" t="str" cm="1">
        <f t="array" ref="H1641">IFERROR(_xlfn.IFS(B1641="","",AND(B1641="",G1641=""),"",G1641="","記載要"),"")</f>
        <v/>
      </c>
      <c r="K1641" t="str">
        <f t="shared" si="261"/>
        <v>11WP01073961</v>
      </c>
      <c r="L1641" s="3" t="str">
        <f t="shared" si="262"/>
        <v>2001/01/01</v>
      </c>
      <c r="M1641" s="3" t="str">
        <f t="shared" si="263"/>
        <v>2199/12/31</v>
      </c>
      <c r="N1641" t="str">
        <f t="shared" si="264"/>
        <v>11WP01073961</v>
      </c>
      <c r="O1641">
        <v>15</v>
      </c>
      <c r="Q1641" t="str" cm="1">
        <f t="array" ref="Q1641">_xlfn.IFS(AND(C1641="",G1641=""),"",LEFT(G1641,1)="L","記載要",LEFT(G1641,1)="W","",AND(C1641,G1641=""),"記載要")</f>
        <v/>
      </c>
      <c r="R1641" s="21" t="str">
        <f t="shared" si="270"/>
        <v/>
      </c>
      <c r="S1641" s="21"/>
      <c r="Z1641" s="8"/>
      <c r="AA1641">
        <v>1</v>
      </c>
      <c r="AB1641">
        <f t="shared" si="266"/>
        <v>0</v>
      </c>
      <c r="AC1641">
        <v>1</v>
      </c>
      <c r="AF1641">
        <v>1</v>
      </c>
      <c r="AG1641" s="8"/>
      <c r="AH1641" s="8"/>
      <c r="AK1641" cm="1">
        <f t="array" ref="AK1641">_xlfn.IFS(B1641="","",LEFT(G1641,1)="L",1,LEFT(G1641,1)="W",1,AND(LEFT(B1641,1)="H",G1641=""),0)</f>
        <v>1</v>
      </c>
      <c r="AS1641" t="str">
        <f t="shared" si="267"/>
        <v/>
      </c>
      <c r="AT1641" t="s">
        <v>115</v>
      </c>
      <c r="AU1641" t="str">
        <f t="shared" si="268"/>
        <v>0</v>
      </c>
      <c r="BD1641" t="str">
        <f t="shared" si="269"/>
        <v>0</v>
      </c>
      <c r="BK1641" t="str">
        <f>IFERROR(VLOOKUP(B1641,'[1]model_S-フレーム'!$F$5:$R$7000,13,1),"")</f>
        <v>E367812_01</v>
      </c>
      <c r="BL1641" s="7">
        <f>IFERROR(VLOOKUP(B1641,'[1]model_S-フレーム'!$F$5:$V$7000,17,1),"")</f>
        <v>0</v>
      </c>
      <c r="BM1641" t="str" cm="1">
        <f t="array" ref="BM1641">_xlfn.IFS(LEFT(G1641,1)="L","外注品",LEFT(G1641,1)="W","内製品",G1641="","購買品")</f>
        <v>内製品</v>
      </c>
    </row>
    <row r="1642" spans="1:65">
      <c r="A1642" t="str">
        <f t="shared" si="260"/>
        <v>WG01</v>
      </c>
      <c r="B1642" t="s">
        <v>1748</v>
      </c>
      <c r="C1642" t="s">
        <v>1919</v>
      </c>
      <c r="D1642" s="7"/>
      <c r="E1642" s="7"/>
      <c r="G1642" t="s">
        <v>1939</v>
      </c>
      <c r="H1642" t="str" cm="1">
        <f t="array" ref="H1642">IFERROR(_xlfn.IFS(B1642="","",AND(B1642="",G1642=""),"",G1642="","記載要"),"")</f>
        <v/>
      </c>
      <c r="K1642" t="str">
        <f t="shared" si="261"/>
        <v>11WP01073962</v>
      </c>
      <c r="L1642" s="3" t="str">
        <f t="shared" si="262"/>
        <v>2001/01/01</v>
      </c>
      <c r="M1642" s="3" t="str">
        <f t="shared" si="263"/>
        <v>2199/12/31</v>
      </c>
      <c r="N1642" t="str">
        <f t="shared" si="264"/>
        <v>11WP01073962</v>
      </c>
      <c r="O1642">
        <v>15</v>
      </c>
      <c r="Q1642" t="str" cm="1">
        <f t="array" ref="Q1642">_xlfn.IFS(AND(C1642="",G1642=""),"",LEFT(G1642,1)="L","記載要",LEFT(G1642,1)="W","",AND(C1642,G1642=""),"記載要")</f>
        <v/>
      </c>
      <c r="R1642" s="21" t="str">
        <f t="shared" si="270"/>
        <v/>
      </c>
      <c r="S1642" s="21"/>
      <c r="Z1642" s="8"/>
      <c r="AA1642">
        <v>1</v>
      </c>
      <c r="AB1642">
        <f t="shared" si="266"/>
        <v>0</v>
      </c>
      <c r="AC1642">
        <v>1</v>
      </c>
      <c r="AF1642">
        <v>1</v>
      </c>
      <c r="AG1642" s="8"/>
      <c r="AH1642" s="8"/>
      <c r="AK1642" cm="1">
        <f t="array" ref="AK1642">_xlfn.IFS(B1642="","",LEFT(G1642,1)="L",1,LEFT(G1642,1)="W",1,AND(LEFT(B1642,1)="H",G1642=""),0)</f>
        <v>1</v>
      </c>
      <c r="AS1642" t="str">
        <f t="shared" si="267"/>
        <v/>
      </c>
      <c r="AT1642" t="s">
        <v>115</v>
      </c>
      <c r="AU1642" t="str">
        <f t="shared" si="268"/>
        <v>0</v>
      </c>
      <c r="BD1642" t="str">
        <f t="shared" si="269"/>
        <v>0</v>
      </c>
      <c r="BK1642" t="str">
        <f>IFERROR(VLOOKUP(B1642,'[1]model_S-フレーム'!$F$5:$R$7000,13,1),"")</f>
        <v>E367812_01</v>
      </c>
      <c r="BL1642" s="7">
        <f>IFERROR(VLOOKUP(B1642,'[1]model_S-フレーム'!$F$5:$V$7000,17,1),"")</f>
        <v>0</v>
      </c>
      <c r="BM1642" t="str" cm="1">
        <f t="array" ref="BM1642">_xlfn.IFS(LEFT(G1642,1)="L","外注品",LEFT(G1642,1)="W","内製品",G1642="","購買品")</f>
        <v>内製品</v>
      </c>
    </row>
    <row r="1643" spans="1:65">
      <c r="A1643" t="str">
        <f t="shared" si="260"/>
        <v>WG01</v>
      </c>
      <c r="B1643" t="s">
        <v>1749</v>
      </c>
      <c r="C1643" t="s">
        <v>1919</v>
      </c>
      <c r="D1643" s="7"/>
      <c r="E1643" s="7"/>
      <c r="G1643" t="s">
        <v>1939</v>
      </c>
      <c r="H1643" t="str" cm="1">
        <f t="array" ref="H1643">IFERROR(_xlfn.IFS(B1643="","",AND(B1643="",G1643=""),"",G1643="","記載要"),"")</f>
        <v/>
      </c>
      <c r="K1643" t="str">
        <f t="shared" si="261"/>
        <v>11WP01073963</v>
      </c>
      <c r="L1643" s="3" t="str">
        <f t="shared" si="262"/>
        <v>2001/01/01</v>
      </c>
      <c r="M1643" s="3" t="str">
        <f t="shared" si="263"/>
        <v>2199/12/31</v>
      </c>
      <c r="N1643" t="str">
        <f t="shared" si="264"/>
        <v>11WP01073963</v>
      </c>
      <c r="O1643">
        <v>15</v>
      </c>
      <c r="Q1643" t="str" cm="1">
        <f t="array" ref="Q1643">_xlfn.IFS(AND(C1643="",G1643=""),"",LEFT(G1643,1)="L","記載要",LEFT(G1643,1)="W","",AND(C1643,G1643=""),"記載要")</f>
        <v/>
      </c>
      <c r="R1643" s="21" t="str">
        <f t="shared" si="270"/>
        <v/>
      </c>
      <c r="S1643" s="21"/>
      <c r="Z1643" s="8"/>
      <c r="AA1643">
        <v>1</v>
      </c>
      <c r="AB1643">
        <f t="shared" si="266"/>
        <v>0</v>
      </c>
      <c r="AC1643">
        <v>1</v>
      </c>
      <c r="AF1643">
        <v>1</v>
      </c>
      <c r="AG1643" s="8"/>
      <c r="AH1643" s="8"/>
      <c r="AK1643" cm="1">
        <f t="array" ref="AK1643">_xlfn.IFS(B1643="","",LEFT(G1643,1)="L",1,LEFT(G1643,1)="W",1,AND(LEFT(B1643,1)="H",G1643=""),0)</f>
        <v>1</v>
      </c>
      <c r="AS1643" t="str">
        <f t="shared" si="267"/>
        <v/>
      </c>
      <c r="AT1643" t="s">
        <v>115</v>
      </c>
      <c r="AU1643" t="str">
        <f t="shared" si="268"/>
        <v>0</v>
      </c>
      <c r="BD1643" t="str">
        <f t="shared" si="269"/>
        <v>0</v>
      </c>
      <c r="BK1643" t="str">
        <f>IFERROR(VLOOKUP(B1643,'[1]model_S-フレーム'!$F$5:$R$7000,13,1),"")</f>
        <v>E367812_01</v>
      </c>
      <c r="BL1643" s="7">
        <f>IFERROR(VLOOKUP(B1643,'[1]model_S-フレーム'!$F$5:$V$7000,17,1),"")</f>
        <v>0</v>
      </c>
      <c r="BM1643" t="str" cm="1">
        <f t="array" ref="BM1643">_xlfn.IFS(LEFT(G1643,1)="L","外注品",LEFT(G1643,1)="W","内製品",G1643="","購買品")</f>
        <v>内製品</v>
      </c>
    </row>
    <row r="1644" spans="1:65">
      <c r="A1644" t="str">
        <f t="shared" si="260"/>
        <v>WG01</v>
      </c>
      <c r="B1644" t="s">
        <v>1750</v>
      </c>
      <c r="C1644" t="s">
        <v>1919</v>
      </c>
      <c r="D1644" s="7"/>
      <c r="E1644" s="7"/>
      <c r="G1644" t="s">
        <v>1939</v>
      </c>
      <c r="H1644" t="str" cm="1">
        <f t="array" ref="H1644">IFERROR(_xlfn.IFS(B1644="","",AND(B1644="",G1644=""),"",G1644="","記載要"),"")</f>
        <v/>
      </c>
      <c r="K1644" t="str">
        <f t="shared" si="261"/>
        <v>11WP01073964</v>
      </c>
      <c r="L1644" s="3" t="str">
        <f t="shared" si="262"/>
        <v>2001/01/01</v>
      </c>
      <c r="M1644" s="3" t="str">
        <f t="shared" si="263"/>
        <v>2199/12/31</v>
      </c>
      <c r="N1644" t="str">
        <f t="shared" si="264"/>
        <v>11WP01073964</v>
      </c>
      <c r="O1644">
        <v>15</v>
      </c>
      <c r="Q1644" t="str" cm="1">
        <f t="array" ref="Q1644">_xlfn.IFS(AND(C1644="",G1644=""),"",LEFT(G1644,1)="L","記載要",LEFT(G1644,1)="W","",AND(C1644,G1644=""),"記載要")</f>
        <v/>
      </c>
      <c r="R1644" s="21" t="str">
        <f t="shared" si="270"/>
        <v/>
      </c>
      <c r="S1644" s="21"/>
      <c r="Z1644" s="8"/>
      <c r="AA1644">
        <v>1</v>
      </c>
      <c r="AB1644">
        <f t="shared" si="266"/>
        <v>0</v>
      </c>
      <c r="AC1644">
        <v>1</v>
      </c>
      <c r="AF1644">
        <v>1</v>
      </c>
      <c r="AG1644" s="8"/>
      <c r="AH1644" s="8"/>
      <c r="AK1644" cm="1">
        <f t="array" ref="AK1644">_xlfn.IFS(B1644="","",LEFT(G1644,1)="L",1,LEFT(G1644,1)="W",1,AND(LEFT(B1644,1)="H",G1644=""),0)</f>
        <v>1</v>
      </c>
      <c r="AS1644" t="str">
        <f t="shared" si="267"/>
        <v/>
      </c>
      <c r="AT1644" t="s">
        <v>115</v>
      </c>
      <c r="AU1644" t="str">
        <f t="shared" si="268"/>
        <v>0</v>
      </c>
      <c r="BD1644" t="str">
        <f t="shared" si="269"/>
        <v>0</v>
      </c>
      <c r="BK1644" t="str">
        <f>IFERROR(VLOOKUP(B1644,'[1]model_S-フレーム'!$F$5:$R$7000,13,1),"")</f>
        <v>E367812_01</v>
      </c>
      <c r="BL1644" s="7">
        <f>IFERROR(VLOOKUP(B1644,'[1]model_S-フレーム'!$F$5:$V$7000,17,1),"")</f>
        <v>0</v>
      </c>
      <c r="BM1644" t="str" cm="1">
        <f t="array" ref="BM1644">_xlfn.IFS(LEFT(G1644,1)="L","外注品",LEFT(G1644,1)="W","内製品",G1644="","購買品")</f>
        <v>内製品</v>
      </c>
    </row>
    <row r="1645" spans="1:65">
      <c r="A1645" t="str">
        <f t="shared" si="260"/>
        <v>WG01</v>
      </c>
      <c r="B1645" t="s">
        <v>1751</v>
      </c>
      <c r="C1645" t="s">
        <v>1919</v>
      </c>
      <c r="D1645" s="7"/>
      <c r="E1645" s="7"/>
      <c r="G1645" t="s">
        <v>1939</v>
      </c>
      <c r="H1645" t="str" cm="1">
        <f t="array" ref="H1645">IFERROR(_xlfn.IFS(B1645="","",AND(B1645="",G1645=""),"",G1645="","記載要"),"")</f>
        <v/>
      </c>
      <c r="K1645" t="str">
        <f t="shared" si="261"/>
        <v>11WP01073965</v>
      </c>
      <c r="L1645" s="3" t="str">
        <f t="shared" si="262"/>
        <v>2001/01/01</v>
      </c>
      <c r="M1645" s="3" t="str">
        <f t="shared" si="263"/>
        <v>2199/12/31</v>
      </c>
      <c r="N1645" t="str">
        <f t="shared" si="264"/>
        <v>11WP01073965</v>
      </c>
      <c r="O1645">
        <v>15</v>
      </c>
      <c r="Q1645" t="str" cm="1">
        <f t="array" ref="Q1645">_xlfn.IFS(AND(C1645="",G1645=""),"",LEFT(G1645,1)="L","記載要",LEFT(G1645,1)="W","",AND(C1645,G1645=""),"記載要")</f>
        <v/>
      </c>
      <c r="R1645" s="21" t="str">
        <f t="shared" si="270"/>
        <v/>
      </c>
      <c r="S1645" s="21"/>
      <c r="Z1645" s="8"/>
      <c r="AA1645">
        <v>1</v>
      </c>
      <c r="AB1645">
        <f t="shared" si="266"/>
        <v>0</v>
      </c>
      <c r="AC1645">
        <v>1</v>
      </c>
      <c r="AF1645">
        <v>1</v>
      </c>
      <c r="AG1645" s="8"/>
      <c r="AH1645" s="8"/>
      <c r="AK1645" cm="1">
        <f t="array" ref="AK1645">_xlfn.IFS(B1645="","",LEFT(G1645,1)="L",1,LEFT(G1645,1)="W",1,AND(LEFT(B1645,1)="H",G1645=""),0)</f>
        <v>1</v>
      </c>
      <c r="AS1645" t="str">
        <f t="shared" si="267"/>
        <v/>
      </c>
      <c r="AT1645" t="s">
        <v>115</v>
      </c>
      <c r="AU1645" t="str">
        <f t="shared" si="268"/>
        <v>0</v>
      </c>
      <c r="BD1645" t="str">
        <f t="shared" si="269"/>
        <v>0</v>
      </c>
      <c r="BK1645" t="str">
        <f>IFERROR(VLOOKUP(B1645,'[1]model_S-フレーム'!$F$5:$R$7000,13,1),"")</f>
        <v>E367812_01</v>
      </c>
      <c r="BL1645" s="7">
        <f>IFERROR(VLOOKUP(B1645,'[1]model_S-フレーム'!$F$5:$V$7000,17,1),"")</f>
        <v>0</v>
      </c>
      <c r="BM1645" t="str" cm="1">
        <f t="array" ref="BM1645">_xlfn.IFS(LEFT(G1645,1)="L","外注品",LEFT(G1645,1)="W","内製品",G1645="","購買品")</f>
        <v>内製品</v>
      </c>
    </row>
    <row r="1646" spans="1:65">
      <c r="A1646" t="str">
        <f t="shared" si="260"/>
        <v>WG01</v>
      </c>
      <c r="B1646" t="s">
        <v>1752</v>
      </c>
      <c r="C1646" t="s">
        <v>1919</v>
      </c>
      <c r="D1646" s="7"/>
      <c r="E1646" s="7"/>
      <c r="G1646" t="s">
        <v>1939</v>
      </c>
      <c r="H1646" t="str" cm="1">
        <f t="array" ref="H1646">IFERROR(_xlfn.IFS(B1646="","",AND(B1646="",G1646=""),"",G1646="","記載要"),"")</f>
        <v/>
      </c>
      <c r="K1646" t="str">
        <f t="shared" si="261"/>
        <v>11WP01073966</v>
      </c>
      <c r="L1646" s="3" t="str">
        <f t="shared" si="262"/>
        <v>2001/01/01</v>
      </c>
      <c r="M1646" s="3" t="str">
        <f t="shared" si="263"/>
        <v>2199/12/31</v>
      </c>
      <c r="N1646" t="str">
        <f t="shared" si="264"/>
        <v>11WP01073966</v>
      </c>
      <c r="O1646">
        <v>15</v>
      </c>
      <c r="Q1646" t="str" cm="1">
        <f t="array" ref="Q1646">_xlfn.IFS(AND(C1646="",G1646=""),"",LEFT(G1646,1)="L","記載要",LEFT(G1646,1)="W","",AND(C1646,G1646=""),"記載要")</f>
        <v/>
      </c>
      <c r="R1646" s="21" t="str">
        <f t="shared" si="270"/>
        <v/>
      </c>
      <c r="S1646" s="21"/>
      <c r="Z1646" s="8"/>
      <c r="AA1646">
        <v>1</v>
      </c>
      <c r="AB1646">
        <f t="shared" si="266"/>
        <v>0</v>
      </c>
      <c r="AC1646">
        <v>1</v>
      </c>
      <c r="AF1646">
        <v>1</v>
      </c>
      <c r="AG1646" s="8"/>
      <c r="AH1646" s="8"/>
      <c r="AK1646" cm="1">
        <f t="array" ref="AK1646">_xlfn.IFS(B1646="","",LEFT(G1646,1)="L",1,LEFT(G1646,1)="W",1,AND(LEFT(B1646,1)="H",G1646=""),0)</f>
        <v>1</v>
      </c>
      <c r="AS1646" t="str">
        <f t="shared" si="267"/>
        <v/>
      </c>
      <c r="AT1646" t="s">
        <v>115</v>
      </c>
      <c r="AU1646" t="str">
        <f t="shared" si="268"/>
        <v>0</v>
      </c>
      <c r="BD1646" t="str">
        <f t="shared" si="269"/>
        <v>0</v>
      </c>
      <c r="BK1646" t="str">
        <f>IFERROR(VLOOKUP(B1646,'[1]model_S-フレーム'!$F$5:$R$7000,13,1),"")</f>
        <v>E367812_01</v>
      </c>
      <c r="BL1646" s="7">
        <f>IFERROR(VLOOKUP(B1646,'[1]model_S-フレーム'!$F$5:$V$7000,17,1),"")</f>
        <v>0</v>
      </c>
      <c r="BM1646" t="str" cm="1">
        <f t="array" ref="BM1646">_xlfn.IFS(LEFT(G1646,1)="L","外注品",LEFT(G1646,1)="W","内製品",G1646="","購買品")</f>
        <v>内製品</v>
      </c>
    </row>
    <row r="1647" spans="1:65" s="15" customFormat="1">
      <c r="A1647" t="str">
        <f t="shared" si="260"/>
        <v>WG01</v>
      </c>
      <c r="B1647" t="s">
        <v>1753</v>
      </c>
      <c r="C1647" t="s">
        <v>1920</v>
      </c>
      <c r="D1647" s="7"/>
      <c r="E1647" s="7"/>
      <c r="F1647"/>
      <c r="G1647"/>
      <c r="H1647">
        <v>27616</v>
      </c>
      <c r="I1647"/>
      <c r="J1647"/>
      <c r="K1647" t="str">
        <f t="shared" si="261"/>
        <v/>
      </c>
      <c r="L1647" s="3" t="str">
        <f t="shared" si="262"/>
        <v>2001/01/01</v>
      </c>
      <c r="M1647" s="3" t="str">
        <f t="shared" si="263"/>
        <v>2199/12/31</v>
      </c>
      <c r="N1647" t="str">
        <f t="shared" si="264"/>
        <v/>
      </c>
      <c r="O1647" t="str">
        <f t="shared" ref="O1647:O1666" si="271">IF(G1647="","","記載要")</f>
        <v/>
      </c>
      <c r="P1647"/>
      <c r="Q1647">
        <v>15</v>
      </c>
      <c r="R1647" s="21">
        <v>100000000</v>
      </c>
      <c r="S1647" s="21" t="str" cm="1">
        <f t="array" ref="S1647">_xlfn.IFS(LEFT(G1647,1)="L","記載要",LEFT(G1647,1)="W","記載要",G1647="","")</f>
        <v/>
      </c>
      <c r="T1647"/>
      <c r="U1647"/>
      <c r="V1647"/>
      <c r="W1647"/>
      <c r="X1647"/>
      <c r="Y1647"/>
      <c r="Z1647" s="8"/>
      <c r="AA1647" s="8">
        <v>1</v>
      </c>
      <c r="AB1647">
        <f t="shared" si="266"/>
        <v>0</v>
      </c>
      <c r="AC1647" s="8">
        <v>1</v>
      </c>
      <c r="AD1647"/>
      <c r="AE1647"/>
      <c r="AF1647">
        <v>1</v>
      </c>
      <c r="AG1647" s="8"/>
      <c r="AH1647" s="8"/>
      <c r="AI1647"/>
      <c r="AJ1647"/>
      <c r="AK1647" cm="1">
        <f t="array" ref="AK1647">_xlfn.IFS(B1647="","",LEFT(G1647,1)="L",1,LEFT(G1647,1)="W",1,AND(LEFT(B1647,1)="H",G1647=""),0)</f>
        <v>0</v>
      </c>
      <c r="AL1647"/>
      <c r="AM1647"/>
      <c r="AN1647"/>
      <c r="AO1647"/>
      <c r="AP1647"/>
      <c r="AQ1647"/>
      <c r="AR1647"/>
      <c r="AS1647">
        <f t="shared" si="267"/>
        <v>1</v>
      </c>
      <c r="AT1647" t="s">
        <v>115</v>
      </c>
      <c r="AU1647" t="str">
        <f t="shared" si="268"/>
        <v>0</v>
      </c>
      <c r="AV1647"/>
      <c r="AW1647"/>
      <c r="AX1647"/>
      <c r="AY1647"/>
      <c r="AZ1647"/>
      <c r="BA1647"/>
      <c r="BB1647"/>
      <c r="BC1647"/>
      <c r="BD1647" t="str">
        <f t="shared" si="269"/>
        <v>0</v>
      </c>
      <c r="BE1647"/>
      <c r="BF1647"/>
      <c r="BG1647"/>
      <c r="BH1647"/>
      <c r="BI1647"/>
      <c r="BJ1647"/>
      <c r="BK1647" s="15" t="str">
        <f>IFERROR(VLOOKUP(B1647,'[1]model_S-フレーム'!$F$5:$R$7000,13,1),"")</f>
        <v>E367811_01</v>
      </c>
      <c r="BL1647" s="16">
        <f>IFERROR(VLOOKUP(B1647,'[1]model_S-フレーム'!$F$5:$V$7000,17,1),"")</f>
        <v>0</v>
      </c>
      <c r="BM1647" s="15" t="str" cm="1">
        <f t="array" ref="BM1647">_xlfn.IFS(LEFT(G1647,1)="L","外注品",LEFT(G1647,1)="W","内製品",G1647="","購買品")</f>
        <v>購買品</v>
      </c>
    </row>
    <row r="1648" spans="1:65" s="15" customFormat="1">
      <c r="A1648" t="str">
        <f t="shared" si="260"/>
        <v>WG01</v>
      </c>
      <c r="B1648" t="s">
        <v>1753</v>
      </c>
      <c r="C1648" t="s">
        <v>1920</v>
      </c>
      <c r="D1648" s="7"/>
      <c r="E1648" s="7"/>
      <c r="F1648"/>
      <c r="G1648"/>
      <c r="H1648">
        <v>43453</v>
      </c>
      <c r="I1648"/>
      <c r="J1648"/>
      <c r="K1648" t="str">
        <f t="shared" si="261"/>
        <v/>
      </c>
      <c r="L1648" s="3" t="str">
        <f t="shared" si="262"/>
        <v>2001/01/01</v>
      </c>
      <c r="M1648" s="3" t="str">
        <f t="shared" si="263"/>
        <v>2199/12/31</v>
      </c>
      <c r="N1648" t="str">
        <f t="shared" si="264"/>
        <v/>
      </c>
      <c r="O1648" t="str">
        <f t="shared" si="271"/>
        <v/>
      </c>
      <c r="P1648"/>
      <c r="Q1648">
        <v>15</v>
      </c>
      <c r="R1648" s="21">
        <v>100000000</v>
      </c>
      <c r="S1648" s="21" t="str" cm="1">
        <f t="array" ref="S1648">_xlfn.IFS(LEFT(G1648,1)="L","記載要",LEFT(G1648,1)="W","記載要",G1648="","")</f>
        <v/>
      </c>
      <c r="T1648"/>
      <c r="U1648"/>
      <c r="V1648"/>
      <c r="W1648"/>
      <c r="X1648"/>
      <c r="Y1648"/>
      <c r="Z1648" s="8"/>
      <c r="AA1648" s="8">
        <v>1</v>
      </c>
      <c r="AB1648">
        <f t="shared" si="266"/>
        <v>0</v>
      </c>
      <c r="AC1648" s="8">
        <v>1</v>
      </c>
      <c r="AD1648"/>
      <c r="AE1648"/>
      <c r="AF1648">
        <v>0</v>
      </c>
      <c r="AG1648" s="8"/>
      <c r="AH1648" s="8"/>
      <c r="AI1648"/>
      <c r="AJ1648"/>
      <c r="AK1648" cm="1">
        <f t="array" ref="AK1648">_xlfn.IFS(B1648="","",LEFT(G1648,1)="L",1,LEFT(G1648,1)="W",1,AND(LEFT(B1648,1)="H",G1648=""),0)</f>
        <v>0</v>
      </c>
      <c r="AL1648"/>
      <c r="AM1648"/>
      <c r="AN1648"/>
      <c r="AO1648"/>
      <c r="AP1648"/>
      <c r="AQ1648"/>
      <c r="AR1648"/>
      <c r="AS1648">
        <f t="shared" si="267"/>
        <v>1</v>
      </c>
      <c r="AT1648" t="s">
        <v>115</v>
      </c>
      <c r="AU1648" t="str">
        <f t="shared" si="268"/>
        <v>0</v>
      </c>
      <c r="AV1648"/>
      <c r="AW1648"/>
      <c r="AX1648"/>
      <c r="AY1648"/>
      <c r="AZ1648"/>
      <c r="BA1648"/>
      <c r="BB1648"/>
      <c r="BC1648"/>
      <c r="BD1648" t="str">
        <f t="shared" si="269"/>
        <v>0</v>
      </c>
      <c r="BE1648"/>
      <c r="BF1648"/>
      <c r="BG1648"/>
      <c r="BH1648"/>
      <c r="BI1648"/>
      <c r="BJ1648"/>
      <c r="BK1648" s="15" t="str">
        <f>IFERROR(VLOOKUP(B1648,'[1]model_S-フレーム'!$F$5:$R$7000,13,1),"")</f>
        <v>E367811_01</v>
      </c>
      <c r="BL1648" s="16">
        <f>IFERROR(VLOOKUP(B1648,'[1]model_S-フレーム'!$F$5:$V$7000,17,1),"")</f>
        <v>0</v>
      </c>
      <c r="BM1648" s="15" t="str" cm="1">
        <f t="array" ref="BM1648">_xlfn.IFS(LEFT(G1648,1)="L","外注品",LEFT(G1648,1)="W","内製品",G1648="","購買品")</f>
        <v>購買品</v>
      </c>
    </row>
    <row r="1649" spans="1:65" s="15" customFormat="1">
      <c r="A1649" t="str">
        <f t="shared" si="260"/>
        <v>WG01</v>
      </c>
      <c r="B1649" t="s">
        <v>1753</v>
      </c>
      <c r="C1649" t="s">
        <v>1920</v>
      </c>
      <c r="D1649" s="7"/>
      <c r="E1649" s="7"/>
      <c r="F1649"/>
      <c r="G1649"/>
      <c r="H1649">
        <v>47081</v>
      </c>
      <c r="I1649"/>
      <c r="J1649"/>
      <c r="K1649" t="str">
        <f t="shared" si="261"/>
        <v/>
      </c>
      <c r="L1649" s="3" t="str">
        <f t="shared" si="262"/>
        <v>2001/01/01</v>
      </c>
      <c r="M1649" s="3" t="str">
        <f t="shared" si="263"/>
        <v>2199/12/31</v>
      </c>
      <c r="N1649" t="str">
        <f t="shared" si="264"/>
        <v/>
      </c>
      <c r="O1649" t="str">
        <f t="shared" si="271"/>
        <v/>
      </c>
      <c r="P1649"/>
      <c r="Q1649">
        <v>15</v>
      </c>
      <c r="R1649" s="21">
        <v>100000000</v>
      </c>
      <c r="S1649" s="21" t="str" cm="1">
        <f t="array" ref="S1649">_xlfn.IFS(LEFT(G1649,1)="L","記載要",LEFT(G1649,1)="W","記載要",G1649="","")</f>
        <v/>
      </c>
      <c r="T1649"/>
      <c r="U1649"/>
      <c r="V1649"/>
      <c r="W1649"/>
      <c r="X1649"/>
      <c r="Y1649"/>
      <c r="Z1649" s="8"/>
      <c r="AA1649" s="8">
        <v>1</v>
      </c>
      <c r="AB1649">
        <f t="shared" si="266"/>
        <v>0</v>
      </c>
      <c r="AC1649" s="8">
        <v>1</v>
      </c>
      <c r="AD1649"/>
      <c r="AE1649"/>
      <c r="AF1649">
        <v>0</v>
      </c>
      <c r="AG1649" s="8"/>
      <c r="AH1649" s="8"/>
      <c r="AI1649"/>
      <c r="AJ1649"/>
      <c r="AK1649" cm="1">
        <f t="array" ref="AK1649">_xlfn.IFS(B1649="","",LEFT(G1649,1)="L",1,LEFT(G1649,1)="W",1,AND(LEFT(B1649,1)="H",G1649=""),0)</f>
        <v>0</v>
      </c>
      <c r="AL1649"/>
      <c r="AM1649"/>
      <c r="AN1649"/>
      <c r="AO1649"/>
      <c r="AP1649"/>
      <c r="AQ1649"/>
      <c r="AR1649"/>
      <c r="AS1649">
        <f t="shared" si="267"/>
        <v>1</v>
      </c>
      <c r="AT1649" t="s">
        <v>115</v>
      </c>
      <c r="AU1649" t="str">
        <f t="shared" si="268"/>
        <v>0</v>
      </c>
      <c r="AV1649"/>
      <c r="AW1649"/>
      <c r="AX1649"/>
      <c r="AY1649"/>
      <c r="AZ1649"/>
      <c r="BA1649"/>
      <c r="BB1649"/>
      <c r="BC1649"/>
      <c r="BD1649" t="str">
        <f t="shared" si="269"/>
        <v>0</v>
      </c>
      <c r="BE1649"/>
      <c r="BF1649"/>
      <c r="BG1649"/>
      <c r="BH1649"/>
      <c r="BI1649"/>
      <c r="BJ1649"/>
      <c r="BK1649" s="15" t="str">
        <f>IFERROR(VLOOKUP(B1649,'[1]model_S-フレーム'!$F$5:$R$7000,13,1),"")</f>
        <v>E367811_01</v>
      </c>
      <c r="BL1649" s="16">
        <f>IFERROR(VLOOKUP(B1649,'[1]model_S-フレーム'!$F$5:$V$7000,17,1),"")</f>
        <v>0</v>
      </c>
      <c r="BM1649" s="15" t="str" cm="1">
        <f t="array" ref="BM1649">_xlfn.IFS(LEFT(G1649,1)="L","外注品",LEFT(G1649,1)="W","内製品",G1649="","購買品")</f>
        <v>購買品</v>
      </c>
    </row>
    <row r="1650" spans="1:65">
      <c r="A1650" t="str">
        <f t="shared" si="260"/>
        <v>WG01</v>
      </c>
      <c r="B1650" t="s">
        <v>1753</v>
      </c>
      <c r="C1650" t="s">
        <v>1920</v>
      </c>
      <c r="D1650" s="7"/>
      <c r="E1650" s="7"/>
      <c r="H1650" s="19" t="s">
        <v>1937</v>
      </c>
      <c r="K1650" t="str">
        <f t="shared" si="261"/>
        <v/>
      </c>
      <c r="L1650" s="3" t="str">
        <f t="shared" si="262"/>
        <v>2001/01/01</v>
      </c>
      <c r="M1650" s="3" t="str">
        <f t="shared" si="263"/>
        <v>2199/12/31</v>
      </c>
      <c r="N1650" t="str">
        <f t="shared" si="264"/>
        <v/>
      </c>
      <c r="O1650" t="str">
        <f t="shared" si="271"/>
        <v/>
      </c>
      <c r="Q1650">
        <v>15</v>
      </c>
      <c r="R1650" s="21">
        <v>100000000</v>
      </c>
      <c r="S1650" s="21" t="str" cm="1">
        <f t="array" ref="S1650">_xlfn.IFS(LEFT(G1650,1)="L","記載要",LEFT(G1650,1)="W","記載要",G1650="","")</f>
        <v/>
      </c>
      <c r="Z1650" s="8"/>
      <c r="AA1650" s="8">
        <v>1</v>
      </c>
      <c r="AB1650">
        <f t="shared" si="266"/>
        <v>0</v>
      </c>
      <c r="AC1650" s="8">
        <v>1</v>
      </c>
      <c r="AF1650">
        <v>0</v>
      </c>
      <c r="AG1650" s="8"/>
      <c r="AH1650" s="8"/>
      <c r="AK1650" cm="1">
        <f t="array" ref="AK1650">_xlfn.IFS(B1650="","",LEFT(G1650,1)="L",1,LEFT(G1650,1)="W",1,AND(LEFT(B1650,1)="H",G1650=""),0)</f>
        <v>0</v>
      </c>
      <c r="AS1650">
        <f t="shared" si="267"/>
        <v>1</v>
      </c>
      <c r="AT1650" t="s">
        <v>115</v>
      </c>
      <c r="AU1650" t="str">
        <f t="shared" si="268"/>
        <v>0</v>
      </c>
      <c r="BD1650" t="str">
        <f t="shared" si="269"/>
        <v>0</v>
      </c>
      <c r="BK1650" t="str">
        <f>IFERROR(VLOOKUP(B1650,'[1]model_S-フレーム'!$F$5:$R$7000,13,1),"")</f>
        <v>E367811_01</v>
      </c>
      <c r="BL1650" s="7">
        <f>IFERROR(VLOOKUP(B1650,'[1]model_S-フレーム'!$F$5:$V$7000,17,1),"")</f>
        <v>0</v>
      </c>
      <c r="BM1650" t="str" cm="1">
        <f t="array" ref="BM1650">_xlfn.IFS(LEFT(G1650,1)="L","外注品",LEFT(G1650,1)="W","内製品",G1650="","購買品")</f>
        <v>購買品</v>
      </c>
    </row>
    <row r="1651" spans="1:65" s="15" customFormat="1">
      <c r="A1651" t="str">
        <f t="shared" si="260"/>
        <v>WG01</v>
      </c>
      <c r="B1651" t="s">
        <v>1754</v>
      </c>
      <c r="C1651" t="s">
        <v>1920</v>
      </c>
      <c r="D1651" s="7"/>
      <c r="E1651" s="7"/>
      <c r="F1651"/>
      <c r="G1651"/>
      <c r="H1651">
        <v>27616</v>
      </c>
      <c r="I1651"/>
      <c r="J1651"/>
      <c r="K1651" t="str">
        <f t="shared" si="261"/>
        <v/>
      </c>
      <c r="L1651" s="3" t="str">
        <f t="shared" si="262"/>
        <v>2001/01/01</v>
      </c>
      <c r="M1651" s="3" t="str">
        <f t="shared" si="263"/>
        <v>2199/12/31</v>
      </c>
      <c r="N1651" t="str">
        <f t="shared" si="264"/>
        <v/>
      </c>
      <c r="O1651" t="str">
        <f t="shared" si="271"/>
        <v/>
      </c>
      <c r="P1651"/>
      <c r="Q1651">
        <v>15</v>
      </c>
      <c r="R1651" s="21">
        <v>100000000</v>
      </c>
      <c r="S1651" s="21" t="str" cm="1">
        <f t="array" ref="S1651">_xlfn.IFS(LEFT(G1651,1)="L","記載要",LEFT(G1651,1)="W","記載要",G1651="","")</f>
        <v/>
      </c>
      <c r="T1651"/>
      <c r="U1651"/>
      <c r="V1651"/>
      <c r="W1651"/>
      <c r="X1651"/>
      <c r="Y1651"/>
      <c r="Z1651" s="8"/>
      <c r="AA1651" s="8">
        <v>1</v>
      </c>
      <c r="AB1651">
        <f t="shared" si="266"/>
        <v>0</v>
      </c>
      <c r="AC1651" s="8">
        <v>1</v>
      </c>
      <c r="AD1651"/>
      <c r="AE1651"/>
      <c r="AF1651">
        <v>1</v>
      </c>
      <c r="AG1651" s="8"/>
      <c r="AH1651" s="8"/>
      <c r="AI1651"/>
      <c r="AJ1651"/>
      <c r="AK1651" cm="1">
        <f t="array" ref="AK1651">_xlfn.IFS(B1651="","",LEFT(G1651,1)="L",1,LEFT(G1651,1)="W",1,AND(LEFT(B1651,1)="H",G1651=""),0)</f>
        <v>0</v>
      </c>
      <c r="AL1651"/>
      <c r="AM1651"/>
      <c r="AN1651"/>
      <c r="AO1651"/>
      <c r="AP1651"/>
      <c r="AQ1651"/>
      <c r="AR1651"/>
      <c r="AS1651">
        <f t="shared" si="267"/>
        <v>1</v>
      </c>
      <c r="AT1651" t="s">
        <v>115</v>
      </c>
      <c r="AU1651" t="str">
        <f t="shared" si="268"/>
        <v>0</v>
      </c>
      <c r="AV1651"/>
      <c r="AW1651"/>
      <c r="AX1651"/>
      <c r="AY1651"/>
      <c r="AZ1651"/>
      <c r="BA1651"/>
      <c r="BB1651"/>
      <c r="BC1651"/>
      <c r="BD1651" t="str">
        <f t="shared" si="269"/>
        <v>0</v>
      </c>
      <c r="BE1651"/>
      <c r="BF1651"/>
      <c r="BG1651"/>
      <c r="BH1651"/>
      <c r="BI1651"/>
      <c r="BJ1651"/>
      <c r="BK1651" s="15" t="str">
        <f>IFERROR(VLOOKUP(B1651,'[1]model_S-フレーム'!$F$5:$R$7000,13,1),"")</f>
        <v>E367811_01</v>
      </c>
      <c r="BL1651" s="16">
        <f>IFERROR(VLOOKUP(B1651,'[1]model_S-フレーム'!$F$5:$V$7000,17,1),"")</f>
        <v>0</v>
      </c>
      <c r="BM1651" s="15" t="str" cm="1">
        <f t="array" ref="BM1651">_xlfn.IFS(LEFT(G1651,1)="L","外注品",LEFT(G1651,1)="W","内製品",G1651="","購買品")</f>
        <v>購買品</v>
      </c>
    </row>
    <row r="1652" spans="1:65" s="15" customFormat="1">
      <c r="A1652" t="str">
        <f t="shared" si="260"/>
        <v>WG01</v>
      </c>
      <c r="B1652" t="s">
        <v>1754</v>
      </c>
      <c r="C1652" t="s">
        <v>1920</v>
      </c>
      <c r="D1652" s="7"/>
      <c r="E1652" s="7"/>
      <c r="F1652"/>
      <c r="G1652"/>
      <c r="H1652">
        <v>43453</v>
      </c>
      <c r="I1652"/>
      <c r="J1652"/>
      <c r="K1652" t="str">
        <f t="shared" si="261"/>
        <v/>
      </c>
      <c r="L1652" s="3" t="str">
        <f t="shared" si="262"/>
        <v>2001/01/01</v>
      </c>
      <c r="M1652" s="3" t="str">
        <f t="shared" si="263"/>
        <v>2199/12/31</v>
      </c>
      <c r="N1652" t="str">
        <f t="shared" si="264"/>
        <v/>
      </c>
      <c r="O1652" t="str">
        <f t="shared" si="271"/>
        <v/>
      </c>
      <c r="P1652"/>
      <c r="Q1652">
        <v>15</v>
      </c>
      <c r="R1652" s="21">
        <v>100000000</v>
      </c>
      <c r="S1652" s="21" t="str" cm="1">
        <f t="array" ref="S1652">_xlfn.IFS(LEFT(G1652,1)="L","記載要",LEFT(G1652,1)="W","記載要",G1652="","")</f>
        <v/>
      </c>
      <c r="T1652"/>
      <c r="U1652"/>
      <c r="V1652"/>
      <c r="W1652"/>
      <c r="X1652"/>
      <c r="Y1652"/>
      <c r="Z1652" s="8"/>
      <c r="AA1652" s="8">
        <v>1</v>
      </c>
      <c r="AB1652">
        <f t="shared" si="266"/>
        <v>0</v>
      </c>
      <c r="AC1652" s="8">
        <v>1</v>
      </c>
      <c r="AD1652"/>
      <c r="AE1652"/>
      <c r="AF1652">
        <v>0</v>
      </c>
      <c r="AG1652" s="8"/>
      <c r="AH1652" s="8"/>
      <c r="AI1652"/>
      <c r="AJ1652"/>
      <c r="AK1652" cm="1">
        <f t="array" ref="AK1652">_xlfn.IFS(B1652="","",LEFT(G1652,1)="L",1,LEFT(G1652,1)="W",1,AND(LEFT(B1652,1)="H",G1652=""),0)</f>
        <v>0</v>
      </c>
      <c r="AL1652"/>
      <c r="AM1652"/>
      <c r="AN1652"/>
      <c r="AO1652"/>
      <c r="AP1652"/>
      <c r="AQ1652"/>
      <c r="AR1652"/>
      <c r="AS1652">
        <f t="shared" si="267"/>
        <v>1</v>
      </c>
      <c r="AT1652" t="s">
        <v>115</v>
      </c>
      <c r="AU1652" t="str">
        <f t="shared" si="268"/>
        <v>0</v>
      </c>
      <c r="AV1652"/>
      <c r="AW1652"/>
      <c r="AX1652"/>
      <c r="AY1652"/>
      <c r="AZ1652"/>
      <c r="BA1652"/>
      <c r="BB1652"/>
      <c r="BC1652"/>
      <c r="BD1652" t="str">
        <f t="shared" si="269"/>
        <v>0</v>
      </c>
      <c r="BE1652"/>
      <c r="BF1652"/>
      <c r="BG1652"/>
      <c r="BH1652"/>
      <c r="BI1652"/>
      <c r="BJ1652"/>
      <c r="BK1652" s="15" t="str">
        <f>IFERROR(VLOOKUP(B1652,'[1]model_S-フレーム'!$F$5:$R$7000,13,1),"")</f>
        <v>E367811_01</v>
      </c>
      <c r="BL1652" s="16">
        <f>IFERROR(VLOOKUP(B1652,'[1]model_S-フレーム'!$F$5:$V$7000,17,1),"")</f>
        <v>0</v>
      </c>
      <c r="BM1652" s="15" t="str" cm="1">
        <f t="array" ref="BM1652">_xlfn.IFS(LEFT(G1652,1)="L","外注品",LEFT(G1652,1)="W","内製品",G1652="","購買品")</f>
        <v>購買品</v>
      </c>
    </row>
    <row r="1653" spans="1:65" s="15" customFormat="1">
      <c r="A1653" t="str">
        <f t="shared" si="260"/>
        <v>WG01</v>
      </c>
      <c r="B1653" t="s">
        <v>1754</v>
      </c>
      <c r="C1653" t="s">
        <v>1920</v>
      </c>
      <c r="D1653" s="7"/>
      <c r="E1653" s="7"/>
      <c r="F1653"/>
      <c r="G1653"/>
      <c r="H1653">
        <v>47081</v>
      </c>
      <c r="I1653"/>
      <c r="J1653"/>
      <c r="K1653" t="str">
        <f t="shared" si="261"/>
        <v/>
      </c>
      <c r="L1653" s="3" t="str">
        <f t="shared" si="262"/>
        <v>2001/01/01</v>
      </c>
      <c r="M1653" s="3" t="str">
        <f t="shared" si="263"/>
        <v>2199/12/31</v>
      </c>
      <c r="N1653" t="str">
        <f t="shared" si="264"/>
        <v/>
      </c>
      <c r="O1653" t="str">
        <f t="shared" si="271"/>
        <v/>
      </c>
      <c r="P1653"/>
      <c r="Q1653">
        <v>15</v>
      </c>
      <c r="R1653" s="21">
        <v>100000000</v>
      </c>
      <c r="S1653" s="21" t="str" cm="1">
        <f t="array" ref="S1653">_xlfn.IFS(LEFT(G1653,1)="L","記載要",LEFT(G1653,1)="W","記載要",G1653="","")</f>
        <v/>
      </c>
      <c r="T1653"/>
      <c r="U1653"/>
      <c r="V1653"/>
      <c r="W1653"/>
      <c r="X1653"/>
      <c r="Y1653"/>
      <c r="Z1653" s="8"/>
      <c r="AA1653" s="8">
        <v>1</v>
      </c>
      <c r="AB1653">
        <f t="shared" si="266"/>
        <v>0</v>
      </c>
      <c r="AC1653" s="8">
        <v>1</v>
      </c>
      <c r="AD1653"/>
      <c r="AE1653"/>
      <c r="AF1653">
        <v>0</v>
      </c>
      <c r="AG1653" s="8"/>
      <c r="AH1653" s="8"/>
      <c r="AI1653"/>
      <c r="AJ1653"/>
      <c r="AK1653" cm="1">
        <f t="array" ref="AK1653">_xlfn.IFS(B1653="","",LEFT(G1653,1)="L",1,LEFT(G1653,1)="W",1,AND(LEFT(B1653,1)="H",G1653=""),0)</f>
        <v>0</v>
      </c>
      <c r="AL1653"/>
      <c r="AM1653"/>
      <c r="AN1653"/>
      <c r="AO1653"/>
      <c r="AP1653"/>
      <c r="AQ1653"/>
      <c r="AR1653"/>
      <c r="AS1653">
        <f t="shared" si="267"/>
        <v>1</v>
      </c>
      <c r="AT1653" t="s">
        <v>115</v>
      </c>
      <c r="AU1653" t="str">
        <f t="shared" si="268"/>
        <v>0</v>
      </c>
      <c r="AV1653"/>
      <c r="AW1653"/>
      <c r="AX1653"/>
      <c r="AY1653"/>
      <c r="AZ1653"/>
      <c r="BA1653"/>
      <c r="BB1653"/>
      <c r="BC1653"/>
      <c r="BD1653" t="str">
        <f t="shared" si="269"/>
        <v>0</v>
      </c>
      <c r="BE1653"/>
      <c r="BF1653"/>
      <c r="BG1653"/>
      <c r="BH1653"/>
      <c r="BI1653"/>
      <c r="BJ1653"/>
      <c r="BK1653" s="15" t="str">
        <f>IFERROR(VLOOKUP(B1653,'[1]model_S-フレーム'!$F$5:$R$7000,13,1),"")</f>
        <v>E367811_01</v>
      </c>
      <c r="BL1653" s="16">
        <f>IFERROR(VLOOKUP(B1653,'[1]model_S-フレーム'!$F$5:$V$7000,17,1),"")</f>
        <v>0</v>
      </c>
      <c r="BM1653" s="15" t="str" cm="1">
        <f t="array" ref="BM1653">_xlfn.IFS(LEFT(G1653,1)="L","外注品",LEFT(G1653,1)="W","内製品",G1653="","購買品")</f>
        <v>購買品</v>
      </c>
    </row>
    <row r="1654" spans="1:65">
      <c r="A1654" t="str">
        <f t="shared" si="260"/>
        <v>WG01</v>
      </c>
      <c r="B1654" t="s">
        <v>1754</v>
      </c>
      <c r="C1654" t="s">
        <v>1920</v>
      </c>
      <c r="D1654" s="7"/>
      <c r="E1654" s="7"/>
      <c r="H1654" s="19" t="s">
        <v>1937</v>
      </c>
      <c r="K1654" t="str">
        <f t="shared" si="261"/>
        <v/>
      </c>
      <c r="L1654" s="3" t="str">
        <f t="shared" si="262"/>
        <v>2001/01/01</v>
      </c>
      <c r="M1654" s="3" t="str">
        <f t="shared" si="263"/>
        <v>2199/12/31</v>
      </c>
      <c r="N1654" t="str">
        <f t="shared" si="264"/>
        <v/>
      </c>
      <c r="O1654" t="str">
        <f t="shared" si="271"/>
        <v/>
      </c>
      <c r="Q1654">
        <v>15</v>
      </c>
      <c r="R1654" s="21">
        <v>100000000</v>
      </c>
      <c r="S1654" s="21" t="str" cm="1">
        <f t="array" ref="S1654">_xlfn.IFS(LEFT(G1654,1)="L","記載要",LEFT(G1654,1)="W","記載要",G1654="","")</f>
        <v/>
      </c>
      <c r="Z1654" s="8"/>
      <c r="AA1654" s="8">
        <v>1</v>
      </c>
      <c r="AB1654">
        <f t="shared" si="266"/>
        <v>0</v>
      </c>
      <c r="AC1654" s="8">
        <v>1</v>
      </c>
      <c r="AF1654">
        <v>0</v>
      </c>
      <c r="AG1654" s="8"/>
      <c r="AH1654" s="8"/>
      <c r="AK1654" cm="1">
        <f t="array" ref="AK1654">_xlfn.IFS(B1654="","",LEFT(G1654,1)="L",1,LEFT(G1654,1)="W",1,AND(LEFT(B1654,1)="H",G1654=""),0)</f>
        <v>0</v>
      </c>
      <c r="AS1654">
        <f t="shared" si="267"/>
        <v>1</v>
      </c>
      <c r="AT1654" t="s">
        <v>115</v>
      </c>
      <c r="AU1654" t="str">
        <f t="shared" si="268"/>
        <v>0</v>
      </c>
      <c r="BD1654" t="str">
        <f t="shared" si="269"/>
        <v>0</v>
      </c>
      <c r="BK1654" t="str">
        <f>IFERROR(VLOOKUP(B1654,'[1]model_S-フレーム'!$F$5:$R$7000,13,1),"")</f>
        <v>E367811_01</v>
      </c>
      <c r="BL1654" s="7">
        <f>IFERROR(VLOOKUP(B1654,'[1]model_S-フレーム'!$F$5:$V$7000,17,1),"")</f>
        <v>0</v>
      </c>
      <c r="BM1654" t="str" cm="1">
        <f t="array" ref="BM1654">_xlfn.IFS(LEFT(G1654,1)="L","外注品",LEFT(G1654,1)="W","内製品",G1654="","購買品")</f>
        <v>購買品</v>
      </c>
    </row>
    <row r="1655" spans="1:65" s="15" customFormat="1">
      <c r="A1655" t="str">
        <f t="shared" si="260"/>
        <v>WG01</v>
      </c>
      <c r="B1655" t="s">
        <v>1755</v>
      </c>
      <c r="C1655" t="s">
        <v>1920</v>
      </c>
      <c r="D1655" s="7"/>
      <c r="E1655" s="7"/>
      <c r="F1655"/>
      <c r="G1655"/>
      <c r="H1655">
        <v>27616</v>
      </c>
      <c r="I1655"/>
      <c r="J1655"/>
      <c r="K1655" t="str">
        <f t="shared" si="261"/>
        <v/>
      </c>
      <c r="L1655" s="3" t="str">
        <f t="shared" si="262"/>
        <v>2001/01/01</v>
      </c>
      <c r="M1655" s="3" t="str">
        <f t="shared" si="263"/>
        <v>2199/12/31</v>
      </c>
      <c r="N1655" t="str">
        <f t="shared" si="264"/>
        <v/>
      </c>
      <c r="O1655" t="str">
        <f t="shared" si="271"/>
        <v/>
      </c>
      <c r="P1655"/>
      <c r="Q1655">
        <v>15</v>
      </c>
      <c r="R1655" s="21">
        <v>100000000</v>
      </c>
      <c r="S1655" s="21" t="str" cm="1">
        <f t="array" ref="S1655">_xlfn.IFS(LEFT(G1655,1)="L","記載要",LEFT(G1655,1)="W","記載要",G1655="","")</f>
        <v/>
      </c>
      <c r="T1655"/>
      <c r="U1655"/>
      <c r="V1655"/>
      <c r="W1655"/>
      <c r="X1655"/>
      <c r="Y1655"/>
      <c r="Z1655" s="8"/>
      <c r="AA1655" s="8">
        <v>1</v>
      </c>
      <c r="AB1655">
        <f t="shared" si="266"/>
        <v>0</v>
      </c>
      <c r="AC1655" s="8">
        <v>1</v>
      </c>
      <c r="AD1655"/>
      <c r="AE1655"/>
      <c r="AF1655">
        <v>1</v>
      </c>
      <c r="AG1655" s="8"/>
      <c r="AH1655" s="8"/>
      <c r="AI1655"/>
      <c r="AJ1655"/>
      <c r="AK1655" cm="1">
        <f t="array" ref="AK1655">_xlfn.IFS(B1655="","",LEFT(G1655,1)="L",1,LEFT(G1655,1)="W",1,AND(LEFT(B1655,1)="H",G1655=""),0)</f>
        <v>0</v>
      </c>
      <c r="AL1655"/>
      <c r="AM1655"/>
      <c r="AN1655"/>
      <c r="AO1655"/>
      <c r="AP1655"/>
      <c r="AQ1655"/>
      <c r="AR1655"/>
      <c r="AS1655">
        <f t="shared" si="267"/>
        <v>1</v>
      </c>
      <c r="AT1655" t="s">
        <v>115</v>
      </c>
      <c r="AU1655" t="str">
        <f t="shared" si="268"/>
        <v>0</v>
      </c>
      <c r="AV1655"/>
      <c r="AW1655"/>
      <c r="AX1655"/>
      <c r="AY1655"/>
      <c r="AZ1655"/>
      <c r="BA1655"/>
      <c r="BB1655"/>
      <c r="BC1655"/>
      <c r="BD1655" t="str">
        <f t="shared" si="269"/>
        <v>0</v>
      </c>
      <c r="BE1655"/>
      <c r="BF1655"/>
      <c r="BG1655"/>
      <c r="BH1655"/>
      <c r="BI1655"/>
      <c r="BJ1655"/>
      <c r="BK1655" s="15" t="str">
        <f>IFERROR(VLOOKUP(B1655,'[1]model_S-フレーム'!$F$5:$R$7000,13,1),"")</f>
        <v>E367811_01</v>
      </c>
      <c r="BL1655" s="16">
        <f>IFERROR(VLOOKUP(B1655,'[1]model_S-フレーム'!$F$5:$V$7000,17,1),"")</f>
        <v>0</v>
      </c>
      <c r="BM1655" s="15" t="str" cm="1">
        <f t="array" ref="BM1655">_xlfn.IFS(LEFT(G1655,1)="L","外注品",LEFT(G1655,1)="W","内製品",G1655="","購買品")</f>
        <v>購買品</v>
      </c>
    </row>
    <row r="1656" spans="1:65" s="15" customFormat="1">
      <c r="A1656" t="str">
        <f t="shared" si="260"/>
        <v>WG01</v>
      </c>
      <c r="B1656" t="s">
        <v>1755</v>
      </c>
      <c r="C1656" t="s">
        <v>1920</v>
      </c>
      <c r="D1656" s="7"/>
      <c r="E1656" s="7"/>
      <c r="F1656"/>
      <c r="G1656"/>
      <c r="H1656">
        <v>43453</v>
      </c>
      <c r="I1656"/>
      <c r="J1656"/>
      <c r="K1656" t="str">
        <f t="shared" si="261"/>
        <v/>
      </c>
      <c r="L1656" s="3" t="str">
        <f t="shared" si="262"/>
        <v>2001/01/01</v>
      </c>
      <c r="M1656" s="3" t="str">
        <f t="shared" si="263"/>
        <v>2199/12/31</v>
      </c>
      <c r="N1656" t="str">
        <f t="shared" si="264"/>
        <v/>
      </c>
      <c r="O1656" t="str">
        <f t="shared" si="271"/>
        <v/>
      </c>
      <c r="P1656"/>
      <c r="Q1656">
        <v>15</v>
      </c>
      <c r="R1656" s="21">
        <v>100000000</v>
      </c>
      <c r="S1656" s="21" t="str" cm="1">
        <f t="array" ref="S1656">_xlfn.IFS(LEFT(G1656,1)="L","記載要",LEFT(G1656,1)="W","記載要",G1656="","")</f>
        <v/>
      </c>
      <c r="T1656"/>
      <c r="U1656"/>
      <c r="V1656"/>
      <c r="W1656"/>
      <c r="X1656"/>
      <c r="Y1656"/>
      <c r="Z1656" s="8"/>
      <c r="AA1656" s="8">
        <v>1</v>
      </c>
      <c r="AB1656">
        <f t="shared" si="266"/>
        <v>0</v>
      </c>
      <c r="AC1656" s="8">
        <v>1</v>
      </c>
      <c r="AD1656"/>
      <c r="AE1656"/>
      <c r="AF1656">
        <v>0</v>
      </c>
      <c r="AG1656" s="8"/>
      <c r="AH1656" s="8"/>
      <c r="AI1656"/>
      <c r="AJ1656"/>
      <c r="AK1656" cm="1">
        <f t="array" ref="AK1656">_xlfn.IFS(B1656="","",LEFT(G1656,1)="L",1,LEFT(G1656,1)="W",1,AND(LEFT(B1656,1)="H",G1656=""),0)</f>
        <v>0</v>
      </c>
      <c r="AL1656"/>
      <c r="AM1656"/>
      <c r="AN1656"/>
      <c r="AO1656"/>
      <c r="AP1656"/>
      <c r="AQ1656"/>
      <c r="AR1656"/>
      <c r="AS1656">
        <f t="shared" si="267"/>
        <v>1</v>
      </c>
      <c r="AT1656" t="s">
        <v>115</v>
      </c>
      <c r="AU1656" t="str">
        <f t="shared" si="268"/>
        <v>0</v>
      </c>
      <c r="AV1656"/>
      <c r="AW1656"/>
      <c r="AX1656"/>
      <c r="AY1656"/>
      <c r="AZ1656"/>
      <c r="BA1656"/>
      <c r="BB1656"/>
      <c r="BC1656"/>
      <c r="BD1656" t="str">
        <f t="shared" si="269"/>
        <v>0</v>
      </c>
      <c r="BE1656"/>
      <c r="BF1656"/>
      <c r="BG1656"/>
      <c r="BH1656"/>
      <c r="BI1656"/>
      <c r="BJ1656"/>
      <c r="BK1656" s="15" t="str">
        <f>IFERROR(VLOOKUP(B1656,'[1]model_S-フレーム'!$F$5:$R$7000,13,1),"")</f>
        <v>E367811_01</v>
      </c>
      <c r="BL1656" s="16">
        <f>IFERROR(VLOOKUP(B1656,'[1]model_S-フレーム'!$F$5:$V$7000,17,1),"")</f>
        <v>0</v>
      </c>
      <c r="BM1656" s="15" t="str" cm="1">
        <f t="array" ref="BM1656">_xlfn.IFS(LEFT(G1656,1)="L","外注品",LEFT(G1656,1)="W","内製品",G1656="","購買品")</f>
        <v>購買品</v>
      </c>
    </row>
    <row r="1657" spans="1:65" s="15" customFormat="1">
      <c r="A1657" t="str">
        <f t="shared" si="260"/>
        <v>WG01</v>
      </c>
      <c r="B1657" t="s">
        <v>1755</v>
      </c>
      <c r="C1657" t="s">
        <v>1920</v>
      </c>
      <c r="D1657" s="7"/>
      <c r="E1657" s="7"/>
      <c r="F1657"/>
      <c r="G1657"/>
      <c r="H1657">
        <v>47081</v>
      </c>
      <c r="I1657"/>
      <c r="J1657"/>
      <c r="K1657" t="str">
        <f t="shared" si="261"/>
        <v/>
      </c>
      <c r="L1657" s="3" t="str">
        <f t="shared" si="262"/>
        <v>2001/01/01</v>
      </c>
      <c r="M1657" s="3" t="str">
        <f t="shared" si="263"/>
        <v>2199/12/31</v>
      </c>
      <c r="N1657" t="str">
        <f t="shared" si="264"/>
        <v/>
      </c>
      <c r="O1657" t="str">
        <f t="shared" si="271"/>
        <v/>
      </c>
      <c r="P1657"/>
      <c r="Q1657">
        <v>15</v>
      </c>
      <c r="R1657" s="21">
        <v>100000000</v>
      </c>
      <c r="S1657" s="21" t="str" cm="1">
        <f t="array" ref="S1657">_xlfn.IFS(LEFT(G1657,1)="L","記載要",LEFT(G1657,1)="W","記載要",G1657="","")</f>
        <v/>
      </c>
      <c r="T1657"/>
      <c r="U1657"/>
      <c r="V1657"/>
      <c r="W1657"/>
      <c r="X1657"/>
      <c r="Y1657"/>
      <c r="Z1657" s="8"/>
      <c r="AA1657" s="8">
        <v>1</v>
      </c>
      <c r="AB1657">
        <f t="shared" si="266"/>
        <v>0</v>
      </c>
      <c r="AC1657" s="8">
        <v>1</v>
      </c>
      <c r="AD1657"/>
      <c r="AE1657"/>
      <c r="AF1657">
        <v>0</v>
      </c>
      <c r="AG1657" s="8"/>
      <c r="AH1657" s="8"/>
      <c r="AI1657"/>
      <c r="AJ1657"/>
      <c r="AK1657" cm="1">
        <f t="array" ref="AK1657">_xlfn.IFS(B1657="","",LEFT(G1657,1)="L",1,LEFT(G1657,1)="W",1,AND(LEFT(B1657,1)="H",G1657=""),0)</f>
        <v>0</v>
      </c>
      <c r="AL1657"/>
      <c r="AM1657"/>
      <c r="AN1657"/>
      <c r="AO1657"/>
      <c r="AP1657"/>
      <c r="AQ1657"/>
      <c r="AR1657"/>
      <c r="AS1657">
        <f t="shared" si="267"/>
        <v>1</v>
      </c>
      <c r="AT1657" t="s">
        <v>115</v>
      </c>
      <c r="AU1657" t="str">
        <f t="shared" si="268"/>
        <v>0</v>
      </c>
      <c r="AV1657"/>
      <c r="AW1657"/>
      <c r="AX1657"/>
      <c r="AY1657"/>
      <c r="AZ1657"/>
      <c r="BA1657"/>
      <c r="BB1657"/>
      <c r="BC1657"/>
      <c r="BD1657" t="str">
        <f t="shared" si="269"/>
        <v>0</v>
      </c>
      <c r="BE1657"/>
      <c r="BF1657"/>
      <c r="BG1657"/>
      <c r="BH1657"/>
      <c r="BI1657"/>
      <c r="BJ1657"/>
      <c r="BK1657" s="15" t="str">
        <f>IFERROR(VLOOKUP(B1657,'[1]model_S-フレーム'!$F$5:$R$7000,13,1),"")</f>
        <v>E367811_01</v>
      </c>
      <c r="BL1657" s="16">
        <f>IFERROR(VLOOKUP(B1657,'[1]model_S-フレーム'!$F$5:$V$7000,17,1),"")</f>
        <v>0</v>
      </c>
      <c r="BM1657" s="15" t="str" cm="1">
        <f t="array" ref="BM1657">_xlfn.IFS(LEFT(G1657,1)="L","外注品",LEFT(G1657,1)="W","内製品",G1657="","購買品")</f>
        <v>購買品</v>
      </c>
    </row>
    <row r="1658" spans="1:65">
      <c r="A1658" t="str">
        <f t="shared" si="260"/>
        <v>WG01</v>
      </c>
      <c r="B1658" t="s">
        <v>1755</v>
      </c>
      <c r="C1658" t="s">
        <v>1920</v>
      </c>
      <c r="D1658" s="7"/>
      <c r="E1658" s="7"/>
      <c r="H1658" s="19" t="s">
        <v>1937</v>
      </c>
      <c r="K1658" t="str">
        <f t="shared" si="261"/>
        <v/>
      </c>
      <c r="L1658" s="3" t="str">
        <f t="shared" si="262"/>
        <v>2001/01/01</v>
      </c>
      <c r="M1658" s="3" t="str">
        <f t="shared" si="263"/>
        <v>2199/12/31</v>
      </c>
      <c r="N1658" t="str">
        <f t="shared" si="264"/>
        <v/>
      </c>
      <c r="O1658" t="str">
        <f t="shared" si="271"/>
        <v/>
      </c>
      <c r="Q1658">
        <v>15</v>
      </c>
      <c r="R1658" s="21">
        <v>100000000</v>
      </c>
      <c r="S1658" s="21" t="str" cm="1">
        <f t="array" ref="S1658">_xlfn.IFS(LEFT(G1658,1)="L","記載要",LEFT(G1658,1)="W","記載要",G1658="","")</f>
        <v/>
      </c>
      <c r="Z1658" s="8"/>
      <c r="AA1658" s="8">
        <v>1</v>
      </c>
      <c r="AB1658">
        <f t="shared" si="266"/>
        <v>0</v>
      </c>
      <c r="AC1658" s="8">
        <v>1</v>
      </c>
      <c r="AF1658">
        <v>0</v>
      </c>
      <c r="AG1658" s="8"/>
      <c r="AH1658" s="8"/>
      <c r="AK1658" cm="1">
        <f t="array" ref="AK1658">_xlfn.IFS(B1658="","",LEFT(G1658,1)="L",1,LEFT(G1658,1)="W",1,AND(LEFT(B1658,1)="H",G1658=""),0)</f>
        <v>0</v>
      </c>
      <c r="AS1658">
        <f t="shared" si="267"/>
        <v>1</v>
      </c>
      <c r="AT1658" t="s">
        <v>115</v>
      </c>
      <c r="AU1658" t="str">
        <f t="shared" si="268"/>
        <v>0</v>
      </c>
      <c r="BD1658" t="str">
        <f t="shared" si="269"/>
        <v>0</v>
      </c>
      <c r="BK1658" t="str">
        <f>IFERROR(VLOOKUP(B1658,'[1]model_S-フレーム'!$F$5:$R$7000,13,1),"")</f>
        <v>E367811_01</v>
      </c>
      <c r="BL1658" s="7">
        <f>IFERROR(VLOOKUP(B1658,'[1]model_S-フレーム'!$F$5:$V$7000,17,1),"")</f>
        <v>0</v>
      </c>
      <c r="BM1658" t="str" cm="1">
        <f t="array" ref="BM1658">_xlfn.IFS(LEFT(G1658,1)="L","外注品",LEFT(G1658,1)="W","内製品",G1658="","購買品")</f>
        <v>購買品</v>
      </c>
    </row>
    <row r="1659" spans="1:65" s="15" customFormat="1">
      <c r="A1659" t="str">
        <f t="shared" si="260"/>
        <v>WG01</v>
      </c>
      <c r="B1659" t="s">
        <v>1756</v>
      </c>
      <c r="C1659" t="s">
        <v>1920</v>
      </c>
      <c r="D1659" s="7"/>
      <c r="E1659" s="7"/>
      <c r="F1659"/>
      <c r="G1659"/>
      <c r="H1659">
        <v>27616</v>
      </c>
      <c r="I1659"/>
      <c r="J1659"/>
      <c r="K1659" t="str">
        <f t="shared" si="261"/>
        <v/>
      </c>
      <c r="L1659" s="3" t="str">
        <f t="shared" si="262"/>
        <v>2001/01/01</v>
      </c>
      <c r="M1659" s="3" t="str">
        <f t="shared" si="263"/>
        <v>2199/12/31</v>
      </c>
      <c r="N1659" t="str">
        <f t="shared" si="264"/>
        <v/>
      </c>
      <c r="O1659" t="str">
        <f t="shared" si="271"/>
        <v/>
      </c>
      <c r="P1659"/>
      <c r="Q1659">
        <v>15</v>
      </c>
      <c r="R1659" s="21">
        <v>100000000</v>
      </c>
      <c r="S1659" s="21" t="str" cm="1">
        <f t="array" ref="S1659">_xlfn.IFS(LEFT(G1659,1)="L","記載要",LEFT(G1659,1)="W","記載要",G1659="","")</f>
        <v/>
      </c>
      <c r="T1659"/>
      <c r="U1659"/>
      <c r="V1659"/>
      <c r="W1659"/>
      <c r="X1659"/>
      <c r="Y1659"/>
      <c r="Z1659" s="8"/>
      <c r="AA1659" s="8">
        <v>1</v>
      </c>
      <c r="AB1659">
        <f t="shared" si="266"/>
        <v>0</v>
      </c>
      <c r="AC1659" s="8">
        <v>1</v>
      </c>
      <c r="AD1659"/>
      <c r="AE1659"/>
      <c r="AF1659">
        <v>1</v>
      </c>
      <c r="AG1659" s="8"/>
      <c r="AH1659" s="8"/>
      <c r="AI1659"/>
      <c r="AJ1659"/>
      <c r="AK1659" cm="1">
        <f t="array" ref="AK1659">_xlfn.IFS(B1659="","",LEFT(G1659,1)="L",1,LEFT(G1659,1)="W",1,AND(LEFT(B1659,1)="H",G1659=""),0)</f>
        <v>0</v>
      </c>
      <c r="AL1659"/>
      <c r="AM1659"/>
      <c r="AN1659"/>
      <c r="AO1659"/>
      <c r="AP1659"/>
      <c r="AQ1659"/>
      <c r="AR1659"/>
      <c r="AS1659">
        <f t="shared" si="267"/>
        <v>1</v>
      </c>
      <c r="AT1659" t="s">
        <v>115</v>
      </c>
      <c r="AU1659" t="str">
        <f t="shared" si="268"/>
        <v>0</v>
      </c>
      <c r="AV1659"/>
      <c r="AW1659"/>
      <c r="AX1659"/>
      <c r="AY1659"/>
      <c r="AZ1659"/>
      <c r="BA1659"/>
      <c r="BB1659"/>
      <c r="BC1659"/>
      <c r="BD1659" t="str">
        <f t="shared" si="269"/>
        <v>0</v>
      </c>
      <c r="BE1659"/>
      <c r="BF1659"/>
      <c r="BG1659"/>
      <c r="BH1659"/>
      <c r="BI1659"/>
      <c r="BJ1659"/>
      <c r="BK1659" s="15" t="str">
        <f>IFERROR(VLOOKUP(B1659,'[1]model_S-フレーム'!$F$5:$R$7000,13,1),"")</f>
        <v>E367811_01</v>
      </c>
      <c r="BL1659" s="16">
        <f>IFERROR(VLOOKUP(B1659,'[1]model_S-フレーム'!$F$5:$V$7000,17,1),"")</f>
        <v>0</v>
      </c>
      <c r="BM1659" s="15" t="str" cm="1">
        <f t="array" ref="BM1659">_xlfn.IFS(LEFT(G1659,1)="L","外注品",LEFT(G1659,1)="W","内製品",G1659="","購買品")</f>
        <v>購買品</v>
      </c>
    </row>
    <row r="1660" spans="1:65" s="17" customFormat="1">
      <c r="A1660" t="str">
        <f t="shared" si="260"/>
        <v>WG01</v>
      </c>
      <c r="B1660" t="s">
        <v>1756</v>
      </c>
      <c r="C1660" t="s">
        <v>1920</v>
      </c>
      <c r="D1660" s="7"/>
      <c r="E1660" s="7"/>
      <c r="F1660"/>
      <c r="G1660"/>
      <c r="H1660">
        <v>43453</v>
      </c>
      <c r="I1660"/>
      <c r="J1660"/>
      <c r="K1660" t="str">
        <f t="shared" si="261"/>
        <v/>
      </c>
      <c r="L1660" s="3" t="str">
        <f t="shared" si="262"/>
        <v>2001/01/01</v>
      </c>
      <c r="M1660" s="3" t="str">
        <f t="shared" si="263"/>
        <v>2199/12/31</v>
      </c>
      <c r="N1660" t="str">
        <f t="shared" si="264"/>
        <v/>
      </c>
      <c r="O1660" t="str">
        <f t="shared" si="271"/>
        <v/>
      </c>
      <c r="P1660"/>
      <c r="Q1660">
        <v>15</v>
      </c>
      <c r="R1660" s="21">
        <v>100000000</v>
      </c>
      <c r="S1660" s="21" t="str" cm="1">
        <f t="array" ref="S1660">_xlfn.IFS(LEFT(G1660,1)="L","記載要",LEFT(G1660,1)="W","記載要",G1660="","")</f>
        <v/>
      </c>
      <c r="T1660"/>
      <c r="U1660"/>
      <c r="V1660"/>
      <c r="W1660"/>
      <c r="X1660"/>
      <c r="Y1660"/>
      <c r="Z1660" s="8"/>
      <c r="AA1660" s="8">
        <v>1</v>
      </c>
      <c r="AB1660">
        <f t="shared" si="266"/>
        <v>0</v>
      </c>
      <c r="AC1660" s="8">
        <v>1</v>
      </c>
      <c r="AD1660"/>
      <c r="AE1660"/>
      <c r="AF1660">
        <v>0</v>
      </c>
      <c r="AG1660" s="8"/>
      <c r="AH1660" s="8"/>
      <c r="AI1660"/>
      <c r="AJ1660"/>
      <c r="AK1660" cm="1">
        <f t="array" ref="AK1660">_xlfn.IFS(B1660="","",LEFT(G1660,1)="L",1,LEFT(G1660,1)="W",1,AND(LEFT(B1660,1)="H",G1660=""),0)</f>
        <v>0</v>
      </c>
      <c r="AL1660"/>
      <c r="AM1660"/>
      <c r="AN1660"/>
      <c r="AO1660"/>
      <c r="AP1660"/>
      <c r="AQ1660"/>
      <c r="AR1660"/>
      <c r="AS1660">
        <f t="shared" si="267"/>
        <v>1</v>
      </c>
      <c r="AT1660" t="s">
        <v>115</v>
      </c>
      <c r="AU1660" t="str">
        <f t="shared" si="268"/>
        <v>0</v>
      </c>
      <c r="AV1660"/>
      <c r="AW1660"/>
      <c r="AX1660"/>
      <c r="AY1660"/>
      <c r="AZ1660"/>
      <c r="BA1660"/>
      <c r="BB1660"/>
      <c r="BC1660"/>
      <c r="BD1660" t="str">
        <f t="shared" si="269"/>
        <v>0</v>
      </c>
      <c r="BE1660"/>
      <c r="BF1660"/>
      <c r="BG1660"/>
      <c r="BH1660"/>
      <c r="BI1660"/>
      <c r="BJ1660"/>
      <c r="BK1660" s="17" t="str">
        <f>IFERROR(VLOOKUP(B1660,'[1]model_S-フレーム'!$F$5:$R$7000,13,1),"")</f>
        <v>E367811_01</v>
      </c>
      <c r="BL1660" s="18">
        <f>IFERROR(VLOOKUP(B1660,'[1]model_S-フレーム'!$F$5:$V$7000,17,1),"")</f>
        <v>0</v>
      </c>
      <c r="BM1660" s="17" t="str" cm="1">
        <f t="array" ref="BM1660">_xlfn.IFS(LEFT(G1660,1)="L","外注品",LEFT(G1660,1)="W","内製品",G1660="","購買品")</f>
        <v>購買品</v>
      </c>
    </row>
    <row r="1661" spans="1:65" s="17" customFormat="1">
      <c r="A1661" t="str">
        <f t="shared" si="260"/>
        <v>WG01</v>
      </c>
      <c r="B1661" t="s">
        <v>1756</v>
      </c>
      <c r="C1661" t="s">
        <v>1920</v>
      </c>
      <c r="D1661" s="7"/>
      <c r="E1661" s="7"/>
      <c r="F1661"/>
      <c r="G1661"/>
      <c r="H1661">
        <v>47081</v>
      </c>
      <c r="I1661"/>
      <c r="J1661"/>
      <c r="K1661" t="str">
        <f t="shared" si="261"/>
        <v/>
      </c>
      <c r="L1661" s="3" t="str">
        <f t="shared" si="262"/>
        <v>2001/01/01</v>
      </c>
      <c r="M1661" s="3" t="str">
        <f t="shared" si="263"/>
        <v>2199/12/31</v>
      </c>
      <c r="N1661" t="str">
        <f t="shared" si="264"/>
        <v/>
      </c>
      <c r="O1661" t="str">
        <f t="shared" si="271"/>
        <v/>
      </c>
      <c r="P1661"/>
      <c r="Q1661">
        <v>15</v>
      </c>
      <c r="R1661" s="21">
        <v>100000000</v>
      </c>
      <c r="S1661" s="21" t="str" cm="1">
        <f t="array" ref="S1661">_xlfn.IFS(LEFT(G1661,1)="L","記載要",LEFT(G1661,1)="W","記載要",G1661="","")</f>
        <v/>
      </c>
      <c r="T1661"/>
      <c r="U1661"/>
      <c r="V1661"/>
      <c r="W1661"/>
      <c r="X1661"/>
      <c r="Y1661"/>
      <c r="Z1661" s="8"/>
      <c r="AA1661" s="8">
        <v>1</v>
      </c>
      <c r="AB1661">
        <f t="shared" si="266"/>
        <v>0</v>
      </c>
      <c r="AC1661" s="8">
        <v>1</v>
      </c>
      <c r="AD1661"/>
      <c r="AE1661"/>
      <c r="AF1661">
        <v>0</v>
      </c>
      <c r="AG1661" s="8"/>
      <c r="AH1661" s="8"/>
      <c r="AI1661"/>
      <c r="AJ1661"/>
      <c r="AK1661" cm="1">
        <f t="array" ref="AK1661">_xlfn.IFS(B1661="","",LEFT(G1661,1)="L",1,LEFT(G1661,1)="W",1,AND(LEFT(B1661,1)="H",G1661=""),0)</f>
        <v>0</v>
      </c>
      <c r="AL1661"/>
      <c r="AM1661"/>
      <c r="AN1661"/>
      <c r="AO1661"/>
      <c r="AP1661"/>
      <c r="AQ1661"/>
      <c r="AR1661"/>
      <c r="AS1661">
        <f t="shared" si="267"/>
        <v>1</v>
      </c>
      <c r="AT1661" t="s">
        <v>115</v>
      </c>
      <c r="AU1661" t="str">
        <f t="shared" si="268"/>
        <v>0</v>
      </c>
      <c r="AV1661"/>
      <c r="AW1661"/>
      <c r="AX1661"/>
      <c r="AY1661"/>
      <c r="AZ1661"/>
      <c r="BA1661"/>
      <c r="BB1661"/>
      <c r="BC1661"/>
      <c r="BD1661" t="str">
        <f t="shared" si="269"/>
        <v>0</v>
      </c>
      <c r="BE1661"/>
      <c r="BF1661"/>
      <c r="BG1661"/>
      <c r="BH1661"/>
      <c r="BI1661"/>
      <c r="BJ1661"/>
      <c r="BK1661" s="17" t="str">
        <f>IFERROR(VLOOKUP(B1661,'[1]model_S-フレーム'!$F$5:$R$7000,13,1),"")</f>
        <v>E367811_01</v>
      </c>
      <c r="BL1661" s="18">
        <f>IFERROR(VLOOKUP(B1661,'[1]model_S-フレーム'!$F$5:$V$7000,17,1),"")</f>
        <v>0</v>
      </c>
      <c r="BM1661" s="17" t="str" cm="1">
        <f t="array" ref="BM1661">_xlfn.IFS(LEFT(G1661,1)="L","外注品",LEFT(G1661,1)="W","内製品",G1661="","購買品")</f>
        <v>購買品</v>
      </c>
    </row>
    <row r="1662" spans="1:65">
      <c r="A1662" t="str">
        <f t="shared" si="260"/>
        <v>WG01</v>
      </c>
      <c r="B1662" t="s">
        <v>1756</v>
      </c>
      <c r="C1662" t="s">
        <v>1920</v>
      </c>
      <c r="D1662" s="7"/>
      <c r="E1662" s="7"/>
      <c r="H1662" s="19" t="s">
        <v>1937</v>
      </c>
      <c r="K1662" t="str">
        <f t="shared" si="261"/>
        <v/>
      </c>
      <c r="L1662" s="3" t="str">
        <f t="shared" si="262"/>
        <v>2001/01/01</v>
      </c>
      <c r="M1662" s="3" t="str">
        <f t="shared" si="263"/>
        <v>2199/12/31</v>
      </c>
      <c r="N1662" t="str">
        <f t="shared" si="264"/>
        <v/>
      </c>
      <c r="O1662" t="str">
        <f t="shared" si="271"/>
        <v/>
      </c>
      <c r="Q1662">
        <v>15</v>
      </c>
      <c r="R1662" s="21">
        <v>100000000</v>
      </c>
      <c r="S1662" s="21" t="str" cm="1">
        <f t="array" ref="S1662">_xlfn.IFS(LEFT(G1662,1)="L","記載要",LEFT(G1662,1)="W","記載要",G1662="","")</f>
        <v/>
      </c>
      <c r="Z1662" s="8"/>
      <c r="AA1662" s="8">
        <v>1</v>
      </c>
      <c r="AB1662">
        <f t="shared" si="266"/>
        <v>0</v>
      </c>
      <c r="AC1662" s="8">
        <v>1</v>
      </c>
      <c r="AF1662">
        <v>0</v>
      </c>
      <c r="AG1662" s="8"/>
      <c r="AH1662" s="8"/>
      <c r="AK1662" cm="1">
        <f t="array" ref="AK1662">_xlfn.IFS(B1662="","",LEFT(G1662,1)="L",1,LEFT(G1662,1)="W",1,AND(LEFT(B1662,1)="H",G1662=""),0)</f>
        <v>0</v>
      </c>
      <c r="AS1662">
        <f t="shared" si="267"/>
        <v>1</v>
      </c>
      <c r="AT1662" t="s">
        <v>115</v>
      </c>
      <c r="AU1662" t="str">
        <f t="shared" si="268"/>
        <v>0</v>
      </c>
      <c r="BD1662" t="str">
        <f t="shared" si="269"/>
        <v>0</v>
      </c>
      <c r="BK1662" t="str">
        <f>IFERROR(VLOOKUP(B1662,'[1]model_S-フレーム'!$F$5:$R$7000,13,1),"")</f>
        <v>E367811_01</v>
      </c>
      <c r="BL1662" s="7">
        <f>IFERROR(VLOOKUP(B1662,'[1]model_S-フレーム'!$F$5:$V$7000,17,1),"")</f>
        <v>0</v>
      </c>
      <c r="BM1662" t="str" cm="1">
        <f t="array" ref="BM1662">_xlfn.IFS(LEFT(G1662,1)="L","外注品",LEFT(G1662,1)="W","内製品",G1662="","購買品")</f>
        <v>購買品</v>
      </c>
    </row>
    <row r="1663" spans="1:65" s="17" customFormat="1">
      <c r="A1663" t="str">
        <f t="shared" si="260"/>
        <v>WG01</v>
      </c>
      <c r="B1663" t="s">
        <v>1757</v>
      </c>
      <c r="C1663" t="s">
        <v>1921</v>
      </c>
      <c r="D1663" s="7"/>
      <c r="E1663" s="7"/>
      <c r="F1663"/>
      <c r="G1663"/>
      <c r="H1663">
        <v>27616</v>
      </c>
      <c r="I1663"/>
      <c r="J1663"/>
      <c r="K1663" t="str">
        <f t="shared" si="261"/>
        <v/>
      </c>
      <c r="L1663" s="3" t="str">
        <f t="shared" si="262"/>
        <v>2001/01/01</v>
      </c>
      <c r="M1663" s="3" t="str">
        <f t="shared" si="263"/>
        <v>2199/12/31</v>
      </c>
      <c r="N1663" t="str">
        <f t="shared" si="264"/>
        <v/>
      </c>
      <c r="O1663" t="str">
        <f t="shared" si="271"/>
        <v/>
      </c>
      <c r="P1663"/>
      <c r="Q1663">
        <v>15</v>
      </c>
      <c r="R1663" s="21">
        <v>100000000</v>
      </c>
      <c r="S1663" s="21" t="str" cm="1">
        <f t="array" ref="S1663">_xlfn.IFS(LEFT(G1663,1)="L","記載要",LEFT(G1663,1)="W","記載要",G1663="","")</f>
        <v/>
      </c>
      <c r="T1663"/>
      <c r="U1663"/>
      <c r="V1663"/>
      <c r="W1663"/>
      <c r="X1663"/>
      <c r="Y1663"/>
      <c r="Z1663" s="8"/>
      <c r="AA1663" s="8">
        <v>1</v>
      </c>
      <c r="AB1663">
        <f t="shared" si="266"/>
        <v>0</v>
      </c>
      <c r="AC1663" s="8">
        <v>1</v>
      </c>
      <c r="AD1663"/>
      <c r="AE1663"/>
      <c r="AF1663">
        <v>1</v>
      </c>
      <c r="AG1663" s="8"/>
      <c r="AH1663" s="8"/>
      <c r="AI1663"/>
      <c r="AJ1663"/>
      <c r="AK1663" cm="1">
        <f t="array" ref="AK1663">_xlfn.IFS(B1663="","",LEFT(G1663,1)="L",1,LEFT(G1663,1)="W",1,AND(LEFT(B1663,1)="H",G1663=""),0)</f>
        <v>0</v>
      </c>
      <c r="AL1663"/>
      <c r="AM1663"/>
      <c r="AN1663"/>
      <c r="AO1663"/>
      <c r="AP1663"/>
      <c r="AQ1663"/>
      <c r="AR1663"/>
      <c r="AS1663">
        <f t="shared" si="267"/>
        <v>1</v>
      </c>
      <c r="AT1663" t="s">
        <v>115</v>
      </c>
      <c r="AU1663" t="str">
        <f t="shared" si="268"/>
        <v>0</v>
      </c>
      <c r="AV1663"/>
      <c r="AW1663"/>
      <c r="AX1663"/>
      <c r="AY1663"/>
      <c r="AZ1663"/>
      <c r="BA1663"/>
      <c r="BB1663"/>
      <c r="BC1663"/>
      <c r="BD1663" t="str">
        <f t="shared" si="269"/>
        <v>0</v>
      </c>
      <c r="BE1663"/>
      <c r="BF1663"/>
      <c r="BG1663"/>
      <c r="BH1663"/>
      <c r="BI1663"/>
      <c r="BJ1663"/>
      <c r="BK1663" s="17" t="str">
        <f>IFERROR(VLOOKUP(B1663,'[1]model_S-フレーム'!$F$5:$R$7000,13,1),"")</f>
        <v>E367812_02</v>
      </c>
      <c r="BL1663" s="18">
        <f>IFERROR(VLOOKUP(B1663,'[1]model_S-フレーム'!$F$5:$V$7000,17,1),"")</f>
        <v>0</v>
      </c>
      <c r="BM1663" s="17" t="str" cm="1">
        <f t="array" ref="BM1663">_xlfn.IFS(LEFT(G1663,1)="L","外注品",LEFT(G1663,1)="W","内製品",G1663="","購買品")</f>
        <v>購買品</v>
      </c>
    </row>
    <row r="1664" spans="1:65" s="17" customFormat="1">
      <c r="A1664" t="str">
        <f t="shared" si="260"/>
        <v>WG01</v>
      </c>
      <c r="B1664" t="s">
        <v>1757</v>
      </c>
      <c r="C1664" t="s">
        <v>1921</v>
      </c>
      <c r="D1664" s="7"/>
      <c r="E1664" s="7"/>
      <c r="F1664"/>
      <c r="G1664"/>
      <c r="H1664">
        <v>43453</v>
      </c>
      <c r="I1664"/>
      <c r="J1664"/>
      <c r="K1664" t="str">
        <f t="shared" si="261"/>
        <v/>
      </c>
      <c r="L1664" s="3" t="str">
        <f t="shared" si="262"/>
        <v>2001/01/01</v>
      </c>
      <c r="M1664" s="3" t="str">
        <f t="shared" si="263"/>
        <v>2199/12/31</v>
      </c>
      <c r="N1664" t="str">
        <f t="shared" si="264"/>
        <v/>
      </c>
      <c r="O1664" t="str">
        <f t="shared" si="271"/>
        <v/>
      </c>
      <c r="P1664"/>
      <c r="Q1664">
        <v>15</v>
      </c>
      <c r="R1664" s="21">
        <v>100000000</v>
      </c>
      <c r="S1664" s="21" t="str" cm="1">
        <f t="array" ref="S1664">_xlfn.IFS(LEFT(G1664,1)="L","記載要",LEFT(G1664,1)="W","記載要",G1664="","")</f>
        <v/>
      </c>
      <c r="T1664"/>
      <c r="U1664"/>
      <c r="V1664"/>
      <c r="W1664"/>
      <c r="X1664"/>
      <c r="Y1664"/>
      <c r="Z1664" s="8"/>
      <c r="AA1664" s="8">
        <v>1</v>
      </c>
      <c r="AB1664">
        <f t="shared" si="266"/>
        <v>0</v>
      </c>
      <c r="AC1664" s="8">
        <v>1</v>
      </c>
      <c r="AD1664"/>
      <c r="AE1664"/>
      <c r="AF1664">
        <v>0</v>
      </c>
      <c r="AG1664" s="8"/>
      <c r="AH1664" s="8"/>
      <c r="AI1664"/>
      <c r="AJ1664"/>
      <c r="AK1664" cm="1">
        <f t="array" ref="AK1664">_xlfn.IFS(B1664="","",LEFT(G1664,1)="L",1,LEFT(G1664,1)="W",1,AND(LEFT(B1664,1)="H",G1664=""),0)</f>
        <v>0</v>
      </c>
      <c r="AL1664"/>
      <c r="AM1664"/>
      <c r="AN1664"/>
      <c r="AO1664"/>
      <c r="AP1664"/>
      <c r="AQ1664"/>
      <c r="AR1664"/>
      <c r="AS1664">
        <f t="shared" si="267"/>
        <v>1</v>
      </c>
      <c r="AT1664" t="s">
        <v>115</v>
      </c>
      <c r="AU1664" t="str">
        <f t="shared" si="268"/>
        <v>0</v>
      </c>
      <c r="AV1664"/>
      <c r="AW1664"/>
      <c r="AX1664"/>
      <c r="AY1664"/>
      <c r="AZ1664"/>
      <c r="BA1664"/>
      <c r="BB1664"/>
      <c r="BC1664"/>
      <c r="BD1664" t="str">
        <f t="shared" si="269"/>
        <v>0</v>
      </c>
      <c r="BE1664"/>
      <c r="BF1664"/>
      <c r="BG1664"/>
      <c r="BH1664"/>
      <c r="BI1664"/>
      <c r="BJ1664"/>
      <c r="BK1664" s="17" t="str">
        <f>IFERROR(VLOOKUP(B1664,'[1]model_S-フレーム'!$F$5:$R$7000,13,1),"")</f>
        <v>E367812_02</v>
      </c>
      <c r="BL1664" s="18">
        <f>IFERROR(VLOOKUP(B1664,'[1]model_S-フレーム'!$F$5:$V$7000,17,1),"")</f>
        <v>0</v>
      </c>
      <c r="BM1664" s="17" t="str" cm="1">
        <f t="array" ref="BM1664">_xlfn.IFS(LEFT(G1664,1)="L","外注品",LEFT(G1664,1)="W","内製品",G1664="","購買品")</f>
        <v>購買品</v>
      </c>
    </row>
    <row r="1665" spans="1:65" s="17" customFormat="1">
      <c r="A1665" t="str">
        <f t="shared" si="260"/>
        <v>WG01</v>
      </c>
      <c r="B1665" t="s">
        <v>1757</v>
      </c>
      <c r="C1665" t="s">
        <v>1921</v>
      </c>
      <c r="D1665" s="7"/>
      <c r="E1665" s="7"/>
      <c r="F1665"/>
      <c r="G1665"/>
      <c r="H1665">
        <v>47081</v>
      </c>
      <c r="I1665"/>
      <c r="J1665"/>
      <c r="K1665" t="str">
        <f t="shared" si="261"/>
        <v/>
      </c>
      <c r="L1665" s="3" t="str">
        <f t="shared" si="262"/>
        <v>2001/01/01</v>
      </c>
      <c r="M1665" s="3" t="str">
        <f t="shared" si="263"/>
        <v>2199/12/31</v>
      </c>
      <c r="N1665" t="str">
        <f t="shared" si="264"/>
        <v/>
      </c>
      <c r="O1665" t="str">
        <f t="shared" si="271"/>
        <v/>
      </c>
      <c r="P1665"/>
      <c r="Q1665">
        <v>15</v>
      </c>
      <c r="R1665" s="21">
        <v>100000000</v>
      </c>
      <c r="S1665" s="21" t="str" cm="1">
        <f t="array" ref="S1665">_xlfn.IFS(LEFT(G1665,1)="L","記載要",LEFT(G1665,1)="W","記載要",G1665="","")</f>
        <v/>
      </c>
      <c r="T1665"/>
      <c r="U1665"/>
      <c r="V1665"/>
      <c r="W1665"/>
      <c r="X1665"/>
      <c r="Y1665"/>
      <c r="Z1665" s="8"/>
      <c r="AA1665" s="8">
        <v>1</v>
      </c>
      <c r="AB1665">
        <f t="shared" si="266"/>
        <v>0</v>
      </c>
      <c r="AC1665" s="8">
        <v>1</v>
      </c>
      <c r="AD1665"/>
      <c r="AE1665"/>
      <c r="AF1665">
        <v>0</v>
      </c>
      <c r="AG1665" s="8"/>
      <c r="AH1665" s="8"/>
      <c r="AI1665"/>
      <c r="AJ1665"/>
      <c r="AK1665" cm="1">
        <f t="array" ref="AK1665">_xlfn.IFS(B1665="","",LEFT(G1665,1)="L",1,LEFT(G1665,1)="W",1,AND(LEFT(B1665,1)="H",G1665=""),0)</f>
        <v>0</v>
      </c>
      <c r="AL1665"/>
      <c r="AM1665"/>
      <c r="AN1665"/>
      <c r="AO1665"/>
      <c r="AP1665"/>
      <c r="AQ1665"/>
      <c r="AR1665"/>
      <c r="AS1665">
        <f t="shared" si="267"/>
        <v>1</v>
      </c>
      <c r="AT1665" t="s">
        <v>115</v>
      </c>
      <c r="AU1665" t="str">
        <f t="shared" si="268"/>
        <v>0</v>
      </c>
      <c r="AV1665"/>
      <c r="AW1665"/>
      <c r="AX1665"/>
      <c r="AY1665"/>
      <c r="AZ1665"/>
      <c r="BA1665"/>
      <c r="BB1665"/>
      <c r="BC1665"/>
      <c r="BD1665" t="str">
        <f t="shared" si="269"/>
        <v>0</v>
      </c>
      <c r="BE1665"/>
      <c r="BF1665"/>
      <c r="BG1665"/>
      <c r="BH1665"/>
      <c r="BI1665"/>
      <c r="BJ1665"/>
      <c r="BK1665" s="17" t="str">
        <f>IFERROR(VLOOKUP(B1665,'[1]model_S-フレーム'!$F$5:$R$7000,13,1),"")</f>
        <v>E367812_02</v>
      </c>
      <c r="BL1665" s="18">
        <f>IFERROR(VLOOKUP(B1665,'[1]model_S-フレーム'!$F$5:$V$7000,17,1),"")</f>
        <v>0</v>
      </c>
      <c r="BM1665" s="17" t="str" cm="1">
        <f t="array" ref="BM1665">_xlfn.IFS(LEFT(G1665,1)="L","外注品",LEFT(G1665,1)="W","内製品",G1665="","購買品")</f>
        <v>購買品</v>
      </c>
    </row>
    <row r="1666" spans="1:65">
      <c r="A1666" t="str">
        <f t="shared" si="260"/>
        <v>WG01</v>
      </c>
      <c r="B1666" t="s">
        <v>1757</v>
      </c>
      <c r="C1666" t="s">
        <v>1921</v>
      </c>
      <c r="D1666" s="7"/>
      <c r="E1666" s="7"/>
      <c r="H1666" s="19" t="s">
        <v>1937</v>
      </c>
      <c r="K1666" t="str">
        <f t="shared" si="261"/>
        <v/>
      </c>
      <c r="L1666" s="3" t="str">
        <f t="shared" si="262"/>
        <v>2001/01/01</v>
      </c>
      <c r="M1666" s="3" t="str">
        <f t="shared" si="263"/>
        <v>2199/12/31</v>
      </c>
      <c r="N1666" t="str">
        <f t="shared" si="264"/>
        <v/>
      </c>
      <c r="O1666" t="str">
        <f t="shared" si="271"/>
        <v/>
      </c>
      <c r="Q1666">
        <v>15</v>
      </c>
      <c r="R1666" s="21">
        <v>100000000</v>
      </c>
      <c r="S1666" s="21" t="str" cm="1">
        <f t="array" ref="S1666">_xlfn.IFS(LEFT(G1666,1)="L","記載要",LEFT(G1666,1)="W","記載要",G1666="","")</f>
        <v/>
      </c>
      <c r="Z1666" s="8"/>
      <c r="AA1666" s="8">
        <v>1</v>
      </c>
      <c r="AB1666">
        <f t="shared" si="266"/>
        <v>0</v>
      </c>
      <c r="AC1666" s="8">
        <v>1</v>
      </c>
      <c r="AF1666">
        <v>0</v>
      </c>
      <c r="AG1666" s="8"/>
      <c r="AH1666" s="8"/>
      <c r="AK1666" cm="1">
        <f t="array" ref="AK1666">_xlfn.IFS(B1666="","",LEFT(G1666,1)="L",1,LEFT(G1666,1)="W",1,AND(LEFT(B1666,1)="H",G1666=""),0)</f>
        <v>0</v>
      </c>
      <c r="AS1666">
        <f t="shared" si="267"/>
        <v>1</v>
      </c>
      <c r="AT1666" t="s">
        <v>115</v>
      </c>
      <c r="AU1666" t="str">
        <f t="shared" si="268"/>
        <v>0</v>
      </c>
      <c r="BD1666" t="str">
        <f t="shared" si="269"/>
        <v>0</v>
      </c>
      <c r="BK1666" t="str">
        <f>IFERROR(VLOOKUP(B1666,'[1]model_S-フレーム'!$F$5:$R$7000,13,1),"")</f>
        <v>E367812_02</v>
      </c>
      <c r="BL1666" s="7">
        <f>IFERROR(VLOOKUP(B1666,'[1]model_S-フレーム'!$F$5:$V$7000,17,1),"")</f>
        <v>0</v>
      </c>
      <c r="BM1666" t="str" cm="1">
        <f t="array" ref="BM1666">_xlfn.IFS(LEFT(G1666,1)="L","外注品",LEFT(G1666,1)="W","内製品",G1666="","購買品")</f>
        <v>購買品</v>
      </c>
    </row>
    <row r="1667" spans="1:65">
      <c r="A1667" t="str">
        <f t="shared" ref="A1667:A1730" si="272">IF(B1667="","","WG01")</f>
        <v>WG01</v>
      </c>
      <c r="B1667" t="s">
        <v>1758</v>
      </c>
      <c r="C1667" t="s">
        <v>1922</v>
      </c>
      <c r="D1667" s="7"/>
      <c r="E1667" s="7"/>
      <c r="G1667" t="s">
        <v>1939</v>
      </c>
      <c r="H1667" t="str" cm="1">
        <f t="array" ref="H1667">IFERROR(_xlfn.IFS(B1667="","",AND(B1667="",G1667=""),"",G1667="","記載要"),"")</f>
        <v/>
      </c>
      <c r="K1667" t="str">
        <f t="shared" ref="K1667:K1730" si="273">IF(G1667="","","11"&amp;G1667&amp;RIGHT(B1667,5))</f>
        <v>11WP01073972</v>
      </c>
      <c r="L1667" s="3" t="str">
        <f t="shared" ref="L1667:L1730" si="274">IF(B1667="","","2001/01/01")</f>
        <v>2001/01/01</v>
      </c>
      <c r="M1667" s="3" t="str">
        <f t="shared" ref="M1667:M1730" si="275">IF(C1667="","","2199/12/31")</f>
        <v>2199/12/31</v>
      </c>
      <c r="N1667" t="str">
        <f t="shared" ref="N1667:N1730" si="276">IF(LEFT(G1667,1)="W",K1667,"")</f>
        <v>11WP01073972</v>
      </c>
      <c r="O1667">
        <v>15</v>
      </c>
      <c r="Q1667" t="str" cm="1">
        <f t="array" ref="Q1667">_xlfn.IFS(AND(C1667="",G1667=""),"",LEFT(G1667,1)="L","記載要",LEFT(G1667,1)="W","",AND(C1667,G1667=""),"記載要")</f>
        <v/>
      </c>
      <c r="R1667" s="21" t="str">
        <f t="shared" si="270"/>
        <v/>
      </c>
      <c r="S1667" s="21"/>
      <c r="Z1667" s="8"/>
      <c r="AA1667">
        <v>1</v>
      </c>
      <c r="AB1667">
        <f t="shared" ref="AB1667:AB1730" si="277">IF(B1667="","",0)</f>
        <v>0</v>
      </c>
      <c r="AC1667">
        <v>1</v>
      </c>
      <c r="AF1667">
        <v>1</v>
      </c>
      <c r="AG1667" s="8"/>
      <c r="AH1667" s="8"/>
      <c r="AK1667" cm="1">
        <f t="array" ref="AK1667">_xlfn.IFS(B1667="","",LEFT(G1667,1)="L",1,LEFT(G1667,1)="W",1,AND(LEFT(B1667,1)="H",G1667=""),0)</f>
        <v>1</v>
      </c>
      <c r="AS1667" t="str">
        <f t="shared" ref="AS1667:AS1730" si="278">IF(Q1667="","",1)</f>
        <v/>
      </c>
      <c r="AT1667" t="s">
        <v>115</v>
      </c>
      <c r="AU1667" t="str">
        <f t="shared" ref="AU1667:AU1730" si="279">IF(B1667="","","0")</f>
        <v>0</v>
      </c>
      <c r="BD1667" t="str">
        <f t="shared" ref="BD1667:BD1730" si="280">IF(B1667="","","0")</f>
        <v>0</v>
      </c>
      <c r="BK1667" t="str">
        <f>IFERROR(VLOOKUP(B1667,'[1]model_S-フレーム'!$F$5:$R$7000,13,1),"")</f>
        <v>E367816_01</v>
      </c>
      <c r="BL1667" s="7">
        <f>IFERROR(VLOOKUP(B1667,'[1]model_S-フレーム'!$F$5:$V$7000,17,1),"")</f>
        <v>0</v>
      </c>
      <c r="BM1667" t="str" cm="1">
        <f t="array" ref="BM1667">_xlfn.IFS(LEFT(G1667,1)="L","外注品",LEFT(G1667,1)="W","内製品",G1667="","購買品")</f>
        <v>内製品</v>
      </c>
    </row>
    <row r="1668" spans="1:65">
      <c r="A1668" t="str">
        <f t="shared" si="272"/>
        <v>WG01</v>
      </c>
      <c r="B1668" t="s">
        <v>1759</v>
      </c>
      <c r="C1668" t="s">
        <v>1922</v>
      </c>
      <c r="D1668" s="7"/>
      <c r="E1668" s="7"/>
      <c r="G1668" t="s">
        <v>1939</v>
      </c>
      <c r="H1668" t="str" cm="1">
        <f t="array" ref="H1668">IFERROR(_xlfn.IFS(B1668="","",AND(B1668="",G1668=""),"",G1668="","記載要"),"")</f>
        <v/>
      </c>
      <c r="K1668" t="str">
        <f t="shared" si="273"/>
        <v>11WP01073973</v>
      </c>
      <c r="L1668" s="3" t="str">
        <f t="shared" si="274"/>
        <v>2001/01/01</v>
      </c>
      <c r="M1668" s="3" t="str">
        <f t="shared" si="275"/>
        <v>2199/12/31</v>
      </c>
      <c r="N1668" t="str">
        <f t="shared" si="276"/>
        <v>11WP01073973</v>
      </c>
      <c r="O1668">
        <v>15</v>
      </c>
      <c r="Q1668" t="str" cm="1">
        <f t="array" ref="Q1668">_xlfn.IFS(AND(C1668="",G1668=""),"",LEFT(G1668,1)="L","記載要",LEFT(G1668,1)="W","",AND(C1668,G1668=""),"記載要")</f>
        <v/>
      </c>
      <c r="R1668" s="21" t="str">
        <f t="shared" ref="R1668:R1729" si="281">IF(H1668="","","記載要")</f>
        <v/>
      </c>
      <c r="S1668" s="21"/>
      <c r="Z1668" s="8"/>
      <c r="AA1668">
        <v>1</v>
      </c>
      <c r="AB1668">
        <f t="shared" si="277"/>
        <v>0</v>
      </c>
      <c r="AC1668">
        <v>1</v>
      </c>
      <c r="AF1668">
        <v>1</v>
      </c>
      <c r="AG1668" s="8"/>
      <c r="AH1668" s="8"/>
      <c r="AK1668" cm="1">
        <f t="array" ref="AK1668">_xlfn.IFS(B1668="","",LEFT(G1668,1)="L",1,LEFT(G1668,1)="W",1,AND(LEFT(B1668,1)="H",G1668=""),0)</f>
        <v>1</v>
      </c>
      <c r="AS1668" t="str">
        <f t="shared" si="278"/>
        <v/>
      </c>
      <c r="AT1668" t="s">
        <v>115</v>
      </c>
      <c r="AU1668" t="str">
        <f t="shared" si="279"/>
        <v>0</v>
      </c>
      <c r="BD1668" t="str">
        <f t="shared" si="280"/>
        <v>0</v>
      </c>
      <c r="BK1668" t="str">
        <f>IFERROR(VLOOKUP(B1668,'[1]model_S-フレーム'!$F$5:$R$7000,13,1),"")</f>
        <v>E367816_01</v>
      </c>
      <c r="BL1668" s="7">
        <f>IFERROR(VLOOKUP(B1668,'[1]model_S-フレーム'!$F$5:$V$7000,17,1),"")</f>
        <v>0</v>
      </c>
      <c r="BM1668" t="str" cm="1">
        <f t="array" ref="BM1668">_xlfn.IFS(LEFT(G1668,1)="L","外注品",LEFT(G1668,1)="W","内製品",G1668="","購買品")</f>
        <v>内製品</v>
      </c>
    </row>
    <row r="1669" spans="1:65">
      <c r="A1669" t="str">
        <f t="shared" si="272"/>
        <v>WG01</v>
      </c>
      <c r="B1669" t="s">
        <v>1760</v>
      </c>
      <c r="C1669" t="s">
        <v>1922</v>
      </c>
      <c r="D1669" s="7"/>
      <c r="E1669" s="7"/>
      <c r="G1669" t="s">
        <v>1939</v>
      </c>
      <c r="H1669" t="str" cm="1">
        <f t="array" ref="H1669">IFERROR(_xlfn.IFS(B1669="","",AND(B1669="",G1669=""),"",G1669="","記載要"),"")</f>
        <v/>
      </c>
      <c r="K1669" t="str">
        <f t="shared" si="273"/>
        <v>11WP01073974</v>
      </c>
      <c r="L1669" s="3" t="str">
        <f t="shared" si="274"/>
        <v>2001/01/01</v>
      </c>
      <c r="M1669" s="3" t="str">
        <f t="shared" si="275"/>
        <v>2199/12/31</v>
      </c>
      <c r="N1669" t="str">
        <f t="shared" si="276"/>
        <v>11WP01073974</v>
      </c>
      <c r="O1669">
        <v>15</v>
      </c>
      <c r="Q1669" t="str" cm="1">
        <f t="array" ref="Q1669">_xlfn.IFS(AND(C1669="",G1669=""),"",LEFT(G1669,1)="L","記載要",LEFT(G1669,1)="W","",AND(C1669,G1669=""),"記載要")</f>
        <v/>
      </c>
      <c r="R1669" s="21" t="str">
        <f t="shared" si="281"/>
        <v/>
      </c>
      <c r="S1669" s="21"/>
      <c r="Z1669" s="8"/>
      <c r="AA1669">
        <v>1</v>
      </c>
      <c r="AB1669">
        <f t="shared" si="277"/>
        <v>0</v>
      </c>
      <c r="AC1669">
        <v>1</v>
      </c>
      <c r="AF1669">
        <v>1</v>
      </c>
      <c r="AG1669" s="8"/>
      <c r="AH1669" s="8"/>
      <c r="AK1669" cm="1">
        <f t="array" ref="AK1669">_xlfn.IFS(B1669="","",LEFT(G1669,1)="L",1,LEFT(G1669,1)="W",1,AND(LEFT(B1669,1)="H",G1669=""),0)</f>
        <v>1</v>
      </c>
      <c r="AS1669" t="str">
        <f t="shared" si="278"/>
        <v/>
      </c>
      <c r="AT1669" t="s">
        <v>115</v>
      </c>
      <c r="AU1669" t="str">
        <f t="shared" si="279"/>
        <v>0</v>
      </c>
      <c r="BD1669" t="str">
        <f t="shared" si="280"/>
        <v>0</v>
      </c>
      <c r="BK1669" t="str">
        <f>IFERROR(VLOOKUP(B1669,'[1]model_S-フレーム'!$F$5:$R$7000,13,1),"")</f>
        <v>E367816_01</v>
      </c>
      <c r="BL1669" s="7">
        <f>IFERROR(VLOOKUP(B1669,'[1]model_S-フレーム'!$F$5:$V$7000,17,1),"")</f>
        <v>0</v>
      </c>
      <c r="BM1669" t="str" cm="1">
        <f t="array" ref="BM1669">_xlfn.IFS(LEFT(G1669,1)="L","外注品",LEFT(G1669,1)="W","内製品",G1669="","購買品")</f>
        <v>内製品</v>
      </c>
    </row>
    <row r="1670" spans="1:65">
      <c r="A1670" t="str">
        <f t="shared" si="272"/>
        <v>WG01</v>
      </c>
      <c r="B1670" t="s">
        <v>1761</v>
      </c>
      <c r="C1670" t="s">
        <v>1922</v>
      </c>
      <c r="D1670" s="7"/>
      <c r="E1670" s="7"/>
      <c r="G1670" t="s">
        <v>1939</v>
      </c>
      <c r="H1670" t="str" cm="1">
        <f t="array" ref="H1670">IFERROR(_xlfn.IFS(B1670="","",AND(B1670="",G1670=""),"",G1670="","記載要"),"")</f>
        <v/>
      </c>
      <c r="K1670" t="str">
        <f t="shared" si="273"/>
        <v>11WP01073975</v>
      </c>
      <c r="L1670" s="3" t="str">
        <f t="shared" si="274"/>
        <v>2001/01/01</v>
      </c>
      <c r="M1670" s="3" t="str">
        <f t="shared" si="275"/>
        <v>2199/12/31</v>
      </c>
      <c r="N1670" t="str">
        <f t="shared" si="276"/>
        <v>11WP01073975</v>
      </c>
      <c r="O1670">
        <v>15</v>
      </c>
      <c r="Q1670" t="str" cm="1">
        <f t="array" ref="Q1670">_xlfn.IFS(AND(C1670="",G1670=""),"",LEFT(G1670,1)="L","記載要",LEFT(G1670,1)="W","",AND(C1670,G1670=""),"記載要")</f>
        <v/>
      </c>
      <c r="R1670" s="21" t="str">
        <f t="shared" si="281"/>
        <v/>
      </c>
      <c r="S1670" s="21"/>
      <c r="Z1670" s="8"/>
      <c r="AA1670">
        <v>1</v>
      </c>
      <c r="AB1670">
        <f t="shared" si="277"/>
        <v>0</v>
      </c>
      <c r="AC1670">
        <v>1</v>
      </c>
      <c r="AF1670">
        <v>1</v>
      </c>
      <c r="AG1670" s="8"/>
      <c r="AH1670" s="8"/>
      <c r="AK1670" cm="1">
        <f t="array" ref="AK1670">_xlfn.IFS(B1670="","",LEFT(G1670,1)="L",1,LEFT(G1670,1)="W",1,AND(LEFT(B1670,1)="H",G1670=""),0)</f>
        <v>1</v>
      </c>
      <c r="AS1670" t="str">
        <f t="shared" si="278"/>
        <v/>
      </c>
      <c r="AT1670" t="s">
        <v>115</v>
      </c>
      <c r="AU1670" t="str">
        <f t="shared" si="279"/>
        <v>0</v>
      </c>
      <c r="BD1670" t="str">
        <f t="shared" si="280"/>
        <v>0</v>
      </c>
      <c r="BK1670" t="str">
        <f>IFERROR(VLOOKUP(B1670,'[1]model_S-フレーム'!$F$5:$R$7000,13,1),"")</f>
        <v>E367816_01</v>
      </c>
      <c r="BL1670" s="7">
        <f>IFERROR(VLOOKUP(B1670,'[1]model_S-フレーム'!$F$5:$V$7000,17,1),"")</f>
        <v>0</v>
      </c>
      <c r="BM1670" t="str" cm="1">
        <f t="array" ref="BM1670">_xlfn.IFS(LEFT(G1670,1)="L","外注品",LEFT(G1670,1)="W","内製品",G1670="","購買品")</f>
        <v>内製品</v>
      </c>
    </row>
    <row r="1671" spans="1:65">
      <c r="A1671" t="str">
        <f t="shared" si="272"/>
        <v>WG01</v>
      </c>
      <c r="B1671" t="s">
        <v>1762</v>
      </c>
      <c r="C1671" t="s">
        <v>1922</v>
      </c>
      <c r="D1671" s="7"/>
      <c r="E1671" s="7"/>
      <c r="G1671" t="s">
        <v>1939</v>
      </c>
      <c r="H1671" t="str" cm="1">
        <f t="array" ref="H1671">IFERROR(_xlfn.IFS(B1671="","",AND(B1671="",G1671=""),"",G1671="","記載要"),"")</f>
        <v/>
      </c>
      <c r="K1671" t="str">
        <f t="shared" si="273"/>
        <v>11WP01073976</v>
      </c>
      <c r="L1671" s="3" t="str">
        <f t="shared" si="274"/>
        <v>2001/01/01</v>
      </c>
      <c r="M1671" s="3" t="str">
        <f t="shared" si="275"/>
        <v>2199/12/31</v>
      </c>
      <c r="N1671" t="str">
        <f t="shared" si="276"/>
        <v>11WP01073976</v>
      </c>
      <c r="O1671">
        <v>15</v>
      </c>
      <c r="Q1671" t="str" cm="1">
        <f t="array" ref="Q1671">_xlfn.IFS(AND(C1671="",G1671=""),"",LEFT(G1671,1)="L","記載要",LEFT(G1671,1)="W","",AND(C1671,G1671=""),"記載要")</f>
        <v/>
      </c>
      <c r="R1671" s="21" t="str">
        <f t="shared" si="281"/>
        <v/>
      </c>
      <c r="S1671" s="21"/>
      <c r="Z1671" s="8"/>
      <c r="AA1671">
        <v>1</v>
      </c>
      <c r="AB1671">
        <f t="shared" si="277"/>
        <v>0</v>
      </c>
      <c r="AC1671">
        <v>1</v>
      </c>
      <c r="AF1671">
        <v>1</v>
      </c>
      <c r="AG1671" s="8"/>
      <c r="AH1671" s="8"/>
      <c r="AK1671" cm="1">
        <f t="array" ref="AK1671">_xlfn.IFS(B1671="","",LEFT(G1671,1)="L",1,LEFT(G1671,1)="W",1,AND(LEFT(B1671,1)="H",G1671=""),0)</f>
        <v>1</v>
      </c>
      <c r="AS1671" t="str">
        <f t="shared" si="278"/>
        <v/>
      </c>
      <c r="AT1671" t="s">
        <v>115</v>
      </c>
      <c r="AU1671" t="str">
        <f t="shared" si="279"/>
        <v>0</v>
      </c>
      <c r="BD1671" t="str">
        <f t="shared" si="280"/>
        <v>0</v>
      </c>
      <c r="BK1671" t="str">
        <f>IFERROR(VLOOKUP(B1671,'[1]model_S-フレーム'!$F$5:$R$7000,13,1),"")</f>
        <v>E367816_01</v>
      </c>
      <c r="BL1671" s="7">
        <f>IFERROR(VLOOKUP(B1671,'[1]model_S-フレーム'!$F$5:$V$7000,17,1),"")</f>
        <v>0</v>
      </c>
      <c r="BM1671" t="str" cm="1">
        <f t="array" ref="BM1671">_xlfn.IFS(LEFT(G1671,1)="L","外注品",LEFT(G1671,1)="W","内製品",G1671="","購買品")</f>
        <v>内製品</v>
      </c>
    </row>
    <row r="1672" spans="1:65">
      <c r="A1672" t="str">
        <f t="shared" si="272"/>
        <v>WG01</v>
      </c>
      <c r="B1672" t="s">
        <v>1763</v>
      </c>
      <c r="C1672" t="s">
        <v>1922</v>
      </c>
      <c r="D1672" s="7"/>
      <c r="E1672" s="7"/>
      <c r="G1672" t="s">
        <v>1939</v>
      </c>
      <c r="H1672" t="str" cm="1">
        <f t="array" ref="H1672">IFERROR(_xlfn.IFS(B1672="","",AND(B1672="",G1672=""),"",G1672="","記載要"),"")</f>
        <v/>
      </c>
      <c r="K1672" t="str">
        <f t="shared" si="273"/>
        <v>11WP01073977</v>
      </c>
      <c r="L1672" s="3" t="str">
        <f t="shared" si="274"/>
        <v>2001/01/01</v>
      </c>
      <c r="M1672" s="3" t="str">
        <f t="shared" si="275"/>
        <v>2199/12/31</v>
      </c>
      <c r="N1672" t="str">
        <f t="shared" si="276"/>
        <v>11WP01073977</v>
      </c>
      <c r="O1672">
        <v>15</v>
      </c>
      <c r="Q1672" t="str" cm="1">
        <f t="array" ref="Q1672">_xlfn.IFS(AND(C1672="",G1672=""),"",LEFT(G1672,1)="L","記載要",LEFT(G1672,1)="W","",AND(C1672,G1672=""),"記載要")</f>
        <v/>
      </c>
      <c r="R1672" s="21" t="str">
        <f t="shared" si="281"/>
        <v/>
      </c>
      <c r="S1672" s="21"/>
      <c r="Z1672" s="8"/>
      <c r="AA1672">
        <v>1</v>
      </c>
      <c r="AB1672">
        <f t="shared" si="277"/>
        <v>0</v>
      </c>
      <c r="AC1672">
        <v>1</v>
      </c>
      <c r="AF1672">
        <v>1</v>
      </c>
      <c r="AG1672" s="8"/>
      <c r="AH1672" s="8"/>
      <c r="AK1672" cm="1">
        <f t="array" ref="AK1672">_xlfn.IFS(B1672="","",LEFT(G1672,1)="L",1,LEFT(G1672,1)="W",1,AND(LEFT(B1672,1)="H",G1672=""),0)</f>
        <v>1</v>
      </c>
      <c r="AS1672" t="str">
        <f t="shared" si="278"/>
        <v/>
      </c>
      <c r="AT1672" t="s">
        <v>115</v>
      </c>
      <c r="AU1672" t="str">
        <f t="shared" si="279"/>
        <v>0</v>
      </c>
      <c r="BD1672" t="str">
        <f t="shared" si="280"/>
        <v>0</v>
      </c>
      <c r="BK1672" t="str">
        <f>IFERROR(VLOOKUP(B1672,'[1]model_S-フレーム'!$F$5:$R$7000,13,1),"")</f>
        <v>E367816_01</v>
      </c>
      <c r="BL1672" s="7">
        <f>IFERROR(VLOOKUP(B1672,'[1]model_S-フレーム'!$F$5:$V$7000,17,1),"")</f>
        <v>0</v>
      </c>
      <c r="BM1672" t="str" cm="1">
        <f t="array" ref="BM1672">_xlfn.IFS(LEFT(G1672,1)="L","外注品",LEFT(G1672,1)="W","内製品",G1672="","購買品")</f>
        <v>内製品</v>
      </c>
    </row>
    <row r="1673" spans="1:65">
      <c r="A1673" t="str">
        <f t="shared" si="272"/>
        <v>WG01</v>
      </c>
      <c r="B1673" t="s">
        <v>1764</v>
      </c>
      <c r="C1673" t="s">
        <v>1922</v>
      </c>
      <c r="D1673" s="7"/>
      <c r="E1673" s="7"/>
      <c r="G1673" t="s">
        <v>1939</v>
      </c>
      <c r="H1673" t="str" cm="1">
        <f t="array" ref="H1673">IFERROR(_xlfn.IFS(B1673="","",AND(B1673="",G1673=""),"",G1673="","記載要"),"")</f>
        <v/>
      </c>
      <c r="K1673" t="str">
        <f t="shared" si="273"/>
        <v>11WP01073978</v>
      </c>
      <c r="L1673" s="3" t="str">
        <f t="shared" si="274"/>
        <v>2001/01/01</v>
      </c>
      <c r="M1673" s="3" t="str">
        <f t="shared" si="275"/>
        <v>2199/12/31</v>
      </c>
      <c r="N1673" t="str">
        <f t="shared" si="276"/>
        <v>11WP01073978</v>
      </c>
      <c r="O1673">
        <v>15</v>
      </c>
      <c r="Q1673" t="str" cm="1">
        <f t="array" ref="Q1673">_xlfn.IFS(AND(C1673="",G1673=""),"",LEFT(G1673,1)="L","記載要",LEFT(G1673,1)="W","",AND(C1673,G1673=""),"記載要")</f>
        <v/>
      </c>
      <c r="R1673" s="21" t="str">
        <f t="shared" si="281"/>
        <v/>
      </c>
      <c r="S1673" s="21"/>
      <c r="Z1673" s="8"/>
      <c r="AA1673">
        <v>1</v>
      </c>
      <c r="AB1673">
        <f t="shared" si="277"/>
        <v>0</v>
      </c>
      <c r="AC1673">
        <v>1</v>
      </c>
      <c r="AF1673">
        <v>1</v>
      </c>
      <c r="AG1673" s="8"/>
      <c r="AH1673" s="8"/>
      <c r="AK1673" cm="1">
        <f t="array" ref="AK1673">_xlfn.IFS(B1673="","",LEFT(G1673,1)="L",1,LEFT(G1673,1)="W",1,AND(LEFT(B1673,1)="H",G1673=""),0)</f>
        <v>1</v>
      </c>
      <c r="AS1673" t="str">
        <f t="shared" si="278"/>
        <v/>
      </c>
      <c r="AT1673" t="s">
        <v>115</v>
      </c>
      <c r="AU1673" t="str">
        <f t="shared" si="279"/>
        <v>0</v>
      </c>
      <c r="BD1673" t="str">
        <f t="shared" si="280"/>
        <v>0</v>
      </c>
      <c r="BK1673" t="str">
        <f>IFERROR(VLOOKUP(B1673,'[1]model_S-フレーム'!$F$5:$R$7000,13,1),"")</f>
        <v>E367816_01</v>
      </c>
      <c r="BL1673" s="7">
        <f>IFERROR(VLOOKUP(B1673,'[1]model_S-フレーム'!$F$5:$V$7000,17,1),"")</f>
        <v>0</v>
      </c>
      <c r="BM1673" t="str" cm="1">
        <f t="array" ref="BM1673">_xlfn.IFS(LEFT(G1673,1)="L","外注品",LEFT(G1673,1)="W","内製品",G1673="","購買品")</f>
        <v>内製品</v>
      </c>
    </row>
    <row r="1674" spans="1:65">
      <c r="A1674" t="str">
        <f t="shared" si="272"/>
        <v>WG01</v>
      </c>
      <c r="B1674" t="s">
        <v>1765</v>
      </c>
      <c r="C1674" t="s">
        <v>1922</v>
      </c>
      <c r="D1674" s="7"/>
      <c r="E1674" s="7"/>
      <c r="G1674" t="s">
        <v>1939</v>
      </c>
      <c r="H1674" t="str" cm="1">
        <f t="array" ref="H1674">IFERROR(_xlfn.IFS(B1674="","",AND(B1674="",G1674=""),"",G1674="","記載要"),"")</f>
        <v/>
      </c>
      <c r="K1674" t="str">
        <f t="shared" si="273"/>
        <v>11WP01073979</v>
      </c>
      <c r="L1674" s="3" t="str">
        <f t="shared" si="274"/>
        <v>2001/01/01</v>
      </c>
      <c r="M1674" s="3" t="str">
        <f t="shared" si="275"/>
        <v>2199/12/31</v>
      </c>
      <c r="N1674" t="str">
        <f t="shared" si="276"/>
        <v>11WP01073979</v>
      </c>
      <c r="O1674">
        <v>15</v>
      </c>
      <c r="Q1674" t="str" cm="1">
        <f t="array" ref="Q1674">_xlfn.IFS(AND(C1674="",G1674=""),"",LEFT(G1674,1)="L","記載要",LEFT(G1674,1)="W","",AND(C1674,G1674=""),"記載要")</f>
        <v/>
      </c>
      <c r="R1674" s="21" t="str">
        <f t="shared" si="281"/>
        <v/>
      </c>
      <c r="S1674" s="21"/>
      <c r="Z1674" s="8"/>
      <c r="AA1674">
        <v>1</v>
      </c>
      <c r="AB1674">
        <f t="shared" si="277"/>
        <v>0</v>
      </c>
      <c r="AC1674">
        <v>1</v>
      </c>
      <c r="AF1674">
        <v>1</v>
      </c>
      <c r="AG1674" s="8"/>
      <c r="AH1674" s="8"/>
      <c r="AK1674" cm="1">
        <f t="array" ref="AK1674">_xlfn.IFS(B1674="","",LEFT(G1674,1)="L",1,LEFT(G1674,1)="W",1,AND(LEFT(B1674,1)="H",G1674=""),0)</f>
        <v>1</v>
      </c>
      <c r="AS1674" t="str">
        <f t="shared" si="278"/>
        <v/>
      </c>
      <c r="AT1674" t="s">
        <v>115</v>
      </c>
      <c r="AU1674" t="str">
        <f t="shared" si="279"/>
        <v>0</v>
      </c>
      <c r="BD1674" t="str">
        <f t="shared" si="280"/>
        <v>0</v>
      </c>
      <c r="BK1674" t="str">
        <f>IFERROR(VLOOKUP(B1674,'[1]model_S-フレーム'!$F$5:$R$7000,13,1),"")</f>
        <v>E367816_01</v>
      </c>
      <c r="BL1674" s="7">
        <f>IFERROR(VLOOKUP(B1674,'[1]model_S-フレーム'!$F$5:$V$7000,17,1),"")</f>
        <v>0</v>
      </c>
      <c r="BM1674" t="str" cm="1">
        <f t="array" ref="BM1674">_xlfn.IFS(LEFT(G1674,1)="L","外注品",LEFT(G1674,1)="W","内製品",G1674="","購買品")</f>
        <v>内製品</v>
      </c>
    </row>
    <row r="1675" spans="1:65">
      <c r="A1675" t="str">
        <f t="shared" si="272"/>
        <v>WG01</v>
      </c>
      <c r="B1675" t="s">
        <v>1766</v>
      </c>
      <c r="C1675" t="s">
        <v>1922</v>
      </c>
      <c r="D1675" s="7"/>
      <c r="E1675" s="7"/>
      <c r="G1675" t="s">
        <v>1939</v>
      </c>
      <c r="H1675" t="str" cm="1">
        <f t="array" ref="H1675">IFERROR(_xlfn.IFS(B1675="","",AND(B1675="",G1675=""),"",G1675="","記載要"),"")</f>
        <v/>
      </c>
      <c r="K1675" t="str">
        <f t="shared" si="273"/>
        <v>11WP01073980</v>
      </c>
      <c r="L1675" s="3" t="str">
        <f t="shared" si="274"/>
        <v>2001/01/01</v>
      </c>
      <c r="M1675" s="3" t="str">
        <f t="shared" si="275"/>
        <v>2199/12/31</v>
      </c>
      <c r="N1675" t="str">
        <f t="shared" si="276"/>
        <v>11WP01073980</v>
      </c>
      <c r="O1675">
        <v>15</v>
      </c>
      <c r="Q1675" t="str" cm="1">
        <f t="array" ref="Q1675">_xlfn.IFS(AND(C1675="",G1675=""),"",LEFT(G1675,1)="L","記載要",LEFT(G1675,1)="W","",AND(C1675,G1675=""),"記載要")</f>
        <v/>
      </c>
      <c r="R1675" s="21" t="str">
        <f t="shared" si="281"/>
        <v/>
      </c>
      <c r="S1675" s="21"/>
      <c r="Z1675" s="8"/>
      <c r="AA1675">
        <v>1</v>
      </c>
      <c r="AB1675">
        <f t="shared" si="277"/>
        <v>0</v>
      </c>
      <c r="AC1675">
        <v>1</v>
      </c>
      <c r="AF1675">
        <v>1</v>
      </c>
      <c r="AG1675" s="8"/>
      <c r="AH1675" s="8"/>
      <c r="AK1675" cm="1">
        <f t="array" ref="AK1675">_xlfn.IFS(B1675="","",LEFT(G1675,1)="L",1,LEFT(G1675,1)="W",1,AND(LEFT(B1675,1)="H",G1675=""),0)</f>
        <v>1</v>
      </c>
      <c r="AS1675" t="str">
        <f t="shared" si="278"/>
        <v/>
      </c>
      <c r="AT1675" t="s">
        <v>115</v>
      </c>
      <c r="AU1675" t="str">
        <f t="shared" si="279"/>
        <v>0</v>
      </c>
      <c r="BD1675" t="str">
        <f t="shared" si="280"/>
        <v>0</v>
      </c>
      <c r="BK1675" t="str">
        <f>IFERROR(VLOOKUP(B1675,'[1]model_S-フレーム'!$F$5:$R$7000,13,1),"")</f>
        <v>E367816_01</v>
      </c>
      <c r="BL1675" s="7">
        <f>IFERROR(VLOOKUP(B1675,'[1]model_S-フレーム'!$F$5:$V$7000,17,1),"")</f>
        <v>0</v>
      </c>
      <c r="BM1675" t="str" cm="1">
        <f t="array" ref="BM1675">_xlfn.IFS(LEFT(G1675,1)="L","外注品",LEFT(G1675,1)="W","内製品",G1675="","購買品")</f>
        <v>内製品</v>
      </c>
    </row>
    <row r="1676" spans="1:65">
      <c r="A1676" t="str">
        <f t="shared" si="272"/>
        <v>WG01</v>
      </c>
      <c r="B1676" t="s">
        <v>1767</v>
      </c>
      <c r="C1676" t="s">
        <v>1922</v>
      </c>
      <c r="D1676" s="7"/>
      <c r="E1676" s="7"/>
      <c r="G1676" t="s">
        <v>1939</v>
      </c>
      <c r="H1676" t="str" cm="1">
        <f t="array" ref="H1676">IFERROR(_xlfn.IFS(B1676="","",AND(B1676="",G1676=""),"",G1676="","記載要"),"")</f>
        <v/>
      </c>
      <c r="K1676" t="str">
        <f t="shared" si="273"/>
        <v>11WP01073981</v>
      </c>
      <c r="L1676" s="3" t="str">
        <f t="shared" si="274"/>
        <v>2001/01/01</v>
      </c>
      <c r="M1676" s="3" t="str">
        <f t="shared" si="275"/>
        <v>2199/12/31</v>
      </c>
      <c r="N1676" t="str">
        <f t="shared" si="276"/>
        <v>11WP01073981</v>
      </c>
      <c r="O1676">
        <v>15</v>
      </c>
      <c r="Q1676" t="str" cm="1">
        <f t="array" ref="Q1676">_xlfn.IFS(AND(C1676="",G1676=""),"",LEFT(G1676,1)="L","記載要",LEFT(G1676,1)="W","",AND(C1676,G1676=""),"記載要")</f>
        <v/>
      </c>
      <c r="R1676" s="21" t="str">
        <f t="shared" si="281"/>
        <v/>
      </c>
      <c r="S1676" s="21"/>
      <c r="Z1676" s="8"/>
      <c r="AA1676">
        <v>1</v>
      </c>
      <c r="AB1676">
        <f t="shared" si="277"/>
        <v>0</v>
      </c>
      <c r="AC1676">
        <v>1</v>
      </c>
      <c r="AF1676">
        <v>1</v>
      </c>
      <c r="AG1676" s="8"/>
      <c r="AH1676" s="8"/>
      <c r="AK1676" cm="1">
        <f t="array" ref="AK1676">_xlfn.IFS(B1676="","",LEFT(G1676,1)="L",1,LEFT(G1676,1)="W",1,AND(LEFT(B1676,1)="H",G1676=""),0)</f>
        <v>1</v>
      </c>
      <c r="AS1676" t="str">
        <f t="shared" si="278"/>
        <v/>
      </c>
      <c r="AT1676" t="s">
        <v>115</v>
      </c>
      <c r="AU1676" t="str">
        <f t="shared" si="279"/>
        <v>0</v>
      </c>
      <c r="BD1676" t="str">
        <f t="shared" si="280"/>
        <v>0</v>
      </c>
      <c r="BK1676" t="str">
        <f>IFERROR(VLOOKUP(B1676,'[1]model_S-フレーム'!$F$5:$R$7000,13,1),"")</f>
        <v>E367816_01</v>
      </c>
      <c r="BL1676" s="7">
        <f>IFERROR(VLOOKUP(B1676,'[1]model_S-フレーム'!$F$5:$V$7000,17,1),"")</f>
        <v>0</v>
      </c>
      <c r="BM1676" t="str" cm="1">
        <f t="array" ref="BM1676">_xlfn.IFS(LEFT(G1676,1)="L","外注品",LEFT(G1676,1)="W","内製品",G1676="","購買品")</f>
        <v>内製品</v>
      </c>
    </row>
    <row r="1677" spans="1:65">
      <c r="A1677" t="str">
        <f t="shared" si="272"/>
        <v>WG01</v>
      </c>
      <c r="B1677" t="s">
        <v>1768</v>
      </c>
      <c r="C1677" t="s">
        <v>1922</v>
      </c>
      <c r="D1677" s="7"/>
      <c r="E1677" s="7"/>
      <c r="G1677" t="s">
        <v>1939</v>
      </c>
      <c r="H1677" t="str" cm="1">
        <f t="array" ref="H1677">IFERROR(_xlfn.IFS(B1677="","",AND(B1677="",G1677=""),"",G1677="","記載要"),"")</f>
        <v/>
      </c>
      <c r="K1677" t="str">
        <f t="shared" si="273"/>
        <v>11WP01073982</v>
      </c>
      <c r="L1677" s="3" t="str">
        <f t="shared" si="274"/>
        <v>2001/01/01</v>
      </c>
      <c r="M1677" s="3" t="str">
        <f t="shared" si="275"/>
        <v>2199/12/31</v>
      </c>
      <c r="N1677" t="str">
        <f t="shared" si="276"/>
        <v>11WP01073982</v>
      </c>
      <c r="O1677">
        <v>15</v>
      </c>
      <c r="Q1677" t="str" cm="1">
        <f t="array" ref="Q1677">_xlfn.IFS(AND(C1677="",G1677=""),"",LEFT(G1677,1)="L","記載要",LEFT(G1677,1)="W","",AND(C1677,G1677=""),"記載要")</f>
        <v/>
      </c>
      <c r="R1677" s="21" t="str">
        <f t="shared" si="281"/>
        <v/>
      </c>
      <c r="S1677" s="21"/>
      <c r="Z1677" s="8"/>
      <c r="AA1677">
        <v>1</v>
      </c>
      <c r="AB1677">
        <f t="shared" si="277"/>
        <v>0</v>
      </c>
      <c r="AC1677">
        <v>1</v>
      </c>
      <c r="AF1677">
        <v>1</v>
      </c>
      <c r="AG1677" s="8"/>
      <c r="AH1677" s="8"/>
      <c r="AK1677" cm="1">
        <f t="array" ref="AK1677">_xlfn.IFS(B1677="","",LEFT(G1677,1)="L",1,LEFT(G1677,1)="W",1,AND(LEFT(B1677,1)="H",G1677=""),0)</f>
        <v>1</v>
      </c>
      <c r="AS1677" t="str">
        <f t="shared" si="278"/>
        <v/>
      </c>
      <c r="AT1677" t="s">
        <v>115</v>
      </c>
      <c r="AU1677" t="str">
        <f t="shared" si="279"/>
        <v>0</v>
      </c>
      <c r="BD1677" t="str">
        <f t="shared" si="280"/>
        <v>0</v>
      </c>
      <c r="BK1677" t="str">
        <f>IFERROR(VLOOKUP(B1677,'[1]model_S-フレーム'!$F$5:$R$7000,13,1),"")</f>
        <v>E367816_01</v>
      </c>
      <c r="BL1677" s="7">
        <f>IFERROR(VLOOKUP(B1677,'[1]model_S-フレーム'!$F$5:$V$7000,17,1),"")</f>
        <v>0</v>
      </c>
      <c r="BM1677" t="str" cm="1">
        <f t="array" ref="BM1677">_xlfn.IFS(LEFT(G1677,1)="L","外注品",LEFT(G1677,1)="W","内製品",G1677="","購買品")</f>
        <v>内製品</v>
      </c>
    </row>
    <row r="1678" spans="1:65">
      <c r="A1678" t="str">
        <f t="shared" si="272"/>
        <v>WG01</v>
      </c>
      <c r="B1678" t="s">
        <v>1769</v>
      </c>
      <c r="C1678" t="s">
        <v>1922</v>
      </c>
      <c r="D1678" s="7"/>
      <c r="E1678" s="7"/>
      <c r="G1678" t="s">
        <v>1939</v>
      </c>
      <c r="H1678" t="str" cm="1">
        <f t="array" ref="H1678">IFERROR(_xlfn.IFS(B1678="","",AND(B1678="",G1678=""),"",G1678="","記載要"),"")</f>
        <v/>
      </c>
      <c r="K1678" t="str">
        <f t="shared" si="273"/>
        <v>11WP01073983</v>
      </c>
      <c r="L1678" s="3" t="str">
        <f t="shared" si="274"/>
        <v>2001/01/01</v>
      </c>
      <c r="M1678" s="3" t="str">
        <f t="shared" si="275"/>
        <v>2199/12/31</v>
      </c>
      <c r="N1678" t="str">
        <f t="shared" si="276"/>
        <v>11WP01073983</v>
      </c>
      <c r="O1678">
        <v>15</v>
      </c>
      <c r="Q1678" t="str" cm="1">
        <f t="array" ref="Q1678">_xlfn.IFS(AND(C1678="",G1678=""),"",LEFT(G1678,1)="L","記載要",LEFT(G1678,1)="W","",AND(C1678,G1678=""),"記載要")</f>
        <v/>
      </c>
      <c r="R1678" s="21" t="str">
        <f t="shared" si="281"/>
        <v/>
      </c>
      <c r="S1678" s="21"/>
      <c r="Z1678" s="8"/>
      <c r="AA1678">
        <v>1</v>
      </c>
      <c r="AB1678">
        <f t="shared" si="277"/>
        <v>0</v>
      </c>
      <c r="AC1678">
        <v>1</v>
      </c>
      <c r="AF1678">
        <v>1</v>
      </c>
      <c r="AG1678" s="8"/>
      <c r="AH1678" s="8"/>
      <c r="AK1678" cm="1">
        <f t="array" ref="AK1678">_xlfn.IFS(B1678="","",LEFT(G1678,1)="L",1,LEFT(G1678,1)="W",1,AND(LEFT(B1678,1)="H",G1678=""),0)</f>
        <v>1</v>
      </c>
      <c r="AS1678" t="str">
        <f t="shared" si="278"/>
        <v/>
      </c>
      <c r="AT1678" t="s">
        <v>115</v>
      </c>
      <c r="AU1678" t="str">
        <f t="shared" si="279"/>
        <v>0</v>
      </c>
      <c r="BD1678" t="str">
        <f t="shared" si="280"/>
        <v>0</v>
      </c>
      <c r="BK1678" t="str">
        <f>IFERROR(VLOOKUP(B1678,'[1]model_S-フレーム'!$F$5:$R$7000,13,1),"")</f>
        <v>E367816_01</v>
      </c>
      <c r="BL1678" s="7">
        <f>IFERROR(VLOOKUP(B1678,'[1]model_S-フレーム'!$F$5:$V$7000,17,1),"")</f>
        <v>0</v>
      </c>
      <c r="BM1678" t="str" cm="1">
        <f t="array" ref="BM1678">_xlfn.IFS(LEFT(G1678,1)="L","外注品",LEFT(G1678,1)="W","内製品",G1678="","購買品")</f>
        <v>内製品</v>
      </c>
    </row>
    <row r="1679" spans="1:65">
      <c r="A1679" t="str">
        <f t="shared" si="272"/>
        <v>WG01</v>
      </c>
      <c r="B1679" t="s">
        <v>1770</v>
      </c>
      <c r="C1679" t="s">
        <v>1922</v>
      </c>
      <c r="D1679" s="7"/>
      <c r="E1679" s="7"/>
      <c r="G1679" t="s">
        <v>1939</v>
      </c>
      <c r="H1679" t="str" cm="1">
        <f t="array" ref="H1679">IFERROR(_xlfn.IFS(B1679="","",AND(B1679="",G1679=""),"",G1679="","記載要"),"")</f>
        <v/>
      </c>
      <c r="K1679" t="str">
        <f t="shared" si="273"/>
        <v>11WP01073984</v>
      </c>
      <c r="L1679" s="3" t="str">
        <f t="shared" si="274"/>
        <v>2001/01/01</v>
      </c>
      <c r="M1679" s="3" t="str">
        <f t="shared" si="275"/>
        <v>2199/12/31</v>
      </c>
      <c r="N1679" t="str">
        <f t="shared" si="276"/>
        <v>11WP01073984</v>
      </c>
      <c r="O1679">
        <v>15</v>
      </c>
      <c r="Q1679" t="str" cm="1">
        <f t="array" ref="Q1679">_xlfn.IFS(AND(C1679="",G1679=""),"",LEFT(G1679,1)="L","記載要",LEFT(G1679,1)="W","",AND(C1679,G1679=""),"記載要")</f>
        <v/>
      </c>
      <c r="R1679" s="21" t="str">
        <f t="shared" si="281"/>
        <v/>
      </c>
      <c r="S1679" s="21"/>
      <c r="Z1679" s="8"/>
      <c r="AA1679">
        <v>1</v>
      </c>
      <c r="AB1679">
        <f t="shared" si="277"/>
        <v>0</v>
      </c>
      <c r="AC1679">
        <v>1</v>
      </c>
      <c r="AF1679">
        <v>1</v>
      </c>
      <c r="AG1679" s="8"/>
      <c r="AH1679" s="8"/>
      <c r="AK1679" cm="1">
        <f t="array" ref="AK1679">_xlfn.IFS(B1679="","",LEFT(G1679,1)="L",1,LEFT(G1679,1)="W",1,AND(LEFT(B1679,1)="H",G1679=""),0)</f>
        <v>1</v>
      </c>
      <c r="AS1679" t="str">
        <f t="shared" si="278"/>
        <v/>
      </c>
      <c r="AT1679" t="s">
        <v>115</v>
      </c>
      <c r="AU1679" t="str">
        <f t="shared" si="279"/>
        <v>0</v>
      </c>
      <c r="BD1679" t="str">
        <f t="shared" si="280"/>
        <v>0</v>
      </c>
      <c r="BK1679" t="str">
        <f>IFERROR(VLOOKUP(B1679,'[1]model_S-フレーム'!$F$5:$R$7000,13,1),"")</f>
        <v>E367816_01</v>
      </c>
      <c r="BL1679" s="7">
        <f>IFERROR(VLOOKUP(B1679,'[1]model_S-フレーム'!$F$5:$V$7000,17,1),"")</f>
        <v>0</v>
      </c>
      <c r="BM1679" t="str" cm="1">
        <f t="array" ref="BM1679">_xlfn.IFS(LEFT(G1679,1)="L","外注品",LEFT(G1679,1)="W","内製品",G1679="","購買品")</f>
        <v>内製品</v>
      </c>
    </row>
    <row r="1680" spans="1:65">
      <c r="A1680" t="str">
        <f t="shared" si="272"/>
        <v>WG01</v>
      </c>
      <c r="B1680" t="s">
        <v>1771</v>
      </c>
      <c r="C1680" t="s">
        <v>1922</v>
      </c>
      <c r="D1680" s="7"/>
      <c r="E1680" s="7"/>
      <c r="G1680" t="s">
        <v>1939</v>
      </c>
      <c r="H1680" t="str" cm="1">
        <f t="array" ref="H1680">IFERROR(_xlfn.IFS(B1680="","",AND(B1680="",G1680=""),"",G1680="","記載要"),"")</f>
        <v/>
      </c>
      <c r="K1680" t="str">
        <f t="shared" si="273"/>
        <v>11WP01073985</v>
      </c>
      <c r="L1680" s="3" t="str">
        <f t="shared" si="274"/>
        <v>2001/01/01</v>
      </c>
      <c r="M1680" s="3" t="str">
        <f t="shared" si="275"/>
        <v>2199/12/31</v>
      </c>
      <c r="N1680" t="str">
        <f t="shared" si="276"/>
        <v>11WP01073985</v>
      </c>
      <c r="O1680">
        <v>15</v>
      </c>
      <c r="Q1680" t="str" cm="1">
        <f t="array" ref="Q1680">_xlfn.IFS(AND(C1680="",G1680=""),"",LEFT(G1680,1)="L","記載要",LEFT(G1680,1)="W","",AND(C1680,G1680=""),"記載要")</f>
        <v/>
      </c>
      <c r="R1680" s="21" t="str">
        <f t="shared" si="281"/>
        <v/>
      </c>
      <c r="S1680" s="21"/>
      <c r="Z1680" s="8"/>
      <c r="AA1680">
        <v>1</v>
      </c>
      <c r="AB1680">
        <f t="shared" si="277"/>
        <v>0</v>
      </c>
      <c r="AC1680">
        <v>1</v>
      </c>
      <c r="AF1680">
        <v>1</v>
      </c>
      <c r="AG1680" s="8"/>
      <c r="AH1680" s="8"/>
      <c r="AK1680" cm="1">
        <f t="array" ref="AK1680">_xlfn.IFS(B1680="","",LEFT(G1680,1)="L",1,LEFT(G1680,1)="W",1,AND(LEFT(B1680,1)="H",G1680=""),0)</f>
        <v>1</v>
      </c>
      <c r="AS1680" t="str">
        <f t="shared" si="278"/>
        <v/>
      </c>
      <c r="AT1680" t="s">
        <v>115</v>
      </c>
      <c r="AU1680" t="str">
        <f t="shared" si="279"/>
        <v>0</v>
      </c>
      <c r="BD1680" t="str">
        <f t="shared" si="280"/>
        <v>0</v>
      </c>
      <c r="BK1680" t="str">
        <f>IFERROR(VLOOKUP(B1680,'[1]model_S-フレーム'!$F$5:$R$7000,13,1),"")</f>
        <v>E367816_01</v>
      </c>
      <c r="BL1680" s="7">
        <f>IFERROR(VLOOKUP(B1680,'[1]model_S-フレーム'!$F$5:$V$7000,17,1),"")</f>
        <v>0</v>
      </c>
      <c r="BM1680" t="str" cm="1">
        <f t="array" ref="BM1680">_xlfn.IFS(LEFT(G1680,1)="L","外注品",LEFT(G1680,1)="W","内製品",G1680="","購買品")</f>
        <v>内製品</v>
      </c>
    </row>
    <row r="1681" spans="1:65">
      <c r="A1681" t="str">
        <f t="shared" si="272"/>
        <v>WG01</v>
      </c>
      <c r="B1681" t="s">
        <v>1772</v>
      </c>
      <c r="C1681" t="s">
        <v>1922</v>
      </c>
      <c r="D1681" s="7"/>
      <c r="E1681" s="7"/>
      <c r="G1681" t="s">
        <v>1939</v>
      </c>
      <c r="H1681" t="str" cm="1">
        <f t="array" ref="H1681">IFERROR(_xlfn.IFS(B1681="","",AND(B1681="",G1681=""),"",G1681="","記載要"),"")</f>
        <v/>
      </c>
      <c r="K1681" t="str">
        <f t="shared" si="273"/>
        <v>11WP01073986</v>
      </c>
      <c r="L1681" s="3" t="str">
        <f t="shared" si="274"/>
        <v>2001/01/01</v>
      </c>
      <c r="M1681" s="3" t="str">
        <f t="shared" si="275"/>
        <v>2199/12/31</v>
      </c>
      <c r="N1681" t="str">
        <f t="shared" si="276"/>
        <v>11WP01073986</v>
      </c>
      <c r="O1681">
        <v>15</v>
      </c>
      <c r="Q1681" t="str" cm="1">
        <f t="array" ref="Q1681">_xlfn.IFS(AND(C1681="",G1681=""),"",LEFT(G1681,1)="L","記載要",LEFT(G1681,1)="W","",AND(C1681,G1681=""),"記載要")</f>
        <v/>
      </c>
      <c r="R1681" s="21" t="str">
        <f t="shared" si="281"/>
        <v/>
      </c>
      <c r="S1681" s="21"/>
      <c r="Z1681" s="8"/>
      <c r="AA1681">
        <v>1</v>
      </c>
      <c r="AB1681">
        <f t="shared" si="277"/>
        <v>0</v>
      </c>
      <c r="AC1681">
        <v>1</v>
      </c>
      <c r="AF1681">
        <v>1</v>
      </c>
      <c r="AG1681" s="8"/>
      <c r="AH1681" s="8"/>
      <c r="AK1681" cm="1">
        <f t="array" ref="AK1681">_xlfn.IFS(B1681="","",LEFT(G1681,1)="L",1,LEFT(G1681,1)="W",1,AND(LEFT(B1681,1)="H",G1681=""),0)</f>
        <v>1</v>
      </c>
      <c r="AS1681" t="str">
        <f t="shared" si="278"/>
        <v/>
      </c>
      <c r="AT1681" t="s">
        <v>115</v>
      </c>
      <c r="AU1681" t="str">
        <f t="shared" si="279"/>
        <v>0</v>
      </c>
      <c r="BD1681" t="str">
        <f t="shared" si="280"/>
        <v>0</v>
      </c>
      <c r="BK1681" t="str">
        <f>IFERROR(VLOOKUP(B1681,'[1]model_S-フレーム'!$F$5:$R$7000,13,1),"")</f>
        <v>E367816_01</v>
      </c>
      <c r="BL1681" s="7">
        <f>IFERROR(VLOOKUP(B1681,'[1]model_S-フレーム'!$F$5:$V$7000,17,1),"")</f>
        <v>0</v>
      </c>
      <c r="BM1681" t="str" cm="1">
        <f t="array" ref="BM1681">_xlfn.IFS(LEFT(G1681,1)="L","外注品",LEFT(G1681,1)="W","内製品",G1681="","購買品")</f>
        <v>内製品</v>
      </c>
    </row>
    <row r="1682" spans="1:65">
      <c r="A1682" t="str">
        <f t="shared" si="272"/>
        <v>WG01</v>
      </c>
      <c r="B1682" t="s">
        <v>1773</v>
      </c>
      <c r="C1682" t="s">
        <v>1922</v>
      </c>
      <c r="D1682" s="7"/>
      <c r="E1682" s="7"/>
      <c r="G1682" t="s">
        <v>1939</v>
      </c>
      <c r="H1682" t="str" cm="1">
        <f t="array" ref="H1682">IFERROR(_xlfn.IFS(B1682="","",AND(B1682="",G1682=""),"",G1682="","記載要"),"")</f>
        <v/>
      </c>
      <c r="K1682" t="str">
        <f t="shared" si="273"/>
        <v>11WP01073987</v>
      </c>
      <c r="L1682" s="3" t="str">
        <f t="shared" si="274"/>
        <v>2001/01/01</v>
      </c>
      <c r="M1682" s="3" t="str">
        <f t="shared" si="275"/>
        <v>2199/12/31</v>
      </c>
      <c r="N1682" t="str">
        <f t="shared" si="276"/>
        <v>11WP01073987</v>
      </c>
      <c r="O1682">
        <v>15</v>
      </c>
      <c r="Q1682" t="str" cm="1">
        <f t="array" ref="Q1682">_xlfn.IFS(AND(C1682="",G1682=""),"",LEFT(G1682,1)="L","記載要",LEFT(G1682,1)="W","",AND(C1682,G1682=""),"記載要")</f>
        <v/>
      </c>
      <c r="R1682" s="21" t="str">
        <f t="shared" si="281"/>
        <v/>
      </c>
      <c r="S1682" s="21"/>
      <c r="Z1682" s="8"/>
      <c r="AA1682">
        <v>1</v>
      </c>
      <c r="AB1682">
        <f t="shared" si="277"/>
        <v>0</v>
      </c>
      <c r="AC1682">
        <v>1</v>
      </c>
      <c r="AF1682">
        <v>1</v>
      </c>
      <c r="AG1682" s="8"/>
      <c r="AH1682" s="8"/>
      <c r="AK1682" cm="1">
        <f t="array" ref="AK1682">_xlfn.IFS(B1682="","",LEFT(G1682,1)="L",1,LEFT(G1682,1)="W",1,AND(LEFT(B1682,1)="H",G1682=""),0)</f>
        <v>1</v>
      </c>
      <c r="AS1682" t="str">
        <f t="shared" si="278"/>
        <v/>
      </c>
      <c r="AT1682" t="s">
        <v>115</v>
      </c>
      <c r="AU1682" t="str">
        <f t="shared" si="279"/>
        <v>0</v>
      </c>
      <c r="BD1682" t="str">
        <f t="shared" si="280"/>
        <v>0</v>
      </c>
      <c r="BK1682" t="str">
        <f>IFERROR(VLOOKUP(B1682,'[1]model_S-フレーム'!$F$5:$R$7000,13,1),"")</f>
        <v>E367816_01</v>
      </c>
      <c r="BL1682" s="7">
        <f>IFERROR(VLOOKUP(B1682,'[1]model_S-フレーム'!$F$5:$V$7000,17,1),"")</f>
        <v>0</v>
      </c>
      <c r="BM1682" t="str" cm="1">
        <f t="array" ref="BM1682">_xlfn.IFS(LEFT(G1682,1)="L","外注品",LEFT(G1682,1)="W","内製品",G1682="","購買品")</f>
        <v>内製品</v>
      </c>
    </row>
    <row r="1683" spans="1:65">
      <c r="A1683" t="str">
        <f t="shared" si="272"/>
        <v>WG01</v>
      </c>
      <c r="B1683" t="s">
        <v>1774</v>
      </c>
      <c r="C1683" t="s">
        <v>1922</v>
      </c>
      <c r="D1683" s="7"/>
      <c r="E1683" s="7"/>
      <c r="G1683" t="s">
        <v>1939</v>
      </c>
      <c r="H1683" t="str" cm="1">
        <f t="array" ref="H1683">IFERROR(_xlfn.IFS(B1683="","",AND(B1683="",G1683=""),"",G1683="","記載要"),"")</f>
        <v/>
      </c>
      <c r="K1683" t="str">
        <f t="shared" si="273"/>
        <v>11WP01073988</v>
      </c>
      <c r="L1683" s="3" t="str">
        <f t="shared" si="274"/>
        <v>2001/01/01</v>
      </c>
      <c r="M1683" s="3" t="str">
        <f t="shared" si="275"/>
        <v>2199/12/31</v>
      </c>
      <c r="N1683" t="str">
        <f t="shared" si="276"/>
        <v>11WP01073988</v>
      </c>
      <c r="O1683">
        <v>15</v>
      </c>
      <c r="Q1683" t="str" cm="1">
        <f t="array" ref="Q1683">_xlfn.IFS(AND(C1683="",G1683=""),"",LEFT(G1683,1)="L","記載要",LEFT(G1683,1)="W","",AND(C1683,G1683=""),"記載要")</f>
        <v/>
      </c>
      <c r="R1683" s="21" t="str">
        <f t="shared" si="281"/>
        <v/>
      </c>
      <c r="S1683" s="21"/>
      <c r="Z1683" s="8"/>
      <c r="AA1683">
        <v>1</v>
      </c>
      <c r="AB1683">
        <f t="shared" si="277"/>
        <v>0</v>
      </c>
      <c r="AC1683">
        <v>1</v>
      </c>
      <c r="AF1683">
        <v>1</v>
      </c>
      <c r="AG1683" s="8"/>
      <c r="AH1683" s="8"/>
      <c r="AK1683" cm="1">
        <f t="array" ref="AK1683">_xlfn.IFS(B1683="","",LEFT(G1683,1)="L",1,LEFT(G1683,1)="W",1,AND(LEFT(B1683,1)="H",G1683=""),0)</f>
        <v>1</v>
      </c>
      <c r="AS1683" t="str">
        <f t="shared" si="278"/>
        <v/>
      </c>
      <c r="AT1683" t="s">
        <v>115</v>
      </c>
      <c r="AU1683" t="str">
        <f t="shared" si="279"/>
        <v>0</v>
      </c>
      <c r="BD1683" t="str">
        <f t="shared" si="280"/>
        <v>0</v>
      </c>
      <c r="BK1683" t="str">
        <f>IFERROR(VLOOKUP(B1683,'[1]model_S-フレーム'!$F$5:$R$7000,13,1),"")</f>
        <v>E367816_01</v>
      </c>
      <c r="BL1683" s="7">
        <f>IFERROR(VLOOKUP(B1683,'[1]model_S-フレーム'!$F$5:$V$7000,17,1),"")</f>
        <v>0</v>
      </c>
      <c r="BM1683" t="str" cm="1">
        <f t="array" ref="BM1683">_xlfn.IFS(LEFT(G1683,1)="L","外注品",LEFT(G1683,1)="W","内製品",G1683="","購買品")</f>
        <v>内製品</v>
      </c>
    </row>
    <row r="1684" spans="1:65">
      <c r="A1684" t="str">
        <f t="shared" si="272"/>
        <v>WG01</v>
      </c>
      <c r="B1684" t="s">
        <v>1775</v>
      </c>
      <c r="C1684" t="s">
        <v>1922</v>
      </c>
      <c r="D1684" s="7"/>
      <c r="E1684" s="7"/>
      <c r="G1684" t="s">
        <v>1939</v>
      </c>
      <c r="H1684" t="str" cm="1">
        <f t="array" ref="H1684">IFERROR(_xlfn.IFS(B1684="","",AND(B1684="",G1684=""),"",G1684="","記載要"),"")</f>
        <v/>
      </c>
      <c r="K1684" t="str">
        <f t="shared" si="273"/>
        <v>11WP01073989</v>
      </c>
      <c r="L1684" s="3" t="str">
        <f t="shared" si="274"/>
        <v>2001/01/01</v>
      </c>
      <c r="M1684" s="3" t="str">
        <f t="shared" si="275"/>
        <v>2199/12/31</v>
      </c>
      <c r="N1684" t="str">
        <f t="shared" si="276"/>
        <v>11WP01073989</v>
      </c>
      <c r="O1684">
        <v>15</v>
      </c>
      <c r="Q1684" t="str" cm="1">
        <f t="array" ref="Q1684">_xlfn.IFS(AND(C1684="",G1684=""),"",LEFT(G1684,1)="L","記載要",LEFT(G1684,1)="W","",AND(C1684,G1684=""),"記載要")</f>
        <v/>
      </c>
      <c r="R1684" s="21" t="str">
        <f t="shared" si="281"/>
        <v/>
      </c>
      <c r="S1684" s="21"/>
      <c r="Z1684" s="8"/>
      <c r="AA1684">
        <v>1</v>
      </c>
      <c r="AB1684">
        <f t="shared" si="277"/>
        <v>0</v>
      </c>
      <c r="AC1684">
        <v>1</v>
      </c>
      <c r="AF1684">
        <v>1</v>
      </c>
      <c r="AG1684" s="8"/>
      <c r="AH1684" s="8"/>
      <c r="AK1684" cm="1">
        <f t="array" ref="AK1684">_xlfn.IFS(B1684="","",LEFT(G1684,1)="L",1,LEFT(G1684,1)="W",1,AND(LEFT(B1684,1)="H",G1684=""),0)</f>
        <v>1</v>
      </c>
      <c r="AS1684" t="str">
        <f t="shared" si="278"/>
        <v/>
      </c>
      <c r="AT1684" t="s">
        <v>115</v>
      </c>
      <c r="AU1684" t="str">
        <f t="shared" si="279"/>
        <v>0</v>
      </c>
      <c r="BD1684" t="str">
        <f t="shared" si="280"/>
        <v>0</v>
      </c>
      <c r="BK1684" t="str">
        <f>IFERROR(VLOOKUP(B1684,'[1]model_S-フレーム'!$F$5:$R$7000,13,1),"")</f>
        <v>E367816_01</v>
      </c>
      <c r="BL1684" s="7">
        <f>IFERROR(VLOOKUP(B1684,'[1]model_S-フレーム'!$F$5:$V$7000,17,1),"")</f>
        <v>0</v>
      </c>
      <c r="BM1684" t="str" cm="1">
        <f t="array" ref="BM1684">_xlfn.IFS(LEFT(G1684,1)="L","外注品",LEFT(G1684,1)="W","内製品",G1684="","購買品")</f>
        <v>内製品</v>
      </c>
    </row>
    <row r="1685" spans="1:65">
      <c r="A1685" t="str">
        <f t="shared" si="272"/>
        <v>WG01</v>
      </c>
      <c r="B1685" t="s">
        <v>1776</v>
      </c>
      <c r="C1685" t="s">
        <v>1922</v>
      </c>
      <c r="D1685" s="7"/>
      <c r="E1685" s="7"/>
      <c r="G1685" t="s">
        <v>1939</v>
      </c>
      <c r="H1685" t="str" cm="1">
        <f t="array" ref="H1685">IFERROR(_xlfn.IFS(B1685="","",AND(B1685="",G1685=""),"",G1685="","記載要"),"")</f>
        <v/>
      </c>
      <c r="K1685" t="str">
        <f t="shared" si="273"/>
        <v>11WP01073990</v>
      </c>
      <c r="L1685" s="3" t="str">
        <f t="shared" si="274"/>
        <v>2001/01/01</v>
      </c>
      <c r="M1685" s="3" t="str">
        <f t="shared" si="275"/>
        <v>2199/12/31</v>
      </c>
      <c r="N1685" t="str">
        <f t="shared" si="276"/>
        <v>11WP01073990</v>
      </c>
      <c r="O1685">
        <v>15</v>
      </c>
      <c r="Q1685" t="str" cm="1">
        <f t="array" ref="Q1685">_xlfn.IFS(AND(C1685="",G1685=""),"",LEFT(G1685,1)="L","記載要",LEFT(G1685,1)="W","",AND(C1685,G1685=""),"記載要")</f>
        <v/>
      </c>
      <c r="R1685" s="21" t="str">
        <f t="shared" si="281"/>
        <v/>
      </c>
      <c r="S1685" s="21"/>
      <c r="Z1685" s="8"/>
      <c r="AA1685">
        <v>1</v>
      </c>
      <c r="AB1685">
        <f t="shared" si="277"/>
        <v>0</v>
      </c>
      <c r="AC1685">
        <v>1</v>
      </c>
      <c r="AF1685">
        <v>1</v>
      </c>
      <c r="AG1685" s="8"/>
      <c r="AH1685" s="8"/>
      <c r="AK1685" cm="1">
        <f t="array" ref="AK1685">_xlfn.IFS(B1685="","",LEFT(G1685,1)="L",1,LEFT(G1685,1)="W",1,AND(LEFT(B1685,1)="H",G1685=""),0)</f>
        <v>1</v>
      </c>
      <c r="AS1685" t="str">
        <f t="shared" si="278"/>
        <v/>
      </c>
      <c r="AT1685" t="s">
        <v>115</v>
      </c>
      <c r="AU1685" t="str">
        <f t="shared" si="279"/>
        <v>0</v>
      </c>
      <c r="BD1685" t="str">
        <f t="shared" si="280"/>
        <v>0</v>
      </c>
      <c r="BK1685" t="str">
        <f>IFERROR(VLOOKUP(B1685,'[1]model_S-フレーム'!$F$5:$R$7000,13,1),"")</f>
        <v>E367816_01</v>
      </c>
      <c r="BL1685" s="7">
        <f>IFERROR(VLOOKUP(B1685,'[1]model_S-フレーム'!$F$5:$V$7000,17,1),"")</f>
        <v>0</v>
      </c>
      <c r="BM1685" t="str" cm="1">
        <f t="array" ref="BM1685">_xlfn.IFS(LEFT(G1685,1)="L","外注品",LEFT(G1685,1)="W","内製品",G1685="","購買品")</f>
        <v>内製品</v>
      </c>
    </row>
    <row r="1686" spans="1:65">
      <c r="A1686" t="str">
        <f t="shared" si="272"/>
        <v>WG01</v>
      </c>
      <c r="B1686" t="s">
        <v>1777</v>
      </c>
      <c r="C1686" t="s">
        <v>1922</v>
      </c>
      <c r="D1686" s="7"/>
      <c r="E1686" s="7"/>
      <c r="G1686" t="s">
        <v>1939</v>
      </c>
      <c r="H1686" t="str" cm="1">
        <f t="array" ref="H1686">IFERROR(_xlfn.IFS(B1686="","",AND(B1686="",G1686=""),"",G1686="","記載要"),"")</f>
        <v/>
      </c>
      <c r="K1686" t="str">
        <f t="shared" si="273"/>
        <v>11WP01073991</v>
      </c>
      <c r="L1686" s="3" t="str">
        <f t="shared" si="274"/>
        <v>2001/01/01</v>
      </c>
      <c r="M1686" s="3" t="str">
        <f t="shared" si="275"/>
        <v>2199/12/31</v>
      </c>
      <c r="N1686" t="str">
        <f t="shared" si="276"/>
        <v>11WP01073991</v>
      </c>
      <c r="O1686">
        <v>15</v>
      </c>
      <c r="Q1686" t="str" cm="1">
        <f t="array" ref="Q1686">_xlfn.IFS(AND(C1686="",G1686=""),"",LEFT(G1686,1)="L","記載要",LEFT(G1686,1)="W","",AND(C1686,G1686=""),"記載要")</f>
        <v/>
      </c>
      <c r="R1686" s="21" t="str">
        <f t="shared" si="281"/>
        <v/>
      </c>
      <c r="S1686" s="21"/>
      <c r="Z1686" s="8"/>
      <c r="AA1686">
        <v>1</v>
      </c>
      <c r="AB1686">
        <f t="shared" si="277"/>
        <v>0</v>
      </c>
      <c r="AC1686">
        <v>1</v>
      </c>
      <c r="AF1686">
        <v>1</v>
      </c>
      <c r="AG1686" s="8"/>
      <c r="AH1686" s="8"/>
      <c r="AK1686" cm="1">
        <f t="array" ref="AK1686">_xlfn.IFS(B1686="","",LEFT(G1686,1)="L",1,LEFT(G1686,1)="W",1,AND(LEFT(B1686,1)="H",G1686=""),0)</f>
        <v>1</v>
      </c>
      <c r="AS1686" t="str">
        <f t="shared" si="278"/>
        <v/>
      </c>
      <c r="AT1686" t="s">
        <v>115</v>
      </c>
      <c r="AU1686" t="str">
        <f t="shared" si="279"/>
        <v>0</v>
      </c>
      <c r="BD1686" t="str">
        <f t="shared" si="280"/>
        <v>0</v>
      </c>
      <c r="BK1686" t="str">
        <f>IFERROR(VLOOKUP(B1686,'[1]model_S-フレーム'!$F$5:$R$7000,13,1),"")</f>
        <v>E367816_01</v>
      </c>
      <c r="BL1686" s="7">
        <f>IFERROR(VLOOKUP(B1686,'[1]model_S-フレーム'!$F$5:$V$7000,17,1),"")</f>
        <v>0</v>
      </c>
      <c r="BM1686" t="str" cm="1">
        <f t="array" ref="BM1686">_xlfn.IFS(LEFT(G1686,1)="L","外注品",LEFT(G1686,1)="W","内製品",G1686="","購買品")</f>
        <v>内製品</v>
      </c>
    </row>
    <row r="1687" spans="1:65">
      <c r="A1687" t="str">
        <f t="shared" si="272"/>
        <v>WG01</v>
      </c>
      <c r="B1687" t="s">
        <v>1778</v>
      </c>
      <c r="C1687" t="s">
        <v>1922</v>
      </c>
      <c r="D1687" s="7"/>
      <c r="E1687" s="7"/>
      <c r="G1687" t="s">
        <v>1939</v>
      </c>
      <c r="H1687" t="str" cm="1">
        <f t="array" ref="H1687">IFERROR(_xlfn.IFS(B1687="","",AND(B1687="",G1687=""),"",G1687="","記載要"),"")</f>
        <v/>
      </c>
      <c r="K1687" t="str">
        <f t="shared" si="273"/>
        <v>11WP01073992</v>
      </c>
      <c r="L1687" s="3" t="str">
        <f t="shared" si="274"/>
        <v>2001/01/01</v>
      </c>
      <c r="M1687" s="3" t="str">
        <f t="shared" si="275"/>
        <v>2199/12/31</v>
      </c>
      <c r="N1687" t="str">
        <f t="shared" si="276"/>
        <v>11WP01073992</v>
      </c>
      <c r="O1687">
        <v>15</v>
      </c>
      <c r="Q1687" t="str" cm="1">
        <f t="array" ref="Q1687">_xlfn.IFS(AND(C1687="",G1687=""),"",LEFT(G1687,1)="L","記載要",LEFT(G1687,1)="W","",AND(C1687,G1687=""),"記載要")</f>
        <v/>
      </c>
      <c r="R1687" s="21" t="str">
        <f t="shared" si="281"/>
        <v/>
      </c>
      <c r="S1687" s="21"/>
      <c r="Z1687" s="8"/>
      <c r="AA1687">
        <v>1</v>
      </c>
      <c r="AB1687">
        <f t="shared" si="277"/>
        <v>0</v>
      </c>
      <c r="AC1687">
        <v>1</v>
      </c>
      <c r="AF1687">
        <v>1</v>
      </c>
      <c r="AG1687" s="8"/>
      <c r="AH1687" s="8"/>
      <c r="AK1687" cm="1">
        <f t="array" ref="AK1687">_xlfn.IFS(B1687="","",LEFT(G1687,1)="L",1,LEFT(G1687,1)="W",1,AND(LEFT(B1687,1)="H",G1687=""),0)</f>
        <v>1</v>
      </c>
      <c r="AS1687" t="str">
        <f t="shared" si="278"/>
        <v/>
      </c>
      <c r="AT1687" t="s">
        <v>115</v>
      </c>
      <c r="AU1687" t="str">
        <f t="shared" si="279"/>
        <v>0</v>
      </c>
      <c r="BD1687" t="str">
        <f t="shared" si="280"/>
        <v>0</v>
      </c>
      <c r="BK1687" t="str">
        <f>IFERROR(VLOOKUP(B1687,'[1]model_S-フレーム'!$F$5:$R$7000,13,1),"")</f>
        <v>E367816_01</v>
      </c>
      <c r="BL1687" s="7">
        <f>IFERROR(VLOOKUP(B1687,'[1]model_S-フレーム'!$F$5:$V$7000,17,1),"")</f>
        <v>0</v>
      </c>
      <c r="BM1687" t="str" cm="1">
        <f t="array" ref="BM1687">_xlfn.IFS(LEFT(G1687,1)="L","外注品",LEFT(G1687,1)="W","内製品",G1687="","購買品")</f>
        <v>内製品</v>
      </c>
    </row>
    <row r="1688" spans="1:65">
      <c r="A1688" t="str">
        <f t="shared" si="272"/>
        <v>WG01</v>
      </c>
      <c r="B1688" t="s">
        <v>1779</v>
      </c>
      <c r="C1688" t="s">
        <v>1922</v>
      </c>
      <c r="D1688" s="7"/>
      <c r="E1688" s="7"/>
      <c r="G1688" t="s">
        <v>1939</v>
      </c>
      <c r="H1688" t="str" cm="1">
        <f t="array" ref="H1688">IFERROR(_xlfn.IFS(B1688="","",AND(B1688="",G1688=""),"",G1688="","記載要"),"")</f>
        <v/>
      </c>
      <c r="K1688" t="str">
        <f t="shared" si="273"/>
        <v>11WP01073993</v>
      </c>
      <c r="L1688" s="3" t="str">
        <f t="shared" si="274"/>
        <v>2001/01/01</v>
      </c>
      <c r="M1688" s="3" t="str">
        <f t="shared" si="275"/>
        <v>2199/12/31</v>
      </c>
      <c r="N1688" t="str">
        <f t="shared" si="276"/>
        <v>11WP01073993</v>
      </c>
      <c r="O1688">
        <v>15</v>
      </c>
      <c r="Q1688" t="str" cm="1">
        <f t="array" ref="Q1688">_xlfn.IFS(AND(C1688="",G1688=""),"",LEFT(G1688,1)="L","記載要",LEFT(G1688,1)="W","",AND(C1688,G1688=""),"記載要")</f>
        <v/>
      </c>
      <c r="R1688" s="21" t="str">
        <f t="shared" si="281"/>
        <v/>
      </c>
      <c r="S1688" s="21"/>
      <c r="Z1688" s="8"/>
      <c r="AA1688">
        <v>1</v>
      </c>
      <c r="AB1688">
        <f t="shared" si="277"/>
        <v>0</v>
      </c>
      <c r="AC1688">
        <v>1</v>
      </c>
      <c r="AF1688">
        <v>1</v>
      </c>
      <c r="AG1688" s="8"/>
      <c r="AH1688" s="8"/>
      <c r="AK1688" cm="1">
        <f t="array" ref="AK1688">_xlfn.IFS(B1688="","",LEFT(G1688,1)="L",1,LEFT(G1688,1)="W",1,AND(LEFT(B1688,1)="H",G1688=""),0)</f>
        <v>1</v>
      </c>
      <c r="AS1688" t="str">
        <f t="shared" si="278"/>
        <v/>
      </c>
      <c r="AT1688" t="s">
        <v>115</v>
      </c>
      <c r="AU1688" t="str">
        <f t="shared" si="279"/>
        <v>0</v>
      </c>
      <c r="BD1688" t="str">
        <f t="shared" si="280"/>
        <v>0</v>
      </c>
      <c r="BK1688" t="str">
        <f>IFERROR(VLOOKUP(B1688,'[1]model_S-フレーム'!$F$5:$R$7000,13,1),"")</f>
        <v>E367816_01</v>
      </c>
      <c r="BL1688" s="7">
        <f>IFERROR(VLOOKUP(B1688,'[1]model_S-フレーム'!$F$5:$V$7000,17,1),"")</f>
        <v>0</v>
      </c>
      <c r="BM1688" t="str" cm="1">
        <f t="array" ref="BM1688">_xlfn.IFS(LEFT(G1688,1)="L","外注品",LEFT(G1688,1)="W","内製品",G1688="","購買品")</f>
        <v>内製品</v>
      </c>
    </row>
    <row r="1689" spans="1:65">
      <c r="A1689" t="str">
        <f t="shared" si="272"/>
        <v>WG01</v>
      </c>
      <c r="B1689" t="s">
        <v>1780</v>
      </c>
      <c r="C1689" t="s">
        <v>1922</v>
      </c>
      <c r="D1689" s="7"/>
      <c r="E1689" s="7"/>
      <c r="G1689" t="s">
        <v>1939</v>
      </c>
      <c r="H1689" t="str" cm="1">
        <f t="array" ref="H1689">IFERROR(_xlfn.IFS(B1689="","",AND(B1689="",G1689=""),"",G1689="","記載要"),"")</f>
        <v/>
      </c>
      <c r="K1689" t="str">
        <f t="shared" si="273"/>
        <v>11WP01073994</v>
      </c>
      <c r="L1689" s="3" t="str">
        <f t="shared" si="274"/>
        <v>2001/01/01</v>
      </c>
      <c r="M1689" s="3" t="str">
        <f t="shared" si="275"/>
        <v>2199/12/31</v>
      </c>
      <c r="N1689" t="str">
        <f t="shared" si="276"/>
        <v>11WP01073994</v>
      </c>
      <c r="O1689">
        <v>15</v>
      </c>
      <c r="Q1689" t="str" cm="1">
        <f t="array" ref="Q1689">_xlfn.IFS(AND(C1689="",G1689=""),"",LEFT(G1689,1)="L","記載要",LEFT(G1689,1)="W","",AND(C1689,G1689=""),"記載要")</f>
        <v/>
      </c>
      <c r="R1689" s="21" t="str">
        <f t="shared" si="281"/>
        <v/>
      </c>
      <c r="S1689" s="21"/>
      <c r="Z1689" s="8"/>
      <c r="AA1689">
        <v>1</v>
      </c>
      <c r="AB1689">
        <f t="shared" si="277"/>
        <v>0</v>
      </c>
      <c r="AC1689">
        <v>1</v>
      </c>
      <c r="AF1689">
        <v>1</v>
      </c>
      <c r="AG1689" s="8"/>
      <c r="AH1689" s="8"/>
      <c r="AK1689" cm="1">
        <f t="array" ref="AK1689">_xlfn.IFS(B1689="","",LEFT(G1689,1)="L",1,LEFT(G1689,1)="W",1,AND(LEFT(B1689,1)="H",G1689=""),0)</f>
        <v>1</v>
      </c>
      <c r="AS1689" t="str">
        <f t="shared" si="278"/>
        <v/>
      </c>
      <c r="AT1689" t="s">
        <v>115</v>
      </c>
      <c r="AU1689" t="str">
        <f t="shared" si="279"/>
        <v>0</v>
      </c>
      <c r="BD1689" t="str">
        <f t="shared" si="280"/>
        <v>0</v>
      </c>
      <c r="BK1689" t="str">
        <f>IFERROR(VLOOKUP(B1689,'[1]model_S-フレーム'!$F$5:$R$7000,13,1),"")</f>
        <v>E367816_01</v>
      </c>
      <c r="BL1689" s="7">
        <f>IFERROR(VLOOKUP(B1689,'[1]model_S-フレーム'!$F$5:$V$7000,17,1),"")</f>
        <v>0</v>
      </c>
      <c r="BM1689" t="str" cm="1">
        <f t="array" ref="BM1689">_xlfn.IFS(LEFT(G1689,1)="L","外注品",LEFT(G1689,1)="W","内製品",G1689="","購買品")</f>
        <v>内製品</v>
      </c>
    </row>
    <row r="1690" spans="1:65">
      <c r="A1690" t="str">
        <f t="shared" si="272"/>
        <v>WG01</v>
      </c>
      <c r="B1690" t="s">
        <v>1781</v>
      </c>
      <c r="C1690" t="s">
        <v>1922</v>
      </c>
      <c r="D1690" s="7"/>
      <c r="E1690" s="7"/>
      <c r="G1690" t="s">
        <v>1939</v>
      </c>
      <c r="H1690" t="str" cm="1">
        <f t="array" ref="H1690">IFERROR(_xlfn.IFS(B1690="","",AND(B1690="",G1690=""),"",G1690="","記載要"),"")</f>
        <v/>
      </c>
      <c r="K1690" t="str">
        <f t="shared" si="273"/>
        <v>11WP01073995</v>
      </c>
      <c r="L1690" s="3" t="str">
        <f t="shared" si="274"/>
        <v>2001/01/01</v>
      </c>
      <c r="M1690" s="3" t="str">
        <f t="shared" si="275"/>
        <v>2199/12/31</v>
      </c>
      <c r="N1690" t="str">
        <f t="shared" si="276"/>
        <v>11WP01073995</v>
      </c>
      <c r="O1690">
        <v>15</v>
      </c>
      <c r="Q1690" t="str" cm="1">
        <f t="array" ref="Q1690">_xlfn.IFS(AND(C1690="",G1690=""),"",LEFT(G1690,1)="L","記載要",LEFT(G1690,1)="W","",AND(C1690,G1690=""),"記載要")</f>
        <v/>
      </c>
      <c r="R1690" s="21" t="str">
        <f t="shared" si="281"/>
        <v/>
      </c>
      <c r="S1690" s="21"/>
      <c r="Z1690" s="8"/>
      <c r="AA1690">
        <v>1</v>
      </c>
      <c r="AB1690">
        <f t="shared" si="277"/>
        <v>0</v>
      </c>
      <c r="AC1690">
        <v>1</v>
      </c>
      <c r="AF1690">
        <v>1</v>
      </c>
      <c r="AG1690" s="8"/>
      <c r="AH1690" s="8"/>
      <c r="AK1690" cm="1">
        <f t="array" ref="AK1690">_xlfn.IFS(B1690="","",LEFT(G1690,1)="L",1,LEFT(G1690,1)="W",1,AND(LEFT(B1690,1)="H",G1690=""),0)</f>
        <v>1</v>
      </c>
      <c r="AS1690" t="str">
        <f t="shared" si="278"/>
        <v/>
      </c>
      <c r="AT1690" t="s">
        <v>115</v>
      </c>
      <c r="AU1690" t="str">
        <f t="shared" si="279"/>
        <v>0</v>
      </c>
      <c r="BD1690" t="str">
        <f t="shared" si="280"/>
        <v>0</v>
      </c>
      <c r="BK1690" t="str">
        <f>IFERROR(VLOOKUP(B1690,'[1]model_S-フレーム'!$F$5:$R$7000,13,1),"")</f>
        <v>E367816_01</v>
      </c>
      <c r="BL1690" s="7">
        <f>IFERROR(VLOOKUP(B1690,'[1]model_S-フレーム'!$F$5:$V$7000,17,1),"")</f>
        <v>0</v>
      </c>
      <c r="BM1690" t="str" cm="1">
        <f t="array" ref="BM1690">_xlfn.IFS(LEFT(G1690,1)="L","外注品",LEFT(G1690,1)="W","内製品",G1690="","購買品")</f>
        <v>内製品</v>
      </c>
    </row>
    <row r="1691" spans="1:65">
      <c r="A1691" t="str">
        <f t="shared" si="272"/>
        <v>WG01</v>
      </c>
      <c r="B1691" t="s">
        <v>1782</v>
      </c>
      <c r="C1691" t="s">
        <v>1922</v>
      </c>
      <c r="D1691" s="7"/>
      <c r="E1691" s="7"/>
      <c r="G1691" t="s">
        <v>1939</v>
      </c>
      <c r="H1691" t="str" cm="1">
        <f t="array" ref="H1691">IFERROR(_xlfn.IFS(B1691="","",AND(B1691="",G1691=""),"",G1691="","記載要"),"")</f>
        <v/>
      </c>
      <c r="K1691" t="str">
        <f t="shared" si="273"/>
        <v>11WP01073996</v>
      </c>
      <c r="L1691" s="3" t="str">
        <f t="shared" si="274"/>
        <v>2001/01/01</v>
      </c>
      <c r="M1691" s="3" t="str">
        <f t="shared" si="275"/>
        <v>2199/12/31</v>
      </c>
      <c r="N1691" t="str">
        <f t="shared" si="276"/>
        <v>11WP01073996</v>
      </c>
      <c r="O1691">
        <v>15</v>
      </c>
      <c r="Q1691" t="str" cm="1">
        <f t="array" ref="Q1691">_xlfn.IFS(AND(C1691="",G1691=""),"",LEFT(G1691,1)="L","記載要",LEFT(G1691,1)="W","",AND(C1691,G1691=""),"記載要")</f>
        <v/>
      </c>
      <c r="R1691" s="21" t="str">
        <f t="shared" si="281"/>
        <v/>
      </c>
      <c r="S1691" s="21"/>
      <c r="Z1691" s="8"/>
      <c r="AA1691">
        <v>1</v>
      </c>
      <c r="AB1691">
        <f t="shared" si="277"/>
        <v>0</v>
      </c>
      <c r="AC1691">
        <v>1</v>
      </c>
      <c r="AF1691">
        <v>1</v>
      </c>
      <c r="AG1691" s="8"/>
      <c r="AH1691" s="8"/>
      <c r="AK1691" cm="1">
        <f t="array" ref="AK1691">_xlfn.IFS(B1691="","",LEFT(G1691,1)="L",1,LEFT(G1691,1)="W",1,AND(LEFT(B1691,1)="H",G1691=""),0)</f>
        <v>1</v>
      </c>
      <c r="AS1691" t="str">
        <f t="shared" si="278"/>
        <v/>
      </c>
      <c r="AT1691" t="s">
        <v>115</v>
      </c>
      <c r="AU1691" t="str">
        <f t="shared" si="279"/>
        <v>0</v>
      </c>
      <c r="BD1691" t="str">
        <f t="shared" si="280"/>
        <v>0</v>
      </c>
      <c r="BK1691" t="str">
        <f>IFERROR(VLOOKUP(B1691,'[1]model_S-フレーム'!$F$5:$R$7000,13,1),"")</f>
        <v>E367816_01</v>
      </c>
      <c r="BL1691" s="7">
        <f>IFERROR(VLOOKUP(B1691,'[1]model_S-フレーム'!$F$5:$V$7000,17,1),"")</f>
        <v>0</v>
      </c>
      <c r="BM1691" t="str" cm="1">
        <f t="array" ref="BM1691">_xlfn.IFS(LEFT(G1691,1)="L","外注品",LEFT(G1691,1)="W","内製品",G1691="","購買品")</f>
        <v>内製品</v>
      </c>
    </row>
    <row r="1692" spans="1:65" s="17" customFormat="1">
      <c r="A1692" t="str">
        <f t="shared" si="272"/>
        <v>WG01</v>
      </c>
      <c r="B1692" t="s">
        <v>1783</v>
      </c>
      <c r="C1692" t="s">
        <v>1923</v>
      </c>
      <c r="D1692" s="7"/>
      <c r="E1692" s="7"/>
      <c r="F1692"/>
      <c r="G1692"/>
      <c r="H1692">
        <v>27616</v>
      </c>
      <c r="I1692"/>
      <c r="J1692"/>
      <c r="K1692" t="str">
        <f t="shared" si="273"/>
        <v/>
      </c>
      <c r="L1692" s="3" t="str">
        <f t="shared" si="274"/>
        <v>2001/01/01</v>
      </c>
      <c r="M1692" s="3" t="str">
        <f t="shared" si="275"/>
        <v>2199/12/31</v>
      </c>
      <c r="N1692" t="str">
        <f t="shared" si="276"/>
        <v/>
      </c>
      <c r="O1692" t="str">
        <f t="shared" ref="O1692:O1711" si="282">IF(G1692="","","記載要")</f>
        <v/>
      </c>
      <c r="P1692"/>
      <c r="Q1692">
        <v>15</v>
      </c>
      <c r="R1692" s="21">
        <v>100000000</v>
      </c>
      <c r="S1692" s="21" t="str" cm="1">
        <f t="array" ref="S1692">_xlfn.IFS(LEFT(G1692,1)="L","記載要",LEFT(G1692,1)="W","記載要",G1692="","")</f>
        <v/>
      </c>
      <c r="T1692"/>
      <c r="U1692"/>
      <c r="V1692"/>
      <c r="W1692"/>
      <c r="X1692"/>
      <c r="Y1692"/>
      <c r="Z1692" s="8"/>
      <c r="AA1692" s="8">
        <v>1</v>
      </c>
      <c r="AB1692">
        <f t="shared" si="277"/>
        <v>0</v>
      </c>
      <c r="AC1692" s="8">
        <v>1</v>
      </c>
      <c r="AD1692"/>
      <c r="AE1692"/>
      <c r="AF1692">
        <v>1</v>
      </c>
      <c r="AG1692" s="8"/>
      <c r="AH1692" s="8"/>
      <c r="AI1692"/>
      <c r="AJ1692"/>
      <c r="AK1692" cm="1">
        <f t="array" ref="AK1692">_xlfn.IFS(B1692="","",LEFT(G1692,1)="L",1,LEFT(G1692,1)="W",1,AND(LEFT(B1692,1)="H",G1692=""),0)</f>
        <v>0</v>
      </c>
      <c r="AL1692"/>
      <c r="AM1692"/>
      <c r="AN1692"/>
      <c r="AO1692"/>
      <c r="AP1692"/>
      <c r="AQ1692"/>
      <c r="AR1692"/>
      <c r="AS1692">
        <f t="shared" si="278"/>
        <v>1</v>
      </c>
      <c r="AT1692" t="s">
        <v>115</v>
      </c>
      <c r="AU1692" t="str">
        <f t="shared" si="279"/>
        <v>0</v>
      </c>
      <c r="AV1692"/>
      <c r="AW1692"/>
      <c r="AX1692"/>
      <c r="AY1692"/>
      <c r="AZ1692"/>
      <c r="BA1692"/>
      <c r="BB1692"/>
      <c r="BC1692"/>
      <c r="BD1692" t="str">
        <f t="shared" si="280"/>
        <v>0</v>
      </c>
      <c r="BE1692"/>
      <c r="BF1692"/>
      <c r="BG1692"/>
      <c r="BH1692"/>
      <c r="BI1692"/>
      <c r="BJ1692"/>
      <c r="BK1692" s="17" t="str">
        <f>IFERROR(VLOOKUP(B1692,'[1]model_S-フレーム'!$F$5:$R$7000,13,1),"")</f>
        <v>E367815_01</v>
      </c>
      <c r="BL1692" s="18">
        <f>IFERROR(VLOOKUP(B1692,'[1]model_S-フレーム'!$F$5:$V$7000,17,1),"")</f>
        <v>0</v>
      </c>
      <c r="BM1692" s="17" t="str" cm="1">
        <f t="array" ref="BM1692">_xlfn.IFS(LEFT(G1692,1)="L","外注品",LEFT(G1692,1)="W","内製品",G1692="","購買品")</f>
        <v>購買品</v>
      </c>
    </row>
    <row r="1693" spans="1:65" s="17" customFormat="1">
      <c r="A1693" t="str">
        <f t="shared" si="272"/>
        <v>WG01</v>
      </c>
      <c r="B1693" t="s">
        <v>1783</v>
      </c>
      <c r="C1693" t="s">
        <v>1923</v>
      </c>
      <c r="D1693" s="7"/>
      <c r="E1693" s="7"/>
      <c r="F1693"/>
      <c r="G1693"/>
      <c r="H1693">
        <v>43453</v>
      </c>
      <c r="I1693"/>
      <c r="J1693"/>
      <c r="K1693" t="str">
        <f t="shared" si="273"/>
        <v/>
      </c>
      <c r="L1693" s="3" t="str">
        <f t="shared" si="274"/>
        <v>2001/01/01</v>
      </c>
      <c r="M1693" s="3" t="str">
        <f t="shared" si="275"/>
        <v>2199/12/31</v>
      </c>
      <c r="N1693" t="str">
        <f t="shared" si="276"/>
        <v/>
      </c>
      <c r="O1693" t="str">
        <f t="shared" si="282"/>
        <v/>
      </c>
      <c r="P1693"/>
      <c r="Q1693">
        <v>15</v>
      </c>
      <c r="R1693" s="21">
        <v>100000000</v>
      </c>
      <c r="S1693" s="21" t="str" cm="1">
        <f t="array" ref="S1693">_xlfn.IFS(LEFT(G1693,1)="L","記載要",LEFT(G1693,1)="W","記載要",G1693="","")</f>
        <v/>
      </c>
      <c r="T1693"/>
      <c r="U1693"/>
      <c r="V1693"/>
      <c r="W1693"/>
      <c r="X1693"/>
      <c r="Y1693"/>
      <c r="Z1693" s="8"/>
      <c r="AA1693" s="8">
        <v>1</v>
      </c>
      <c r="AB1693">
        <f t="shared" si="277"/>
        <v>0</v>
      </c>
      <c r="AC1693" s="8">
        <v>1</v>
      </c>
      <c r="AD1693"/>
      <c r="AE1693"/>
      <c r="AF1693">
        <v>0</v>
      </c>
      <c r="AG1693" s="8"/>
      <c r="AH1693" s="8"/>
      <c r="AI1693"/>
      <c r="AJ1693"/>
      <c r="AK1693" cm="1">
        <f t="array" ref="AK1693">_xlfn.IFS(B1693="","",LEFT(G1693,1)="L",1,LEFT(G1693,1)="W",1,AND(LEFT(B1693,1)="H",G1693=""),0)</f>
        <v>0</v>
      </c>
      <c r="AL1693"/>
      <c r="AM1693"/>
      <c r="AN1693"/>
      <c r="AO1693"/>
      <c r="AP1693"/>
      <c r="AQ1693"/>
      <c r="AR1693"/>
      <c r="AS1693">
        <f t="shared" si="278"/>
        <v>1</v>
      </c>
      <c r="AT1693" t="s">
        <v>115</v>
      </c>
      <c r="AU1693" t="str">
        <f t="shared" si="279"/>
        <v>0</v>
      </c>
      <c r="AV1693"/>
      <c r="AW1693"/>
      <c r="AX1693"/>
      <c r="AY1693"/>
      <c r="AZ1693"/>
      <c r="BA1693"/>
      <c r="BB1693"/>
      <c r="BC1693"/>
      <c r="BD1693" t="str">
        <f t="shared" si="280"/>
        <v>0</v>
      </c>
      <c r="BE1693"/>
      <c r="BF1693"/>
      <c r="BG1693"/>
      <c r="BH1693"/>
      <c r="BI1693"/>
      <c r="BJ1693"/>
      <c r="BK1693" s="17" t="str">
        <f>IFERROR(VLOOKUP(B1693,'[1]model_S-フレーム'!$F$5:$R$7000,13,1),"")</f>
        <v>E367815_01</v>
      </c>
      <c r="BL1693" s="18">
        <f>IFERROR(VLOOKUP(B1693,'[1]model_S-フレーム'!$F$5:$V$7000,17,1),"")</f>
        <v>0</v>
      </c>
      <c r="BM1693" s="17" t="str" cm="1">
        <f t="array" ref="BM1693">_xlfn.IFS(LEFT(G1693,1)="L","外注品",LEFT(G1693,1)="W","内製品",G1693="","購買品")</f>
        <v>購買品</v>
      </c>
    </row>
    <row r="1694" spans="1:65" s="17" customFormat="1">
      <c r="A1694" t="str">
        <f t="shared" si="272"/>
        <v>WG01</v>
      </c>
      <c r="B1694" t="s">
        <v>1783</v>
      </c>
      <c r="C1694" t="s">
        <v>1923</v>
      </c>
      <c r="D1694" s="7"/>
      <c r="E1694" s="7"/>
      <c r="F1694"/>
      <c r="G1694"/>
      <c r="H1694">
        <v>47081</v>
      </c>
      <c r="I1694"/>
      <c r="J1694"/>
      <c r="K1694" t="str">
        <f t="shared" si="273"/>
        <v/>
      </c>
      <c r="L1694" s="3" t="str">
        <f t="shared" si="274"/>
        <v>2001/01/01</v>
      </c>
      <c r="M1694" s="3" t="str">
        <f t="shared" si="275"/>
        <v>2199/12/31</v>
      </c>
      <c r="N1694" t="str">
        <f t="shared" si="276"/>
        <v/>
      </c>
      <c r="O1694" t="str">
        <f t="shared" si="282"/>
        <v/>
      </c>
      <c r="P1694"/>
      <c r="Q1694">
        <v>15</v>
      </c>
      <c r="R1694" s="21">
        <v>100000000</v>
      </c>
      <c r="S1694" s="21" t="str" cm="1">
        <f t="array" ref="S1694">_xlfn.IFS(LEFT(G1694,1)="L","記載要",LEFT(G1694,1)="W","記載要",G1694="","")</f>
        <v/>
      </c>
      <c r="T1694"/>
      <c r="U1694"/>
      <c r="V1694"/>
      <c r="W1694"/>
      <c r="X1694"/>
      <c r="Y1694"/>
      <c r="Z1694" s="8"/>
      <c r="AA1694" s="8">
        <v>1</v>
      </c>
      <c r="AB1694">
        <f t="shared" si="277"/>
        <v>0</v>
      </c>
      <c r="AC1694" s="8">
        <v>1</v>
      </c>
      <c r="AD1694"/>
      <c r="AE1694"/>
      <c r="AF1694">
        <v>0</v>
      </c>
      <c r="AG1694" s="8"/>
      <c r="AH1694" s="8"/>
      <c r="AI1694"/>
      <c r="AJ1694"/>
      <c r="AK1694" cm="1">
        <f t="array" ref="AK1694">_xlfn.IFS(B1694="","",LEFT(G1694,1)="L",1,LEFT(G1694,1)="W",1,AND(LEFT(B1694,1)="H",G1694=""),0)</f>
        <v>0</v>
      </c>
      <c r="AL1694"/>
      <c r="AM1694"/>
      <c r="AN1694"/>
      <c r="AO1694"/>
      <c r="AP1694"/>
      <c r="AQ1694"/>
      <c r="AR1694"/>
      <c r="AS1694">
        <f t="shared" si="278"/>
        <v>1</v>
      </c>
      <c r="AT1694" t="s">
        <v>115</v>
      </c>
      <c r="AU1694" t="str">
        <f t="shared" si="279"/>
        <v>0</v>
      </c>
      <c r="AV1694"/>
      <c r="AW1694"/>
      <c r="AX1694"/>
      <c r="AY1694"/>
      <c r="AZ1694"/>
      <c r="BA1694"/>
      <c r="BB1694"/>
      <c r="BC1694"/>
      <c r="BD1694" t="str">
        <f t="shared" si="280"/>
        <v>0</v>
      </c>
      <c r="BE1694"/>
      <c r="BF1694"/>
      <c r="BG1694"/>
      <c r="BH1694"/>
      <c r="BI1694"/>
      <c r="BJ1694"/>
      <c r="BK1694" s="17" t="str">
        <f>IFERROR(VLOOKUP(B1694,'[1]model_S-フレーム'!$F$5:$R$7000,13,1),"")</f>
        <v>E367815_01</v>
      </c>
      <c r="BL1694" s="18">
        <f>IFERROR(VLOOKUP(B1694,'[1]model_S-フレーム'!$F$5:$V$7000,17,1),"")</f>
        <v>0</v>
      </c>
      <c r="BM1694" s="17" t="str" cm="1">
        <f t="array" ref="BM1694">_xlfn.IFS(LEFT(G1694,1)="L","外注品",LEFT(G1694,1)="W","内製品",G1694="","購買品")</f>
        <v>購買品</v>
      </c>
    </row>
    <row r="1695" spans="1:65">
      <c r="A1695" t="str">
        <f t="shared" si="272"/>
        <v>WG01</v>
      </c>
      <c r="B1695" t="s">
        <v>1783</v>
      </c>
      <c r="C1695" t="s">
        <v>1923</v>
      </c>
      <c r="D1695" s="7"/>
      <c r="E1695" s="7"/>
      <c r="H1695" s="19" t="s">
        <v>1937</v>
      </c>
      <c r="K1695" t="str">
        <f t="shared" si="273"/>
        <v/>
      </c>
      <c r="L1695" s="3" t="str">
        <f t="shared" si="274"/>
        <v>2001/01/01</v>
      </c>
      <c r="M1695" s="3" t="str">
        <f t="shared" si="275"/>
        <v>2199/12/31</v>
      </c>
      <c r="N1695" t="str">
        <f t="shared" si="276"/>
        <v/>
      </c>
      <c r="O1695" t="str">
        <f t="shared" si="282"/>
        <v/>
      </c>
      <c r="Q1695">
        <v>15</v>
      </c>
      <c r="R1695" s="21">
        <v>100000000</v>
      </c>
      <c r="S1695" s="21" t="str" cm="1">
        <f t="array" ref="S1695">_xlfn.IFS(LEFT(G1695,1)="L","記載要",LEFT(G1695,1)="W","記載要",G1695="","")</f>
        <v/>
      </c>
      <c r="Z1695" s="8"/>
      <c r="AA1695" s="8">
        <v>1</v>
      </c>
      <c r="AB1695">
        <f t="shared" si="277"/>
        <v>0</v>
      </c>
      <c r="AC1695" s="8">
        <v>1</v>
      </c>
      <c r="AF1695">
        <v>0</v>
      </c>
      <c r="AG1695" s="8"/>
      <c r="AH1695" s="8"/>
      <c r="AK1695" cm="1">
        <f t="array" ref="AK1695">_xlfn.IFS(B1695="","",LEFT(G1695,1)="L",1,LEFT(G1695,1)="W",1,AND(LEFT(B1695,1)="H",G1695=""),0)</f>
        <v>0</v>
      </c>
      <c r="AS1695">
        <f t="shared" si="278"/>
        <v>1</v>
      </c>
      <c r="AT1695" t="s">
        <v>115</v>
      </c>
      <c r="AU1695" t="str">
        <f t="shared" si="279"/>
        <v>0</v>
      </c>
      <c r="BD1695" t="str">
        <f t="shared" si="280"/>
        <v>0</v>
      </c>
      <c r="BK1695" t="str">
        <f>IFERROR(VLOOKUP(B1695,'[1]model_S-フレーム'!$F$5:$R$7000,13,1),"")</f>
        <v>E367815_01</v>
      </c>
      <c r="BL1695" s="7">
        <f>IFERROR(VLOOKUP(B1695,'[1]model_S-フレーム'!$F$5:$V$7000,17,1),"")</f>
        <v>0</v>
      </c>
      <c r="BM1695" t="str" cm="1">
        <f t="array" ref="BM1695">_xlfn.IFS(LEFT(G1695,1)="L","外注品",LEFT(G1695,1)="W","内製品",G1695="","購買品")</f>
        <v>購買品</v>
      </c>
    </row>
    <row r="1696" spans="1:65" s="17" customFormat="1">
      <c r="A1696" t="str">
        <f t="shared" si="272"/>
        <v>WG01</v>
      </c>
      <c r="B1696" t="s">
        <v>1784</v>
      </c>
      <c r="C1696" t="s">
        <v>1923</v>
      </c>
      <c r="D1696" s="7"/>
      <c r="E1696" s="7"/>
      <c r="F1696"/>
      <c r="G1696"/>
      <c r="H1696">
        <v>27616</v>
      </c>
      <c r="I1696"/>
      <c r="J1696"/>
      <c r="K1696" t="str">
        <f t="shared" si="273"/>
        <v/>
      </c>
      <c r="L1696" s="3" t="str">
        <f t="shared" si="274"/>
        <v>2001/01/01</v>
      </c>
      <c r="M1696" s="3" t="str">
        <f t="shared" si="275"/>
        <v>2199/12/31</v>
      </c>
      <c r="N1696" t="str">
        <f t="shared" si="276"/>
        <v/>
      </c>
      <c r="O1696" t="str">
        <f t="shared" si="282"/>
        <v/>
      </c>
      <c r="P1696"/>
      <c r="Q1696">
        <v>15</v>
      </c>
      <c r="R1696" s="21">
        <v>100000000</v>
      </c>
      <c r="S1696" s="21" t="str" cm="1">
        <f t="array" ref="S1696">_xlfn.IFS(LEFT(G1696,1)="L","記載要",LEFT(G1696,1)="W","記載要",G1696="","")</f>
        <v/>
      </c>
      <c r="T1696"/>
      <c r="U1696"/>
      <c r="V1696"/>
      <c r="W1696"/>
      <c r="X1696"/>
      <c r="Y1696"/>
      <c r="Z1696" s="8"/>
      <c r="AA1696" s="8">
        <v>1</v>
      </c>
      <c r="AB1696">
        <f t="shared" si="277"/>
        <v>0</v>
      </c>
      <c r="AC1696" s="8">
        <v>1</v>
      </c>
      <c r="AD1696"/>
      <c r="AE1696"/>
      <c r="AF1696">
        <v>1</v>
      </c>
      <c r="AG1696" s="8"/>
      <c r="AH1696" s="8"/>
      <c r="AI1696"/>
      <c r="AJ1696"/>
      <c r="AK1696" cm="1">
        <f t="array" ref="AK1696">_xlfn.IFS(B1696="","",LEFT(G1696,1)="L",1,LEFT(G1696,1)="W",1,AND(LEFT(B1696,1)="H",G1696=""),0)</f>
        <v>0</v>
      </c>
      <c r="AL1696"/>
      <c r="AM1696"/>
      <c r="AN1696"/>
      <c r="AO1696"/>
      <c r="AP1696"/>
      <c r="AQ1696"/>
      <c r="AR1696"/>
      <c r="AS1696">
        <f t="shared" si="278"/>
        <v>1</v>
      </c>
      <c r="AT1696" t="s">
        <v>115</v>
      </c>
      <c r="AU1696" t="str">
        <f t="shared" si="279"/>
        <v>0</v>
      </c>
      <c r="AV1696"/>
      <c r="AW1696"/>
      <c r="AX1696"/>
      <c r="AY1696"/>
      <c r="AZ1696"/>
      <c r="BA1696"/>
      <c r="BB1696"/>
      <c r="BC1696"/>
      <c r="BD1696" t="str">
        <f t="shared" si="280"/>
        <v>0</v>
      </c>
      <c r="BE1696"/>
      <c r="BF1696"/>
      <c r="BG1696"/>
      <c r="BH1696"/>
      <c r="BI1696"/>
      <c r="BJ1696"/>
      <c r="BK1696" s="17" t="str">
        <f>IFERROR(VLOOKUP(B1696,'[1]model_S-フレーム'!$F$5:$R$7000,13,1),"")</f>
        <v>E367815_01</v>
      </c>
      <c r="BL1696" s="18">
        <f>IFERROR(VLOOKUP(B1696,'[1]model_S-フレーム'!$F$5:$V$7000,17,1),"")</f>
        <v>0</v>
      </c>
      <c r="BM1696" s="17" t="str" cm="1">
        <f t="array" ref="BM1696">_xlfn.IFS(LEFT(G1696,1)="L","外注品",LEFT(G1696,1)="W","内製品",G1696="","購買品")</f>
        <v>購買品</v>
      </c>
    </row>
    <row r="1697" spans="1:65" s="17" customFormat="1">
      <c r="A1697" t="str">
        <f t="shared" si="272"/>
        <v>WG01</v>
      </c>
      <c r="B1697" t="s">
        <v>1784</v>
      </c>
      <c r="C1697" t="s">
        <v>1923</v>
      </c>
      <c r="D1697" s="7"/>
      <c r="E1697" s="7"/>
      <c r="F1697"/>
      <c r="G1697"/>
      <c r="H1697">
        <v>43453</v>
      </c>
      <c r="I1697"/>
      <c r="J1697"/>
      <c r="K1697" t="str">
        <f t="shared" si="273"/>
        <v/>
      </c>
      <c r="L1697" s="3" t="str">
        <f t="shared" si="274"/>
        <v>2001/01/01</v>
      </c>
      <c r="M1697" s="3" t="str">
        <f t="shared" si="275"/>
        <v>2199/12/31</v>
      </c>
      <c r="N1697" t="str">
        <f t="shared" si="276"/>
        <v/>
      </c>
      <c r="O1697" t="str">
        <f t="shared" si="282"/>
        <v/>
      </c>
      <c r="P1697"/>
      <c r="Q1697">
        <v>15</v>
      </c>
      <c r="R1697" s="21">
        <v>100000000</v>
      </c>
      <c r="S1697" s="21" t="str" cm="1">
        <f t="array" ref="S1697">_xlfn.IFS(LEFT(G1697,1)="L","記載要",LEFT(G1697,1)="W","記載要",G1697="","")</f>
        <v/>
      </c>
      <c r="T1697"/>
      <c r="U1697"/>
      <c r="V1697"/>
      <c r="W1697"/>
      <c r="X1697"/>
      <c r="Y1697"/>
      <c r="Z1697" s="8"/>
      <c r="AA1697" s="8">
        <v>1</v>
      </c>
      <c r="AB1697">
        <f t="shared" si="277"/>
        <v>0</v>
      </c>
      <c r="AC1697" s="8">
        <v>1</v>
      </c>
      <c r="AD1697"/>
      <c r="AE1697"/>
      <c r="AF1697">
        <v>0</v>
      </c>
      <c r="AG1697" s="8"/>
      <c r="AH1697" s="8"/>
      <c r="AI1697"/>
      <c r="AJ1697"/>
      <c r="AK1697" cm="1">
        <f t="array" ref="AK1697">_xlfn.IFS(B1697="","",LEFT(G1697,1)="L",1,LEFT(G1697,1)="W",1,AND(LEFT(B1697,1)="H",G1697=""),0)</f>
        <v>0</v>
      </c>
      <c r="AL1697"/>
      <c r="AM1697"/>
      <c r="AN1697"/>
      <c r="AO1697"/>
      <c r="AP1697"/>
      <c r="AQ1697"/>
      <c r="AR1697"/>
      <c r="AS1697">
        <f t="shared" si="278"/>
        <v>1</v>
      </c>
      <c r="AT1697" t="s">
        <v>115</v>
      </c>
      <c r="AU1697" t="str">
        <f t="shared" si="279"/>
        <v>0</v>
      </c>
      <c r="AV1697"/>
      <c r="AW1697"/>
      <c r="AX1697"/>
      <c r="AY1697"/>
      <c r="AZ1697"/>
      <c r="BA1697"/>
      <c r="BB1697"/>
      <c r="BC1697"/>
      <c r="BD1697" t="str">
        <f t="shared" si="280"/>
        <v>0</v>
      </c>
      <c r="BE1697"/>
      <c r="BF1697"/>
      <c r="BG1697"/>
      <c r="BH1697"/>
      <c r="BI1697"/>
      <c r="BJ1697"/>
      <c r="BK1697" s="17" t="str">
        <f>IFERROR(VLOOKUP(B1697,'[1]model_S-フレーム'!$F$5:$R$7000,13,1),"")</f>
        <v>E367815_01</v>
      </c>
      <c r="BL1697" s="18">
        <f>IFERROR(VLOOKUP(B1697,'[1]model_S-フレーム'!$F$5:$V$7000,17,1),"")</f>
        <v>0</v>
      </c>
      <c r="BM1697" s="17" t="str" cm="1">
        <f t="array" ref="BM1697">_xlfn.IFS(LEFT(G1697,1)="L","外注品",LEFT(G1697,1)="W","内製品",G1697="","購買品")</f>
        <v>購買品</v>
      </c>
    </row>
    <row r="1698" spans="1:65" s="17" customFormat="1">
      <c r="A1698" t="str">
        <f t="shared" si="272"/>
        <v>WG01</v>
      </c>
      <c r="B1698" t="s">
        <v>1784</v>
      </c>
      <c r="C1698" t="s">
        <v>1923</v>
      </c>
      <c r="D1698" s="7"/>
      <c r="E1698" s="7"/>
      <c r="F1698"/>
      <c r="G1698"/>
      <c r="H1698">
        <v>47081</v>
      </c>
      <c r="I1698"/>
      <c r="J1698"/>
      <c r="K1698" t="str">
        <f t="shared" si="273"/>
        <v/>
      </c>
      <c r="L1698" s="3" t="str">
        <f t="shared" si="274"/>
        <v>2001/01/01</v>
      </c>
      <c r="M1698" s="3" t="str">
        <f t="shared" si="275"/>
        <v>2199/12/31</v>
      </c>
      <c r="N1698" t="str">
        <f t="shared" si="276"/>
        <v/>
      </c>
      <c r="O1698" t="str">
        <f t="shared" si="282"/>
        <v/>
      </c>
      <c r="P1698"/>
      <c r="Q1698">
        <v>15</v>
      </c>
      <c r="R1698" s="21">
        <v>100000000</v>
      </c>
      <c r="S1698" s="21" t="str" cm="1">
        <f t="array" ref="S1698">_xlfn.IFS(LEFT(G1698,1)="L","記載要",LEFT(G1698,1)="W","記載要",G1698="","")</f>
        <v/>
      </c>
      <c r="T1698"/>
      <c r="U1698"/>
      <c r="V1698"/>
      <c r="W1698"/>
      <c r="X1698"/>
      <c r="Y1698"/>
      <c r="Z1698" s="8"/>
      <c r="AA1698" s="8">
        <v>1</v>
      </c>
      <c r="AB1698">
        <f t="shared" si="277"/>
        <v>0</v>
      </c>
      <c r="AC1698" s="8">
        <v>1</v>
      </c>
      <c r="AD1698"/>
      <c r="AE1698"/>
      <c r="AF1698">
        <v>0</v>
      </c>
      <c r="AG1698" s="8"/>
      <c r="AH1698" s="8"/>
      <c r="AI1698"/>
      <c r="AJ1698"/>
      <c r="AK1698" cm="1">
        <f t="array" ref="AK1698">_xlfn.IFS(B1698="","",LEFT(G1698,1)="L",1,LEFT(G1698,1)="W",1,AND(LEFT(B1698,1)="H",G1698=""),0)</f>
        <v>0</v>
      </c>
      <c r="AL1698"/>
      <c r="AM1698"/>
      <c r="AN1698"/>
      <c r="AO1698"/>
      <c r="AP1698"/>
      <c r="AQ1698"/>
      <c r="AR1698"/>
      <c r="AS1698">
        <f t="shared" si="278"/>
        <v>1</v>
      </c>
      <c r="AT1698" t="s">
        <v>115</v>
      </c>
      <c r="AU1698" t="str">
        <f t="shared" si="279"/>
        <v>0</v>
      </c>
      <c r="AV1698"/>
      <c r="AW1698"/>
      <c r="AX1698"/>
      <c r="AY1698"/>
      <c r="AZ1698"/>
      <c r="BA1698"/>
      <c r="BB1698"/>
      <c r="BC1698"/>
      <c r="BD1698" t="str">
        <f t="shared" si="280"/>
        <v>0</v>
      </c>
      <c r="BE1698"/>
      <c r="BF1698"/>
      <c r="BG1698"/>
      <c r="BH1698"/>
      <c r="BI1698"/>
      <c r="BJ1698"/>
      <c r="BK1698" s="17" t="str">
        <f>IFERROR(VLOOKUP(B1698,'[1]model_S-フレーム'!$F$5:$R$7000,13,1),"")</f>
        <v>E367815_01</v>
      </c>
      <c r="BL1698" s="18">
        <f>IFERROR(VLOOKUP(B1698,'[1]model_S-フレーム'!$F$5:$V$7000,17,1),"")</f>
        <v>0</v>
      </c>
      <c r="BM1698" s="17" t="str" cm="1">
        <f t="array" ref="BM1698">_xlfn.IFS(LEFT(G1698,1)="L","外注品",LEFT(G1698,1)="W","内製品",G1698="","購買品")</f>
        <v>購買品</v>
      </c>
    </row>
    <row r="1699" spans="1:65">
      <c r="A1699" t="str">
        <f t="shared" si="272"/>
        <v>WG01</v>
      </c>
      <c r="B1699" t="s">
        <v>1784</v>
      </c>
      <c r="C1699" t="s">
        <v>1923</v>
      </c>
      <c r="D1699" s="7"/>
      <c r="E1699" s="7"/>
      <c r="H1699" s="19" t="s">
        <v>1937</v>
      </c>
      <c r="K1699" t="str">
        <f t="shared" si="273"/>
        <v/>
      </c>
      <c r="L1699" s="3" t="str">
        <f t="shared" si="274"/>
        <v>2001/01/01</v>
      </c>
      <c r="M1699" s="3" t="str">
        <f t="shared" si="275"/>
        <v>2199/12/31</v>
      </c>
      <c r="N1699" t="str">
        <f t="shared" si="276"/>
        <v/>
      </c>
      <c r="O1699" t="str">
        <f t="shared" si="282"/>
        <v/>
      </c>
      <c r="Q1699">
        <v>15</v>
      </c>
      <c r="R1699" s="21">
        <v>100000000</v>
      </c>
      <c r="S1699" s="21" t="str" cm="1">
        <f t="array" ref="S1699">_xlfn.IFS(LEFT(G1699,1)="L","記載要",LEFT(G1699,1)="W","記載要",G1699="","")</f>
        <v/>
      </c>
      <c r="Z1699" s="8"/>
      <c r="AA1699" s="8">
        <v>1</v>
      </c>
      <c r="AB1699">
        <f t="shared" si="277"/>
        <v>0</v>
      </c>
      <c r="AC1699" s="8">
        <v>1</v>
      </c>
      <c r="AF1699">
        <v>0</v>
      </c>
      <c r="AG1699" s="8"/>
      <c r="AH1699" s="8"/>
      <c r="AK1699" cm="1">
        <f t="array" ref="AK1699">_xlfn.IFS(B1699="","",LEFT(G1699,1)="L",1,LEFT(G1699,1)="W",1,AND(LEFT(B1699,1)="H",G1699=""),0)</f>
        <v>0</v>
      </c>
      <c r="AS1699">
        <f t="shared" si="278"/>
        <v>1</v>
      </c>
      <c r="AT1699" t="s">
        <v>115</v>
      </c>
      <c r="AU1699" t="str">
        <f t="shared" si="279"/>
        <v>0</v>
      </c>
      <c r="BD1699" t="str">
        <f t="shared" si="280"/>
        <v>0</v>
      </c>
      <c r="BK1699" t="str">
        <f>IFERROR(VLOOKUP(B1699,'[1]model_S-フレーム'!$F$5:$R$7000,13,1),"")</f>
        <v>E367815_01</v>
      </c>
      <c r="BL1699" s="7">
        <f>IFERROR(VLOOKUP(B1699,'[1]model_S-フレーム'!$F$5:$V$7000,17,1),"")</f>
        <v>0</v>
      </c>
      <c r="BM1699" t="str" cm="1">
        <f t="array" ref="BM1699">_xlfn.IFS(LEFT(G1699,1)="L","外注品",LEFT(G1699,1)="W","内製品",G1699="","購買品")</f>
        <v>購買品</v>
      </c>
    </row>
    <row r="1700" spans="1:65" s="17" customFormat="1">
      <c r="A1700" t="str">
        <f t="shared" si="272"/>
        <v>WG01</v>
      </c>
      <c r="B1700" t="s">
        <v>1785</v>
      </c>
      <c r="C1700" t="s">
        <v>1923</v>
      </c>
      <c r="D1700" s="7"/>
      <c r="E1700" s="7"/>
      <c r="F1700"/>
      <c r="G1700"/>
      <c r="H1700">
        <v>27616</v>
      </c>
      <c r="I1700"/>
      <c r="J1700"/>
      <c r="K1700" t="str">
        <f t="shared" si="273"/>
        <v/>
      </c>
      <c r="L1700" s="3" t="str">
        <f t="shared" si="274"/>
        <v>2001/01/01</v>
      </c>
      <c r="M1700" s="3" t="str">
        <f t="shared" si="275"/>
        <v>2199/12/31</v>
      </c>
      <c r="N1700" t="str">
        <f t="shared" si="276"/>
        <v/>
      </c>
      <c r="O1700" t="str">
        <f t="shared" si="282"/>
        <v/>
      </c>
      <c r="P1700"/>
      <c r="Q1700">
        <v>15</v>
      </c>
      <c r="R1700" s="21">
        <v>100000000</v>
      </c>
      <c r="S1700" s="21" t="str" cm="1">
        <f t="array" ref="S1700">_xlfn.IFS(LEFT(G1700,1)="L","記載要",LEFT(G1700,1)="W","記載要",G1700="","")</f>
        <v/>
      </c>
      <c r="T1700"/>
      <c r="U1700"/>
      <c r="V1700"/>
      <c r="W1700"/>
      <c r="X1700"/>
      <c r="Y1700"/>
      <c r="Z1700" s="8"/>
      <c r="AA1700" s="8">
        <v>1</v>
      </c>
      <c r="AB1700">
        <f t="shared" si="277"/>
        <v>0</v>
      </c>
      <c r="AC1700" s="8">
        <v>1</v>
      </c>
      <c r="AD1700"/>
      <c r="AE1700"/>
      <c r="AF1700">
        <v>1</v>
      </c>
      <c r="AG1700" s="8"/>
      <c r="AH1700" s="8"/>
      <c r="AI1700"/>
      <c r="AJ1700"/>
      <c r="AK1700" cm="1">
        <f t="array" ref="AK1700">_xlfn.IFS(B1700="","",LEFT(G1700,1)="L",1,LEFT(G1700,1)="W",1,AND(LEFT(B1700,1)="H",G1700=""),0)</f>
        <v>0</v>
      </c>
      <c r="AL1700"/>
      <c r="AM1700"/>
      <c r="AN1700"/>
      <c r="AO1700"/>
      <c r="AP1700"/>
      <c r="AQ1700"/>
      <c r="AR1700"/>
      <c r="AS1700">
        <f t="shared" si="278"/>
        <v>1</v>
      </c>
      <c r="AT1700" t="s">
        <v>115</v>
      </c>
      <c r="AU1700" t="str">
        <f t="shared" si="279"/>
        <v>0</v>
      </c>
      <c r="AV1700"/>
      <c r="AW1700"/>
      <c r="AX1700"/>
      <c r="AY1700"/>
      <c r="AZ1700"/>
      <c r="BA1700"/>
      <c r="BB1700"/>
      <c r="BC1700"/>
      <c r="BD1700" t="str">
        <f t="shared" si="280"/>
        <v>0</v>
      </c>
      <c r="BE1700"/>
      <c r="BF1700"/>
      <c r="BG1700"/>
      <c r="BH1700"/>
      <c r="BI1700"/>
      <c r="BJ1700"/>
      <c r="BK1700" s="17" t="str">
        <f>IFERROR(VLOOKUP(B1700,'[1]model_S-フレーム'!$F$5:$R$7000,13,1),"")</f>
        <v>E367815_01</v>
      </c>
      <c r="BL1700" s="18">
        <f>IFERROR(VLOOKUP(B1700,'[1]model_S-フレーム'!$F$5:$V$7000,17,1),"")</f>
        <v>0</v>
      </c>
      <c r="BM1700" s="17" t="str" cm="1">
        <f t="array" ref="BM1700">_xlfn.IFS(LEFT(G1700,1)="L","外注品",LEFT(G1700,1)="W","内製品",G1700="","購買品")</f>
        <v>購買品</v>
      </c>
    </row>
    <row r="1701" spans="1:65" s="17" customFormat="1">
      <c r="A1701" t="str">
        <f t="shared" si="272"/>
        <v>WG01</v>
      </c>
      <c r="B1701" t="s">
        <v>1785</v>
      </c>
      <c r="C1701" t="s">
        <v>1923</v>
      </c>
      <c r="D1701" s="7"/>
      <c r="E1701" s="7"/>
      <c r="F1701"/>
      <c r="G1701"/>
      <c r="H1701">
        <v>43453</v>
      </c>
      <c r="I1701"/>
      <c r="J1701"/>
      <c r="K1701" t="str">
        <f t="shared" si="273"/>
        <v/>
      </c>
      <c r="L1701" s="3" t="str">
        <f t="shared" si="274"/>
        <v>2001/01/01</v>
      </c>
      <c r="M1701" s="3" t="str">
        <f t="shared" si="275"/>
        <v>2199/12/31</v>
      </c>
      <c r="N1701" t="str">
        <f t="shared" si="276"/>
        <v/>
      </c>
      <c r="O1701" t="str">
        <f t="shared" si="282"/>
        <v/>
      </c>
      <c r="P1701"/>
      <c r="Q1701">
        <v>15</v>
      </c>
      <c r="R1701" s="21">
        <v>100000000</v>
      </c>
      <c r="S1701" s="21" t="str" cm="1">
        <f t="array" ref="S1701">_xlfn.IFS(LEFT(G1701,1)="L","記載要",LEFT(G1701,1)="W","記載要",G1701="","")</f>
        <v/>
      </c>
      <c r="T1701"/>
      <c r="U1701"/>
      <c r="V1701"/>
      <c r="W1701"/>
      <c r="X1701"/>
      <c r="Y1701"/>
      <c r="Z1701" s="8"/>
      <c r="AA1701" s="8">
        <v>1</v>
      </c>
      <c r="AB1701">
        <f t="shared" si="277"/>
        <v>0</v>
      </c>
      <c r="AC1701" s="8">
        <v>1</v>
      </c>
      <c r="AD1701"/>
      <c r="AE1701"/>
      <c r="AF1701">
        <v>0</v>
      </c>
      <c r="AG1701" s="8"/>
      <c r="AH1701" s="8"/>
      <c r="AI1701"/>
      <c r="AJ1701"/>
      <c r="AK1701" cm="1">
        <f t="array" ref="AK1701">_xlfn.IFS(B1701="","",LEFT(G1701,1)="L",1,LEFT(G1701,1)="W",1,AND(LEFT(B1701,1)="H",G1701=""),0)</f>
        <v>0</v>
      </c>
      <c r="AL1701"/>
      <c r="AM1701"/>
      <c r="AN1701"/>
      <c r="AO1701"/>
      <c r="AP1701"/>
      <c r="AQ1701"/>
      <c r="AR1701"/>
      <c r="AS1701">
        <f t="shared" si="278"/>
        <v>1</v>
      </c>
      <c r="AT1701" t="s">
        <v>115</v>
      </c>
      <c r="AU1701" t="str">
        <f t="shared" si="279"/>
        <v>0</v>
      </c>
      <c r="AV1701"/>
      <c r="AW1701"/>
      <c r="AX1701"/>
      <c r="AY1701"/>
      <c r="AZ1701"/>
      <c r="BA1701"/>
      <c r="BB1701"/>
      <c r="BC1701"/>
      <c r="BD1701" t="str">
        <f t="shared" si="280"/>
        <v>0</v>
      </c>
      <c r="BE1701"/>
      <c r="BF1701"/>
      <c r="BG1701"/>
      <c r="BH1701"/>
      <c r="BI1701"/>
      <c r="BJ1701"/>
      <c r="BK1701" s="17" t="str">
        <f>IFERROR(VLOOKUP(B1701,'[1]model_S-フレーム'!$F$5:$R$7000,13,1),"")</f>
        <v>E367815_01</v>
      </c>
      <c r="BL1701" s="18">
        <f>IFERROR(VLOOKUP(B1701,'[1]model_S-フレーム'!$F$5:$V$7000,17,1),"")</f>
        <v>0</v>
      </c>
      <c r="BM1701" s="17" t="str" cm="1">
        <f t="array" ref="BM1701">_xlfn.IFS(LEFT(G1701,1)="L","外注品",LEFT(G1701,1)="W","内製品",G1701="","購買品")</f>
        <v>購買品</v>
      </c>
    </row>
    <row r="1702" spans="1:65" s="17" customFormat="1">
      <c r="A1702" t="str">
        <f t="shared" si="272"/>
        <v>WG01</v>
      </c>
      <c r="B1702" t="s">
        <v>1785</v>
      </c>
      <c r="C1702" t="s">
        <v>1923</v>
      </c>
      <c r="D1702" s="7"/>
      <c r="E1702" s="7"/>
      <c r="F1702"/>
      <c r="G1702"/>
      <c r="H1702">
        <v>47081</v>
      </c>
      <c r="I1702"/>
      <c r="J1702"/>
      <c r="K1702" t="str">
        <f t="shared" si="273"/>
        <v/>
      </c>
      <c r="L1702" s="3" t="str">
        <f t="shared" si="274"/>
        <v>2001/01/01</v>
      </c>
      <c r="M1702" s="3" t="str">
        <f t="shared" si="275"/>
        <v>2199/12/31</v>
      </c>
      <c r="N1702" t="str">
        <f t="shared" si="276"/>
        <v/>
      </c>
      <c r="O1702" t="str">
        <f t="shared" si="282"/>
        <v/>
      </c>
      <c r="P1702"/>
      <c r="Q1702">
        <v>15</v>
      </c>
      <c r="R1702" s="21">
        <v>100000000</v>
      </c>
      <c r="S1702" s="21" t="str" cm="1">
        <f t="array" ref="S1702">_xlfn.IFS(LEFT(G1702,1)="L","記載要",LEFT(G1702,1)="W","記載要",G1702="","")</f>
        <v/>
      </c>
      <c r="T1702"/>
      <c r="U1702"/>
      <c r="V1702"/>
      <c r="W1702"/>
      <c r="X1702"/>
      <c r="Y1702"/>
      <c r="Z1702" s="8"/>
      <c r="AA1702" s="8">
        <v>1</v>
      </c>
      <c r="AB1702">
        <f t="shared" si="277"/>
        <v>0</v>
      </c>
      <c r="AC1702" s="8">
        <v>1</v>
      </c>
      <c r="AD1702"/>
      <c r="AE1702"/>
      <c r="AF1702">
        <v>0</v>
      </c>
      <c r="AG1702" s="8"/>
      <c r="AH1702" s="8"/>
      <c r="AI1702"/>
      <c r="AJ1702"/>
      <c r="AK1702" cm="1">
        <f t="array" ref="AK1702">_xlfn.IFS(B1702="","",LEFT(G1702,1)="L",1,LEFT(G1702,1)="W",1,AND(LEFT(B1702,1)="H",G1702=""),0)</f>
        <v>0</v>
      </c>
      <c r="AL1702"/>
      <c r="AM1702"/>
      <c r="AN1702"/>
      <c r="AO1702"/>
      <c r="AP1702"/>
      <c r="AQ1702"/>
      <c r="AR1702"/>
      <c r="AS1702">
        <f t="shared" si="278"/>
        <v>1</v>
      </c>
      <c r="AT1702" t="s">
        <v>115</v>
      </c>
      <c r="AU1702" t="str">
        <f t="shared" si="279"/>
        <v>0</v>
      </c>
      <c r="AV1702"/>
      <c r="AW1702"/>
      <c r="AX1702"/>
      <c r="AY1702"/>
      <c r="AZ1702"/>
      <c r="BA1702"/>
      <c r="BB1702"/>
      <c r="BC1702"/>
      <c r="BD1702" t="str">
        <f t="shared" si="280"/>
        <v>0</v>
      </c>
      <c r="BE1702"/>
      <c r="BF1702"/>
      <c r="BG1702"/>
      <c r="BH1702"/>
      <c r="BI1702"/>
      <c r="BJ1702"/>
      <c r="BK1702" s="17" t="str">
        <f>IFERROR(VLOOKUP(B1702,'[1]model_S-フレーム'!$F$5:$R$7000,13,1),"")</f>
        <v>E367815_01</v>
      </c>
      <c r="BL1702" s="18">
        <f>IFERROR(VLOOKUP(B1702,'[1]model_S-フレーム'!$F$5:$V$7000,17,1),"")</f>
        <v>0</v>
      </c>
      <c r="BM1702" s="17" t="str" cm="1">
        <f t="array" ref="BM1702">_xlfn.IFS(LEFT(G1702,1)="L","外注品",LEFT(G1702,1)="W","内製品",G1702="","購買品")</f>
        <v>購買品</v>
      </c>
    </row>
    <row r="1703" spans="1:65">
      <c r="A1703" t="str">
        <f t="shared" si="272"/>
        <v>WG01</v>
      </c>
      <c r="B1703" t="s">
        <v>1785</v>
      </c>
      <c r="C1703" t="s">
        <v>1923</v>
      </c>
      <c r="D1703" s="7"/>
      <c r="E1703" s="7"/>
      <c r="H1703" s="19" t="s">
        <v>1937</v>
      </c>
      <c r="K1703" t="str">
        <f t="shared" si="273"/>
        <v/>
      </c>
      <c r="L1703" s="3" t="str">
        <f t="shared" si="274"/>
        <v>2001/01/01</v>
      </c>
      <c r="M1703" s="3" t="str">
        <f t="shared" si="275"/>
        <v>2199/12/31</v>
      </c>
      <c r="N1703" t="str">
        <f t="shared" si="276"/>
        <v/>
      </c>
      <c r="O1703" t="str">
        <f t="shared" si="282"/>
        <v/>
      </c>
      <c r="Q1703">
        <v>15</v>
      </c>
      <c r="R1703" s="21">
        <v>100000000</v>
      </c>
      <c r="S1703" s="21" t="str" cm="1">
        <f t="array" ref="S1703">_xlfn.IFS(LEFT(G1703,1)="L","記載要",LEFT(G1703,1)="W","記載要",G1703="","")</f>
        <v/>
      </c>
      <c r="Z1703" s="8"/>
      <c r="AA1703" s="8">
        <v>1</v>
      </c>
      <c r="AB1703">
        <f t="shared" si="277"/>
        <v>0</v>
      </c>
      <c r="AC1703" s="8">
        <v>1</v>
      </c>
      <c r="AF1703">
        <v>0</v>
      </c>
      <c r="AG1703" s="8"/>
      <c r="AH1703" s="8"/>
      <c r="AK1703" cm="1">
        <f t="array" ref="AK1703">_xlfn.IFS(B1703="","",LEFT(G1703,1)="L",1,LEFT(G1703,1)="W",1,AND(LEFT(B1703,1)="H",G1703=""),0)</f>
        <v>0</v>
      </c>
      <c r="AS1703">
        <f t="shared" si="278"/>
        <v>1</v>
      </c>
      <c r="AT1703" t="s">
        <v>115</v>
      </c>
      <c r="AU1703" t="str">
        <f t="shared" si="279"/>
        <v>0</v>
      </c>
      <c r="BD1703" t="str">
        <f t="shared" si="280"/>
        <v>0</v>
      </c>
      <c r="BK1703" t="str">
        <f>IFERROR(VLOOKUP(B1703,'[1]model_S-フレーム'!$F$5:$R$7000,13,1),"")</f>
        <v>E367815_01</v>
      </c>
      <c r="BL1703" s="7">
        <f>IFERROR(VLOOKUP(B1703,'[1]model_S-フレーム'!$F$5:$V$7000,17,1),"")</f>
        <v>0</v>
      </c>
      <c r="BM1703" t="str" cm="1">
        <f t="array" ref="BM1703">_xlfn.IFS(LEFT(G1703,1)="L","外注品",LEFT(G1703,1)="W","内製品",G1703="","購買品")</f>
        <v>購買品</v>
      </c>
    </row>
    <row r="1704" spans="1:65" s="17" customFormat="1">
      <c r="A1704" t="str">
        <f t="shared" si="272"/>
        <v>WG01</v>
      </c>
      <c r="B1704" t="s">
        <v>1786</v>
      </c>
      <c r="C1704" t="s">
        <v>1923</v>
      </c>
      <c r="D1704" s="7"/>
      <c r="E1704" s="7"/>
      <c r="F1704"/>
      <c r="G1704"/>
      <c r="H1704">
        <v>27616</v>
      </c>
      <c r="I1704"/>
      <c r="J1704"/>
      <c r="K1704" t="str">
        <f t="shared" si="273"/>
        <v/>
      </c>
      <c r="L1704" s="3" t="str">
        <f t="shared" si="274"/>
        <v>2001/01/01</v>
      </c>
      <c r="M1704" s="3" t="str">
        <f t="shared" si="275"/>
        <v>2199/12/31</v>
      </c>
      <c r="N1704" t="str">
        <f t="shared" si="276"/>
        <v/>
      </c>
      <c r="O1704" t="str">
        <f t="shared" si="282"/>
        <v/>
      </c>
      <c r="P1704"/>
      <c r="Q1704">
        <v>15</v>
      </c>
      <c r="R1704" s="21">
        <v>100000000</v>
      </c>
      <c r="S1704" s="21" t="str" cm="1">
        <f t="array" ref="S1704">_xlfn.IFS(LEFT(G1704,1)="L","記載要",LEFT(G1704,1)="W","記載要",G1704="","")</f>
        <v/>
      </c>
      <c r="T1704"/>
      <c r="U1704"/>
      <c r="V1704"/>
      <c r="W1704"/>
      <c r="X1704"/>
      <c r="Y1704"/>
      <c r="Z1704" s="8"/>
      <c r="AA1704" s="8">
        <v>1</v>
      </c>
      <c r="AB1704">
        <f t="shared" si="277"/>
        <v>0</v>
      </c>
      <c r="AC1704" s="8">
        <v>1</v>
      </c>
      <c r="AD1704"/>
      <c r="AE1704"/>
      <c r="AF1704">
        <v>1</v>
      </c>
      <c r="AG1704" s="8"/>
      <c r="AH1704" s="8"/>
      <c r="AI1704"/>
      <c r="AJ1704"/>
      <c r="AK1704" cm="1">
        <f t="array" ref="AK1704">_xlfn.IFS(B1704="","",LEFT(G1704,1)="L",1,LEFT(G1704,1)="W",1,AND(LEFT(B1704,1)="H",G1704=""),0)</f>
        <v>0</v>
      </c>
      <c r="AL1704"/>
      <c r="AM1704"/>
      <c r="AN1704"/>
      <c r="AO1704"/>
      <c r="AP1704"/>
      <c r="AQ1704"/>
      <c r="AR1704"/>
      <c r="AS1704">
        <f t="shared" si="278"/>
        <v>1</v>
      </c>
      <c r="AT1704" t="s">
        <v>115</v>
      </c>
      <c r="AU1704" t="str">
        <f t="shared" si="279"/>
        <v>0</v>
      </c>
      <c r="AV1704"/>
      <c r="AW1704"/>
      <c r="AX1704"/>
      <c r="AY1704"/>
      <c r="AZ1704"/>
      <c r="BA1704"/>
      <c r="BB1704"/>
      <c r="BC1704"/>
      <c r="BD1704" t="str">
        <f t="shared" si="280"/>
        <v>0</v>
      </c>
      <c r="BE1704"/>
      <c r="BF1704"/>
      <c r="BG1704"/>
      <c r="BH1704"/>
      <c r="BI1704"/>
      <c r="BJ1704"/>
      <c r="BK1704" s="17" t="str">
        <f>IFERROR(VLOOKUP(B1704,'[1]model_S-フレーム'!$F$5:$R$7000,13,1),"")</f>
        <v>E367815_01</v>
      </c>
      <c r="BL1704" s="18">
        <f>IFERROR(VLOOKUP(B1704,'[1]model_S-フレーム'!$F$5:$V$7000,17,1),"")</f>
        <v>0</v>
      </c>
      <c r="BM1704" s="17" t="str" cm="1">
        <f t="array" ref="BM1704">_xlfn.IFS(LEFT(G1704,1)="L","外注品",LEFT(G1704,1)="W","内製品",G1704="","購買品")</f>
        <v>購買品</v>
      </c>
    </row>
    <row r="1705" spans="1:65" s="17" customFormat="1">
      <c r="A1705" t="str">
        <f t="shared" si="272"/>
        <v>WG01</v>
      </c>
      <c r="B1705" t="s">
        <v>1786</v>
      </c>
      <c r="C1705" t="s">
        <v>1923</v>
      </c>
      <c r="D1705" s="7"/>
      <c r="E1705" s="7"/>
      <c r="F1705"/>
      <c r="G1705"/>
      <c r="H1705">
        <v>43453</v>
      </c>
      <c r="I1705"/>
      <c r="J1705"/>
      <c r="K1705" t="str">
        <f t="shared" si="273"/>
        <v/>
      </c>
      <c r="L1705" s="3" t="str">
        <f t="shared" si="274"/>
        <v>2001/01/01</v>
      </c>
      <c r="M1705" s="3" t="str">
        <f t="shared" si="275"/>
        <v>2199/12/31</v>
      </c>
      <c r="N1705" t="str">
        <f t="shared" si="276"/>
        <v/>
      </c>
      <c r="O1705" t="str">
        <f t="shared" si="282"/>
        <v/>
      </c>
      <c r="P1705"/>
      <c r="Q1705">
        <v>15</v>
      </c>
      <c r="R1705" s="21">
        <v>100000000</v>
      </c>
      <c r="S1705" s="21" t="str" cm="1">
        <f t="array" ref="S1705">_xlfn.IFS(LEFT(G1705,1)="L","記載要",LEFT(G1705,1)="W","記載要",G1705="","")</f>
        <v/>
      </c>
      <c r="T1705"/>
      <c r="U1705"/>
      <c r="V1705"/>
      <c r="W1705"/>
      <c r="X1705"/>
      <c r="Y1705"/>
      <c r="Z1705" s="8"/>
      <c r="AA1705" s="8">
        <v>1</v>
      </c>
      <c r="AB1705">
        <f t="shared" si="277"/>
        <v>0</v>
      </c>
      <c r="AC1705" s="8">
        <v>1</v>
      </c>
      <c r="AD1705"/>
      <c r="AE1705"/>
      <c r="AF1705">
        <v>0</v>
      </c>
      <c r="AG1705" s="8"/>
      <c r="AH1705" s="8"/>
      <c r="AI1705"/>
      <c r="AJ1705"/>
      <c r="AK1705" cm="1">
        <f t="array" ref="AK1705">_xlfn.IFS(B1705="","",LEFT(G1705,1)="L",1,LEFT(G1705,1)="W",1,AND(LEFT(B1705,1)="H",G1705=""),0)</f>
        <v>0</v>
      </c>
      <c r="AL1705"/>
      <c r="AM1705"/>
      <c r="AN1705"/>
      <c r="AO1705"/>
      <c r="AP1705"/>
      <c r="AQ1705"/>
      <c r="AR1705"/>
      <c r="AS1705">
        <f t="shared" si="278"/>
        <v>1</v>
      </c>
      <c r="AT1705" t="s">
        <v>115</v>
      </c>
      <c r="AU1705" t="str">
        <f t="shared" si="279"/>
        <v>0</v>
      </c>
      <c r="AV1705"/>
      <c r="AW1705"/>
      <c r="AX1705"/>
      <c r="AY1705"/>
      <c r="AZ1705"/>
      <c r="BA1705"/>
      <c r="BB1705"/>
      <c r="BC1705"/>
      <c r="BD1705" t="str">
        <f t="shared" si="280"/>
        <v>0</v>
      </c>
      <c r="BE1705"/>
      <c r="BF1705"/>
      <c r="BG1705"/>
      <c r="BH1705"/>
      <c r="BI1705"/>
      <c r="BJ1705"/>
      <c r="BK1705" s="17" t="str">
        <f>IFERROR(VLOOKUP(B1705,'[1]model_S-フレーム'!$F$5:$R$7000,13,1),"")</f>
        <v>E367815_01</v>
      </c>
      <c r="BL1705" s="18">
        <f>IFERROR(VLOOKUP(B1705,'[1]model_S-フレーム'!$F$5:$V$7000,17,1),"")</f>
        <v>0</v>
      </c>
      <c r="BM1705" s="17" t="str" cm="1">
        <f t="array" ref="BM1705">_xlfn.IFS(LEFT(G1705,1)="L","外注品",LEFT(G1705,1)="W","内製品",G1705="","購買品")</f>
        <v>購買品</v>
      </c>
    </row>
    <row r="1706" spans="1:65" s="17" customFormat="1">
      <c r="A1706" t="str">
        <f t="shared" si="272"/>
        <v>WG01</v>
      </c>
      <c r="B1706" t="s">
        <v>1786</v>
      </c>
      <c r="C1706" t="s">
        <v>1923</v>
      </c>
      <c r="D1706" s="7"/>
      <c r="E1706" s="7"/>
      <c r="F1706"/>
      <c r="G1706"/>
      <c r="H1706">
        <v>47081</v>
      </c>
      <c r="I1706"/>
      <c r="J1706"/>
      <c r="K1706" t="str">
        <f t="shared" si="273"/>
        <v/>
      </c>
      <c r="L1706" s="3" t="str">
        <f t="shared" si="274"/>
        <v>2001/01/01</v>
      </c>
      <c r="M1706" s="3" t="str">
        <f t="shared" si="275"/>
        <v>2199/12/31</v>
      </c>
      <c r="N1706" t="str">
        <f t="shared" si="276"/>
        <v/>
      </c>
      <c r="O1706" t="str">
        <f t="shared" si="282"/>
        <v/>
      </c>
      <c r="P1706"/>
      <c r="Q1706">
        <v>15</v>
      </c>
      <c r="R1706" s="21">
        <v>100000000</v>
      </c>
      <c r="S1706" s="21" t="str" cm="1">
        <f t="array" ref="S1706">_xlfn.IFS(LEFT(G1706,1)="L","記載要",LEFT(G1706,1)="W","記載要",G1706="","")</f>
        <v/>
      </c>
      <c r="T1706"/>
      <c r="U1706"/>
      <c r="V1706"/>
      <c r="W1706"/>
      <c r="X1706"/>
      <c r="Y1706"/>
      <c r="Z1706" s="8"/>
      <c r="AA1706" s="8">
        <v>1</v>
      </c>
      <c r="AB1706">
        <f t="shared" si="277"/>
        <v>0</v>
      </c>
      <c r="AC1706" s="8">
        <v>1</v>
      </c>
      <c r="AD1706"/>
      <c r="AE1706"/>
      <c r="AF1706">
        <v>0</v>
      </c>
      <c r="AG1706" s="8"/>
      <c r="AH1706" s="8"/>
      <c r="AI1706"/>
      <c r="AJ1706"/>
      <c r="AK1706" cm="1">
        <f t="array" ref="AK1706">_xlfn.IFS(B1706="","",LEFT(G1706,1)="L",1,LEFT(G1706,1)="W",1,AND(LEFT(B1706,1)="H",G1706=""),0)</f>
        <v>0</v>
      </c>
      <c r="AL1706"/>
      <c r="AM1706"/>
      <c r="AN1706"/>
      <c r="AO1706"/>
      <c r="AP1706"/>
      <c r="AQ1706"/>
      <c r="AR1706"/>
      <c r="AS1706">
        <f t="shared" si="278"/>
        <v>1</v>
      </c>
      <c r="AT1706" t="s">
        <v>115</v>
      </c>
      <c r="AU1706" t="str">
        <f t="shared" si="279"/>
        <v>0</v>
      </c>
      <c r="AV1706"/>
      <c r="AW1706"/>
      <c r="AX1706"/>
      <c r="AY1706"/>
      <c r="AZ1706"/>
      <c r="BA1706"/>
      <c r="BB1706"/>
      <c r="BC1706"/>
      <c r="BD1706" t="str">
        <f t="shared" si="280"/>
        <v>0</v>
      </c>
      <c r="BE1706"/>
      <c r="BF1706"/>
      <c r="BG1706"/>
      <c r="BH1706"/>
      <c r="BI1706"/>
      <c r="BJ1706"/>
      <c r="BK1706" s="17" t="str">
        <f>IFERROR(VLOOKUP(B1706,'[1]model_S-フレーム'!$F$5:$R$7000,13,1),"")</f>
        <v>E367815_01</v>
      </c>
      <c r="BL1706" s="18">
        <f>IFERROR(VLOOKUP(B1706,'[1]model_S-フレーム'!$F$5:$V$7000,17,1),"")</f>
        <v>0</v>
      </c>
      <c r="BM1706" s="17" t="str" cm="1">
        <f t="array" ref="BM1706">_xlfn.IFS(LEFT(G1706,1)="L","外注品",LEFT(G1706,1)="W","内製品",G1706="","購買品")</f>
        <v>購買品</v>
      </c>
    </row>
    <row r="1707" spans="1:65">
      <c r="A1707" t="str">
        <f t="shared" si="272"/>
        <v>WG01</v>
      </c>
      <c r="B1707" t="s">
        <v>1786</v>
      </c>
      <c r="C1707" t="s">
        <v>1923</v>
      </c>
      <c r="D1707" s="7"/>
      <c r="E1707" s="7"/>
      <c r="H1707" s="19" t="s">
        <v>1937</v>
      </c>
      <c r="K1707" t="str">
        <f t="shared" si="273"/>
        <v/>
      </c>
      <c r="L1707" s="3" t="str">
        <f t="shared" si="274"/>
        <v>2001/01/01</v>
      </c>
      <c r="M1707" s="3" t="str">
        <f t="shared" si="275"/>
        <v>2199/12/31</v>
      </c>
      <c r="N1707" t="str">
        <f t="shared" si="276"/>
        <v/>
      </c>
      <c r="O1707" t="str">
        <f t="shared" si="282"/>
        <v/>
      </c>
      <c r="Q1707">
        <v>15</v>
      </c>
      <c r="R1707" s="21">
        <v>100000000</v>
      </c>
      <c r="S1707" s="21" t="str" cm="1">
        <f t="array" ref="S1707">_xlfn.IFS(LEFT(G1707,1)="L","記載要",LEFT(G1707,1)="W","記載要",G1707="","")</f>
        <v/>
      </c>
      <c r="Z1707" s="8"/>
      <c r="AA1707" s="8">
        <v>1</v>
      </c>
      <c r="AB1707">
        <f t="shared" si="277"/>
        <v>0</v>
      </c>
      <c r="AC1707" s="8">
        <v>1</v>
      </c>
      <c r="AF1707">
        <v>0</v>
      </c>
      <c r="AG1707" s="8"/>
      <c r="AH1707" s="8"/>
      <c r="AK1707" cm="1">
        <f t="array" ref="AK1707">_xlfn.IFS(B1707="","",LEFT(G1707,1)="L",1,LEFT(G1707,1)="W",1,AND(LEFT(B1707,1)="H",G1707=""),0)</f>
        <v>0</v>
      </c>
      <c r="AS1707">
        <f t="shared" si="278"/>
        <v>1</v>
      </c>
      <c r="AT1707" t="s">
        <v>115</v>
      </c>
      <c r="AU1707" t="str">
        <f t="shared" si="279"/>
        <v>0</v>
      </c>
      <c r="BD1707" t="str">
        <f t="shared" si="280"/>
        <v>0</v>
      </c>
      <c r="BK1707" t="str">
        <f>IFERROR(VLOOKUP(B1707,'[1]model_S-フレーム'!$F$5:$R$7000,13,1),"")</f>
        <v>E367815_01</v>
      </c>
      <c r="BL1707" s="7">
        <f>IFERROR(VLOOKUP(B1707,'[1]model_S-フレーム'!$F$5:$V$7000,17,1),"")</f>
        <v>0</v>
      </c>
      <c r="BM1707" t="str" cm="1">
        <f t="array" ref="BM1707">_xlfn.IFS(LEFT(G1707,1)="L","外注品",LEFT(G1707,1)="W","内製品",G1707="","購買品")</f>
        <v>購買品</v>
      </c>
    </row>
    <row r="1708" spans="1:65" s="17" customFormat="1">
      <c r="A1708" t="str">
        <f t="shared" si="272"/>
        <v>WG01</v>
      </c>
      <c r="B1708" t="s">
        <v>1787</v>
      </c>
      <c r="C1708" t="s">
        <v>1924</v>
      </c>
      <c r="D1708" s="7"/>
      <c r="E1708" s="7"/>
      <c r="F1708"/>
      <c r="G1708"/>
      <c r="H1708">
        <v>27616</v>
      </c>
      <c r="I1708"/>
      <c r="J1708"/>
      <c r="K1708" t="str">
        <f t="shared" si="273"/>
        <v/>
      </c>
      <c r="L1708" s="3" t="str">
        <f t="shared" si="274"/>
        <v>2001/01/01</v>
      </c>
      <c r="M1708" s="3" t="str">
        <f t="shared" si="275"/>
        <v>2199/12/31</v>
      </c>
      <c r="N1708" t="str">
        <f t="shared" si="276"/>
        <v/>
      </c>
      <c r="O1708" t="str">
        <f t="shared" si="282"/>
        <v/>
      </c>
      <c r="P1708"/>
      <c r="Q1708">
        <v>15</v>
      </c>
      <c r="R1708" s="21">
        <v>100000000</v>
      </c>
      <c r="S1708" s="21" t="str" cm="1">
        <f t="array" ref="S1708">_xlfn.IFS(LEFT(G1708,1)="L","記載要",LEFT(G1708,1)="W","記載要",G1708="","")</f>
        <v/>
      </c>
      <c r="T1708"/>
      <c r="U1708"/>
      <c r="V1708"/>
      <c r="W1708"/>
      <c r="X1708"/>
      <c r="Y1708"/>
      <c r="Z1708" s="8"/>
      <c r="AA1708" s="8">
        <v>1</v>
      </c>
      <c r="AB1708">
        <f t="shared" si="277"/>
        <v>0</v>
      </c>
      <c r="AC1708" s="8">
        <v>1</v>
      </c>
      <c r="AD1708"/>
      <c r="AE1708"/>
      <c r="AF1708">
        <v>1</v>
      </c>
      <c r="AG1708" s="8"/>
      <c r="AH1708" s="8"/>
      <c r="AI1708"/>
      <c r="AJ1708"/>
      <c r="AK1708" cm="1">
        <f t="array" ref="AK1708">_xlfn.IFS(B1708="","",LEFT(G1708,1)="L",1,LEFT(G1708,1)="W",1,AND(LEFT(B1708,1)="H",G1708=""),0)</f>
        <v>0</v>
      </c>
      <c r="AL1708"/>
      <c r="AM1708"/>
      <c r="AN1708"/>
      <c r="AO1708"/>
      <c r="AP1708"/>
      <c r="AQ1708"/>
      <c r="AR1708"/>
      <c r="AS1708">
        <f t="shared" si="278"/>
        <v>1</v>
      </c>
      <c r="AT1708" t="s">
        <v>115</v>
      </c>
      <c r="AU1708" t="str">
        <f t="shared" si="279"/>
        <v>0</v>
      </c>
      <c r="AV1708"/>
      <c r="AW1708"/>
      <c r="AX1708"/>
      <c r="AY1708"/>
      <c r="AZ1708"/>
      <c r="BA1708"/>
      <c r="BB1708"/>
      <c r="BC1708"/>
      <c r="BD1708" t="str">
        <f t="shared" si="280"/>
        <v>0</v>
      </c>
      <c r="BE1708"/>
      <c r="BF1708"/>
      <c r="BG1708"/>
      <c r="BH1708"/>
      <c r="BI1708"/>
      <c r="BJ1708"/>
      <c r="BK1708" s="17" t="str">
        <f>IFERROR(VLOOKUP(B1708,'[1]model_S-フレーム'!$F$5:$R$7000,13,1),"")</f>
        <v>E367816_02</v>
      </c>
      <c r="BL1708" s="18" t="str">
        <f>IFERROR(VLOOKUP(B1708,'[1]model_S-フレーム'!$F$5:$V$7000,17,1),"")</f>
        <v>SX-80L</v>
      </c>
      <c r="BM1708" s="17" t="str" cm="1">
        <f t="array" ref="BM1708">_xlfn.IFS(LEFT(G1708,1)="L","外注品",LEFT(G1708,1)="W","内製品",G1708="","購買品")</f>
        <v>購買品</v>
      </c>
    </row>
    <row r="1709" spans="1:65" s="17" customFormat="1">
      <c r="A1709" t="str">
        <f t="shared" si="272"/>
        <v>WG01</v>
      </c>
      <c r="B1709" t="s">
        <v>1787</v>
      </c>
      <c r="C1709" t="s">
        <v>1924</v>
      </c>
      <c r="D1709" s="7"/>
      <c r="E1709" s="7"/>
      <c r="F1709"/>
      <c r="G1709"/>
      <c r="H1709">
        <v>43453</v>
      </c>
      <c r="I1709"/>
      <c r="J1709"/>
      <c r="K1709" t="str">
        <f t="shared" si="273"/>
        <v/>
      </c>
      <c r="L1709" s="3" t="str">
        <f t="shared" si="274"/>
        <v>2001/01/01</v>
      </c>
      <c r="M1709" s="3" t="str">
        <f t="shared" si="275"/>
        <v>2199/12/31</v>
      </c>
      <c r="N1709" t="str">
        <f t="shared" si="276"/>
        <v/>
      </c>
      <c r="O1709" t="str">
        <f t="shared" si="282"/>
        <v/>
      </c>
      <c r="P1709"/>
      <c r="Q1709">
        <v>15</v>
      </c>
      <c r="R1709" s="21">
        <v>100000000</v>
      </c>
      <c r="S1709" s="21" t="str" cm="1">
        <f t="array" ref="S1709">_xlfn.IFS(LEFT(G1709,1)="L","記載要",LEFT(G1709,1)="W","記載要",G1709="","")</f>
        <v/>
      </c>
      <c r="T1709"/>
      <c r="U1709"/>
      <c r="V1709"/>
      <c r="W1709"/>
      <c r="X1709"/>
      <c r="Y1709"/>
      <c r="Z1709" s="8"/>
      <c r="AA1709" s="8">
        <v>1</v>
      </c>
      <c r="AB1709">
        <f t="shared" si="277"/>
        <v>0</v>
      </c>
      <c r="AC1709" s="8">
        <v>1</v>
      </c>
      <c r="AD1709"/>
      <c r="AE1709"/>
      <c r="AF1709">
        <v>0</v>
      </c>
      <c r="AG1709" s="8"/>
      <c r="AH1709" s="8"/>
      <c r="AI1709"/>
      <c r="AJ1709"/>
      <c r="AK1709" cm="1">
        <f t="array" ref="AK1709">_xlfn.IFS(B1709="","",LEFT(G1709,1)="L",1,LEFT(G1709,1)="W",1,AND(LEFT(B1709,1)="H",G1709=""),0)</f>
        <v>0</v>
      </c>
      <c r="AL1709"/>
      <c r="AM1709"/>
      <c r="AN1709"/>
      <c r="AO1709"/>
      <c r="AP1709"/>
      <c r="AQ1709"/>
      <c r="AR1709"/>
      <c r="AS1709">
        <f t="shared" si="278"/>
        <v>1</v>
      </c>
      <c r="AT1709" t="s">
        <v>115</v>
      </c>
      <c r="AU1709" t="str">
        <f t="shared" si="279"/>
        <v>0</v>
      </c>
      <c r="AV1709"/>
      <c r="AW1709"/>
      <c r="AX1709"/>
      <c r="AY1709"/>
      <c r="AZ1709"/>
      <c r="BA1709"/>
      <c r="BB1709"/>
      <c r="BC1709"/>
      <c r="BD1709" t="str">
        <f t="shared" si="280"/>
        <v>0</v>
      </c>
      <c r="BE1709"/>
      <c r="BF1709"/>
      <c r="BG1709"/>
      <c r="BH1709"/>
      <c r="BI1709"/>
      <c r="BJ1709"/>
      <c r="BK1709" s="17" t="str">
        <f>IFERROR(VLOOKUP(B1709,'[1]model_S-フレーム'!$F$5:$R$7000,13,1),"")</f>
        <v>E367816_02</v>
      </c>
      <c r="BL1709" s="18" t="str">
        <f>IFERROR(VLOOKUP(B1709,'[1]model_S-フレーム'!$F$5:$V$7000,17,1),"")</f>
        <v>SX-80L</v>
      </c>
      <c r="BM1709" s="17" t="str" cm="1">
        <f t="array" ref="BM1709">_xlfn.IFS(LEFT(G1709,1)="L","外注品",LEFT(G1709,1)="W","内製品",G1709="","購買品")</f>
        <v>購買品</v>
      </c>
    </row>
    <row r="1710" spans="1:65" s="17" customFormat="1">
      <c r="A1710" t="str">
        <f t="shared" si="272"/>
        <v>WG01</v>
      </c>
      <c r="B1710" t="s">
        <v>1787</v>
      </c>
      <c r="C1710" t="s">
        <v>1924</v>
      </c>
      <c r="D1710" s="7"/>
      <c r="E1710" s="7"/>
      <c r="F1710"/>
      <c r="G1710"/>
      <c r="H1710">
        <v>47081</v>
      </c>
      <c r="I1710"/>
      <c r="J1710"/>
      <c r="K1710" t="str">
        <f t="shared" si="273"/>
        <v/>
      </c>
      <c r="L1710" s="3" t="str">
        <f t="shared" si="274"/>
        <v>2001/01/01</v>
      </c>
      <c r="M1710" s="3" t="str">
        <f t="shared" si="275"/>
        <v>2199/12/31</v>
      </c>
      <c r="N1710" t="str">
        <f t="shared" si="276"/>
        <v/>
      </c>
      <c r="O1710" t="str">
        <f t="shared" si="282"/>
        <v/>
      </c>
      <c r="P1710"/>
      <c r="Q1710">
        <v>15</v>
      </c>
      <c r="R1710" s="21">
        <v>100000000</v>
      </c>
      <c r="S1710" s="21" t="str" cm="1">
        <f t="array" ref="S1710">_xlfn.IFS(LEFT(G1710,1)="L","記載要",LEFT(G1710,1)="W","記載要",G1710="","")</f>
        <v/>
      </c>
      <c r="T1710"/>
      <c r="U1710"/>
      <c r="V1710"/>
      <c r="W1710"/>
      <c r="X1710"/>
      <c r="Y1710"/>
      <c r="Z1710" s="8"/>
      <c r="AA1710" s="8">
        <v>1</v>
      </c>
      <c r="AB1710">
        <f t="shared" si="277"/>
        <v>0</v>
      </c>
      <c r="AC1710" s="8">
        <v>1</v>
      </c>
      <c r="AD1710"/>
      <c r="AE1710"/>
      <c r="AF1710">
        <v>0</v>
      </c>
      <c r="AG1710" s="8"/>
      <c r="AH1710" s="8"/>
      <c r="AI1710"/>
      <c r="AJ1710"/>
      <c r="AK1710" cm="1">
        <f t="array" ref="AK1710">_xlfn.IFS(B1710="","",LEFT(G1710,1)="L",1,LEFT(G1710,1)="W",1,AND(LEFT(B1710,1)="H",G1710=""),0)</f>
        <v>0</v>
      </c>
      <c r="AL1710"/>
      <c r="AM1710"/>
      <c r="AN1710"/>
      <c r="AO1710"/>
      <c r="AP1710"/>
      <c r="AQ1710"/>
      <c r="AR1710"/>
      <c r="AS1710">
        <f t="shared" si="278"/>
        <v>1</v>
      </c>
      <c r="AT1710" t="s">
        <v>115</v>
      </c>
      <c r="AU1710" t="str">
        <f t="shared" si="279"/>
        <v>0</v>
      </c>
      <c r="AV1710"/>
      <c r="AW1710"/>
      <c r="AX1710"/>
      <c r="AY1710"/>
      <c r="AZ1710"/>
      <c r="BA1710"/>
      <c r="BB1710"/>
      <c r="BC1710"/>
      <c r="BD1710" t="str">
        <f t="shared" si="280"/>
        <v>0</v>
      </c>
      <c r="BE1710"/>
      <c r="BF1710"/>
      <c r="BG1710"/>
      <c r="BH1710"/>
      <c r="BI1710"/>
      <c r="BJ1710"/>
      <c r="BK1710" s="17" t="str">
        <f>IFERROR(VLOOKUP(B1710,'[1]model_S-フレーム'!$F$5:$R$7000,13,1),"")</f>
        <v>E367816_02</v>
      </c>
      <c r="BL1710" s="18" t="str">
        <f>IFERROR(VLOOKUP(B1710,'[1]model_S-フレーム'!$F$5:$V$7000,17,1),"")</f>
        <v>SX-80L</v>
      </c>
      <c r="BM1710" s="17" t="str" cm="1">
        <f t="array" ref="BM1710">_xlfn.IFS(LEFT(G1710,1)="L","外注品",LEFT(G1710,1)="W","内製品",G1710="","購買品")</f>
        <v>購買品</v>
      </c>
    </row>
    <row r="1711" spans="1:65">
      <c r="A1711" t="str">
        <f t="shared" si="272"/>
        <v>WG01</v>
      </c>
      <c r="B1711" t="s">
        <v>1787</v>
      </c>
      <c r="C1711" t="s">
        <v>1924</v>
      </c>
      <c r="D1711" s="7"/>
      <c r="E1711" s="7"/>
      <c r="H1711" s="19" t="s">
        <v>1937</v>
      </c>
      <c r="K1711" t="str">
        <f t="shared" si="273"/>
        <v/>
      </c>
      <c r="L1711" s="3" t="str">
        <f t="shared" si="274"/>
        <v>2001/01/01</v>
      </c>
      <c r="M1711" s="3" t="str">
        <f t="shared" si="275"/>
        <v>2199/12/31</v>
      </c>
      <c r="N1711" t="str">
        <f t="shared" si="276"/>
        <v/>
      </c>
      <c r="O1711" t="str">
        <f t="shared" si="282"/>
        <v/>
      </c>
      <c r="Q1711">
        <v>15</v>
      </c>
      <c r="R1711" s="21">
        <v>100000000</v>
      </c>
      <c r="S1711" s="21" t="str" cm="1">
        <f t="array" ref="S1711">_xlfn.IFS(LEFT(G1711,1)="L","記載要",LEFT(G1711,1)="W","記載要",G1711="","")</f>
        <v/>
      </c>
      <c r="Z1711" s="8"/>
      <c r="AA1711" s="8">
        <v>1</v>
      </c>
      <c r="AB1711">
        <f t="shared" si="277"/>
        <v>0</v>
      </c>
      <c r="AC1711" s="8">
        <v>1</v>
      </c>
      <c r="AF1711">
        <v>0</v>
      </c>
      <c r="AG1711" s="8"/>
      <c r="AH1711" s="8"/>
      <c r="AK1711" cm="1">
        <f t="array" ref="AK1711">_xlfn.IFS(B1711="","",LEFT(G1711,1)="L",1,LEFT(G1711,1)="W",1,AND(LEFT(B1711,1)="H",G1711=""),0)</f>
        <v>0</v>
      </c>
      <c r="AS1711">
        <f t="shared" si="278"/>
        <v>1</v>
      </c>
      <c r="AT1711" t="s">
        <v>115</v>
      </c>
      <c r="AU1711" t="str">
        <f t="shared" si="279"/>
        <v>0</v>
      </c>
      <c r="BD1711" t="str">
        <f t="shared" si="280"/>
        <v>0</v>
      </c>
      <c r="BK1711" t="str">
        <f>IFERROR(VLOOKUP(B1711,'[1]model_S-フレーム'!$F$5:$R$7000,13,1),"")</f>
        <v>E367816_02</v>
      </c>
      <c r="BL1711" s="7" t="str">
        <f>IFERROR(VLOOKUP(B1711,'[1]model_S-フレーム'!$F$5:$V$7000,17,1),"")</f>
        <v>SX-80L</v>
      </c>
      <c r="BM1711" t="str" cm="1">
        <f t="array" ref="BM1711">_xlfn.IFS(LEFT(G1711,1)="L","外注品",LEFT(G1711,1)="W","内製品",G1711="","購買品")</f>
        <v>購買品</v>
      </c>
    </row>
    <row r="1712" spans="1:65">
      <c r="A1712" t="str">
        <f t="shared" si="272"/>
        <v>WG01</v>
      </c>
      <c r="B1712" t="s">
        <v>1788</v>
      </c>
      <c r="C1712" t="s">
        <v>1925</v>
      </c>
      <c r="D1712" s="7"/>
      <c r="E1712" s="7"/>
      <c r="G1712" t="s">
        <v>1939</v>
      </c>
      <c r="H1712" t="str" cm="1">
        <f t="array" ref="H1712">IFERROR(_xlfn.IFS(B1712="","",AND(B1712="",G1712=""),"",G1712="","記載要"),"")</f>
        <v/>
      </c>
      <c r="K1712" t="str">
        <f t="shared" si="273"/>
        <v>11WP01074002</v>
      </c>
      <c r="L1712" s="3" t="str">
        <f t="shared" si="274"/>
        <v>2001/01/01</v>
      </c>
      <c r="M1712" s="3" t="str">
        <f t="shared" si="275"/>
        <v>2199/12/31</v>
      </c>
      <c r="N1712" t="str">
        <f t="shared" si="276"/>
        <v>11WP01074002</v>
      </c>
      <c r="O1712">
        <v>15</v>
      </c>
      <c r="Q1712" t="str" cm="1">
        <f t="array" ref="Q1712">_xlfn.IFS(AND(C1712="",G1712=""),"",LEFT(G1712,1)="L","記載要",LEFT(G1712,1)="W","",AND(C1712,G1712=""),"記載要")</f>
        <v/>
      </c>
      <c r="R1712" s="21" t="str">
        <f t="shared" si="281"/>
        <v/>
      </c>
      <c r="S1712" s="21"/>
      <c r="Z1712" s="8"/>
      <c r="AA1712">
        <v>1</v>
      </c>
      <c r="AB1712">
        <f t="shared" si="277"/>
        <v>0</v>
      </c>
      <c r="AC1712">
        <v>1</v>
      </c>
      <c r="AF1712">
        <v>1</v>
      </c>
      <c r="AG1712" s="8"/>
      <c r="AH1712" s="8"/>
      <c r="AK1712" cm="1">
        <f t="array" ref="AK1712">_xlfn.IFS(B1712="","",LEFT(G1712,1)="L",1,LEFT(G1712,1)="W",1,AND(LEFT(B1712,1)="H",G1712=""),0)</f>
        <v>1</v>
      </c>
      <c r="AS1712" t="str">
        <f t="shared" si="278"/>
        <v/>
      </c>
      <c r="AT1712" t="s">
        <v>115</v>
      </c>
      <c r="AU1712" t="str">
        <f t="shared" si="279"/>
        <v>0</v>
      </c>
      <c r="BD1712" t="str">
        <f t="shared" si="280"/>
        <v>0</v>
      </c>
      <c r="BK1712" t="str">
        <f>IFERROR(VLOOKUP(B1712,'[1]model_S-フレーム'!$F$5:$R$7000,13,1),"")</f>
        <v>E369074_01</v>
      </c>
      <c r="BL1712" s="7">
        <f>IFERROR(VLOOKUP(B1712,'[1]model_S-フレーム'!$F$5:$V$7000,17,1),"")</f>
        <v>0</v>
      </c>
      <c r="BM1712" t="str" cm="1">
        <f t="array" ref="BM1712">_xlfn.IFS(LEFT(G1712,1)="L","外注品",LEFT(G1712,1)="W","内製品",G1712="","購買品")</f>
        <v>内製品</v>
      </c>
    </row>
    <row r="1713" spans="1:65">
      <c r="A1713" t="str">
        <f t="shared" si="272"/>
        <v>WG01</v>
      </c>
      <c r="B1713" t="s">
        <v>1789</v>
      </c>
      <c r="C1713" t="s">
        <v>1925</v>
      </c>
      <c r="D1713" s="7"/>
      <c r="E1713" s="7"/>
      <c r="G1713" t="s">
        <v>1939</v>
      </c>
      <c r="H1713" t="str" cm="1">
        <f t="array" ref="H1713">IFERROR(_xlfn.IFS(B1713="","",AND(B1713="",G1713=""),"",G1713="","記載要"),"")</f>
        <v/>
      </c>
      <c r="K1713" t="str">
        <f t="shared" si="273"/>
        <v>11WP01074003</v>
      </c>
      <c r="L1713" s="3" t="str">
        <f t="shared" si="274"/>
        <v>2001/01/01</v>
      </c>
      <c r="M1713" s="3" t="str">
        <f t="shared" si="275"/>
        <v>2199/12/31</v>
      </c>
      <c r="N1713" t="str">
        <f t="shared" si="276"/>
        <v>11WP01074003</v>
      </c>
      <c r="O1713">
        <v>15</v>
      </c>
      <c r="Q1713" t="str" cm="1">
        <f t="array" ref="Q1713">_xlfn.IFS(AND(C1713="",G1713=""),"",LEFT(G1713,1)="L","記載要",LEFT(G1713,1)="W","",AND(C1713,G1713=""),"記載要")</f>
        <v/>
      </c>
      <c r="R1713" s="21" t="str">
        <f t="shared" si="281"/>
        <v/>
      </c>
      <c r="S1713" s="21"/>
      <c r="Z1713" s="8"/>
      <c r="AA1713">
        <v>1</v>
      </c>
      <c r="AB1713">
        <f t="shared" si="277"/>
        <v>0</v>
      </c>
      <c r="AC1713">
        <v>1</v>
      </c>
      <c r="AF1713">
        <v>1</v>
      </c>
      <c r="AG1713" s="8"/>
      <c r="AH1713" s="8"/>
      <c r="AK1713" cm="1">
        <f t="array" ref="AK1713">_xlfn.IFS(B1713="","",LEFT(G1713,1)="L",1,LEFT(G1713,1)="W",1,AND(LEFT(B1713,1)="H",G1713=""),0)</f>
        <v>1</v>
      </c>
      <c r="AS1713" t="str">
        <f t="shared" si="278"/>
        <v/>
      </c>
      <c r="AT1713" t="s">
        <v>115</v>
      </c>
      <c r="AU1713" t="str">
        <f t="shared" si="279"/>
        <v>0</v>
      </c>
      <c r="BD1713" t="str">
        <f t="shared" si="280"/>
        <v>0</v>
      </c>
      <c r="BK1713" t="str">
        <f>IFERROR(VLOOKUP(B1713,'[1]model_S-フレーム'!$F$5:$R$7000,13,1),"")</f>
        <v>E369074_01</v>
      </c>
      <c r="BL1713" s="7">
        <f>IFERROR(VLOOKUP(B1713,'[1]model_S-フレーム'!$F$5:$V$7000,17,1),"")</f>
        <v>0</v>
      </c>
      <c r="BM1713" t="str" cm="1">
        <f t="array" ref="BM1713">_xlfn.IFS(LEFT(G1713,1)="L","外注品",LEFT(G1713,1)="W","内製品",G1713="","購買品")</f>
        <v>内製品</v>
      </c>
    </row>
    <row r="1714" spans="1:65">
      <c r="A1714" t="str">
        <f t="shared" si="272"/>
        <v>WG01</v>
      </c>
      <c r="B1714" t="s">
        <v>1790</v>
      </c>
      <c r="C1714" t="s">
        <v>1925</v>
      </c>
      <c r="D1714" s="7"/>
      <c r="E1714" s="7"/>
      <c r="G1714" t="s">
        <v>1939</v>
      </c>
      <c r="H1714" t="str" cm="1">
        <f t="array" ref="H1714">IFERROR(_xlfn.IFS(B1714="","",AND(B1714="",G1714=""),"",G1714="","記載要"),"")</f>
        <v/>
      </c>
      <c r="K1714" t="str">
        <f t="shared" si="273"/>
        <v>11WP01074004</v>
      </c>
      <c r="L1714" s="3" t="str">
        <f t="shared" si="274"/>
        <v>2001/01/01</v>
      </c>
      <c r="M1714" s="3" t="str">
        <f t="shared" si="275"/>
        <v>2199/12/31</v>
      </c>
      <c r="N1714" t="str">
        <f t="shared" si="276"/>
        <v>11WP01074004</v>
      </c>
      <c r="O1714">
        <v>15</v>
      </c>
      <c r="Q1714" t="str" cm="1">
        <f t="array" ref="Q1714">_xlfn.IFS(AND(C1714="",G1714=""),"",LEFT(G1714,1)="L","記載要",LEFT(G1714,1)="W","",AND(C1714,G1714=""),"記載要")</f>
        <v/>
      </c>
      <c r="R1714" s="21" t="str">
        <f t="shared" si="281"/>
        <v/>
      </c>
      <c r="S1714" s="21"/>
      <c r="Z1714" s="8"/>
      <c r="AA1714">
        <v>1</v>
      </c>
      <c r="AB1714">
        <f t="shared" si="277"/>
        <v>0</v>
      </c>
      <c r="AC1714">
        <v>1</v>
      </c>
      <c r="AF1714">
        <v>1</v>
      </c>
      <c r="AG1714" s="8"/>
      <c r="AH1714" s="8"/>
      <c r="AK1714" cm="1">
        <f t="array" ref="AK1714">_xlfn.IFS(B1714="","",LEFT(G1714,1)="L",1,LEFT(G1714,1)="W",1,AND(LEFT(B1714,1)="H",G1714=""),0)</f>
        <v>1</v>
      </c>
      <c r="AS1714" t="str">
        <f t="shared" si="278"/>
        <v/>
      </c>
      <c r="AT1714" t="s">
        <v>115</v>
      </c>
      <c r="AU1714" t="str">
        <f t="shared" si="279"/>
        <v>0</v>
      </c>
      <c r="BD1714" t="str">
        <f t="shared" si="280"/>
        <v>0</v>
      </c>
      <c r="BK1714" t="str">
        <f>IFERROR(VLOOKUP(B1714,'[1]model_S-フレーム'!$F$5:$R$7000,13,1),"")</f>
        <v>E369074_01</v>
      </c>
      <c r="BL1714" s="7">
        <f>IFERROR(VLOOKUP(B1714,'[1]model_S-フレーム'!$F$5:$V$7000,17,1),"")</f>
        <v>0</v>
      </c>
      <c r="BM1714" t="str" cm="1">
        <f t="array" ref="BM1714">_xlfn.IFS(LEFT(G1714,1)="L","外注品",LEFT(G1714,1)="W","内製品",G1714="","購買品")</f>
        <v>内製品</v>
      </c>
    </row>
    <row r="1715" spans="1:65">
      <c r="A1715" t="str">
        <f t="shared" si="272"/>
        <v>WG01</v>
      </c>
      <c r="B1715" t="s">
        <v>1791</v>
      </c>
      <c r="C1715" t="s">
        <v>1925</v>
      </c>
      <c r="D1715" s="7"/>
      <c r="E1715" s="7"/>
      <c r="G1715" t="s">
        <v>1939</v>
      </c>
      <c r="H1715" t="str" cm="1">
        <f t="array" ref="H1715">IFERROR(_xlfn.IFS(B1715="","",AND(B1715="",G1715=""),"",G1715="","記載要"),"")</f>
        <v/>
      </c>
      <c r="K1715" t="str">
        <f t="shared" si="273"/>
        <v>11WP01074005</v>
      </c>
      <c r="L1715" s="3" t="str">
        <f t="shared" si="274"/>
        <v>2001/01/01</v>
      </c>
      <c r="M1715" s="3" t="str">
        <f t="shared" si="275"/>
        <v>2199/12/31</v>
      </c>
      <c r="N1715" t="str">
        <f t="shared" si="276"/>
        <v>11WP01074005</v>
      </c>
      <c r="O1715">
        <v>15</v>
      </c>
      <c r="Q1715" t="str" cm="1">
        <f t="array" ref="Q1715">_xlfn.IFS(AND(C1715="",G1715=""),"",LEFT(G1715,1)="L","記載要",LEFT(G1715,1)="W","",AND(C1715,G1715=""),"記載要")</f>
        <v/>
      </c>
      <c r="R1715" s="21" t="str">
        <f t="shared" si="281"/>
        <v/>
      </c>
      <c r="S1715" s="21"/>
      <c r="Z1715" s="8"/>
      <c r="AA1715">
        <v>1</v>
      </c>
      <c r="AB1715">
        <f t="shared" si="277"/>
        <v>0</v>
      </c>
      <c r="AC1715">
        <v>1</v>
      </c>
      <c r="AF1715">
        <v>1</v>
      </c>
      <c r="AG1715" s="8"/>
      <c r="AH1715" s="8"/>
      <c r="AK1715" cm="1">
        <f t="array" ref="AK1715">_xlfn.IFS(B1715="","",LEFT(G1715,1)="L",1,LEFT(G1715,1)="W",1,AND(LEFT(B1715,1)="H",G1715=""),0)</f>
        <v>1</v>
      </c>
      <c r="AS1715" t="str">
        <f t="shared" si="278"/>
        <v/>
      </c>
      <c r="AT1715" t="s">
        <v>115</v>
      </c>
      <c r="AU1715" t="str">
        <f t="shared" si="279"/>
        <v>0</v>
      </c>
      <c r="BD1715" t="str">
        <f t="shared" si="280"/>
        <v>0</v>
      </c>
      <c r="BK1715" t="str">
        <f>IFERROR(VLOOKUP(B1715,'[1]model_S-フレーム'!$F$5:$R$7000,13,1),"")</f>
        <v>E369074_01</v>
      </c>
      <c r="BL1715" s="7">
        <f>IFERROR(VLOOKUP(B1715,'[1]model_S-フレーム'!$F$5:$V$7000,17,1),"")</f>
        <v>0</v>
      </c>
      <c r="BM1715" t="str" cm="1">
        <f t="array" ref="BM1715">_xlfn.IFS(LEFT(G1715,1)="L","外注品",LEFT(G1715,1)="W","内製品",G1715="","購買品")</f>
        <v>内製品</v>
      </c>
    </row>
    <row r="1716" spans="1:65">
      <c r="A1716" t="str">
        <f t="shared" si="272"/>
        <v>WG01</v>
      </c>
      <c r="B1716" t="s">
        <v>1792</v>
      </c>
      <c r="C1716" t="s">
        <v>1925</v>
      </c>
      <c r="D1716" s="7"/>
      <c r="E1716" s="7"/>
      <c r="G1716" t="s">
        <v>1939</v>
      </c>
      <c r="H1716" t="str" cm="1">
        <f t="array" ref="H1716">IFERROR(_xlfn.IFS(B1716="","",AND(B1716="",G1716=""),"",G1716="","記載要"),"")</f>
        <v/>
      </c>
      <c r="K1716" t="str">
        <f t="shared" si="273"/>
        <v>11WP01074006</v>
      </c>
      <c r="L1716" s="3" t="str">
        <f t="shared" si="274"/>
        <v>2001/01/01</v>
      </c>
      <c r="M1716" s="3" t="str">
        <f t="shared" si="275"/>
        <v>2199/12/31</v>
      </c>
      <c r="N1716" t="str">
        <f t="shared" si="276"/>
        <v>11WP01074006</v>
      </c>
      <c r="O1716">
        <v>15</v>
      </c>
      <c r="Q1716" t="str" cm="1">
        <f t="array" ref="Q1716">_xlfn.IFS(AND(C1716="",G1716=""),"",LEFT(G1716,1)="L","記載要",LEFT(G1716,1)="W","",AND(C1716,G1716=""),"記載要")</f>
        <v/>
      </c>
      <c r="R1716" s="21" t="str">
        <f t="shared" si="281"/>
        <v/>
      </c>
      <c r="S1716" s="21"/>
      <c r="Z1716" s="8"/>
      <c r="AA1716">
        <v>1</v>
      </c>
      <c r="AB1716">
        <f t="shared" si="277"/>
        <v>0</v>
      </c>
      <c r="AC1716">
        <v>1</v>
      </c>
      <c r="AF1716">
        <v>1</v>
      </c>
      <c r="AG1716" s="8"/>
      <c r="AH1716" s="8"/>
      <c r="AK1716" cm="1">
        <f t="array" ref="AK1716">_xlfn.IFS(B1716="","",LEFT(G1716,1)="L",1,LEFT(G1716,1)="W",1,AND(LEFT(B1716,1)="H",G1716=""),0)</f>
        <v>1</v>
      </c>
      <c r="AS1716" t="str">
        <f t="shared" si="278"/>
        <v/>
      </c>
      <c r="AT1716" t="s">
        <v>115</v>
      </c>
      <c r="AU1716" t="str">
        <f t="shared" si="279"/>
        <v>0</v>
      </c>
      <c r="BD1716" t="str">
        <f t="shared" si="280"/>
        <v>0</v>
      </c>
      <c r="BK1716" t="str">
        <f>IFERROR(VLOOKUP(B1716,'[1]model_S-フレーム'!$F$5:$R$7000,13,1),"")</f>
        <v>E369074_01</v>
      </c>
      <c r="BL1716" s="7">
        <f>IFERROR(VLOOKUP(B1716,'[1]model_S-フレーム'!$F$5:$V$7000,17,1),"")</f>
        <v>0</v>
      </c>
      <c r="BM1716" t="str" cm="1">
        <f t="array" ref="BM1716">_xlfn.IFS(LEFT(G1716,1)="L","外注品",LEFT(G1716,1)="W","内製品",G1716="","購買品")</f>
        <v>内製品</v>
      </c>
    </row>
    <row r="1717" spans="1:65">
      <c r="A1717" t="str">
        <f t="shared" si="272"/>
        <v>WG01</v>
      </c>
      <c r="B1717" t="s">
        <v>1793</v>
      </c>
      <c r="C1717" t="s">
        <v>1925</v>
      </c>
      <c r="D1717" s="7"/>
      <c r="E1717" s="7"/>
      <c r="G1717" t="s">
        <v>1939</v>
      </c>
      <c r="H1717" t="str" cm="1">
        <f t="array" ref="H1717">IFERROR(_xlfn.IFS(B1717="","",AND(B1717="",G1717=""),"",G1717="","記載要"),"")</f>
        <v/>
      </c>
      <c r="K1717" t="str">
        <f t="shared" si="273"/>
        <v>11WP01074007</v>
      </c>
      <c r="L1717" s="3" t="str">
        <f t="shared" si="274"/>
        <v>2001/01/01</v>
      </c>
      <c r="M1717" s="3" t="str">
        <f t="shared" si="275"/>
        <v>2199/12/31</v>
      </c>
      <c r="N1717" t="str">
        <f t="shared" si="276"/>
        <v>11WP01074007</v>
      </c>
      <c r="O1717">
        <v>15</v>
      </c>
      <c r="Q1717" t="str" cm="1">
        <f t="array" ref="Q1717">_xlfn.IFS(AND(C1717="",G1717=""),"",LEFT(G1717,1)="L","記載要",LEFT(G1717,1)="W","",AND(C1717,G1717=""),"記載要")</f>
        <v/>
      </c>
      <c r="R1717" s="21" t="str">
        <f t="shared" si="281"/>
        <v/>
      </c>
      <c r="S1717" s="21"/>
      <c r="Z1717" s="8"/>
      <c r="AA1717">
        <v>1</v>
      </c>
      <c r="AB1717">
        <f t="shared" si="277"/>
        <v>0</v>
      </c>
      <c r="AC1717">
        <v>1</v>
      </c>
      <c r="AF1717">
        <v>1</v>
      </c>
      <c r="AG1717" s="8"/>
      <c r="AH1717" s="8"/>
      <c r="AK1717" cm="1">
        <f t="array" ref="AK1717">_xlfn.IFS(B1717="","",LEFT(G1717,1)="L",1,LEFT(G1717,1)="W",1,AND(LEFT(B1717,1)="H",G1717=""),0)</f>
        <v>1</v>
      </c>
      <c r="AS1717" t="str">
        <f t="shared" si="278"/>
        <v/>
      </c>
      <c r="AT1717" t="s">
        <v>115</v>
      </c>
      <c r="AU1717" t="str">
        <f t="shared" si="279"/>
        <v>0</v>
      </c>
      <c r="BD1717" t="str">
        <f t="shared" si="280"/>
        <v>0</v>
      </c>
      <c r="BK1717" t="str">
        <f>IFERROR(VLOOKUP(B1717,'[1]model_S-フレーム'!$F$5:$R$7000,13,1),"")</f>
        <v>E369074_01</v>
      </c>
      <c r="BL1717" s="7">
        <f>IFERROR(VLOOKUP(B1717,'[1]model_S-フレーム'!$F$5:$V$7000,17,1),"")</f>
        <v>0</v>
      </c>
      <c r="BM1717" t="str" cm="1">
        <f t="array" ref="BM1717">_xlfn.IFS(LEFT(G1717,1)="L","外注品",LEFT(G1717,1)="W","内製品",G1717="","購買品")</f>
        <v>内製品</v>
      </c>
    </row>
    <row r="1718" spans="1:65">
      <c r="A1718" t="str">
        <f t="shared" si="272"/>
        <v>WG01</v>
      </c>
      <c r="B1718" t="s">
        <v>1794</v>
      </c>
      <c r="C1718" t="s">
        <v>1925</v>
      </c>
      <c r="D1718" s="7"/>
      <c r="E1718" s="7"/>
      <c r="G1718" t="s">
        <v>1939</v>
      </c>
      <c r="H1718" t="str" cm="1">
        <f t="array" ref="H1718">IFERROR(_xlfn.IFS(B1718="","",AND(B1718="",G1718=""),"",G1718="","記載要"),"")</f>
        <v/>
      </c>
      <c r="K1718" t="str">
        <f t="shared" si="273"/>
        <v>11WP01074008</v>
      </c>
      <c r="L1718" s="3" t="str">
        <f t="shared" si="274"/>
        <v>2001/01/01</v>
      </c>
      <c r="M1718" s="3" t="str">
        <f t="shared" si="275"/>
        <v>2199/12/31</v>
      </c>
      <c r="N1718" t="str">
        <f t="shared" si="276"/>
        <v>11WP01074008</v>
      </c>
      <c r="O1718">
        <v>15</v>
      </c>
      <c r="Q1718" t="str" cm="1">
        <f t="array" ref="Q1718">_xlfn.IFS(AND(C1718="",G1718=""),"",LEFT(G1718,1)="L","記載要",LEFT(G1718,1)="W","",AND(C1718,G1718=""),"記載要")</f>
        <v/>
      </c>
      <c r="R1718" s="21" t="str">
        <f t="shared" si="281"/>
        <v/>
      </c>
      <c r="S1718" s="21"/>
      <c r="Z1718" s="8"/>
      <c r="AA1718">
        <v>1</v>
      </c>
      <c r="AB1718">
        <f t="shared" si="277"/>
        <v>0</v>
      </c>
      <c r="AC1718">
        <v>1</v>
      </c>
      <c r="AF1718">
        <v>1</v>
      </c>
      <c r="AG1718" s="8"/>
      <c r="AH1718" s="8"/>
      <c r="AK1718" cm="1">
        <f t="array" ref="AK1718">_xlfn.IFS(B1718="","",LEFT(G1718,1)="L",1,LEFT(G1718,1)="W",1,AND(LEFT(B1718,1)="H",G1718=""),0)</f>
        <v>1</v>
      </c>
      <c r="AS1718" t="str">
        <f t="shared" si="278"/>
        <v/>
      </c>
      <c r="AT1718" t="s">
        <v>115</v>
      </c>
      <c r="AU1718" t="str">
        <f t="shared" si="279"/>
        <v>0</v>
      </c>
      <c r="BD1718" t="str">
        <f t="shared" si="280"/>
        <v>0</v>
      </c>
      <c r="BK1718" t="str">
        <f>IFERROR(VLOOKUP(B1718,'[1]model_S-フレーム'!$F$5:$R$7000,13,1),"")</f>
        <v>E369074_01</v>
      </c>
      <c r="BL1718" s="7">
        <f>IFERROR(VLOOKUP(B1718,'[1]model_S-フレーム'!$F$5:$V$7000,17,1),"")</f>
        <v>0</v>
      </c>
      <c r="BM1718" t="str" cm="1">
        <f t="array" ref="BM1718">_xlfn.IFS(LEFT(G1718,1)="L","外注品",LEFT(G1718,1)="W","内製品",G1718="","購買品")</f>
        <v>内製品</v>
      </c>
    </row>
    <row r="1719" spans="1:65">
      <c r="A1719" t="str">
        <f t="shared" si="272"/>
        <v>WG01</v>
      </c>
      <c r="B1719" t="s">
        <v>1795</v>
      </c>
      <c r="C1719" t="s">
        <v>1925</v>
      </c>
      <c r="D1719" s="7"/>
      <c r="E1719" s="7"/>
      <c r="G1719" t="s">
        <v>1939</v>
      </c>
      <c r="H1719" t="str" cm="1">
        <f t="array" ref="H1719">IFERROR(_xlfn.IFS(B1719="","",AND(B1719="",G1719=""),"",G1719="","記載要"),"")</f>
        <v/>
      </c>
      <c r="K1719" t="str">
        <f t="shared" si="273"/>
        <v>11WP01074009</v>
      </c>
      <c r="L1719" s="3" t="str">
        <f t="shared" si="274"/>
        <v>2001/01/01</v>
      </c>
      <c r="M1719" s="3" t="str">
        <f t="shared" si="275"/>
        <v>2199/12/31</v>
      </c>
      <c r="N1719" t="str">
        <f t="shared" si="276"/>
        <v>11WP01074009</v>
      </c>
      <c r="O1719">
        <v>15</v>
      </c>
      <c r="Q1719" t="str" cm="1">
        <f t="array" ref="Q1719">_xlfn.IFS(AND(C1719="",G1719=""),"",LEFT(G1719,1)="L","記載要",LEFT(G1719,1)="W","",AND(C1719,G1719=""),"記載要")</f>
        <v/>
      </c>
      <c r="R1719" s="21" t="str">
        <f t="shared" si="281"/>
        <v/>
      </c>
      <c r="S1719" s="21"/>
      <c r="Z1719" s="8"/>
      <c r="AA1719">
        <v>1</v>
      </c>
      <c r="AB1719">
        <f t="shared" si="277"/>
        <v>0</v>
      </c>
      <c r="AC1719">
        <v>1</v>
      </c>
      <c r="AF1719">
        <v>1</v>
      </c>
      <c r="AG1719" s="8"/>
      <c r="AH1719" s="8"/>
      <c r="AK1719" cm="1">
        <f t="array" ref="AK1719">_xlfn.IFS(B1719="","",LEFT(G1719,1)="L",1,LEFT(G1719,1)="W",1,AND(LEFT(B1719,1)="H",G1719=""),0)</f>
        <v>1</v>
      </c>
      <c r="AS1719" t="str">
        <f t="shared" si="278"/>
        <v/>
      </c>
      <c r="AT1719" t="s">
        <v>115</v>
      </c>
      <c r="AU1719" t="str">
        <f t="shared" si="279"/>
        <v>0</v>
      </c>
      <c r="BD1719" t="str">
        <f t="shared" si="280"/>
        <v>0</v>
      </c>
      <c r="BK1719" t="str">
        <f>IFERROR(VLOOKUP(B1719,'[1]model_S-フレーム'!$F$5:$R$7000,13,1),"")</f>
        <v>E369074_01</v>
      </c>
      <c r="BL1719" s="7">
        <f>IFERROR(VLOOKUP(B1719,'[1]model_S-フレーム'!$F$5:$V$7000,17,1),"")</f>
        <v>0</v>
      </c>
      <c r="BM1719" t="str" cm="1">
        <f t="array" ref="BM1719">_xlfn.IFS(LEFT(G1719,1)="L","外注品",LEFT(G1719,1)="W","内製品",G1719="","購買品")</f>
        <v>内製品</v>
      </c>
    </row>
    <row r="1720" spans="1:65">
      <c r="A1720" t="str">
        <f t="shared" si="272"/>
        <v>WG01</v>
      </c>
      <c r="B1720" t="s">
        <v>1796</v>
      </c>
      <c r="C1720" t="s">
        <v>1925</v>
      </c>
      <c r="D1720" s="7"/>
      <c r="E1720" s="7"/>
      <c r="G1720" t="s">
        <v>1939</v>
      </c>
      <c r="H1720" t="str" cm="1">
        <f t="array" ref="H1720">IFERROR(_xlfn.IFS(B1720="","",AND(B1720="",G1720=""),"",G1720="","記載要"),"")</f>
        <v/>
      </c>
      <c r="K1720" t="str">
        <f t="shared" si="273"/>
        <v>11WP01074010</v>
      </c>
      <c r="L1720" s="3" t="str">
        <f t="shared" si="274"/>
        <v>2001/01/01</v>
      </c>
      <c r="M1720" s="3" t="str">
        <f t="shared" si="275"/>
        <v>2199/12/31</v>
      </c>
      <c r="N1720" t="str">
        <f t="shared" si="276"/>
        <v>11WP01074010</v>
      </c>
      <c r="O1720">
        <v>15</v>
      </c>
      <c r="Q1720" t="str" cm="1">
        <f t="array" ref="Q1720">_xlfn.IFS(AND(C1720="",G1720=""),"",LEFT(G1720,1)="L","記載要",LEFT(G1720,1)="W","",AND(C1720,G1720=""),"記載要")</f>
        <v/>
      </c>
      <c r="R1720" s="21" t="str">
        <f t="shared" si="281"/>
        <v/>
      </c>
      <c r="S1720" s="21"/>
      <c r="Z1720" s="8"/>
      <c r="AA1720">
        <v>1</v>
      </c>
      <c r="AB1720">
        <f t="shared" si="277"/>
        <v>0</v>
      </c>
      <c r="AC1720">
        <v>1</v>
      </c>
      <c r="AF1720">
        <v>1</v>
      </c>
      <c r="AG1720" s="8"/>
      <c r="AH1720" s="8"/>
      <c r="AK1720" cm="1">
        <f t="array" ref="AK1720">_xlfn.IFS(B1720="","",LEFT(G1720,1)="L",1,LEFT(G1720,1)="W",1,AND(LEFT(B1720,1)="H",G1720=""),0)</f>
        <v>1</v>
      </c>
      <c r="AS1720" t="str">
        <f t="shared" si="278"/>
        <v/>
      </c>
      <c r="AT1720" t="s">
        <v>115</v>
      </c>
      <c r="AU1720" t="str">
        <f t="shared" si="279"/>
        <v>0</v>
      </c>
      <c r="BD1720" t="str">
        <f t="shared" si="280"/>
        <v>0</v>
      </c>
      <c r="BK1720" t="str">
        <f>IFERROR(VLOOKUP(B1720,'[1]model_S-フレーム'!$F$5:$R$7000,13,1),"")</f>
        <v>E369074_01</v>
      </c>
      <c r="BL1720" s="7">
        <f>IFERROR(VLOOKUP(B1720,'[1]model_S-フレーム'!$F$5:$V$7000,17,1),"")</f>
        <v>0</v>
      </c>
      <c r="BM1720" t="str" cm="1">
        <f t="array" ref="BM1720">_xlfn.IFS(LEFT(G1720,1)="L","外注品",LEFT(G1720,1)="W","内製品",G1720="","購買品")</f>
        <v>内製品</v>
      </c>
    </row>
    <row r="1721" spans="1:65">
      <c r="A1721" t="str">
        <f t="shared" si="272"/>
        <v>WG01</v>
      </c>
      <c r="B1721" t="s">
        <v>1797</v>
      </c>
      <c r="C1721" t="s">
        <v>1926</v>
      </c>
      <c r="D1721" s="7"/>
      <c r="E1721" s="7"/>
      <c r="G1721" t="s">
        <v>1939</v>
      </c>
      <c r="H1721" t="str" cm="1">
        <f t="array" ref="H1721">IFERROR(_xlfn.IFS(B1721="","",AND(B1721="",G1721=""),"",G1721="","記載要"),"")</f>
        <v/>
      </c>
      <c r="K1721" t="str">
        <f t="shared" si="273"/>
        <v>11WP01074011</v>
      </c>
      <c r="L1721" s="3" t="str">
        <f t="shared" si="274"/>
        <v>2001/01/01</v>
      </c>
      <c r="M1721" s="3" t="str">
        <f t="shared" si="275"/>
        <v>2199/12/31</v>
      </c>
      <c r="N1721" t="str">
        <f t="shared" si="276"/>
        <v>11WP01074011</v>
      </c>
      <c r="O1721">
        <v>15</v>
      </c>
      <c r="Q1721" t="str" cm="1">
        <f t="array" ref="Q1721">_xlfn.IFS(AND(C1721="",G1721=""),"",LEFT(G1721,1)="L","記載要",LEFT(G1721,1)="W","",AND(C1721,G1721=""),"記載要")</f>
        <v/>
      </c>
      <c r="R1721" s="21" t="str">
        <f t="shared" si="281"/>
        <v/>
      </c>
      <c r="S1721" s="21"/>
      <c r="Z1721" s="8"/>
      <c r="AA1721">
        <v>1</v>
      </c>
      <c r="AB1721">
        <f t="shared" si="277"/>
        <v>0</v>
      </c>
      <c r="AC1721">
        <v>1</v>
      </c>
      <c r="AF1721">
        <v>1</v>
      </c>
      <c r="AG1721" s="8"/>
      <c r="AH1721" s="8"/>
      <c r="AK1721" cm="1">
        <f t="array" ref="AK1721">_xlfn.IFS(B1721="","",LEFT(G1721,1)="L",1,LEFT(G1721,1)="W",1,AND(LEFT(B1721,1)="H",G1721=""),0)</f>
        <v>1</v>
      </c>
      <c r="AS1721" t="str">
        <f t="shared" si="278"/>
        <v/>
      </c>
      <c r="AT1721" t="s">
        <v>115</v>
      </c>
      <c r="AU1721" t="str">
        <f t="shared" si="279"/>
        <v>0</v>
      </c>
      <c r="BD1721" t="str">
        <f t="shared" si="280"/>
        <v>0</v>
      </c>
      <c r="BK1721" t="str">
        <f>IFERROR(VLOOKUP(B1721,'[1]model_S-フレーム'!$F$5:$R$7000,13,1),"")</f>
        <v>E369074_01</v>
      </c>
      <c r="BL1721" s="7">
        <f>IFERROR(VLOOKUP(B1721,'[1]model_S-フレーム'!$F$5:$V$7000,17,1),"")</f>
        <v>0</v>
      </c>
      <c r="BM1721" t="str" cm="1">
        <f t="array" ref="BM1721">_xlfn.IFS(LEFT(G1721,1)="L","外注品",LEFT(G1721,1)="W","内製品",G1721="","購買品")</f>
        <v>内製品</v>
      </c>
    </row>
    <row r="1722" spans="1:65">
      <c r="A1722" t="str">
        <f t="shared" si="272"/>
        <v>WG01</v>
      </c>
      <c r="B1722" t="s">
        <v>1798</v>
      </c>
      <c r="C1722" t="s">
        <v>1926</v>
      </c>
      <c r="D1722" s="7"/>
      <c r="E1722" s="7"/>
      <c r="G1722" t="s">
        <v>1939</v>
      </c>
      <c r="H1722" t="str" cm="1">
        <f t="array" ref="H1722">IFERROR(_xlfn.IFS(B1722="","",AND(B1722="",G1722=""),"",G1722="","記載要"),"")</f>
        <v/>
      </c>
      <c r="K1722" t="str">
        <f t="shared" si="273"/>
        <v>11WP01074012</v>
      </c>
      <c r="L1722" s="3" t="str">
        <f t="shared" si="274"/>
        <v>2001/01/01</v>
      </c>
      <c r="M1722" s="3" t="str">
        <f t="shared" si="275"/>
        <v>2199/12/31</v>
      </c>
      <c r="N1722" t="str">
        <f t="shared" si="276"/>
        <v>11WP01074012</v>
      </c>
      <c r="O1722">
        <v>15</v>
      </c>
      <c r="Q1722" t="str" cm="1">
        <f t="array" ref="Q1722">_xlfn.IFS(AND(C1722="",G1722=""),"",LEFT(G1722,1)="L","記載要",LEFT(G1722,1)="W","",AND(C1722,G1722=""),"記載要")</f>
        <v/>
      </c>
      <c r="R1722" s="21" t="str">
        <f t="shared" si="281"/>
        <v/>
      </c>
      <c r="S1722" s="21"/>
      <c r="Z1722" s="8"/>
      <c r="AA1722">
        <v>1</v>
      </c>
      <c r="AB1722">
        <f t="shared" si="277"/>
        <v>0</v>
      </c>
      <c r="AC1722">
        <v>1</v>
      </c>
      <c r="AF1722">
        <v>1</v>
      </c>
      <c r="AG1722" s="8"/>
      <c r="AH1722" s="8"/>
      <c r="AK1722" cm="1">
        <f t="array" ref="AK1722">_xlfn.IFS(B1722="","",LEFT(G1722,1)="L",1,LEFT(G1722,1)="W",1,AND(LEFT(B1722,1)="H",G1722=""),0)</f>
        <v>1</v>
      </c>
      <c r="AS1722" t="str">
        <f t="shared" si="278"/>
        <v/>
      </c>
      <c r="AT1722" t="s">
        <v>115</v>
      </c>
      <c r="AU1722" t="str">
        <f t="shared" si="279"/>
        <v>0</v>
      </c>
      <c r="BD1722" t="str">
        <f t="shared" si="280"/>
        <v>0</v>
      </c>
      <c r="BK1722" t="str">
        <f>IFERROR(VLOOKUP(B1722,'[1]model_S-フレーム'!$F$5:$R$7000,13,1),"")</f>
        <v>E369074_01</v>
      </c>
      <c r="BL1722" s="7">
        <f>IFERROR(VLOOKUP(B1722,'[1]model_S-フレーム'!$F$5:$V$7000,17,1),"")</f>
        <v>0</v>
      </c>
      <c r="BM1722" t="str" cm="1">
        <f t="array" ref="BM1722">_xlfn.IFS(LEFT(G1722,1)="L","外注品",LEFT(G1722,1)="W","内製品",G1722="","購買品")</f>
        <v>内製品</v>
      </c>
    </row>
    <row r="1723" spans="1:65">
      <c r="A1723" t="str">
        <f t="shared" si="272"/>
        <v>WG01</v>
      </c>
      <c r="B1723" t="s">
        <v>1799</v>
      </c>
      <c r="C1723" t="s">
        <v>1926</v>
      </c>
      <c r="D1723" s="7"/>
      <c r="E1723" s="7"/>
      <c r="G1723" t="s">
        <v>1939</v>
      </c>
      <c r="H1723" t="str" cm="1">
        <f t="array" ref="H1723">IFERROR(_xlfn.IFS(B1723="","",AND(B1723="",G1723=""),"",G1723="","記載要"),"")</f>
        <v/>
      </c>
      <c r="K1723" t="str">
        <f t="shared" si="273"/>
        <v>11WP01074013</v>
      </c>
      <c r="L1723" s="3" t="str">
        <f t="shared" si="274"/>
        <v>2001/01/01</v>
      </c>
      <c r="M1723" s="3" t="str">
        <f t="shared" si="275"/>
        <v>2199/12/31</v>
      </c>
      <c r="N1723" t="str">
        <f t="shared" si="276"/>
        <v>11WP01074013</v>
      </c>
      <c r="O1723">
        <v>15</v>
      </c>
      <c r="Q1723" t="str" cm="1">
        <f t="array" ref="Q1723">_xlfn.IFS(AND(C1723="",G1723=""),"",LEFT(G1723,1)="L","記載要",LEFT(G1723,1)="W","",AND(C1723,G1723=""),"記載要")</f>
        <v/>
      </c>
      <c r="R1723" s="21" t="str">
        <f t="shared" si="281"/>
        <v/>
      </c>
      <c r="S1723" s="21"/>
      <c r="Z1723" s="8"/>
      <c r="AA1723">
        <v>1</v>
      </c>
      <c r="AB1723">
        <f t="shared" si="277"/>
        <v>0</v>
      </c>
      <c r="AC1723">
        <v>1</v>
      </c>
      <c r="AF1723">
        <v>1</v>
      </c>
      <c r="AG1723" s="8"/>
      <c r="AH1723" s="8"/>
      <c r="AK1723" cm="1">
        <f t="array" ref="AK1723">_xlfn.IFS(B1723="","",LEFT(G1723,1)="L",1,LEFT(G1723,1)="W",1,AND(LEFT(B1723,1)="H",G1723=""),0)</f>
        <v>1</v>
      </c>
      <c r="AS1723" t="str">
        <f t="shared" si="278"/>
        <v/>
      </c>
      <c r="AT1723" t="s">
        <v>115</v>
      </c>
      <c r="AU1723" t="str">
        <f t="shared" si="279"/>
        <v>0</v>
      </c>
      <c r="BD1723" t="str">
        <f t="shared" si="280"/>
        <v>0</v>
      </c>
      <c r="BK1723" t="str">
        <f>IFERROR(VLOOKUP(B1723,'[1]model_S-フレーム'!$F$5:$R$7000,13,1),"")</f>
        <v>E369074_01</v>
      </c>
      <c r="BL1723" s="7">
        <f>IFERROR(VLOOKUP(B1723,'[1]model_S-フレーム'!$F$5:$V$7000,17,1),"")</f>
        <v>0</v>
      </c>
      <c r="BM1723" t="str" cm="1">
        <f t="array" ref="BM1723">_xlfn.IFS(LEFT(G1723,1)="L","外注品",LEFT(G1723,1)="W","内製品",G1723="","購買品")</f>
        <v>内製品</v>
      </c>
    </row>
    <row r="1724" spans="1:65">
      <c r="A1724" t="str">
        <f t="shared" si="272"/>
        <v>WG01</v>
      </c>
      <c r="B1724" t="s">
        <v>1800</v>
      </c>
      <c r="C1724" t="s">
        <v>1926</v>
      </c>
      <c r="D1724" s="7"/>
      <c r="E1724" s="7"/>
      <c r="G1724" t="s">
        <v>1939</v>
      </c>
      <c r="H1724" t="str" cm="1">
        <f t="array" ref="H1724">IFERROR(_xlfn.IFS(B1724="","",AND(B1724="",G1724=""),"",G1724="","記載要"),"")</f>
        <v/>
      </c>
      <c r="K1724" t="str">
        <f t="shared" si="273"/>
        <v>11WP01074014</v>
      </c>
      <c r="L1724" s="3" t="str">
        <f t="shared" si="274"/>
        <v>2001/01/01</v>
      </c>
      <c r="M1724" s="3" t="str">
        <f t="shared" si="275"/>
        <v>2199/12/31</v>
      </c>
      <c r="N1724" t="str">
        <f t="shared" si="276"/>
        <v>11WP01074014</v>
      </c>
      <c r="O1724">
        <v>15</v>
      </c>
      <c r="Q1724" t="str" cm="1">
        <f t="array" ref="Q1724">_xlfn.IFS(AND(C1724="",G1724=""),"",LEFT(G1724,1)="L","記載要",LEFT(G1724,1)="W","",AND(C1724,G1724=""),"記載要")</f>
        <v/>
      </c>
      <c r="R1724" s="21" t="str">
        <f t="shared" si="281"/>
        <v/>
      </c>
      <c r="S1724" s="21"/>
      <c r="Z1724" s="8"/>
      <c r="AA1724">
        <v>1</v>
      </c>
      <c r="AB1724">
        <f t="shared" si="277"/>
        <v>0</v>
      </c>
      <c r="AC1724">
        <v>1</v>
      </c>
      <c r="AF1724">
        <v>1</v>
      </c>
      <c r="AG1724" s="8"/>
      <c r="AH1724" s="8"/>
      <c r="AK1724" cm="1">
        <f t="array" ref="AK1724">_xlfn.IFS(B1724="","",LEFT(G1724,1)="L",1,LEFT(G1724,1)="W",1,AND(LEFT(B1724,1)="H",G1724=""),0)</f>
        <v>1</v>
      </c>
      <c r="AS1724" t="str">
        <f t="shared" si="278"/>
        <v/>
      </c>
      <c r="AT1724" t="s">
        <v>115</v>
      </c>
      <c r="AU1724" t="str">
        <f t="shared" si="279"/>
        <v>0</v>
      </c>
      <c r="BD1724" t="str">
        <f t="shared" si="280"/>
        <v>0</v>
      </c>
      <c r="BK1724" t="str">
        <f>IFERROR(VLOOKUP(B1724,'[1]model_S-フレーム'!$F$5:$R$7000,13,1),"")</f>
        <v>E369074_01</v>
      </c>
      <c r="BL1724" s="7">
        <f>IFERROR(VLOOKUP(B1724,'[1]model_S-フレーム'!$F$5:$V$7000,17,1),"")</f>
        <v>0</v>
      </c>
      <c r="BM1724" t="str" cm="1">
        <f t="array" ref="BM1724">_xlfn.IFS(LEFT(G1724,1)="L","外注品",LEFT(G1724,1)="W","内製品",G1724="","購買品")</f>
        <v>内製品</v>
      </c>
    </row>
    <row r="1725" spans="1:65">
      <c r="A1725" t="str">
        <f t="shared" si="272"/>
        <v>WG01</v>
      </c>
      <c r="B1725" t="s">
        <v>1801</v>
      </c>
      <c r="C1725" t="s">
        <v>1926</v>
      </c>
      <c r="D1725" s="7"/>
      <c r="E1725" s="7"/>
      <c r="G1725" t="s">
        <v>1939</v>
      </c>
      <c r="H1725" t="str" cm="1">
        <f t="array" ref="H1725">IFERROR(_xlfn.IFS(B1725="","",AND(B1725="",G1725=""),"",G1725="","記載要"),"")</f>
        <v/>
      </c>
      <c r="K1725" t="str">
        <f t="shared" si="273"/>
        <v>11WP01074015</v>
      </c>
      <c r="L1725" s="3" t="str">
        <f t="shared" si="274"/>
        <v>2001/01/01</v>
      </c>
      <c r="M1725" s="3" t="str">
        <f t="shared" si="275"/>
        <v>2199/12/31</v>
      </c>
      <c r="N1725" t="str">
        <f t="shared" si="276"/>
        <v>11WP01074015</v>
      </c>
      <c r="O1725">
        <v>15</v>
      </c>
      <c r="Q1725" t="str" cm="1">
        <f t="array" ref="Q1725">_xlfn.IFS(AND(C1725="",G1725=""),"",LEFT(G1725,1)="L","記載要",LEFT(G1725,1)="W","",AND(C1725,G1725=""),"記載要")</f>
        <v/>
      </c>
      <c r="R1725" s="21" t="str">
        <f t="shared" si="281"/>
        <v/>
      </c>
      <c r="S1725" s="21"/>
      <c r="Z1725" s="8"/>
      <c r="AA1725">
        <v>1</v>
      </c>
      <c r="AB1725">
        <f t="shared" si="277"/>
        <v>0</v>
      </c>
      <c r="AC1725">
        <v>1</v>
      </c>
      <c r="AF1725">
        <v>1</v>
      </c>
      <c r="AG1725" s="8"/>
      <c r="AH1725" s="8"/>
      <c r="AK1725" cm="1">
        <f t="array" ref="AK1725">_xlfn.IFS(B1725="","",LEFT(G1725,1)="L",1,LEFT(G1725,1)="W",1,AND(LEFT(B1725,1)="H",G1725=""),0)</f>
        <v>1</v>
      </c>
      <c r="AS1725" t="str">
        <f t="shared" si="278"/>
        <v/>
      </c>
      <c r="AT1725" t="s">
        <v>115</v>
      </c>
      <c r="AU1725" t="str">
        <f t="shared" si="279"/>
        <v>0</v>
      </c>
      <c r="BD1725" t="str">
        <f t="shared" si="280"/>
        <v>0</v>
      </c>
      <c r="BK1725" t="str">
        <f>IFERROR(VLOOKUP(B1725,'[1]model_S-フレーム'!$F$5:$R$7000,13,1),"")</f>
        <v>E369074_01</v>
      </c>
      <c r="BL1725" s="7">
        <f>IFERROR(VLOOKUP(B1725,'[1]model_S-フレーム'!$F$5:$V$7000,17,1),"")</f>
        <v>0</v>
      </c>
      <c r="BM1725" t="str" cm="1">
        <f t="array" ref="BM1725">_xlfn.IFS(LEFT(G1725,1)="L","外注品",LEFT(G1725,1)="W","内製品",G1725="","購買品")</f>
        <v>内製品</v>
      </c>
    </row>
    <row r="1726" spans="1:65">
      <c r="A1726" t="str">
        <f t="shared" si="272"/>
        <v>WG01</v>
      </c>
      <c r="B1726" t="s">
        <v>1802</v>
      </c>
      <c r="C1726" t="s">
        <v>1926</v>
      </c>
      <c r="D1726" s="7"/>
      <c r="E1726" s="7"/>
      <c r="G1726" t="s">
        <v>1939</v>
      </c>
      <c r="H1726" t="str" cm="1">
        <f t="array" ref="H1726">IFERROR(_xlfn.IFS(B1726="","",AND(B1726="",G1726=""),"",G1726="","記載要"),"")</f>
        <v/>
      </c>
      <c r="K1726" t="str">
        <f t="shared" si="273"/>
        <v>11WP01074016</v>
      </c>
      <c r="L1726" s="3" t="str">
        <f t="shared" si="274"/>
        <v>2001/01/01</v>
      </c>
      <c r="M1726" s="3" t="str">
        <f t="shared" si="275"/>
        <v>2199/12/31</v>
      </c>
      <c r="N1726" t="str">
        <f t="shared" si="276"/>
        <v>11WP01074016</v>
      </c>
      <c r="O1726">
        <v>15</v>
      </c>
      <c r="Q1726" t="str" cm="1">
        <f t="array" ref="Q1726">_xlfn.IFS(AND(C1726="",G1726=""),"",LEFT(G1726,1)="L","記載要",LEFT(G1726,1)="W","",AND(C1726,G1726=""),"記載要")</f>
        <v/>
      </c>
      <c r="R1726" s="21" t="str">
        <f t="shared" si="281"/>
        <v/>
      </c>
      <c r="S1726" s="21"/>
      <c r="Z1726" s="8"/>
      <c r="AA1726">
        <v>1</v>
      </c>
      <c r="AB1726">
        <f t="shared" si="277"/>
        <v>0</v>
      </c>
      <c r="AC1726">
        <v>1</v>
      </c>
      <c r="AF1726">
        <v>1</v>
      </c>
      <c r="AG1726" s="8"/>
      <c r="AH1726" s="8"/>
      <c r="AK1726" cm="1">
        <f t="array" ref="AK1726">_xlfn.IFS(B1726="","",LEFT(G1726,1)="L",1,LEFT(G1726,1)="W",1,AND(LEFT(B1726,1)="H",G1726=""),0)</f>
        <v>1</v>
      </c>
      <c r="AS1726" t="str">
        <f t="shared" si="278"/>
        <v/>
      </c>
      <c r="AT1726" t="s">
        <v>115</v>
      </c>
      <c r="AU1726" t="str">
        <f t="shared" si="279"/>
        <v>0</v>
      </c>
      <c r="BD1726" t="str">
        <f t="shared" si="280"/>
        <v>0</v>
      </c>
      <c r="BK1726" t="str">
        <f>IFERROR(VLOOKUP(B1726,'[1]model_S-フレーム'!$F$5:$R$7000,13,1),"")</f>
        <v>E369074_01</v>
      </c>
      <c r="BL1726" s="7">
        <f>IFERROR(VLOOKUP(B1726,'[1]model_S-フレーム'!$F$5:$V$7000,17,1),"")</f>
        <v>0</v>
      </c>
      <c r="BM1726" t="str" cm="1">
        <f t="array" ref="BM1726">_xlfn.IFS(LEFT(G1726,1)="L","外注品",LEFT(G1726,1)="W","内製品",G1726="","購買品")</f>
        <v>内製品</v>
      </c>
    </row>
    <row r="1727" spans="1:65">
      <c r="A1727" t="str">
        <f t="shared" si="272"/>
        <v>WG01</v>
      </c>
      <c r="B1727" t="s">
        <v>1803</v>
      </c>
      <c r="C1727" t="s">
        <v>1926</v>
      </c>
      <c r="D1727" s="7"/>
      <c r="E1727" s="7"/>
      <c r="G1727" t="s">
        <v>1939</v>
      </c>
      <c r="H1727" t="str" cm="1">
        <f t="array" ref="H1727">IFERROR(_xlfn.IFS(B1727="","",AND(B1727="",G1727=""),"",G1727="","記載要"),"")</f>
        <v/>
      </c>
      <c r="K1727" t="str">
        <f t="shared" si="273"/>
        <v>11WP01074017</v>
      </c>
      <c r="L1727" s="3" t="str">
        <f t="shared" si="274"/>
        <v>2001/01/01</v>
      </c>
      <c r="M1727" s="3" t="str">
        <f t="shared" si="275"/>
        <v>2199/12/31</v>
      </c>
      <c r="N1727" t="str">
        <f t="shared" si="276"/>
        <v>11WP01074017</v>
      </c>
      <c r="O1727">
        <v>15</v>
      </c>
      <c r="Q1727" t="str" cm="1">
        <f t="array" ref="Q1727">_xlfn.IFS(AND(C1727="",G1727=""),"",LEFT(G1727,1)="L","記載要",LEFT(G1727,1)="W","",AND(C1727,G1727=""),"記載要")</f>
        <v/>
      </c>
      <c r="R1727" s="21" t="str">
        <f t="shared" si="281"/>
        <v/>
      </c>
      <c r="S1727" s="21"/>
      <c r="Z1727" s="8"/>
      <c r="AA1727">
        <v>1</v>
      </c>
      <c r="AB1727">
        <f t="shared" si="277"/>
        <v>0</v>
      </c>
      <c r="AC1727">
        <v>1</v>
      </c>
      <c r="AF1727">
        <v>1</v>
      </c>
      <c r="AG1727" s="8"/>
      <c r="AH1727" s="8"/>
      <c r="AK1727" cm="1">
        <f t="array" ref="AK1727">_xlfn.IFS(B1727="","",LEFT(G1727,1)="L",1,LEFT(G1727,1)="W",1,AND(LEFT(B1727,1)="H",G1727=""),0)</f>
        <v>1</v>
      </c>
      <c r="AS1727" t="str">
        <f t="shared" si="278"/>
        <v/>
      </c>
      <c r="AT1727" t="s">
        <v>115</v>
      </c>
      <c r="AU1727" t="str">
        <f t="shared" si="279"/>
        <v>0</v>
      </c>
      <c r="BD1727" t="str">
        <f t="shared" si="280"/>
        <v>0</v>
      </c>
      <c r="BK1727" t="str">
        <f>IFERROR(VLOOKUP(B1727,'[1]model_S-フレーム'!$F$5:$R$7000,13,1),"")</f>
        <v>E369074_01</v>
      </c>
      <c r="BL1727" s="7">
        <f>IFERROR(VLOOKUP(B1727,'[1]model_S-フレーム'!$F$5:$V$7000,17,1),"")</f>
        <v>0</v>
      </c>
      <c r="BM1727" t="str" cm="1">
        <f t="array" ref="BM1727">_xlfn.IFS(LEFT(G1727,1)="L","外注品",LEFT(G1727,1)="W","内製品",G1727="","購買品")</f>
        <v>内製品</v>
      </c>
    </row>
    <row r="1728" spans="1:65">
      <c r="A1728" t="str">
        <f t="shared" si="272"/>
        <v>WG01</v>
      </c>
      <c r="B1728" t="s">
        <v>1804</v>
      </c>
      <c r="C1728" t="s">
        <v>1926</v>
      </c>
      <c r="D1728" s="7"/>
      <c r="E1728" s="7"/>
      <c r="G1728" t="s">
        <v>1939</v>
      </c>
      <c r="H1728" t="str" cm="1">
        <f t="array" ref="H1728">IFERROR(_xlfn.IFS(B1728="","",AND(B1728="",G1728=""),"",G1728="","記載要"),"")</f>
        <v/>
      </c>
      <c r="K1728" t="str">
        <f t="shared" si="273"/>
        <v>11WP01074018</v>
      </c>
      <c r="L1728" s="3" t="str">
        <f t="shared" si="274"/>
        <v>2001/01/01</v>
      </c>
      <c r="M1728" s="3" t="str">
        <f t="shared" si="275"/>
        <v>2199/12/31</v>
      </c>
      <c r="N1728" t="str">
        <f t="shared" si="276"/>
        <v>11WP01074018</v>
      </c>
      <c r="O1728">
        <v>15</v>
      </c>
      <c r="Q1728" t="str" cm="1">
        <f t="array" ref="Q1728">_xlfn.IFS(AND(C1728="",G1728=""),"",LEFT(G1728,1)="L","記載要",LEFT(G1728,1)="W","",AND(C1728,G1728=""),"記載要")</f>
        <v/>
      </c>
      <c r="R1728" s="21" t="str">
        <f t="shared" si="281"/>
        <v/>
      </c>
      <c r="S1728" s="21"/>
      <c r="Z1728" s="8"/>
      <c r="AA1728">
        <v>1</v>
      </c>
      <c r="AB1728">
        <f t="shared" si="277"/>
        <v>0</v>
      </c>
      <c r="AC1728">
        <v>1</v>
      </c>
      <c r="AF1728">
        <v>1</v>
      </c>
      <c r="AG1728" s="8"/>
      <c r="AH1728" s="8"/>
      <c r="AK1728" cm="1">
        <f t="array" ref="AK1728">_xlfn.IFS(B1728="","",LEFT(G1728,1)="L",1,LEFT(G1728,1)="W",1,AND(LEFT(B1728,1)="H",G1728=""),0)</f>
        <v>1</v>
      </c>
      <c r="AS1728" t="str">
        <f t="shared" si="278"/>
        <v/>
      </c>
      <c r="AT1728" t="s">
        <v>115</v>
      </c>
      <c r="AU1728" t="str">
        <f t="shared" si="279"/>
        <v>0</v>
      </c>
      <c r="BD1728" t="str">
        <f t="shared" si="280"/>
        <v>0</v>
      </c>
      <c r="BK1728" t="str">
        <f>IFERROR(VLOOKUP(B1728,'[1]model_S-フレーム'!$F$5:$R$7000,13,1),"")</f>
        <v>E369074_01</v>
      </c>
      <c r="BL1728" s="7">
        <f>IFERROR(VLOOKUP(B1728,'[1]model_S-フレーム'!$F$5:$V$7000,17,1),"")</f>
        <v>0</v>
      </c>
      <c r="BM1728" t="str" cm="1">
        <f t="array" ref="BM1728">_xlfn.IFS(LEFT(G1728,1)="L","外注品",LEFT(G1728,1)="W","内製品",G1728="","購買品")</f>
        <v>内製品</v>
      </c>
    </row>
    <row r="1729" spans="1:65">
      <c r="A1729" t="str">
        <f t="shared" si="272"/>
        <v>WG01</v>
      </c>
      <c r="B1729" t="s">
        <v>1805</v>
      </c>
      <c r="C1729" t="s">
        <v>1926</v>
      </c>
      <c r="D1729" s="7"/>
      <c r="E1729" s="7"/>
      <c r="G1729" t="s">
        <v>1939</v>
      </c>
      <c r="H1729" t="str" cm="1">
        <f t="array" ref="H1729">IFERROR(_xlfn.IFS(B1729="","",AND(B1729="",G1729=""),"",G1729="","記載要"),"")</f>
        <v/>
      </c>
      <c r="K1729" t="str">
        <f t="shared" si="273"/>
        <v>11WP01074019</v>
      </c>
      <c r="L1729" s="3" t="str">
        <f t="shared" si="274"/>
        <v>2001/01/01</v>
      </c>
      <c r="M1729" s="3" t="str">
        <f t="shared" si="275"/>
        <v>2199/12/31</v>
      </c>
      <c r="N1729" t="str">
        <f t="shared" si="276"/>
        <v>11WP01074019</v>
      </c>
      <c r="O1729">
        <v>15</v>
      </c>
      <c r="Q1729" t="str" cm="1">
        <f t="array" ref="Q1729">_xlfn.IFS(AND(C1729="",G1729=""),"",LEFT(G1729,1)="L","記載要",LEFT(G1729,1)="W","",AND(C1729,G1729=""),"記載要")</f>
        <v/>
      </c>
      <c r="R1729" s="21" t="str">
        <f t="shared" si="281"/>
        <v/>
      </c>
      <c r="S1729" s="21"/>
      <c r="Z1729" s="8"/>
      <c r="AA1729">
        <v>1</v>
      </c>
      <c r="AB1729">
        <f t="shared" si="277"/>
        <v>0</v>
      </c>
      <c r="AC1729">
        <v>1</v>
      </c>
      <c r="AF1729">
        <v>1</v>
      </c>
      <c r="AG1729" s="8"/>
      <c r="AH1729" s="8"/>
      <c r="AK1729" cm="1">
        <f t="array" ref="AK1729">_xlfn.IFS(B1729="","",LEFT(G1729,1)="L",1,LEFT(G1729,1)="W",1,AND(LEFT(B1729,1)="H",G1729=""),0)</f>
        <v>1</v>
      </c>
      <c r="AS1729" t="str">
        <f t="shared" si="278"/>
        <v/>
      </c>
      <c r="AT1729" t="s">
        <v>115</v>
      </c>
      <c r="AU1729" t="str">
        <f t="shared" si="279"/>
        <v>0</v>
      </c>
      <c r="BD1729" t="str">
        <f t="shared" si="280"/>
        <v>0</v>
      </c>
      <c r="BK1729" t="str">
        <f>IFERROR(VLOOKUP(B1729,'[1]model_S-フレーム'!$F$5:$R$7000,13,1),"")</f>
        <v>E369074_01</v>
      </c>
      <c r="BL1729" s="7">
        <f>IFERROR(VLOOKUP(B1729,'[1]model_S-フレーム'!$F$5:$V$7000,17,1),"")</f>
        <v>0</v>
      </c>
      <c r="BM1729" t="str" cm="1">
        <f t="array" ref="BM1729">_xlfn.IFS(LEFT(G1729,1)="L","外注品",LEFT(G1729,1)="W","内製品",G1729="","購買品")</f>
        <v>内製品</v>
      </c>
    </row>
    <row r="1730" spans="1:65" s="17" customFormat="1">
      <c r="A1730" t="str">
        <f t="shared" si="272"/>
        <v>WG01</v>
      </c>
      <c r="B1730" t="s">
        <v>1806</v>
      </c>
      <c r="C1730" t="s">
        <v>1927</v>
      </c>
      <c r="D1730" s="7"/>
      <c r="E1730" s="7"/>
      <c r="F1730"/>
      <c r="G1730"/>
      <c r="H1730">
        <v>27616</v>
      </c>
      <c r="I1730"/>
      <c r="J1730"/>
      <c r="K1730" t="str">
        <f t="shared" si="273"/>
        <v/>
      </c>
      <c r="L1730" s="3" t="str">
        <f t="shared" si="274"/>
        <v>2001/01/01</v>
      </c>
      <c r="M1730" s="3" t="str">
        <f t="shared" si="275"/>
        <v>2199/12/31</v>
      </c>
      <c r="N1730" t="str">
        <f t="shared" si="276"/>
        <v/>
      </c>
      <c r="O1730" t="str">
        <f>IF(G1730="","","記載要")</f>
        <v/>
      </c>
      <c r="P1730"/>
      <c r="Q1730">
        <v>15</v>
      </c>
      <c r="R1730" s="21">
        <v>100000000</v>
      </c>
      <c r="S1730" s="21" t="str" cm="1">
        <f t="array" ref="S1730">_xlfn.IFS(LEFT(G1730,1)="L","記載要",LEFT(G1730,1)="W","記載要",G1730="","")</f>
        <v/>
      </c>
      <c r="T1730"/>
      <c r="U1730"/>
      <c r="V1730"/>
      <c r="W1730"/>
      <c r="X1730"/>
      <c r="Y1730"/>
      <c r="Z1730" s="8"/>
      <c r="AA1730" s="8">
        <v>1</v>
      </c>
      <c r="AB1730">
        <f t="shared" si="277"/>
        <v>0</v>
      </c>
      <c r="AC1730" s="8">
        <v>1</v>
      </c>
      <c r="AD1730"/>
      <c r="AE1730"/>
      <c r="AF1730">
        <v>1</v>
      </c>
      <c r="AG1730" s="8"/>
      <c r="AH1730" s="8"/>
      <c r="AI1730"/>
      <c r="AJ1730"/>
      <c r="AK1730" cm="1">
        <f t="array" ref="AK1730">_xlfn.IFS(B1730="","",LEFT(G1730,1)="L",1,LEFT(G1730,1)="W",1,AND(LEFT(B1730,1)="H",G1730=""),0)</f>
        <v>0</v>
      </c>
      <c r="AL1730"/>
      <c r="AM1730"/>
      <c r="AN1730"/>
      <c r="AO1730"/>
      <c r="AP1730"/>
      <c r="AQ1730"/>
      <c r="AR1730"/>
      <c r="AS1730">
        <f t="shared" si="278"/>
        <v>1</v>
      </c>
      <c r="AT1730" t="s">
        <v>115</v>
      </c>
      <c r="AU1730" t="str">
        <f t="shared" si="279"/>
        <v>0</v>
      </c>
      <c r="AV1730"/>
      <c r="AW1730"/>
      <c r="AX1730"/>
      <c r="AY1730"/>
      <c r="AZ1730"/>
      <c r="BA1730"/>
      <c r="BB1730"/>
      <c r="BC1730"/>
      <c r="BD1730" t="str">
        <f t="shared" si="280"/>
        <v>0</v>
      </c>
      <c r="BE1730"/>
      <c r="BF1730"/>
      <c r="BG1730"/>
      <c r="BH1730"/>
      <c r="BI1730"/>
      <c r="BJ1730"/>
      <c r="BK1730" s="17" t="str">
        <f>IFERROR(VLOOKUP(B1730,'[1]model_S-フレーム'!$F$5:$R$7000,13,1),"")</f>
        <v>E369073_01</v>
      </c>
      <c r="BL1730" s="18">
        <f>IFERROR(VLOOKUP(B1730,'[1]model_S-フレーム'!$F$5:$V$7000,17,1),"")</f>
        <v>0</v>
      </c>
      <c r="BM1730" s="17" t="str" cm="1">
        <f t="array" ref="BM1730">_xlfn.IFS(LEFT(G1730,1)="L","外注品",LEFT(G1730,1)="W","内製品",G1730="","購買品")</f>
        <v>購買品</v>
      </c>
    </row>
    <row r="1731" spans="1:65" s="17" customFormat="1">
      <c r="A1731" t="str">
        <f t="shared" ref="A1731:A1794" si="283">IF(B1731="","","WG01")</f>
        <v>WG01</v>
      </c>
      <c r="B1731" t="s">
        <v>1806</v>
      </c>
      <c r="C1731" t="s">
        <v>1927</v>
      </c>
      <c r="D1731" s="7"/>
      <c r="E1731" s="7"/>
      <c r="F1731"/>
      <c r="G1731"/>
      <c r="H1731">
        <v>43453</v>
      </c>
      <c r="I1731"/>
      <c r="J1731"/>
      <c r="K1731" t="str">
        <f t="shared" ref="K1731:K1794" si="284">IF(G1731="","","11"&amp;G1731&amp;RIGHT(B1731,5))</f>
        <v/>
      </c>
      <c r="L1731" s="3" t="str">
        <f t="shared" ref="L1731:L1794" si="285">IF(B1731="","","2001/01/01")</f>
        <v>2001/01/01</v>
      </c>
      <c r="M1731" s="3" t="str">
        <f t="shared" ref="M1731:M1794" si="286">IF(C1731="","","2199/12/31")</f>
        <v>2199/12/31</v>
      </c>
      <c r="N1731" t="str">
        <f t="shared" ref="N1731:N1794" si="287">IF(LEFT(G1731,1)="W",K1731,"")</f>
        <v/>
      </c>
      <c r="O1731" t="str">
        <f>IF(G1731="","","記載要")</f>
        <v/>
      </c>
      <c r="P1731"/>
      <c r="Q1731">
        <v>15</v>
      </c>
      <c r="R1731" s="21">
        <v>100000000</v>
      </c>
      <c r="S1731" s="21" t="str" cm="1">
        <f t="array" ref="S1731">_xlfn.IFS(LEFT(G1731,1)="L","記載要",LEFT(G1731,1)="W","記載要",G1731="","")</f>
        <v/>
      </c>
      <c r="T1731"/>
      <c r="U1731"/>
      <c r="V1731"/>
      <c r="W1731"/>
      <c r="X1731"/>
      <c r="Y1731"/>
      <c r="Z1731" s="8"/>
      <c r="AA1731" s="8">
        <v>1</v>
      </c>
      <c r="AB1731">
        <f t="shared" ref="AB1731:AB1794" si="288">IF(B1731="","",0)</f>
        <v>0</v>
      </c>
      <c r="AC1731" s="8">
        <v>1</v>
      </c>
      <c r="AD1731"/>
      <c r="AE1731"/>
      <c r="AF1731">
        <v>0</v>
      </c>
      <c r="AG1731" s="8"/>
      <c r="AH1731" s="8"/>
      <c r="AI1731"/>
      <c r="AJ1731"/>
      <c r="AK1731" cm="1">
        <f t="array" ref="AK1731">_xlfn.IFS(B1731="","",LEFT(G1731,1)="L",1,LEFT(G1731,1)="W",1,AND(LEFT(B1731,1)="H",G1731=""),0)</f>
        <v>0</v>
      </c>
      <c r="AL1731"/>
      <c r="AM1731"/>
      <c r="AN1731"/>
      <c r="AO1731"/>
      <c r="AP1731"/>
      <c r="AQ1731"/>
      <c r="AR1731"/>
      <c r="AS1731">
        <f t="shared" ref="AS1731:AS1794" si="289">IF(Q1731="","",1)</f>
        <v>1</v>
      </c>
      <c r="AT1731" t="s">
        <v>115</v>
      </c>
      <c r="AU1731" t="str">
        <f t="shared" ref="AU1731:AU1794" si="290">IF(B1731="","","0")</f>
        <v>0</v>
      </c>
      <c r="AV1731"/>
      <c r="AW1731"/>
      <c r="AX1731"/>
      <c r="AY1731"/>
      <c r="AZ1731"/>
      <c r="BA1731"/>
      <c r="BB1731"/>
      <c r="BC1731"/>
      <c r="BD1731" t="str">
        <f t="shared" ref="BD1731:BD1794" si="291">IF(B1731="","","0")</f>
        <v>0</v>
      </c>
      <c r="BE1731"/>
      <c r="BF1731"/>
      <c r="BG1731"/>
      <c r="BH1731"/>
      <c r="BI1731"/>
      <c r="BJ1731"/>
      <c r="BK1731" s="17" t="str">
        <f>IFERROR(VLOOKUP(B1731,'[1]model_S-フレーム'!$F$5:$R$7000,13,1),"")</f>
        <v>E369073_01</v>
      </c>
      <c r="BL1731" s="18">
        <f>IFERROR(VLOOKUP(B1731,'[1]model_S-フレーム'!$F$5:$V$7000,17,1),"")</f>
        <v>0</v>
      </c>
      <c r="BM1731" s="17" t="str" cm="1">
        <f t="array" ref="BM1731">_xlfn.IFS(LEFT(G1731,1)="L","外注品",LEFT(G1731,1)="W","内製品",G1731="","購買品")</f>
        <v>購買品</v>
      </c>
    </row>
    <row r="1732" spans="1:65" s="17" customFormat="1">
      <c r="A1732" t="str">
        <f t="shared" si="283"/>
        <v>WG01</v>
      </c>
      <c r="B1732" t="s">
        <v>1806</v>
      </c>
      <c r="C1732" t="s">
        <v>1927</v>
      </c>
      <c r="D1732" s="7"/>
      <c r="E1732" s="7"/>
      <c r="F1732"/>
      <c r="G1732"/>
      <c r="H1732">
        <v>47081</v>
      </c>
      <c r="I1732"/>
      <c r="J1732"/>
      <c r="K1732" t="str">
        <f t="shared" si="284"/>
        <v/>
      </c>
      <c r="L1732" s="3" t="str">
        <f t="shared" si="285"/>
        <v>2001/01/01</v>
      </c>
      <c r="M1732" s="3" t="str">
        <f t="shared" si="286"/>
        <v>2199/12/31</v>
      </c>
      <c r="N1732" t="str">
        <f t="shared" si="287"/>
        <v/>
      </c>
      <c r="O1732" t="str">
        <f>IF(G1732="","","記載要")</f>
        <v/>
      </c>
      <c r="P1732"/>
      <c r="Q1732">
        <v>15</v>
      </c>
      <c r="R1732" s="21">
        <v>100000000</v>
      </c>
      <c r="S1732" s="21" t="str" cm="1">
        <f t="array" ref="S1732">_xlfn.IFS(LEFT(G1732,1)="L","記載要",LEFT(G1732,1)="W","記載要",G1732="","")</f>
        <v/>
      </c>
      <c r="T1732"/>
      <c r="U1732"/>
      <c r="V1732"/>
      <c r="W1732"/>
      <c r="X1732"/>
      <c r="Y1732"/>
      <c r="Z1732" s="8"/>
      <c r="AA1732" s="8">
        <v>1</v>
      </c>
      <c r="AB1732">
        <f t="shared" si="288"/>
        <v>0</v>
      </c>
      <c r="AC1732" s="8">
        <v>1</v>
      </c>
      <c r="AD1732"/>
      <c r="AE1732"/>
      <c r="AF1732">
        <v>0</v>
      </c>
      <c r="AG1732" s="8"/>
      <c r="AH1732" s="8"/>
      <c r="AI1732"/>
      <c r="AJ1732"/>
      <c r="AK1732" cm="1">
        <f t="array" ref="AK1732">_xlfn.IFS(B1732="","",LEFT(G1732,1)="L",1,LEFT(G1732,1)="W",1,AND(LEFT(B1732,1)="H",G1732=""),0)</f>
        <v>0</v>
      </c>
      <c r="AL1732"/>
      <c r="AM1732"/>
      <c r="AN1732"/>
      <c r="AO1732"/>
      <c r="AP1732"/>
      <c r="AQ1732"/>
      <c r="AR1732"/>
      <c r="AS1732">
        <f t="shared" si="289"/>
        <v>1</v>
      </c>
      <c r="AT1732" t="s">
        <v>115</v>
      </c>
      <c r="AU1732" t="str">
        <f t="shared" si="290"/>
        <v>0</v>
      </c>
      <c r="AV1732"/>
      <c r="AW1732"/>
      <c r="AX1732"/>
      <c r="AY1732"/>
      <c r="AZ1732"/>
      <c r="BA1732"/>
      <c r="BB1732"/>
      <c r="BC1732"/>
      <c r="BD1732" t="str">
        <f t="shared" si="291"/>
        <v>0</v>
      </c>
      <c r="BE1732"/>
      <c r="BF1732"/>
      <c r="BG1732"/>
      <c r="BH1732"/>
      <c r="BI1732"/>
      <c r="BJ1732"/>
      <c r="BK1732" s="17" t="str">
        <f>IFERROR(VLOOKUP(B1732,'[1]model_S-フレーム'!$F$5:$R$7000,13,1),"")</f>
        <v>E369073_01</v>
      </c>
      <c r="BL1732" s="18">
        <f>IFERROR(VLOOKUP(B1732,'[1]model_S-フレーム'!$F$5:$V$7000,17,1),"")</f>
        <v>0</v>
      </c>
      <c r="BM1732" s="17" t="str" cm="1">
        <f t="array" ref="BM1732">_xlfn.IFS(LEFT(G1732,1)="L","外注品",LEFT(G1732,1)="W","内製品",G1732="","購買品")</f>
        <v>購買品</v>
      </c>
    </row>
    <row r="1733" spans="1:65">
      <c r="A1733" t="str">
        <f t="shared" si="283"/>
        <v>WG01</v>
      </c>
      <c r="B1733" t="s">
        <v>1806</v>
      </c>
      <c r="C1733" t="s">
        <v>1927</v>
      </c>
      <c r="D1733" s="7"/>
      <c r="E1733" s="7"/>
      <c r="H1733" s="19" t="s">
        <v>1937</v>
      </c>
      <c r="K1733" t="str">
        <f t="shared" si="284"/>
        <v/>
      </c>
      <c r="L1733" s="3" t="str">
        <f t="shared" si="285"/>
        <v>2001/01/01</v>
      </c>
      <c r="M1733" s="3" t="str">
        <f t="shared" si="286"/>
        <v>2199/12/31</v>
      </c>
      <c r="N1733" t="str">
        <f t="shared" si="287"/>
        <v/>
      </c>
      <c r="O1733" t="str">
        <f>IF(G1733="","","記載要")</f>
        <v/>
      </c>
      <c r="Q1733">
        <v>15</v>
      </c>
      <c r="R1733" s="21">
        <v>100000000</v>
      </c>
      <c r="S1733" s="21" t="str" cm="1">
        <f t="array" ref="S1733">_xlfn.IFS(LEFT(G1733,1)="L","記載要",LEFT(G1733,1)="W","記載要",G1733="","")</f>
        <v/>
      </c>
      <c r="Z1733" s="8"/>
      <c r="AA1733" s="8">
        <v>1</v>
      </c>
      <c r="AB1733">
        <f t="shared" si="288"/>
        <v>0</v>
      </c>
      <c r="AC1733" s="8">
        <v>1</v>
      </c>
      <c r="AF1733">
        <v>0</v>
      </c>
      <c r="AG1733" s="8"/>
      <c r="AH1733" s="8"/>
      <c r="AK1733" cm="1">
        <f t="array" ref="AK1733">_xlfn.IFS(B1733="","",LEFT(G1733,1)="L",1,LEFT(G1733,1)="W",1,AND(LEFT(B1733,1)="H",G1733=""),0)</f>
        <v>0</v>
      </c>
      <c r="AS1733">
        <f t="shared" si="289"/>
        <v>1</v>
      </c>
      <c r="AT1733" t="s">
        <v>115</v>
      </c>
      <c r="AU1733" t="str">
        <f t="shared" si="290"/>
        <v>0</v>
      </c>
      <c r="BD1733" t="str">
        <f t="shared" si="291"/>
        <v>0</v>
      </c>
      <c r="BK1733" t="str">
        <f>IFERROR(VLOOKUP(B1733,'[1]model_S-フレーム'!$F$5:$R$7000,13,1),"")</f>
        <v>E369073_01</v>
      </c>
      <c r="BL1733" s="7">
        <f>IFERROR(VLOOKUP(B1733,'[1]model_S-フレーム'!$F$5:$V$7000,17,1),"")</f>
        <v>0</v>
      </c>
      <c r="BM1733" t="str" cm="1">
        <f t="array" ref="BM1733">_xlfn.IFS(LEFT(G1733,1)="L","外注品",LEFT(G1733,1)="W","内製品",G1733="","購買品")</f>
        <v>購買品</v>
      </c>
    </row>
    <row r="1734" spans="1:65">
      <c r="A1734" t="str">
        <f t="shared" si="283"/>
        <v>WG01</v>
      </c>
      <c r="B1734" t="s">
        <v>1807</v>
      </c>
      <c r="C1734" t="s">
        <v>1928</v>
      </c>
      <c r="D1734" s="7"/>
      <c r="E1734" s="7"/>
      <c r="G1734" t="s">
        <v>1939</v>
      </c>
      <c r="H1734" t="str" cm="1">
        <f t="array" ref="H1734">IFERROR(_xlfn.IFS(B1734="","",AND(B1734="",G1734=""),"",G1734="","記載要"),"")</f>
        <v/>
      </c>
      <c r="K1734" t="str">
        <f t="shared" si="284"/>
        <v>11WP01074021</v>
      </c>
      <c r="L1734" s="3" t="str">
        <f t="shared" si="285"/>
        <v>2001/01/01</v>
      </c>
      <c r="M1734" s="3" t="str">
        <f t="shared" si="286"/>
        <v>2199/12/31</v>
      </c>
      <c r="N1734" t="str">
        <f t="shared" si="287"/>
        <v>11WP01074021</v>
      </c>
      <c r="O1734">
        <v>15</v>
      </c>
      <c r="Q1734" t="str" cm="1">
        <f t="array" ref="Q1734">_xlfn.IFS(AND(C1734="",G1734=""),"",LEFT(G1734,1)="L","記載要",LEFT(G1734,1)="W","",AND(C1734,G1734=""),"記載要")</f>
        <v/>
      </c>
      <c r="R1734" s="21" t="str">
        <f t="shared" ref="R1734:R1795" si="292">IF(H1734="","","記載要")</f>
        <v/>
      </c>
      <c r="S1734" s="21"/>
      <c r="Z1734" s="8"/>
      <c r="AA1734">
        <v>1</v>
      </c>
      <c r="AB1734">
        <f t="shared" si="288"/>
        <v>0</v>
      </c>
      <c r="AC1734">
        <v>1</v>
      </c>
      <c r="AF1734">
        <v>1</v>
      </c>
      <c r="AG1734" s="8"/>
      <c r="AH1734" s="8"/>
      <c r="AK1734" cm="1">
        <f t="array" ref="AK1734">_xlfn.IFS(B1734="","",LEFT(G1734,1)="L",1,LEFT(G1734,1)="W",1,AND(LEFT(B1734,1)="H",G1734=""),0)</f>
        <v>1</v>
      </c>
      <c r="AS1734" t="str">
        <f t="shared" si="289"/>
        <v/>
      </c>
      <c r="AT1734" t="s">
        <v>115</v>
      </c>
      <c r="AU1734" t="str">
        <f t="shared" si="290"/>
        <v>0</v>
      </c>
      <c r="BD1734" t="str">
        <f t="shared" si="291"/>
        <v>0</v>
      </c>
      <c r="BK1734" t="str">
        <f>IFERROR(VLOOKUP(B1734,'[1]model_S-フレーム'!$F$5:$R$7000,13,1),"")</f>
        <v>E369078_01</v>
      </c>
      <c r="BL1734" s="7">
        <f>IFERROR(VLOOKUP(B1734,'[1]model_S-フレーム'!$F$5:$V$7000,17,1),"")</f>
        <v>0</v>
      </c>
      <c r="BM1734" t="str" cm="1">
        <f t="array" ref="BM1734">_xlfn.IFS(LEFT(G1734,1)="L","外注品",LEFT(G1734,1)="W","内製品",G1734="","購買品")</f>
        <v>内製品</v>
      </c>
    </row>
    <row r="1735" spans="1:65">
      <c r="A1735" t="str">
        <f t="shared" si="283"/>
        <v>WG01</v>
      </c>
      <c r="B1735" t="s">
        <v>1808</v>
      </c>
      <c r="C1735" t="s">
        <v>1928</v>
      </c>
      <c r="D1735" s="7"/>
      <c r="E1735" s="7"/>
      <c r="G1735" t="s">
        <v>1939</v>
      </c>
      <c r="H1735" t="str" cm="1">
        <f t="array" ref="H1735">IFERROR(_xlfn.IFS(B1735="","",AND(B1735="",G1735=""),"",G1735="","記載要"),"")</f>
        <v/>
      </c>
      <c r="K1735" t="str">
        <f t="shared" si="284"/>
        <v>11WP01074022</v>
      </c>
      <c r="L1735" s="3" t="str">
        <f t="shared" si="285"/>
        <v>2001/01/01</v>
      </c>
      <c r="M1735" s="3" t="str">
        <f t="shared" si="286"/>
        <v>2199/12/31</v>
      </c>
      <c r="N1735" t="str">
        <f t="shared" si="287"/>
        <v>11WP01074022</v>
      </c>
      <c r="O1735">
        <v>15</v>
      </c>
      <c r="Q1735" t="str" cm="1">
        <f t="array" ref="Q1735">_xlfn.IFS(AND(C1735="",G1735=""),"",LEFT(G1735,1)="L","記載要",LEFT(G1735,1)="W","",AND(C1735,G1735=""),"記載要")</f>
        <v/>
      </c>
      <c r="R1735" s="21" t="str">
        <f t="shared" si="292"/>
        <v/>
      </c>
      <c r="S1735" s="21"/>
      <c r="Z1735" s="8"/>
      <c r="AA1735">
        <v>1</v>
      </c>
      <c r="AB1735">
        <f t="shared" si="288"/>
        <v>0</v>
      </c>
      <c r="AC1735">
        <v>1</v>
      </c>
      <c r="AF1735">
        <v>1</v>
      </c>
      <c r="AG1735" s="8"/>
      <c r="AH1735" s="8"/>
      <c r="AK1735" cm="1">
        <f t="array" ref="AK1735">_xlfn.IFS(B1735="","",LEFT(G1735,1)="L",1,LEFT(G1735,1)="W",1,AND(LEFT(B1735,1)="H",G1735=""),0)</f>
        <v>1</v>
      </c>
      <c r="AS1735" t="str">
        <f t="shared" si="289"/>
        <v/>
      </c>
      <c r="AT1735" t="s">
        <v>115</v>
      </c>
      <c r="AU1735" t="str">
        <f t="shared" si="290"/>
        <v>0</v>
      </c>
      <c r="BD1735" t="str">
        <f t="shared" si="291"/>
        <v>0</v>
      </c>
      <c r="BK1735" t="str">
        <f>IFERROR(VLOOKUP(B1735,'[1]model_S-フレーム'!$F$5:$R$7000,13,1),"")</f>
        <v>E369078_01</v>
      </c>
      <c r="BL1735" s="7">
        <f>IFERROR(VLOOKUP(B1735,'[1]model_S-フレーム'!$F$5:$V$7000,17,1),"")</f>
        <v>0</v>
      </c>
      <c r="BM1735" t="str" cm="1">
        <f t="array" ref="BM1735">_xlfn.IFS(LEFT(G1735,1)="L","外注品",LEFT(G1735,1)="W","内製品",G1735="","購買品")</f>
        <v>内製品</v>
      </c>
    </row>
    <row r="1736" spans="1:65">
      <c r="A1736" t="str">
        <f t="shared" si="283"/>
        <v>WG01</v>
      </c>
      <c r="B1736" t="s">
        <v>1809</v>
      </c>
      <c r="C1736" t="s">
        <v>1928</v>
      </c>
      <c r="D1736" s="7"/>
      <c r="E1736" s="7"/>
      <c r="G1736" t="s">
        <v>1939</v>
      </c>
      <c r="H1736" t="str" cm="1">
        <f t="array" ref="H1736">IFERROR(_xlfn.IFS(B1736="","",AND(B1736="",G1736=""),"",G1736="","記載要"),"")</f>
        <v/>
      </c>
      <c r="K1736" t="str">
        <f t="shared" si="284"/>
        <v>11WP01074023</v>
      </c>
      <c r="L1736" s="3" t="str">
        <f t="shared" si="285"/>
        <v>2001/01/01</v>
      </c>
      <c r="M1736" s="3" t="str">
        <f t="shared" si="286"/>
        <v>2199/12/31</v>
      </c>
      <c r="N1736" t="str">
        <f t="shared" si="287"/>
        <v>11WP01074023</v>
      </c>
      <c r="O1736">
        <v>15</v>
      </c>
      <c r="Q1736" t="str" cm="1">
        <f t="array" ref="Q1736">_xlfn.IFS(AND(C1736="",G1736=""),"",LEFT(G1736,1)="L","記載要",LEFT(G1736,1)="W","",AND(C1736,G1736=""),"記載要")</f>
        <v/>
      </c>
      <c r="R1736" s="21" t="str">
        <f t="shared" si="292"/>
        <v/>
      </c>
      <c r="S1736" s="21"/>
      <c r="Z1736" s="8"/>
      <c r="AA1736">
        <v>1</v>
      </c>
      <c r="AB1736">
        <f t="shared" si="288"/>
        <v>0</v>
      </c>
      <c r="AC1736">
        <v>1</v>
      </c>
      <c r="AF1736">
        <v>1</v>
      </c>
      <c r="AG1736" s="8"/>
      <c r="AH1736" s="8"/>
      <c r="AK1736" cm="1">
        <f t="array" ref="AK1736">_xlfn.IFS(B1736="","",LEFT(G1736,1)="L",1,LEFT(G1736,1)="W",1,AND(LEFT(B1736,1)="H",G1736=""),0)</f>
        <v>1</v>
      </c>
      <c r="AS1736" t="str">
        <f t="shared" si="289"/>
        <v/>
      </c>
      <c r="AT1736" t="s">
        <v>115</v>
      </c>
      <c r="AU1736" t="str">
        <f t="shared" si="290"/>
        <v>0</v>
      </c>
      <c r="BD1736" t="str">
        <f t="shared" si="291"/>
        <v>0</v>
      </c>
      <c r="BK1736" t="str">
        <f>IFERROR(VLOOKUP(B1736,'[1]model_S-フレーム'!$F$5:$R$7000,13,1),"")</f>
        <v>E369078_01</v>
      </c>
      <c r="BL1736" s="7">
        <f>IFERROR(VLOOKUP(B1736,'[1]model_S-フレーム'!$F$5:$V$7000,17,1),"")</f>
        <v>0</v>
      </c>
      <c r="BM1736" t="str" cm="1">
        <f t="array" ref="BM1736">_xlfn.IFS(LEFT(G1736,1)="L","外注品",LEFT(G1736,1)="W","内製品",G1736="","購買品")</f>
        <v>内製品</v>
      </c>
    </row>
    <row r="1737" spans="1:65">
      <c r="A1737" t="str">
        <f t="shared" si="283"/>
        <v>WG01</v>
      </c>
      <c r="B1737" t="s">
        <v>1810</v>
      </c>
      <c r="C1737" t="s">
        <v>1928</v>
      </c>
      <c r="D1737" s="7"/>
      <c r="E1737" s="7"/>
      <c r="G1737" t="s">
        <v>1939</v>
      </c>
      <c r="H1737" t="str" cm="1">
        <f t="array" ref="H1737">IFERROR(_xlfn.IFS(B1737="","",AND(B1737="",G1737=""),"",G1737="","記載要"),"")</f>
        <v/>
      </c>
      <c r="K1737" t="str">
        <f t="shared" si="284"/>
        <v>11WP01074024</v>
      </c>
      <c r="L1737" s="3" t="str">
        <f t="shared" si="285"/>
        <v>2001/01/01</v>
      </c>
      <c r="M1737" s="3" t="str">
        <f t="shared" si="286"/>
        <v>2199/12/31</v>
      </c>
      <c r="N1737" t="str">
        <f t="shared" si="287"/>
        <v>11WP01074024</v>
      </c>
      <c r="O1737">
        <v>15</v>
      </c>
      <c r="Q1737" t="str" cm="1">
        <f t="array" ref="Q1737">_xlfn.IFS(AND(C1737="",G1737=""),"",LEFT(G1737,1)="L","記載要",LEFT(G1737,1)="W","",AND(C1737,G1737=""),"記載要")</f>
        <v/>
      </c>
      <c r="R1737" s="21" t="str">
        <f t="shared" si="292"/>
        <v/>
      </c>
      <c r="S1737" s="21"/>
      <c r="Z1737" s="8"/>
      <c r="AA1737">
        <v>1</v>
      </c>
      <c r="AB1737">
        <f t="shared" si="288"/>
        <v>0</v>
      </c>
      <c r="AC1737">
        <v>1</v>
      </c>
      <c r="AF1737">
        <v>1</v>
      </c>
      <c r="AG1737" s="8"/>
      <c r="AH1737" s="8"/>
      <c r="AK1737" cm="1">
        <f t="array" ref="AK1737">_xlfn.IFS(B1737="","",LEFT(G1737,1)="L",1,LEFT(G1737,1)="W",1,AND(LEFT(B1737,1)="H",G1737=""),0)</f>
        <v>1</v>
      </c>
      <c r="AS1737" t="str">
        <f t="shared" si="289"/>
        <v/>
      </c>
      <c r="AT1737" t="s">
        <v>115</v>
      </c>
      <c r="AU1737" t="str">
        <f t="shared" si="290"/>
        <v>0</v>
      </c>
      <c r="BD1737" t="str">
        <f t="shared" si="291"/>
        <v>0</v>
      </c>
      <c r="BK1737" t="str">
        <f>IFERROR(VLOOKUP(B1737,'[1]model_S-フレーム'!$F$5:$R$7000,13,1),"")</f>
        <v>E369078_01</v>
      </c>
      <c r="BL1737" s="7">
        <f>IFERROR(VLOOKUP(B1737,'[1]model_S-フレーム'!$F$5:$V$7000,17,1),"")</f>
        <v>0</v>
      </c>
      <c r="BM1737" t="str" cm="1">
        <f t="array" ref="BM1737">_xlfn.IFS(LEFT(G1737,1)="L","外注品",LEFT(G1737,1)="W","内製品",G1737="","購買品")</f>
        <v>内製品</v>
      </c>
    </row>
    <row r="1738" spans="1:65">
      <c r="A1738" t="str">
        <f t="shared" si="283"/>
        <v>WG01</v>
      </c>
      <c r="B1738" t="s">
        <v>1811</v>
      </c>
      <c r="C1738" t="s">
        <v>1928</v>
      </c>
      <c r="D1738" s="7"/>
      <c r="E1738" s="7"/>
      <c r="G1738" t="s">
        <v>1939</v>
      </c>
      <c r="H1738" t="str" cm="1">
        <f t="array" ref="H1738">IFERROR(_xlfn.IFS(B1738="","",AND(B1738="",G1738=""),"",G1738="","記載要"),"")</f>
        <v/>
      </c>
      <c r="K1738" t="str">
        <f t="shared" si="284"/>
        <v>11WP01074025</v>
      </c>
      <c r="L1738" s="3" t="str">
        <f t="shared" si="285"/>
        <v>2001/01/01</v>
      </c>
      <c r="M1738" s="3" t="str">
        <f t="shared" si="286"/>
        <v>2199/12/31</v>
      </c>
      <c r="N1738" t="str">
        <f t="shared" si="287"/>
        <v>11WP01074025</v>
      </c>
      <c r="O1738">
        <v>15</v>
      </c>
      <c r="Q1738" t="str" cm="1">
        <f t="array" ref="Q1738">_xlfn.IFS(AND(C1738="",G1738=""),"",LEFT(G1738,1)="L","記載要",LEFT(G1738,1)="W","",AND(C1738,G1738=""),"記載要")</f>
        <v/>
      </c>
      <c r="R1738" s="21" t="str">
        <f t="shared" si="292"/>
        <v/>
      </c>
      <c r="S1738" s="21"/>
      <c r="Z1738" s="8"/>
      <c r="AA1738">
        <v>1</v>
      </c>
      <c r="AB1738">
        <f t="shared" si="288"/>
        <v>0</v>
      </c>
      <c r="AC1738">
        <v>1</v>
      </c>
      <c r="AF1738">
        <v>1</v>
      </c>
      <c r="AG1738" s="8"/>
      <c r="AH1738" s="8"/>
      <c r="AK1738" cm="1">
        <f t="array" ref="AK1738">_xlfn.IFS(B1738="","",LEFT(G1738,1)="L",1,LEFT(G1738,1)="W",1,AND(LEFT(B1738,1)="H",G1738=""),0)</f>
        <v>1</v>
      </c>
      <c r="AS1738" t="str">
        <f t="shared" si="289"/>
        <v/>
      </c>
      <c r="AT1738" t="s">
        <v>115</v>
      </c>
      <c r="AU1738" t="str">
        <f t="shared" si="290"/>
        <v>0</v>
      </c>
      <c r="BD1738" t="str">
        <f t="shared" si="291"/>
        <v>0</v>
      </c>
      <c r="BK1738" t="str">
        <f>IFERROR(VLOOKUP(B1738,'[1]model_S-フレーム'!$F$5:$R$7000,13,1),"")</f>
        <v>E369078_01</v>
      </c>
      <c r="BL1738" s="7">
        <f>IFERROR(VLOOKUP(B1738,'[1]model_S-フレーム'!$F$5:$V$7000,17,1),"")</f>
        <v>0</v>
      </c>
      <c r="BM1738" t="str" cm="1">
        <f t="array" ref="BM1738">_xlfn.IFS(LEFT(G1738,1)="L","外注品",LEFT(G1738,1)="W","内製品",G1738="","購買品")</f>
        <v>内製品</v>
      </c>
    </row>
    <row r="1739" spans="1:65">
      <c r="A1739" t="str">
        <f t="shared" si="283"/>
        <v>WG01</v>
      </c>
      <c r="B1739" t="s">
        <v>1812</v>
      </c>
      <c r="C1739" t="s">
        <v>1928</v>
      </c>
      <c r="D1739" s="7"/>
      <c r="E1739" s="7"/>
      <c r="G1739" t="s">
        <v>1939</v>
      </c>
      <c r="H1739" t="str" cm="1">
        <f t="array" ref="H1739">IFERROR(_xlfn.IFS(B1739="","",AND(B1739="",G1739=""),"",G1739="","記載要"),"")</f>
        <v/>
      </c>
      <c r="K1739" t="str">
        <f t="shared" si="284"/>
        <v>11WP01074026</v>
      </c>
      <c r="L1739" s="3" t="str">
        <f t="shared" si="285"/>
        <v>2001/01/01</v>
      </c>
      <c r="M1739" s="3" t="str">
        <f t="shared" si="286"/>
        <v>2199/12/31</v>
      </c>
      <c r="N1739" t="str">
        <f t="shared" si="287"/>
        <v>11WP01074026</v>
      </c>
      <c r="O1739">
        <v>15</v>
      </c>
      <c r="Q1739" t="str" cm="1">
        <f t="array" ref="Q1739">_xlfn.IFS(AND(C1739="",G1739=""),"",LEFT(G1739,1)="L","記載要",LEFT(G1739,1)="W","",AND(C1739,G1739=""),"記載要")</f>
        <v/>
      </c>
      <c r="R1739" s="21" t="str">
        <f t="shared" si="292"/>
        <v/>
      </c>
      <c r="S1739" s="21"/>
      <c r="Z1739" s="8"/>
      <c r="AA1739">
        <v>1</v>
      </c>
      <c r="AB1739">
        <f t="shared" si="288"/>
        <v>0</v>
      </c>
      <c r="AC1739">
        <v>1</v>
      </c>
      <c r="AF1739">
        <v>1</v>
      </c>
      <c r="AG1739" s="8"/>
      <c r="AH1739" s="8"/>
      <c r="AK1739" cm="1">
        <f t="array" ref="AK1739">_xlfn.IFS(B1739="","",LEFT(G1739,1)="L",1,LEFT(G1739,1)="W",1,AND(LEFT(B1739,1)="H",G1739=""),0)</f>
        <v>1</v>
      </c>
      <c r="AS1739" t="str">
        <f t="shared" si="289"/>
        <v/>
      </c>
      <c r="AT1739" t="s">
        <v>115</v>
      </c>
      <c r="AU1739" t="str">
        <f t="shared" si="290"/>
        <v>0</v>
      </c>
      <c r="BD1739" t="str">
        <f t="shared" si="291"/>
        <v>0</v>
      </c>
      <c r="BK1739" t="str">
        <f>IFERROR(VLOOKUP(B1739,'[1]model_S-フレーム'!$F$5:$R$7000,13,1),"")</f>
        <v>E369078_01</v>
      </c>
      <c r="BL1739" s="7">
        <f>IFERROR(VLOOKUP(B1739,'[1]model_S-フレーム'!$F$5:$V$7000,17,1),"")</f>
        <v>0</v>
      </c>
      <c r="BM1739" t="str" cm="1">
        <f t="array" ref="BM1739">_xlfn.IFS(LEFT(G1739,1)="L","外注品",LEFT(G1739,1)="W","内製品",G1739="","購買品")</f>
        <v>内製品</v>
      </c>
    </row>
    <row r="1740" spans="1:65">
      <c r="A1740" t="str">
        <f t="shared" si="283"/>
        <v>WG01</v>
      </c>
      <c r="B1740" t="s">
        <v>1813</v>
      </c>
      <c r="C1740" t="s">
        <v>1928</v>
      </c>
      <c r="D1740" s="7"/>
      <c r="E1740" s="7"/>
      <c r="G1740" t="s">
        <v>1939</v>
      </c>
      <c r="H1740" t="str" cm="1">
        <f t="array" ref="H1740">IFERROR(_xlfn.IFS(B1740="","",AND(B1740="",G1740=""),"",G1740="","記載要"),"")</f>
        <v/>
      </c>
      <c r="K1740" t="str">
        <f t="shared" si="284"/>
        <v>11WP01074027</v>
      </c>
      <c r="L1740" s="3" t="str">
        <f t="shared" si="285"/>
        <v>2001/01/01</v>
      </c>
      <c r="M1740" s="3" t="str">
        <f t="shared" si="286"/>
        <v>2199/12/31</v>
      </c>
      <c r="N1740" t="str">
        <f t="shared" si="287"/>
        <v>11WP01074027</v>
      </c>
      <c r="O1740">
        <v>15</v>
      </c>
      <c r="Q1740" t="str" cm="1">
        <f t="array" ref="Q1740">_xlfn.IFS(AND(C1740="",G1740=""),"",LEFT(G1740,1)="L","記載要",LEFT(G1740,1)="W","",AND(C1740,G1740=""),"記載要")</f>
        <v/>
      </c>
      <c r="R1740" s="21" t="str">
        <f t="shared" si="292"/>
        <v/>
      </c>
      <c r="S1740" s="21"/>
      <c r="Z1740" s="8"/>
      <c r="AA1740">
        <v>1</v>
      </c>
      <c r="AB1740">
        <f t="shared" si="288"/>
        <v>0</v>
      </c>
      <c r="AC1740">
        <v>1</v>
      </c>
      <c r="AF1740">
        <v>1</v>
      </c>
      <c r="AG1740" s="8"/>
      <c r="AH1740" s="8"/>
      <c r="AK1740" cm="1">
        <f t="array" ref="AK1740">_xlfn.IFS(B1740="","",LEFT(G1740,1)="L",1,LEFT(G1740,1)="W",1,AND(LEFT(B1740,1)="H",G1740=""),0)</f>
        <v>1</v>
      </c>
      <c r="AS1740" t="str">
        <f t="shared" si="289"/>
        <v/>
      </c>
      <c r="AT1740" t="s">
        <v>115</v>
      </c>
      <c r="AU1740" t="str">
        <f t="shared" si="290"/>
        <v>0</v>
      </c>
      <c r="BD1740" t="str">
        <f t="shared" si="291"/>
        <v>0</v>
      </c>
      <c r="BK1740" t="str">
        <f>IFERROR(VLOOKUP(B1740,'[1]model_S-フレーム'!$F$5:$R$7000,13,1),"")</f>
        <v>E369078_01</v>
      </c>
      <c r="BL1740" s="7">
        <f>IFERROR(VLOOKUP(B1740,'[1]model_S-フレーム'!$F$5:$V$7000,17,1),"")</f>
        <v>0</v>
      </c>
      <c r="BM1740" t="str" cm="1">
        <f t="array" ref="BM1740">_xlfn.IFS(LEFT(G1740,1)="L","外注品",LEFT(G1740,1)="W","内製品",G1740="","購買品")</f>
        <v>内製品</v>
      </c>
    </row>
    <row r="1741" spans="1:65">
      <c r="A1741" t="str">
        <f t="shared" si="283"/>
        <v>WG01</v>
      </c>
      <c r="B1741" t="s">
        <v>1814</v>
      </c>
      <c r="C1741" t="s">
        <v>1928</v>
      </c>
      <c r="D1741" s="7"/>
      <c r="E1741" s="7"/>
      <c r="G1741" t="s">
        <v>1939</v>
      </c>
      <c r="H1741" t="str" cm="1">
        <f t="array" ref="H1741">IFERROR(_xlfn.IFS(B1741="","",AND(B1741="",G1741=""),"",G1741="","記載要"),"")</f>
        <v/>
      </c>
      <c r="K1741" t="str">
        <f t="shared" si="284"/>
        <v>11WP01074028</v>
      </c>
      <c r="L1741" s="3" t="str">
        <f t="shared" si="285"/>
        <v>2001/01/01</v>
      </c>
      <c r="M1741" s="3" t="str">
        <f t="shared" si="286"/>
        <v>2199/12/31</v>
      </c>
      <c r="N1741" t="str">
        <f t="shared" si="287"/>
        <v>11WP01074028</v>
      </c>
      <c r="O1741">
        <v>15</v>
      </c>
      <c r="Q1741" t="str" cm="1">
        <f t="array" ref="Q1741">_xlfn.IFS(AND(C1741="",G1741=""),"",LEFT(G1741,1)="L","記載要",LEFT(G1741,1)="W","",AND(C1741,G1741=""),"記載要")</f>
        <v/>
      </c>
      <c r="R1741" s="21" t="str">
        <f t="shared" si="292"/>
        <v/>
      </c>
      <c r="S1741" s="21"/>
      <c r="Z1741" s="8"/>
      <c r="AA1741">
        <v>1</v>
      </c>
      <c r="AB1741">
        <f t="shared" si="288"/>
        <v>0</v>
      </c>
      <c r="AC1741">
        <v>1</v>
      </c>
      <c r="AF1741">
        <v>1</v>
      </c>
      <c r="AG1741" s="8"/>
      <c r="AH1741" s="8"/>
      <c r="AK1741" cm="1">
        <f t="array" ref="AK1741">_xlfn.IFS(B1741="","",LEFT(G1741,1)="L",1,LEFT(G1741,1)="W",1,AND(LEFT(B1741,1)="H",G1741=""),0)</f>
        <v>1</v>
      </c>
      <c r="AS1741" t="str">
        <f t="shared" si="289"/>
        <v/>
      </c>
      <c r="AT1741" t="s">
        <v>115</v>
      </c>
      <c r="AU1741" t="str">
        <f t="shared" si="290"/>
        <v>0</v>
      </c>
      <c r="BD1741" t="str">
        <f t="shared" si="291"/>
        <v>0</v>
      </c>
      <c r="BK1741" t="str">
        <f>IFERROR(VLOOKUP(B1741,'[1]model_S-フレーム'!$F$5:$R$7000,13,1),"")</f>
        <v>E369078_01</v>
      </c>
      <c r="BL1741" s="7">
        <f>IFERROR(VLOOKUP(B1741,'[1]model_S-フレーム'!$F$5:$V$7000,17,1),"")</f>
        <v>0</v>
      </c>
      <c r="BM1741" t="str" cm="1">
        <f t="array" ref="BM1741">_xlfn.IFS(LEFT(G1741,1)="L","外注品",LEFT(G1741,1)="W","内製品",G1741="","購買品")</f>
        <v>内製品</v>
      </c>
    </row>
    <row r="1742" spans="1:65">
      <c r="A1742" t="str">
        <f t="shared" si="283"/>
        <v>WG01</v>
      </c>
      <c r="B1742" t="s">
        <v>1815</v>
      </c>
      <c r="C1742" t="s">
        <v>1928</v>
      </c>
      <c r="D1742" s="7"/>
      <c r="E1742" s="7"/>
      <c r="G1742" t="s">
        <v>1939</v>
      </c>
      <c r="H1742" t="str" cm="1">
        <f t="array" ref="H1742">IFERROR(_xlfn.IFS(B1742="","",AND(B1742="",G1742=""),"",G1742="","記載要"),"")</f>
        <v/>
      </c>
      <c r="K1742" t="str">
        <f t="shared" si="284"/>
        <v>11WP01074029</v>
      </c>
      <c r="L1742" s="3" t="str">
        <f t="shared" si="285"/>
        <v>2001/01/01</v>
      </c>
      <c r="M1742" s="3" t="str">
        <f t="shared" si="286"/>
        <v>2199/12/31</v>
      </c>
      <c r="N1742" t="str">
        <f t="shared" si="287"/>
        <v>11WP01074029</v>
      </c>
      <c r="O1742">
        <v>15</v>
      </c>
      <c r="Q1742" t="str" cm="1">
        <f t="array" ref="Q1742">_xlfn.IFS(AND(C1742="",G1742=""),"",LEFT(G1742,1)="L","記載要",LEFT(G1742,1)="W","",AND(C1742,G1742=""),"記載要")</f>
        <v/>
      </c>
      <c r="R1742" s="21" t="str">
        <f t="shared" si="292"/>
        <v/>
      </c>
      <c r="S1742" s="21"/>
      <c r="Z1742" s="8"/>
      <c r="AA1742">
        <v>1</v>
      </c>
      <c r="AB1742">
        <f t="shared" si="288"/>
        <v>0</v>
      </c>
      <c r="AC1742">
        <v>1</v>
      </c>
      <c r="AF1742">
        <v>1</v>
      </c>
      <c r="AG1742" s="8"/>
      <c r="AH1742" s="8"/>
      <c r="AK1742" cm="1">
        <f t="array" ref="AK1742">_xlfn.IFS(B1742="","",LEFT(G1742,1)="L",1,LEFT(G1742,1)="W",1,AND(LEFT(B1742,1)="H",G1742=""),0)</f>
        <v>1</v>
      </c>
      <c r="AS1742" t="str">
        <f t="shared" si="289"/>
        <v/>
      </c>
      <c r="AT1742" t="s">
        <v>115</v>
      </c>
      <c r="AU1742" t="str">
        <f t="shared" si="290"/>
        <v>0</v>
      </c>
      <c r="BD1742" t="str">
        <f t="shared" si="291"/>
        <v>0</v>
      </c>
      <c r="BK1742" t="str">
        <f>IFERROR(VLOOKUP(B1742,'[1]model_S-フレーム'!$F$5:$R$7000,13,1),"")</f>
        <v>E369078_01</v>
      </c>
      <c r="BL1742" s="7">
        <f>IFERROR(VLOOKUP(B1742,'[1]model_S-フレーム'!$F$5:$V$7000,17,1),"")</f>
        <v>0</v>
      </c>
      <c r="BM1742" t="str" cm="1">
        <f t="array" ref="BM1742">_xlfn.IFS(LEFT(G1742,1)="L","外注品",LEFT(G1742,1)="W","内製品",G1742="","購買品")</f>
        <v>内製品</v>
      </c>
    </row>
    <row r="1743" spans="1:65">
      <c r="A1743" t="str">
        <f t="shared" si="283"/>
        <v>WG01</v>
      </c>
      <c r="B1743" t="s">
        <v>1816</v>
      </c>
      <c r="C1743" t="s">
        <v>1929</v>
      </c>
      <c r="D1743" s="7"/>
      <c r="E1743" s="7"/>
      <c r="G1743" t="s">
        <v>1939</v>
      </c>
      <c r="H1743" t="str" cm="1">
        <f t="array" ref="H1743">IFERROR(_xlfn.IFS(B1743="","",AND(B1743="",G1743=""),"",G1743="","記載要"),"")</f>
        <v/>
      </c>
      <c r="K1743" t="str">
        <f t="shared" si="284"/>
        <v>11WP01074030</v>
      </c>
      <c r="L1743" s="3" t="str">
        <f t="shared" si="285"/>
        <v>2001/01/01</v>
      </c>
      <c r="M1743" s="3" t="str">
        <f t="shared" si="286"/>
        <v>2199/12/31</v>
      </c>
      <c r="N1743" t="str">
        <f t="shared" si="287"/>
        <v>11WP01074030</v>
      </c>
      <c r="O1743">
        <v>15</v>
      </c>
      <c r="Q1743" t="str" cm="1">
        <f t="array" ref="Q1743">_xlfn.IFS(AND(C1743="",G1743=""),"",LEFT(G1743,1)="L","記載要",LEFT(G1743,1)="W","",AND(C1743,G1743=""),"記載要")</f>
        <v/>
      </c>
      <c r="R1743" s="21" t="str">
        <f t="shared" si="292"/>
        <v/>
      </c>
      <c r="S1743" s="21"/>
      <c r="Z1743" s="8"/>
      <c r="AA1743">
        <v>1</v>
      </c>
      <c r="AB1743">
        <f t="shared" si="288"/>
        <v>0</v>
      </c>
      <c r="AC1743">
        <v>1</v>
      </c>
      <c r="AF1743">
        <v>1</v>
      </c>
      <c r="AG1743" s="8"/>
      <c r="AH1743" s="8"/>
      <c r="AK1743" cm="1">
        <f t="array" ref="AK1743">_xlfn.IFS(B1743="","",LEFT(G1743,1)="L",1,LEFT(G1743,1)="W",1,AND(LEFT(B1743,1)="H",G1743=""),0)</f>
        <v>1</v>
      </c>
      <c r="AS1743" t="str">
        <f t="shared" si="289"/>
        <v/>
      </c>
      <c r="AT1743" t="s">
        <v>115</v>
      </c>
      <c r="AU1743" t="str">
        <f t="shared" si="290"/>
        <v>0</v>
      </c>
      <c r="BD1743" t="str">
        <f t="shared" si="291"/>
        <v>0</v>
      </c>
      <c r="BK1743" t="str">
        <f>IFERROR(VLOOKUP(B1743,'[1]model_S-フレーム'!$F$5:$R$7000,13,1),"")</f>
        <v>E369078_01</v>
      </c>
      <c r="BL1743" s="7">
        <f>IFERROR(VLOOKUP(B1743,'[1]model_S-フレーム'!$F$5:$V$7000,17,1),"")</f>
        <v>0</v>
      </c>
      <c r="BM1743" t="str" cm="1">
        <f t="array" ref="BM1743">_xlfn.IFS(LEFT(G1743,1)="L","外注品",LEFT(G1743,1)="W","内製品",G1743="","購買品")</f>
        <v>内製品</v>
      </c>
    </row>
    <row r="1744" spans="1:65">
      <c r="A1744" t="str">
        <f t="shared" si="283"/>
        <v>WG01</v>
      </c>
      <c r="B1744" t="s">
        <v>1817</v>
      </c>
      <c r="C1744" t="s">
        <v>1929</v>
      </c>
      <c r="D1744" s="7"/>
      <c r="E1744" s="7"/>
      <c r="G1744" t="s">
        <v>1939</v>
      </c>
      <c r="H1744" t="str" cm="1">
        <f t="array" ref="H1744">IFERROR(_xlfn.IFS(B1744="","",AND(B1744="",G1744=""),"",G1744="","記載要"),"")</f>
        <v/>
      </c>
      <c r="K1744" t="str">
        <f t="shared" si="284"/>
        <v>11WP01074031</v>
      </c>
      <c r="L1744" s="3" t="str">
        <f t="shared" si="285"/>
        <v>2001/01/01</v>
      </c>
      <c r="M1744" s="3" t="str">
        <f t="shared" si="286"/>
        <v>2199/12/31</v>
      </c>
      <c r="N1744" t="str">
        <f t="shared" si="287"/>
        <v>11WP01074031</v>
      </c>
      <c r="O1744">
        <v>15</v>
      </c>
      <c r="Q1744" t="str" cm="1">
        <f t="array" ref="Q1744">_xlfn.IFS(AND(C1744="",G1744=""),"",LEFT(G1744,1)="L","記載要",LEFT(G1744,1)="W","",AND(C1744,G1744=""),"記載要")</f>
        <v/>
      </c>
      <c r="R1744" s="21" t="str">
        <f t="shared" si="292"/>
        <v/>
      </c>
      <c r="S1744" s="21"/>
      <c r="Z1744" s="8"/>
      <c r="AA1744">
        <v>1</v>
      </c>
      <c r="AB1744">
        <f t="shared" si="288"/>
        <v>0</v>
      </c>
      <c r="AC1744">
        <v>1</v>
      </c>
      <c r="AF1744">
        <v>1</v>
      </c>
      <c r="AG1744" s="8"/>
      <c r="AH1744" s="8"/>
      <c r="AK1744" cm="1">
        <f t="array" ref="AK1744">_xlfn.IFS(B1744="","",LEFT(G1744,1)="L",1,LEFT(G1744,1)="W",1,AND(LEFT(B1744,1)="H",G1744=""),0)</f>
        <v>1</v>
      </c>
      <c r="AS1744" t="str">
        <f t="shared" si="289"/>
        <v/>
      </c>
      <c r="AT1744" t="s">
        <v>115</v>
      </c>
      <c r="AU1744" t="str">
        <f t="shared" si="290"/>
        <v>0</v>
      </c>
      <c r="BD1744" t="str">
        <f t="shared" si="291"/>
        <v>0</v>
      </c>
      <c r="BK1744" t="str">
        <f>IFERROR(VLOOKUP(B1744,'[1]model_S-フレーム'!$F$5:$R$7000,13,1),"")</f>
        <v>E369078_01</v>
      </c>
      <c r="BL1744" s="7">
        <f>IFERROR(VLOOKUP(B1744,'[1]model_S-フレーム'!$F$5:$V$7000,17,1),"")</f>
        <v>0</v>
      </c>
      <c r="BM1744" t="str" cm="1">
        <f t="array" ref="BM1744">_xlfn.IFS(LEFT(G1744,1)="L","外注品",LEFT(G1744,1)="W","内製品",G1744="","購買品")</f>
        <v>内製品</v>
      </c>
    </row>
    <row r="1745" spans="1:65">
      <c r="A1745" t="str">
        <f t="shared" si="283"/>
        <v>WG01</v>
      </c>
      <c r="B1745" t="s">
        <v>1818</v>
      </c>
      <c r="C1745" t="s">
        <v>1929</v>
      </c>
      <c r="D1745" s="7"/>
      <c r="E1745" s="7"/>
      <c r="G1745" t="s">
        <v>1939</v>
      </c>
      <c r="H1745" t="str" cm="1">
        <f t="array" ref="H1745">IFERROR(_xlfn.IFS(B1745="","",AND(B1745="",G1745=""),"",G1745="","記載要"),"")</f>
        <v/>
      </c>
      <c r="K1745" t="str">
        <f t="shared" si="284"/>
        <v>11WP01074032</v>
      </c>
      <c r="L1745" s="3" t="str">
        <f t="shared" si="285"/>
        <v>2001/01/01</v>
      </c>
      <c r="M1745" s="3" t="str">
        <f t="shared" si="286"/>
        <v>2199/12/31</v>
      </c>
      <c r="N1745" t="str">
        <f t="shared" si="287"/>
        <v>11WP01074032</v>
      </c>
      <c r="O1745">
        <v>15</v>
      </c>
      <c r="Q1745" t="str" cm="1">
        <f t="array" ref="Q1745">_xlfn.IFS(AND(C1745="",G1745=""),"",LEFT(G1745,1)="L","記載要",LEFT(G1745,1)="W","",AND(C1745,G1745=""),"記載要")</f>
        <v/>
      </c>
      <c r="R1745" s="21" t="str">
        <f t="shared" si="292"/>
        <v/>
      </c>
      <c r="S1745" s="21"/>
      <c r="Z1745" s="8"/>
      <c r="AA1745">
        <v>1</v>
      </c>
      <c r="AB1745">
        <f t="shared" si="288"/>
        <v>0</v>
      </c>
      <c r="AC1745">
        <v>1</v>
      </c>
      <c r="AF1745">
        <v>1</v>
      </c>
      <c r="AG1745" s="8"/>
      <c r="AH1745" s="8"/>
      <c r="AK1745" cm="1">
        <f t="array" ref="AK1745">_xlfn.IFS(B1745="","",LEFT(G1745,1)="L",1,LEFT(G1745,1)="W",1,AND(LEFT(B1745,1)="H",G1745=""),0)</f>
        <v>1</v>
      </c>
      <c r="AS1745" t="str">
        <f t="shared" si="289"/>
        <v/>
      </c>
      <c r="AT1745" t="s">
        <v>115</v>
      </c>
      <c r="AU1745" t="str">
        <f t="shared" si="290"/>
        <v>0</v>
      </c>
      <c r="BD1745" t="str">
        <f t="shared" si="291"/>
        <v>0</v>
      </c>
      <c r="BK1745" t="str">
        <f>IFERROR(VLOOKUP(B1745,'[1]model_S-フレーム'!$F$5:$R$7000,13,1),"")</f>
        <v>E369078_01</v>
      </c>
      <c r="BL1745" s="7">
        <f>IFERROR(VLOOKUP(B1745,'[1]model_S-フレーム'!$F$5:$V$7000,17,1),"")</f>
        <v>0</v>
      </c>
      <c r="BM1745" t="str" cm="1">
        <f t="array" ref="BM1745">_xlfn.IFS(LEFT(G1745,1)="L","外注品",LEFT(G1745,1)="W","内製品",G1745="","購買品")</f>
        <v>内製品</v>
      </c>
    </row>
    <row r="1746" spans="1:65">
      <c r="A1746" t="str">
        <f t="shared" si="283"/>
        <v>WG01</v>
      </c>
      <c r="B1746" t="s">
        <v>1819</v>
      </c>
      <c r="C1746" t="s">
        <v>1929</v>
      </c>
      <c r="D1746" s="7"/>
      <c r="E1746" s="7"/>
      <c r="G1746" t="s">
        <v>1939</v>
      </c>
      <c r="H1746" t="str" cm="1">
        <f t="array" ref="H1746">IFERROR(_xlfn.IFS(B1746="","",AND(B1746="",G1746=""),"",G1746="","記載要"),"")</f>
        <v/>
      </c>
      <c r="K1746" t="str">
        <f t="shared" si="284"/>
        <v>11WP01074033</v>
      </c>
      <c r="L1746" s="3" t="str">
        <f t="shared" si="285"/>
        <v>2001/01/01</v>
      </c>
      <c r="M1746" s="3" t="str">
        <f t="shared" si="286"/>
        <v>2199/12/31</v>
      </c>
      <c r="N1746" t="str">
        <f t="shared" si="287"/>
        <v>11WP01074033</v>
      </c>
      <c r="O1746">
        <v>15</v>
      </c>
      <c r="Q1746" t="str" cm="1">
        <f t="array" ref="Q1746">_xlfn.IFS(AND(C1746="",G1746=""),"",LEFT(G1746,1)="L","記載要",LEFT(G1746,1)="W","",AND(C1746,G1746=""),"記載要")</f>
        <v/>
      </c>
      <c r="R1746" s="21" t="str">
        <f t="shared" si="292"/>
        <v/>
      </c>
      <c r="S1746" s="21"/>
      <c r="Z1746" s="8"/>
      <c r="AA1746">
        <v>1</v>
      </c>
      <c r="AB1746">
        <f t="shared" si="288"/>
        <v>0</v>
      </c>
      <c r="AC1746">
        <v>1</v>
      </c>
      <c r="AF1746">
        <v>1</v>
      </c>
      <c r="AG1746" s="8"/>
      <c r="AH1746" s="8"/>
      <c r="AK1746" cm="1">
        <f t="array" ref="AK1746">_xlfn.IFS(B1746="","",LEFT(G1746,1)="L",1,LEFT(G1746,1)="W",1,AND(LEFT(B1746,1)="H",G1746=""),0)</f>
        <v>1</v>
      </c>
      <c r="AS1746" t="str">
        <f t="shared" si="289"/>
        <v/>
      </c>
      <c r="AT1746" t="s">
        <v>115</v>
      </c>
      <c r="AU1746" t="str">
        <f t="shared" si="290"/>
        <v>0</v>
      </c>
      <c r="BD1746" t="str">
        <f t="shared" si="291"/>
        <v>0</v>
      </c>
      <c r="BK1746" t="str">
        <f>IFERROR(VLOOKUP(B1746,'[1]model_S-フレーム'!$F$5:$R$7000,13,1),"")</f>
        <v>E369078_01</v>
      </c>
      <c r="BL1746" s="7">
        <f>IFERROR(VLOOKUP(B1746,'[1]model_S-フレーム'!$F$5:$V$7000,17,1),"")</f>
        <v>0</v>
      </c>
      <c r="BM1746" t="str" cm="1">
        <f t="array" ref="BM1746">_xlfn.IFS(LEFT(G1746,1)="L","外注品",LEFT(G1746,1)="W","内製品",G1746="","購買品")</f>
        <v>内製品</v>
      </c>
    </row>
    <row r="1747" spans="1:65">
      <c r="A1747" t="str">
        <f t="shared" si="283"/>
        <v>WG01</v>
      </c>
      <c r="B1747" t="s">
        <v>1820</v>
      </c>
      <c r="C1747" t="s">
        <v>1929</v>
      </c>
      <c r="D1747" s="7"/>
      <c r="E1747" s="7"/>
      <c r="G1747" t="s">
        <v>1939</v>
      </c>
      <c r="H1747" t="str" cm="1">
        <f t="array" ref="H1747">IFERROR(_xlfn.IFS(B1747="","",AND(B1747="",G1747=""),"",G1747="","記載要"),"")</f>
        <v/>
      </c>
      <c r="K1747" t="str">
        <f t="shared" si="284"/>
        <v>11WP01074034</v>
      </c>
      <c r="L1747" s="3" t="str">
        <f t="shared" si="285"/>
        <v>2001/01/01</v>
      </c>
      <c r="M1747" s="3" t="str">
        <f t="shared" si="286"/>
        <v>2199/12/31</v>
      </c>
      <c r="N1747" t="str">
        <f t="shared" si="287"/>
        <v>11WP01074034</v>
      </c>
      <c r="O1747">
        <v>15</v>
      </c>
      <c r="Q1747" t="str" cm="1">
        <f t="array" ref="Q1747">_xlfn.IFS(AND(C1747="",G1747=""),"",LEFT(G1747,1)="L","記載要",LEFT(G1747,1)="W","",AND(C1747,G1747=""),"記載要")</f>
        <v/>
      </c>
      <c r="R1747" s="21" t="str">
        <f t="shared" si="292"/>
        <v/>
      </c>
      <c r="S1747" s="21"/>
      <c r="Z1747" s="8"/>
      <c r="AA1747">
        <v>1</v>
      </c>
      <c r="AB1747">
        <f t="shared" si="288"/>
        <v>0</v>
      </c>
      <c r="AC1747">
        <v>1</v>
      </c>
      <c r="AF1747">
        <v>1</v>
      </c>
      <c r="AG1747" s="8"/>
      <c r="AH1747" s="8"/>
      <c r="AK1747" cm="1">
        <f t="array" ref="AK1747">_xlfn.IFS(B1747="","",LEFT(G1747,1)="L",1,LEFT(G1747,1)="W",1,AND(LEFT(B1747,1)="H",G1747=""),0)</f>
        <v>1</v>
      </c>
      <c r="AS1747" t="str">
        <f t="shared" si="289"/>
        <v/>
      </c>
      <c r="AT1747" t="s">
        <v>115</v>
      </c>
      <c r="AU1747" t="str">
        <f t="shared" si="290"/>
        <v>0</v>
      </c>
      <c r="BD1747" t="str">
        <f t="shared" si="291"/>
        <v>0</v>
      </c>
      <c r="BK1747" t="str">
        <f>IFERROR(VLOOKUP(B1747,'[1]model_S-フレーム'!$F$5:$R$7000,13,1),"")</f>
        <v>E369078_01</v>
      </c>
      <c r="BL1747" s="7">
        <f>IFERROR(VLOOKUP(B1747,'[1]model_S-フレーム'!$F$5:$V$7000,17,1),"")</f>
        <v>0</v>
      </c>
      <c r="BM1747" t="str" cm="1">
        <f t="array" ref="BM1747">_xlfn.IFS(LEFT(G1747,1)="L","外注品",LEFT(G1747,1)="W","内製品",G1747="","購買品")</f>
        <v>内製品</v>
      </c>
    </row>
    <row r="1748" spans="1:65">
      <c r="A1748" t="str">
        <f t="shared" si="283"/>
        <v>WG01</v>
      </c>
      <c r="B1748" t="s">
        <v>1821</v>
      </c>
      <c r="C1748" t="s">
        <v>1929</v>
      </c>
      <c r="D1748" s="7"/>
      <c r="E1748" s="7"/>
      <c r="G1748" t="s">
        <v>1939</v>
      </c>
      <c r="H1748" t="str" cm="1">
        <f t="array" ref="H1748">IFERROR(_xlfn.IFS(B1748="","",AND(B1748="",G1748=""),"",G1748="","記載要"),"")</f>
        <v/>
      </c>
      <c r="K1748" t="str">
        <f t="shared" si="284"/>
        <v>11WP01074035</v>
      </c>
      <c r="L1748" s="3" t="str">
        <f t="shared" si="285"/>
        <v>2001/01/01</v>
      </c>
      <c r="M1748" s="3" t="str">
        <f t="shared" si="286"/>
        <v>2199/12/31</v>
      </c>
      <c r="N1748" t="str">
        <f t="shared" si="287"/>
        <v>11WP01074035</v>
      </c>
      <c r="O1748">
        <v>15</v>
      </c>
      <c r="Q1748" t="str" cm="1">
        <f t="array" ref="Q1748">_xlfn.IFS(AND(C1748="",G1748=""),"",LEFT(G1748,1)="L","記載要",LEFT(G1748,1)="W","",AND(C1748,G1748=""),"記載要")</f>
        <v/>
      </c>
      <c r="R1748" s="21" t="str">
        <f t="shared" si="292"/>
        <v/>
      </c>
      <c r="S1748" s="21"/>
      <c r="Z1748" s="8"/>
      <c r="AA1748">
        <v>1</v>
      </c>
      <c r="AB1748">
        <f t="shared" si="288"/>
        <v>0</v>
      </c>
      <c r="AC1748">
        <v>1</v>
      </c>
      <c r="AF1748">
        <v>1</v>
      </c>
      <c r="AG1748" s="8"/>
      <c r="AH1748" s="8"/>
      <c r="AK1748" cm="1">
        <f t="array" ref="AK1748">_xlfn.IFS(B1748="","",LEFT(G1748,1)="L",1,LEFT(G1748,1)="W",1,AND(LEFT(B1748,1)="H",G1748=""),0)</f>
        <v>1</v>
      </c>
      <c r="AS1748" t="str">
        <f t="shared" si="289"/>
        <v/>
      </c>
      <c r="AT1748" t="s">
        <v>115</v>
      </c>
      <c r="AU1748" t="str">
        <f t="shared" si="290"/>
        <v>0</v>
      </c>
      <c r="BD1748" t="str">
        <f t="shared" si="291"/>
        <v>0</v>
      </c>
      <c r="BK1748" t="str">
        <f>IFERROR(VLOOKUP(B1748,'[1]model_S-フレーム'!$F$5:$R$7000,13,1),"")</f>
        <v>E369078_01</v>
      </c>
      <c r="BL1748" s="7">
        <f>IFERROR(VLOOKUP(B1748,'[1]model_S-フレーム'!$F$5:$V$7000,17,1),"")</f>
        <v>0</v>
      </c>
      <c r="BM1748" t="str" cm="1">
        <f t="array" ref="BM1748">_xlfn.IFS(LEFT(G1748,1)="L","外注品",LEFT(G1748,1)="W","内製品",G1748="","購買品")</f>
        <v>内製品</v>
      </c>
    </row>
    <row r="1749" spans="1:65">
      <c r="A1749" t="str">
        <f t="shared" si="283"/>
        <v>WG01</v>
      </c>
      <c r="B1749" t="s">
        <v>1822</v>
      </c>
      <c r="C1749" t="s">
        <v>1929</v>
      </c>
      <c r="D1749" s="7"/>
      <c r="E1749" s="7"/>
      <c r="G1749" t="s">
        <v>1939</v>
      </c>
      <c r="H1749" t="str" cm="1">
        <f t="array" ref="H1749">IFERROR(_xlfn.IFS(B1749="","",AND(B1749="",G1749=""),"",G1749="","記載要"),"")</f>
        <v/>
      </c>
      <c r="K1749" t="str">
        <f t="shared" si="284"/>
        <v>11WP01074036</v>
      </c>
      <c r="L1749" s="3" t="str">
        <f t="shared" si="285"/>
        <v>2001/01/01</v>
      </c>
      <c r="M1749" s="3" t="str">
        <f t="shared" si="286"/>
        <v>2199/12/31</v>
      </c>
      <c r="N1749" t="str">
        <f t="shared" si="287"/>
        <v>11WP01074036</v>
      </c>
      <c r="O1749">
        <v>15</v>
      </c>
      <c r="Q1749" t="str" cm="1">
        <f t="array" ref="Q1749">_xlfn.IFS(AND(C1749="",G1749=""),"",LEFT(G1749,1)="L","記載要",LEFT(G1749,1)="W","",AND(C1749,G1749=""),"記載要")</f>
        <v/>
      </c>
      <c r="R1749" s="21" t="str">
        <f t="shared" si="292"/>
        <v/>
      </c>
      <c r="S1749" s="21"/>
      <c r="Z1749" s="8"/>
      <c r="AA1749">
        <v>1</v>
      </c>
      <c r="AB1749">
        <f t="shared" si="288"/>
        <v>0</v>
      </c>
      <c r="AC1749">
        <v>1</v>
      </c>
      <c r="AF1749">
        <v>1</v>
      </c>
      <c r="AG1749" s="8"/>
      <c r="AH1749" s="8"/>
      <c r="AK1749" cm="1">
        <f t="array" ref="AK1749">_xlfn.IFS(B1749="","",LEFT(G1749,1)="L",1,LEFT(G1749,1)="W",1,AND(LEFT(B1749,1)="H",G1749=""),0)</f>
        <v>1</v>
      </c>
      <c r="AS1749" t="str">
        <f t="shared" si="289"/>
        <v/>
      </c>
      <c r="AT1749" t="s">
        <v>115</v>
      </c>
      <c r="AU1749" t="str">
        <f t="shared" si="290"/>
        <v>0</v>
      </c>
      <c r="BD1749" t="str">
        <f t="shared" si="291"/>
        <v>0</v>
      </c>
      <c r="BK1749" t="str">
        <f>IFERROR(VLOOKUP(B1749,'[1]model_S-フレーム'!$F$5:$R$7000,13,1),"")</f>
        <v>E369078_01</v>
      </c>
      <c r="BL1749" s="7">
        <f>IFERROR(VLOOKUP(B1749,'[1]model_S-フレーム'!$F$5:$V$7000,17,1),"")</f>
        <v>0</v>
      </c>
      <c r="BM1749" t="str" cm="1">
        <f t="array" ref="BM1749">_xlfn.IFS(LEFT(G1749,1)="L","外注品",LEFT(G1749,1)="W","内製品",G1749="","購買品")</f>
        <v>内製品</v>
      </c>
    </row>
    <row r="1750" spans="1:65">
      <c r="A1750" t="str">
        <f t="shared" si="283"/>
        <v>WG01</v>
      </c>
      <c r="B1750" t="s">
        <v>1823</v>
      </c>
      <c r="C1750" t="s">
        <v>1929</v>
      </c>
      <c r="D1750" s="7"/>
      <c r="E1750" s="7"/>
      <c r="G1750" t="s">
        <v>1939</v>
      </c>
      <c r="H1750" t="str" cm="1">
        <f t="array" ref="H1750">IFERROR(_xlfn.IFS(B1750="","",AND(B1750="",G1750=""),"",G1750="","記載要"),"")</f>
        <v/>
      </c>
      <c r="K1750" t="str">
        <f t="shared" si="284"/>
        <v>11WP01074037</v>
      </c>
      <c r="L1750" s="3" t="str">
        <f t="shared" si="285"/>
        <v>2001/01/01</v>
      </c>
      <c r="M1750" s="3" t="str">
        <f t="shared" si="286"/>
        <v>2199/12/31</v>
      </c>
      <c r="N1750" t="str">
        <f t="shared" si="287"/>
        <v>11WP01074037</v>
      </c>
      <c r="O1750">
        <v>15</v>
      </c>
      <c r="Q1750" t="str" cm="1">
        <f t="array" ref="Q1750">_xlfn.IFS(AND(C1750="",G1750=""),"",LEFT(G1750,1)="L","記載要",LEFT(G1750,1)="W","",AND(C1750,G1750=""),"記載要")</f>
        <v/>
      </c>
      <c r="R1750" s="21" t="str">
        <f t="shared" si="292"/>
        <v/>
      </c>
      <c r="S1750" s="21"/>
      <c r="Z1750" s="8"/>
      <c r="AA1750">
        <v>1</v>
      </c>
      <c r="AB1750">
        <f t="shared" si="288"/>
        <v>0</v>
      </c>
      <c r="AC1750">
        <v>1</v>
      </c>
      <c r="AF1750">
        <v>1</v>
      </c>
      <c r="AG1750" s="8"/>
      <c r="AH1750" s="8"/>
      <c r="AK1750" cm="1">
        <f t="array" ref="AK1750">_xlfn.IFS(B1750="","",LEFT(G1750,1)="L",1,LEFT(G1750,1)="W",1,AND(LEFT(B1750,1)="H",G1750=""),0)</f>
        <v>1</v>
      </c>
      <c r="AS1750" t="str">
        <f t="shared" si="289"/>
        <v/>
      </c>
      <c r="AT1750" t="s">
        <v>115</v>
      </c>
      <c r="AU1750" t="str">
        <f t="shared" si="290"/>
        <v>0</v>
      </c>
      <c r="BD1750" t="str">
        <f t="shared" si="291"/>
        <v>0</v>
      </c>
      <c r="BK1750" t="str">
        <f>IFERROR(VLOOKUP(B1750,'[1]model_S-フレーム'!$F$5:$R$7000,13,1),"")</f>
        <v>E369078_01</v>
      </c>
      <c r="BL1750" s="7">
        <f>IFERROR(VLOOKUP(B1750,'[1]model_S-フレーム'!$F$5:$V$7000,17,1),"")</f>
        <v>0</v>
      </c>
      <c r="BM1750" t="str" cm="1">
        <f t="array" ref="BM1750">_xlfn.IFS(LEFT(G1750,1)="L","外注品",LEFT(G1750,1)="W","内製品",G1750="","購買品")</f>
        <v>内製品</v>
      </c>
    </row>
    <row r="1751" spans="1:65">
      <c r="A1751" t="str">
        <f t="shared" si="283"/>
        <v>WG01</v>
      </c>
      <c r="B1751" t="s">
        <v>1824</v>
      </c>
      <c r="C1751" t="s">
        <v>1929</v>
      </c>
      <c r="D1751" s="7"/>
      <c r="E1751" s="7"/>
      <c r="G1751" t="s">
        <v>1939</v>
      </c>
      <c r="H1751" t="str" cm="1">
        <f t="array" ref="H1751">IFERROR(_xlfn.IFS(B1751="","",AND(B1751="",G1751=""),"",G1751="","記載要"),"")</f>
        <v/>
      </c>
      <c r="K1751" t="str">
        <f t="shared" si="284"/>
        <v>11WP01074038</v>
      </c>
      <c r="L1751" s="3" t="str">
        <f t="shared" si="285"/>
        <v>2001/01/01</v>
      </c>
      <c r="M1751" s="3" t="str">
        <f t="shared" si="286"/>
        <v>2199/12/31</v>
      </c>
      <c r="N1751" t="str">
        <f t="shared" si="287"/>
        <v>11WP01074038</v>
      </c>
      <c r="O1751">
        <v>15</v>
      </c>
      <c r="Q1751" t="str" cm="1">
        <f t="array" ref="Q1751">_xlfn.IFS(AND(C1751="",G1751=""),"",LEFT(G1751,1)="L","記載要",LEFT(G1751,1)="W","",AND(C1751,G1751=""),"記載要")</f>
        <v/>
      </c>
      <c r="R1751" s="21" t="str">
        <f t="shared" si="292"/>
        <v/>
      </c>
      <c r="S1751" s="21"/>
      <c r="Z1751" s="8"/>
      <c r="AA1751">
        <v>1</v>
      </c>
      <c r="AB1751">
        <f t="shared" si="288"/>
        <v>0</v>
      </c>
      <c r="AC1751">
        <v>1</v>
      </c>
      <c r="AF1751">
        <v>1</v>
      </c>
      <c r="AG1751" s="8"/>
      <c r="AH1751" s="8"/>
      <c r="AK1751" cm="1">
        <f t="array" ref="AK1751">_xlfn.IFS(B1751="","",LEFT(G1751,1)="L",1,LEFT(G1751,1)="W",1,AND(LEFT(B1751,1)="H",G1751=""),0)</f>
        <v>1</v>
      </c>
      <c r="AS1751" t="str">
        <f t="shared" si="289"/>
        <v/>
      </c>
      <c r="AT1751" t="s">
        <v>115</v>
      </c>
      <c r="AU1751" t="str">
        <f t="shared" si="290"/>
        <v>0</v>
      </c>
      <c r="BD1751" t="str">
        <f t="shared" si="291"/>
        <v>0</v>
      </c>
      <c r="BK1751" t="str">
        <f>IFERROR(VLOOKUP(B1751,'[1]model_S-フレーム'!$F$5:$R$7000,13,1),"")</f>
        <v>E369078_01</v>
      </c>
      <c r="BL1751" s="7">
        <f>IFERROR(VLOOKUP(B1751,'[1]model_S-フレーム'!$F$5:$V$7000,17,1),"")</f>
        <v>0</v>
      </c>
      <c r="BM1751" t="str" cm="1">
        <f t="array" ref="BM1751">_xlfn.IFS(LEFT(G1751,1)="L","外注品",LEFT(G1751,1)="W","内製品",G1751="","購買品")</f>
        <v>内製品</v>
      </c>
    </row>
    <row r="1752" spans="1:65" s="17" customFormat="1">
      <c r="A1752" t="str">
        <f t="shared" si="283"/>
        <v>WG01</v>
      </c>
      <c r="B1752" t="s">
        <v>1825</v>
      </c>
      <c r="C1752" t="s">
        <v>1930</v>
      </c>
      <c r="D1752" s="7"/>
      <c r="E1752" s="7"/>
      <c r="F1752"/>
      <c r="G1752"/>
      <c r="H1752">
        <v>27616</v>
      </c>
      <c r="I1752"/>
      <c r="J1752"/>
      <c r="K1752" t="str">
        <f t="shared" si="284"/>
        <v/>
      </c>
      <c r="L1752" s="3" t="str">
        <f t="shared" si="285"/>
        <v>2001/01/01</v>
      </c>
      <c r="M1752" s="3" t="str">
        <f t="shared" si="286"/>
        <v>2199/12/31</v>
      </c>
      <c r="N1752" t="str">
        <f t="shared" si="287"/>
        <v/>
      </c>
      <c r="O1752" t="str">
        <f t="shared" ref="O1752:O1759" si="293">IF(G1752="","","記載要")</f>
        <v/>
      </c>
      <c r="P1752"/>
      <c r="Q1752">
        <v>15</v>
      </c>
      <c r="R1752" s="21">
        <v>100000000</v>
      </c>
      <c r="S1752" s="21" t="str" cm="1">
        <f t="array" ref="S1752">_xlfn.IFS(LEFT(G1752,1)="L","記載要",LEFT(G1752,1)="W","記載要",G1752="","")</f>
        <v/>
      </c>
      <c r="T1752"/>
      <c r="U1752"/>
      <c r="V1752"/>
      <c r="W1752"/>
      <c r="X1752"/>
      <c r="Y1752"/>
      <c r="Z1752" s="8"/>
      <c r="AA1752" s="8">
        <v>1</v>
      </c>
      <c r="AB1752">
        <f t="shared" si="288"/>
        <v>0</v>
      </c>
      <c r="AC1752" s="8">
        <v>1</v>
      </c>
      <c r="AD1752"/>
      <c r="AE1752"/>
      <c r="AF1752">
        <v>1</v>
      </c>
      <c r="AG1752" s="8"/>
      <c r="AH1752" s="8"/>
      <c r="AI1752"/>
      <c r="AJ1752"/>
      <c r="AK1752" cm="1">
        <f t="array" ref="AK1752">_xlfn.IFS(B1752="","",LEFT(G1752,1)="L",1,LEFT(G1752,1)="W",1,AND(LEFT(B1752,1)="H",G1752=""),0)</f>
        <v>0</v>
      </c>
      <c r="AL1752"/>
      <c r="AM1752"/>
      <c r="AN1752"/>
      <c r="AO1752"/>
      <c r="AP1752"/>
      <c r="AQ1752"/>
      <c r="AR1752"/>
      <c r="AS1752">
        <f t="shared" si="289"/>
        <v>1</v>
      </c>
      <c r="AT1752" t="s">
        <v>115</v>
      </c>
      <c r="AU1752" t="str">
        <f t="shared" si="290"/>
        <v>0</v>
      </c>
      <c r="AV1752"/>
      <c r="AW1752"/>
      <c r="AX1752"/>
      <c r="AY1752"/>
      <c r="AZ1752"/>
      <c r="BA1752"/>
      <c r="BB1752"/>
      <c r="BC1752"/>
      <c r="BD1752" t="str">
        <f t="shared" si="291"/>
        <v>0</v>
      </c>
      <c r="BE1752"/>
      <c r="BF1752"/>
      <c r="BG1752"/>
      <c r="BH1752"/>
      <c r="BI1752"/>
      <c r="BJ1752"/>
      <c r="BK1752" s="17" t="str">
        <f>IFERROR(VLOOKUP(B1752,'[1]model_S-フレーム'!$F$5:$R$7000,13,1),"")</f>
        <v>E369077_01</v>
      </c>
      <c r="BL1752" s="18">
        <f>IFERROR(VLOOKUP(B1752,'[1]model_S-フレーム'!$F$5:$V$7000,17,1),"")</f>
        <v>0</v>
      </c>
      <c r="BM1752" s="17" t="str" cm="1">
        <f t="array" ref="BM1752">_xlfn.IFS(LEFT(G1752,1)="L","外注品",LEFT(G1752,1)="W","内製品",G1752="","購買品")</f>
        <v>購買品</v>
      </c>
    </row>
    <row r="1753" spans="1:65" s="17" customFormat="1">
      <c r="A1753" t="str">
        <f t="shared" si="283"/>
        <v>WG01</v>
      </c>
      <c r="B1753" t="s">
        <v>1825</v>
      </c>
      <c r="C1753" t="s">
        <v>1930</v>
      </c>
      <c r="D1753" s="7"/>
      <c r="E1753" s="7"/>
      <c r="F1753"/>
      <c r="G1753"/>
      <c r="H1753">
        <v>43453</v>
      </c>
      <c r="I1753"/>
      <c r="J1753"/>
      <c r="K1753" t="str">
        <f t="shared" si="284"/>
        <v/>
      </c>
      <c r="L1753" s="3" t="str">
        <f t="shared" si="285"/>
        <v>2001/01/01</v>
      </c>
      <c r="M1753" s="3" t="str">
        <f t="shared" si="286"/>
        <v>2199/12/31</v>
      </c>
      <c r="N1753" t="str">
        <f t="shared" si="287"/>
        <v/>
      </c>
      <c r="O1753" t="str">
        <f t="shared" si="293"/>
        <v/>
      </c>
      <c r="P1753"/>
      <c r="Q1753">
        <v>15</v>
      </c>
      <c r="R1753" s="21">
        <v>100000000</v>
      </c>
      <c r="S1753" s="21" t="str" cm="1">
        <f t="array" ref="S1753">_xlfn.IFS(LEFT(G1753,1)="L","記載要",LEFT(G1753,1)="W","記載要",G1753="","")</f>
        <v/>
      </c>
      <c r="T1753"/>
      <c r="U1753"/>
      <c r="V1753"/>
      <c r="W1753"/>
      <c r="X1753"/>
      <c r="Y1753"/>
      <c r="Z1753" s="8"/>
      <c r="AA1753" s="8">
        <v>1</v>
      </c>
      <c r="AB1753">
        <f t="shared" si="288"/>
        <v>0</v>
      </c>
      <c r="AC1753" s="8">
        <v>1</v>
      </c>
      <c r="AD1753"/>
      <c r="AE1753"/>
      <c r="AF1753">
        <v>0</v>
      </c>
      <c r="AG1753" s="8"/>
      <c r="AH1753" s="8"/>
      <c r="AI1753"/>
      <c r="AJ1753"/>
      <c r="AK1753" cm="1">
        <f t="array" ref="AK1753">_xlfn.IFS(B1753="","",LEFT(G1753,1)="L",1,LEFT(G1753,1)="W",1,AND(LEFT(B1753,1)="H",G1753=""),0)</f>
        <v>0</v>
      </c>
      <c r="AL1753"/>
      <c r="AM1753"/>
      <c r="AN1753"/>
      <c r="AO1753"/>
      <c r="AP1753"/>
      <c r="AQ1753"/>
      <c r="AR1753"/>
      <c r="AS1753">
        <f t="shared" si="289"/>
        <v>1</v>
      </c>
      <c r="AT1753" t="s">
        <v>115</v>
      </c>
      <c r="AU1753" t="str">
        <f t="shared" si="290"/>
        <v>0</v>
      </c>
      <c r="AV1753"/>
      <c r="AW1753"/>
      <c r="AX1753"/>
      <c r="AY1753"/>
      <c r="AZ1753"/>
      <c r="BA1753"/>
      <c r="BB1753"/>
      <c r="BC1753"/>
      <c r="BD1753" t="str">
        <f t="shared" si="291"/>
        <v>0</v>
      </c>
      <c r="BE1753"/>
      <c r="BF1753"/>
      <c r="BG1753"/>
      <c r="BH1753"/>
      <c r="BI1753"/>
      <c r="BJ1753"/>
      <c r="BK1753" s="17" t="str">
        <f>IFERROR(VLOOKUP(B1753,'[1]model_S-フレーム'!$F$5:$R$7000,13,1),"")</f>
        <v>E369077_01</v>
      </c>
      <c r="BL1753" s="18">
        <f>IFERROR(VLOOKUP(B1753,'[1]model_S-フレーム'!$F$5:$V$7000,17,1),"")</f>
        <v>0</v>
      </c>
      <c r="BM1753" s="17" t="str" cm="1">
        <f t="array" ref="BM1753">_xlfn.IFS(LEFT(G1753,1)="L","外注品",LEFT(G1753,1)="W","内製品",G1753="","購買品")</f>
        <v>購買品</v>
      </c>
    </row>
    <row r="1754" spans="1:65" s="17" customFormat="1">
      <c r="A1754" t="str">
        <f t="shared" si="283"/>
        <v>WG01</v>
      </c>
      <c r="B1754" t="s">
        <v>1825</v>
      </c>
      <c r="C1754" t="s">
        <v>1930</v>
      </c>
      <c r="D1754" s="7"/>
      <c r="E1754" s="7"/>
      <c r="F1754"/>
      <c r="G1754"/>
      <c r="H1754">
        <v>47081</v>
      </c>
      <c r="I1754"/>
      <c r="J1754"/>
      <c r="K1754" t="str">
        <f t="shared" si="284"/>
        <v/>
      </c>
      <c r="L1754" s="3" t="str">
        <f t="shared" si="285"/>
        <v>2001/01/01</v>
      </c>
      <c r="M1754" s="3" t="str">
        <f t="shared" si="286"/>
        <v>2199/12/31</v>
      </c>
      <c r="N1754" t="str">
        <f t="shared" si="287"/>
        <v/>
      </c>
      <c r="O1754" t="str">
        <f t="shared" si="293"/>
        <v/>
      </c>
      <c r="P1754"/>
      <c r="Q1754">
        <v>15</v>
      </c>
      <c r="R1754" s="21">
        <v>100000000</v>
      </c>
      <c r="S1754" s="21" t="str" cm="1">
        <f t="array" ref="S1754">_xlfn.IFS(LEFT(G1754,1)="L","記載要",LEFT(G1754,1)="W","記載要",G1754="","")</f>
        <v/>
      </c>
      <c r="T1754"/>
      <c r="U1754"/>
      <c r="V1754"/>
      <c r="W1754"/>
      <c r="X1754"/>
      <c r="Y1754"/>
      <c r="Z1754" s="8"/>
      <c r="AA1754" s="8">
        <v>1</v>
      </c>
      <c r="AB1754">
        <f t="shared" si="288"/>
        <v>0</v>
      </c>
      <c r="AC1754" s="8">
        <v>1</v>
      </c>
      <c r="AD1754"/>
      <c r="AE1754"/>
      <c r="AF1754">
        <v>0</v>
      </c>
      <c r="AG1754" s="8"/>
      <c r="AH1754" s="8"/>
      <c r="AI1754"/>
      <c r="AJ1754"/>
      <c r="AK1754" cm="1">
        <f t="array" ref="AK1754">_xlfn.IFS(B1754="","",LEFT(G1754,1)="L",1,LEFT(G1754,1)="W",1,AND(LEFT(B1754,1)="H",G1754=""),0)</f>
        <v>0</v>
      </c>
      <c r="AL1754"/>
      <c r="AM1754"/>
      <c r="AN1754"/>
      <c r="AO1754"/>
      <c r="AP1754"/>
      <c r="AQ1754"/>
      <c r="AR1754"/>
      <c r="AS1754">
        <f t="shared" si="289"/>
        <v>1</v>
      </c>
      <c r="AT1754" t="s">
        <v>115</v>
      </c>
      <c r="AU1754" t="str">
        <f t="shared" si="290"/>
        <v>0</v>
      </c>
      <c r="AV1754"/>
      <c r="AW1754"/>
      <c r="AX1754"/>
      <c r="AY1754"/>
      <c r="AZ1754"/>
      <c r="BA1754"/>
      <c r="BB1754"/>
      <c r="BC1754"/>
      <c r="BD1754" t="str">
        <f t="shared" si="291"/>
        <v>0</v>
      </c>
      <c r="BE1754"/>
      <c r="BF1754"/>
      <c r="BG1754"/>
      <c r="BH1754"/>
      <c r="BI1754"/>
      <c r="BJ1754"/>
      <c r="BK1754" s="17" t="str">
        <f>IFERROR(VLOOKUP(B1754,'[1]model_S-フレーム'!$F$5:$R$7000,13,1),"")</f>
        <v>E369077_01</v>
      </c>
      <c r="BL1754" s="18">
        <f>IFERROR(VLOOKUP(B1754,'[1]model_S-フレーム'!$F$5:$V$7000,17,1),"")</f>
        <v>0</v>
      </c>
      <c r="BM1754" s="17" t="str" cm="1">
        <f t="array" ref="BM1754">_xlfn.IFS(LEFT(G1754,1)="L","外注品",LEFT(G1754,1)="W","内製品",G1754="","購買品")</f>
        <v>購買品</v>
      </c>
    </row>
    <row r="1755" spans="1:65">
      <c r="A1755" t="str">
        <f t="shared" si="283"/>
        <v>WG01</v>
      </c>
      <c r="B1755" t="s">
        <v>1825</v>
      </c>
      <c r="C1755" t="s">
        <v>1930</v>
      </c>
      <c r="D1755" s="7"/>
      <c r="E1755" s="7"/>
      <c r="H1755" s="19" t="s">
        <v>1937</v>
      </c>
      <c r="K1755" t="str">
        <f t="shared" si="284"/>
        <v/>
      </c>
      <c r="L1755" s="3" t="str">
        <f t="shared" si="285"/>
        <v>2001/01/01</v>
      </c>
      <c r="M1755" s="3" t="str">
        <f t="shared" si="286"/>
        <v>2199/12/31</v>
      </c>
      <c r="N1755" t="str">
        <f t="shared" si="287"/>
        <v/>
      </c>
      <c r="O1755" t="str">
        <f t="shared" si="293"/>
        <v/>
      </c>
      <c r="Q1755">
        <v>15</v>
      </c>
      <c r="R1755" s="21">
        <v>100000000</v>
      </c>
      <c r="S1755" s="21" t="str" cm="1">
        <f t="array" ref="S1755">_xlfn.IFS(LEFT(G1755,1)="L","記載要",LEFT(G1755,1)="W","記載要",G1755="","")</f>
        <v/>
      </c>
      <c r="Z1755" s="8"/>
      <c r="AA1755" s="8">
        <v>1</v>
      </c>
      <c r="AB1755">
        <f t="shared" si="288"/>
        <v>0</v>
      </c>
      <c r="AC1755" s="8">
        <v>1</v>
      </c>
      <c r="AF1755">
        <v>0</v>
      </c>
      <c r="AG1755" s="8"/>
      <c r="AH1755" s="8"/>
      <c r="AK1755" cm="1">
        <f t="array" ref="AK1755">_xlfn.IFS(B1755="","",LEFT(G1755,1)="L",1,LEFT(G1755,1)="W",1,AND(LEFT(B1755,1)="H",G1755=""),0)</f>
        <v>0</v>
      </c>
      <c r="AS1755">
        <f t="shared" si="289"/>
        <v>1</v>
      </c>
      <c r="AT1755" t="s">
        <v>115</v>
      </c>
      <c r="AU1755" t="str">
        <f t="shared" si="290"/>
        <v>0</v>
      </c>
      <c r="BD1755" t="str">
        <f t="shared" si="291"/>
        <v>0</v>
      </c>
      <c r="BK1755" t="str">
        <f>IFERROR(VLOOKUP(B1755,'[1]model_S-フレーム'!$F$5:$R$7000,13,1),"")</f>
        <v>E369077_01</v>
      </c>
      <c r="BL1755" s="7">
        <f>IFERROR(VLOOKUP(B1755,'[1]model_S-フレーム'!$F$5:$V$7000,17,1),"")</f>
        <v>0</v>
      </c>
      <c r="BM1755" t="str" cm="1">
        <f t="array" ref="BM1755">_xlfn.IFS(LEFT(G1755,1)="L","外注品",LEFT(G1755,1)="W","内製品",G1755="","購買品")</f>
        <v>購買品</v>
      </c>
    </row>
    <row r="1756" spans="1:65" s="17" customFormat="1">
      <c r="A1756" t="str">
        <f t="shared" si="283"/>
        <v>WG01</v>
      </c>
      <c r="B1756" t="s">
        <v>1826</v>
      </c>
      <c r="C1756" t="s">
        <v>1931</v>
      </c>
      <c r="D1756" s="7"/>
      <c r="E1756" s="7"/>
      <c r="F1756"/>
      <c r="G1756"/>
      <c r="H1756">
        <v>27616</v>
      </c>
      <c r="I1756"/>
      <c r="J1756"/>
      <c r="K1756" t="str">
        <f t="shared" si="284"/>
        <v/>
      </c>
      <c r="L1756" s="3" t="str">
        <f t="shared" si="285"/>
        <v>2001/01/01</v>
      </c>
      <c r="M1756" s="3" t="str">
        <f t="shared" si="286"/>
        <v>2199/12/31</v>
      </c>
      <c r="N1756" t="str">
        <f t="shared" si="287"/>
        <v/>
      </c>
      <c r="O1756" t="str">
        <f t="shared" si="293"/>
        <v/>
      </c>
      <c r="P1756"/>
      <c r="Q1756">
        <v>15</v>
      </c>
      <c r="R1756" s="21">
        <v>100000000</v>
      </c>
      <c r="S1756" s="21" t="str" cm="1">
        <f t="array" ref="S1756">_xlfn.IFS(LEFT(G1756,1)="L","記載要",LEFT(G1756,1)="W","記載要",G1756="","")</f>
        <v/>
      </c>
      <c r="T1756"/>
      <c r="U1756"/>
      <c r="V1756"/>
      <c r="W1756"/>
      <c r="X1756"/>
      <c r="Y1756"/>
      <c r="Z1756" s="8"/>
      <c r="AA1756" s="8">
        <v>1</v>
      </c>
      <c r="AB1756">
        <f t="shared" si="288"/>
        <v>0</v>
      </c>
      <c r="AC1756" s="8">
        <v>1</v>
      </c>
      <c r="AD1756"/>
      <c r="AE1756"/>
      <c r="AF1756">
        <v>1</v>
      </c>
      <c r="AG1756" s="8"/>
      <c r="AH1756" s="8"/>
      <c r="AI1756"/>
      <c r="AJ1756"/>
      <c r="AK1756" cm="1">
        <f t="array" ref="AK1756">_xlfn.IFS(B1756="","",LEFT(G1756,1)="L",1,LEFT(G1756,1)="W",1,AND(LEFT(B1756,1)="H",G1756=""),0)</f>
        <v>0</v>
      </c>
      <c r="AL1756"/>
      <c r="AM1756"/>
      <c r="AN1756"/>
      <c r="AO1756"/>
      <c r="AP1756"/>
      <c r="AQ1756"/>
      <c r="AR1756"/>
      <c r="AS1756">
        <f t="shared" si="289"/>
        <v>1</v>
      </c>
      <c r="AT1756" t="s">
        <v>115</v>
      </c>
      <c r="AU1756" t="str">
        <f t="shared" si="290"/>
        <v>0</v>
      </c>
      <c r="AV1756"/>
      <c r="AW1756"/>
      <c r="AX1756"/>
      <c r="AY1756"/>
      <c r="AZ1756"/>
      <c r="BA1756"/>
      <c r="BB1756"/>
      <c r="BC1756"/>
      <c r="BD1756" t="str">
        <f t="shared" si="291"/>
        <v>0</v>
      </c>
      <c r="BE1756"/>
      <c r="BF1756"/>
      <c r="BG1756"/>
      <c r="BH1756"/>
      <c r="BI1756"/>
      <c r="BJ1756"/>
      <c r="BK1756" s="17" t="str">
        <f>IFERROR(VLOOKUP(B1756,'[1]model_S-フレーム'!$F$5:$R$7000,13,1),"")</f>
        <v>E369078_02</v>
      </c>
      <c r="BL1756" s="18">
        <f>IFERROR(VLOOKUP(B1756,'[1]model_S-フレーム'!$F$5:$V$7000,17,1),"")</f>
        <v>0</v>
      </c>
      <c r="BM1756" s="17" t="str" cm="1">
        <f t="array" ref="BM1756">_xlfn.IFS(LEFT(G1756,1)="L","外注品",LEFT(G1756,1)="W","内製品",G1756="","購買品")</f>
        <v>購買品</v>
      </c>
    </row>
    <row r="1757" spans="1:65" s="17" customFormat="1">
      <c r="A1757" t="str">
        <f t="shared" si="283"/>
        <v>WG01</v>
      </c>
      <c r="B1757" t="s">
        <v>1826</v>
      </c>
      <c r="C1757" t="s">
        <v>1931</v>
      </c>
      <c r="D1757" s="7"/>
      <c r="E1757" s="7"/>
      <c r="F1757"/>
      <c r="G1757"/>
      <c r="H1757">
        <v>43453</v>
      </c>
      <c r="I1757"/>
      <c r="J1757"/>
      <c r="K1757" t="str">
        <f t="shared" si="284"/>
        <v/>
      </c>
      <c r="L1757" s="3" t="str">
        <f t="shared" si="285"/>
        <v>2001/01/01</v>
      </c>
      <c r="M1757" s="3" t="str">
        <f t="shared" si="286"/>
        <v>2199/12/31</v>
      </c>
      <c r="N1757" t="str">
        <f t="shared" si="287"/>
        <v/>
      </c>
      <c r="O1757" t="str">
        <f t="shared" si="293"/>
        <v/>
      </c>
      <c r="P1757"/>
      <c r="Q1757">
        <v>15</v>
      </c>
      <c r="R1757" s="21">
        <v>100000000</v>
      </c>
      <c r="S1757" s="21" t="str" cm="1">
        <f t="array" ref="S1757">_xlfn.IFS(LEFT(G1757,1)="L","記載要",LEFT(G1757,1)="W","記載要",G1757="","")</f>
        <v/>
      </c>
      <c r="T1757"/>
      <c r="U1757"/>
      <c r="V1757"/>
      <c r="W1757"/>
      <c r="X1757"/>
      <c r="Y1757"/>
      <c r="Z1757" s="8"/>
      <c r="AA1757" s="8">
        <v>1</v>
      </c>
      <c r="AB1757">
        <f t="shared" si="288"/>
        <v>0</v>
      </c>
      <c r="AC1757" s="8">
        <v>1</v>
      </c>
      <c r="AD1757"/>
      <c r="AE1757"/>
      <c r="AF1757">
        <v>0</v>
      </c>
      <c r="AG1757" s="8"/>
      <c r="AH1757" s="8"/>
      <c r="AI1757"/>
      <c r="AJ1757"/>
      <c r="AK1757" cm="1">
        <f t="array" ref="AK1757">_xlfn.IFS(B1757="","",LEFT(G1757,1)="L",1,LEFT(G1757,1)="W",1,AND(LEFT(B1757,1)="H",G1757=""),0)</f>
        <v>0</v>
      </c>
      <c r="AL1757"/>
      <c r="AM1757"/>
      <c r="AN1757"/>
      <c r="AO1757"/>
      <c r="AP1757"/>
      <c r="AQ1757"/>
      <c r="AR1757"/>
      <c r="AS1757">
        <f t="shared" si="289"/>
        <v>1</v>
      </c>
      <c r="AT1757" t="s">
        <v>115</v>
      </c>
      <c r="AU1757" t="str">
        <f t="shared" si="290"/>
        <v>0</v>
      </c>
      <c r="AV1757"/>
      <c r="AW1757"/>
      <c r="AX1757"/>
      <c r="AY1757"/>
      <c r="AZ1757"/>
      <c r="BA1757"/>
      <c r="BB1757"/>
      <c r="BC1757"/>
      <c r="BD1757" t="str">
        <f t="shared" si="291"/>
        <v>0</v>
      </c>
      <c r="BE1757"/>
      <c r="BF1757"/>
      <c r="BG1757"/>
      <c r="BH1757"/>
      <c r="BI1757"/>
      <c r="BJ1757"/>
      <c r="BK1757" s="17" t="str">
        <f>IFERROR(VLOOKUP(B1757,'[1]model_S-フレーム'!$F$5:$R$7000,13,1),"")</f>
        <v>E369078_02</v>
      </c>
      <c r="BL1757" s="18">
        <f>IFERROR(VLOOKUP(B1757,'[1]model_S-フレーム'!$F$5:$V$7000,17,1),"")</f>
        <v>0</v>
      </c>
      <c r="BM1757" s="17" t="str" cm="1">
        <f t="array" ref="BM1757">_xlfn.IFS(LEFT(G1757,1)="L","外注品",LEFT(G1757,1)="W","内製品",G1757="","購買品")</f>
        <v>購買品</v>
      </c>
    </row>
    <row r="1758" spans="1:65" s="17" customFormat="1">
      <c r="A1758" t="str">
        <f t="shared" si="283"/>
        <v>WG01</v>
      </c>
      <c r="B1758" t="s">
        <v>1826</v>
      </c>
      <c r="C1758" t="s">
        <v>1931</v>
      </c>
      <c r="D1758" s="7"/>
      <c r="E1758" s="7"/>
      <c r="F1758"/>
      <c r="G1758"/>
      <c r="H1758">
        <v>47081</v>
      </c>
      <c r="I1758"/>
      <c r="J1758"/>
      <c r="K1758" t="str">
        <f t="shared" si="284"/>
        <v/>
      </c>
      <c r="L1758" s="3" t="str">
        <f t="shared" si="285"/>
        <v>2001/01/01</v>
      </c>
      <c r="M1758" s="3" t="str">
        <f t="shared" si="286"/>
        <v>2199/12/31</v>
      </c>
      <c r="N1758" t="str">
        <f t="shared" si="287"/>
        <v/>
      </c>
      <c r="O1758" t="str">
        <f t="shared" si="293"/>
        <v/>
      </c>
      <c r="P1758"/>
      <c r="Q1758">
        <v>15</v>
      </c>
      <c r="R1758" s="21">
        <v>100000000</v>
      </c>
      <c r="S1758" s="21" t="str" cm="1">
        <f t="array" ref="S1758">_xlfn.IFS(LEFT(G1758,1)="L","記載要",LEFT(G1758,1)="W","記載要",G1758="","")</f>
        <v/>
      </c>
      <c r="T1758"/>
      <c r="U1758"/>
      <c r="V1758"/>
      <c r="W1758"/>
      <c r="X1758"/>
      <c r="Y1758"/>
      <c r="Z1758" s="8"/>
      <c r="AA1758" s="8">
        <v>1</v>
      </c>
      <c r="AB1758">
        <f t="shared" si="288"/>
        <v>0</v>
      </c>
      <c r="AC1758" s="8">
        <v>1</v>
      </c>
      <c r="AD1758"/>
      <c r="AE1758"/>
      <c r="AF1758">
        <v>0</v>
      </c>
      <c r="AG1758" s="8"/>
      <c r="AH1758" s="8"/>
      <c r="AI1758"/>
      <c r="AJ1758"/>
      <c r="AK1758" cm="1">
        <f t="array" ref="AK1758">_xlfn.IFS(B1758="","",LEFT(G1758,1)="L",1,LEFT(G1758,1)="W",1,AND(LEFT(B1758,1)="H",G1758=""),0)</f>
        <v>0</v>
      </c>
      <c r="AL1758"/>
      <c r="AM1758"/>
      <c r="AN1758"/>
      <c r="AO1758"/>
      <c r="AP1758"/>
      <c r="AQ1758"/>
      <c r="AR1758"/>
      <c r="AS1758">
        <f t="shared" si="289"/>
        <v>1</v>
      </c>
      <c r="AT1758" t="s">
        <v>115</v>
      </c>
      <c r="AU1758" t="str">
        <f t="shared" si="290"/>
        <v>0</v>
      </c>
      <c r="AV1758"/>
      <c r="AW1758"/>
      <c r="AX1758"/>
      <c r="AY1758"/>
      <c r="AZ1758"/>
      <c r="BA1758"/>
      <c r="BB1758"/>
      <c r="BC1758"/>
      <c r="BD1758" t="str">
        <f t="shared" si="291"/>
        <v>0</v>
      </c>
      <c r="BE1758"/>
      <c r="BF1758"/>
      <c r="BG1758"/>
      <c r="BH1758"/>
      <c r="BI1758"/>
      <c r="BJ1758"/>
      <c r="BK1758" s="17" t="str">
        <f>IFERROR(VLOOKUP(B1758,'[1]model_S-フレーム'!$F$5:$R$7000,13,1),"")</f>
        <v>E369078_02</v>
      </c>
      <c r="BL1758" s="18">
        <f>IFERROR(VLOOKUP(B1758,'[1]model_S-フレーム'!$F$5:$V$7000,17,1),"")</f>
        <v>0</v>
      </c>
      <c r="BM1758" s="17" t="str" cm="1">
        <f t="array" ref="BM1758">_xlfn.IFS(LEFT(G1758,1)="L","外注品",LEFT(G1758,1)="W","内製品",G1758="","購買品")</f>
        <v>購買品</v>
      </c>
    </row>
    <row r="1759" spans="1:65">
      <c r="A1759" t="str">
        <f t="shared" si="283"/>
        <v>WG01</v>
      </c>
      <c r="B1759" t="s">
        <v>1826</v>
      </c>
      <c r="C1759" t="s">
        <v>1931</v>
      </c>
      <c r="D1759" s="7"/>
      <c r="E1759" s="7"/>
      <c r="H1759" s="19" t="s">
        <v>1937</v>
      </c>
      <c r="K1759" t="str">
        <f t="shared" si="284"/>
        <v/>
      </c>
      <c r="L1759" s="3" t="str">
        <f t="shared" si="285"/>
        <v>2001/01/01</v>
      </c>
      <c r="M1759" s="3" t="str">
        <f t="shared" si="286"/>
        <v>2199/12/31</v>
      </c>
      <c r="N1759" t="str">
        <f t="shared" si="287"/>
        <v/>
      </c>
      <c r="O1759" t="str">
        <f t="shared" si="293"/>
        <v/>
      </c>
      <c r="Q1759">
        <v>15</v>
      </c>
      <c r="R1759" s="21">
        <v>100000000</v>
      </c>
      <c r="S1759" s="21" t="str" cm="1">
        <f t="array" ref="S1759">_xlfn.IFS(LEFT(G1759,1)="L","記載要",LEFT(G1759,1)="W","記載要",G1759="","")</f>
        <v/>
      </c>
      <c r="Z1759" s="8"/>
      <c r="AA1759" s="8">
        <v>1</v>
      </c>
      <c r="AB1759">
        <f t="shared" si="288"/>
        <v>0</v>
      </c>
      <c r="AC1759" s="8">
        <v>1</v>
      </c>
      <c r="AF1759">
        <v>0</v>
      </c>
      <c r="AG1759" s="8"/>
      <c r="AH1759" s="8"/>
      <c r="AK1759" cm="1">
        <f t="array" ref="AK1759">_xlfn.IFS(B1759="","",LEFT(G1759,1)="L",1,LEFT(G1759,1)="W",1,AND(LEFT(B1759,1)="H",G1759=""),0)</f>
        <v>0</v>
      </c>
      <c r="AS1759">
        <f t="shared" si="289"/>
        <v>1</v>
      </c>
      <c r="AT1759" t="s">
        <v>115</v>
      </c>
      <c r="AU1759" t="str">
        <f t="shared" si="290"/>
        <v>0</v>
      </c>
      <c r="BD1759" t="str">
        <f t="shared" si="291"/>
        <v>0</v>
      </c>
      <c r="BK1759" t="str">
        <f>IFERROR(VLOOKUP(B1759,'[1]model_S-フレーム'!$F$5:$R$7000,13,1),"")</f>
        <v>E369078_02</v>
      </c>
      <c r="BL1759" s="7">
        <f>IFERROR(VLOOKUP(B1759,'[1]model_S-フレーム'!$F$5:$V$7000,17,1),"")</f>
        <v>0</v>
      </c>
      <c r="BM1759" t="str" cm="1">
        <f t="array" ref="BM1759">_xlfn.IFS(LEFT(G1759,1)="L","外注品",LEFT(G1759,1)="W","内製品",G1759="","購買品")</f>
        <v>購買品</v>
      </c>
    </row>
    <row r="1760" spans="1:65">
      <c r="A1760" t="str">
        <f t="shared" si="283"/>
        <v>WG01</v>
      </c>
      <c r="B1760" t="s">
        <v>1827</v>
      </c>
      <c r="C1760" t="s">
        <v>1932</v>
      </c>
      <c r="D1760" s="7"/>
      <c r="E1760" s="7"/>
      <c r="G1760" t="s">
        <v>1939</v>
      </c>
      <c r="H1760" t="str" cm="1">
        <f t="array" ref="H1760">IFERROR(_xlfn.IFS(B1760="","",AND(B1760="",G1760=""),"",G1760="","記載要"),"")</f>
        <v/>
      </c>
      <c r="K1760" t="str">
        <f t="shared" si="284"/>
        <v>11WP01074041</v>
      </c>
      <c r="L1760" s="3" t="str">
        <f t="shared" si="285"/>
        <v>2001/01/01</v>
      </c>
      <c r="M1760" s="3" t="str">
        <f t="shared" si="286"/>
        <v>2199/12/31</v>
      </c>
      <c r="N1760" t="str">
        <f t="shared" si="287"/>
        <v>11WP01074041</v>
      </c>
      <c r="O1760">
        <v>15</v>
      </c>
      <c r="Q1760" t="str" cm="1">
        <f t="array" ref="Q1760">_xlfn.IFS(AND(C1760="",G1760=""),"",LEFT(G1760,1)="L","記載要",LEFT(G1760,1)="W","",AND(C1760,G1760=""),"記載要")</f>
        <v/>
      </c>
      <c r="R1760" s="21" t="str">
        <f t="shared" si="292"/>
        <v/>
      </c>
      <c r="S1760" s="21"/>
      <c r="Z1760" s="8"/>
      <c r="AA1760">
        <v>1</v>
      </c>
      <c r="AB1760">
        <f t="shared" si="288"/>
        <v>0</v>
      </c>
      <c r="AC1760">
        <v>1</v>
      </c>
      <c r="AF1760">
        <v>1</v>
      </c>
      <c r="AG1760" s="8"/>
      <c r="AH1760" s="8"/>
      <c r="AK1760" cm="1">
        <f t="array" ref="AK1760">_xlfn.IFS(B1760="","",LEFT(G1760,1)="L",1,LEFT(G1760,1)="W",1,AND(LEFT(B1760,1)="H",G1760=""),0)</f>
        <v>1</v>
      </c>
      <c r="AS1760" t="str">
        <f t="shared" si="289"/>
        <v/>
      </c>
      <c r="AT1760" t="s">
        <v>115</v>
      </c>
      <c r="AU1760" t="str">
        <f t="shared" si="290"/>
        <v>0</v>
      </c>
      <c r="BD1760" t="str">
        <f t="shared" si="291"/>
        <v>0</v>
      </c>
      <c r="BK1760" t="str">
        <f>IFERROR(VLOOKUP(B1760,'[1]model_S-フレーム'!$F$5:$R$7000,13,1),"")</f>
        <v>E369082_01</v>
      </c>
      <c r="BL1760" s="7">
        <f>IFERROR(VLOOKUP(B1760,'[1]model_S-フレーム'!$F$5:$V$7000,17,1),"")</f>
        <v>0</v>
      </c>
      <c r="BM1760" t="str" cm="1">
        <f t="array" ref="BM1760">_xlfn.IFS(LEFT(G1760,1)="L","外注品",LEFT(G1760,1)="W","内製品",G1760="","購買品")</f>
        <v>内製品</v>
      </c>
    </row>
    <row r="1761" spans="1:65">
      <c r="A1761" t="str">
        <f t="shared" si="283"/>
        <v>WG01</v>
      </c>
      <c r="B1761" t="s">
        <v>1828</v>
      </c>
      <c r="C1761" t="s">
        <v>1932</v>
      </c>
      <c r="D1761" s="7"/>
      <c r="E1761" s="7"/>
      <c r="G1761" t="s">
        <v>1939</v>
      </c>
      <c r="H1761" t="str" cm="1">
        <f t="array" ref="H1761">IFERROR(_xlfn.IFS(B1761="","",AND(B1761="",G1761=""),"",G1761="","記載要"),"")</f>
        <v/>
      </c>
      <c r="K1761" t="str">
        <f t="shared" si="284"/>
        <v>11WP01074042</v>
      </c>
      <c r="L1761" s="3" t="str">
        <f t="shared" si="285"/>
        <v>2001/01/01</v>
      </c>
      <c r="M1761" s="3" t="str">
        <f t="shared" si="286"/>
        <v>2199/12/31</v>
      </c>
      <c r="N1761" t="str">
        <f t="shared" si="287"/>
        <v>11WP01074042</v>
      </c>
      <c r="O1761">
        <v>15</v>
      </c>
      <c r="Q1761" t="str" cm="1">
        <f t="array" ref="Q1761">_xlfn.IFS(AND(C1761="",G1761=""),"",LEFT(G1761,1)="L","記載要",LEFT(G1761,1)="W","",AND(C1761,G1761=""),"記載要")</f>
        <v/>
      </c>
      <c r="R1761" s="21" t="str">
        <f t="shared" si="292"/>
        <v/>
      </c>
      <c r="S1761" s="21"/>
      <c r="Z1761" s="8"/>
      <c r="AA1761">
        <v>1</v>
      </c>
      <c r="AB1761">
        <f t="shared" si="288"/>
        <v>0</v>
      </c>
      <c r="AC1761">
        <v>1</v>
      </c>
      <c r="AF1761">
        <v>1</v>
      </c>
      <c r="AG1761" s="8"/>
      <c r="AH1761" s="8"/>
      <c r="AK1761" cm="1">
        <f t="array" ref="AK1761">_xlfn.IFS(B1761="","",LEFT(G1761,1)="L",1,LEFT(G1761,1)="W",1,AND(LEFT(B1761,1)="H",G1761=""),0)</f>
        <v>1</v>
      </c>
      <c r="AS1761" t="str">
        <f t="shared" si="289"/>
        <v/>
      </c>
      <c r="AT1761" t="s">
        <v>115</v>
      </c>
      <c r="AU1761" t="str">
        <f t="shared" si="290"/>
        <v>0</v>
      </c>
      <c r="BD1761" t="str">
        <f t="shared" si="291"/>
        <v>0</v>
      </c>
      <c r="BK1761" t="str">
        <f>IFERROR(VLOOKUP(B1761,'[1]model_S-フレーム'!$F$5:$R$7000,13,1),"")</f>
        <v>E369082_01</v>
      </c>
      <c r="BL1761" s="7">
        <f>IFERROR(VLOOKUP(B1761,'[1]model_S-フレーム'!$F$5:$V$7000,17,1),"")</f>
        <v>0</v>
      </c>
      <c r="BM1761" t="str" cm="1">
        <f t="array" ref="BM1761">_xlfn.IFS(LEFT(G1761,1)="L","外注品",LEFT(G1761,1)="W","内製品",G1761="","購買品")</f>
        <v>内製品</v>
      </c>
    </row>
    <row r="1762" spans="1:65">
      <c r="A1762" t="str">
        <f t="shared" si="283"/>
        <v>WG01</v>
      </c>
      <c r="B1762" t="s">
        <v>1829</v>
      </c>
      <c r="C1762" t="s">
        <v>1932</v>
      </c>
      <c r="D1762" s="7"/>
      <c r="E1762" s="7"/>
      <c r="G1762" t="s">
        <v>1939</v>
      </c>
      <c r="H1762" t="str" cm="1">
        <f t="array" ref="H1762">IFERROR(_xlfn.IFS(B1762="","",AND(B1762="",G1762=""),"",G1762="","記載要"),"")</f>
        <v/>
      </c>
      <c r="K1762" t="str">
        <f t="shared" si="284"/>
        <v>11WP01074043</v>
      </c>
      <c r="L1762" s="3" t="str">
        <f t="shared" si="285"/>
        <v>2001/01/01</v>
      </c>
      <c r="M1762" s="3" t="str">
        <f t="shared" si="286"/>
        <v>2199/12/31</v>
      </c>
      <c r="N1762" t="str">
        <f t="shared" si="287"/>
        <v>11WP01074043</v>
      </c>
      <c r="O1762">
        <v>15</v>
      </c>
      <c r="Q1762" t="str" cm="1">
        <f t="array" ref="Q1762">_xlfn.IFS(AND(C1762="",G1762=""),"",LEFT(G1762,1)="L","記載要",LEFT(G1762,1)="W","",AND(C1762,G1762=""),"記載要")</f>
        <v/>
      </c>
      <c r="R1762" s="21" t="str">
        <f t="shared" si="292"/>
        <v/>
      </c>
      <c r="S1762" s="21"/>
      <c r="Z1762" s="8"/>
      <c r="AA1762">
        <v>1</v>
      </c>
      <c r="AB1762">
        <f t="shared" si="288"/>
        <v>0</v>
      </c>
      <c r="AC1762">
        <v>1</v>
      </c>
      <c r="AF1762">
        <v>1</v>
      </c>
      <c r="AG1762" s="8"/>
      <c r="AH1762" s="8"/>
      <c r="AK1762" cm="1">
        <f t="array" ref="AK1762">_xlfn.IFS(B1762="","",LEFT(G1762,1)="L",1,LEFT(G1762,1)="W",1,AND(LEFT(B1762,1)="H",G1762=""),0)</f>
        <v>1</v>
      </c>
      <c r="AS1762" t="str">
        <f t="shared" si="289"/>
        <v/>
      </c>
      <c r="AT1762" t="s">
        <v>115</v>
      </c>
      <c r="AU1762" t="str">
        <f t="shared" si="290"/>
        <v>0</v>
      </c>
      <c r="BD1762" t="str">
        <f t="shared" si="291"/>
        <v>0</v>
      </c>
      <c r="BK1762" t="str">
        <f>IFERROR(VLOOKUP(B1762,'[1]model_S-フレーム'!$F$5:$R$7000,13,1),"")</f>
        <v>E369082_01</v>
      </c>
      <c r="BL1762" s="7">
        <f>IFERROR(VLOOKUP(B1762,'[1]model_S-フレーム'!$F$5:$V$7000,17,1),"")</f>
        <v>0</v>
      </c>
      <c r="BM1762" t="str" cm="1">
        <f t="array" ref="BM1762">_xlfn.IFS(LEFT(G1762,1)="L","外注品",LEFT(G1762,1)="W","内製品",G1762="","購買品")</f>
        <v>内製品</v>
      </c>
    </row>
    <row r="1763" spans="1:65">
      <c r="A1763" t="str">
        <f t="shared" si="283"/>
        <v>WG01</v>
      </c>
      <c r="B1763" t="s">
        <v>1830</v>
      </c>
      <c r="C1763" t="s">
        <v>1932</v>
      </c>
      <c r="D1763" s="7"/>
      <c r="E1763" s="7"/>
      <c r="G1763" t="s">
        <v>1939</v>
      </c>
      <c r="H1763" t="str" cm="1">
        <f t="array" ref="H1763">IFERROR(_xlfn.IFS(B1763="","",AND(B1763="",G1763=""),"",G1763="","記載要"),"")</f>
        <v/>
      </c>
      <c r="K1763" t="str">
        <f t="shared" si="284"/>
        <v>11WP01074044</v>
      </c>
      <c r="L1763" s="3" t="str">
        <f t="shared" si="285"/>
        <v>2001/01/01</v>
      </c>
      <c r="M1763" s="3" t="str">
        <f t="shared" si="286"/>
        <v>2199/12/31</v>
      </c>
      <c r="N1763" t="str">
        <f t="shared" si="287"/>
        <v>11WP01074044</v>
      </c>
      <c r="O1763">
        <v>15</v>
      </c>
      <c r="Q1763" t="str" cm="1">
        <f t="array" ref="Q1763">_xlfn.IFS(AND(C1763="",G1763=""),"",LEFT(G1763,1)="L","記載要",LEFT(G1763,1)="W","",AND(C1763,G1763=""),"記載要")</f>
        <v/>
      </c>
      <c r="R1763" s="21" t="str">
        <f t="shared" si="292"/>
        <v/>
      </c>
      <c r="S1763" s="21"/>
      <c r="Z1763" s="8"/>
      <c r="AA1763">
        <v>1</v>
      </c>
      <c r="AB1763">
        <f t="shared" si="288"/>
        <v>0</v>
      </c>
      <c r="AC1763">
        <v>1</v>
      </c>
      <c r="AF1763">
        <v>1</v>
      </c>
      <c r="AG1763" s="8"/>
      <c r="AH1763" s="8"/>
      <c r="AK1763" cm="1">
        <f t="array" ref="AK1763">_xlfn.IFS(B1763="","",LEFT(G1763,1)="L",1,LEFT(G1763,1)="W",1,AND(LEFT(B1763,1)="H",G1763=""),0)</f>
        <v>1</v>
      </c>
      <c r="AS1763" t="str">
        <f t="shared" si="289"/>
        <v/>
      </c>
      <c r="AT1763" t="s">
        <v>115</v>
      </c>
      <c r="AU1763" t="str">
        <f t="shared" si="290"/>
        <v>0</v>
      </c>
      <c r="BD1763" t="str">
        <f t="shared" si="291"/>
        <v>0</v>
      </c>
      <c r="BK1763" t="str">
        <f>IFERROR(VLOOKUP(B1763,'[1]model_S-フレーム'!$F$5:$R$7000,13,1),"")</f>
        <v>E369082_01</v>
      </c>
      <c r="BL1763" s="7">
        <f>IFERROR(VLOOKUP(B1763,'[1]model_S-フレーム'!$F$5:$V$7000,17,1),"")</f>
        <v>0</v>
      </c>
      <c r="BM1763" t="str" cm="1">
        <f t="array" ref="BM1763">_xlfn.IFS(LEFT(G1763,1)="L","外注品",LEFT(G1763,1)="W","内製品",G1763="","購買品")</f>
        <v>内製品</v>
      </c>
    </row>
    <row r="1764" spans="1:65">
      <c r="A1764" t="str">
        <f t="shared" si="283"/>
        <v>WG01</v>
      </c>
      <c r="B1764" t="s">
        <v>1831</v>
      </c>
      <c r="C1764" t="s">
        <v>1932</v>
      </c>
      <c r="D1764" s="7"/>
      <c r="E1764" s="7"/>
      <c r="G1764" t="s">
        <v>1939</v>
      </c>
      <c r="H1764" t="str" cm="1">
        <f t="array" ref="H1764">IFERROR(_xlfn.IFS(B1764="","",AND(B1764="",G1764=""),"",G1764="","記載要"),"")</f>
        <v/>
      </c>
      <c r="K1764" t="str">
        <f t="shared" si="284"/>
        <v>11WP01074045</v>
      </c>
      <c r="L1764" s="3" t="str">
        <f t="shared" si="285"/>
        <v>2001/01/01</v>
      </c>
      <c r="M1764" s="3" t="str">
        <f t="shared" si="286"/>
        <v>2199/12/31</v>
      </c>
      <c r="N1764" t="str">
        <f t="shared" si="287"/>
        <v>11WP01074045</v>
      </c>
      <c r="O1764">
        <v>15</v>
      </c>
      <c r="Q1764" t="str" cm="1">
        <f t="array" ref="Q1764">_xlfn.IFS(AND(C1764="",G1764=""),"",LEFT(G1764,1)="L","記載要",LEFT(G1764,1)="W","",AND(C1764,G1764=""),"記載要")</f>
        <v/>
      </c>
      <c r="R1764" s="21" t="str">
        <f t="shared" si="292"/>
        <v/>
      </c>
      <c r="S1764" s="21"/>
      <c r="Z1764" s="8"/>
      <c r="AA1764">
        <v>1</v>
      </c>
      <c r="AB1764">
        <f t="shared" si="288"/>
        <v>0</v>
      </c>
      <c r="AC1764">
        <v>1</v>
      </c>
      <c r="AF1764">
        <v>1</v>
      </c>
      <c r="AG1764" s="8"/>
      <c r="AH1764" s="8"/>
      <c r="AK1764" cm="1">
        <f t="array" ref="AK1764">_xlfn.IFS(B1764="","",LEFT(G1764,1)="L",1,LEFT(G1764,1)="W",1,AND(LEFT(B1764,1)="H",G1764=""),0)</f>
        <v>1</v>
      </c>
      <c r="AS1764" t="str">
        <f t="shared" si="289"/>
        <v/>
      </c>
      <c r="AT1764" t="s">
        <v>115</v>
      </c>
      <c r="AU1764" t="str">
        <f t="shared" si="290"/>
        <v>0</v>
      </c>
      <c r="BD1764" t="str">
        <f t="shared" si="291"/>
        <v>0</v>
      </c>
      <c r="BK1764" t="str">
        <f>IFERROR(VLOOKUP(B1764,'[1]model_S-フレーム'!$F$5:$R$7000,13,1),"")</f>
        <v>E369082_01</v>
      </c>
      <c r="BL1764" s="7">
        <f>IFERROR(VLOOKUP(B1764,'[1]model_S-フレーム'!$F$5:$V$7000,17,1),"")</f>
        <v>0</v>
      </c>
      <c r="BM1764" t="str" cm="1">
        <f t="array" ref="BM1764">_xlfn.IFS(LEFT(G1764,1)="L","外注品",LEFT(G1764,1)="W","内製品",G1764="","購買品")</f>
        <v>内製品</v>
      </c>
    </row>
    <row r="1765" spans="1:65">
      <c r="A1765" t="str">
        <f t="shared" si="283"/>
        <v>WG01</v>
      </c>
      <c r="B1765" t="s">
        <v>1832</v>
      </c>
      <c r="C1765" t="s">
        <v>1932</v>
      </c>
      <c r="D1765" s="7"/>
      <c r="E1765" s="7"/>
      <c r="G1765" t="s">
        <v>1939</v>
      </c>
      <c r="H1765" t="str" cm="1">
        <f t="array" ref="H1765">IFERROR(_xlfn.IFS(B1765="","",AND(B1765="",G1765=""),"",G1765="","記載要"),"")</f>
        <v/>
      </c>
      <c r="K1765" t="str">
        <f t="shared" si="284"/>
        <v>11WP01074046</v>
      </c>
      <c r="L1765" s="3" t="str">
        <f t="shared" si="285"/>
        <v>2001/01/01</v>
      </c>
      <c r="M1765" s="3" t="str">
        <f t="shared" si="286"/>
        <v>2199/12/31</v>
      </c>
      <c r="N1765" t="str">
        <f t="shared" si="287"/>
        <v>11WP01074046</v>
      </c>
      <c r="O1765">
        <v>15</v>
      </c>
      <c r="Q1765" t="str" cm="1">
        <f t="array" ref="Q1765">_xlfn.IFS(AND(C1765="",G1765=""),"",LEFT(G1765,1)="L","記載要",LEFT(G1765,1)="W","",AND(C1765,G1765=""),"記載要")</f>
        <v/>
      </c>
      <c r="R1765" s="21" t="str">
        <f t="shared" si="292"/>
        <v/>
      </c>
      <c r="S1765" s="21"/>
      <c r="Z1765" s="8"/>
      <c r="AA1765">
        <v>1</v>
      </c>
      <c r="AB1765">
        <f t="shared" si="288"/>
        <v>0</v>
      </c>
      <c r="AC1765">
        <v>1</v>
      </c>
      <c r="AF1765">
        <v>1</v>
      </c>
      <c r="AG1765" s="8"/>
      <c r="AH1765" s="8"/>
      <c r="AK1765" cm="1">
        <f t="array" ref="AK1765">_xlfn.IFS(B1765="","",LEFT(G1765,1)="L",1,LEFT(G1765,1)="W",1,AND(LEFT(B1765,1)="H",G1765=""),0)</f>
        <v>1</v>
      </c>
      <c r="AS1765" t="str">
        <f t="shared" si="289"/>
        <v/>
      </c>
      <c r="AT1765" t="s">
        <v>115</v>
      </c>
      <c r="AU1765" t="str">
        <f t="shared" si="290"/>
        <v>0</v>
      </c>
      <c r="BD1765" t="str">
        <f t="shared" si="291"/>
        <v>0</v>
      </c>
      <c r="BK1765" t="str">
        <f>IFERROR(VLOOKUP(B1765,'[1]model_S-フレーム'!$F$5:$R$7000,13,1),"")</f>
        <v>E369082_01</v>
      </c>
      <c r="BL1765" s="7">
        <f>IFERROR(VLOOKUP(B1765,'[1]model_S-フレーム'!$F$5:$V$7000,17,1),"")</f>
        <v>0</v>
      </c>
      <c r="BM1765" t="str" cm="1">
        <f t="array" ref="BM1765">_xlfn.IFS(LEFT(G1765,1)="L","外注品",LEFT(G1765,1)="W","内製品",G1765="","購買品")</f>
        <v>内製品</v>
      </c>
    </row>
    <row r="1766" spans="1:65">
      <c r="A1766" t="str">
        <f t="shared" si="283"/>
        <v>WG01</v>
      </c>
      <c r="B1766" t="s">
        <v>1833</v>
      </c>
      <c r="C1766" t="s">
        <v>1932</v>
      </c>
      <c r="D1766" s="7"/>
      <c r="E1766" s="7"/>
      <c r="G1766" t="s">
        <v>1939</v>
      </c>
      <c r="H1766" t="str" cm="1">
        <f t="array" ref="H1766">IFERROR(_xlfn.IFS(B1766="","",AND(B1766="",G1766=""),"",G1766="","記載要"),"")</f>
        <v/>
      </c>
      <c r="K1766" t="str">
        <f t="shared" si="284"/>
        <v>11WP01074047</v>
      </c>
      <c r="L1766" s="3" t="str">
        <f t="shared" si="285"/>
        <v>2001/01/01</v>
      </c>
      <c r="M1766" s="3" t="str">
        <f t="shared" si="286"/>
        <v>2199/12/31</v>
      </c>
      <c r="N1766" t="str">
        <f t="shared" si="287"/>
        <v>11WP01074047</v>
      </c>
      <c r="O1766">
        <v>15</v>
      </c>
      <c r="Q1766" t="str" cm="1">
        <f t="array" ref="Q1766">_xlfn.IFS(AND(C1766="",G1766=""),"",LEFT(G1766,1)="L","記載要",LEFT(G1766,1)="W","",AND(C1766,G1766=""),"記載要")</f>
        <v/>
      </c>
      <c r="R1766" s="21" t="str">
        <f t="shared" si="292"/>
        <v/>
      </c>
      <c r="S1766" s="21"/>
      <c r="Z1766" s="8"/>
      <c r="AA1766">
        <v>1</v>
      </c>
      <c r="AB1766">
        <f t="shared" si="288"/>
        <v>0</v>
      </c>
      <c r="AC1766">
        <v>1</v>
      </c>
      <c r="AF1766">
        <v>1</v>
      </c>
      <c r="AG1766" s="8"/>
      <c r="AH1766" s="8"/>
      <c r="AK1766" cm="1">
        <f t="array" ref="AK1766">_xlfn.IFS(B1766="","",LEFT(G1766,1)="L",1,LEFT(G1766,1)="W",1,AND(LEFT(B1766,1)="H",G1766=""),0)</f>
        <v>1</v>
      </c>
      <c r="AS1766" t="str">
        <f t="shared" si="289"/>
        <v/>
      </c>
      <c r="AT1766" t="s">
        <v>115</v>
      </c>
      <c r="AU1766" t="str">
        <f t="shared" si="290"/>
        <v>0</v>
      </c>
      <c r="BD1766" t="str">
        <f t="shared" si="291"/>
        <v>0</v>
      </c>
      <c r="BK1766" t="str">
        <f>IFERROR(VLOOKUP(B1766,'[1]model_S-フレーム'!$F$5:$R$7000,13,1),"")</f>
        <v>E369082_01</v>
      </c>
      <c r="BL1766" s="7">
        <f>IFERROR(VLOOKUP(B1766,'[1]model_S-フレーム'!$F$5:$V$7000,17,1),"")</f>
        <v>0</v>
      </c>
      <c r="BM1766" t="str" cm="1">
        <f t="array" ref="BM1766">_xlfn.IFS(LEFT(G1766,1)="L","外注品",LEFT(G1766,1)="W","内製品",G1766="","購買品")</f>
        <v>内製品</v>
      </c>
    </row>
    <row r="1767" spans="1:65">
      <c r="A1767" t="str">
        <f t="shared" si="283"/>
        <v>WG01</v>
      </c>
      <c r="B1767" t="s">
        <v>1834</v>
      </c>
      <c r="C1767" t="s">
        <v>1932</v>
      </c>
      <c r="D1767" s="7"/>
      <c r="E1767" s="7"/>
      <c r="G1767" t="s">
        <v>1939</v>
      </c>
      <c r="H1767" t="str" cm="1">
        <f t="array" ref="H1767">IFERROR(_xlfn.IFS(B1767="","",AND(B1767="",G1767=""),"",G1767="","記載要"),"")</f>
        <v/>
      </c>
      <c r="K1767" t="str">
        <f t="shared" si="284"/>
        <v>11WP01074048</v>
      </c>
      <c r="L1767" s="3" t="str">
        <f t="shared" si="285"/>
        <v>2001/01/01</v>
      </c>
      <c r="M1767" s="3" t="str">
        <f t="shared" si="286"/>
        <v>2199/12/31</v>
      </c>
      <c r="N1767" t="str">
        <f t="shared" si="287"/>
        <v>11WP01074048</v>
      </c>
      <c r="O1767">
        <v>15</v>
      </c>
      <c r="Q1767" t="str" cm="1">
        <f t="array" ref="Q1767">_xlfn.IFS(AND(C1767="",G1767=""),"",LEFT(G1767,1)="L","記載要",LEFT(G1767,1)="W","",AND(C1767,G1767=""),"記載要")</f>
        <v/>
      </c>
      <c r="R1767" s="21" t="str">
        <f t="shared" si="292"/>
        <v/>
      </c>
      <c r="S1767" s="21"/>
      <c r="Z1767" s="8"/>
      <c r="AA1767">
        <v>1</v>
      </c>
      <c r="AB1767">
        <f t="shared" si="288"/>
        <v>0</v>
      </c>
      <c r="AC1767">
        <v>1</v>
      </c>
      <c r="AF1767">
        <v>1</v>
      </c>
      <c r="AG1767" s="8"/>
      <c r="AH1767" s="8"/>
      <c r="AK1767" cm="1">
        <f t="array" ref="AK1767">_xlfn.IFS(B1767="","",LEFT(G1767,1)="L",1,LEFT(G1767,1)="W",1,AND(LEFT(B1767,1)="H",G1767=""),0)</f>
        <v>1</v>
      </c>
      <c r="AS1767" t="str">
        <f t="shared" si="289"/>
        <v/>
      </c>
      <c r="AT1767" t="s">
        <v>115</v>
      </c>
      <c r="AU1767" t="str">
        <f t="shared" si="290"/>
        <v>0</v>
      </c>
      <c r="BD1767" t="str">
        <f t="shared" si="291"/>
        <v>0</v>
      </c>
      <c r="BK1767" t="str">
        <f>IFERROR(VLOOKUP(B1767,'[1]model_S-フレーム'!$F$5:$R$7000,13,1),"")</f>
        <v>E369082_01</v>
      </c>
      <c r="BL1767" s="7">
        <f>IFERROR(VLOOKUP(B1767,'[1]model_S-フレーム'!$F$5:$V$7000,17,1),"")</f>
        <v>0</v>
      </c>
      <c r="BM1767" t="str" cm="1">
        <f t="array" ref="BM1767">_xlfn.IFS(LEFT(G1767,1)="L","外注品",LEFT(G1767,1)="W","内製品",G1767="","購買品")</f>
        <v>内製品</v>
      </c>
    </row>
    <row r="1768" spans="1:65">
      <c r="A1768" t="str">
        <f t="shared" si="283"/>
        <v>WG01</v>
      </c>
      <c r="B1768" t="s">
        <v>1835</v>
      </c>
      <c r="C1768" t="s">
        <v>1932</v>
      </c>
      <c r="D1768" s="7"/>
      <c r="E1768" s="7"/>
      <c r="G1768" t="s">
        <v>1939</v>
      </c>
      <c r="H1768" t="str" cm="1">
        <f t="array" ref="H1768">IFERROR(_xlfn.IFS(B1768="","",AND(B1768="",G1768=""),"",G1768="","記載要"),"")</f>
        <v/>
      </c>
      <c r="K1768" t="str">
        <f t="shared" si="284"/>
        <v>11WP01074049</v>
      </c>
      <c r="L1768" s="3" t="str">
        <f t="shared" si="285"/>
        <v>2001/01/01</v>
      </c>
      <c r="M1768" s="3" t="str">
        <f t="shared" si="286"/>
        <v>2199/12/31</v>
      </c>
      <c r="N1768" t="str">
        <f t="shared" si="287"/>
        <v>11WP01074049</v>
      </c>
      <c r="O1768">
        <v>15</v>
      </c>
      <c r="Q1768" t="str" cm="1">
        <f t="array" ref="Q1768">_xlfn.IFS(AND(C1768="",G1768=""),"",LEFT(G1768,1)="L","記載要",LEFT(G1768,1)="W","",AND(C1768,G1768=""),"記載要")</f>
        <v/>
      </c>
      <c r="R1768" s="21" t="str">
        <f t="shared" si="292"/>
        <v/>
      </c>
      <c r="S1768" s="21"/>
      <c r="Z1768" s="8"/>
      <c r="AA1768">
        <v>1</v>
      </c>
      <c r="AB1768">
        <f t="shared" si="288"/>
        <v>0</v>
      </c>
      <c r="AC1768">
        <v>1</v>
      </c>
      <c r="AF1768">
        <v>1</v>
      </c>
      <c r="AG1768" s="8"/>
      <c r="AH1768" s="8"/>
      <c r="AK1768" cm="1">
        <f t="array" ref="AK1768">_xlfn.IFS(B1768="","",LEFT(G1768,1)="L",1,LEFT(G1768,1)="W",1,AND(LEFT(B1768,1)="H",G1768=""),0)</f>
        <v>1</v>
      </c>
      <c r="AS1768" t="str">
        <f t="shared" si="289"/>
        <v/>
      </c>
      <c r="AT1768" t="s">
        <v>115</v>
      </c>
      <c r="AU1768" t="str">
        <f t="shared" si="290"/>
        <v>0</v>
      </c>
      <c r="BD1768" t="str">
        <f t="shared" si="291"/>
        <v>0</v>
      </c>
      <c r="BK1768" t="str">
        <f>IFERROR(VLOOKUP(B1768,'[1]model_S-フレーム'!$F$5:$R$7000,13,1),"")</f>
        <v>E369082_01</v>
      </c>
      <c r="BL1768" s="7">
        <f>IFERROR(VLOOKUP(B1768,'[1]model_S-フレーム'!$F$5:$V$7000,17,1),"")</f>
        <v>0</v>
      </c>
      <c r="BM1768" t="str" cm="1">
        <f t="array" ref="BM1768">_xlfn.IFS(LEFT(G1768,1)="L","外注品",LEFT(G1768,1)="W","内製品",G1768="","購買品")</f>
        <v>内製品</v>
      </c>
    </row>
    <row r="1769" spans="1:65">
      <c r="A1769" t="str">
        <f t="shared" si="283"/>
        <v>WG01</v>
      </c>
      <c r="B1769" t="s">
        <v>1836</v>
      </c>
      <c r="C1769" t="s">
        <v>1932</v>
      </c>
      <c r="D1769" s="7"/>
      <c r="E1769" s="7"/>
      <c r="G1769" t="s">
        <v>1939</v>
      </c>
      <c r="H1769" t="str" cm="1">
        <f t="array" ref="H1769">IFERROR(_xlfn.IFS(B1769="","",AND(B1769="",G1769=""),"",G1769="","記載要"),"")</f>
        <v/>
      </c>
      <c r="K1769" t="str">
        <f t="shared" si="284"/>
        <v>11WP01074050</v>
      </c>
      <c r="L1769" s="3" t="str">
        <f t="shared" si="285"/>
        <v>2001/01/01</v>
      </c>
      <c r="M1769" s="3" t="str">
        <f t="shared" si="286"/>
        <v>2199/12/31</v>
      </c>
      <c r="N1769" t="str">
        <f t="shared" si="287"/>
        <v>11WP01074050</v>
      </c>
      <c r="O1769">
        <v>15</v>
      </c>
      <c r="Q1769" t="str" cm="1">
        <f t="array" ref="Q1769">_xlfn.IFS(AND(C1769="",G1769=""),"",LEFT(G1769,1)="L","記載要",LEFT(G1769,1)="W","",AND(C1769,G1769=""),"記載要")</f>
        <v/>
      </c>
      <c r="R1769" s="21" t="str">
        <f t="shared" si="292"/>
        <v/>
      </c>
      <c r="S1769" s="21"/>
      <c r="Z1769" s="8"/>
      <c r="AA1769">
        <v>1</v>
      </c>
      <c r="AB1769">
        <f t="shared" si="288"/>
        <v>0</v>
      </c>
      <c r="AC1769">
        <v>1</v>
      </c>
      <c r="AF1769">
        <v>1</v>
      </c>
      <c r="AG1769" s="8"/>
      <c r="AH1769" s="8"/>
      <c r="AK1769" cm="1">
        <f t="array" ref="AK1769">_xlfn.IFS(B1769="","",LEFT(G1769,1)="L",1,LEFT(G1769,1)="W",1,AND(LEFT(B1769,1)="H",G1769=""),0)</f>
        <v>1</v>
      </c>
      <c r="AS1769" t="str">
        <f t="shared" si="289"/>
        <v/>
      </c>
      <c r="AT1769" t="s">
        <v>115</v>
      </c>
      <c r="AU1769" t="str">
        <f t="shared" si="290"/>
        <v>0</v>
      </c>
      <c r="BD1769" t="str">
        <f t="shared" si="291"/>
        <v>0</v>
      </c>
      <c r="BK1769" t="str">
        <f>IFERROR(VLOOKUP(B1769,'[1]model_S-フレーム'!$F$5:$R$7000,13,1),"")</f>
        <v>E369082_01</v>
      </c>
      <c r="BL1769" s="7">
        <f>IFERROR(VLOOKUP(B1769,'[1]model_S-フレーム'!$F$5:$V$7000,17,1),"")</f>
        <v>0</v>
      </c>
      <c r="BM1769" t="str" cm="1">
        <f t="array" ref="BM1769">_xlfn.IFS(LEFT(G1769,1)="L","外注品",LEFT(G1769,1)="W","内製品",G1769="","購買品")</f>
        <v>内製品</v>
      </c>
    </row>
    <row r="1770" spans="1:65">
      <c r="A1770" t="str">
        <f t="shared" si="283"/>
        <v>WG01</v>
      </c>
      <c r="B1770" t="s">
        <v>1837</v>
      </c>
      <c r="C1770" t="s">
        <v>1932</v>
      </c>
      <c r="D1770" s="7"/>
      <c r="E1770" s="7"/>
      <c r="G1770" t="s">
        <v>1939</v>
      </c>
      <c r="H1770" t="str" cm="1">
        <f t="array" ref="H1770">IFERROR(_xlfn.IFS(B1770="","",AND(B1770="",G1770=""),"",G1770="","記載要"),"")</f>
        <v/>
      </c>
      <c r="K1770" t="str">
        <f t="shared" si="284"/>
        <v>11WP01074051</v>
      </c>
      <c r="L1770" s="3" t="str">
        <f t="shared" si="285"/>
        <v>2001/01/01</v>
      </c>
      <c r="M1770" s="3" t="str">
        <f t="shared" si="286"/>
        <v>2199/12/31</v>
      </c>
      <c r="N1770" t="str">
        <f t="shared" si="287"/>
        <v>11WP01074051</v>
      </c>
      <c r="O1770">
        <v>15</v>
      </c>
      <c r="Q1770" t="str" cm="1">
        <f t="array" ref="Q1770">_xlfn.IFS(AND(C1770="",G1770=""),"",LEFT(G1770,1)="L","記載要",LEFT(G1770,1)="W","",AND(C1770,G1770=""),"記載要")</f>
        <v/>
      </c>
      <c r="R1770" s="21" t="str">
        <f t="shared" si="292"/>
        <v/>
      </c>
      <c r="S1770" s="21"/>
      <c r="Z1770" s="8"/>
      <c r="AA1770">
        <v>1</v>
      </c>
      <c r="AB1770">
        <f t="shared" si="288"/>
        <v>0</v>
      </c>
      <c r="AC1770">
        <v>1</v>
      </c>
      <c r="AF1770">
        <v>1</v>
      </c>
      <c r="AG1770" s="8"/>
      <c r="AH1770" s="8"/>
      <c r="AK1770" cm="1">
        <f t="array" ref="AK1770">_xlfn.IFS(B1770="","",LEFT(G1770,1)="L",1,LEFT(G1770,1)="W",1,AND(LEFT(B1770,1)="H",G1770=""),0)</f>
        <v>1</v>
      </c>
      <c r="AS1770" t="str">
        <f t="shared" si="289"/>
        <v/>
      </c>
      <c r="AT1770" t="s">
        <v>115</v>
      </c>
      <c r="AU1770" t="str">
        <f t="shared" si="290"/>
        <v>0</v>
      </c>
      <c r="BD1770" t="str">
        <f t="shared" si="291"/>
        <v>0</v>
      </c>
      <c r="BK1770" t="str">
        <f>IFERROR(VLOOKUP(B1770,'[1]model_S-フレーム'!$F$5:$R$7000,13,1),"")</f>
        <v>E369082_01</v>
      </c>
      <c r="BL1770" s="7">
        <f>IFERROR(VLOOKUP(B1770,'[1]model_S-フレーム'!$F$5:$V$7000,17,1),"")</f>
        <v>0</v>
      </c>
      <c r="BM1770" t="str" cm="1">
        <f t="array" ref="BM1770">_xlfn.IFS(LEFT(G1770,1)="L","外注品",LEFT(G1770,1)="W","内製品",G1770="","購買品")</f>
        <v>内製品</v>
      </c>
    </row>
    <row r="1771" spans="1:65">
      <c r="A1771" t="str">
        <f t="shared" si="283"/>
        <v>WG01</v>
      </c>
      <c r="B1771" t="s">
        <v>1838</v>
      </c>
      <c r="C1771" t="s">
        <v>1932</v>
      </c>
      <c r="D1771" s="7"/>
      <c r="E1771" s="7"/>
      <c r="G1771" t="s">
        <v>1939</v>
      </c>
      <c r="H1771" t="str" cm="1">
        <f t="array" ref="H1771">IFERROR(_xlfn.IFS(B1771="","",AND(B1771="",G1771=""),"",G1771="","記載要"),"")</f>
        <v/>
      </c>
      <c r="K1771" t="str">
        <f t="shared" si="284"/>
        <v>11WP01074052</v>
      </c>
      <c r="L1771" s="3" t="str">
        <f t="shared" si="285"/>
        <v>2001/01/01</v>
      </c>
      <c r="M1771" s="3" t="str">
        <f t="shared" si="286"/>
        <v>2199/12/31</v>
      </c>
      <c r="N1771" t="str">
        <f t="shared" si="287"/>
        <v>11WP01074052</v>
      </c>
      <c r="O1771">
        <v>15</v>
      </c>
      <c r="Q1771" t="str" cm="1">
        <f t="array" ref="Q1771">_xlfn.IFS(AND(C1771="",G1771=""),"",LEFT(G1771,1)="L","記載要",LEFT(G1771,1)="W","",AND(C1771,G1771=""),"記載要")</f>
        <v/>
      </c>
      <c r="R1771" s="21" t="str">
        <f t="shared" si="292"/>
        <v/>
      </c>
      <c r="S1771" s="21"/>
      <c r="Z1771" s="8"/>
      <c r="AA1771">
        <v>1</v>
      </c>
      <c r="AB1771">
        <f t="shared" si="288"/>
        <v>0</v>
      </c>
      <c r="AC1771">
        <v>1</v>
      </c>
      <c r="AF1771">
        <v>1</v>
      </c>
      <c r="AG1771" s="8"/>
      <c r="AH1771" s="8"/>
      <c r="AK1771" cm="1">
        <f t="array" ref="AK1771">_xlfn.IFS(B1771="","",LEFT(G1771,1)="L",1,LEFT(G1771,1)="W",1,AND(LEFT(B1771,1)="H",G1771=""),0)</f>
        <v>1</v>
      </c>
      <c r="AS1771" t="str">
        <f t="shared" si="289"/>
        <v/>
      </c>
      <c r="AT1771" t="s">
        <v>115</v>
      </c>
      <c r="AU1771" t="str">
        <f t="shared" si="290"/>
        <v>0</v>
      </c>
      <c r="BD1771" t="str">
        <f t="shared" si="291"/>
        <v>0</v>
      </c>
      <c r="BK1771" t="str">
        <f>IFERROR(VLOOKUP(B1771,'[1]model_S-フレーム'!$F$5:$R$7000,13,1),"")</f>
        <v>E369082_01</v>
      </c>
      <c r="BL1771" s="7">
        <f>IFERROR(VLOOKUP(B1771,'[1]model_S-フレーム'!$F$5:$V$7000,17,1),"")</f>
        <v>0</v>
      </c>
      <c r="BM1771" t="str" cm="1">
        <f t="array" ref="BM1771">_xlfn.IFS(LEFT(G1771,1)="L","外注品",LEFT(G1771,1)="W","内製品",G1771="","購買品")</f>
        <v>内製品</v>
      </c>
    </row>
    <row r="1772" spans="1:65">
      <c r="A1772" t="str">
        <f t="shared" si="283"/>
        <v>WG01</v>
      </c>
      <c r="B1772" t="s">
        <v>1839</v>
      </c>
      <c r="C1772" t="s">
        <v>1932</v>
      </c>
      <c r="D1772" s="7"/>
      <c r="E1772" s="7"/>
      <c r="G1772" t="s">
        <v>1939</v>
      </c>
      <c r="H1772" t="str" cm="1">
        <f t="array" ref="H1772">IFERROR(_xlfn.IFS(B1772="","",AND(B1772="",G1772=""),"",G1772="","記載要"),"")</f>
        <v/>
      </c>
      <c r="K1772" t="str">
        <f t="shared" si="284"/>
        <v>11WP01074053</v>
      </c>
      <c r="L1772" s="3" t="str">
        <f t="shared" si="285"/>
        <v>2001/01/01</v>
      </c>
      <c r="M1772" s="3" t="str">
        <f t="shared" si="286"/>
        <v>2199/12/31</v>
      </c>
      <c r="N1772" t="str">
        <f t="shared" si="287"/>
        <v>11WP01074053</v>
      </c>
      <c r="O1772">
        <v>15</v>
      </c>
      <c r="Q1772" t="str" cm="1">
        <f t="array" ref="Q1772">_xlfn.IFS(AND(C1772="",G1772=""),"",LEFT(G1772,1)="L","記載要",LEFT(G1772,1)="W","",AND(C1772,G1772=""),"記載要")</f>
        <v/>
      </c>
      <c r="R1772" s="21" t="str">
        <f t="shared" si="292"/>
        <v/>
      </c>
      <c r="S1772" s="21"/>
      <c r="Z1772" s="8"/>
      <c r="AA1772">
        <v>1</v>
      </c>
      <c r="AB1772">
        <f t="shared" si="288"/>
        <v>0</v>
      </c>
      <c r="AC1772">
        <v>1</v>
      </c>
      <c r="AF1772">
        <v>1</v>
      </c>
      <c r="AG1772" s="8"/>
      <c r="AH1772" s="8"/>
      <c r="AK1772" cm="1">
        <f t="array" ref="AK1772">_xlfn.IFS(B1772="","",LEFT(G1772,1)="L",1,LEFT(G1772,1)="W",1,AND(LEFT(B1772,1)="H",G1772=""),0)</f>
        <v>1</v>
      </c>
      <c r="AS1772" t="str">
        <f t="shared" si="289"/>
        <v/>
      </c>
      <c r="AT1772" t="s">
        <v>115</v>
      </c>
      <c r="AU1772" t="str">
        <f t="shared" si="290"/>
        <v>0</v>
      </c>
      <c r="BD1772" t="str">
        <f t="shared" si="291"/>
        <v>0</v>
      </c>
      <c r="BK1772" t="str">
        <f>IFERROR(VLOOKUP(B1772,'[1]model_S-フレーム'!$F$5:$R$7000,13,1),"")</f>
        <v>E369082_01</v>
      </c>
      <c r="BL1772" s="7">
        <f>IFERROR(VLOOKUP(B1772,'[1]model_S-フレーム'!$F$5:$V$7000,17,1),"")</f>
        <v>0</v>
      </c>
      <c r="BM1772" t="str" cm="1">
        <f t="array" ref="BM1772">_xlfn.IFS(LEFT(G1772,1)="L","外注品",LEFT(G1772,1)="W","内製品",G1772="","購買品")</f>
        <v>内製品</v>
      </c>
    </row>
    <row r="1773" spans="1:65">
      <c r="A1773" t="str">
        <f t="shared" si="283"/>
        <v>WG01</v>
      </c>
      <c r="B1773" t="s">
        <v>1840</v>
      </c>
      <c r="C1773" t="s">
        <v>1932</v>
      </c>
      <c r="D1773" s="7"/>
      <c r="E1773" s="7"/>
      <c r="G1773" t="s">
        <v>1939</v>
      </c>
      <c r="H1773" t="str" cm="1">
        <f t="array" ref="H1773">IFERROR(_xlfn.IFS(B1773="","",AND(B1773="",G1773=""),"",G1773="","記載要"),"")</f>
        <v/>
      </c>
      <c r="K1773" t="str">
        <f t="shared" si="284"/>
        <v>11WP01074054</v>
      </c>
      <c r="L1773" s="3" t="str">
        <f t="shared" si="285"/>
        <v>2001/01/01</v>
      </c>
      <c r="M1773" s="3" t="str">
        <f t="shared" si="286"/>
        <v>2199/12/31</v>
      </c>
      <c r="N1773" t="str">
        <f t="shared" si="287"/>
        <v>11WP01074054</v>
      </c>
      <c r="O1773">
        <v>15</v>
      </c>
      <c r="Q1773" t="str" cm="1">
        <f t="array" ref="Q1773">_xlfn.IFS(AND(C1773="",G1773=""),"",LEFT(G1773,1)="L","記載要",LEFT(G1773,1)="W","",AND(C1773,G1773=""),"記載要")</f>
        <v/>
      </c>
      <c r="R1773" s="21" t="str">
        <f t="shared" si="292"/>
        <v/>
      </c>
      <c r="S1773" s="21"/>
      <c r="Z1773" s="8"/>
      <c r="AA1773">
        <v>1</v>
      </c>
      <c r="AB1773">
        <f t="shared" si="288"/>
        <v>0</v>
      </c>
      <c r="AC1773">
        <v>1</v>
      </c>
      <c r="AF1773">
        <v>1</v>
      </c>
      <c r="AG1773" s="8"/>
      <c r="AH1773" s="8"/>
      <c r="AK1773" cm="1">
        <f t="array" ref="AK1773">_xlfn.IFS(B1773="","",LEFT(G1773,1)="L",1,LEFT(G1773,1)="W",1,AND(LEFT(B1773,1)="H",G1773=""),0)</f>
        <v>1</v>
      </c>
      <c r="AS1773" t="str">
        <f t="shared" si="289"/>
        <v/>
      </c>
      <c r="AT1773" t="s">
        <v>115</v>
      </c>
      <c r="AU1773" t="str">
        <f t="shared" si="290"/>
        <v>0</v>
      </c>
      <c r="BD1773" t="str">
        <f t="shared" si="291"/>
        <v>0</v>
      </c>
      <c r="BK1773" t="str">
        <f>IFERROR(VLOOKUP(B1773,'[1]model_S-フレーム'!$F$5:$R$7000,13,1),"")</f>
        <v>E369082_01</v>
      </c>
      <c r="BL1773" s="7">
        <f>IFERROR(VLOOKUP(B1773,'[1]model_S-フレーム'!$F$5:$V$7000,17,1),"")</f>
        <v>0</v>
      </c>
      <c r="BM1773" t="str" cm="1">
        <f t="array" ref="BM1773">_xlfn.IFS(LEFT(G1773,1)="L","外注品",LEFT(G1773,1)="W","内製品",G1773="","購買品")</f>
        <v>内製品</v>
      </c>
    </row>
    <row r="1774" spans="1:65">
      <c r="A1774" t="str">
        <f t="shared" si="283"/>
        <v>WG01</v>
      </c>
      <c r="B1774" t="s">
        <v>1841</v>
      </c>
      <c r="C1774" t="s">
        <v>1932</v>
      </c>
      <c r="D1774" s="7"/>
      <c r="E1774" s="7"/>
      <c r="G1774" t="s">
        <v>1939</v>
      </c>
      <c r="H1774" t="str" cm="1">
        <f t="array" ref="H1774">IFERROR(_xlfn.IFS(B1774="","",AND(B1774="",G1774=""),"",G1774="","記載要"),"")</f>
        <v/>
      </c>
      <c r="K1774" t="str">
        <f t="shared" si="284"/>
        <v>11WP01074055</v>
      </c>
      <c r="L1774" s="3" t="str">
        <f t="shared" si="285"/>
        <v>2001/01/01</v>
      </c>
      <c r="M1774" s="3" t="str">
        <f t="shared" si="286"/>
        <v>2199/12/31</v>
      </c>
      <c r="N1774" t="str">
        <f t="shared" si="287"/>
        <v>11WP01074055</v>
      </c>
      <c r="O1774">
        <v>15</v>
      </c>
      <c r="Q1774" t="str" cm="1">
        <f t="array" ref="Q1774">_xlfn.IFS(AND(C1774="",G1774=""),"",LEFT(G1774,1)="L","記載要",LEFT(G1774,1)="W","",AND(C1774,G1774=""),"記載要")</f>
        <v/>
      </c>
      <c r="R1774" s="21" t="str">
        <f t="shared" si="292"/>
        <v/>
      </c>
      <c r="S1774" s="21"/>
      <c r="Z1774" s="8"/>
      <c r="AA1774">
        <v>1</v>
      </c>
      <c r="AB1774">
        <f t="shared" si="288"/>
        <v>0</v>
      </c>
      <c r="AC1774">
        <v>1</v>
      </c>
      <c r="AF1774">
        <v>1</v>
      </c>
      <c r="AG1774" s="8"/>
      <c r="AH1774" s="8"/>
      <c r="AK1774" cm="1">
        <f t="array" ref="AK1774">_xlfn.IFS(B1774="","",LEFT(G1774,1)="L",1,LEFT(G1774,1)="W",1,AND(LEFT(B1774,1)="H",G1774=""),0)</f>
        <v>1</v>
      </c>
      <c r="AS1774" t="str">
        <f t="shared" si="289"/>
        <v/>
      </c>
      <c r="AT1774" t="s">
        <v>115</v>
      </c>
      <c r="AU1774" t="str">
        <f t="shared" si="290"/>
        <v>0</v>
      </c>
      <c r="BD1774" t="str">
        <f t="shared" si="291"/>
        <v>0</v>
      </c>
      <c r="BK1774" t="str">
        <f>IFERROR(VLOOKUP(B1774,'[1]model_S-フレーム'!$F$5:$R$7000,13,1),"")</f>
        <v>E369082_01</v>
      </c>
      <c r="BL1774" s="7">
        <f>IFERROR(VLOOKUP(B1774,'[1]model_S-フレーム'!$F$5:$V$7000,17,1),"")</f>
        <v>0</v>
      </c>
      <c r="BM1774" t="str" cm="1">
        <f t="array" ref="BM1774">_xlfn.IFS(LEFT(G1774,1)="L","外注品",LEFT(G1774,1)="W","内製品",G1774="","購買品")</f>
        <v>内製品</v>
      </c>
    </row>
    <row r="1775" spans="1:65">
      <c r="A1775" t="str">
        <f t="shared" si="283"/>
        <v>WG01</v>
      </c>
      <c r="B1775" t="s">
        <v>1842</v>
      </c>
      <c r="C1775" t="s">
        <v>1932</v>
      </c>
      <c r="D1775" s="7"/>
      <c r="E1775" s="7"/>
      <c r="G1775" t="s">
        <v>1939</v>
      </c>
      <c r="H1775" t="str" cm="1">
        <f t="array" ref="H1775">IFERROR(_xlfn.IFS(B1775="","",AND(B1775="",G1775=""),"",G1775="","記載要"),"")</f>
        <v/>
      </c>
      <c r="K1775" t="str">
        <f t="shared" si="284"/>
        <v>11WP01074056</v>
      </c>
      <c r="L1775" s="3" t="str">
        <f t="shared" si="285"/>
        <v>2001/01/01</v>
      </c>
      <c r="M1775" s="3" t="str">
        <f t="shared" si="286"/>
        <v>2199/12/31</v>
      </c>
      <c r="N1775" t="str">
        <f t="shared" si="287"/>
        <v>11WP01074056</v>
      </c>
      <c r="O1775">
        <v>15</v>
      </c>
      <c r="Q1775" t="str" cm="1">
        <f t="array" ref="Q1775">_xlfn.IFS(AND(C1775="",G1775=""),"",LEFT(G1775,1)="L","記載要",LEFT(G1775,1)="W","",AND(C1775,G1775=""),"記載要")</f>
        <v/>
      </c>
      <c r="R1775" s="21" t="str">
        <f t="shared" si="292"/>
        <v/>
      </c>
      <c r="S1775" s="21"/>
      <c r="Z1775" s="8"/>
      <c r="AA1775">
        <v>1</v>
      </c>
      <c r="AB1775">
        <f t="shared" si="288"/>
        <v>0</v>
      </c>
      <c r="AC1775">
        <v>1</v>
      </c>
      <c r="AF1775">
        <v>1</v>
      </c>
      <c r="AG1775" s="8"/>
      <c r="AH1775" s="8"/>
      <c r="AK1775" cm="1">
        <f t="array" ref="AK1775">_xlfn.IFS(B1775="","",LEFT(G1775,1)="L",1,LEFT(G1775,1)="W",1,AND(LEFT(B1775,1)="H",G1775=""),0)</f>
        <v>1</v>
      </c>
      <c r="AS1775" t="str">
        <f t="shared" si="289"/>
        <v/>
      </c>
      <c r="AT1775" t="s">
        <v>115</v>
      </c>
      <c r="AU1775" t="str">
        <f t="shared" si="290"/>
        <v>0</v>
      </c>
      <c r="BD1775" t="str">
        <f t="shared" si="291"/>
        <v>0</v>
      </c>
      <c r="BK1775" t="str">
        <f>IFERROR(VLOOKUP(B1775,'[1]model_S-フレーム'!$F$5:$R$7000,13,1),"")</f>
        <v>E369082_01</v>
      </c>
      <c r="BL1775" s="7">
        <f>IFERROR(VLOOKUP(B1775,'[1]model_S-フレーム'!$F$5:$V$7000,17,1),"")</f>
        <v>0</v>
      </c>
      <c r="BM1775" t="str" cm="1">
        <f t="array" ref="BM1775">_xlfn.IFS(LEFT(G1775,1)="L","外注品",LEFT(G1775,1)="W","内製品",G1775="","購買品")</f>
        <v>内製品</v>
      </c>
    </row>
    <row r="1776" spans="1:65">
      <c r="A1776" t="str">
        <f t="shared" si="283"/>
        <v>WG01</v>
      </c>
      <c r="B1776" t="s">
        <v>1843</v>
      </c>
      <c r="C1776" t="s">
        <v>1932</v>
      </c>
      <c r="D1776" s="7"/>
      <c r="E1776" s="7"/>
      <c r="G1776" t="s">
        <v>1939</v>
      </c>
      <c r="H1776" t="str" cm="1">
        <f t="array" ref="H1776">IFERROR(_xlfn.IFS(B1776="","",AND(B1776="",G1776=""),"",G1776="","記載要"),"")</f>
        <v/>
      </c>
      <c r="K1776" t="str">
        <f t="shared" si="284"/>
        <v>11WP01074057</v>
      </c>
      <c r="L1776" s="3" t="str">
        <f t="shared" si="285"/>
        <v>2001/01/01</v>
      </c>
      <c r="M1776" s="3" t="str">
        <f t="shared" si="286"/>
        <v>2199/12/31</v>
      </c>
      <c r="N1776" t="str">
        <f t="shared" si="287"/>
        <v>11WP01074057</v>
      </c>
      <c r="O1776">
        <v>15</v>
      </c>
      <c r="Q1776" t="str" cm="1">
        <f t="array" ref="Q1776">_xlfn.IFS(AND(C1776="",G1776=""),"",LEFT(G1776,1)="L","記載要",LEFT(G1776,1)="W","",AND(C1776,G1776=""),"記載要")</f>
        <v/>
      </c>
      <c r="R1776" s="21" t="str">
        <f t="shared" si="292"/>
        <v/>
      </c>
      <c r="S1776" s="21"/>
      <c r="Z1776" s="8"/>
      <c r="AA1776">
        <v>1</v>
      </c>
      <c r="AB1776">
        <f t="shared" si="288"/>
        <v>0</v>
      </c>
      <c r="AC1776">
        <v>1</v>
      </c>
      <c r="AF1776">
        <v>1</v>
      </c>
      <c r="AG1776" s="8"/>
      <c r="AH1776" s="8"/>
      <c r="AK1776" cm="1">
        <f t="array" ref="AK1776">_xlfn.IFS(B1776="","",LEFT(G1776,1)="L",1,LEFT(G1776,1)="W",1,AND(LEFT(B1776,1)="H",G1776=""),0)</f>
        <v>1</v>
      </c>
      <c r="AS1776" t="str">
        <f t="shared" si="289"/>
        <v/>
      </c>
      <c r="AT1776" t="s">
        <v>115</v>
      </c>
      <c r="AU1776" t="str">
        <f t="shared" si="290"/>
        <v>0</v>
      </c>
      <c r="BD1776" t="str">
        <f t="shared" si="291"/>
        <v>0</v>
      </c>
      <c r="BK1776" t="str">
        <f>IFERROR(VLOOKUP(B1776,'[1]model_S-フレーム'!$F$5:$R$7000,13,1),"")</f>
        <v>E369082_01</v>
      </c>
      <c r="BL1776" s="7">
        <f>IFERROR(VLOOKUP(B1776,'[1]model_S-フレーム'!$F$5:$V$7000,17,1),"")</f>
        <v>0</v>
      </c>
      <c r="BM1776" t="str" cm="1">
        <f t="array" ref="BM1776">_xlfn.IFS(LEFT(G1776,1)="L","外注品",LEFT(G1776,1)="W","内製品",G1776="","購買品")</f>
        <v>内製品</v>
      </c>
    </row>
    <row r="1777" spans="1:65">
      <c r="A1777" t="str">
        <f t="shared" si="283"/>
        <v>WG01</v>
      </c>
      <c r="B1777" t="s">
        <v>1844</v>
      </c>
      <c r="C1777" t="s">
        <v>1932</v>
      </c>
      <c r="D1777" s="7"/>
      <c r="E1777" s="7"/>
      <c r="G1777" t="s">
        <v>1939</v>
      </c>
      <c r="H1777" t="str" cm="1">
        <f t="array" ref="H1777">IFERROR(_xlfn.IFS(B1777="","",AND(B1777="",G1777=""),"",G1777="","記載要"),"")</f>
        <v/>
      </c>
      <c r="K1777" t="str">
        <f t="shared" si="284"/>
        <v>11WP01074058</v>
      </c>
      <c r="L1777" s="3" t="str">
        <f t="shared" si="285"/>
        <v>2001/01/01</v>
      </c>
      <c r="M1777" s="3" t="str">
        <f t="shared" si="286"/>
        <v>2199/12/31</v>
      </c>
      <c r="N1777" t="str">
        <f t="shared" si="287"/>
        <v>11WP01074058</v>
      </c>
      <c r="O1777">
        <v>15</v>
      </c>
      <c r="Q1777" t="str" cm="1">
        <f t="array" ref="Q1777">_xlfn.IFS(AND(C1777="",G1777=""),"",LEFT(G1777,1)="L","記載要",LEFT(G1777,1)="W","",AND(C1777,G1777=""),"記載要")</f>
        <v/>
      </c>
      <c r="R1777" s="21" t="str">
        <f t="shared" si="292"/>
        <v/>
      </c>
      <c r="S1777" s="21"/>
      <c r="Z1777" s="8"/>
      <c r="AA1777">
        <v>1</v>
      </c>
      <c r="AB1777">
        <f t="shared" si="288"/>
        <v>0</v>
      </c>
      <c r="AC1777">
        <v>1</v>
      </c>
      <c r="AF1777">
        <v>1</v>
      </c>
      <c r="AG1777" s="8"/>
      <c r="AH1777" s="8"/>
      <c r="AK1777" cm="1">
        <f t="array" ref="AK1777">_xlfn.IFS(B1777="","",LEFT(G1777,1)="L",1,LEFT(G1777,1)="W",1,AND(LEFT(B1777,1)="H",G1777=""),0)</f>
        <v>1</v>
      </c>
      <c r="AS1777" t="str">
        <f t="shared" si="289"/>
        <v/>
      </c>
      <c r="AT1777" t="s">
        <v>115</v>
      </c>
      <c r="AU1777" t="str">
        <f t="shared" si="290"/>
        <v>0</v>
      </c>
      <c r="BD1777" t="str">
        <f t="shared" si="291"/>
        <v>0</v>
      </c>
      <c r="BK1777" t="str">
        <f>IFERROR(VLOOKUP(B1777,'[1]model_S-フレーム'!$F$5:$R$7000,13,1),"")</f>
        <v>E369082_01</v>
      </c>
      <c r="BL1777" s="7">
        <f>IFERROR(VLOOKUP(B1777,'[1]model_S-フレーム'!$F$5:$V$7000,17,1),"")</f>
        <v>0</v>
      </c>
      <c r="BM1777" t="str" cm="1">
        <f t="array" ref="BM1777">_xlfn.IFS(LEFT(G1777,1)="L","外注品",LEFT(G1777,1)="W","内製品",G1777="","購買品")</f>
        <v>内製品</v>
      </c>
    </row>
    <row r="1778" spans="1:65">
      <c r="A1778" t="str">
        <f t="shared" si="283"/>
        <v>WG01</v>
      </c>
      <c r="B1778" t="s">
        <v>1845</v>
      </c>
      <c r="C1778" t="s">
        <v>1932</v>
      </c>
      <c r="D1778" s="7"/>
      <c r="E1778" s="7"/>
      <c r="G1778" t="s">
        <v>1939</v>
      </c>
      <c r="H1778" t="str" cm="1">
        <f t="array" ref="H1778">IFERROR(_xlfn.IFS(B1778="","",AND(B1778="",G1778=""),"",G1778="","記載要"),"")</f>
        <v/>
      </c>
      <c r="K1778" t="str">
        <f t="shared" si="284"/>
        <v>11WP01074059</v>
      </c>
      <c r="L1778" s="3" t="str">
        <f t="shared" si="285"/>
        <v>2001/01/01</v>
      </c>
      <c r="M1778" s="3" t="str">
        <f t="shared" si="286"/>
        <v>2199/12/31</v>
      </c>
      <c r="N1778" t="str">
        <f t="shared" si="287"/>
        <v>11WP01074059</v>
      </c>
      <c r="O1778">
        <v>15</v>
      </c>
      <c r="Q1778" t="str" cm="1">
        <f t="array" ref="Q1778">_xlfn.IFS(AND(C1778="",G1778=""),"",LEFT(G1778,1)="L","記載要",LEFT(G1778,1)="W","",AND(C1778,G1778=""),"記載要")</f>
        <v/>
      </c>
      <c r="R1778" s="21" t="str">
        <f t="shared" si="292"/>
        <v/>
      </c>
      <c r="S1778" s="21"/>
      <c r="Z1778" s="8"/>
      <c r="AA1778">
        <v>1</v>
      </c>
      <c r="AB1778">
        <f t="shared" si="288"/>
        <v>0</v>
      </c>
      <c r="AC1778">
        <v>1</v>
      </c>
      <c r="AF1778">
        <v>1</v>
      </c>
      <c r="AG1778" s="8"/>
      <c r="AH1778" s="8"/>
      <c r="AK1778" cm="1">
        <f t="array" ref="AK1778">_xlfn.IFS(B1778="","",LEFT(G1778,1)="L",1,LEFT(G1778,1)="W",1,AND(LEFT(B1778,1)="H",G1778=""),0)</f>
        <v>1</v>
      </c>
      <c r="AS1778" t="str">
        <f t="shared" si="289"/>
        <v/>
      </c>
      <c r="AT1778" t="s">
        <v>115</v>
      </c>
      <c r="AU1778" t="str">
        <f t="shared" si="290"/>
        <v>0</v>
      </c>
      <c r="BD1778" t="str">
        <f t="shared" si="291"/>
        <v>0</v>
      </c>
      <c r="BK1778" t="str">
        <f>IFERROR(VLOOKUP(B1778,'[1]model_S-フレーム'!$F$5:$R$7000,13,1),"")</f>
        <v>E369082_01</v>
      </c>
      <c r="BL1778" s="7">
        <f>IFERROR(VLOOKUP(B1778,'[1]model_S-フレーム'!$F$5:$V$7000,17,1),"")</f>
        <v>0</v>
      </c>
      <c r="BM1778" t="str" cm="1">
        <f t="array" ref="BM1778">_xlfn.IFS(LEFT(G1778,1)="L","外注品",LEFT(G1778,1)="W","内製品",G1778="","購買品")</f>
        <v>内製品</v>
      </c>
    </row>
    <row r="1779" spans="1:65">
      <c r="A1779" t="str">
        <f t="shared" si="283"/>
        <v>WG01</v>
      </c>
      <c r="B1779" t="s">
        <v>1846</v>
      </c>
      <c r="C1779" t="s">
        <v>1932</v>
      </c>
      <c r="D1779" s="7"/>
      <c r="E1779" s="7"/>
      <c r="G1779" t="s">
        <v>1939</v>
      </c>
      <c r="H1779" t="str" cm="1">
        <f t="array" ref="H1779">IFERROR(_xlfn.IFS(B1779="","",AND(B1779="",G1779=""),"",G1779="","記載要"),"")</f>
        <v/>
      </c>
      <c r="K1779" t="str">
        <f t="shared" si="284"/>
        <v>11WP01074060</v>
      </c>
      <c r="L1779" s="3" t="str">
        <f t="shared" si="285"/>
        <v>2001/01/01</v>
      </c>
      <c r="M1779" s="3" t="str">
        <f t="shared" si="286"/>
        <v>2199/12/31</v>
      </c>
      <c r="N1779" t="str">
        <f t="shared" si="287"/>
        <v>11WP01074060</v>
      </c>
      <c r="O1779">
        <v>15</v>
      </c>
      <c r="Q1779" t="str" cm="1">
        <f t="array" ref="Q1779">_xlfn.IFS(AND(C1779="",G1779=""),"",LEFT(G1779,1)="L","記載要",LEFT(G1779,1)="W","",AND(C1779,G1779=""),"記載要")</f>
        <v/>
      </c>
      <c r="R1779" s="21" t="str">
        <f t="shared" si="292"/>
        <v/>
      </c>
      <c r="S1779" s="21"/>
      <c r="Z1779" s="8"/>
      <c r="AA1779">
        <v>1</v>
      </c>
      <c r="AB1779">
        <f t="shared" si="288"/>
        <v>0</v>
      </c>
      <c r="AC1779">
        <v>1</v>
      </c>
      <c r="AF1779">
        <v>1</v>
      </c>
      <c r="AG1779" s="8"/>
      <c r="AH1779" s="8"/>
      <c r="AK1779" cm="1">
        <f t="array" ref="AK1779">_xlfn.IFS(B1779="","",LEFT(G1779,1)="L",1,LEFT(G1779,1)="W",1,AND(LEFT(B1779,1)="H",G1779=""),0)</f>
        <v>1</v>
      </c>
      <c r="AS1779" t="str">
        <f t="shared" si="289"/>
        <v/>
      </c>
      <c r="AT1779" t="s">
        <v>115</v>
      </c>
      <c r="AU1779" t="str">
        <f t="shared" si="290"/>
        <v>0</v>
      </c>
      <c r="BD1779" t="str">
        <f t="shared" si="291"/>
        <v>0</v>
      </c>
      <c r="BK1779" t="str">
        <f>IFERROR(VLOOKUP(B1779,'[1]model_S-フレーム'!$F$5:$R$7000,13,1),"")</f>
        <v>E369082_01</v>
      </c>
      <c r="BL1779" s="7">
        <f>IFERROR(VLOOKUP(B1779,'[1]model_S-フレーム'!$F$5:$V$7000,17,1),"")</f>
        <v>0</v>
      </c>
      <c r="BM1779" t="str" cm="1">
        <f t="array" ref="BM1779">_xlfn.IFS(LEFT(G1779,1)="L","外注品",LEFT(G1779,1)="W","内製品",G1779="","購買品")</f>
        <v>内製品</v>
      </c>
    </row>
    <row r="1780" spans="1:65">
      <c r="A1780" t="str">
        <f t="shared" si="283"/>
        <v>WG01</v>
      </c>
      <c r="B1780" t="s">
        <v>1847</v>
      </c>
      <c r="C1780" t="s">
        <v>1932</v>
      </c>
      <c r="D1780" s="7"/>
      <c r="E1780" s="7"/>
      <c r="G1780" t="s">
        <v>1939</v>
      </c>
      <c r="H1780" t="str" cm="1">
        <f t="array" ref="H1780">IFERROR(_xlfn.IFS(B1780="","",AND(B1780="",G1780=""),"",G1780="","記載要"),"")</f>
        <v/>
      </c>
      <c r="K1780" t="str">
        <f t="shared" si="284"/>
        <v>11WP01074061</v>
      </c>
      <c r="L1780" s="3" t="str">
        <f t="shared" si="285"/>
        <v>2001/01/01</v>
      </c>
      <c r="M1780" s="3" t="str">
        <f t="shared" si="286"/>
        <v>2199/12/31</v>
      </c>
      <c r="N1780" t="str">
        <f t="shared" si="287"/>
        <v>11WP01074061</v>
      </c>
      <c r="O1780">
        <v>15</v>
      </c>
      <c r="Q1780" t="str" cm="1">
        <f t="array" ref="Q1780">_xlfn.IFS(AND(C1780="",G1780=""),"",LEFT(G1780,1)="L","記載要",LEFT(G1780,1)="W","",AND(C1780,G1780=""),"記載要")</f>
        <v/>
      </c>
      <c r="R1780" s="21" t="str">
        <f t="shared" si="292"/>
        <v/>
      </c>
      <c r="S1780" s="21"/>
      <c r="Z1780" s="8"/>
      <c r="AA1780">
        <v>1</v>
      </c>
      <c r="AB1780">
        <f t="shared" si="288"/>
        <v>0</v>
      </c>
      <c r="AC1780">
        <v>1</v>
      </c>
      <c r="AF1780">
        <v>1</v>
      </c>
      <c r="AG1780" s="8"/>
      <c r="AH1780" s="8"/>
      <c r="AK1780" cm="1">
        <f t="array" ref="AK1780">_xlfn.IFS(B1780="","",LEFT(G1780,1)="L",1,LEFT(G1780,1)="W",1,AND(LEFT(B1780,1)="H",G1780=""),0)</f>
        <v>1</v>
      </c>
      <c r="AS1780" t="str">
        <f t="shared" si="289"/>
        <v/>
      </c>
      <c r="AT1780" t="s">
        <v>115</v>
      </c>
      <c r="AU1780" t="str">
        <f t="shared" si="290"/>
        <v>0</v>
      </c>
      <c r="BD1780" t="str">
        <f t="shared" si="291"/>
        <v>0</v>
      </c>
      <c r="BK1780" t="str">
        <f>IFERROR(VLOOKUP(B1780,'[1]model_S-フレーム'!$F$5:$R$7000,13,1),"")</f>
        <v>E369082_01</v>
      </c>
      <c r="BL1780" s="7">
        <f>IFERROR(VLOOKUP(B1780,'[1]model_S-フレーム'!$F$5:$V$7000,17,1),"")</f>
        <v>0</v>
      </c>
      <c r="BM1780" t="str" cm="1">
        <f t="array" ref="BM1780">_xlfn.IFS(LEFT(G1780,1)="L","外注品",LEFT(G1780,1)="W","内製品",G1780="","購買品")</f>
        <v>内製品</v>
      </c>
    </row>
    <row r="1781" spans="1:65">
      <c r="A1781" t="str">
        <f t="shared" si="283"/>
        <v>WG01</v>
      </c>
      <c r="B1781" t="s">
        <v>1848</v>
      </c>
      <c r="C1781" t="s">
        <v>1932</v>
      </c>
      <c r="D1781" s="7"/>
      <c r="E1781" s="7"/>
      <c r="G1781" t="s">
        <v>1939</v>
      </c>
      <c r="H1781" t="str" cm="1">
        <f t="array" ref="H1781">IFERROR(_xlfn.IFS(B1781="","",AND(B1781="",G1781=""),"",G1781="","記載要"),"")</f>
        <v/>
      </c>
      <c r="K1781" t="str">
        <f t="shared" si="284"/>
        <v>11WP01074062</v>
      </c>
      <c r="L1781" s="3" t="str">
        <f t="shared" si="285"/>
        <v>2001/01/01</v>
      </c>
      <c r="M1781" s="3" t="str">
        <f t="shared" si="286"/>
        <v>2199/12/31</v>
      </c>
      <c r="N1781" t="str">
        <f t="shared" si="287"/>
        <v>11WP01074062</v>
      </c>
      <c r="O1781">
        <v>15</v>
      </c>
      <c r="Q1781" t="str" cm="1">
        <f t="array" ref="Q1781">_xlfn.IFS(AND(C1781="",G1781=""),"",LEFT(G1781,1)="L","記載要",LEFT(G1781,1)="W","",AND(C1781,G1781=""),"記載要")</f>
        <v/>
      </c>
      <c r="R1781" s="21" t="str">
        <f t="shared" si="292"/>
        <v/>
      </c>
      <c r="S1781" s="21"/>
      <c r="Z1781" s="8"/>
      <c r="AA1781">
        <v>1</v>
      </c>
      <c r="AB1781">
        <f t="shared" si="288"/>
        <v>0</v>
      </c>
      <c r="AC1781">
        <v>1</v>
      </c>
      <c r="AF1781">
        <v>1</v>
      </c>
      <c r="AG1781" s="8"/>
      <c r="AH1781" s="8"/>
      <c r="AK1781" cm="1">
        <f t="array" ref="AK1781">_xlfn.IFS(B1781="","",LEFT(G1781,1)="L",1,LEFT(G1781,1)="W",1,AND(LEFT(B1781,1)="H",G1781=""),0)</f>
        <v>1</v>
      </c>
      <c r="AS1781" t="str">
        <f t="shared" si="289"/>
        <v/>
      </c>
      <c r="AT1781" t="s">
        <v>115</v>
      </c>
      <c r="AU1781" t="str">
        <f t="shared" si="290"/>
        <v>0</v>
      </c>
      <c r="BD1781" t="str">
        <f t="shared" si="291"/>
        <v>0</v>
      </c>
      <c r="BK1781" t="str">
        <f>IFERROR(VLOOKUP(B1781,'[1]model_S-フレーム'!$F$5:$R$7000,13,1),"")</f>
        <v>E369082_01</v>
      </c>
      <c r="BL1781" s="7">
        <f>IFERROR(VLOOKUP(B1781,'[1]model_S-フレーム'!$F$5:$V$7000,17,1),"")</f>
        <v>0</v>
      </c>
      <c r="BM1781" t="str" cm="1">
        <f t="array" ref="BM1781">_xlfn.IFS(LEFT(G1781,1)="L","外注品",LEFT(G1781,1)="W","内製品",G1781="","購買品")</f>
        <v>内製品</v>
      </c>
    </row>
    <row r="1782" spans="1:65">
      <c r="A1782" t="str">
        <f t="shared" si="283"/>
        <v>WG01</v>
      </c>
      <c r="B1782" t="s">
        <v>1849</v>
      </c>
      <c r="C1782" t="s">
        <v>1932</v>
      </c>
      <c r="D1782" s="7"/>
      <c r="E1782" s="7"/>
      <c r="G1782" t="s">
        <v>1939</v>
      </c>
      <c r="H1782" t="str" cm="1">
        <f t="array" ref="H1782">IFERROR(_xlfn.IFS(B1782="","",AND(B1782="",G1782=""),"",G1782="","記載要"),"")</f>
        <v/>
      </c>
      <c r="K1782" t="str">
        <f t="shared" si="284"/>
        <v>11WP01074063</v>
      </c>
      <c r="L1782" s="3" t="str">
        <f t="shared" si="285"/>
        <v>2001/01/01</v>
      </c>
      <c r="M1782" s="3" t="str">
        <f t="shared" si="286"/>
        <v>2199/12/31</v>
      </c>
      <c r="N1782" t="str">
        <f t="shared" si="287"/>
        <v>11WP01074063</v>
      </c>
      <c r="O1782">
        <v>15</v>
      </c>
      <c r="Q1782" t="str" cm="1">
        <f t="array" ref="Q1782">_xlfn.IFS(AND(C1782="",G1782=""),"",LEFT(G1782,1)="L","記載要",LEFT(G1782,1)="W","",AND(C1782,G1782=""),"記載要")</f>
        <v/>
      </c>
      <c r="R1782" s="21" t="str">
        <f t="shared" si="292"/>
        <v/>
      </c>
      <c r="S1782" s="21"/>
      <c r="Z1782" s="8"/>
      <c r="AA1782">
        <v>1</v>
      </c>
      <c r="AB1782">
        <f t="shared" si="288"/>
        <v>0</v>
      </c>
      <c r="AC1782">
        <v>1</v>
      </c>
      <c r="AF1782">
        <v>1</v>
      </c>
      <c r="AG1782" s="8"/>
      <c r="AH1782" s="8"/>
      <c r="AK1782" cm="1">
        <f t="array" ref="AK1782">_xlfn.IFS(B1782="","",LEFT(G1782,1)="L",1,LEFT(G1782,1)="W",1,AND(LEFT(B1782,1)="H",G1782=""),0)</f>
        <v>1</v>
      </c>
      <c r="AS1782" t="str">
        <f t="shared" si="289"/>
        <v/>
      </c>
      <c r="AT1782" t="s">
        <v>115</v>
      </c>
      <c r="AU1782" t="str">
        <f t="shared" si="290"/>
        <v>0</v>
      </c>
      <c r="BD1782" t="str">
        <f t="shared" si="291"/>
        <v>0</v>
      </c>
      <c r="BK1782" t="str">
        <f>IFERROR(VLOOKUP(B1782,'[1]model_S-フレーム'!$F$5:$R$7000,13,1),"")</f>
        <v>E369082_01</v>
      </c>
      <c r="BL1782" s="7">
        <f>IFERROR(VLOOKUP(B1782,'[1]model_S-フレーム'!$F$5:$V$7000,17,1),"")</f>
        <v>0</v>
      </c>
      <c r="BM1782" t="str" cm="1">
        <f t="array" ref="BM1782">_xlfn.IFS(LEFT(G1782,1)="L","外注品",LEFT(G1782,1)="W","内製品",G1782="","購買品")</f>
        <v>内製品</v>
      </c>
    </row>
    <row r="1783" spans="1:65">
      <c r="A1783" t="str">
        <f t="shared" si="283"/>
        <v>WG01</v>
      </c>
      <c r="B1783" t="s">
        <v>1850</v>
      </c>
      <c r="C1783" t="s">
        <v>1932</v>
      </c>
      <c r="D1783" s="7"/>
      <c r="E1783" s="7"/>
      <c r="G1783" t="s">
        <v>1939</v>
      </c>
      <c r="H1783" t="str" cm="1">
        <f t="array" ref="H1783">IFERROR(_xlfn.IFS(B1783="","",AND(B1783="",G1783=""),"",G1783="","記載要"),"")</f>
        <v/>
      </c>
      <c r="K1783" t="str">
        <f t="shared" si="284"/>
        <v>11WP01074064</v>
      </c>
      <c r="L1783" s="3" t="str">
        <f t="shared" si="285"/>
        <v>2001/01/01</v>
      </c>
      <c r="M1783" s="3" t="str">
        <f t="shared" si="286"/>
        <v>2199/12/31</v>
      </c>
      <c r="N1783" t="str">
        <f t="shared" si="287"/>
        <v>11WP01074064</v>
      </c>
      <c r="O1783">
        <v>15</v>
      </c>
      <c r="Q1783" t="str" cm="1">
        <f t="array" ref="Q1783">_xlfn.IFS(AND(C1783="",G1783=""),"",LEFT(G1783,1)="L","記載要",LEFT(G1783,1)="W","",AND(C1783,G1783=""),"記載要")</f>
        <v/>
      </c>
      <c r="R1783" s="21" t="str">
        <f t="shared" si="292"/>
        <v/>
      </c>
      <c r="S1783" s="21"/>
      <c r="Z1783" s="8"/>
      <c r="AA1783">
        <v>1</v>
      </c>
      <c r="AB1783">
        <f t="shared" si="288"/>
        <v>0</v>
      </c>
      <c r="AC1783">
        <v>1</v>
      </c>
      <c r="AF1783">
        <v>1</v>
      </c>
      <c r="AG1783" s="8"/>
      <c r="AH1783" s="8"/>
      <c r="AK1783" cm="1">
        <f t="array" ref="AK1783">_xlfn.IFS(B1783="","",LEFT(G1783,1)="L",1,LEFT(G1783,1)="W",1,AND(LEFT(B1783,1)="H",G1783=""),0)</f>
        <v>1</v>
      </c>
      <c r="AS1783" t="str">
        <f t="shared" si="289"/>
        <v/>
      </c>
      <c r="AT1783" t="s">
        <v>115</v>
      </c>
      <c r="AU1783" t="str">
        <f t="shared" si="290"/>
        <v>0</v>
      </c>
      <c r="BD1783" t="str">
        <f t="shared" si="291"/>
        <v>0</v>
      </c>
      <c r="BK1783" t="str">
        <f>IFERROR(VLOOKUP(B1783,'[1]model_S-フレーム'!$F$5:$R$7000,13,1),"")</f>
        <v>E369082_01</v>
      </c>
      <c r="BL1783" s="7">
        <f>IFERROR(VLOOKUP(B1783,'[1]model_S-フレーム'!$F$5:$V$7000,17,1),"")</f>
        <v>0</v>
      </c>
      <c r="BM1783" t="str" cm="1">
        <f t="array" ref="BM1783">_xlfn.IFS(LEFT(G1783,1)="L","外注品",LEFT(G1783,1)="W","内製品",G1783="","購買品")</f>
        <v>内製品</v>
      </c>
    </row>
    <row r="1784" spans="1:65">
      <c r="A1784" t="str">
        <f t="shared" si="283"/>
        <v>WG01</v>
      </c>
      <c r="B1784" t="s">
        <v>1851</v>
      </c>
      <c r="C1784" t="s">
        <v>1932</v>
      </c>
      <c r="D1784" s="7"/>
      <c r="E1784" s="7"/>
      <c r="G1784" t="s">
        <v>1939</v>
      </c>
      <c r="H1784" t="str" cm="1">
        <f t="array" ref="H1784">IFERROR(_xlfn.IFS(B1784="","",AND(B1784="",G1784=""),"",G1784="","記載要"),"")</f>
        <v/>
      </c>
      <c r="K1784" t="str">
        <f t="shared" si="284"/>
        <v>11WP01074065</v>
      </c>
      <c r="L1784" s="3" t="str">
        <f t="shared" si="285"/>
        <v>2001/01/01</v>
      </c>
      <c r="M1784" s="3" t="str">
        <f t="shared" si="286"/>
        <v>2199/12/31</v>
      </c>
      <c r="N1784" t="str">
        <f t="shared" si="287"/>
        <v>11WP01074065</v>
      </c>
      <c r="O1784">
        <v>15</v>
      </c>
      <c r="Q1784" t="str" cm="1">
        <f t="array" ref="Q1784">_xlfn.IFS(AND(C1784="",G1784=""),"",LEFT(G1784,1)="L","記載要",LEFT(G1784,1)="W","",AND(C1784,G1784=""),"記載要")</f>
        <v/>
      </c>
      <c r="R1784" s="21" t="str">
        <f t="shared" si="292"/>
        <v/>
      </c>
      <c r="S1784" s="21"/>
      <c r="Z1784" s="8"/>
      <c r="AA1784">
        <v>1</v>
      </c>
      <c r="AB1784">
        <f t="shared" si="288"/>
        <v>0</v>
      </c>
      <c r="AC1784">
        <v>1</v>
      </c>
      <c r="AF1784">
        <v>1</v>
      </c>
      <c r="AG1784" s="8"/>
      <c r="AH1784" s="8"/>
      <c r="AK1784" cm="1">
        <f t="array" ref="AK1784">_xlfn.IFS(B1784="","",LEFT(G1784,1)="L",1,LEFT(G1784,1)="W",1,AND(LEFT(B1784,1)="H",G1784=""),0)</f>
        <v>1</v>
      </c>
      <c r="AS1784" t="str">
        <f t="shared" si="289"/>
        <v/>
      </c>
      <c r="AT1784" t="s">
        <v>115</v>
      </c>
      <c r="AU1784" t="str">
        <f t="shared" si="290"/>
        <v>0</v>
      </c>
      <c r="BD1784" t="str">
        <f t="shared" si="291"/>
        <v>0</v>
      </c>
      <c r="BK1784" t="str">
        <f>IFERROR(VLOOKUP(B1784,'[1]model_S-フレーム'!$F$5:$R$7000,13,1),"")</f>
        <v>E369082_01</v>
      </c>
      <c r="BL1784" s="7">
        <f>IFERROR(VLOOKUP(B1784,'[1]model_S-フレーム'!$F$5:$V$7000,17,1),"")</f>
        <v>0</v>
      </c>
      <c r="BM1784" t="str" cm="1">
        <f t="array" ref="BM1784">_xlfn.IFS(LEFT(G1784,1)="L","外注品",LEFT(G1784,1)="W","内製品",G1784="","購買品")</f>
        <v>内製品</v>
      </c>
    </row>
    <row r="1785" spans="1:65">
      <c r="A1785" t="str">
        <f t="shared" si="283"/>
        <v>WG01</v>
      </c>
      <c r="B1785" t="s">
        <v>1852</v>
      </c>
      <c r="C1785" t="s">
        <v>1932</v>
      </c>
      <c r="D1785" s="7"/>
      <c r="E1785" s="7"/>
      <c r="G1785" t="s">
        <v>1939</v>
      </c>
      <c r="H1785" t="str" cm="1">
        <f t="array" ref="H1785">IFERROR(_xlfn.IFS(B1785="","",AND(B1785="",G1785=""),"",G1785="","記載要"),"")</f>
        <v/>
      </c>
      <c r="K1785" t="str">
        <f t="shared" si="284"/>
        <v>11WP01074066</v>
      </c>
      <c r="L1785" s="3" t="str">
        <f t="shared" si="285"/>
        <v>2001/01/01</v>
      </c>
      <c r="M1785" s="3" t="str">
        <f t="shared" si="286"/>
        <v>2199/12/31</v>
      </c>
      <c r="N1785" t="str">
        <f t="shared" si="287"/>
        <v>11WP01074066</v>
      </c>
      <c r="O1785">
        <v>15</v>
      </c>
      <c r="Q1785" t="str" cm="1">
        <f t="array" ref="Q1785">_xlfn.IFS(AND(C1785="",G1785=""),"",LEFT(G1785,1)="L","記載要",LEFT(G1785,1)="W","",AND(C1785,G1785=""),"記載要")</f>
        <v/>
      </c>
      <c r="R1785" s="21" t="str">
        <f t="shared" si="292"/>
        <v/>
      </c>
      <c r="S1785" s="21"/>
      <c r="Z1785" s="8"/>
      <c r="AA1785">
        <v>1</v>
      </c>
      <c r="AB1785">
        <f t="shared" si="288"/>
        <v>0</v>
      </c>
      <c r="AC1785">
        <v>1</v>
      </c>
      <c r="AF1785">
        <v>1</v>
      </c>
      <c r="AG1785" s="8"/>
      <c r="AH1785" s="8"/>
      <c r="AK1785" cm="1">
        <f t="array" ref="AK1785">_xlfn.IFS(B1785="","",LEFT(G1785,1)="L",1,LEFT(G1785,1)="W",1,AND(LEFT(B1785,1)="H",G1785=""),0)</f>
        <v>1</v>
      </c>
      <c r="AS1785" t="str">
        <f t="shared" si="289"/>
        <v/>
      </c>
      <c r="AT1785" t="s">
        <v>115</v>
      </c>
      <c r="AU1785" t="str">
        <f t="shared" si="290"/>
        <v>0</v>
      </c>
      <c r="BD1785" t="str">
        <f t="shared" si="291"/>
        <v>0</v>
      </c>
      <c r="BK1785" t="str">
        <f>IFERROR(VLOOKUP(B1785,'[1]model_S-フレーム'!$F$5:$R$7000,13,1),"")</f>
        <v>E369082_01</v>
      </c>
      <c r="BL1785" s="7">
        <f>IFERROR(VLOOKUP(B1785,'[1]model_S-フレーム'!$F$5:$V$7000,17,1),"")</f>
        <v>0</v>
      </c>
      <c r="BM1785" t="str" cm="1">
        <f t="array" ref="BM1785">_xlfn.IFS(LEFT(G1785,1)="L","外注品",LEFT(G1785,1)="W","内製品",G1785="","購買品")</f>
        <v>内製品</v>
      </c>
    </row>
    <row r="1786" spans="1:65">
      <c r="A1786" t="str">
        <f t="shared" si="283"/>
        <v>WG01</v>
      </c>
      <c r="B1786" t="s">
        <v>1853</v>
      </c>
      <c r="C1786" t="s">
        <v>1932</v>
      </c>
      <c r="D1786" s="7"/>
      <c r="E1786" s="7"/>
      <c r="G1786" t="s">
        <v>1939</v>
      </c>
      <c r="H1786" t="str" cm="1">
        <f t="array" ref="H1786">IFERROR(_xlfn.IFS(B1786="","",AND(B1786="",G1786=""),"",G1786="","記載要"),"")</f>
        <v/>
      </c>
      <c r="K1786" t="str">
        <f t="shared" si="284"/>
        <v>11WP01074067</v>
      </c>
      <c r="L1786" s="3" t="str">
        <f t="shared" si="285"/>
        <v>2001/01/01</v>
      </c>
      <c r="M1786" s="3" t="str">
        <f t="shared" si="286"/>
        <v>2199/12/31</v>
      </c>
      <c r="N1786" t="str">
        <f t="shared" si="287"/>
        <v>11WP01074067</v>
      </c>
      <c r="O1786">
        <v>15</v>
      </c>
      <c r="Q1786" t="str" cm="1">
        <f t="array" ref="Q1786">_xlfn.IFS(AND(C1786="",G1786=""),"",LEFT(G1786,1)="L","記載要",LEFT(G1786,1)="W","",AND(C1786,G1786=""),"記載要")</f>
        <v/>
      </c>
      <c r="R1786" s="21" t="str">
        <f t="shared" si="292"/>
        <v/>
      </c>
      <c r="S1786" s="21"/>
      <c r="Z1786" s="8"/>
      <c r="AA1786">
        <v>1</v>
      </c>
      <c r="AB1786">
        <f t="shared" si="288"/>
        <v>0</v>
      </c>
      <c r="AC1786">
        <v>1</v>
      </c>
      <c r="AF1786">
        <v>1</v>
      </c>
      <c r="AG1786" s="8"/>
      <c r="AH1786" s="8"/>
      <c r="AK1786" cm="1">
        <f t="array" ref="AK1786">_xlfn.IFS(B1786="","",LEFT(G1786,1)="L",1,LEFT(G1786,1)="W",1,AND(LEFT(B1786,1)="H",G1786=""),0)</f>
        <v>1</v>
      </c>
      <c r="AS1786" t="str">
        <f t="shared" si="289"/>
        <v/>
      </c>
      <c r="AT1786" t="s">
        <v>115</v>
      </c>
      <c r="AU1786" t="str">
        <f t="shared" si="290"/>
        <v>0</v>
      </c>
      <c r="BD1786" t="str">
        <f t="shared" si="291"/>
        <v>0</v>
      </c>
      <c r="BK1786" t="str">
        <f>IFERROR(VLOOKUP(B1786,'[1]model_S-フレーム'!$F$5:$R$7000,13,1),"")</f>
        <v>E369082_01</v>
      </c>
      <c r="BL1786" s="7">
        <f>IFERROR(VLOOKUP(B1786,'[1]model_S-フレーム'!$F$5:$V$7000,17,1),"")</f>
        <v>0</v>
      </c>
      <c r="BM1786" t="str" cm="1">
        <f t="array" ref="BM1786">_xlfn.IFS(LEFT(G1786,1)="L","外注品",LEFT(G1786,1)="W","内製品",G1786="","購買品")</f>
        <v>内製品</v>
      </c>
    </row>
    <row r="1787" spans="1:65">
      <c r="A1787" t="str">
        <f t="shared" si="283"/>
        <v>WG01</v>
      </c>
      <c r="B1787" t="s">
        <v>1854</v>
      </c>
      <c r="C1787" t="s">
        <v>1932</v>
      </c>
      <c r="D1787" s="7"/>
      <c r="E1787" s="7"/>
      <c r="G1787" t="s">
        <v>1939</v>
      </c>
      <c r="H1787" t="str" cm="1">
        <f t="array" ref="H1787">IFERROR(_xlfn.IFS(B1787="","",AND(B1787="",G1787=""),"",G1787="","記載要"),"")</f>
        <v/>
      </c>
      <c r="K1787" t="str">
        <f t="shared" si="284"/>
        <v>11WP01074068</v>
      </c>
      <c r="L1787" s="3" t="str">
        <f t="shared" si="285"/>
        <v>2001/01/01</v>
      </c>
      <c r="M1787" s="3" t="str">
        <f t="shared" si="286"/>
        <v>2199/12/31</v>
      </c>
      <c r="N1787" t="str">
        <f t="shared" si="287"/>
        <v>11WP01074068</v>
      </c>
      <c r="O1787">
        <v>15</v>
      </c>
      <c r="Q1787" t="str" cm="1">
        <f t="array" ref="Q1787">_xlfn.IFS(AND(C1787="",G1787=""),"",LEFT(G1787,1)="L","記載要",LEFT(G1787,1)="W","",AND(C1787,G1787=""),"記載要")</f>
        <v/>
      </c>
      <c r="R1787" s="21" t="str">
        <f t="shared" si="292"/>
        <v/>
      </c>
      <c r="S1787" s="21"/>
      <c r="Z1787" s="8"/>
      <c r="AA1787">
        <v>1</v>
      </c>
      <c r="AB1787">
        <f t="shared" si="288"/>
        <v>0</v>
      </c>
      <c r="AC1787">
        <v>1</v>
      </c>
      <c r="AF1787">
        <v>1</v>
      </c>
      <c r="AG1787" s="8"/>
      <c r="AH1787" s="8"/>
      <c r="AK1787" cm="1">
        <f t="array" ref="AK1787">_xlfn.IFS(B1787="","",LEFT(G1787,1)="L",1,LEFT(G1787,1)="W",1,AND(LEFT(B1787,1)="H",G1787=""),0)</f>
        <v>1</v>
      </c>
      <c r="AS1787" t="str">
        <f t="shared" si="289"/>
        <v/>
      </c>
      <c r="AT1787" t="s">
        <v>115</v>
      </c>
      <c r="AU1787" t="str">
        <f t="shared" si="290"/>
        <v>0</v>
      </c>
      <c r="BD1787" t="str">
        <f t="shared" si="291"/>
        <v>0</v>
      </c>
      <c r="BK1787" t="str">
        <f>IFERROR(VLOOKUP(B1787,'[1]model_S-フレーム'!$F$5:$R$7000,13,1),"")</f>
        <v>E369082_01</v>
      </c>
      <c r="BL1787" s="7">
        <f>IFERROR(VLOOKUP(B1787,'[1]model_S-フレーム'!$F$5:$V$7000,17,1),"")</f>
        <v>0</v>
      </c>
      <c r="BM1787" t="str" cm="1">
        <f t="array" ref="BM1787">_xlfn.IFS(LEFT(G1787,1)="L","外注品",LEFT(G1787,1)="W","内製品",G1787="","購買品")</f>
        <v>内製品</v>
      </c>
    </row>
    <row r="1788" spans="1:65">
      <c r="A1788" t="str">
        <f t="shared" si="283"/>
        <v>WG01</v>
      </c>
      <c r="B1788" t="s">
        <v>1855</v>
      </c>
      <c r="C1788" t="s">
        <v>1932</v>
      </c>
      <c r="D1788" s="7"/>
      <c r="E1788" s="7"/>
      <c r="G1788" t="s">
        <v>1939</v>
      </c>
      <c r="H1788" t="str" cm="1">
        <f t="array" ref="H1788">IFERROR(_xlfn.IFS(B1788="","",AND(B1788="",G1788=""),"",G1788="","記載要"),"")</f>
        <v/>
      </c>
      <c r="K1788" t="str">
        <f t="shared" si="284"/>
        <v>11WP01074069</v>
      </c>
      <c r="L1788" s="3" t="str">
        <f t="shared" si="285"/>
        <v>2001/01/01</v>
      </c>
      <c r="M1788" s="3" t="str">
        <f t="shared" si="286"/>
        <v>2199/12/31</v>
      </c>
      <c r="N1788" t="str">
        <f t="shared" si="287"/>
        <v>11WP01074069</v>
      </c>
      <c r="O1788">
        <v>15</v>
      </c>
      <c r="Q1788" t="str" cm="1">
        <f t="array" ref="Q1788">_xlfn.IFS(AND(C1788="",G1788=""),"",LEFT(G1788,1)="L","記載要",LEFT(G1788,1)="W","",AND(C1788,G1788=""),"記載要")</f>
        <v/>
      </c>
      <c r="R1788" s="21" t="str">
        <f t="shared" si="292"/>
        <v/>
      </c>
      <c r="S1788" s="21"/>
      <c r="Z1788" s="8"/>
      <c r="AA1788">
        <v>1</v>
      </c>
      <c r="AB1788">
        <f t="shared" si="288"/>
        <v>0</v>
      </c>
      <c r="AC1788">
        <v>1</v>
      </c>
      <c r="AF1788">
        <v>1</v>
      </c>
      <c r="AG1788" s="8"/>
      <c r="AH1788" s="8"/>
      <c r="AK1788" cm="1">
        <f t="array" ref="AK1788">_xlfn.IFS(B1788="","",LEFT(G1788,1)="L",1,LEFT(G1788,1)="W",1,AND(LEFT(B1788,1)="H",G1788=""),0)</f>
        <v>1</v>
      </c>
      <c r="AS1788" t="str">
        <f t="shared" si="289"/>
        <v/>
      </c>
      <c r="AT1788" t="s">
        <v>115</v>
      </c>
      <c r="AU1788" t="str">
        <f t="shared" si="290"/>
        <v>0</v>
      </c>
      <c r="BD1788" t="str">
        <f t="shared" si="291"/>
        <v>0</v>
      </c>
      <c r="BK1788" t="str">
        <f>IFERROR(VLOOKUP(B1788,'[1]model_S-フレーム'!$F$5:$R$7000,13,1),"")</f>
        <v>E369082_01</v>
      </c>
      <c r="BL1788" s="7">
        <f>IFERROR(VLOOKUP(B1788,'[1]model_S-フレーム'!$F$5:$V$7000,17,1),"")</f>
        <v>0</v>
      </c>
      <c r="BM1788" t="str" cm="1">
        <f t="array" ref="BM1788">_xlfn.IFS(LEFT(G1788,1)="L","外注品",LEFT(G1788,1)="W","内製品",G1788="","購買品")</f>
        <v>内製品</v>
      </c>
    </row>
    <row r="1789" spans="1:65">
      <c r="A1789" t="str">
        <f t="shared" si="283"/>
        <v>WG01</v>
      </c>
      <c r="B1789" t="s">
        <v>1856</v>
      </c>
      <c r="C1789" t="s">
        <v>1932</v>
      </c>
      <c r="D1789" s="7"/>
      <c r="E1789" s="7"/>
      <c r="G1789" t="s">
        <v>1939</v>
      </c>
      <c r="H1789" t="str" cm="1">
        <f t="array" ref="H1789">IFERROR(_xlfn.IFS(B1789="","",AND(B1789="",G1789=""),"",G1789="","記載要"),"")</f>
        <v/>
      </c>
      <c r="K1789" t="str">
        <f t="shared" si="284"/>
        <v>11WP01074070</v>
      </c>
      <c r="L1789" s="3" t="str">
        <f t="shared" si="285"/>
        <v>2001/01/01</v>
      </c>
      <c r="M1789" s="3" t="str">
        <f t="shared" si="286"/>
        <v>2199/12/31</v>
      </c>
      <c r="N1789" t="str">
        <f t="shared" si="287"/>
        <v>11WP01074070</v>
      </c>
      <c r="O1789">
        <v>15</v>
      </c>
      <c r="Q1789" t="str" cm="1">
        <f t="array" ref="Q1789">_xlfn.IFS(AND(C1789="",G1789=""),"",LEFT(G1789,1)="L","記載要",LEFT(G1789,1)="W","",AND(C1789,G1789=""),"記載要")</f>
        <v/>
      </c>
      <c r="R1789" s="21" t="str">
        <f t="shared" si="292"/>
        <v/>
      </c>
      <c r="S1789" s="21"/>
      <c r="Z1789" s="8"/>
      <c r="AA1789">
        <v>1</v>
      </c>
      <c r="AB1789">
        <f t="shared" si="288"/>
        <v>0</v>
      </c>
      <c r="AC1789">
        <v>1</v>
      </c>
      <c r="AF1789">
        <v>1</v>
      </c>
      <c r="AG1789" s="8"/>
      <c r="AH1789" s="8"/>
      <c r="AK1789" cm="1">
        <f t="array" ref="AK1789">_xlfn.IFS(B1789="","",LEFT(G1789,1)="L",1,LEFT(G1789,1)="W",1,AND(LEFT(B1789,1)="H",G1789=""),0)</f>
        <v>1</v>
      </c>
      <c r="AS1789" t="str">
        <f t="shared" si="289"/>
        <v/>
      </c>
      <c r="AT1789" t="s">
        <v>115</v>
      </c>
      <c r="AU1789" t="str">
        <f t="shared" si="290"/>
        <v>0</v>
      </c>
      <c r="BD1789" t="str">
        <f t="shared" si="291"/>
        <v>0</v>
      </c>
      <c r="BK1789" t="str">
        <f>IFERROR(VLOOKUP(B1789,'[1]model_S-フレーム'!$F$5:$R$7000,13,1),"")</f>
        <v>E369082_01</v>
      </c>
      <c r="BL1789" s="7">
        <f>IFERROR(VLOOKUP(B1789,'[1]model_S-フレーム'!$F$5:$V$7000,17,1),"")</f>
        <v>0</v>
      </c>
      <c r="BM1789" t="str" cm="1">
        <f t="array" ref="BM1789">_xlfn.IFS(LEFT(G1789,1)="L","外注品",LEFT(G1789,1)="W","内製品",G1789="","購買品")</f>
        <v>内製品</v>
      </c>
    </row>
    <row r="1790" spans="1:65">
      <c r="A1790" t="str">
        <f t="shared" si="283"/>
        <v>WG01</v>
      </c>
      <c r="B1790" t="s">
        <v>1857</v>
      </c>
      <c r="C1790" t="s">
        <v>1932</v>
      </c>
      <c r="D1790" s="7"/>
      <c r="E1790" s="7"/>
      <c r="G1790" t="s">
        <v>1939</v>
      </c>
      <c r="H1790" t="str" cm="1">
        <f t="array" ref="H1790">IFERROR(_xlfn.IFS(B1790="","",AND(B1790="",G1790=""),"",G1790="","記載要"),"")</f>
        <v/>
      </c>
      <c r="K1790" t="str">
        <f t="shared" si="284"/>
        <v>11WP01074071</v>
      </c>
      <c r="L1790" s="3" t="str">
        <f t="shared" si="285"/>
        <v>2001/01/01</v>
      </c>
      <c r="M1790" s="3" t="str">
        <f t="shared" si="286"/>
        <v>2199/12/31</v>
      </c>
      <c r="N1790" t="str">
        <f t="shared" si="287"/>
        <v>11WP01074071</v>
      </c>
      <c r="O1790">
        <v>15</v>
      </c>
      <c r="Q1790" t="str" cm="1">
        <f t="array" ref="Q1790">_xlfn.IFS(AND(C1790="",G1790=""),"",LEFT(G1790,1)="L","記載要",LEFT(G1790,1)="W","",AND(C1790,G1790=""),"記載要")</f>
        <v/>
      </c>
      <c r="R1790" s="21" t="str">
        <f t="shared" si="292"/>
        <v/>
      </c>
      <c r="S1790" s="21"/>
      <c r="Z1790" s="8"/>
      <c r="AA1790">
        <v>1</v>
      </c>
      <c r="AB1790">
        <f t="shared" si="288"/>
        <v>0</v>
      </c>
      <c r="AC1790">
        <v>1</v>
      </c>
      <c r="AF1790">
        <v>1</v>
      </c>
      <c r="AG1790" s="8"/>
      <c r="AH1790" s="8"/>
      <c r="AK1790" cm="1">
        <f t="array" ref="AK1790">_xlfn.IFS(B1790="","",LEFT(G1790,1)="L",1,LEFT(G1790,1)="W",1,AND(LEFT(B1790,1)="H",G1790=""),0)</f>
        <v>1</v>
      </c>
      <c r="AS1790" t="str">
        <f t="shared" si="289"/>
        <v/>
      </c>
      <c r="AT1790" t="s">
        <v>115</v>
      </c>
      <c r="AU1790" t="str">
        <f t="shared" si="290"/>
        <v>0</v>
      </c>
      <c r="BD1790" t="str">
        <f t="shared" si="291"/>
        <v>0</v>
      </c>
      <c r="BK1790" t="str">
        <f>IFERROR(VLOOKUP(B1790,'[1]model_S-フレーム'!$F$5:$R$7000,13,1),"")</f>
        <v>E369082_01</v>
      </c>
      <c r="BL1790" s="7">
        <f>IFERROR(VLOOKUP(B1790,'[1]model_S-フレーム'!$F$5:$V$7000,17,1),"")</f>
        <v>0</v>
      </c>
      <c r="BM1790" t="str" cm="1">
        <f t="array" ref="BM1790">_xlfn.IFS(LEFT(G1790,1)="L","外注品",LEFT(G1790,1)="W","内製品",G1790="","購買品")</f>
        <v>内製品</v>
      </c>
    </row>
    <row r="1791" spans="1:65">
      <c r="A1791" t="str">
        <f t="shared" si="283"/>
        <v>WG01</v>
      </c>
      <c r="B1791" t="s">
        <v>1858</v>
      </c>
      <c r="C1791" t="s">
        <v>1932</v>
      </c>
      <c r="D1791" s="7"/>
      <c r="E1791" s="7"/>
      <c r="G1791" t="s">
        <v>1939</v>
      </c>
      <c r="H1791" t="str" cm="1">
        <f t="array" ref="H1791">IFERROR(_xlfn.IFS(B1791="","",AND(B1791="",G1791=""),"",G1791="","記載要"),"")</f>
        <v/>
      </c>
      <c r="K1791" t="str">
        <f t="shared" si="284"/>
        <v>11WP01074072</v>
      </c>
      <c r="L1791" s="3" t="str">
        <f t="shared" si="285"/>
        <v>2001/01/01</v>
      </c>
      <c r="M1791" s="3" t="str">
        <f t="shared" si="286"/>
        <v>2199/12/31</v>
      </c>
      <c r="N1791" t="str">
        <f t="shared" si="287"/>
        <v>11WP01074072</v>
      </c>
      <c r="O1791">
        <v>15</v>
      </c>
      <c r="Q1791" t="str" cm="1">
        <f t="array" ref="Q1791">_xlfn.IFS(AND(C1791="",G1791=""),"",LEFT(G1791,1)="L","記載要",LEFT(G1791,1)="W","",AND(C1791,G1791=""),"記載要")</f>
        <v/>
      </c>
      <c r="R1791" s="21" t="str">
        <f t="shared" si="292"/>
        <v/>
      </c>
      <c r="S1791" s="21"/>
      <c r="Z1791" s="8"/>
      <c r="AA1791">
        <v>1</v>
      </c>
      <c r="AB1791">
        <f t="shared" si="288"/>
        <v>0</v>
      </c>
      <c r="AC1791">
        <v>1</v>
      </c>
      <c r="AF1791">
        <v>1</v>
      </c>
      <c r="AG1791" s="8"/>
      <c r="AH1791" s="8"/>
      <c r="AK1791" cm="1">
        <f t="array" ref="AK1791">_xlfn.IFS(B1791="","",LEFT(G1791,1)="L",1,LEFT(G1791,1)="W",1,AND(LEFT(B1791,1)="H",G1791=""),0)</f>
        <v>1</v>
      </c>
      <c r="AS1791" t="str">
        <f t="shared" si="289"/>
        <v/>
      </c>
      <c r="AT1791" t="s">
        <v>115</v>
      </c>
      <c r="AU1791" t="str">
        <f t="shared" si="290"/>
        <v>0</v>
      </c>
      <c r="BD1791" t="str">
        <f t="shared" si="291"/>
        <v>0</v>
      </c>
      <c r="BK1791" t="str">
        <f>IFERROR(VLOOKUP(B1791,'[1]model_S-フレーム'!$F$5:$R$7000,13,1),"")</f>
        <v>E369082_01</v>
      </c>
      <c r="BL1791" s="7">
        <f>IFERROR(VLOOKUP(B1791,'[1]model_S-フレーム'!$F$5:$V$7000,17,1),"")</f>
        <v>0</v>
      </c>
      <c r="BM1791" t="str" cm="1">
        <f t="array" ref="BM1791">_xlfn.IFS(LEFT(G1791,1)="L","外注品",LEFT(G1791,1)="W","内製品",G1791="","購買品")</f>
        <v>内製品</v>
      </c>
    </row>
    <row r="1792" spans="1:65">
      <c r="A1792" t="str">
        <f t="shared" si="283"/>
        <v>WG01</v>
      </c>
      <c r="B1792" t="s">
        <v>1859</v>
      </c>
      <c r="C1792" t="s">
        <v>1932</v>
      </c>
      <c r="D1792" s="7"/>
      <c r="E1792" s="7"/>
      <c r="G1792" t="s">
        <v>1939</v>
      </c>
      <c r="H1792" t="str" cm="1">
        <f t="array" ref="H1792">IFERROR(_xlfn.IFS(B1792="","",AND(B1792="",G1792=""),"",G1792="","記載要"),"")</f>
        <v/>
      </c>
      <c r="K1792" t="str">
        <f t="shared" si="284"/>
        <v>11WP01074073</v>
      </c>
      <c r="L1792" s="3" t="str">
        <f t="shared" si="285"/>
        <v>2001/01/01</v>
      </c>
      <c r="M1792" s="3" t="str">
        <f t="shared" si="286"/>
        <v>2199/12/31</v>
      </c>
      <c r="N1792" t="str">
        <f t="shared" si="287"/>
        <v>11WP01074073</v>
      </c>
      <c r="O1792">
        <v>15</v>
      </c>
      <c r="Q1792" t="str" cm="1">
        <f t="array" ref="Q1792">_xlfn.IFS(AND(C1792="",G1792=""),"",LEFT(G1792,1)="L","記載要",LEFT(G1792,1)="W","",AND(C1792,G1792=""),"記載要")</f>
        <v/>
      </c>
      <c r="R1792" s="21" t="str">
        <f t="shared" si="292"/>
        <v/>
      </c>
      <c r="S1792" s="21"/>
      <c r="Z1792" s="8"/>
      <c r="AA1792">
        <v>1</v>
      </c>
      <c r="AB1792">
        <f t="shared" si="288"/>
        <v>0</v>
      </c>
      <c r="AC1792">
        <v>1</v>
      </c>
      <c r="AF1792">
        <v>1</v>
      </c>
      <c r="AG1792" s="8"/>
      <c r="AH1792" s="8"/>
      <c r="AK1792" cm="1">
        <f t="array" ref="AK1792">_xlfn.IFS(B1792="","",LEFT(G1792,1)="L",1,LEFT(G1792,1)="W",1,AND(LEFT(B1792,1)="H",G1792=""),0)</f>
        <v>1</v>
      </c>
      <c r="AS1792" t="str">
        <f t="shared" si="289"/>
        <v/>
      </c>
      <c r="AT1792" t="s">
        <v>115</v>
      </c>
      <c r="AU1792" t="str">
        <f t="shared" si="290"/>
        <v>0</v>
      </c>
      <c r="BD1792" t="str">
        <f t="shared" si="291"/>
        <v>0</v>
      </c>
      <c r="BK1792" t="str">
        <f>IFERROR(VLOOKUP(B1792,'[1]model_S-フレーム'!$F$5:$R$7000,13,1),"")</f>
        <v>E369082_01</v>
      </c>
      <c r="BL1792" s="7">
        <f>IFERROR(VLOOKUP(B1792,'[1]model_S-フレーム'!$F$5:$V$7000,17,1),"")</f>
        <v>0</v>
      </c>
      <c r="BM1792" t="str" cm="1">
        <f t="array" ref="BM1792">_xlfn.IFS(LEFT(G1792,1)="L","外注品",LEFT(G1792,1)="W","内製品",G1792="","購買品")</f>
        <v>内製品</v>
      </c>
    </row>
    <row r="1793" spans="1:65">
      <c r="A1793" t="str">
        <f t="shared" si="283"/>
        <v>WG01</v>
      </c>
      <c r="B1793" t="s">
        <v>1860</v>
      </c>
      <c r="C1793" t="s">
        <v>1932</v>
      </c>
      <c r="D1793" s="7"/>
      <c r="E1793" s="7"/>
      <c r="G1793" t="s">
        <v>1939</v>
      </c>
      <c r="H1793" t="str" cm="1">
        <f t="array" ref="H1793">IFERROR(_xlfn.IFS(B1793="","",AND(B1793="",G1793=""),"",G1793="","記載要"),"")</f>
        <v/>
      </c>
      <c r="K1793" t="str">
        <f t="shared" si="284"/>
        <v>11WP01074074</v>
      </c>
      <c r="L1793" s="3" t="str">
        <f t="shared" si="285"/>
        <v>2001/01/01</v>
      </c>
      <c r="M1793" s="3" t="str">
        <f t="shared" si="286"/>
        <v>2199/12/31</v>
      </c>
      <c r="N1793" t="str">
        <f t="shared" si="287"/>
        <v>11WP01074074</v>
      </c>
      <c r="O1793">
        <v>15</v>
      </c>
      <c r="Q1793" t="str" cm="1">
        <f t="array" ref="Q1793">_xlfn.IFS(AND(C1793="",G1793=""),"",LEFT(G1793,1)="L","記載要",LEFT(G1793,1)="W","",AND(C1793,G1793=""),"記載要")</f>
        <v/>
      </c>
      <c r="R1793" s="21" t="str">
        <f t="shared" si="292"/>
        <v/>
      </c>
      <c r="S1793" s="21"/>
      <c r="Z1793" s="8"/>
      <c r="AA1793">
        <v>1</v>
      </c>
      <c r="AB1793">
        <f t="shared" si="288"/>
        <v>0</v>
      </c>
      <c r="AC1793">
        <v>1</v>
      </c>
      <c r="AF1793">
        <v>1</v>
      </c>
      <c r="AG1793" s="8"/>
      <c r="AH1793" s="8"/>
      <c r="AK1793" cm="1">
        <f t="array" ref="AK1793">_xlfn.IFS(B1793="","",LEFT(G1793,1)="L",1,LEFT(G1793,1)="W",1,AND(LEFT(B1793,1)="H",G1793=""),0)</f>
        <v>1</v>
      </c>
      <c r="AS1793" t="str">
        <f t="shared" si="289"/>
        <v/>
      </c>
      <c r="AT1793" t="s">
        <v>115</v>
      </c>
      <c r="AU1793" t="str">
        <f t="shared" si="290"/>
        <v>0</v>
      </c>
      <c r="BD1793" t="str">
        <f t="shared" si="291"/>
        <v>0</v>
      </c>
      <c r="BK1793" t="str">
        <f>IFERROR(VLOOKUP(B1793,'[1]model_S-フレーム'!$F$5:$R$7000,13,1),"")</f>
        <v>E369082_01</v>
      </c>
      <c r="BL1793" s="7">
        <f>IFERROR(VLOOKUP(B1793,'[1]model_S-フレーム'!$F$5:$V$7000,17,1),"")</f>
        <v>0</v>
      </c>
      <c r="BM1793" t="str" cm="1">
        <f t="array" ref="BM1793">_xlfn.IFS(LEFT(G1793,1)="L","外注品",LEFT(G1793,1)="W","内製品",G1793="","購買品")</f>
        <v>内製品</v>
      </c>
    </row>
    <row r="1794" spans="1:65">
      <c r="A1794" t="str">
        <f t="shared" si="283"/>
        <v>WG01</v>
      </c>
      <c r="B1794" t="s">
        <v>1861</v>
      </c>
      <c r="C1794" t="s">
        <v>1932</v>
      </c>
      <c r="D1794" s="7"/>
      <c r="E1794" s="7"/>
      <c r="G1794" t="s">
        <v>1939</v>
      </c>
      <c r="H1794" t="str" cm="1">
        <f t="array" ref="H1794">IFERROR(_xlfn.IFS(B1794="","",AND(B1794="",G1794=""),"",G1794="","記載要"),"")</f>
        <v/>
      </c>
      <c r="K1794" t="str">
        <f t="shared" si="284"/>
        <v>11WP01074075</v>
      </c>
      <c r="L1794" s="3" t="str">
        <f t="shared" si="285"/>
        <v>2001/01/01</v>
      </c>
      <c r="M1794" s="3" t="str">
        <f t="shared" si="286"/>
        <v>2199/12/31</v>
      </c>
      <c r="N1794" t="str">
        <f t="shared" si="287"/>
        <v>11WP01074075</v>
      </c>
      <c r="O1794">
        <v>15</v>
      </c>
      <c r="Q1794" t="str" cm="1">
        <f t="array" ref="Q1794">_xlfn.IFS(AND(C1794="",G1794=""),"",LEFT(G1794,1)="L","記載要",LEFT(G1794,1)="W","",AND(C1794,G1794=""),"記載要")</f>
        <v/>
      </c>
      <c r="R1794" s="21" t="str">
        <f t="shared" si="292"/>
        <v/>
      </c>
      <c r="S1794" s="21"/>
      <c r="Z1794" s="8"/>
      <c r="AA1794">
        <v>1</v>
      </c>
      <c r="AB1794">
        <f t="shared" si="288"/>
        <v>0</v>
      </c>
      <c r="AC1794">
        <v>1</v>
      </c>
      <c r="AF1794">
        <v>1</v>
      </c>
      <c r="AG1794" s="8"/>
      <c r="AH1794" s="8"/>
      <c r="AK1794" cm="1">
        <f t="array" ref="AK1794">_xlfn.IFS(B1794="","",LEFT(G1794,1)="L",1,LEFT(G1794,1)="W",1,AND(LEFT(B1794,1)="H",G1794=""),0)</f>
        <v>1</v>
      </c>
      <c r="AS1794" t="str">
        <f t="shared" si="289"/>
        <v/>
      </c>
      <c r="AT1794" t="s">
        <v>115</v>
      </c>
      <c r="AU1794" t="str">
        <f t="shared" si="290"/>
        <v>0</v>
      </c>
      <c r="BD1794" t="str">
        <f t="shared" si="291"/>
        <v>0</v>
      </c>
      <c r="BK1794" t="str">
        <f>IFERROR(VLOOKUP(B1794,'[1]model_S-フレーム'!$F$5:$R$7000,13,1),"")</f>
        <v>E369082_01</v>
      </c>
      <c r="BL1794" s="7">
        <f>IFERROR(VLOOKUP(B1794,'[1]model_S-フレーム'!$F$5:$V$7000,17,1),"")</f>
        <v>0</v>
      </c>
      <c r="BM1794" t="str" cm="1">
        <f t="array" ref="BM1794">_xlfn.IFS(LEFT(G1794,1)="L","外注品",LEFT(G1794,1)="W","内製品",G1794="","購買品")</f>
        <v>内製品</v>
      </c>
    </row>
    <row r="1795" spans="1:65">
      <c r="A1795" t="str">
        <f t="shared" ref="A1795:A1856" si="294">IF(B1795="","","WG01")</f>
        <v>WG01</v>
      </c>
      <c r="B1795" t="s">
        <v>1862</v>
      </c>
      <c r="C1795" t="s">
        <v>1932</v>
      </c>
      <c r="D1795" s="7"/>
      <c r="E1795" s="7"/>
      <c r="G1795" t="s">
        <v>1939</v>
      </c>
      <c r="H1795" t="str" cm="1">
        <f t="array" ref="H1795">IFERROR(_xlfn.IFS(B1795="","",AND(B1795="",G1795=""),"",G1795="","記載要"),"")</f>
        <v/>
      </c>
      <c r="K1795" t="str">
        <f t="shared" ref="K1795:K1856" si="295">IF(G1795="","","11"&amp;G1795&amp;RIGHT(B1795,5))</f>
        <v>11WP01074076</v>
      </c>
      <c r="L1795" s="3" t="str">
        <f t="shared" ref="L1795:L1856" si="296">IF(B1795="","","2001/01/01")</f>
        <v>2001/01/01</v>
      </c>
      <c r="M1795" s="3" t="str">
        <f t="shared" ref="M1795:M1856" si="297">IF(C1795="","","2199/12/31")</f>
        <v>2199/12/31</v>
      </c>
      <c r="N1795" t="str">
        <f t="shared" ref="N1795:N1856" si="298">IF(LEFT(G1795,1)="W",K1795,"")</f>
        <v>11WP01074076</v>
      </c>
      <c r="O1795">
        <v>15</v>
      </c>
      <c r="Q1795" t="str" cm="1">
        <f t="array" ref="Q1795">_xlfn.IFS(AND(C1795="",G1795=""),"",LEFT(G1795,1)="L","記載要",LEFT(G1795,1)="W","",AND(C1795,G1795=""),"記載要")</f>
        <v/>
      </c>
      <c r="R1795" s="21" t="str">
        <f t="shared" si="292"/>
        <v/>
      </c>
      <c r="S1795" s="21"/>
      <c r="Z1795" s="8"/>
      <c r="AA1795">
        <v>1</v>
      </c>
      <c r="AB1795">
        <f t="shared" ref="AB1795:AB1856" si="299">IF(B1795="","",0)</f>
        <v>0</v>
      </c>
      <c r="AC1795">
        <v>1</v>
      </c>
      <c r="AF1795">
        <v>1</v>
      </c>
      <c r="AG1795" s="8"/>
      <c r="AH1795" s="8"/>
      <c r="AK1795" cm="1">
        <f t="array" ref="AK1795">_xlfn.IFS(B1795="","",LEFT(G1795,1)="L",1,LEFT(G1795,1)="W",1,AND(LEFT(B1795,1)="H",G1795=""),0)</f>
        <v>1</v>
      </c>
      <c r="AS1795" t="str">
        <f t="shared" ref="AS1795:AS1856" si="300">IF(Q1795="","",1)</f>
        <v/>
      </c>
      <c r="AT1795" t="s">
        <v>115</v>
      </c>
      <c r="AU1795" t="str">
        <f t="shared" ref="AU1795:AU1856" si="301">IF(B1795="","","0")</f>
        <v>0</v>
      </c>
      <c r="BD1795" t="str">
        <f t="shared" ref="BD1795:BD1856" si="302">IF(B1795="","","0")</f>
        <v>0</v>
      </c>
      <c r="BK1795" t="str">
        <f>IFERROR(VLOOKUP(B1795,'[1]model_S-フレーム'!$F$5:$R$7000,13,1),"")</f>
        <v>E369082_01</v>
      </c>
      <c r="BL1795" s="7">
        <f>IFERROR(VLOOKUP(B1795,'[1]model_S-フレーム'!$F$5:$V$7000,17,1),"")</f>
        <v>0</v>
      </c>
      <c r="BM1795" t="str" cm="1">
        <f t="array" ref="BM1795">_xlfn.IFS(LEFT(G1795,1)="L","外注品",LEFT(G1795,1)="W","内製品",G1795="","購買品")</f>
        <v>内製品</v>
      </c>
    </row>
    <row r="1796" spans="1:65" s="17" customFormat="1">
      <c r="A1796" t="str">
        <f t="shared" si="294"/>
        <v>WG01</v>
      </c>
      <c r="B1796" t="s">
        <v>1863</v>
      </c>
      <c r="C1796" t="s">
        <v>1933</v>
      </c>
      <c r="D1796" s="7"/>
      <c r="E1796" s="7"/>
      <c r="F1796"/>
      <c r="G1796"/>
      <c r="H1796">
        <v>27616</v>
      </c>
      <c r="I1796"/>
      <c r="J1796"/>
      <c r="K1796" t="str">
        <f t="shared" si="295"/>
        <v/>
      </c>
      <c r="L1796" s="3" t="str">
        <f t="shared" si="296"/>
        <v>2001/01/01</v>
      </c>
      <c r="M1796" s="3" t="str">
        <f t="shared" si="297"/>
        <v>2199/12/31</v>
      </c>
      <c r="N1796" t="str">
        <f t="shared" si="298"/>
        <v/>
      </c>
      <c r="O1796" t="str">
        <f t="shared" ref="O1796:O1811" si="303">IF(G1796="","","記載要")</f>
        <v/>
      </c>
      <c r="P1796"/>
      <c r="Q1796">
        <v>15</v>
      </c>
      <c r="R1796" s="21">
        <v>100000000</v>
      </c>
      <c r="S1796" s="21" t="str" cm="1">
        <f t="array" ref="S1796">_xlfn.IFS(LEFT(G1796,1)="L","記載要",LEFT(G1796,1)="W","記載要",G1796="","")</f>
        <v/>
      </c>
      <c r="T1796"/>
      <c r="U1796"/>
      <c r="V1796"/>
      <c r="W1796"/>
      <c r="X1796"/>
      <c r="Y1796"/>
      <c r="Z1796" s="8"/>
      <c r="AA1796" s="8">
        <v>1</v>
      </c>
      <c r="AB1796">
        <f t="shared" si="299"/>
        <v>0</v>
      </c>
      <c r="AC1796" s="8">
        <v>1</v>
      </c>
      <c r="AD1796"/>
      <c r="AE1796"/>
      <c r="AF1796">
        <v>1</v>
      </c>
      <c r="AG1796" s="8"/>
      <c r="AH1796" s="8"/>
      <c r="AI1796"/>
      <c r="AJ1796"/>
      <c r="AK1796" cm="1">
        <f t="array" ref="AK1796">_xlfn.IFS(B1796="","",LEFT(G1796,1)="L",1,LEFT(G1796,1)="W",1,AND(LEFT(B1796,1)="H",G1796=""),0)</f>
        <v>0</v>
      </c>
      <c r="AL1796"/>
      <c r="AM1796"/>
      <c r="AN1796"/>
      <c r="AO1796"/>
      <c r="AP1796"/>
      <c r="AQ1796"/>
      <c r="AR1796"/>
      <c r="AS1796">
        <f t="shared" si="300"/>
        <v>1</v>
      </c>
      <c r="AT1796" t="s">
        <v>115</v>
      </c>
      <c r="AU1796" t="str">
        <f t="shared" si="301"/>
        <v>0</v>
      </c>
      <c r="AV1796"/>
      <c r="AW1796"/>
      <c r="AX1796"/>
      <c r="AY1796"/>
      <c r="AZ1796"/>
      <c r="BA1796"/>
      <c r="BB1796"/>
      <c r="BC1796"/>
      <c r="BD1796" t="str">
        <f t="shared" si="302"/>
        <v>0</v>
      </c>
      <c r="BE1796"/>
      <c r="BF1796"/>
      <c r="BG1796"/>
      <c r="BH1796"/>
      <c r="BI1796"/>
      <c r="BJ1796"/>
      <c r="BK1796" s="17" t="str">
        <f>IFERROR(VLOOKUP(B1796,'[1]model_S-フレーム'!$F$5:$R$7000,13,1),"")</f>
        <v>E369081_01</v>
      </c>
      <c r="BL1796" s="18">
        <f>IFERROR(VLOOKUP(B1796,'[1]model_S-フレーム'!$F$5:$V$7000,17,1),"")</f>
        <v>0</v>
      </c>
      <c r="BM1796" s="17" t="str" cm="1">
        <f t="array" ref="BM1796">_xlfn.IFS(LEFT(G1796,1)="L","外注品",LEFT(G1796,1)="W","内製品",G1796="","購買品")</f>
        <v>購買品</v>
      </c>
    </row>
    <row r="1797" spans="1:65" s="17" customFormat="1">
      <c r="A1797" t="str">
        <f t="shared" si="294"/>
        <v>WG01</v>
      </c>
      <c r="B1797" t="s">
        <v>1863</v>
      </c>
      <c r="C1797" t="s">
        <v>1933</v>
      </c>
      <c r="D1797" s="7"/>
      <c r="E1797" s="7"/>
      <c r="F1797"/>
      <c r="G1797"/>
      <c r="H1797">
        <v>43453</v>
      </c>
      <c r="I1797"/>
      <c r="J1797"/>
      <c r="K1797" t="str">
        <f t="shared" si="295"/>
        <v/>
      </c>
      <c r="L1797" s="3" t="str">
        <f t="shared" si="296"/>
        <v>2001/01/01</v>
      </c>
      <c r="M1797" s="3" t="str">
        <f t="shared" si="297"/>
        <v>2199/12/31</v>
      </c>
      <c r="N1797" t="str">
        <f t="shared" si="298"/>
        <v/>
      </c>
      <c r="O1797" t="str">
        <f t="shared" si="303"/>
        <v/>
      </c>
      <c r="P1797"/>
      <c r="Q1797">
        <v>15</v>
      </c>
      <c r="R1797" s="21">
        <v>100000000</v>
      </c>
      <c r="S1797" s="21" t="str" cm="1">
        <f t="array" ref="S1797">_xlfn.IFS(LEFT(G1797,1)="L","記載要",LEFT(G1797,1)="W","記載要",G1797="","")</f>
        <v/>
      </c>
      <c r="T1797"/>
      <c r="U1797"/>
      <c r="V1797"/>
      <c r="W1797"/>
      <c r="X1797"/>
      <c r="Y1797"/>
      <c r="Z1797" s="8"/>
      <c r="AA1797" s="8">
        <v>1</v>
      </c>
      <c r="AB1797">
        <f t="shared" si="299"/>
        <v>0</v>
      </c>
      <c r="AC1797" s="8">
        <v>1</v>
      </c>
      <c r="AD1797"/>
      <c r="AE1797"/>
      <c r="AF1797">
        <v>0</v>
      </c>
      <c r="AG1797" s="8"/>
      <c r="AH1797" s="8"/>
      <c r="AI1797"/>
      <c r="AJ1797"/>
      <c r="AK1797" cm="1">
        <f t="array" ref="AK1797">_xlfn.IFS(B1797="","",LEFT(G1797,1)="L",1,LEFT(G1797,1)="W",1,AND(LEFT(B1797,1)="H",G1797=""),0)</f>
        <v>0</v>
      </c>
      <c r="AL1797"/>
      <c r="AM1797"/>
      <c r="AN1797"/>
      <c r="AO1797"/>
      <c r="AP1797"/>
      <c r="AQ1797"/>
      <c r="AR1797"/>
      <c r="AS1797">
        <f t="shared" si="300"/>
        <v>1</v>
      </c>
      <c r="AT1797" t="s">
        <v>115</v>
      </c>
      <c r="AU1797" t="str">
        <f t="shared" si="301"/>
        <v>0</v>
      </c>
      <c r="AV1797"/>
      <c r="AW1797"/>
      <c r="AX1797"/>
      <c r="AY1797"/>
      <c r="AZ1797"/>
      <c r="BA1797"/>
      <c r="BB1797"/>
      <c r="BC1797"/>
      <c r="BD1797" t="str">
        <f t="shared" si="302"/>
        <v>0</v>
      </c>
      <c r="BE1797"/>
      <c r="BF1797"/>
      <c r="BG1797"/>
      <c r="BH1797"/>
      <c r="BI1797"/>
      <c r="BJ1797"/>
      <c r="BK1797" s="17" t="str">
        <f>IFERROR(VLOOKUP(B1797,'[1]model_S-フレーム'!$F$5:$R$7000,13,1),"")</f>
        <v>E369081_01</v>
      </c>
      <c r="BL1797" s="18">
        <f>IFERROR(VLOOKUP(B1797,'[1]model_S-フレーム'!$F$5:$V$7000,17,1),"")</f>
        <v>0</v>
      </c>
      <c r="BM1797" s="17" t="str" cm="1">
        <f t="array" ref="BM1797">_xlfn.IFS(LEFT(G1797,1)="L","外注品",LEFT(G1797,1)="W","内製品",G1797="","購買品")</f>
        <v>購買品</v>
      </c>
    </row>
    <row r="1798" spans="1:65" s="17" customFormat="1">
      <c r="A1798" t="str">
        <f t="shared" si="294"/>
        <v>WG01</v>
      </c>
      <c r="B1798" t="s">
        <v>1863</v>
      </c>
      <c r="C1798" t="s">
        <v>1933</v>
      </c>
      <c r="D1798" s="7"/>
      <c r="E1798" s="7"/>
      <c r="F1798"/>
      <c r="G1798"/>
      <c r="H1798">
        <v>47081</v>
      </c>
      <c r="I1798"/>
      <c r="J1798"/>
      <c r="K1798" t="str">
        <f t="shared" si="295"/>
        <v/>
      </c>
      <c r="L1798" s="3" t="str">
        <f t="shared" si="296"/>
        <v>2001/01/01</v>
      </c>
      <c r="M1798" s="3" t="str">
        <f t="shared" si="297"/>
        <v>2199/12/31</v>
      </c>
      <c r="N1798" t="str">
        <f t="shared" si="298"/>
        <v/>
      </c>
      <c r="O1798" t="str">
        <f t="shared" si="303"/>
        <v/>
      </c>
      <c r="P1798"/>
      <c r="Q1798">
        <v>15</v>
      </c>
      <c r="R1798" s="21">
        <v>100000000</v>
      </c>
      <c r="S1798" s="21" t="str" cm="1">
        <f t="array" ref="S1798">_xlfn.IFS(LEFT(G1798,1)="L","記載要",LEFT(G1798,1)="W","記載要",G1798="","")</f>
        <v/>
      </c>
      <c r="T1798"/>
      <c r="U1798"/>
      <c r="V1798"/>
      <c r="W1798"/>
      <c r="X1798"/>
      <c r="Y1798"/>
      <c r="Z1798" s="8"/>
      <c r="AA1798" s="8">
        <v>1</v>
      </c>
      <c r="AB1798">
        <f t="shared" si="299"/>
        <v>0</v>
      </c>
      <c r="AC1798" s="8">
        <v>1</v>
      </c>
      <c r="AD1798"/>
      <c r="AE1798"/>
      <c r="AF1798">
        <v>0</v>
      </c>
      <c r="AG1798" s="8"/>
      <c r="AH1798" s="8"/>
      <c r="AI1798"/>
      <c r="AJ1798"/>
      <c r="AK1798" cm="1">
        <f t="array" ref="AK1798">_xlfn.IFS(B1798="","",LEFT(G1798,1)="L",1,LEFT(G1798,1)="W",1,AND(LEFT(B1798,1)="H",G1798=""),0)</f>
        <v>0</v>
      </c>
      <c r="AL1798"/>
      <c r="AM1798"/>
      <c r="AN1798"/>
      <c r="AO1798"/>
      <c r="AP1798"/>
      <c r="AQ1798"/>
      <c r="AR1798"/>
      <c r="AS1798">
        <f t="shared" si="300"/>
        <v>1</v>
      </c>
      <c r="AT1798" t="s">
        <v>115</v>
      </c>
      <c r="AU1798" t="str">
        <f t="shared" si="301"/>
        <v>0</v>
      </c>
      <c r="AV1798"/>
      <c r="AW1798"/>
      <c r="AX1798"/>
      <c r="AY1798"/>
      <c r="AZ1798"/>
      <c r="BA1798"/>
      <c r="BB1798"/>
      <c r="BC1798"/>
      <c r="BD1798" t="str">
        <f t="shared" si="302"/>
        <v>0</v>
      </c>
      <c r="BE1798"/>
      <c r="BF1798"/>
      <c r="BG1798"/>
      <c r="BH1798"/>
      <c r="BI1798"/>
      <c r="BJ1798"/>
      <c r="BK1798" s="17" t="str">
        <f>IFERROR(VLOOKUP(B1798,'[1]model_S-フレーム'!$F$5:$R$7000,13,1),"")</f>
        <v>E369081_01</v>
      </c>
      <c r="BL1798" s="18">
        <f>IFERROR(VLOOKUP(B1798,'[1]model_S-フレーム'!$F$5:$V$7000,17,1),"")</f>
        <v>0</v>
      </c>
      <c r="BM1798" s="17" t="str" cm="1">
        <f t="array" ref="BM1798">_xlfn.IFS(LEFT(G1798,1)="L","外注品",LEFT(G1798,1)="W","内製品",G1798="","購買品")</f>
        <v>購買品</v>
      </c>
    </row>
    <row r="1799" spans="1:65">
      <c r="A1799" t="str">
        <f t="shared" si="294"/>
        <v>WG01</v>
      </c>
      <c r="B1799" t="s">
        <v>1863</v>
      </c>
      <c r="C1799" t="s">
        <v>1933</v>
      </c>
      <c r="D1799" s="7"/>
      <c r="E1799" s="7"/>
      <c r="H1799" s="19" t="s">
        <v>1937</v>
      </c>
      <c r="K1799" t="str">
        <f t="shared" si="295"/>
        <v/>
      </c>
      <c r="L1799" s="3" t="str">
        <f t="shared" si="296"/>
        <v>2001/01/01</v>
      </c>
      <c r="M1799" s="3" t="str">
        <f t="shared" si="297"/>
        <v>2199/12/31</v>
      </c>
      <c r="N1799" t="str">
        <f t="shared" si="298"/>
        <v/>
      </c>
      <c r="O1799" t="str">
        <f t="shared" si="303"/>
        <v/>
      </c>
      <c r="Q1799">
        <v>15</v>
      </c>
      <c r="R1799" s="21">
        <v>100000000</v>
      </c>
      <c r="S1799" s="21" t="str" cm="1">
        <f t="array" ref="S1799">_xlfn.IFS(LEFT(G1799,1)="L","記載要",LEFT(G1799,1)="W","記載要",G1799="","")</f>
        <v/>
      </c>
      <c r="Z1799" s="8"/>
      <c r="AA1799" s="8">
        <v>1</v>
      </c>
      <c r="AB1799">
        <f t="shared" si="299"/>
        <v>0</v>
      </c>
      <c r="AC1799" s="8">
        <v>1</v>
      </c>
      <c r="AF1799">
        <v>0</v>
      </c>
      <c r="AG1799" s="8"/>
      <c r="AH1799" s="8"/>
      <c r="AK1799" cm="1">
        <f t="array" ref="AK1799">_xlfn.IFS(B1799="","",LEFT(G1799,1)="L",1,LEFT(G1799,1)="W",1,AND(LEFT(B1799,1)="H",G1799=""),0)</f>
        <v>0</v>
      </c>
      <c r="AS1799">
        <f t="shared" si="300"/>
        <v>1</v>
      </c>
      <c r="AT1799" t="s">
        <v>115</v>
      </c>
      <c r="AU1799" t="str">
        <f t="shared" si="301"/>
        <v>0</v>
      </c>
      <c r="BD1799" t="str">
        <f t="shared" si="302"/>
        <v>0</v>
      </c>
      <c r="BK1799" t="str">
        <f>IFERROR(VLOOKUP(B1799,'[1]model_S-フレーム'!$F$5:$R$7000,13,1),"")</f>
        <v>E369081_01</v>
      </c>
      <c r="BL1799" s="7">
        <f>IFERROR(VLOOKUP(B1799,'[1]model_S-フレーム'!$F$5:$V$7000,17,1),"")</f>
        <v>0</v>
      </c>
      <c r="BM1799" t="str" cm="1">
        <f t="array" ref="BM1799">_xlfn.IFS(LEFT(G1799,1)="L","外注品",LEFT(G1799,1)="W","内製品",G1799="","購買品")</f>
        <v>購買品</v>
      </c>
    </row>
    <row r="1800" spans="1:65" s="17" customFormat="1">
      <c r="A1800" t="str">
        <f t="shared" si="294"/>
        <v>WG01</v>
      </c>
      <c r="B1800" t="s">
        <v>1864</v>
      </c>
      <c r="C1800" t="s">
        <v>1933</v>
      </c>
      <c r="D1800" s="7"/>
      <c r="E1800" s="7"/>
      <c r="F1800"/>
      <c r="G1800"/>
      <c r="H1800">
        <v>27616</v>
      </c>
      <c r="I1800"/>
      <c r="J1800"/>
      <c r="K1800" t="str">
        <f t="shared" si="295"/>
        <v/>
      </c>
      <c r="L1800" s="3" t="str">
        <f t="shared" si="296"/>
        <v>2001/01/01</v>
      </c>
      <c r="M1800" s="3" t="str">
        <f t="shared" si="297"/>
        <v>2199/12/31</v>
      </c>
      <c r="N1800" t="str">
        <f t="shared" si="298"/>
        <v/>
      </c>
      <c r="O1800" t="str">
        <f t="shared" si="303"/>
        <v/>
      </c>
      <c r="P1800"/>
      <c r="Q1800">
        <v>15</v>
      </c>
      <c r="R1800" s="21">
        <v>100000000</v>
      </c>
      <c r="S1800" s="21" t="str" cm="1">
        <f t="array" ref="S1800">_xlfn.IFS(LEFT(G1800,1)="L","記載要",LEFT(G1800,1)="W","記載要",G1800="","")</f>
        <v/>
      </c>
      <c r="T1800"/>
      <c r="U1800"/>
      <c r="V1800"/>
      <c r="W1800"/>
      <c r="X1800"/>
      <c r="Y1800"/>
      <c r="Z1800" s="8"/>
      <c r="AA1800" s="8">
        <v>1</v>
      </c>
      <c r="AB1800">
        <f t="shared" si="299"/>
        <v>0</v>
      </c>
      <c r="AC1800" s="8">
        <v>1</v>
      </c>
      <c r="AD1800"/>
      <c r="AE1800"/>
      <c r="AF1800">
        <v>1</v>
      </c>
      <c r="AG1800" s="8"/>
      <c r="AH1800" s="8"/>
      <c r="AI1800"/>
      <c r="AJ1800"/>
      <c r="AK1800" cm="1">
        <f t="array" ref="AK1800">_xlfn.IFS(B1800="","",LEFT(G1800,1)="L",1,LEFT(G1800,1)="W",1,AND(LEFT(B1800,1)="H",G1800=""),0)</f>
        <v>0</v>
      </c>
      <c r="AL1800"/>
      <c r="AM1800"/>
      <c r="AN1800"/>
      <c r="AO1800"/>
      <c r="AP1800"/>
      <c r="AQ1800"/>
      <c r="AR1800"/>
      <c r="AS1800">
        <f t="shared" si="300"/>
        <v>1</v>
      </c>
      <c r="AT1800" t="s">
        <v>115</v>
      </c>
      <c r="AU1800" t="str">
        <f t="shared" si="301"/>
        <v>0</v>
      </c>
      <c r="AV1800"/>
      <c r="AW1800"/>
      <c r="AX1800"/>
      <c r="AY1800"/>
      <c r="AZ1800"/>
      <c r="BA1800"/>
      <c r="BB1800"/>
      <c r="BC1800"/>
      <c r="BD1800" t="str">
        <f t="shared" si="302"/>
        <v>0</v>
      </c>
      <c r="BE1800"/>
      <c r="BF1800"/>
      <c r="BG1800"/>
      <c r="BH1800"/>
      <c r="BI1800"/>
      <c r="BJ1800"/>
      <c r="BK1800" s="17" t="str">
        <f>IFERROR(VLOOKUP(B1800,'[1]model_S-フレーム'!$F$5:$R$7000,13,1),"")</f>
        <v>E369081_01</v>
      </c>
      <c r="BL1800" s="18">
        <f>IFERROR(VLOOKUP(B1800,'[1]model_S-フレーム'!$F$5:$V$7000,17,1),"")</f>
        <v>0</v>
      </c>
      <c r="BM1800" s="17" t="str" cm="1">
        <f t="array" ref="BM1800">_xlfn.IFS(LEFT(G1800,1)="L","外注品",LEFT(G1800,1)="W","内製品",G1800="","購買品")</f>
        <v>購買品</v>
      </c>
    </row>
    <row r="1801" spans="1:65" s="17" customFormat="1">
      <c r="A1801" t="str">
        <f t="shared" si="294"/>
        <v>WG01</v>
      </c>
      <c r="B1801" t="s">
        <v>1864</v>
      </c>
      <c r="C1801" t="s">
        <v>1933</v>
      </c>
      <c r="D1801" s="7"/>
      <c r="E1801" s="7"/>
      <c r="F1801"/>
      <c r="G1801"/>
      <c r="H1801">
        <v>43453</v>
      </c>
      <c r="I1801"/>
      <c r="J1801"/>
      <c r="K1801" t="str">
        <f t="shared" si="295"/>
        <v/>
      </c>
      <c r="L1801" s="3" t="str">
        <f t="shared" si="296"/>
        <v>2001/01/01</v>
      </c>
      <c r="M1801" s="3" t="str">
        <f t="shared" si="297"/>
        <v>2199/12/31</v>
      </c>
      <c r="N1801" t="str">
        <f t="shared" si="298"/>
        <v/>
      </c>
      <c r="O1801" t="str">
        <f t="shared" si="303"/>
        <v/>
      </c>
      <c r="P1801"/>
      <c r="Q1801">
        <v>15</v>
      </c>
      <c r="R1801" s="21">
        <v>100000000</v>
      </c>
      <c r="S1801" s="21" t="str" cm="1">
        <f t="array" ref="S1801">_xlfn.IFS(LEFT(G1801,1)="L","記載要",LEFT(G1801,1)="W","記載要",G1801="","")</f>
        <v/>
      </c>
      <c r="T1801"/>
      <c r="U1801"/>
      <c r="V1801"/>
      <c r="W1801"/>
      <c r="X1801"/>
      <c r="Y1801"/>
      <c r="Z1801" s="8"/>
      <c r="AA1801" s="8">
        <v>1</v>
      </c>
      <c r="AB1801">
        <f t="shared" si="299"/>
        <v>0</v>
      </c>
      <c r="AC1801" s="8">
        <v>1</v>
      </c>
      <c r="AD1801"/>
      <c r="AE1801"/>
      <c r="AF1801">
        <v>0</v>
      </c>
      <c r="AG1801" s="8"/>
      <c r="AH1801" s="8"/>
      <c r="AI1801"/>
      <c r="AJ1801"/>
      <c r="AK1801" cm="1">
        <f t="array" ref="AK1801">_xlfn.IFS(B1801="","",LEFT(G1801,1)="L",1,LEFT(G1801,1)="W",1,AND(LEFT(B1801,1)="H",G1801=""),0)</f>
        <v>0</v>
      </c>
      <c r="AL1801"/>
      <c r="AM1801"/>
      <c r="AN1801"/>
      <c r="AO1801"/>
      <c r="AP1801"/>
      <c r="AQ1801"/>
      <c r="AR1801"/>
      <c r="AS1801">
        <f t="shared" si="300"/>
        <v>1</v>
      </c>
      <c r="AT1801" t="s">
        <v>115</v>
      </c>
      <c r="AU1801" t="str">
        <f t="shared" si="301"/>
        <v>0</v>
      </c>
      <c r="AV1801"/>
      <c r="AW1801"/>
      <c r="AX1801"/>
      <c r="AY1801"/>
      <c r="AZ1801"/>
      <c r="BA1801"/>
      <c r="BB1801"/>
      <c r="BC1801"/>
      <c r="BD1801" t="str">
        <f t="shared" si="302"/>
        <v>0</v>
      </c>
      <c r="BE1801"/>
      <c r="BF1801"/>
      <c r="BG1801"/>
      <c r="BH1801"/>
      <c r="BI1801"/>
      <c r="BJ1801"/>
      <c r="BK1801" s="17" t="str">
        <f>IFERROR(VLOOKUP(B1801,'[1]model_S-フレーム'!$F$5:$R$7000,13,1),"")</f>
        <v>E369081_01</v>
      </c>
      <c r="BL1801" s="18">
        <f>IFERROR(VLOOKUP(B1801,'[1]model_S-フレーム'!$F$5:$V$7000,17,1),"")</f>
        <v>0</v>
      </c>
      <c r="BM1801" s="17" t="str" cm="1">
        <f t="array" ref="BM1801">_xlfn.IFS(LEFT(G1801,1)="L","外注品",LEFT(G1801,1)="W","内製品",G1801="","購買品")</f>
        <v>購買品</v>
      </c>
    </row>
    <row r="1802" spans="1:65" s="17" customFormat="1">
      <c r="A1802" t="str">
        <f t="shared" si="294"/>
        <v>WG01</v>
      </c>
      <c r="B1802" t="s">
        <v>1864</v>
      </c>
      <c r="C1802" t="s">
        <v>1933</v>
      </c>
      <c r="D1802" s="7"/>
      <c r="E1802" s="7"/>
      <c r="F1802"/>
      <c r="G1802"/>
      <c r="H1802">
        <v>47081</v>
      </c>
      <c r="I1802"/>
      <c r="J1802"/>
      <c r="K1802" t="str">
        <f t="shared" si="295"/>
        <v/>
      </c>
      <c r="L1802" s="3" t="str">
        <f t="shared" si="296"/>
        <v>2001/01/01</v>
      </c>
      <c r="M1802" s="3" t="str">
        <f t="shared" si="297"/>
        <v>2199/12/31</v>
      </c>
      <c r="N1802" t="str">
        <f t="shared" si="298"/>
        <v/>
      </c>
      <c r="O1802" t="str">
        <f t="shared" si="303"/>
        <v/>
      </c>
      <c r="P1802"/>
      <c r="Q1802">
        <v>15</v>
      </c>
      <c r="R1802" s="21">
        <v>100000000</v>
      </c>
      <c r="S1802" s="21" t="str" cm="1">
        <f t="array" ref="S1802">_xlfn.IFS(LEFT(G1802,1)="L","記載要",LEFT(G1802,1)="W","記載要",G1802="","")</f>
        <v/>
      </c>
      <c r="T1802"/>
      <c r="U1802"/>
      <c r="V1802"/>
      <c r="W1802"/>
      <c r="X1802"/>
      <c r="Y1802"/>
      <c r="Z1802" s="8"/>
      <c r="AA1802" s="8">
        <v>1</v>
      </c>
      <c r="AB1802">
        <f t="shared" si="299"/>
        <v>0</v>
      </c>
      <c r="AC1802" s="8">
        <v>1</v>
      </c>
      <c r="AD1802"/>
      <c r="AE1802"/>
      <c r="AF1802">
        <v>0</v>
      </c>
      <c r="AG1802" s="8"/>
      <c r="AH1802" s="8"/>
      <c r="AI1802"/>
      <c r="AJ1802"/>
      <c r="AK1802" cm="1">
        <f t="array" ref="AK1802">_xlfn.IFS(B1802="","",LEFT(G1802,1)="L",1,LEFT(G1802,1)="W",1,AND(LEFT(B1802,1)="H",G1802=""),0)</f>
        <v>0</v>
      </c>
      <c r="AL1802"/>
      <c r="AM1802"/>
      <c r="AN1802"/>
      <c r="AO1802"/>
      <c r="AP1802"/>
      <c r="AQ1802"/>
      <c r="AR1802"/>
      <c r="AS1802">
        <f t="shared" si="300"/>
        <v>1</v>
      </c>
      <c r="AT1802" t="s">
        <v>115</v>
      </c>
      <c r="AU1802" t="str">
        <f t="shared" si="301"/>
        <v>0</v>
      </c>
      <c r="AV1802"/>
      <c r="AW1802"/>
      <c r="AX1802"/>
      <c r="AY1802"/>
      <c r="AZ1802"/>
      <c r="BA1802"/>
      <c r="BB1802"/>
      <c r="BC1802"/>
      <c r="BD1802" t="str">
        <f t="shared" si="302"/>
        <v>0</v>
      </c>
      <c r="BE1802"/>
      <c r="BF1802"/>
      <c r="BG1802"/>
      <c r="BH1802"/>
      <c r="BI1802"/>
      <c r="BJ1802"/>
      <c r="BK1802" s="17" t="str">
        <f>IFERROR(VLOOKUP(B1802,'[1]model_S-フレーム'!$F$5:$R$7000,13,1),"")</f>
        <v>E369081_01</v>
      </c>
      <c r="BL1802" s="18">
        <f>IFERROR(VLOOKUP(B1802,'[1]model_S-フレーム'!$F$5:$V$7000,17,1),"")</f>
        <v>0</v>
      </c>
      <c r="BM1802" s="17" t="str" cm="1">
        <f t="array" ref="BM1802">_xlfn.IFS(LEFT(G1802,1)="L","外注品",LEFT(G1802,1)="W","内製品",G1802="","購買品")</f>
        <v>購買品</v>
      </c>
    </row>
    <row r="1803" spans="1:65">
      <c r="A1803" t="str">
        <f t="shared" si="294"/>
        <v>WG01</v>
      </c>
      <c r="B1803" t="s">
        <v>1864</v>
      </c>
      <c r="C1803" t="s">
        <v>1933</v>
      </c>
      <c r="D1803" s="7"/>
      <c r="E1803" s="7"/>
      <c r="H1803" s="19" t="s">
        <v>1937</v>
      </c>
      <c r="K1803" t="str">
        <f t="shared" si="295"/>
        <v/>
      </c>
      <c r="L1803" s="3" t="str">
        <f t="shared" si="296"/>
        <v>2001/01/01</v>
      </c>
      <c r="M1803" s="3" t="str">
        <f t="shared" si="297"/>
        <v>2199/12/31</v>
      </c>
      <c r="N1803" t="str">
        <f t="shared" si="298"/>
        <v/>
      </c>
      <c r="O1803" t="str">
        <f t="shared" si="303"/>
        <v/>
      </c>
      <c r="Q1803">
        <v>15</v>
      </c>
      <c r="R1803" s="21">
        <v>100000000</v>
      </c>
      <c r="S1803" s="21" t="str" cm="1">
        <f t="array" ref="S1803">_xlfn.IFS(LEFT(G1803,1)="L","記載要",LEFT(G1803,1)="W","記載要",G1803="","")</f>
        <v/>
      </c>
      <c r="Z1803" s="8"/>
      <c r="AA1803" s="8">
        <v>1</v>
      </c>
      <c r="AB1803">
        <f t="shared" si="299"/>
        <v>0</v>
      </c>
      <c r="AC1803" s="8">
        <v>1</v>
      </c>
      <c r="AF1803">
        <v>0</v>
      </c>
      <c r="AG1803" s="8"/>
      <c r="AH1803" s="8"/>
      <c r="AK1803" cm="1">
        <f t="array" ref="AK1803">_xlfn.IFS(B1803="","",LEFT(G1803,1)="L",1,LEFT(G1803,1)="W",1,AND(LEFT(B1803,1)="H",G1803=""),0)</f>
        <v>0</v>
      </c>
      <c r="AS1803">
        <f t="shared" si="300"/>
        <v>1</v>
      </c>
      <c r="AT1803" t="s">
        <v>115</v>
      </c>
      <c r="AU1803" t="str">
        <f t="shared" si="301"/>
        <v>0</v>
      </c>
      <c r="BD1803" t="str">
        <f t="shared" si="302"/>
        <v>0</v>
      </c>
      <c r="BK1803" t="str">
        <f>IFERROR(VLOOKUP(B1803,'[1]model_S-フレーム'!$F$5:$R$7000,13,1),"")</f>
        <v>E369081_01</v>
      </c>
      <c r="BL1803" s="7">
        <f>IFERROR(VLOOKUP(B1803,'[1]model_S-フレーム'!$F$5:$V$7000,17,1),"")</f>
        <v>0</v>
      </c>
      <c r="BM1803" t="str" cm="1">
        <f t="array" ref="BM1803">_xlfn.IFS(LEFT(G1803,1)="L","外注品",LEFT(G1803,1)="W","内製品",G1803="","購買品")</f>
        <v>購買品</v>
      </c>
    </row>
    <row r="1804" spans="1:65" s="17" customFormat="1">
      <c r="A1804" t="str">
        <f t="shared" si="294"/>
        <v>WG01</v>
      </c>
      <c r="B1804" t="s">
        <v>1865</v>
      </c>
      <c r="C1804" t="s">
        <v>1933</v>
      </c>
      <c r="D1804" s="7"/>
      <c r="E1804" s="7"/>
      <c r="F1804"/>
      <c r="G1804"/>
      <c r="H1804">
        <v>27616</v>
      </c>
      <c r="I1804"/>
      <c r="J1804"/>
      <c r="K1804" t="str">
        <f t="shared" si="295"/>
        <v/>
      </c>
      <c r="L1804" s="3" t="str">
        <f t="shared" si="296"/>
        <v>2001/01/01</v>
      </c>
      <c r="M1804" s="3" t="str">
        <f t="shared" si="297"/>
        <v>2199/12/31</v>
      </c>
      <c r="N1804" t="str">
        <f t="shared" si="298"/>
        <v/>
      </c>
      <c r="O1804" t="str">
        <f t="shared" si="303"/>
        <v/>
      </c>
      <c r="P1804"/>
      <c r="Q1804">
        <v>15</v>
      </c>
      <c r="R1804" s="21">
        <v>100000000</v>
      </c>
      <c r="S1804" s="21" t="str" cm="1">
        <f t="array" ref="S1804">_xlfn.IFS(LEFT(G1804,1)="L","記載要",LEFT(G1804,1)="W","記載要",G1804="","")</f>
        <v/>
      </c>
      <c r="T1804"/>
      <c r="U1804"/>
      <c r="V1804"/>
      <c r="W1804"/>
      <c r="X1804"/>
      <c r="Y1804"/>
      <c r="Z1804" s="8"/>
      <c r="AA1804" s="8">
        <v>1</v>
      </c>
      <c r="AB1804">
        <f t="shared" si="299"/>
        <v>0</v>
      </c>
      <c r="AC1804" s="8">
        <v>1</v>
      </c>
      <c r="AD1804"/>
      <c r="AE1804"/>
      <c r="AF1804">
        <v>1</v>
      </c>
      <c r="AG1804" s="8"/>
      <c r="AH1804" s="8"/>
      <c r="AI1804"/>
      <c r="AJ1804"/>
      <c r="AK1804" cm="1">
        <f t="array" ref="AK1804">_xlfn.IFS(B1804="","",LEFT(G1804,1)="L",1,LEFT(G1804,1)="W",1,AND(LEFT(B1804,1)="H",G1804=""),0)</f>
        <v>0</v>
      </c>
      <c r="AL1804"/>
      <c r="AM1804"/>
      <c r="AN1804"/>
      <c r="AO1804"/>
      <c r="AP1804"/>
      <c r="AQ1804"/>
      <c r="AR1804"/>
      <c r="AS1804">
        <f t="shared" si="300"/>
        <v>1</v>
      </c>
      <c r="AT1804" t="s">
        <v>115</v>
      </c>
      <c r="AU1804" t="str">
        <f t="shared" si="301"/>
        <v>0</v>
      </c>
      <c r="AV1804"/>
      <c r="AW1804"/>
      <c r="AX1804"/>
      <c r="AY1804"/>
      <c r="AZ1804"/>
      <c r="BA1804"/>
      <c r="BB1804"/>
      <c r="BC1804"/>
      <c r="BD1804" t="str">
        <f t="shared" si="302"/>
        <v>0</v>
      </c>
      <c r="BE1804"/>
      <c r="BF1804"/>
      <c r="BG1804"/>
      <c r="BH1804"/>
      <c r="BI1804"/>
      <c r="BJ1804"/>
      <c r="BK1804" s="17" t="str">
        <f>IFERROR(VLOOKUP(B1804,'[1]model_S-フレーム'!$F$5:$R$7000,13,1),"")</f>
        <v>E369081_01</v>
      </c>
      <c r="BL1804" s="18">
        <f>IFERROR(VLOOKUP(B1804,'[1]model_S-フレーム'!$F$5:$V$7000,17,1),"")</f>
        <v>0</v>
      </c>
      <c r="BM1804" s="17" t="str" cm="1">
        <f t="array" ref="BM1804">_xlfn.IFS(LEFT(G1804,1)="L","外注品",LEFT(G1804,1)="W","内製品",G1804="","購買品")</f>
        <v>購買品</v>
      </c>
    </row>
    <row r="1805" spans="1:65" s="17" customFormat="1">
      <c r="A1805" t="str">
        <f t="shared" si="294"/>
        <v>WG01</v>
      </c>
      <c r="B1805" t="s">
        <v>1865</v>
      </c>
      <c r="C1805" t="s">
        <v>1933</v>
      </c>
      <c r="D1805" s="7"/>
      <c r="E1805" s="7"/>
      <c r="F1805"/>
      <c r="G1805"/>
      <c r="H1805">
        <v>43453</v>
      </c>
      <c r="I1805"/>
      <c r="J1805"/>
      <c r="K1805" t="str">
        <f t="shared" si="295"/>
        <v/>
      </c>
      <c r="L1805" s="3" t="str">
        <f t="shared" si="296"/>
        <v>2001/01/01</v>
      </c>
      <c r="M1805" s="3" t="str">
        <f t="shared" si="297"/>
        <v>2199/12/31</v>
      </c>
      <c r="N1805" t="str">
        <f t="shared" si="298"/>
        <v/>
      </c>
      <c r="O1805" t="str">
        <f t="shared" si="303"/>
        <v/>
      </c>
      <c r="P1805"/>
      <c r="Q1805">
        <v>15</v>
      </c>
      <c r="R1805" s="21">
        <v>100000000</v>
      </c>
      <c r="S1805" s="21" t="str" cm="1">
        <f t="array" ref="S1805">_xlfn.IFS(LEFT(G1805,1)="L","記載要",LEFT(G1805,1)="W","記載要",G1805="","")</f>
        <v/>
      </c>
      <c r="T1805"/>
      <c r="U1805"/>
      <c r="V1805"/>
      <c r="W1805"/>
      <c r="X1805"/>
      <c r="Y1805"/>
      <c r="Z1805" s="8"/>
      <c r="AA1805" s="8">
        <v>1</v>
      </c>
      <c r="AB1805">
        <f t="shared" si="299"/>
        <v>0</v>
      </c>
      <c r="AC1805" s="8">
        <v>1</v>
      </c>
      <c r="AD1805"/>
      <c r="AE1805"/>
      <c r="AF1805">
        <v>0</v>
      </c>
      <c r="AG1805" s="8"/>
      <c r="AH1805" s="8"/>
      <c r="AI1805"/>
      <c r="AJ1805"/>
      <c r="AK1805" cm="1">
        <f t="array" ref="AK1805">_xlfn.IFS(B1805="","",LEFT(G1805,1)="L",1,LEFT(G1805,1)="W",1,AND(LEFT(B1805,1)="H",G1805=""),0)</f>
        <v>0</v>
      </c>
      <c r="AL1805"/>
      <c r="AM1805"/>
      <c r="AN1805"/>
      <c r="AO1805"/>
      <c r="AP1805"/>
      <c r="AQ1805"/>
      <c r="AR1805"/>
      <c r="AS1805">
        <f t="shared" si="300"/>
        <v>1</v>
      </c>
      <c r="AT1805" t="s">
        <v>115</v>
      </c>
      <c r="AU1805" t="str">
        <f t="shared" si="301"/>
        <v>0</v>
      </c>
      <c r="AV1805"/>
      <c r="AW1805"/>
      <c r="AX1805"/>
      <c r="AY1805"/>
      <c r="AZ1805"/>
      <c r="BA1805"/>
      <c r="BB1805"/>
      <c r="BC1805"/>
      <c r="BD1805" t="str">
        <f t="shared" si="302"/>
        <v>0</v>
      </c>
      <c r="BE1805"/>
      <c r="BF1805"/>
      <c r="BG1805"/>
      <c r="BH1805"/>
      <c r="BI1805"/>
      <c r="BJ1805"/>
      <c r="BK1805" s="17" t="str">
        <f>IFERROR(VLOOKUP(B1805,'[1]model_S-フレーム'!$F$5:$R$7000,13,1),"")</f>
        <v>E369081_01</v>
      </c>
      <c r="BL1805" s="18">
        <f>IFERROR(VLOOKUP(B1805,'[1]model_S-フレーム'!$F$5:$V$7000,17,1),"")</f>
        <v>0</v>
      </c>
      <c r="BM1805" s="17" t="str" cm="1">
        <f t="array" ref="BM1805">_xlfn.IFS(LEFT(G1805,1)="L","外注品",LEFT(G1805,1)="W","内製品",G1805="","購買品")</f>
        <v>購買品</v>
      </c>
    </row>
    <row r="1806" spans="1:65" s="17" customFormat="1">
      <c r="A1806" t="str">
        <f t="shared" si="294"/>
        <v>WG01</v>
      </c>
      <c r="B1806" t="s">
        <v>1865</v>
      </c>
      <c r="C1806" t="s">
        <v>1933</v>
      </c>
      <c r="D1806" s="7"/>
      <c r="E1806" s="7"/>
      <c r="F1806"/>
      <c r="G1806"/>
      <c r="H1806">
        <v>47081</v>
      </c>
      <c r="I1806"/>
      <c r="J1806"/>
      <c r="K1806" t="str">
        <f t="shared" si="295"/>
        <v/>
      </c>
      <c r="L1806" s="3" t="str">
        <f t="shared" si="296"/>
        <v>2001/01/01</v>
      </c>
      <c r="M1806" s="3" t="str">
        <f t="shared" si="297"/>
        <v>2199/12/31</v>
      </c>
      <c r="N1806" t="str">
        <f t="shared" si="298"/>
        <v/>
      </c>
      <c r="O1806" t="str">
        <f t="shared" si="303"/>
        <v/>
      </c>
      <c r="P1806"/>
      <c r="Q1806">
        <v>15</v>
      </c>
      <c r="R1806" s="21">
        <v>100000000</v>
      </c>
      <c r="S1806" s="21" t="str" cm="1">
        <f t="array" ref="S1806">_xlfn.IFS(LEFT(G1806,1)="L","記載要",LEFT(G1806,1)="W","記載要",G1806="","")</f>
        <v/>
      </c>
      <c r="T1806"/>
      <c r="U1806"/>
      <c r="V1806"/>
      <c r="W1806"/>
      <c r="X1806"/>
      <c r="Y1806"/>
      <c r="Z1806" s="8"/>
      <c r="AA1806" s="8">
        <v>1</v>
      </c>
      <c r="AB1806">
        <f t="shared" si="299"/>
        <v>0</v>
      </c>
      <c r="AC1806" s="8">
        <v>1</v>
      </c>
      <c r="AD1806"/>
      <c r="AE1806"/>
      <c r="AF1806">
        <v>0</v>
      </c>
      <c r="AG1806" s="8"/>
      <c r="AH1806" s="8"/>
      <c r="AI1806"/>
      <c r="AJ1806"/>
      <c r="AK1806" cm="1">
        <f t="array" ref="AK1806">_xlfn.IFS(B1806="","",LEFT(G1806,1)="L",1,LEFT(G1806,1)="W",1,AND(LEFT(B1806,1)="H",G1806=""),0)</f>
        <v>0</v>
      </c>
      <c r="AL1806"/>
      <c r="AM1806"/>
      <c r="AN1806"/>
      <c r="AO1806"/>
      <c r="AP1806"/>
      <c r="AQ1806"/>
      <c r="AR1806"/>
      <c r="AS1806">
        <f t="shared" si="300"/>
        <v>1</v>
      </c>
      <c r="AT1806" t="s">
        <v>115</v>
      </c>
      <c r="AU1806" t="str">
        <f t="shared" si="301"/>
        <v>0</v>
      </c>
      <c r="AV1806"/>
      <c r="AW1806"/>
      <c r="AX1806"/>
      <c r="AY1806"/>
      <c r="AZ1806"/>
      <c r="BA1806"/>
      <c r="BB1806"/>
      <c r="BC1806"/>
      <c r="BD1806" t="str">
        <f t="shared" si="302"/>
        <v>0</v>
      </c>
      <c r="BE1806"/>
      <c r="BF1806"/>
      <c r="BG1806"/>
      <c r="BH1806"/>
      <c r="BI1806"/>
      <c r="BJ1806"/>
      <c r="BK1806" s="17" t="str">
        <f>IFERROR(VLOOKUP(B1806,'[1]model_S-フレーム'!$F$5:$R$7000,13,1),"")</f>
        <v>E369081_01</v>
      </c>
      <c r="BL1806" s="18">
        <f>IFERROR(VLOOKUP(B1806,'[1]model_S-フレーム'!$F$5:$V$7000,17,1),"")</f>
        <v>0</v>
      </c>
      <c r="BM1806" s="17" t="str" cm="1">
        <f t="array" ref="BM1806">_xlfn.IFS(LEFT(G1806,1)="L","外注品",LEFT(G1806,1)="W","内製品",G1806="","購買品")</f>
        <v>購買品</v>
      </c>
    </row>
    <row r="1807" spans="1:65">
      <c r="A1807" t="str">
        <f t="shared" si="294"/>
        <v>WG01</v>
      </c>
      <c r="B1807" t="s">
        <v>1865</v>
      </c>
      <c r="C1807" t="s">
        <v>1933</v>
      </c>
      <c r="D1807" s="7"/>
      <c r="E1807" s="7"/>
      <c r="H1807" s="19" t="s">
        <v>1937</v>
      </c>
      <c r="K1807" t="str">
        <f t="shared" si="295"/>
        <v/>
      </c>
      <c r="L1807" s="3" t="str">
        <f t="shared" si="296"/>
        <v>2001/01/01</v>
      </c>
      <c r="M1807" s="3" t="str">
        <f t="shared" si="297"/>
        <v>2199/12/31</v>
      </c>
      <c r="N1807" t="str">
        <f t="shared" si="298"/>
        <v/>
      </c>
      <c r="O1807" t="str">
        <f t="shared" si="303"/>
        <v/>
      </c>
      <c r="Q1807">
        <v>15</v>
      </c>
      <c r="R1807" s="21">
        <v>100000000</v>
      </c>
      <c r="S1807" s="21" t="str" cm="1">
        <f t="array" ref="S1807">_xlfn.IFS(LEFT(G1807,1)="L","記載要",LEFT(G1807,1)="W","記載要",G1807="","")</f>
        <v/>
      </c>
      <c r="Z1807" s="8"/>
      <c r="AA1807" s="8">
        <v>1</v>
      </c>
      <c r="AB1807">
        <f t="shared" si="299"/>
        <v>0</v>
      </c>
      <c r="AC1807" s="8">
        <v>1</v>
      </c>
      <c r="AF1807">
        <v>0</v>
      </c>
      <c r="AG1807" s="8"/>
      <c r="AH1807" s="8"/>
      <c r="AK1807" cm="1">
        <f t="array" ref="AK1807">_xlfn.IFS(B1807="","",LEFT(G1807,1)="L",1,LEFT(G1807,1)="W",1,AND(LEFT(B1807,1)="H",G1807=""),0)</f>
        <v>0</v>
      </c>
      <c r="AS1807">
        <f t="shared" si="300"/>
        <v>1</v>
      </c>
      <c r="AT1807" t="s">
        <v>115</v>
      </c>
      <c r="AU1807" t="str">
        <f t="shared" si="301"/>
        <v>0</v>
      </c>
      <c r="BD1807" t="str">
        <f t="shared" si="302"/>
        <v>0</v>
      </c>
      <c r="BK1807" t="str">
        <f>IFERROR(VLOOKUP(B1807,'[1]model_S-フレーム'!$F$5:$R$7000,13,1),"")</f>
        <v>E369081_01</v>
      </c>
      <c r="BL1807" s="7">
        <f>IFERROR(VLOOKUP(B1807,'[1]model_S-フレーム'!$F$5:$V$7000,17,1),"")</f>
        <v>0</v>
      </c>
      <c r="BM1807" t="str" cm="1">
        <f t="array" ref="BM1807">_xlfn.IFS(LEFT(G1807,1)="L","外注品",LEFT(G1807,1)="W","内製品",G1807="","購買品")</f>
        <v>購買品</v>
      </c>
    </row>
    <row r="1808" spans="1:65" s="17" customFormat="1">
      <c r="A1808" t="str">
        <f t="shared" si="294"/>
        <v>WG01</v>
      </c>
      <c r="B1808" t="s">
        <v>1866</v>
      </c>
      <c r="C1808" t="s">
        <v>1933</v>
      </c>
      <c r="D1808" s="7"/>
      <c r="E1808" s="7"/>
      <c r="F1808"/>
      <c r="G1808"/>
      <c r="H1808">
        <v>27616</v>
      </c>
      <c r="I1808"/>
      <c r="J1808"/>
      <c r="K1808" t="str">
        <f t="shared" si="295"/>
        <v/>
      </c>
      <c r="L1808" s="3" t="str">
        <f t="shared" si="296"/>
        <v>2001/01/01</v>
      </c>
      <c r="M1808" s="3" t="str">
        <f t="shared" si="297"/>
        <v>2199/12/31</v>
      </c>
      <c r="N1808" t="str">
        <f t="shared" si="298"/>
        <v/>
      </c>
      <c r="O1808" t="str">
        <f t="shared" si="303"/>
        <v/>
      </c>
      <c r="P1808"/>
      <c r="Q1808">
        <v>15</v>
      </c>
      <c r="R1808" s="21">
        <v>100000000</v>
      </c>
      <c r="S1808" s="21" t="str" cm="1">
        <f t="array" ref="S1808">_xlfn.IFS(LEFT(G1808,1)="L","記載要",LEFT(G1808,1)="W","記載要",G1808="","")</f>
        <v/>
      </c>
      <c r="T1808"/>
      <c r="U1808"/>
      <c r="V1808"/>
      <c r="W1808"/>
      <c r="X1808"/>
      <c r="Y1808"/>
      <c r="Z1808" s="8"/>
      <c r="AA1808" s="8">
        <v>1</v>
      </c>
      <c r="AB1808">
        <f t="shared" si="299"/>
        <v>0</v>
      </c>
      <c r="AC1808" s="8">
        <v>1</v>
      </c>
      <c r="AD1808"/>
      <c r="AE1808"/>
      <c r="AF1808">
        <v>1</v>
      </c>
      <c r="AG1808" s="8"/>
      <c r="AH1808" s="8"/>
      <c r="AI1808"/>
      <c r="AJ1808"/>
      <c r="AK1808" cm="1">
        <f t="array" ref="AK1808">_xlfn.IFS(B1808="","",LEFT(G1808,1)="L",1,LEFT(G1808,1)="W",1,AND(LEFT(B1808,1)="H",G1808=""),0)</f>
        <v>0</v>
      </c>
      <c r="AL1808"/>
      <c r="AM1808"/>
      <c r="AN1808"/>
      <c r="AO1808"/>
      <c r="AP1808"/>
      <c r="AQ1808"/>
      <c r="AR1808"/>
      <c r="AS1808">
        <f t="shared" si="300"/>
        <v>1</v>
      </c>
      <c r="AT1808" t="s">
        <v>115</v>
      </c>
      <c r="AU1808" t="str">
        <f t="shared" si="301"/>
        <v>0</v>
      </c>
      <c r="AV1808"/>
      <c r="AW1808"/>
      <c r="AX1808"/>
      <c r="AY1808"/>
      <c r="AZ1808"/>
      <c r="BA1808"/>
      <c r="BB1808"/>
      <c r="BC1808"/>
      <c r="BD1808" t="str">
        <f t="shared" si="302"/>
        <v>0</v>
      </c>
      <c r="BE1808"/>
      <c r="BF1808"/>
      <c r="BG1808"/>
      <c r="BH1808"/>
      <c r="BI1808"/>
      <c r="BJ1808"/>
      <c r="BK1808" s="17" t="str">
        <f>IFERROR(VLOOKUP(B1808,'[1]model_S-フレーム'!$F$5:$R$7000,13,1),"")</f>
        <v>E369081_01</v>
      </c>
      <c r="BL1808" s="18">
        <f>IFERROR(VLOOKUP(B1808,'[1]model_S-フレーム'!$F$5:$V$7000,17,1),"")</f>
        <v>0</v>
      </c>
      <c r="BM1808" s="17" t="str" cm="1">
        <f t="array" ref="BM1808">_xlfn.IFS(LEFT(G1808,1)="L","外注品",LEFT(G1808,1)="W","内製品",G1808="","購買品")</f>
        <v>購買品</v>
      </c>
    </row>
    <row r="1809" spans="1:65" s="17" customFormat="1">
      <c r="A1809" t="str">
        <f t="shared" si="294"/>
        <v>WG01</v>
      </c>
      <c r="B1809" t="s">
        <v>1866</v>
      </c>
      <c r="C1809" t="s">
        <v>1933</v>
      </c>
      <c r="D1809" s="7"/>
      <c r="E1809" s="7"/>
      <c r="F1809"/>
      <c r="G1809"/>
      <c r="H1809">
        <v>43453</v>
      </c>
      <c r="I1809"/>
      <c r="J1809"/>
      <c r="K1809" t="str">
        <f t="shared" si="295"/>
        <v/>
      </c>
      <c r="L1809" s="3" t="str">
        <f t="shared" si="296"/>
        <v>2001/01/01</v>
      </c>
      <c r="M1809" s="3" t="str">
        <f t="shared" si="297"/>
        <v>2199/12/31</v>
      </c>
      <c r="N1809" t="str">
        <f t="shared" si="298"/>
        <v/>
      </c>
      <c r="O1809" t="str">
        <f t="shared" si="303"/>
        <v/>
      </c>
      <c r="P1809"/>
      <c r="Q1809">
        <v>15</v>
      </c>
      <c r="R1809" s="21">
        <v>100000000</v>
      </c>
      <c r="S1809" s="21" t="str" cm="1">
        <f t="array" ref="S1809">_xlfn.IFS(LEFT(G1809,1)="L","記載要",LEFT(G1809,1)="W","記載要",G1809="","")</f>
        <v/>
      </c>
      <c r="T1809"/>
      <c r="U1809"/>
      <c r="V1809"/>
      <c r="W1809"/>
      <c r="X1809"/>
      <c r="Y1809"/>
      <c r="Z1809" s="8"/>
      <c r="AA1809" s="8">
        <v>1</v>
      </c>
      <c r="AB1809">
        <f t="shared" si="299"/>
        <v>0</v>
      </c>
      <c r="AC1809" s="8">
        <v>1</v>
      </c>
      <c r="AD1809"/>
      <c r="AE1809"/>
      <c r="AF1809">
        <v>0</v>
      </c>
      <c r="AG1809" s="8"/>
      <c r="AH1809" s="8"/>
      <c r="AI1809"/>
      <c r="AJ1809"/>
      <c r="AK1809" cm="1">
        <f t="array" ref="AK1809">_xlfn.IFS(B1809="","",LEFT(G1809,1)="L",1,LEFT(G1809,1)="W",1,AND(LEFT(B1809,1)="H",G1809=""),0)</f>
        <v>0</v>
      </c>
      <c r="AL1809"/>
      <c r="AM1809"/>
      <c r="AN1809"/>
      <c r="AO1809"/>
      <c r="AP1809"/>
      <c r="AQ1809"/>
      <c r="AR1809"/>
      <c r="AS1809">
        <f t="shared" si="300"/>
        <v>1</v>
      </c>
      <c r="AT1809" t="s">
        <v>115</v>
      </c>
      <c r="AU1809" t="str">
        <f t="shared" si="301"/>
        <v>0</v>
      </c>
      <c r="AV1809"/>
      <c r="AW1809"/>
      <c r="AX1809"/>
      <c r="AY1809"/>
      <c r="AZ1809"/>
      <c r="BA1809"/>
      <c r="BB1809"/>
      <c r="BC1809"/>
      <c r="BD1809" t="str">
        <f t="shared" si="302"/>
        <v>0</v>
      </c>
      <c r="BE1809"/>
      <c r="BF1809"/>
      <c r="BG1809"/>
      <c r="BH1809"/>
      <c r="BI1809"/>
      <c r="BJ1809"/>
      <c r="BK1809" s="17" t="str">
        <f>IFERROR(VLOOKUP(B1809,'[1]model_S-フレーム'!$F$5:$R$7000,13,1),"")</f>
        <v>E369081_01</v>
      </c>
      <c r="BL1809" s="18">
        <f>IFERROR(VLOOKUP(B1809,'[1]model_S-フレーム'!$F$5:$V$7000,17,1),"")</f>
        <v>0</v>
      </c>
      <c r="BM1809" s="17" t="str" cm="1">
        <f t="array" ref="BM1809">_xlfn.IFS(LEFT(G1809,1)="L","外注品",LEFT(G1809,1)="W","内製品",G1809="","購買品")</f>
        <v>購買品</v>
      </c>
    </row>
    <row r="1810" spans="1:65" s="17" customFormat="1">
      <c r="A1810" t="str">
        <f t="shared" si="294"/>
        <v>WG01</v>
      </c>
      <c r="B1810" t="s">
        <v>1866</v>
      </c>
      <c r="C1810" t="s">
        <v>1933</v>
      </c>
      <c r="D1810" s="7"/>
      <c r="E1810" s="7"/>
      <c r="F1810"/>
      <c r="G1810"/>
      <c r="H1810">
        <v>47081</v>
      </c>
      <c r="I1810"/>
      <c r="J1810"/>
      <c r="K1810" t="str">
        <f t="shared" si="295"/>
        <v/>
      </c>
      <c r="L1810" s="3" t="str">
        <f t="shared" si="296"/>
        <v>2001/01/01</v>
      </c>
      <c r="M1810" s="3" t="str">
        <f t="shared" si="297"/>
        <v>2199/12/31</v>
      </c>
      <c r="N1810" t="str">
        <f t="shared" si="298"/>
        <v/>
      </c>
      <c r="O1810" t="str">
        <f t="shared" si="303"/>
        <v/>
      </c>
      <c r="P1810"/>
      <c r="Q1810">
        <v>15</v>
      </c>
      <c r="R1810" s="21">
        <v>100000000</v>
      </c>
      <c r="S1810" s="21" t="str" cm="1">
        <f t="array" ref="S1810">_xlfn.IFS(LEFT(G1810,1)="L","記載要",LEFT(G1810,1)="W","記載要",G1810="","")</f>
        <v/>
      </c>
      <c r="T1810"/>
      <c r="U1810"/>
      <c r="V1810"/>
      <c r="W1810"/>
      <c r="X1810"/>
      <c r="Y1810"/>
      <c r="Z1810" s="8"/>
      <c r="AA1810" s="8">
        <v>1</v>
      </c>
      <c r="AB1810">
        <f t="shared" si="299"/>
        <v>0</v>
      </c>
      <c r="AC1810" s="8">
        <v>1</v>
      </c>
      <c r="AD1810"/>
      <c r="AE1810"/>
      <c r="AF1810">
        <v>0</v>
      </c>
      <c r="AG1810" s="8"/>
      <c r="AH1810" s="8"/>
      <c r="AI1810"/>
      <c r="AJ1810"/>
      <c r="AK1810" cm="1">
        <f t="array" ref="AK1810">_xlfn.IFS(B1810="","",LEFT(G1810,1)="L",1,LEFT(G1810,1)="W",1,AND(LEFT(B1810,1)="H",G1810=""),0)</f>
        <v>0</v>
      </c>
      <c r="AL1810"/>
      <c r="AM1810"/>
      <c r="AN1810"/>
      <c r="AO1810"/>
      <c r="AP1810"/>
      <c r="AQ1810"/>
      <c r="AR1810"/>
      <c r="AS1810">
        <f t="shared" si="300"/>
        <v>1</v>
      </c>
      <c r="AT1810" t="s">
        <v>115</v>
      </c>
      <c r="AU1810" t="str">
        <f t="shared" si="301"/>
        <v>0</v>
      </c>
      <c r="AV1810"/>
      <c r="AW1810"/>
      <c r="AX1810"/>
      <c r="AY1810"/>
      <c r="AZ1810"/>
      <c r="BA1810"/>
      <c r="BB1810"/>
      <c r="BC1810"/>
      <c r="BD1810" t="str">
        <f t="shared" si="302"/>
        <v>0</v>
      </c>
      <c r="BE1810"/>
      <c r="BF1810"/>
      <c r="BG1810"/>
      <c r="BH1810"/>
      <c r="BI1810"/>
      <c r="BJ1810"/>
      <c r="BK1810" s="17" t="str">
        <f>IFERROR(VLOOKUP(B1810,'[1]model_S-フレーム'!$F$5:$R$7000,13,1),"")</f>
        <v>E369081_01</v>
      </c>
      <c r="BL1810" s="18">
        <f>IFERROR(VLOOKUP(B1810,'[1]model_S-フレーム'!$F$5:$V$7000,17,1),"")</f>
        <v>0</v>
      </c>
      <c r="BM1810" s="17" t="str" cm="1">
        <f t="array" ref="BM1810">_xlfn.IFS(LEFT(G1810,1)="L","外注品",LEFT(G1810,1)="W","内製品",G1810="","購買品")</f>
        <v>購買品</v>
      </c>
    </row>
    <row r="1811" spans="1:65">
      <c r="A1811" t="str">
        <f t="shared" si="294"/>
        <v>WG01</v>
      </c>
      <c r="B1811" t="s">
        <v>1866</v>
      </c>
      <c r="C1811" t="s">
        <v>1933</v>
      </c>
      <c r="D1811" s="7"/>
      <c r="E1811" s="7"/>
      <c r="H1811" s="19" t="s">
        <v>1937</v>
      </c>
      <c r="K1811" t="str">
        <f t="shared" si="295"/>
        <v/>
      </c>
      <c r="L1811" s="3" t="str">
        <f t="shared" si="296"/>
        <v>2001/01/01</v>
      </c>
      <c r="M1811" s="3" t="str">
        <f t="shared" si="297"/>
        <v>2199/12/31</v>
      </c>
      <c r="N1811" t="str">
        <f t="shared" si="298"/>
        <v/>
      </c>
      <c r="O1811" t="str">
        <f t="shared" si="303"/>
        <v/>
      </c>
      <c r="Q1811">
        <v>15</v>
      </c>
      <c r="R1811" s="21">
        <v>100000000</v>
      </c>
      <c r="S1811" s="21" t="str" cm="1">
        <f t="array" ref="S1811">_xlfn.IFS(LEFT(G1811,1)="L","記載要",LEFT(G1811,1)="W","記載要",G1811="","")</f>
        <v/>
      </c>
      <c r="Z1811" s="8"/>
      <c r="AA1811" s="8">
        <v>1</v>
      </c>
      <c r="AB1811">
        <f t="shared" si="299"/>
        <v>0</v>
      </c>
      <c r="AC1811" s="8">
        <v>1</v>
      </c>
      <c r="AF1811">
        <v>0</v>
      </c>
      <c r="AG1811" s="8"/>
      <c r="AH1811" s="8"/>
      <c r="AK1811" cm="1">
        <f t="array" ref="AK1811">_xlfn.IFS(B1811="","",LEFT(G1811,1)="L",1,LEFT(G1811,1)="W",1,AND(LEFT(B1811,1)="H",G1811=""),0)</f>
        <v>0</v>
      </c>
      <c r="AS1811">
        <f t="shared" si="300"/>
        <v>1</v>
      </c>
      <c r="AT1811" t="s">
        <v>115</v>
      </c>
      <c r="AU1811" t="str">
        <f t="shared" si="301"/>
        <v>0</v>
      </c>
      <c r="BD1811" t="str">
        <f t="shared" si="302"/>
        <v>0</v>
      </c>
      <c r="BK1811" t="str">
        <f>IFERROR(VLOOKUP(B1811,'[1]model_S-フレーム'!$F$5:$R$7000,13,1),"")</f>
        <v>E369081_01</v>
      </c>
      <c r="BL1811" s="7">
        <f>IFERROR(VLOOKUP(B1811,'[1]model_S-フレーム'!$F$5:$V$7000,17,1),"")</f>
        <v>0</v>
      </c>
      <c r="BM1811" t="str" cm="1">
        <f t="array" ref="BM1811">_xlfn.IFS(LEFT(G1811,1)="L","外注品",LEFT(G1811,1)="W","内製品",G1811="","購買品")</f>
        <v>購買品</v>
      </c>
    </row>
    <row r="1812" spans="1:65">
      <c r="A1812" t="str">
        <f t="shared" si="294"/>
        <v>WG01</v>
      </c>
      <c r="B1812" t="s">
        <v>1867</v>
      </c>
      <c r="C1812" t="s">
        <v>1934</v>
      </c>
      <c r="D1812" s="7"/>
      <c r="E1812" s="7"/>
      <c r="G1812" t="s">
        <v>1939</v>
      </c>
      <c r="H1812" t="str" cm="1">
        <f t="array" ref="H1812">IFERROR(_xlfn.IFS(B1812="","",AND(B1812="",G1812=""),"",G1812="","記載要"),"")</f>
        <v/>
      </c>
      <c r="K1812" t="str">
        <f t="shared" si="295"/>
        <v>11WP01074081</v>
      </c>
      <c r="L1812" s="3" t="str">
        <f t="shared" si="296"/>
        <v>2001/01/01</v>
      </c>
      <c r="M1812" s="3" t="str">
        <f t="shared" si="297"/>
        <v>2199/12/31</v>
      </c>
      <c r="N1812" t="str">
        <f t="shared" si="298"/>
        <v>11WP01074081</v>
      </c>
      <c r="O1812">
        <v>15</v>
      </c>
      <c r="Q1812" t="str" cm="1">
        <f t="array" ref="Q1812">_xlfn.IFS(AND(C1812="",G1812=""),"",LEFT(G1812,1)="L","記載要",LEFT(G1812,1)="W","",AND(C1812,G1812=""),"記載要")</f>
        <v/>
      </c>
      <c r="R1812" s="21" t="str">
        <f t="shared" ref="R1812:R1857" si="304">IF(H1812="","","記載要")</f>
        <v/>
      </c>
      <c r="S1812" s="21"/>
      <c r="Z1812" s="8"/>
      <c r="AA1812">
        <v>1</v>
      </c>
      <c r="AB1812">
        <f t="shared" si="299"/>
        <v>0</v>
      </c>
      <c r="AC1812">
        <v>1</v>
      </c>
      <c r="AF1812">
        <v>1</v>
      </c>
      <c r="AG1812" s="8"/>
      <c r="AH1812" s="8"/>
      <c r="AK1812" cm="1">
        <f t="array" ref="AK1812">_xlfn.IFS(B1812="","",LEFT(G1812,1)="L",1,LEFT(G1812,1)="W",1,AND(LEFT(B1812,1)="H",G1812=""),0)</f>
        <v>1</v>
      </c>
      <c r="AS1812" t="str">
        <f t="shared" si="300"/>
        <v/>
      </c>
      <c r="AT1812" t="s">
        <v>115</v>
      </c>
      <c r="AU1812" t="str">
        <f t="shared" si="301"/>
        <v>0</v>
      </c>
      <c r="BD1812" t="str">
        <f t="shared" si="302"/>
        <v>0</v>
      </c>
      <c r="BK1812" t="str">
        <f>IFERROR(VLOOKUP(B1812,'[1]model_S-フレーム'!$F$5:$R$7000,13,1),"")</f>
        <v>E369086_01</v>
      </c>
      <c r="BL1812" s="7">
        <f>IFERROR(VLOOKUP(B1812,'[1]model_S-フレーム'!$F$5:$V$7000,17,1),"")</f>
        <v>0</v>
      </c>
      <c r="BM1812" t="str" cm="1">
        <f t="array" ref="BM1812">_xlfn.IFS(LEFT(G1812,1)="L","外注品",LEFT(G1812,1)="W","内製品",G1812="","購買品")</f>
        <v>内製品</v>
      </c>
    </row>
    <row r="1813" spans="1:65">
      <c r="A1813" t="str">
        <f t="shared" si="294"/>
        <v>WG01</v>
      </c>
      <c r="B1813" t="s">
        <v>1868</v>
      </c>
      <c r="C1813" t="s">
        <v>1934</v>
      </c>
      <c r="D1813" s="7"/>
      <c r="E1813" s="7"/>
      <c r="G1813" t="s">
        <v>1939</v>
      </c>
      <c r="H1813" t="str" cm="1">
        <f t="array" ref="H1813">IFERROR(_xlfn.IFS(B1813="","",AND(B1813="",G1813=""),"",G1813="","記載要"),"")</f>
        <v/>
      </c>
      <c r="K1813" t="str">
        <f t="shared" si="295"/>
        <v>11WP01074082</v>
      </c>
      <c r="L1813" s="3" t="str">
        <f t="shared" si="296"/>
        <v>2001/01/01</v>
      </c>
      <c r="M1813" s="3" t="str">
        <f t="shared" si="297"/>
        <v>2199/12/31</v>
      </c>
      <c r="N1813" t="str">
        <f t="shared" si="298"/>
        <v>11WP01074082</v>
      </c>
      <c r="O1813">
        <v>15</v>
      </c>
      <c r="Q1813" t="str" cm="1">
        <f t="array" ref="Q1813">_xlfn.IFS(AND(C1813="",G1813=""),"",LEFT(G1813,1)="L","記載要",LEFT(G1813,1)="W","",AND(C1813,G1813=""),"記載要")</f>
        <v/>
      </c>
      <c r="R1813" s="21" t="str">
        <f t="shared" si="304"/>
        <v/>
      </c>
      <c r="S1813" s="21"/>
      <c r="Z1813" s="8"/>
      <c r="AA1813">
        <v>1</v>
      </c>
      <c r="AB1813">
        <f t="shared" si="299"/>
        <v>0</v>
      </c>
      <c r="AC1813">
        <v>1</v>
      </c>
      <c r="AF1813">
        <v>1</v>
      </c>
      <c r="AG1813" s="8"/>
      <c r="AH1813" s="8"/>
      <c r="AK1813" cm="1">
        <f t="array" ref="AK1813">_xlfn.IFS(B1813="","",LEFT(G1813,1)="L",1,LEFT(G1813,1)="W",1,AND(LEFT(B1813,1)="H",G1813=""),0)</f>
        <v>1</v>
      </c>
      <c r="AS1813" t="str">
        <f t="shared" si="300"/>
        <v/>
      </c>
      <c r="AT1813" t="s">
        <v>115</v>
      </c>
      <c r="AU1813" t="str">
        <f t="shared" si="301"/>
        <v>0</v>
      </c>
      <c r="BD1813" t="str">
        <f t="shared" si="302"/>
        <v>0</v>
      </c>
      <c r="BK1813" t="str">
        <f>IFERROR(VLOOKUP(B1813,'[1]model_S-フレーム'!$F$5:$R$7000,13,1),"")</f>
        <v>E369086_01</v>
      </c>
      <c r="BL1813" s="7">
        <f>IFERROR(VLOOKUP(B1813,'[1]model_S-フレーム'!$F$5:$V$7000,17,1),"")</f>
        <v>0</v>
      </c>
      <c r="BM1813" t="str" cm="1">
        <f t="array" ref="BM1813">_xlfn.IFS(LEFT(G1813,1)="L","外注品",LEFT(G1813,1)="W","内製品",G1813="","購買品")</f>
        <v>内製品</v>
      </c>
    </row>
    <row r="1814" spans="1:65">
      <c r="A1814" t="str">
        <f t="shared" si="294"/>
        <v>WG01</v>
      </c>
      <c r="B1814" t="s">
        <v>1869</v>
      </c>
      <c r="C1814" t="s">
        <v>1934</v>
      </c>
      <c r="D1814" s="7"/>
      <c r="E1814" s="7"/>
      <c r="G1814" t="s">
        <v>1939</v>
      </c>
      <c r="H1814" t="str" cm="1">
        <f t="array" ref="H1814">IFERROR(_xlfn.IFS(B1814="","",AND(B1814="",G1814=""),"",G1814="","記載要"),"")</f>
        <v/>
      </c>
      <c r="K1814" t="str">
        <f t="shared" si="295"/>
        <v>11WP01074083</v>
      </c>
      <c r="L1814" s="3" t="str">
        <f t="shared" si="296"/>
        <v>2001/01/01</v>
      </c>
      <c r="M1814" s="3" t="str">
        <f t="shared" si="297"/>
        <v>2199/12/31</v>
      </c>
      <c r="N1814" t="str">
        <f t="shared" si="298"/>
        <v>11WP01074083</v>
      </c>
      <c r="O1814">
        <v>15</v>
      </c>
      <c r="Q1814" t="str" cm="1">
        <f t="array" ref="Q1814">_xlfn.IFS(AND(C1814="",G1814=""),"",LEFT(G1814,1)="L","記載要",LEFT(G1814,1)="W","",AND(C1814,G1814=""),"記載要")</f>
        <v/>
      </c>
      <c r="R1814" s="21" t="str">
        <f t="shared" si="304"/>
        <v/>
      </c>
      <c r="S1814" s="21"/>
      <c r="Z1814" s="8"/>
      <c r="AA1814">
        <v>1</v>
      </c>
      <c r="AB1814">
        <f t="shared" si="299"/>
        <v>0</v>
      </c>
      <c r="AC1814">
        <v>1</v>
      </c>
      <c r="AF1814">
        <v>1</v>
      </c>
      <c r="AG1814" s="8"/>
      <c r="AH1814" s="8"/>
      <c r="AK1814" cm="1">
        <f t="array" ref="AK1814">_xlfn.IFS(B1814="","",LEFT(G1814,1)="L",1,LEFT(G1814,1)="W",1,AND(LEFT(B1814,1)="H",G1814=""),0)</f>
        <v>1</v>
      </c>
      <c r="AS1814" t="str">
        <f t="shared" si="300"/>
        <v/>
      </c>
      <c r="AT1814" t="s">
        <v>115</v>
      </c>
      <c r="AU1814" t="str">
        <f t="shared" si="301"/>
        <v>0</v>
      </c>
      <c r="BD1814" t="str">
        <f t="shared" si="302"/>
        <v>0</v>
      </c>
      <c r="BK1814" t="str">
        <f>IFERROR(VLOOKUP(B1814,'[1]model_S-フレーム'!$F$5:$R$7000,13,1),"")</f>
        <v>E369086_01</v>
      </c>
      <c r="BL1814" s="7">
        <f>IFERROR(VLOOKUP(B1814,'[1]model_S-フレーム'!$F$5:$V$7000,17,1),"")</f>
        <v>0</v>
      </c>
      <c r="BM1814" t="str" cm="1">
        <f t="array" ref="BM1814">_xlfn.IFS(LEFT(G1814,1)="L","外注品",LEFT(G1814,1)="W","内製品",G1814="","購買品")</f>
        <v>内製品</v>
      </c>
    </row>
    <row r="1815" spans="1:65">
      <c r="A1815" t="str">
        <f t="shared" si="294"/>
        <v>WG01</v>
      </c>
      <c r="B1815" t="s">
        <v>1870</v>
      </c>
      <c r="C1815" t="s">
        <v>1934</v>
      </c>
      <c r="D1815" s="7"/>
      <c r="E1815" s="7"/>
      <c r="G1815" t="s">
        <v>1939</v>
      </c>
      <c r="H1815" t="str" cm="1">
        <f t="array" ref="H1815">IFERROR(_xlfn.IFS(B1815="","",AND(B1815="",G1815=""),"",G1815="","記載要"),"")</f>
        <v/>
      </c>
      <c r="K1815" t="str">
        <f t="shared" si="295"/>
        <v>11WP01074084</v>
      </c>
      <c r="L1815" s="3" t="str">
        <f t="shared" si="296"/>
        <v>2001/01/01</v>
      </c>
      <c r="M1815" s="3" t="str">
        <f t="shared" si="297"/>
        <v>2199/12/31</v>
      </c>
      <c r="N1815" t="str">
        <f t="shared" si="298"/>
        <v>11WP01074084</v>
      </c>
      <c r="O1815">
        <v>15</v>
      </c>
      <c r="Q1815" t="str" cm="1">
        <f t="array" ref="Q1815">_xlfn.IFS(AND(C1815="",G1815=""),"",LEFT(G1815,1)="L","記載要",LEFT(G1815,1)="W","",AND(C1815,G1815=""),"記載要")</f>
        <v/>
      </c>
      <c r="R1815" s="21" t="str">
        <f t="shared" si="304"/>
        <v/>
      </c>
      <c r="S1815" s="21"/>
      <c r="Z1815" s="8"/>
      <c r="AA1815">
        <v>1</v>
      </c>
      <c r="AB1815">
        <f t="shared" si="299"/>
        <v>0</v>
      </c>
      <c r="AC1815">
        <v>1</v>
      </c>
      <c r="AF1815">
        <v>1</v>
      </c>
      <c r="AG1815" s="8"/>
      <c r="AH1815" s="8"/>
      <c r="AK1815" cm="1">
        <f t="array" ref="AK1815">_xlfn.IFS(B1815="","",LEFT(G1815,1)="L",1,LEFT(G1815,1)="W",1,AND(LEFT(B1815,1)="H",G1815=""),0)</f>
        <v>1</v>
      </c>
      <c r="AS1815" t="str">
        <f t="shared" si="300"/>
        <v/>
      </c>
      <c r="AT1815" t="s">
        <v>115</v>
      </c>
      <c r="AU1815" t="str">
        <f t="shared" si="301"/>
        <v>0</v>
      </c>
      <c r="BD1815" t="str">
        <f t="shared" si="302"/>
        <v>0</v>
      </c>
      <c r="BK1815" t="str">
        <f>IFERROR(VLOOKUP(B1815,'[1]model_S-フレーム'!$F$5:$R$7000,13,1),"")</f>
        <v>E369086_01</v>
      </c>
      <c r="BL1815" s="7">
        <f>IFERROR(VLOOKUP(B1815,'[1]model_S-フレーム'!$F$5:$V$7000,17,1),"")</f>
        <v>0</v>
      </c>
      <c r="BM1815" t="str" cm="1">
        <f t="array" ref="BM1815">_xlfn.IFS(LEFT(G1815,1)="L","外注品",LEFT(G1815,1)="W","内製品",G1815="","購買品")</f>
        <v>内製品</v>
      </c>
    </row>
    <row r="1816" spans="1:65">
      <c r="A1816" t="str">
        <f t="shared" si="294"/>
        <v>WG01</v>
      </c>
      <c r="B1816" t="s">
        <v>1871</v>
      </c>
      <c r="C1816" t="s">
        <v>1934</v>
      </c>
      <c r="D1816" s="7"/>
      <c r="E1816" s="7"/>
      <c r="G1816" t="s">
        <v>1939</v>
      </c>
      <c r="H1816" t="str" cm="1">
        <f t="array" ref="H1816">IFERROR(_xlfn.IFS(B1816="","",AND(B1816="",G1816=""),"",G1816="","記載要"),"")</f>
        <v/>
      </c>
      <c r="K1816" t="str">
        <f t="shared" si="295"/>
        <v>11WP01074085</v>
      </c>
      <c r="L1816" s="3" t="str">
        <f t="shared" si="296"/>
        <v>2001/01/01</v>
      </c>
      <c r="M1816" s="3" t="str">
        <f t="shared" si="297"/>
        <v>2199/12/31</v>
      </c>
      <c r="N1816" t="str">
        <f t="shared" si="298"/>
        <v>11WP01074085</v>
      </c>
      <c r="O1816">
        <v>15</v>
      </c>
      <c r="Q1816" t="str" cm="1">
        <f t="array" ref="Q1816">_xlfn.IFS(AND(C1816="",G1816=""),"",LEFT(G1816,1)="L","記載要",LEFT(G1816,1)="W","",AND(C1816,G1816=""),"記載要")</f>
        <v/>
      </c>
      <c r="R1816" s="21" t="str">
        <f t="shared" si="304"/>
        <v/>
      </c>
      <c r="S1816" s="21"/>
      <c r="Z1816" s="8"/>
      <c r="AA1816">
        <v>1</v>
      </c>
      <c r="AB1816">
        <f t="shared" si="299"/>
        <v>0</v>
      </c>
      <c r="AC1816">
        <v>1</v>
      </c>
      <c r="AF1816">
        <v>1</v>
      </c>
      <c r="AG1816" s="8"/>
      <c r="AH1816" s="8"/>
      <c r="AK1816" cm="1">
        <f t="array" ref="AK1816">_xlfn.IFS(B1816="","",LEFT(G1816,1)="L",1,LEFT(G1816,1)="W",1,AND(LEFT(B1816,1)="H",G1816=""),0)</f>
        <v>1</v>
      </c>
      <c r="AS1816" t="str">
        <f t="shared" si="300"/>
        <v/>
      </c>
      <c r="AT1816" t="s">
        <v>115</v>
      </c>
      <c r="AU1816" t="str">
        <f t="shared" si="301"/>
        <v>0</v>
      </c>
      <c r="BD1816" t="str">
        <f t="shared" si="302"/>
        <v>0</v>
      </c>
      <c r="BK1816" t="str">
        <f>IFERROR(VLOOKUP(B1816,'[1]model_S-フレーム'!$F$5:$R$7000,13,1),"")</f>
        <v>E369086_01</v>
      </c>
      <c r="BL1816" s="7">
        <f>IFERROR(VLOOKUP(B1816,'[1]model_S-フレーム'!$F$5:$V$7000,17,1),"")</f>
        <v>0</v>
      </c>
      <c r="BM1816" t="str" cm="1">
        <f t="array" ref="BM1816">_xlfn.IFS(LEFT(G1816,1)="L","外注品",LEFT(G1816,1)="W","内製品",G1816="","購買品")</f>
        <v>内製品</v>
      </c>
    </row>
    <row r="1817" spans="1:65">
      <c r="A1817" t="str">
        <f t="shared" si="294"/>
        <v>WG01</v>
      </c>
      <c r="B1817" t="s">
        <v>1872</v>
      </c>
      <c r="C1817" t="s">
        <v>1934</v>
      </c>
      <c r="D1817" s="7"/>
      <c r="E1817" s="7"/>
      <c r="G1817" t="s">
        <v>1939</v>
      </c>
      <c r="H1817" t="str" cm="1">
        <f t="array" ref="H1817">IFERROR(_xlfn.IFS(B1817="","",AND(B1817="",G1817=""),"",G1817="","記載要"),"")</f>
        <v/>
      </c>
      <c r="K1817" t="str">
        <f t="shared" si="295"/>
        <v>11WP01074086</v>
      </c>
      <c r="L1817" s="3" t="str">
        <f t="shared" si="296"/>
        <v>2001/01/01</v>
      </c>
      <c r="M1817" s="3" t="str">
        <f t="shared" si="297"/>
        <v>2199/12/31</v>
      </c>
      <c r="N1817" t="str">
        <f t="shared" si="298"/>
        <v>11WP01074086</v>
      </c>
      <c r="O1817">
        <v>15</v>
      </c>
      <c r="Q1817" t="str" cm="1">
        <f t="array" ref="Q1817">_xlfn.IFS(AND(C1817="",G1817=""),"",LEFT(G1817,1)="L","記載要",LEFT(G1817,1)="W","",AND(C1817,G1817=""),"記載要")</f>
        <v/>
      </c>
      <c r="R1817" s="21" t="str">
        <f t="shared" si="304"/>
        <v/>
      </c>
      <c r="S1817" s="21"/>
      <c r="Z1817" s="8"/>
      <c r="AA1817">
        <v>1</v>
      </c>
      <c r="AB1817">
        <f t="shared" si="299"/>
        <v>0</v>
      </c>
      <c r="AC1817">
        <v>1</v>
      </c>
      <c r="AF1817">
        <v>1</v>
      </c>
      <c r="AG1817" s="8"/>
      <c r="AH1817" s="8"/>
      <c r="AK1817" cm="1">
        <f t="array" ref="AK1817">_xlfn.IFS(B1817="","",LEFT(G1817,1)="L",1,LEFT(G1817,1)="W",1,AND(LEFT(B1817,1)="H",G1817=""),0)</f>
        <v>1</v>
      </c>
      <c r="AS1817" t="str">
        <f t="shared" si="300"/>
        <v/>
      </c>
      <c r="AT1817" t="s">
        <v>115</v>
      </c>
      <c r="AU1817" t="str">
        <f t="shared" si="301"/>
        <v>0</v>
      </c>
      <c r="BD1817" t="str">
        <f t="shared" si="302"/>
        <v>0</v>
      </c>
      <c r="BK1817" t="str">
        <f>IFERROR(VLOOKUP(B1817,'[1]model_S-フレーム'!$F$5:$R$7000,13,1),"")</f>
        <v>E369086_01</v>
      </c>
      <c r="BL1817" s="7">
        <f>IFERROR(VLOOKUP(B1817,'[1]model_S-フレーム'!$F$5:$V$7000,17,1),"")</f>
        <v>0</v>
      </c>
      <c r="BM1817" t="str" cm="1">
        <f t="array" ref="BM1817">_xlfn.IFS(LEFT(G1817,1)="L","外注品",LEFT(G1817,1)="W","内製品",G1817="","購買品")</f>
        <v>内製品</v>
      </c>
    </row>
    <row r="1818" spans="1:65">
      <c r="A1818" t="str">
        <f t="shared" si="294"/>
        <v>WG01</v>
      </c>
      <c r="B1818" t="s">
        <v>1873</v>
      </c>
      <c r="C1818" t="s">
        <v>1934</v>
      </c>
      <c r="D1818" s="7"/>
      <c r="E1818" s="7"/>
      <c r="G1818" t="s">
        <v>1939</v>
      </c>
      <c r="H1818" t="str" cm="1">
        <f t="array" ref="H1818">IFERROR(_xlfn.IFS(B1818="","",AND(B1818="",G1818=""),"",G1818="","記載要"),"")</f>
        <v/>
      </c>
      <c r="K1818" t="str">
        <f t="shared" si="295"/>
        <v>11WP01074087</v>
      </c>
      <c r="L1818" s="3" t="str">
        <f t="shared" si="296"/>
        <v>2001/01/01</v>
      </c>
      <c r="M1818" s="3" t="str">
        <f t="shared" si="297"/>
        <v>2199/12/31</v>
      </c>
      <c r="N1818" t="str">
        <f t="shared" si="298"/>
        <v>11WP01074087</v>
      </c>
      <c r="O1818">
        <v>15</v>
      </c>
      <c r="Q1818" t="str" cm="1">
        <f t="array" ref="Q1818">_xlfn.IFS(AND(C1818="",G1818=""),"",LEFT(G1818,1)="L","記載要",LEFT(G1818,1)="W","",AND(C1818,G1818=""),"記載要")</f>
        <v/>
      </c>
      <c r="R1818" s="21" t="str">
        <f t="shared" si="304"/>
        <v/>
      </c>
      <c r="S1818" s="21"/>
      <c r="Z1818" s="8"/>
      <c r="AA1818">
        <v>1</v>
      </c>
      <c r="AB1818">
        <f t="shared" si="299"/>
        <v>0</v>
      </c>
      <c r="AC1818">
        <v>1</v>
      </c>
      <c r="AF1818">
        <v>1</v>
      </c>
      <c r="AG1818" s="8"/>
      <c r="AH1818" s="8"/>
      <c r="AK1818" cm="1">
        <f t="array" ref="AK1818">_xlfn.IFS(B1818="","",LEFT(G1818,1)="L",1,LEFT(G1818,1)="W",1,AND(LEFT(B1818,1)="H",G1818=""),0)</f>
        <v>1</v>
      </c>
      <c r="AS1818" t="str">
        <f t="shared" si="300"/>
        <v/>
      </c>
      <c r="AT1818" t="s">
        <v>115</v>
      </c>
      <c r="AU1818" t="str">
        <f t="shared" si="301"/>
        <v>0</v>
      </c>
      <c r="BD1818" t="str">
        <f t="shared" si="302"/>
        <v>0</v>
      </c>
      <c r="BK1818" t="str">
        <f>IFERROR(VLOOKUP(B1818,'[1]model_S-フレーム'!$F$5:$R$7000,13,1),"")</f>
        <v>E369086_01</v>
      </c>
      <c r="BL1818" s="7">
        <f>IFERROR(VLOOKUP(B1818,'[1]model_S-フレーム'!$F$5:$V$7000,17,1),"")</f>
        <v>0</v>
      </c>
      <c r="BM1818" t="str" cm="1">
        <f t="array" ref="BM1818">_xlfn.IFS(LEFT(G1818,1)="L","外注品",LEFT(G1818,1)="W","内製品",G1818="","購買品")</f>
        <v>内製品</v>
      </c>
    </row>
    <row r="1819" spans="1:65">
      <c r="A1819" t="str">
        <f t="shared" si="294"/>
        <v>WG01</v>
      </c>
      <c r="B1819" t="s">
        <v>1874</v>
      </c>
      <c r="C1819" t="s">
        <v>1934</v>
      </c>
      <c r="D1819" s="7"/>
      <c r="E1819" s="7"/>
      <c r="G1819" t="s">
        <v>1939</v>
      </c>
      <c r="H1819" t="str" cm="1">
        <f t="array" ref="H1819">IFERROR(_xlfn.IFS(B1819="","",AND(B1819="",G1819=""),"",G1819="","記載要"),"")</f>
        <v/>
      </c>
      <c r="K1819" t="str">
        <f t="shared" si="295"/>
        <v>11WP01074088</v>
      </c>
      <c r="L1819" s="3" t="str">
        <f t="shared" si="296"/>
        <v>2001/01/01</v>
      </c>
      <c r="M1819" s="3" t="str">
        <f t="shared" si="297"/>
        <v>2199/12/31</v>
      </c>
      <c r="N1819" t="str">
        <f t="shared" si="298"/>
        <v>11WP01074088</v>
      </c>
      <c r="O1819">
        <v>15</v>
      </c>
      <c r="Q1819" t="str" cm="1">
        <f t="array" ref="Q1819">_xlfn.IFS(AND(C1819="",G1819=""),"",LEFT(G1819,1)="L","記載要",LEFT(G1819,1)="W","",AND(C1819,G1819=""),"記載要")</f>
        <v/>
      </c>
      <c r="R1819" s="21" t="str">
        <f t="shared" si="304"/>
        <v/>
      </c>
      <c r="S1819" s="21"/>
      <c r="Z1819" s="8"/>
      <c r="AA1819">
        <v>1</v>
      </c>
      <c r="AB1819">
        <f t="shared" si="299"/>
        <v>0</v>
      </c>
      <c r="AC1819">
        <v>1</v>
      </c>
      <c r="AF1819">
        <v>1</v>
      </c>
      <c r="AG1819" s="8"/>
      <c r="AH1819" s="8"/>
      <c r="AK1819" cm="1">
        <f t="array" ref="AK1819">_xlfn.IFS(B1819="","",LEFT(G1819,1)="L",1,LEFT(G1819,1)="W",1,AND(LEFT(B1819,1)="H",G1819=""),0)</f>
        <v>1</v>
      </c>
      <c r="AS1819" t="str">
        <f t="shared" si="300"/>
        <v/>
      </c>
      <c r="AT1819" t="s">
        <v>115</v>
      </c>
      <c r="AU1819" t="str">
        <f t="shared" si="301"/>
        <v>0</v>
      </c>
      <c r="BD1819" t="str">
        <f t="shared" si="302"/>
        <v>0</v>
      </c>
      <c r="BK1819" t="str">
        <f>IFERROR(VLOOKUP(B1819,'[1]model_S-フレーム'!$F$5:$R$7000,13,1),"")</f>
        <v>E369086_01</v>
      </c>
      <c r="BL1819" s="7">
        <f>IFERROR(VLOOKUP(B1819,'[1]model_S-フレーム'!$F$5:$V$7000,17,1),"")</f>
        <v>0</v>
      </c>
      <c r="BM1819" t="str" cm="1">
        <f t="array" ref="BM1819">_xlfn.IFS(LEFT(G1819,1)="L","外注品",LEFT(G1819,1)="W","内製品",G1819="","購買品")</f>
        <v>内製品</v>
      </c>
    </row>
    <row r="1820" spans="1:65">
      <c r="A1820" t="str">
        <f t="shared" si="294"/>
        <v>WG01</v>
      </c>
      <c r="B1820" t="s">
        <v>1875</v>
      </c>
      <c r="C1820" t="s">
        <v>1934</v>
      </c>
      <c r="D1820" s="7"/>
      <c r="E1820" s="7"/>
      <c r="G1820" t="s">
        <v>1939</v>
      </c>
      <c r="H1820" t="str" cm="1">
        <f t="array" ref="H1820">IFERROR(_xlfn.IFS(B1820="","",AND(B1820="",G1820=""),"",G1820="","記載要"),"")</f>
        <v/>
      </c>
      <c r="K1820" t="str">
        <f t="shared" si="295"/>
        <v>11WP01074089</v>
      </c>
      <c r="L1820" s="3" t="str">
        <f t="shared" si="296"/>
        <v>2001/01/01</v>
      </c>
      <c r="M1820" s="3" t="str">
        <f t="shared" si="297"/>
        <v>2199/12/31</v>
      </c>
      <c r="N1820" t="str">
        <f t="shared" si="298"/>
        <v>11WP01074089</v>
      </c>
      <c r="O1820">
        <v>15</v>
      </c>
      <c r="Q1820" t="str" cm="1">
        <f t="array" ref="Q1820">_xlfn.IFS(AND(C1820="",G1820=""),"",LEFT(G1820,1)="L","記載要",LEFT(G1820,1)="W","",AND(C1820,G1820=""),"記載要")</f>
        <v/>
      </c>
      <c r="R1820" s="21" t="str">
        <f t="shared" si="304"/>
        <v/>
      </c>
      <c r="S1820" s="21"/>
      <c r="Z1820" s="8"/>
      <c r="AA1820">
        <v>1</v>
      </c>
      <c r="AB1820">
        <f t="shared" si="299"/>
        <v>0</v>
      </c>
      <c r="AC1820">
        <v>1</v>
      </c>
      <c r="AF1820">
        <v>1</v>
      </c>
      <c r="AG1820" s="8"/>
      <c r="AH1820" s="8"/>
      <c r="AK1820" cm="1">
        <f t="array" ref="AK1820">_xlfn.IFS(B1820="","",LEFT(G1820,1)="L",1,LEFT(G1820,1)="W",1,AND(LEFT(B1820,1)="H",G1820=""),0)</f>
        <v>1</v>
      </c>
      <c r="AS1820" t="str">
        <f t="shared" si="300"/>
        <v/>
      </c>
      <c r="AT1820" t="s">
        <v>115</v>
      </c>
      <c r="AU1820" t="str">
        <f t="shared" si="301"/>
        <v>0</v>
      </c>
      <c r="BD1820" t="str">
        <f t="shared" si="302"/>
        <v>0</v>
      </c>
      <c r="BK1820" t="str">
        <f>IFERROR(VLOOKUP(B1820,'[1]model_S-フレーム'!$F$5:$R$7000,13,1),"")</f>
        <v>E369086_01</v>
      </c>
      <c r="BL1820" s="7">
        <f>IFERROR(VLOOKUP(B1820,'[1]model_S-フレーム'!$F$5:$V$7000,17,1),"")</f>
        <v>0</v>
      </c>
      <c r="BM1820" t="str" cm="1">
        <f t="array" ref="BM1820">_xlfn.IFS(LEFT(G1820,1)="L","外注品",LEFT(G1820,1)="W","内製品",G1820="","購買品")</f>
        <v>内製品</v>
      </c>
    </row>
    <row r="1821" spans="1:65">
      <c r="A1821" t="str">
        <f t="shared" si="294"/>
        <v>WG01</v>
      </c>
      <c r="B1821" t="s">
        <v>1876</v>
      </c>
      <c r="C1821" t="s">
        <v>1934</v>
      </c>
      <c r="D1821" s="7"/>
      <c r="E1821" s="7"/>
      <c r="G1821" t="s">
        <v>1939</v>
      </c>
      <c r="H1821" t="str" cm="1">
        <f t="array" ref="H1821">IFERROR(_xlfn.IFS(B1821="","",AND(B1821="",G1821=""),"",G1821="","記載要"),"")</f>
        <v/>
      </c>
      <c r="K1821" t="str">
        <f t="shared" si="295"/>
        <v>11WP01074090</v>
      </c>
      <c r="L1821" s="3" t="str">
        <f t="shared" si="296"/>
        <v>2001/01/01</v>
      </c>
      <c r="M1821" s="3" t="str">
        <f t="shared" si="297"/>
        <v>2199/12/31</v>
      </c>
      <c r="N1821" t="str">
        <f t="shared" si="298"/>
        <v>11WP01074090</v>
      </c>
      <c r="O1821">
        <v>15</v>
      </c>
      <c r="Q1821" t="str" cm="1">
        <f t="array" ref="Q1821">_xlfn.IFS(AND(C1821="",G1821=""),"",LEFT(G1821,1)="L","記載要",LEFT(G1821,1)="W","",AND(C1821,G1821=""),"記載要")</f>
        <v/>
      </c>
      <c r="R1821" s="21" t="str">
        <f t="shared" si="304"/>
        <v/>
      </c>
      <c r="S1821" s="21"/>
      <c r="Z1821" s="8"/>
      <c r="AA1821">
        <v>1</v>
      </c>
      <c r="AB1821">
        <f t="shared" si="299"/>
        <v>0</v>
      </c>
      <c r="AC1821">
        <v>1</v>
      </c>
      <c r="AF1821">
        <v>1</v>
      </c>
      <c r="AG1821" s="8"/>
      <c r="AH1821" s="8"/>
      <c r="AK1821" cm="1">
        <f t="array" ref="AK1821">_xlfn.IFS(B1821="","",LEFT(G1821,1)="L",1,LEFT(G1821,1)="W",1,AND(LEFT(B1821,1)="H",G1821=""),0)</f>
        <v>1</v>
      </c>
      <c r="AS1821" t="str">
        <f t="shared" si="300"/>
        <v/>
      </c>
      <c r="AT1821" t="s">
        <v>115</v>
      </c>
      <c r="AU1821" t="str">
        <f t="shared" si="301"/>
        <v>0</v>
      </c>
      <c r="BD1821" t="str">
        <f t="shared" si="302"/>
        <v>0</v>
      </c>
      <c r="BK1821" t="str">
        <f>IFERROR(VLOOKUP(B1821,'[1]model_S-フレーム'!$F$5:$R$7000,13,1),"")</f>
        <v>E369086_01</v>
      </c>
      <c r="BL1821" s="7">
        <f>IFERROR(VLOOKUP(B1821,'[1]model_S-フレーム'!$F$5:$V$7000,17,1),"")</f>
        <v>0</v>
      </c>
      <c r="BM1821" t="str" cm="1">
        <f t="array" ref="BM1821">_xlfn.IFS(LEFT(G1821,1)="L","外注品",LEFT(G1821,1)="W","内製品",G1821="","購買品")</f>
        <v>内製品</v>
      </c>
    </row>
    <row r="1822" spans="1:65">
      <c r="A1822" t="str">
        <f t="shared" si="294"/>
        <v>WG01</v>
      </c>
      <c r="B1822" t="s">
        <v>1877</v>
      </c>
      <c r="C1822" t="s">
        <v>1934</v>
      </c>
      <c r="D1822" s="7"/>
      <c r="E1822" s="7"/>
      <c r="G1822" t="s">
        <v>1939</v>
      </c>
      <c r="H1822" t="str" cm="1">
        <f t="array" ref="H1822">IFERROR(_xlfn.IFS(B1822="","",AND(B1822="",G1822=""),"",G1822="","記載要"),"")</f>
        <v/>
      </c>
      <c r="K1822" t="str">
        <f t="shared" si="295"/>
        <v>11WP01074091</v>
      </c>
      <c r="L1822" s="3" t="str">
        <f t="shared" si="296"/>
        <v>2001/01/01</v>
      </c>
      <c r="M1822" s="3" t="str">
        <f t="shared" si="297"/>
        <v>2199/12/31</v>
      </c>
      <c r="N1822" t="str">
        <f t="shared" si="298"/>
        <v>11WP01074091</v>
      </c>
      <c r="O1822">
        <v>15</v>
      </c>
      <c r="Q1822" t="str" cm="1">
        <f t="array" ref="Q1822">_xlfn.IFS(AND(C1822="",G1822=""),"",LEFT(G1822,1)="L","記載要",LEFT(G1822,1)="W","",AND(C1822,G1822=""),"記載要")</f>
        <v/>
      </c>
      <c r="R1822" s="21" t="str">
        <f t="shared" si="304"/>
        <v/>
      </c>
      <c r="S1822" s="21"/>
      <c r="Z1822" s="8"/>
      <c r="AA1822">
        <v>1</v>
      </c>
      <c r="AB1822">
        <f t="shared" si="299"/>
        <v>0</v>
      </c>
      <c r="AC1822">
        <v>1</v>
      </c>
      <c r="AF1822">
        <v>1</v>
      </c>
      <c r="AG1822" s="8"/>
      <c r="AH1822" s="8"/>
      <c r="AK1822" cm="1">
        <f t="array" ref="AK1822">_xlfn.IFS(B1822="","",LEFT(G1822,1)="L",1,LEFT(G1822,1)="W",1,AND(LEFT(B1822,1)="H",G1822=""),0)</f>
        <v>1</v>
      </c>
      <c r="AS1822" t="str">
        <f t="shared" si="300"/>
        <v/>
      </c>
      <c r="AT1822" t="s">
        <v>115</v>
      </c>
      <c r="AU1822" t="str">
        <f t="shared" si="301"/>
        <v>0</v>
      </c>
      <c r="BD1822" t="str">
        <f t="shared" si="302"/>
        <v>0</v>
      </c>
      <c r="BK1822" t="str">
        <f>IFERROR(VLOOKUP(B1822,'[1]model_S-フレーム'!$F$5:$R$7000,13,1),"")</f>
        <v>E369086_01</v>
      </c>
      <c r="BL1822" s="7">
        <f>IFERROR(VLOOKUP(B1822,'[1]model_S-フレーム'!$F$5:$V$7000,17,1),"")</f>
        <v>0</v>
      </c>
      <c r="BM1822" t="str" cm="1">
        <f t="array" ref="BM1822">_xlfn.IFS(LEFT(G1822,1)="L","外注品",LEFT(G1822,1)="W","内製品",G1822="","購買品")</f>
        <v>内製品</v>
      </c>
    </row>
    <row r="1823" spans="1:65">
      <c r="A1823" t="str">
        <f t="shared" si="294"/>
        <v>WG01</v>
      </c>
      <c r="B1823" t="s">
        <v>1878</v>
      </c>
      <c r="C1823" t="s">
        <v>1934</v>
      </c>
      <c r="D1823" s="7"/>
      <c r="E1823" s="7"/>
      <c r="G1823" t="s">
        <v>1939</v>
      </c>
      <c r="H1823" t="str" cm="1">
        <f t="array" ref="H1823">IFERROR(_xlfn.IFS(B1823="","",AND(B1823="",G1823=""),"",G1823="","記載要"),"")</f>
        <v/>
      </c>
      <c r="K1823" t="str">
        <f t="shared" si="295"/>
        <v>11WP01074092</v>
      </c>
      <c r="L1823" s="3" t="str">
        <f t="shared" si="296"/>
        <v>2001/01/01</v>
      </c>
      <c r="M1823" s="3" t="str">
        <f t="shared" si="297"/>
        <v>2199/12/31</v>
      </c>
      <c r="N1823" t="str">
        <f t="shared" si="298"/>
        <v>11WP01074092</v>
      </c>
      <c r="O1823">
        <v>15</v>
      </c>
      <c r="Q1823" t="str" cm="1">
        <f t="array" ref="Q1823">_xlfn.IFS(AND(C1823="",G1823=""),"",LEFT(G1823,1)="L","記載要",LEFT(G1823,1)="W","",AND(C1823,G1823=""),"記載要")</f>
        <v/>
      </c>
      <c r="R1823" s="21" t="str">
        <f t="shared" si="304"/>
        <v/>
      </c>
      <c r="S1823" s="21"/>
      <c r="Z1823" s="8"/>
      <c r="AA1823">
        <v>1</v>
      </c>
      <c r="AB1823">
        <f t="shared" si="299"/>
        <v>0</v>
      </c>
      <c r="AC1823">
        <v>1</v>
      </c>
      <c r="AF1823">
        <v>1</v>
      </c>
      <c r="AG1823" s="8"/>
      <c r="AH1823" s="8"/>
      <c r="AK1823" cm="1">
        <f t="array" ref="AK1823">_xlfn.IFS(B1823="","",LEFT(G1823,1)="L",1,LEFT(G1823,1)="W",1,AND(LEFT(B1823,1)="H",G1823=""),0)</f>
        <v>1</v>
      </c>
      <c r="AS1823" t="str">
        <f t="shared" si="300"/>
        <v/>
      </c>
      <c r="AT1823" t="s">
        <v>115</v>
      </c>
      <c r="AU1823" t="str">
        <f t="shared" si="301"/>
        <v>0</v>
      </c>
      <c r="BD1823" t="str">
        <f t="shared" si="302"/>
        <v>0</v>
      </c>
      <c r="BK1823" t="str">
        <f>IFERROR(VLOOKUP(B1823,'[1]model_S-フレーム'!$F$5:$R$7000,13,1),"")</f>
        <v>E369086_01</v>
      </c>
      <c r="BL1823" s="7">
        <f>IFERROR(VLOOKUP(B1823,'[1]model_S-フレーム'!$F$5:$V$7000,17,1),"")</f>
        <v>0</v>
      </c>
      <c r="BM1823" t="str" cm="1">
        <f t="array" ref="BM1823">_xlfn.IFS(LEFT(G1823,1)="L","外注品",LEFT(G1823,1)="W","内製品",G1823="","購買品")</f>
        <v>内製品</v>
      </c>
    </row>
    <row r="1824" spans="1:65">
      <c r="A1824" t="str">
        <f t="shared" si="294"/>
        <v>WG01</v>
      </c>
      <c r="B1824" t="s">
        <v>1879</v>
      </c>
      <c r="C1824" t="s">
        <v>1934</v>
      </c>
      <c r="D1824" s="7"/>
      <c r="E1824" s="7"/>
      <c r="G1824" t="s">
        <v>1939</v>
      </c>
      <c r="H1824" t="str" cm="1">
        <f t="array" ref="H1824">IFERROR(_xlfn.IFS(B1824="","",AND(B1824="",G1824=""),"",G1824="","記載要"),"")</f>
        <v/>
      </c>
      <c r="K1824" t="str">
        <f t="shared" si="295"/>
        <v>11WP01074093</v>
      </c>
      <c r="L1824" s="3" t="str">
        <f t="shared" si="296"/>
        <v>2001/01/01</v>
      </c>
      <c r="M1824" s="3" t="str">
        <f t="shared" si="297"/>
        <v>2199/12/31</v>
      </c>
      <c r="N1824" t="str">
        <f t="shared" si="298"/>
        <v>11WP01074093</v>
      </c>
      <c r="O1824">
        <v>15</v>
      </c>
      <c r="Q1824" t="str" cm="1">
        <f t="array" ref="Q1824">_xlfn.IFS(AND(C1824="",G1824=""),"",LEFT(G1824,1)="L","記載要",LEFT(G1824,1)="W","",AND(C1824,G1824=""),"記載要")</f>
        <v/>
      </c>
      <c r="R1824" s="21" t="str">
        <f t="shared" si="304"/>
        <v/>
      </c>
      <c r="S1824" s="21"/>
      <c r="Z1824" s="8"/>
      <c r="AA1824">
        <v>1</v>
      </c>
      <c r="AB1824">
        <f t="shared" si="299"/>
        <v>0</v>
      </c>
      <c r="AC1824">
        <v>1</v>
      </c>
      <c r="AF1824">
        <v>1</v>
      </c>
      <c r="AG1824" s="8"/>
      <c r="AH1824" s="8"/>
      <c r="AK1824" cm="1">
        <f t="array" ref="AK1824">_xlfn.IFS(B1824="","",LEFT(G1824,1)="L",1,LEFT(G1824,1)="W",1,AND(LEFT(B1824,1)="H",G1824=""),0)</f>
        <v>1</v>
      </c>
      <c r="AS1824" t="str">
        <f t="shared" si="300"/>
        <v/>
      </c>
      <c r="AT1824" t="s">
        <v>115</v>
      </c>
      <c r="AU1824" t="str">
        <f t="shared" si="301"/>
        <v>0</v>
      </c>
      <c r="BD1824" t="str">
        <f t="shared" si="302"/>
        <v>0</v>
      </c>
      <c r="BK1824" t="str">
        <f>IFERROR(VLOOKUP(B1824,'[1]model_S-フレーム'!$F$5:$R$7000,13,1),"")</f>
        <v>E369086_01</v>
      </c>
      <c r="BL1824" s="7">
        <f>IFERROR(VLOOKUP(B1824,'[1]model_S-フレーム'!$F$5:$V$7000,17,1),"")</f>
        <v>0</v>
      </c>
      <c r="BM1824" t="str" cm="1">
        <f t="array" ref="BM1824">_xlfn.IFS(LEFT(G1824,1)="L","外注品",LEFT(G1824,1)="W","内製品",G1824="","購買品")</f>
        <v>内製品</v>
      </c>
    </row>
    <row r="1825" spans="1:65">
      <c r="A1825" t="str">
        <f t="shared" si="294"/>
        <v>WG01</v>
      </c>
      <c r="B1825" t="s">
        <v>1880</v>
      </c>
      <c r="C1825" t="s">
        <v>1934</v>
      </c>
      <c r="D1825" s="7"/>
      <c r="E1825" s="7"/>
      <c r="G1825" t="s">
        <v>1939</v>
      </c>
      <c r="H1825" t="str" cm="1">
        <f t="array" ref="H1825">IFERROR(_xlfn.IFS(B1825="","",AND(B1825="",G1825=""),"",G1825="","記載要"),"")</f>
        <v/>
      </c>
      <c r="K1825" t="str">
        <f t="shared" si="295"/>
        <v>11WP01074094</v>
      </c>
      <c r="L1825" s="3" t="str">
        <f t="shared" si="296"/>
        <v>2001/01/01</v>
      </c>
      <c r="M1825" s="3" t="str">
        <f t="shared" si="297"/>
        <v>2199/12/31</v>
      </c>
      <c r="N1825" t="str">
        <f t="shared" si="298"/>
        <v>11WP01074094</v>
      </c>
      <c r="O1825">
        <v>15</v>
      </c>
      <c r="Q1825" t="str" cm="1">
        <f t="array" ref="Q1825">_xlfn.IFS(AND(C1825="",G1825=""),"",LEFT(G1825,1)="L","記載要",LEFT(G1825,1)="W","",AND(C1825,G1825=""),"記載要")</f>
        <v/>
      </c>
      <c r="R1825" s="21" t="str">
        <f t="shared" si="304"/>
        <v/>
      </c>
      <c r="S1825" s="21"/>
      <c r="Z1825" s="8"/>
      <c r="AA1825">
        <v>1</v>
      </c>
      <c r="AB1825">
        <f t="shared" si="299"/>
        <v>0</v>
      </c>
      <c r="AC1825">
        <v>1</v>
      </c>
      <c r="AF1825">
        <v>1</v>
      </c>
      <c r="AG1825" s="8"/>
      <c r="AH1825" s="8"/>
      <c r="AK1825" cm="1">
        <f t="array" ref="AK1825">_xlfn.IFS(B1825="","",LEFT(G1825,1)="L",1,LEFT(G1825,1)="W",1,AND(LEFT(B1825,1)="H",G1825=""),0)</f>
        <v>1</v>
      </c>
      <c r="AS1825" t="str">
        <f t="shared" si="300"/>
        <v/>
      </c>
      <c r="AT1825" t="s">
        <v>115</v>
      </c>
      <c r="AU1825" t="str">
        <f t="shared" si="301"/>
        <v>0</v>
      </c>
      <c r="BD1825" t="str">
        <f t="shared" si="302"/>
        <v>0</v>
      </c>
      <c r="BK1825" t="str">
        <f>IFERROR(VLOOKUP(B1825,'[1]model_S-フレーム'!$F$5:$R$7000,13,1),"")</f>
        <v>E369086_01</v>
      </c>
      <c r="BL1825" s="7">
        <f>IFERROR(VLOOKUP(B1825,'[1]model_S-フレーム'!$F$5:$V$7000,17,1),"")</f>
        <v>0</v>
      </c>
      <c r="BM1825" t="str" cm="1">
        <f t="array" ref="BM1825">_xlfn.IFS(LEFT(G1825,1)="L","外注品",LEFT(G1825,1)="W","内製品",G1825="","購買品")</f>
        <v>内製品</v>
      </c>
    </row>
    <row r="1826" spans="1:65">
      <c r="A1826" t="str">
        <f t="shared" si="294"/>
        <v>WG01</v>
      </c>
      <c r="B1826" t="s">
        <v>1881</v>
      </c>
      <c r="C1826" t="s">
        <v>1934</v>
      </c>
      <c r="D1826" s="7"/>
      <c r="E1826" s="7"/>
      <c r="G1826" t="s">
        <v>1939</v>
      </c>
      <c r="H1826" t="str" cm="1">
        <f t="array" ref="H1826">IFERROR(_xlfn.IFS(B1826="","",AND(B1826="",G1826=""),"",G1826="","記載要"),"")</f>
        <v/>
      </c>
      <c r="K1826" t="str">
        <f t="shared" si="295"/>
        <v>11WP01074095</v>
      </c>
      <c r="L1826" s="3" t="str">
        <f t="shared" si="296"/>
        <v>2001/01/01</v>
      </c>
      <c r="M1826" s="3" t="str">
        <f t="shared" si="297"/>
        <v>2199/12/31</v>
      </c>
      <c r="N1826" t="str">
        <f t="shared" si="298"/>
        <v>11WP01074095</v>
      </c>
      <c r="O1826">
        <v>15</v>
      </c>
      <c r="Q1826" t="str" cm="1">
        <f t="array" ref="Q1826">_xlfn.IFS(AND(C1826="",G1826=""),"",LEFT(G1826,1)="L","記載要",LEFT(G1826,1)="W","",AND(C1826,G1826=""),"記載要")</f>
        <v/>
      </c>
      <c r="R1826" s="21" t="str">
        <f t="shared" si="304"/>
        <v/>
      </c>
      <c r="S1826" s="21"/>
      <c r="Z1826" s="8"/>
      <c r="AA1826">
        <v>1</v>
      </c>
      <c r="AB1826">
        <f t="shared" si="299"/>
        <v>0</v>
      </c>
      <c r="AC1826">
        <v>1</v>
      </c>
      <c r="AF1826">
        <v>1</v>
      </c>
      <c r="AG1826" s="8"/>
      <c r="AH1826" s="8"/>
      <c r="AK1826" cm="1">
        <f t="array" ref="AK1826">_xlfn.IFS(B1826="","",LEFT(G1826,1)="L",1,LEFT(G1826,1)="W",1,AND(LEFT(B1826,1)="H",G1826=""),0)</f>
        <v>1</v>
      </c>
      <c r="AS1826" t="str">
        <f t="shared" si="300"/>
        <v/>
      </c>
      <c r="AT1826" t="s">
        <v>115</v>
      </c>
      <c r="AU1826" t="str">
        <f t="shared" si="301"/>
        <v>0</v>
      </c>
      <c r="BD1826" t="str">
        <f t="shared" si="302"/>
        <v>0</v>
      </c>
      <c r="BK1826" t="str">
        <f>IFERROR(VLOOKUP(B1826,'[1]model_S-フレーム'!$F$5:$R$7000,13,1),"")</f>
        <v>E369086_01</v>
      </c>
      <c r="BL1826" s="7">
        <f>IFERROR(VLOOKUP(B1826,'[1]model_S-フレーム'!$F$5:$V$7000,17,1),"")</f>
        <v>0</v>
      </c>
      <c r="BM1826" t="str" cm="1">
        <f t="array" ref="BM1826">_xlfn.IFS(LEFT(G1826,1)="L","外注品",LEFT(G1826,1)="W","内製品",G1826="","購買品")</f>
        <v>内製品</v>
      </c>
    </row>
    <row r="1827" spans="1:65">
      <c r="A1827" t="str">
        <f t="shared" si="294"/>
        <v>WG01</v>
      </c>
      <c r="B1827" t="s">
        <v>1882</v>
      </c>
      <c r="C1827" t="s">
        <v>1934</v>
      </c>
      <c r="D1827" s="7"/>
      <c r="E1827" s="7"/>
      <c r="G1827" t="s">
        <v>1939</v>
      </c>
      <c r="H1827" t="str" cm="1">
        <f t="array" ref="H1827">IFERROR(_xlfn.IFS(B1827="","",AND(B1827="",G1827=""),"",G1827="","記載要"),"")</f>
        <v/>
      </c>
      <c r="K1827" t="str">
        <f t="shared" si="295"/>
        <v>11WP01074096</v>
      </c>
      <c r="L1827" s="3" t="str">
        <f t="shared" si="296"/>
        <v>2001/01/01</v>
      </c>
      <c r="M1827" s="3" t="str">
        <f t="shared" si="297"/>
        <v>2199/12/31</v>
      </c>
      <c r="N1827" t="str">
        <f t="shared" si="298"/>
        <v>11WP01074096</v>
      </c>
      <c r="O1827">
        <v>15</v>
      </c>
      <c r="Q1827" t="str" cm="1">
        <f t="array" ref="Q1827">_xlfn.IFS(AND(C1827="",G1827=""),"",LEFT(G1827,1)="L","記載要",LEFT(G1827,1)="W","",AND(C1827,G1827=""),"記載要")</f>
        <v/>
      </c>
      <c r="R1827" s="21" t="str">
        <f t="shared" si="304"/>
        <v/>
      </c>
      <c r="S1827" s="21"/>
      <c r="Z1827" s="8"/>
      <c r="AA1827">
        <v>1</v>
      </c>
      <c r="AB1827">
        <f t="shared" si="299"/>
        <v>0</v>
      </c>
      <c r="AC1827">
        <v>1</v>
      </c>
      <c r="AF1827">
        <v>1</v>
      </c>
      <c r="AG1827" s="8"/>
      <c r="AH1827" s="8"/>
      <c r="AK1827" cm="1">
        <f t="array" ref="AK1827">_xlfn.IFS(B1827="","",LEFT(G1827,1)="L",1,LEFT(G1827,1)="W",1,AND(LEFT(B1827,1)="H",G1827=""),0)</f>
        <v>1</v>
      </c>
      <c r="AS1827" t="str">
        <f t="shared" si="300"/>
        <v/>
      </c>
      <c r="AT1827" t="s">
        <v>115</v>
      </c>
      <c r="AU1827" t="str">
        <f t="shared" si="301"/>
        <v>0</v>
      </c>
      <c r="BD1827" t="str">
        <f t="shared" si="302"/>
        <v>0</v>
      </c>
      <c r="BK1827" t="str">
        <f>IFERROR(VLOOKUP(B1827,'[1]model_S-フレーム'!$F$5:$R$7000,13,1),"")</f>
        <v>E369086_01</v>
      </c>
      <c r="BL1827" s="7">
        <f>IFERROR(VLOOKUP(B1827,'[1]model_S-フレーム'!$F$5:$V$7000,17,1),"")</f>
        <v>0</v>
      </c>
      <c r="BM1827" t="str" cm="1">
        <f t="array" ref="BM1827">_xlfn.IFS(LEFT(G1827,1)="L","外注品",LEFT(G1827,1)="W","内製品",G1827="","購買品")</f>
        <v>内製品</v>
      </c>
    </row>
    <row r="1828" spans="1:65">
      <c r="A1828" t="str">
        <f t="shared" si="294"/>
        <v>WG01</v>
      </c>
      <c r="B1828" t="s">
        <v>1883</v>
      </c>
      <c r="C1828" t="s">
        <v>1934</v>
      </c>
      <c r="D1828" s="7"/>
      <c r="E1828" s="7"/>
      <c r="G1828" t="s">
        <v>1939</v>
      </c>
      <c r="H1828" t="str" cm="1">
        <f t="array" ref="H1828">IFERROR(_xlfn.IFS(B1828="","",AND(B1828="",G1828=""),"",G1828="","記載要"),"")</f>
        <v/>
      </c>
      <c r="K1828" t="str">
        <f t="shared" si="295"/>
        <v>11WP01074097</v>
      </c>
      <c r="L1828" s="3" t="str">
        <f t="shared" si="296"/>
        <v>2001/01/01</v>
      </c>
      <c r="M1828" s="3" t="str">
        <f t="shared" si="297"/>
        <v>2199/12/31</v>
      </c>
      <c r="N1828" t="str">
        <f t="shared" si="298"/>
        <v>11WP01074097</v>
      </c>
      <c r="O1828">
        <v>15</v>
      </c>
      <c r="Q1828" t="str" cm="1">
        <f t="array" ref="Q1828">_xlfn.IFS(AND(C1828="",G1828=""),"",LEFT(G1828,1)="L","記載要",LEFT(G1828,1)="W","",AND(C1828,G1828=""),"記載要")</f>
        <v/>
      </c>
      <c r="R1828" s="21" t="str">
        <f t="shared" si="304"/>
        <v/>
      </c>
      <c r="S1828" s="21"/>
      <c r="Z1828" s="8"/>
      <c r="AA1828">
        <v>1</v>
      </c>
      <c r="AB1828">
        <f t="shared" si="299"/>
        <v>0</v>
      </c>
      <c r="AC1828">
        <v>1</v>
      </c>
      <c r="AF1828">
        <v>1</v>
      </c>
      <c r="AG1828" s="8"/>
      <c r="AH1828" s="8"/>
      <c r="AK1828" cm="1">
        <f t="array" ref="AK1828">_xlfn.IFS(B1828="","",LEFT(G1828,1)="L",1,LEFT(G1828,1)="W",1,AND(LEFT(B1828,1)="H",G1828=""),0)</f>
        <v>1</v>
      </c>
      <c r="AS1828" t="str">
        <f t="shared" si="300"/>
        <v/>
      </c>
      <c r="AT1828" t="s">
        <v>115</v>
      </c>
      <c r="AU1828" t="str">
        <f t="shared" si="301"/>
        <v>0</v>
      </c>
      <c r="BD1828" t="str">
        <f t="shared" si="302"/>
        <v>0</v>
      </c>
      <c r="BK1828" t="str">
        <f>IFERROR(VLOOKUP(B1828,'[1]model_S-フレーム'!$F$5:$R$7000,13,1),"")</f>
        <v>E369086_01</v>
      </c>
      <c r="BL1828" s="7">
        <f>IFERROR(VLOOKUP(B1828,'[1]model_S-フレーム'!$F$5:$V$7000,17,1),"")</f>
        <v>0</v>
      </c>
      <c r="BM1828" t="str" cm="1">
        <f t="array" ref="BM1828">_xlfn.IFS(LEFT(G1828,1)="L","外注品",LEFT(G1828,1)="W","内製品",G1828="","購買品")</f>
        <v>内製品</v>
      </c>
    </row>
    <row r="1829" spans="1:65">
      <c r="A1829" t="str">
        <f t="shared" si="294"/>
        <v>WG01</v>
      </c>
      <c r="B1829" t="s">
        <v>1884</v>
      </c>
      <c r="C1829" t="s">
        <v>1934</v>
      </c>
      <c r="D1829" s="7"/>
      <c r="E1829" s="7"/>
      <c r="G1829" t="s">
        <v>1939</v>
      </c>
      <c r="H1829" t="str" cm="1">
        <f t="array" ref="H1829">IFERROR(_xlfn.IFS(B1829="","",AND(B1829="",G1829=""),"",G1829="","記載要"),"")</f>
        <v/>
      </c>
      <c r="K1829" t="str">
        <f t="shared" si="295"/>
        <v>11WP01074098</v>
      </c>
      <c r="L1829" s="3" t="str">
        <f t="shared" si="296"/>
        <v>2001/01/01</v>
      </c>
      <c r="M1829" s="3" t="str">
        <f t="shared" si="297"/>
        <v>2199/12/31</v>
      </c>
      <c r="N1829" t="str">
        <f t="shared" si="298"/>
        <v>11WP01074098</v>
      </c>
      <c r="O1829">
        <v>15</v>
      </c>
      <c r="Q1829" t="str" cm="1">
        <f t="array" ref="Q1829">_xlfn.IFS(AND(C1829="",G1829=""),"",LEFT(G1829,1)="L","記載要",LEFT(G1829,1)="W","",AND(C1829,G1829=""),"記載要")</f>
        <v/>
      </c>
      <c r="R1829" s="21" t="str">
        <f t="shared" si="304"/>
        <v/>
      </c>
      <c r="S1829" s="21"/>
      <c r="Z1829" s="8"/>
      <c r="AA1829">
        <v>1</v>
      </c>
      <c r="AB1829">
        <f t="shared" si="299"/>
        <v>0</v>
      </c>
      <c r="AC1829">
        <v>1</v>
      </c>
      <c r="AF1829">
        <v>1</v>
      </c>
      <c r="AG1829" s="8"/>
      <c r="AH1829" s="8"/>
      <c r="AK1829" cm="1">
        <f t="array" ref="AK1829">_xlfn.IFS(B1829="","",LEFT(G1829,1)="L",1,LEFT(G1829,1)="W",1,AND(LEFT(B1829,1)="H",G1829=""),0)</f>
        <v>1</v>
      </c>
      <c r="AS1829" t="str">
        <f t="shared" si="300"/>
        <v/>
      </c>
      <c r="AT1829" t="s">
        <v>115</v>
      </c>
      <c r="AU1829" t="str">
        <f t="shared" si="301"/>
        <v>0</v>
      </c>
      <c r="BD1829" t="str">
        <f t="shared" si="302"/>
        <v>0</v>
      </c>
      <c r="BK1829" t="str">
        <f>IFERROR(VLOOKUP(B1829,'[1]model_S-フレーム'!$F$5:$R$7000,13,1),"")</f>
        <v>E369086_01</v>
      </c>
      <c r="BL1829" s="7">
        <f>IFERROR(VLOOKUP(B1829,'[1]model_S-フレーム'!$F$5:$V$7000,17,1),"")</f>
        <v>0</v>
      </c>
      <c r="BM1829" t="str" cm="1">
        <f t="array" ref="BM1829">_xlfn.IFS(LEFT(G1829,1)="L","外注品",LEFT(G1829,1)="W","内製品",G1829="","購買品")</f>
        <v>内製品</v>
      </c>
    </row>
    <row r="1830" spans="1:65">
      <c r="A1830" t="str">
        <f t="shared" si="294"/>
        <v>WG01</v>
      </c>
      <c r="B1830" t="s">
        <v>1885</v>
      </c>
      <c r="C1830" t="s">
        <v>1934</v>
      </c>
      <c r="D1830" s="7"/>
      <c r="E1830" s="7"/>
      <c r="G1830" t="s">
        <v>1939</v>
      </c>
      <c r="H1830" t="str" cm="1">
        <f t="array" ref="H1830">IFERROR(_xlfn.IFS(B1830="","",AND(B1830="",G1830=""),"",G1830="","記載要"),"")</f>
        <v/>
      </c>
      <c r="K1830" t="str">
        <f t="shared" si="295"/>
        <v>11WP01074099</v>
      </c>
      <c r="L1830" s="3" t="str">
        <f t="shared" si="296"/>
        <v>2001/01/01</v>
      </c>
      <c r="M1830" s="3" t="str">
        <f t="shared" si="297"/>
        <v>2199/12/31</v>
      </c>
      <c r="N1830" t="str">
        <f t="shared" si="298"/>
        <v>11WP01074099</v>
      </c>
      <c r="O1830">
        <v>15</v>
      </c>
      <c r="Q1830" t="str" cm="1">
        <f t="array" ref="Q1830">_xlfn.IFS(AND(C1830="",G1830=""),"",LEFT(G1830,1)="L","記載要",LEFT(G1830,1)="W","",AND(C1830,G1830=""),"記載要")</f>
        <v/>
      </c>
      <c r="R1830" s="21" t="str">
        <f t="shared" si="304"/>
        <v/>
      </c>
      <c r="S1830" s="21"/>
      <c r="Z1830" s="8"/>
      <c r="AA1830">
        <v>1</v>
      </c>
      <c r="AB1830">
        <f t="shared" si="299"/>
        <v>0</v>
      </c>
      <c r="AC1830">
        <v>1</v>
      </c>
      <c r="AF1830">
        <v>1</v>
      </c>
      <c r="AG1830" s="8"/>
      <c r="AH1830" s="8"/>
      <c r="AK1830" cm="1">
        <f t="array" ref="AK1830">_xlfn.IFS(B1830="","",LEFT(G1830,1)="L",1,LEFT(G1830,1)="W",1,AND(LEFT(B1830,1)="H",G1830=""),0)</f>
        <v>1</v>
      </c>
      <c r="AS1830" t="str">
        <f t="shared" si="300"/>
        <v/>
      </c>
      <c r="AT1830" t="s">
        <v>115</v>
      </c>
      <c r="AU1830" t="str">
        <f t="shared" si="301"/>
        <v>0</v>
      </c>
      <c r="BD1830" t="str">
        <f t="shared" si="302"/>
        <v>0</v>
      </c>
      <c r="BK1830" t="str">
        <f>IFERROR(VLOOKUP(B1830,'[1]model_S-フレーム'!$F$5:$R$7000,13,1),"")</f>
        <v>E369086_01</v>
      </c>
      <c r="BL1830" s="7">
        <f>IFERROR(VLOOKUP(B1830,'[1]model_S-フレーム'!$F$5:$V$7000,17,1),"")</f>
        <v>0</v>
      </c>
      <c r="BM1830" t="str" cm="1">
        <f t="array" ref="BM1830">_xlfn.IFS(LEFT(G1830,1)="L","外注品",LEFT(G1830,1)="W","内製品",G1830="","購買品")</f>
        <v>内製品</v>
      </c>
    </row>
    <row r="1831" spans="1:65">
      <c r="A1831" t="str">
        <f t="shared" si="294"/>
        <v>WG01</v>
      </c>
      <c r="B1831" t="s">
        <v>1886</v>
      </c>
      <c r="C1831" t="s">
        <v>1934</v>
      </c>
      <c r="D1831" s="7"/>
      <c r="E1831" s="7"/>
      <c r="G1831" t="s">
        <v>1939</v>
      </c>
      <c r="H1831" t="str" cm="1">
        <f t="array" ref="H1831">IFERROR(_xlfn.IFS(B1831="","",AND(B1831="",G1831=""),"",G1831="","記載要"),"")</f>
        <v/>
      </c>
      <c r="K1831" t="str">
        <f t="shared" si="295"/>
        <v>11WP01074100</v>
      </c>
      <c r="L1831" s="3" t="str">
        <f t="shared" si="296"/>
        <v>2001/01/01</v>
      </c>
      <c r="M1831" s="3" t="str">
        <f t="shared" si="297"/>
        <v>2199/12/31</v>
      </c>
      <c r="N1831" t="str">
        <f t="shared" si="298"/>
        <v>11WP01074100</v>
      </c>
      <c r="O1831">
        <v>15</v>
      </c>
      <c r="Q1831" t="str" cm="1">
        <f t="array" ref="Q1831">_xlfn.IFS(AND(C1831="",G1831=""),"",LEFT(G1831,1)="L","記載要",LEFT(G1831,1)="W","",AND(C1831,G1831=""),"記載要")</f>
        <v/>
      </c>
      <c r="R1831" s="21" t="str">
        <f t="shared" si="304"/>
        <v/>
      </c>
      <c r="S1831" s="21"/>
      <c r="Z1831" s="8"/>
      <c r="AA1831">
        <v>1</v>
      </c>
      <c r="AB1831">
        <f t="shared" si="299"/>
        <v>0</v>
      </c>
      <c r="AC1831">
        <v>1</v>
      </c>
      <c r="AF1831">
        <v>1</v>
      </c>
      <c r="AG1831" s="8"/>
      <c r="AH1831" s="8"/>
      <c r="AK1831" cm="1">
        <f t="array" ref="AK1831">_xlfn.IFS(B1831="","",LEFT(G1831,1)="L",1,LEFT(G1831,1)="W",1,AND(LEFT(B1831,1)="H",G1831=""),0)</f>
        <v>1</v>
      </c>
      <c r="AS1831" t="str">
        <f t="shared" si="300"/>
        <v/>
      </c>
      <c r="AT1831" t="s">
        <v>115</v>
      </c>
      <c r="AU1831" t="str">
        <f t="shared" si="301"/>
        <v>0</v>
      </c>
      <c r="BD1831" t="str">
        <f t="shared" si="302"/>
        <v>0</v>
      </c>
      <c r="BK1831" t="str">
        <f>IFERROR(VLOOKUP(B1831,'[1]model_S-フレーム'!$F$5:$R$7000,13,1),"")</f>
        <v>E369086_01</v>
      </c>
      <c r="BL1831" s="7">
        <f>IFERROR(VLOOKUP(B1831,'[1]model_S-フレーム'!$F$5:$V$7000,17,1),"")</f>
        <v>0</v>
      </c>
      <c r="BM1831" t="str" cm="1">
        <f t="array" ref="BM1831">_xlfn.IFS(LEFT(G1831,1)="L","外注品",LEFT(G1831,1)="W","内製品",G1831="","購買品")</f>
        <v>内製品</v>
      </c>
    </row>
    <row r="1832" spans="1:65">
      <c r="A1832" t="str">
        <f t="shared" si="294"/>
        <v>WG01</v>
      </c>
      <c r="B1832" t="s">
        <v>1887</v>
      </c>
      <c r="C1832" t="s">
        <v>1934</v>
      </c>
      <c r="D1832" s="7"/>
      <c r="E1832" s="7"/>
      <c r="G1832" t="s">
        <v>1939</v>
      </c>
      <c r="H1832" t="str" cm="1">
        <f t="array" ref="H1832">IFERROR(_xlfn.IFS(B1832="","",AND(B1832="",G1832=""),"",G1832="","記載要"),"")</f>
        <v/>
      </c>
      <c r="K1832" t="str">
        <f t="shared" si="295"/>
        <v>11WP01074101</v>
      </c>
      <c r="L1832" s="3" t="str">
        <f t="shared" si="296"/>
        <v>2001/01/01</v>
      </c>
      <c r="M1832" s="3" t="str">
        <f t="shared" si="297"/>
        <v>2199/12/31</v>
      </c>
      <c r="N1832" t="str">
        <f t="shared" si="298"/>
        <v>11WP01074101</v>
      </c>
      <c r="O1832">
        <v>15</v>
      </c>
      <c r="Q1832" t="str" cm="1">
        <f t="array" ref="Q1832">_xlfn.IFS(AND(C1832="",G1832=""),"",LEFT(G1832,1)="L","記載要",LEFT(G1832,1)="W","",AND(C1832,G1832=""),"記載要")</f>
        <v/>
      </c>
      <c r="R1832" s="21" t="str">
        <f t="shared" si="304"/>
        <v/>
      </c>
      <c r="S1832" s="21"/>
      <c r="Z1832" s="8"/>
      <c r="AA1832">
        <v>1</v>
      </c>
      <c r="AB1832">
        <f t="shared" si="299"/>
        <v>0</v>
      </c>
      <c r="AC1832">
        <v>1</v>
      </c>
      <c r="AF1832">
        <v>1</v>
      </c>
      <c r="AG1832" s="8"/>
      <c r="AH1832" s="8"/>
      <c r="AK1832" cm="1">
        <f t="array" ref="AK1832">_xlfn.IFS(B1832="","",LEFT(G1832,1)="L",1,LEFT(G1832,1)="W",1,AND(LEFT(B1832,1)="H",G1832=""),0)</f>
        <v>1</v>
      </c>
      <c r="AS1832" t="str">
        <f t="shared" si="300"/>
        <v/>
      </c>
      <c r="AT1832" t="s">
        <v>115</v>
      </c>
      <c r="AU1832" t="str">
        <f t="shared" si="301"/>
        <v>0</v>
      </c>
      <c r="BD1832" t="str">
        <f t="shared" si="302"/>
        <v>0</v>
      </c>
      <c r="BK1832" t="str">
        <f>IFERROR(VLOOKUP(B1832,'[1]model_S-フレーム'!$F$5:$R$7000,13,1),"")</f>
        <v>E369086_01</v>
      </c>
      <c r="BL1832" s="7">
        <f>IFERROR(VLOOKUP(B1832,'[1]model_S-フレーム'!$F$5:$V$7000,17,1),"")</f>
        <v>0</v>
      </c>
      <c r="BM1832" t="str" cm="1">
        <f t="array" ref="BM1832">_xlfn.IFS(LEFT(G1832,1)="L","外注品",LEFT(G1832,1)="W","内製品",G1832="","購買品")</f>
        <v>内製品</v>
      </c>
    </row>
    <row r="1833" spans="1:65">
      <c r="A1833" t="str">
        <f t="shared" si="294"/>
        <v>WG01</v>
      </c>
      <c r="B1833" t="s">
        <v>1888</v>
      </c>
      <c r="C1833" t="s">
        <v>1934</v>
      </c>
      <c r="D1833" s="7"/>
      <c r="E1833" s="7"/>
      <c r="G1833" t="s">
        <v>1939</v>
      </c>
      <c r="H1833" t="str" cm="1">
        <f t="array" ref="H1833">IFERROR(_xlfn.IFS(B1833="","",AND(B1833="",G1833=""),"",G1833="","記載要"),"")</f>
        <v/>
      </c>
      <c r="K1833" t="str">
        <f t="shared" si="295"/>
        <v>11WP01074102</v>
      </c>
      <c r="L1833" s="3" t="str">
        <f t="shared" si="296"/>
        <v>2001/01/01</v>
      </c>
      <c r="M1833" s="3" t="str">
        <f t="shared" si="297"/>
        <v>2199/12/31</v>
      </c>
      <c r="N1833" t="str">
        <f t="shared" si="298"/>
        <v>11WP01074102</v>
      </c>
      <c r="O1833">
        <v>15</v>
      </c>
      <c r="Q1833" t="str" cm="1">
        <f t="array" ref="Q1833">_xlfn.IFS(AND(C1833="",G1833=""),"",LEFT(G1833,1)="L","記載要",LEFT(G1833,1)="W","",AND(C1833,G1833=""),"記載要")</f>
        <v/>
      </c>
      <c r="R1833" s="21" t="str">
        <f t="shared" si="304"/>
        <v/>
      </c>
      <c r="S1833" s="21"/>
      <c r="Z1833" s="8"/>
      <c r="AA1833">
        <v>1</v>
      </c>
      <c r="AB1833">
        <f t="shared" si="299"/>
        <v>0</v>
      </c>
      <c r="AC1833">
        <v>1</v>
      </c>
      <c r="AF1833">
        <v>1</v>
      </c>
      <c r="AG1833" s="8"/>
      <c r="AH1833" s="8"/>
      <c r="AK1833" cm="1">
        <f t="array" ref="AK1833">_xlfn.IFS(B1833="","",LEFT(G1833,1)="L",1,LEFT(G1833,1)="W",1,AND(LEFT(B1833,1)="H",G1833=""),0)</f>
        <v>1</v>
      </c>
      <c r="AS1833" t="str">
        <f t="shared" si="300"/>
        <v/>
      </c>
      <c r="AT1833" t="s">
        <v>115</v>
      </c>
      <c r="AU1833" t="str">
        <f t="shared" si="301"/>
        <v>0</v>
      </c>
      <c r="BD1833" t="str">
        <f t="shared" si="302"/>
        <v>0</v>
      </c>
      <c r="BK1833" t="str">
        <f>IFERROR(VLOOKUP(B1833,'[1]model_S-フレーム'!$F$5:$R$7000,13,1),"")</f>
        <v>E369086_01</v>
      </c>
      <c r="BL1833" s="7">
        <f>IFERROR(VLOOKUP(B1833,'[1]model_S-フレーム'!$F$5:$V$7000,17,1),"")</f>
        <v>0</v>
      </c>
      <c r="BM1833" t="str" cm="1">
        <f t="array" ref="BM1833">_xlfn.IFS(LEFT(G1833,1)="L","外注品",LEFT(G1833,1)="W","内製品",G1833="","購買品")</f>
        <v>内製品</v>
      </c>
    </row>
    <row r="1834" spans="1:65">
      <c r="A1834" t="str">
        <f t="shared" si="294"/>
        <v>WG01</v>
      </c>
      <c r="B1834" t="s">
        <v>1889</v>
      </c>
      <c r="C1834" t="s">
        <v>1934</v>
      </c>
      <c r="D1834" s="7"/>
      <c r="E1834" s="7"/>
      <c r="G1834" t="s">
        <v>1939</v>
      </c>
      <c r="H1834" t="str" cm="1">
        <f t="array" ref="H1834">IFERROR(_xlfn.IFS(B1834="","",AND(B1834="",G1834=""),"",G1834="","記載要"),"")</f>
        <v/>
      </c>
      <c r="K1834" t="str">
        <f t="shared" si="295"/>
        <v>11WP01074103</v>
      </c>
      <c r="L1834" s="3" t="str">
        <f t="shared" si="296"/>
        <v>2001/01/01</v>
      </c>
      <c r="M1834" s="3" t="str">
        <f t="shared" si="297"/>
        <v>2199/12/31</v>
      </c>
      <c r="N1834" t="str">
        <f t="shared" si="298"/>
        <v>11WP01074103</v>
      </c>
      <c r="O1834">
        <v>15</v>
      </c>
      <c r="Q1834" t="str" cm="1">
        <f t="array" ref="Q1834">_xlfn.IFS(AND(C1834="",G1834=""),"",LEFT(G1834,1)="L","記載要",LEFT(G1834,1)="W","",AND(C1834,G1834=""),"記載要")</f>
        <v/>
      </c>
      <c r="R1834" s="21" t="str">
        <f t="shared" si="304"/>
        <v/>
      </c>
      <c r="S1834" s="21"/>
      <c r="Z1834" s="8"/>
      <c r="AA1834">
        <v>1</v>
      </c>
      <c r="AB1834">
        <f t="shared" si="299"/>
        <v>0</v>
      </c>
      <c r="AC1834">
        <v>1</v>
      </c>
      <c r="AF1834">
        <v>1</v>
      </c>
      <c r="AG1834" s="8"/>
      <c r="AH1834" s="8"/>
      <c r="AK1834" cm="1">
        <f t="array" ref="AK1834">_xlfn.IFS(B1834="","",LEFT(G1834,1)="L",1,LEFT(G1834,1)="W",1,AND(LEFT(B1834,1)="H",G1834=""),0)</f>
        <v>1</v>
      </c>
      <c r="AS1834" t="str">
        <f t="shared" si="300"/>
        <v/>
      </c>
      <c r="AT1834" t="s">
        <v>115</v>
      </c>
      <c r="AU1834" t="str">
        <f t="shared" si="301"/>
        <v>0</v>
      </c>
      <c r="BD1834" t="str">
        <f t="shared" si="302"/>
        <v>0</v>
      </c>
      <c r="BK1834" t="str">
        <f>IFERROR(VLOOKUP(B1834,'[1]model_S-フレーム'!$F$5:$R$7000,13,1),"")</f>
        <v>E369086_01</v>
      </c>
      <c r="BL1834" s="7">
        <f>IFERROR(VLOOKUP(B1834,'[1]model_S-フレーム'!$F$5:$V$7000,17,1),"")</f>
        <v>0</v>
      </c>
      <c r="BM1834" t="str" cm="1">
        <f t="array" ref="BM1834">_xlfn.IFS(LEFT(G1834,1)="L","外注品",LEFT(G1834,1)="W","内製品",G1834="","購買品")</f>
        <v>内製品</v>
      </c>
    </row>
    <row r="1835" spans="1:65">
      <c r="A1835" t="str">
        <f t="shared" si="294"/>
        <v>WG01</v>
      </c>
      <c r="B1835" t="s">
        <v>1890</v>
      </c>
      <c r="C1835" t="s">
        <v>1934</v>
      </c>
      <c r="D1835" s="7"/>
      <c r="E1835" s="7"/>
      <c r="G1835" t="s">
        <v>1939</v>
      </c>
      <c r="H1835" t="str" cm="1">
        <f t="array" ref="H1835">IFERROR(_xlfn.IFS(B1835="","",AND(B1835="",G1835=""),"",G1835="","記載要"),"")</f>
        <v/>
      </c>
      <c r="K1835" t="str">
        <f t="shared" si="295"/>
        <v>11WP01074104</v>
      </c>
      <c r="L1835" s="3" t="str">
        <f t="shared" si="296"/>
        <v>2001/01/01</v>
      </c>
      <c r="M1835" s="3" t="str">
        <f t="shared" si="297"/>
        <v>2199/12/31</v>
      </c>
      <c r="N1835" t="str">
        <f t="shared" si="298"/>
        <v>11WP01074104</v>
      </c>
      <c r="O1835">
        <v>15</v>
      </c>
      <c r="Q1835" t="str" cm="1">
        <f t="array" ref="Q1835">_xlfn.IFS(AND(C1835="",G1835=""),"",LEFT(G1835,1)="L","記載要",LEFT(G1835,1)="W","",AND(C1835,G1835=""),"記載要")</f>
        <v/>
      </c>
      <c r="R1835" s="21" t="str">
        <f t="shared" si="304"/>
        <v/>
      </c>
      <c r="S1835" s="21"/>
      <c r="Z1835" s="8"/>
      <c r="AA1835">
        <v>1</v>
      </c>
      <c r="AB1835">
        <f t="shared" si="299"/>
        <v>0</v>
      </c>
      <c r="AC1835">
        <v>1</v>
      </c>
      <c r="AF1835">
        <v>1</v>
      </c>
      <c r="AG1835" s="8"/>
      <c r="AH1835" s="8"/>
      <c r="AK1835" cm="1">
        <f t="array" ref="AK1835">_xlfn.IFS(B1835="","",LEFT(G1835,1)="L",1,LEFT(G1835,1)="W",1,AND(LEFT(B1835,1)="H",G1835=""),0)</f>
        <v>1</v>
      </c>
      <c r="AS1835" t="str">
        <f t="shared" si="300"/>
        <v/>
      </c>
      <c r="AT1835" t="s">
        <v>115</v>
      </c>
      <c r="AU1835" t="str">
        <f t="shared" si="301"/>
        <v>0</v>
      </c>
      <c r="BD1835" t="str">
        <f t="shared" si="302"/>
        <v>0</v>
      </c>
      <c r="BK1835" t="str">
        <f>IFERROR(VLOOKUP(B1835,'[1]model_S-フレーム'!$F$5:$R$7000,13,1),"")</f>
        <v>E369086_01</v>
      </c>
      <c r="BL1835" s="7">
        <f>IFERROR(VLOOKUP(B1835,'[1]model_S-フレーム'!$F$5:$V$7000,17,1),"")</f>
        <v>0</v>
      </c>
      <c r="BM1835" t="str" cm="1">
        <f t="array" ref="BM1835">_xlfn.IFS(LEFT(G1835,1)="L","外注品",LEFT(G1835,1)="W","内製品",G1835="","購買品")</f>
        <v>内製品</v>
      </c>
    </row>
    <row r="1836" spans="1:65">
      <c r="A1836" t="str">
        <f t="shared" si="294"/>
        <v>WG01</v>
      </c>
      <c r="B1836" t="s">
        <v>1891</v>
      </c>
      <c r="C1836" t="s">
        <v>1934</v>
      </c>
      <c r="D1836" s="7"/>
      <c r="E1836" s="7"/>
      <c r="G1836" t="s">
        <v>1939</v>
      </c>
      <c r="H1836" t="str" cm="1">
        <f t="array" ref="H1836">IFERROR(_xlfn.IFS(B1836="","",AND(B1836="",G1836=""),"",G1836="","記載要"),"")</f>
        <v/>
      </c>
      <c r="K1836" t="str">
        <f t="shared" si="295"/>
        <v>11WP01074105</v>
      </c>
      <c r="L1836" s="3" t="str">
        <f t="shared" si="296"/>
        <v>2001/01/01</v>
      </c>
      <c r="M1836" s="3" t="str">
        <f t="shared" si="297"/>
        <v>2199/12/31</v>
      </c>
      <c r="N1836" t="str">
        <f t="shared" si="298"/>
        <v>11WP01074105</v>
      </c>
      <c r="O1836">
        <v>15</v>
      </c>
      <c r="Q1836" t="str" cm="1">
        <f t="array" ref="Q1836">_xlfn.IFS(AND(C1836="",G1836=""),"",LEFT(G1836,1)="L","記載要",LEFT(G1836,1)="W","",AND(C1836,G1836=""),"記載要")</f>
        <v/>
      </c>
      <c r="R1836" s="21" t="str">
        <f t="shared" si="304"/>
        <v/>
      </c>
      <c r="S1836" s="21"/>
      <c r="Z1836" s="8"/>
      <c r="AA1836">
        <v>1</v>
      </c>
      <c r="AB1836">
        <f t="shared" si="299"/>
        <v>0</v>
      </c>
      <c r="AC1836">
        <v>1</v>
      </c>
      <c r="AF1836">
        <v>1</v>
      </c>
      <c r="AG1836" s="8"/>
      <c r="AH1836" s="8"/>
      <c r="AK1836" cm="1">
        <f t="array" ref="AK1836">_xlfn.IFS(B1836="","",LEFT(G1836,1)="L",1,LEFT(G1836,1)="W",1,AND(LEFT(B1836,1)="H",G1836=""),0)</f>
        <v>1</v>
      </c>
      <c r="AS1836" t="str">
        <f t="shared" si="300"/>
        <v/>
      </c>
      <c r="AT1836" t="s">
        <v>115</v>
      </c>
      <c r="AU1836" t="str">
        <f t="shared" si="301"/>
        <v>0</v>
      </c>
      <c r="BD1836" t="str">
        <f t="shared" si="302"/>
        <v>0</v>
      </c>
      <c r="BK1836" t="str">
        <f>IFERROR(VLOOKUP(B1836,'[1]model_S-フレーム'!$F$5:$R$7000,13,1),"")</f>
        <v>E369086_01</v>
      </c>
      <c r="BL1836" s="7">
        <f>IFERROR(VLOOKUP(B1836,'[1]model_S-フレーム'!$F$5:$V$7000,17,1),"")</f>
        <v>0</v>
      </c>
      <c r="BM1836" t="str" cm="1">
        <f t="array" ref="BM1836">_xlfn.IFS(LEFT(G1836,1)="L","外注品",LEFT(G1836,1)="W","内製品",G1836="","購買品")</f>
        <v>内製品</v>
      </c>
    </row>
    <row r="1837" spans="1:65" s="17" customFormat="1">
      <c r="A1837" t="str">
        <f t="shared" si="294"/>
        <v>WG01</v>
      </c>
      <c r="B1837" t="s">
        <v>1892</v>
      </c>
      <c r="C1837" t="s">
        <v>1935</v>
      </c>
      <c r="D1837" s="7"/>
      <c r="E1837" s="7"/>
      <c r="F1837"/>
      <c r="G1837"/>
      <c r="H1837">
        <v>27616</v>
      </c>
      <c r="I1837"/>
      <c r="J1837"/>
      <c r="K1837" t="str">
        <f t="shared" si="295"/>
        <v/>
      </c>
      <c r="L1837" s="3" t="str">
        <f t="shared" si="296"/>
        <v>2001/01/01</v>
      </c>
      <c r="M1837" s="3" t="str">
        <f t="shared" si="297"/>
        <v>2199/12/31</v>
      </c>
      <c r="N1837" t="str">
        <f t="shared" si="298"/>
        <v/>
      </c>
      <c r="O1837" t="str">
        <f t="shared" ref="O1837:O1856" si="305">IF(G1837="","","記載要")</f>
        <v/>
      </c>
      <c r="P1837"/>
      <c r="Q1837">
        <v>15</v>
      </c>
      <c r="R1837" s="21">
        <v>100000000</v>
      </c>
      <c r="S1837" s="21" t="str" cm="1">
        <f t="array" ref="S1837">_xlfn.IFS(LEFT(G1837,1)="L","記載要",LEFT(G1837,1)="W","記載要",G1837="","")</f>
        <v/>
      </c>
      <c r="T1837"/>
      <c r="U1837"/>
      <c r="V1837"/>
      <c r="W1837"/>
      <c r="X1837"/>
      <c r="Y1837"/>
      <c r="Z1837" s="8"/>
      <c r="AA1837" s="8">
        <v>1</v>
      </c>
      <c r="AB1837">
        <f t="shared" si="299"/>
        <v>0</v>
      </c>
      <c r="AC1837" s="8">
        <v>1</v>
      </c>
      <c r="AD1837"/>
      <c r="AE1837"/>
      <c r="AF1837">
        <v>1</v>
      </c>
      <c r="AG1837" s="8"/>
      <c r="AH1837" s="8"/>
      <c r="AI1837"/>
      <c r="AJ1837"/>
      <c r="AK1837" cm="1">
        <f t="array" ref="AK1837">_xlfn.IFS(B1837="","",LEFT(G1837,1)="L",1,LEFT(G1837,1)="W",1,AND(LEFT(B1837,1)="H",G1837=""),0)</f>
        <v>0</v>
      </c>
      <c r="AL1837"/>
      <c r="AM1837"/>
      <c r="AN1837"/>
      <c r="AO1837"/>
      <c r="AP1837"/>
      <c r="AQ1837"/>
      <c r="AR1837"/>
      <c r="AS1837">
        <f t="shared" si="300"/>
        <v>1</v>
      </c>
      <c r="AT1837" t="s">
        <v>115</v>
      </c>
      <c r="AU1837" t="str">
        <f t="shared" si="301"/>
        <v>0</v>
      </c>
      <c r="AV1837"/>
      <c r="AW1837"/>
      <c r="AX1837"/>
      <c r="AY1837"/>
      <c r="AZ1837"/>
      <c r="BA1837"/>
      <c r="BB1837"/>
      <c r="BC1837"/>
      <c r="BD1837" t="str">
        <f t="shared" si="302"/>
        <v>0</v>
      </c>
      <c r="BE1837"/>
      <c r="BF1837"/>
      <c r="BG1837"/>
      <c r="BH1837"/>
      <c r="BI1837"/>
      <c r="BJ1837"/>
      <c r="BK1837" s="17" t="str">
        <f>IFERROR(VLOOKUP(B1837,'[1]model_S-フレーム'!$F$5:$R$7000,13,1),"")</f>
        <v>E369085_01</v>
      </c>
      <c r="BL1837" s="18">
        <f>IFERROR(VLOOKUP(B1837,'[1]model_S-フレーム'!$F$5:$V$7000,17,1),"")</f>
        <v>0</v>
      </c>
      <c r="BM1837" s="17" t="str" cm="1">
        <f t="array" ref="BM1837">_xlfn.IFS(LEFT(G1837,1)="L","外注品",LEFT(G1837,1)="W","内製品",G1837="","購買品")</f>
        <v>購買品</v>
      </c>
    </row>
    <row r="1838" spans="1:65" s="17" customFormat="1">
      <c r="A1838" t="str">
        <f t="shared" si="294"/>
        <v>WG01</v>
      </c>
      <c r="B1838" t="s">
        <v>1892</v>
      </c>
      <c r="C1838" t="s">
        <v>1935</v>
      </c>
      <c r="D1838" s="7"/>
      <c r="E1838" s="7"/>
      <c r="F1838"/>
      <c r="G1838"/>
      <c r="H1838">
        <v>43453</v>
      </c>
      <c r="I1838"/>
      <c r="J1838"/>
      <c r="K1838" t="str">
        <f t="shared" si="295"/>
        <v/>
      </c>
      <c r="L1838" s="3" t="str">
        <f t="shared" si="296"/>
        <v>2001/01/01</v>
      </c>
      <c r="M1838" s="3" t="str">
        <f t="shared" si="297"/>
        <v>2199/12/31</v>
      </c>
      <c r="N1838" t="str">
        <f t="shared" si="298"/>
        <v/>
      </c>
      <c r="O1838" t="str">
        <f t="shared" si="305"/>
        <v/>
      </c>
      <c r="P1838"/>
      <c r="Q1838">
        <v>15</v>
      </c>
      <c r="R1838" s="21">
        <v>100000000</v>
      </c>
      <c r="S1838" s="21" t="str" cm="1">
        <f t="array" ref="S1838">_xlfn.IFS(LEFT(G1838,1)="L","記載要",LEFT(G1838,1)="W","記載要",G1838="","")</f>
        <v/>
      </c>
      <c r="T1838"/>
      <c r="U1838"/>
      <c r="V1838"/>
      <c r="W1838"/>
      <c r="X1838"/>
      <c r="Y1838"/>
      <c r="Z1838" s="8"/>
      <c r="AA1838" s="8">
        <v>1</v>
      </c>
      <c r="AB1838">
        <f t="shared" si="299"/>
        <v>0</v>
      </c>
      <c r="AC1838" s="8">
        <v>1</v>
      </c>
      <c r="AD1838"/>
      <c r="AE1838"/>
      <c r="AF1838">
        <v>0</v>
      </c>
      <c r="AG1838" s="8"/>
      <c r="AH1838" s="8"/>
      <c r="AI1838"/>
      <c r="AJ1838"/>
      <c r="AK1838" cm="1">
        <f t="array" ref="AK1838">_xlfn.IFS(B1838="","",LEFT(G1838,1)="L",1,LEFT(G1838,1)="W",1,AND(LEFT(B1838,1)="H",G1838=""),0)</f>
        <v>0</v>
      </c>
      <c r="AL1838"/>
      <c r="AM1838"/>
      <c r="AN1838"/>
      <c r="AO1838"/>
      <c r="AP1838"/>
      <c r="AQ1838"/>
      <c r="AR1838"/>
      <c r="AS1838">
        <f t="shared" si="300"/>
        <v>1</v>
      </c>
      <c r="AT1838" t="s">
        <v>115</v>
      </c>
      <c r="AU1838" t="str">
        <f t="shared" si="301"/>
        <v>0</v>
      </c>
      <c r="AV1838"/>
      <c r="AW1838"/>
      <c r="AX1838"/>
      <c r="AY1838"/>
      <c r="AZ1838"/>
      <c r="BA1838"/>
      <c r="BB1838"/>
      <c r="BC1838"/>
      <c r="BD1838" t="str">
        <f t="shared" si="302"/>
        <v>0</v>
      </c>
      <c r="BE1838"/>
      <c r="BF1838"/>
      <c r="BG1838"/>
      <c r="BH1838"/>
      <c r="BI1838"/>
      <c r="BJ1838"/>
      <c r="BK1838" s="17" t="str">
        <f>IFERROR(VLOOKUP(B1838,'[1]model_S-フレーム'!$F$5:$R$7000,13,1),"")</f>
        <v>E369085_01</v>
      </c>
      <c r="BL1838" s="18">
        <f>IFERROR(VLOOKUP(B1838,'[1]model_S-フレーム'!$F$5:$V$7000,17,1),"")</f>
        <v>0</v>
      </c>
      <c r="BM1838" s="17" t="str" cm="1">
        <f t="array" ref="BM1838">_xlfn.IFS(LEFT(G1838,1)="L","外注品",LEFT(G1838,1)="W","内製品",G1838="","購買品")</f>
        <v>購買品</v>
      </c>
    </row>
    <row r="1839" spans="1:65" s="17" customFormat="1">
      <c r="A1839" t="str">
        <f t="shared" si="294"/>
        <v>WG01</v>
      </c>
      <c r="B1839" t="s">
        <v>1892</v>
      </c>
      <c r="C1839" t="s">
        <v>1935</v>
      </c>
      <c r="D1839" s="7"/>
      <c r="E1839" s="7"/>
      <c r="F1839"/>
      <c r="G1839"/>
      <c r="H1839">
        <v>47081</v>
      </c>
      <c r="I1839"/>
      <c r="J1839"/>
      <c r="K1839" t="str">
        <f t="shared" si="295"/>
        <v/>
      </c>
      <c r="L1839" s="3" t="str">
        <f t="shared" si="296"/>
        <v>2001/01/01</v>
      </c>
      <c r="M1839" s="3" t="str">
        <f t="shared" si="297"/>
        <v>2199/12/31</v>
      </c>
      <c r="N1839" t="str">
        <f t="shared" si="298"/>
        <v/>
      </c>
      <c r="O1839" t="str">
        <f t="shared" si="305"/>
        <v/>
      </c>
      <c r="P1839"/>
      <c r="Q1839">
        <v>15</v>
      </c>
      <c r="R1839" s="21">
        <v>100000000</v>
      </c>
      <c r="S1839" s="21" t="str" cm="1">
        <f t="array" ref="S1839">_xlfn.IFS(LEFT(G1839,1)="L","記載要",LEFT(G1839,1)="W","記載要",G1839="","")</f>
        <v/>
      </c>
      <c r="T1839"/>
      <c r="U1839"/>
      <c r="V1839"/>
      <c r="W1839"/>
      <c r="X1839"/>
      <c r="Y1839"/>
      <c r="Z1839" s="8"/>
      <c r="AA1839" s="8">
        <v>1</v>
      </c>
      <c r="AB1839">
        <f t="shared" si="299"/>
        <v>0</v>
      </c>
      <c r="AC1839" s="8">
        <v>1</v>
      </c>
      <c r="AD1839"/>
      <c r="AE1839"/>
      <c r="AF1839">
        <v>0</v>
      </c>
      <c r="AG1839" s="8"/>
      <c r="AH1839" s="8"/>
      <c r="AI1839"/>
      <c r="AJ1839"/>
      <c r="AK1839" cm="1">
        <f t="array" ref="AK1839">_xlfn.IFS(B1839="","",LEFT(G1839,1)="L",1,LEFT(G1839,1)="W",1,AND(LEFT(B1839,1)="H",G1839=""),0)</f>
        <v>0</v>
      </c>
      <c r="AL1839"/>
      <c r="AM1839"/>
      <c r="AN1839"/>
      <c r="AO1839"/>
      <c r="AP1839"/>
      <c r="AQ1839"/>
      <c r="AR1839"/>
      <c r="AS1839">
        <f t="shared" si="300"/>
        <v>1</v>
      </c>
      <c r="AT1839" t="s">
        <v>115</v>
      </c>
      <c r="AU1839" t="str">
        <f t="shared" si="301"/>
        <v>0</v>
      </c>
      <c r="AV1839"/>
      <c r="AW1839"/>
      <c r="AX1839"/>
      <c r="AY1839"/>
      <c r="AZ1839"/>
      <c r="BA1839"/>
      <c r="BB1839"/>
      <c r="BC1839"/>
      <c r="BD1839" t="str">
        <f t="shared" si="302"/>
        <v>0</v>
      </c>
      <c r="BE1839"/>
      <c r="BF1839"/>
      <c r="BG1839"/>
      <c r="BH1839"/>
      <c r="BI1839"/>
      <c r="BJ1839"/>
      <c r="BK1839" s="17" t="str">
        <f>IFERROR(VLOOKUP(B1839,'[1]model_S-フレーム'!$F$5:$R$7000,13,1),"")</f>
        <v>E369085_01</v>
      </c>
      <c r="BL1839" s="18">
        <f>IFERROR(VLOOKUP(B1839,'[1]model_S-フレーム'!$F$5:$V$7000,17,1),"")</f>
        <v>0</v>
      </c>
      <c r="BM1839" s="17" t="str" cm="1">
        <f t="array" ref="BM1839">_xlfn.IFS(LEFT(G1839,1)="L","外注品",LEFT(G1839,1)="W","内製品",G1839="","購買品")</f>
        <v>購買品</v>
      </c>
    </row>
    <row r="1840" spans="1:65">
      <c r="A1840" t="str">
        <f t="shared" si="294"/>
        <v>WG01</v>
      </c>
      <c r="B1840" t="s">
        <v>1892</v>
      </c>
      <c r="C1840" t="s">
        <v>1935</v>
      </c>
      <c r="D1840" s="7"/>
      <c r="E1840" s="7"/>
      <c r="H1840" s="19" t="s">
        <v>1937</v>
      </c>
      <c r="K1840" t="str">
        <f t="shared" si="295"/>
        <v/>
      </c>
      <c r="L1840" s="3" t="str">
        <f t="shared" si="296"/>
        <v>2001/01/01</v>
      </c>
      <c r="M1840" s="3" t="str">
        <f t="shared" si="297"/>
        <v>2199/12/31</v>
      </c>
      <c r="N1840" t="str">
        <f t="shared" si="298"/>
        <v/>
      </c>
      <c r="O1840" t="str">
        <f t="shared" si="305"/>
        <v/>
      </c>
      <c r="Q1840">
        <v>15</v>
      </c>
      <c r="R1840" s="21">
        <v>100000000</v>
      </c>
      <c r="S1840" s="21" t="str" cm="1">
        <f t="array" ref="S1840">_xlfn.IFS(LEFT(G1840,1)="L","記載要",LEFT(G1840,1)="W","記載要",G1840="","")</f>
        <v/>
      </c>
      <c r="Z1840" s="8"/>
      <c r="AA1840" s="8">
        <v>1</v>
      </c>
      <c r="AB1840">
        <f t="shared" si="299"/>
        <v>0</v>
      </c>
      <c r="AC1840" s="8">
        <v>1</v>
      </c>
      <c r="AF1840">
        <v>0</v>
      </c>
      <c r="AG1840" s="8"/>
      <c r="AH1840" s="8"/>
      <c r="AK1840" cm="1">
        <f t="array" ref="AK1840">_xlfn.IFS(B1840="","",LEFT(G1840,1)="L",1,LEFT(G1840,1)="W",1,AND(LEFT(B1840,1)="H",G1840=""),0)</f>
        <v>0</v>
      </c>
      <c r="AS1840">
        <f t="shared" si="300"/>
        <v>1</v>
      </c>
      <c r="AT1840" t="s">
        <v>115</v>
      </c>
      <c r="AU1840" t="str">
        <f t="shared" si="301"/>
        <v>0</v>
      </c>
      <c r="BD1840" t="str">
        <f t="shared" si="302"/>
        <v>0</v>
      </c>
      <c r="BK1840" t="str">
        <f>IFERROR(VLOOKUP(B1840,'[1]model_S-フレーム'!$F$5:$R$7000,13,1),"")</f>
        <v>E369085_01</v>
      </c>
      <c r="BL1840" s="7">
        <f>IFERROR(VLOOKUP(B1840,'[1]model_S-フレーム'!$F$5:$V$7000,17,1),"")</f>
        <v>0</v>
      </c>
      <c r="BM1840" t="str" cm="1">
        <f t="array" ref="BM1840">_xlfn.IFS(LEFT(G1840,1)="L","外注品",LEFT(G1840,1)="W","内製品",G1840="","購買品")</f>
        <v>購買品</v>
      </c>
    </row>
    <row r="1841" spans="1:65" s="17" customFormat="1">
      <c r="A1841" t="str">
        <f t="shared" si="294"/>
        <v>WG01</v>
      </c>
      <c r="B1841" t="s">
        <v>1893</v>
      </c>
      <c r="C1841" t="s">
        <v>1935</v>
      </c>
      <c r="D1841" s="7"/>
      <c r="E1841" s="7"/>
      <c r="F1841"/>
      <c r="G1841"/>
      <c r="H1841">
        <v>27616</v>
      </c>
      <c r="I1841"/>
      <c r="J1841"/>
      <c r="K1841" t="str">
        <f t="shared" si="295"/>
        <v/>
      </c>
      <c r="L1841" s="3" t="str">
        <f t="shared" si="296"/>
        <v>2001/01/01</v>
      </c>
      <c r="M1841" s="3" t="str">
        <f t="shared" si="297"/>
        <v>2199/12/31</v>
      </c>
      <c r="N1841" t="str">
        <f t="shared" si="298"/>
        <v/>
      </c>
      <c r="O1841" t="str">
        <f t="shared" si="305"/>
        <v/>
      </c>
      <c r="P1841"/>
      <c r="Q1841">
        <v>15</v>
      </c>
      <c r="R1841" s="21">
        <v>100000000</v>
      </c>
      <c r="S1841" s="21" t="str" cm="1">
        <f t="array" ref="S1841">_xlfn.IFS(LEFT(G1841,1)="L","記載要",LEFT(G1841,1)="W","記載要",G1841="","")</f>
        <v/>
      </c>
      <c r="T1841"/>
      <c r="U1841"/>
      <c r="V1841"/>
      <c r="W1841"/>
      <c r="X1841"/>
      <c r="Y1841"/>
      <c r="Z1841" s="8"/>
      <c r="AA1841" s="8">
        <v>1</v>
      </c>
      <c r="AB1841">
        <f t="shared" si="299"/>
        <v>0</v>
      </c>
      <c r="AC1841" s="8">
        <v>1</v>
      </c>
      <c r="AD1841"/>
      <c r="AE1841"/>
      <c r="AF1841">
        <v>1</v>
      </c>
      <c r="AG1841" s="8"/>
      <c r="AH1841" s="8"/>
      <c r="AI1841"/>
      <c r="AJ1841"/>
      <c r="AK1841" cm="1">
        <f t="array" ref="AK1841">_xlfn.IFS(B1841="","",LEFT(G1841,1)="L",1,LEFT(G1841,1)="W",1,AND(LEFT(B1841,1)="H",G1841=""),0)</f>
        <v>0</v>
      </c>
      <c r="AL1841"/>
      <c r="AM1841"/>
      <c r="AN1841"/>
      <c r="AO1841"/>
      <c r="AP1841"/>
      <c r="AQ1841"/>
      <c r="AR1841"/>
      <c r="AS1841">
        <f t="shared" si="300"/>
        <v>1</v>
      </c>
      <c r="AT1841" t="s">
        <v>115</v>
      </c>
      <c r="AU1841" t="str">
        <f t="shared" si="301"/>
        <v>0</v>
      </c>
      <c r="AV1841"/>
      <c r="AW1841"/>
      <c r="AX1841"/>
      <c r="AY1841"/>
      <c r="AZ1841"/>
      <c r="BA1841"/>
      <c r="BB1841"/>
      <c r="BC1841"/>
      <c r="BD1841" t="str">
        <f t="shared" si="302"/>
        <v>0</v>
      </c>
      <c r="BE1841"/>
      <c r="BF1841"/>
      <c r="BG1841"/>
      <c r="BH1841"/>
      <c r="BI1841"/>
      <c r="BJ1841"/>
      <c r="BK1841" s="17" t="str">
        <f>IFERROR(VLOOKUP(B1841,'[1]model_S-フレーム'!$F$5:$R$7000,13,1),"")</f>
        <v>E369085_01</v>
      </c>
      <c r="BL1841" s="18">
        <f>IFERROR(VLOOKUP(B1841,'[1]model_S-フレーム'!$F$5:$V$7000,17,1),"")</f>
        <v>0</v>
      </c>
      <c r="BM1841" s="17" t="str" cm="1">
        <f t="array" ref="BM1841">_xlfn.IFS(LEFT(G1841,1)="L","外注品",LEFT(G1841,1)="W","内製品",G1841="","購買品")</f>
        <v>購買品</v>
      </c>
    </row>
    <row r="1842" spans="1:65" s="17" customFormat="1">
      <c r="A1842" t="str">
        <f t="shared" si="294"/>
        <v>WG01</v>
      </c>
      <c r="B1842" t="s">
        <v>1893</v>
      </c>
      <c r="C1842" t="s">
        <v>1935</v>
      </c>
      <c r="D1842" s="7"/>
      <c r="E1842" s="7"/>
      <c r="F1842"/>
      <c r="G1842"/>
      <c r="H1842">
        <v>43453</v>
      </c>
      <c r="I1842"/>
      <c r="J1842"/>
      <c r="K1842" t="str">
        <f t="shared" si="295"/>
        <v/>
      </c>
      <c r="L1842" s="3" t="str">
        <f t="shared" si="296"/>
        <v>2001/01/01</v>
      </c>
      <c r="M1842" s="3" t="str">
        <f t="shared" si="297"/>
        <v>2199/12/31</v>
      </c>
      <c r="N1842" t="str">
        <f t="shared" si="298"/>
        <v/>
      </c>
      <c r="O1842" t="str">
        <f t="shared" si="305"/>
        <v/>
      </c>
      <c r="P1842"/>
      <c r="Q1842">
        <v>15</v>
      </c>
      <c r="R1842" s="21">
        <v>100000000</v>
      </c>
      <c r="S1842" s="21" t="str" cm="1">
        <f t="array" ref="S1842">_xlfn.IFS(LEFT(G1842,1)="L","記載要",LEFT(G1842,1)="W","記載要",G1842="","")</f>
        <v/>
      </c>
      <c r="T1842"/>
      <c r="U1842"/>
      <c r="V1842"/>
      <c r="W1842"/>
      <c r="X1842"/>
      <c r="Y1842"/>
      <c r="Z1842" s="8"/>
      <c r="AA1842" s="8">
        <v>1</v>
      </c>
      <c r="AB1842">
        <f t="shared" si="299"/>
        <v>0</v>
      </c>
      <c r="AC1842" s="8">
        <v>1</v>
      </c>
      <c r="AD1842"/>
      <c r="AE1842"/>
      <c r="AF1842">
        <v>0</v>
      </c>
      <c r="AG1842" s="8"/>
      <c r="AH1842" s="8"/>
      <c r="AI1842"/>
      <c r="AJ1842"/>
      <c r="AK1842" cm="1">
        <f t="array" ref="AK1842">_xlfn.IFS(B1842="","",LEFT(G1842,1)="L",1,LEFT(G1842,1)="W",1,AND(LEFT(B1842,1)="H",G1842=""),0)</f>
        <v>0</v>
      </c>
      <c r="AL1842"/>
      <c r="AM1842"/>
      <c r="AN1842"/>
      <c r="AO1842"/>
      <c r="AP1842"/>
      <c r="AQ1842"/>
      <c r="AR1842"/>
      <c r="AS1842">
        <f t="shared" si="300"/>
        <v>1</v>
      </c>
      <c r="AT1842" t="s">
        <v>115</v>
      </c>
      <c r="AU1842" t="str">
        <f t="shared" si="301"/>
        <v>0</v>
      </c>
      <c r="AV1842"/>
      <c r="AW1842"/>
      <c r="AX1842"/>
      <c r="AY1842"/>
      <c r="AZ1842"/>
      <c r="BA1842"/>
      <c r="BB1842"/>
      <c r="BC1842"/>
      <c r="BD1842" t="str">
        <f t="shared" si="302"/>
        <v>0</v>
      </c>
      <c r="BE1842"/>
      <c r="BF1842"/>
      <c r="BG1842"/>
      <c r="BH1842"/>
      <c r="BI1842"/>
      <c r="BJ1842"/>
      <c r="BK1842" s="17" t="str">
        <f>IFERROR(VLOOKUP(B1842,'[1]model_S-フレーム'!$F$5:$R$7000,13,1),"")</f>
        <v>E369085_01</v>
      </c>
      <c r="BL1842" s="18">
        <f>IFERROR(VLOOKUP(B1842,'[1]model_S-フレーム'!$F$5:$V$7000,17,1),"")</f>
        <v>0</v>
      </c>
      <c r="BM1842" s="17" t="str" cm="1">
        <f t="array" ref="BM1842">_xlfn.IFS(LEFT(G1842,1)="L","外注品",LEFT(G1842,1)="W","内製品",G1842="","購買品")</f>
        <v>購買品</v>
      </c>
    </row>
    <row r="1843" spans="1:65" s="17" customFormat="1">
      <c r="A1843" t="str">
        <f t="shared" si="294"/>
        <v>WG01</v>
      </c>
      <c r="B1843" t="s">
        <v>1893</v>
      </c>
      <c r="C1843" t="s">
        <v>1935</v>
      </c>
      <c r="D1843" s="7"/>
      <c r="E1843" s="7"/>
      <c r="F1843"/>
      <c r="G1843"/>
      <c r="H1843">
        <v>47081</v>
      </c>
      <c r="I1843"/>
      <c r="J1843"/>
      <c r="K1843" t="str">
        <f t="shared" si="295"/>
        <v/>
      </c>
      <c r="L1843" s="3" t="str">
        <f t="shared" si="296"/>
        <v>2001/01/01</v>
      </c>
      <c r="M1843" s="3" t="str">
        <f t="shared" si="297"/>
        <v>2199/12/31</v>
      </c>
      <c r="N1843" t="str">
        <f t="shared" si="298"/>
        <v/>
      </c>
      <c r="O1843" t="str">
        <f t="shared" si="305"/>
        <v/>
      </c>
      <c r="P1843"/>
      <c r="Q1843">
        <v>15</v>
      </c>
      <c r="R1843" s="21">
        <v>100000000</v>
      </c>
      <c r="S1843" s="21" t="str" cm="1">
        <f t="array" ref="S1843">_xlfn.IFS(LEFT(G1843,1)="L","記載要",LEFT(G1843,1)="W","記載要",G1843="","")</f>
        <v/>
      </c>
      <c r="T1843"/>
      <c r="U1843"/>
      <c r="V1843"/>
      <c r="W1843"/>
      <c r="X1843"/>
      <c r="Y1843"/>
      <c r="Z1843" s="8"/>
      <c r="AA1843" s="8">
        <v>1</v>
      </c>
      <c r="AB1843">
        <f t="shared" si="299"/>
        <v>0</v>
      </c>
      <c r="AC1843" s="8">
        <v>1</v>
      </c>
      <c r="AD1843"/>
      <c r="AE1843"/>
      <c r="AF1843">
        <v>0</v>
      </c>
      <c r="AG1843" s="8"/>
      <c r="AH1843" s="8"/>
      <c r="AI1843"/>
      <c r="AJ1843"/>
      <c r="AK1843" cm="1">
        <f t="array" ref="AK1843">_xlfn.IFS(B1843="","",LEFT(G1843,1)="L",1,LEFT(G1843,1)="W",1,AND(LEFT(B1843,1)="H",G1843=""),0)</f>
        <v>0</v>
      </c>
      <c r="AL1843"/>
      <c r="AM1843"/>
      <c r="AN1843"/>
      <c r="AO1843"/>
      <c r="AP1843"/>
      <c r="AQ1843"/>
      <c r="AR1843"/>
      <c r="AS1843">
        <f t="shared" si="300"/>
        <v>1</v>
      </c>
      <c r="AT1843" t="s">
        <v>115</v>
      </c>
      <c r="AU1843" t="str">
        <f t="shared" si="301"/>
        <v>0</v>
      </c>
      <c r="AV1843"/>
      <c r="AW1843"/>
      <c r="AX1843"/>
      <c r="AY1843"/>
      <c r="AZ1843"/>
      <c r="BA1843"/>
      <c r="BB1843"/>
      <c r="BC1843"/>
      <c r="BD1843" t="str">
        <f t="shared" si="302"/>
        <v>0</v>
      </c>
      <c r="BE1843"/>
      <c r="BF1843"/>
      <c r="BG1843"/>
      <c r="BH1843"/>
      <c r="BI1843"/>
      <c r="BJ1843"/>
      <c r="BK1843" s="17" t="str">
        <f>IFERROR(VLOOKUP(B1843,'[1]model_S-フレーム'!$F$5:$R$7000,13,1),"")</f>
        <v>E369085_01</v>
      </c>
      <c r="BL1843" s="18">
        <f>IFERROR(VLOOKUP(B1843,'[1]model_S-フレーム'!$F$5:$V$7000,17,1),"")</f>
        <v>0</v>
      </c>
      <c r="BM1843" s="17" t="str" cm="1">
        <f t="array" ref="BM1843">_xlfn.IFS(LEFT(G1843,1)="L","外注品",LEFT(G1843,1)="W","内製品",G1843="","購買品")</f>
        <v>購買品</v>
      </c>
    </row>
    <row r="1844" spans="1:65">
      <c r="A1844" t="str">
        <f t="shared" si="294"/>
        <v>WG01</v>
      </c>
      <c r="B1844" t="s">
        <v>1893</v>
      </c>
      <c r="C1844" t="s">
        <v>1935</v>
      </c>
      <c r="D1844" s="7"/>
      <c r="E1844" s="7"/>
      <c r="H1844" s="19" t="s">
        <v>1937</v>
      </c>
      <c r="K1844" t="str">
        <f t="shared" si="295"/>
        <v/>
      </c>
      <c r="L1844" s="3" t="str">
        <f t="shared" si="296"/>
        <v>2001/01/01</v>
      </c>
      <c r="M1844" s="3" t="str">
        <f t="shared" si="297"/>
        <v>2199/12/31</v>
      </c>
      <c r="N1844" t="str">
        <f t="shared" si="298"/>
        <v/>
      </c>
      <c r="O1844" t="str">
        <f t="shared" si="305"/>
        <v/>
      </c>
      <c r="Q1844">
        <v>15</v>
      </c>
      <c r="R1844" s="21">
        <v>100000000</v>
      </c>
      <c r="S1844" s="21" t="str" cm="1">
        <f t="array" ref="S1844">_xlfn.IFS(LEFT(G1844,1)="L","記載要",LEFT(G1844,1)="W","記載要",G1844="","")</f>
        <v/>
      </c>
      <c r="Z1844" s="8"/>
      <c r="AA1844" s="8">
        <v>1</v>
      </c>
      <c r="AB1844">
        <f t="shared" si="299"/>
        <v>0</v>
      </c>
      <c r="AC1844" s="8">
        <v>1</v>
      </c>
      <c r="AF1844">
        <v>0</v>
      </c>
      <c r="AG1844" s="8"/>
      <c r="AH1844" s="8"/>
      <c r="AK1844" cm="1">
        <f t="array" ref="AK1844">_xlfn.IFS(B1844="","",LEFT(G1844,1)="L",1,LEFT(G1844,1)="W",1,AND(LEFT(B1844,1)="H",G1844=""),0)</f>
        <v>0</v>
      </c>
      <c r="AS1844">
        <f t="shared" si="300"/>
        <v>1</v>
      </c>
      <c r="AT1844" t="s">
        <v>115</v>
      </c>
      <c r="AU1844" t="str">
        <f t="shared" si="301"/>
        <v>0</v>
      </c>
      <c r="BD1844" t="str">
        <f t="shared" si="302"/>
        <v>0</v>
      </c>
      <c r="BK1844" t="str">
        <f>IFERROR(VLOOKUP(B1844,'[1]model_S-フレーム'!$F$5:$R$7000,13,1),"")</f>
        <v>E369085_01</v>
      </c>
      <c r="BL1844" s="7">
        <f>IFERROR(VLOOKUP(B1844,'[1]model_S-フレーム'!$F$5:$V$7000,17,1),"")</f>
        <v>0</v>
      </c>
      <c r="BM1844" t="str" cm="1">
        <f t="array" ref="BM1844">_xlfn.IFS(LEFT(G1844,1)="L","外注品",LEFT(G1844,1)="W","内製品",G1844="","購買品")</f>
        <v>購買品</v>
      </c>
    </row>
    <row r="1845" spans="1:65" s="17" customFormat="1">
      <c r="A1845" t="str">
        <f t="shared" si="294"/>
        <v>WG01</v>
      </c>
      <c r="B1845" t="s">
        <v>1894</v>
      </c>
      <c r="C1845" t="s">
        <v>1935</v>
      </c>
      <c r="D1845" s="7"/>
      <c r="E1845" s="7"/>
      <c r="F1845"/>
      <c r="G1845"/>
      <c r="H1845">
        <v>27616</v>
      </c>
      <c r="I1845"/>
      <c r="J1845"/>
      <c r="K1845" t="str">
        <f t="shared" si="295"/>
        <v/>
      </c>
      <c r="L1845" s="3" t="str">
        <f t="shared" si="296"/>
        <v>2001/01/01</v>
      </c>
      <c r="M1845" s="3" t="str">
        <f t="shared" si="297"/>
        <v>2199/12/31</v>
      </c>
      <c r="N1845" t="str">
        <f t="shared" si="298"/>
        <v/>
      </c>
      <c r="O1845" t="str">
        <f t="shared" si="305"/>
        <v/>
      </c>
      <c r="P1845"/>
      <c r="Q1845">
        <v>15</v>
      </c>
      <c r="R1845" s="21">
        <v>100000000</v>
      </c>
      <c r="S1845" s="21" t="str" cm="1">
        <f t="array" ref="S1845">_xlfn.IFS(LEFT(G1845,1)="L","記載要",LEFT(G1845,1)="W","記載要",G1845="","")</f>
        <v/>
      </c>
      <c r="T1845"/>
      <c r="U1845"/>
      <c r="V1845"/>
      <c r="W1845"/>
      <c r="X1845"/>
      <c r="Y1845"/>
      <c r="Z1845" s="8"/>
      <c r="AA1845" s="8">
        <v>1</v>
      </c>
      <c r="AB1845">
        <f t="shared" si="299"/>
        <v>0</v>
      </c>
      <c r="AC1845" s="8">
        <v>1</v>
      </c>
      <c r="AD1845"/>
      <c r="AE1845"/>
      <c r="AF1845">
        <v>1</v>
      </c>
      <c r="AG1845" s="8"/>
      <c r="AH1845" s="8"/>
      <c r="AI1845"/>
      <c r="AJ1845"/>
      <c r="AK1845" cm="1">
        <f t="array" ref="AK1845">_xlfn.IFS(B1845="","",LEFT(G1845,1)="L",1,LEFT(G1845,1)="W",1,AND(LEFT(B1845,1)="H",G1845=""),0)</f>
        <v>0</v>
      </c>
      <c r="AL1845"/>
      <c r="AM1845"/>
      <c r="AN1845"/>
      <c r="AO1845"/>
      <c r="AP1845"/>
      <c r="AQ1845"/>
      <c r="AR1845"/>
      <c r="AS1845">
        <f t="shared" si="300"/>
        <v>1</v>
      </c>
      <c r="AT1845" t="s">
        <v>115</v>
      </c>
      <c r="AU1845" t="str">
        <f t="shared" si="301"/>
        <v>0</v>
      </c>
      <c r="AV1845"/>
      <c r="AW1845"/>
      <c r="AX1845"/>
      <c r="AY1845"/>
      <c r="AZ1845"/>
      <c r="BA1845"/>
      <c r="BB1845"/>
      <c r="BC1845"/>
      <c r="BD1845" t="str">
        <f t="shared" si="302"/>
        <v>0</v>
      </c>
      <c r="BE1845"/>
      <c r="BF1845"/>
      <c r="BG1845"/>
      <c r="BH1845"/>
      <c r="BI1845"/>
      <c r="BJ1845"/>
      <c r="BK1845" s="17" t="str">
        <f>IFERROR(VLOOKUP(B1845,'[1]model_S-フレーム'!$F$5:$R$7000,13,1),"")</f>
        <v>E369085_01</v>
      </c>
      <c r="BL1845" s="18">
        <f>IFERROR(VLOOKUP(B1845,'[1]model_S-フレーム'!$F$5:$V$7000,17,1),"")</f>
        <v>0</v>
      </c>
      <c r="BM1845" s="17" t="str" cm="1">
        <f t="array" ref="BM1845">_xlfn.IFS(LEFT(G1845,1)="L","外注品",LEFT(G1845,1)="W","内製品",G1845="","購買品")</f>
        <v>購買品</v>
      </c>
    </row>
    <row r="1846" spans="1:65" s="17" customFormat="1">
      <c r="A1846" t="str">
        <f t="shared" si="294"/>
        <v>WG01</v>
      </c>
      <c r="B1846" t="s">
        <v>1894</v>
      </c>
      <c r="C1846" t="s">
        <v>1935</v>
      </c>
      <c r="D1846" s="7"/>
      <c r="E1846" s="7"/>
      <c r="F1846"/>
      <c r="G1846"/>
      <c r="H1846">
        <v>43453</v>
      </c>
      <c r="I1846"/>
      <c r="J1846"/>
      <c r="K1846" t="str">
        <f t="shared" si="295"/>
        <v/>
      </c>
      <c r="L1846" s="3" t="str">
        <f t="shared" si="296"/>
        <v>2001/01/01</v>
      </c>
      <c r="M1846" s="3" t="str">
        <f t="shared" si="297"/>
        <v>2199/12/31</v>
      </c>
      <c r="N1846" t="str">
        <f t="shared" si="298"/>
        <v/>
      </c>
      <c r="O1846" t="str">
        <f t="shared" si="305"/>
        <v/>
      </c>
      <c r="P1846"/>
      <c r="Q1846">
        <v>15</v>
      </c>
      <c r="R1846" s="21">
        <v>100000000</v>
      </c>
      <c r="S1846" s="21" t="str" cm="1">
        <f t="array" ref="S1846">_xlfn.IFS(LEFT(G1846,1)="L","記載要",LEFT(G1846,1)="W","記載要",G1846="","")</f>
        <v/>
      </c>
      <c r="T1846"/>
      <c r="U1846"/>
      <c r="V1846"/>
      <c r="W1846"/>
      <c r="X1846"/>
      <c r="Y1846"/>
      <c r="Z1846" s="8"/>
      <c r="AA1846" s="8">
        <v>1</v>
      </c>
      <c r="AB1846">
        <f t="shared" si="299"/>
        <v>0</v>
      </c>
      <c r="AC1846" s="8">
        <v>1</v>
      </c>
      <c r="AD1846"/>
      <c r="AE1846"/>
      <c r="AF1846">
        <v>0</v>
      </c>
      <c r="AG1846" s="8"/>
      <c r="AH1846" s="8"/>
      <c r="AI1846"/>
      <c r="AJ1846"/>
      <c r="AK1846" cm="1">
        <f t="array" ref="AK1846">_xlfn.IFS(B1846="","",LEFT(G1846,1)="L",1,LEFT(G1846,1)="W",1,AND(LEFT(B1846,1)="H",G1846=""),0)</f>
        <v>0</v>
      </c>
      <c r="AL1846"/>
      <c r="AM1846"/>
      <c r="AN1846"/>
      <c r="AO1846"/>
      <c r="AP1846"/>
      <c r="AQ1846"/>
      <c r="AR1846"/>
      <c r="AS1846">
        <f t="shared" si="300"/>
        <v>1</v>
      </c>
      <c r="AT1846" t="s">
        <v>115</v>
      </c>
      <c r="AU1846" t="str">
        <f t="shared" si="301"/>
        <v>0</v>
      </c>
      <c r="AV1846"/>
      <c r="AW1846"/>
      <c r="AX1846"/>
      <c r="AY1846"/>
      <c r="AZ1846"/>
      <c r="BA1846"/>
      <c r="BB1846"/>
      <c r="BC1846"/>
      <c r="BD1846" t="str">
        <f t="shared" si="302"/>
        <v>0</v>
      </c>
      <c r="BE1846"/>
      <c r="BF1846"/>
      <c r="BG1846"/>
      <c r="BH1846"/>
      <c r="BI1846"/>
      <c r="BJ1846"/>
      <c r="BK1846" s="17" t="str">
        <f>IFERROR(VLOOKUP(B1846,'[1]model_S-フレーム'!$F$5:$R$7000,13,1),"")</f>
        <v>E369085_01</v>
      </c>
      <c r="BL1846" s="18">
        <f>IFERROR(VLOOKUP(B1846,'[1]model_S-フレーム'!$F$5:$V$7000,17,1),"")</f>
        <v>0</v>
      </c>
      <c r="BM1846" s="17" t="str" cm="1">
        <f t="array" ref="BM1846">_xlfn.IFS(LEFT(G1846,1)="L","外注品",LEFT(G1846,1)="W","内製品",G1846="","購買品")</f>
        <v>購買品</v>
      </c>
    </row>
    <row r="1847" spans="1:65" s="17" customFormat="1">
      <c r="A1847" t="str">
        <f t="shared" si="294"/>
        <v>WG01</v>
      </c>
      <c r="B1847" t="s">
        <v>1894</v>
      </c>
      <c r="C1847" t="s">
        <v>1935</v>
      </c>
      <c r="D1847" s="7"/>
      <c r="E1847" s="7"/>
      <c r="F1847"/>
      <c r="G1847"/>
      <c r="H1847">
        <v>47081</v>
      </c>
      <c r="I1847"/>
      <c r="J1847"/>
      <c r="K1847" t="str">
        <f t="shared" si="295"/>
        <v/>
      </c>
      <c r="L1847" s="3" t="str">
        <f t="shared" si="296"/>
        <v>2001/01/01</v>
      </c>
      <c r="M1847" s="3" t="str">
        <f t="shared" si="297"/>
        <v>2199/12/31</v>
      </c>
      <c r="N1847" t="str">
        <f t="shared" si="298"/>
        <v/>
      </c>
      <c r="O1847" t="str">
        <f t="shared" si="305"/>
        <v/>
      </c>
      <c r="P1847"/>
      <c r="Q1847">
        <v>15</v>
      </c>
      <c r="R1847" s="21">
        <v>100000000</v>
      </c>
      <c r="S1847" s="21" t="str" cm="1">
        <f t="array" ref="S1847">_xlfn.IFS(LEFT(G1847,1)="L","記載要",LEFT(G1847,1)="W","記載要",G1847="","")</f>
        <v/>
      </c>
      <c r="T1847"/>
      <c r="U1847"/>
      <c r="V1847"/>
      <c r="W1847"/>
      <c r="X1847"/>
      <c r="Y1847"/>
      <c r="Z1847" s="8"/>
      <c r="AA1847" s="8">
        <v>1</v>
      </c>
      <c r="AB1847">
        <f t="shared" si="299"/>
        <v>0</v>
      </c>
      <c r="AC1847" s="8">
        <v>1</v>
      </c>
      <c r="AD1847"/>
      <c r="AE1847"/>
      <c r="AF1847">
        <v>0</v>
      </c>
      <c r="AG1847" s="8"/>
      <c r="AH1847" s="8"/>
      <c r="AI1847"/>
      <c r="AJ1847"/>
      <c r="AK1847" cm="1">
        <f t="array" ref="AK1847">_xlfn.IFS(B1847="","",LEFT(G1847,1)="L",1,LEFT(G1847,1)="W",1,AND(LEFT(B1847,1)="H",G1847=""),0)</f>
        <v>0</v>
      </c>
      <c r="AL1847"/>
      <c r="AM1847"/>
      <c r="AN1847"/>
      <c r="AO1847"/>
      <c r="AP1847"/>
      <c r="AQ1847"/>
      <c r="AR1847"/>
      <c r="AS1847">
        <f t="shared" si="300"/>
        <v>1</v>
      </c>
      <c r="AT1847" t="s">
        <v>115</v>
      </c>
      <c r="AU1847" t="str">
        <f t="shared" si="301"/>
        <v>0</v>
      </c>
      <c r="AV1847"/>
      <c r="AW1847"/>
      <c r="AX1847"/>
      <c r="AY1847"/>
      <c r="AZ1847"/>
      <c r="BA1847"/>
      <c r="BB1847"/>
      <c r="BC1847"/>
      <c r="BD1847" t="str">
        <f t="shared" si="302"/>
        <v>0</v>
      </c>
      <c r="BE1847"/>
      <c r="BF1847"/>
      <c r="BG1847"/>
      <c r="BH1847"/>
      <c r="BI1847"/>
      <c r="BJ1847"/>
      <c r="BK1847" s="17" t="str">
        <f>IFERROR(VLOOKUP(B1847,'[1]model_S-フレーム'!$F$5:$R$7000,13,1),"")</f>
        <v>E369085_01</v>
      </c>
      <c r="BL1847" s="18">
        <f>IFERROR(VLOOKUP(B1847,'[1]model_S-フレーム'!$F$5:$V$7000,17,1),"")</f>
        <v>0</v>
      </c>
      <c r="BM1847" s="17" t="str" cm="1">
        <f t="array" ref="BM1847">_xlfn.IFS(LEFT(G1847,1)="L","外注品",LEFT(G1847,1)="W","内製品",G1847="","購買品")</f>
        <v>購買品</v>
      </c>
    </row>
    <row r="1848" spans="1:65">
      <c r="A1848" t="str">
        <f t="shared" si="294"/>
        <v>WG01</v>
      </c>
      <c r="B1848" t="s">
        <v>1894</v>
      </c>
      <c r="C1848" t="s">
        <v>1935</v>
      </c>
      <c r="D1848" s="7"/>
      <c r="E1848" s="7"/>
      <c r="H1848" s="19" t="s">
        <v>1937</v>
      </c>
      <c r="K1848" t="str">
        <f t="shared" si="295"/>
        <v/>
      </c>
      <c r="L1848" s="3" t="str">
        <f t="shared" si="296"/>
        <v>2001/01/01</v>
      </c>
      <c r="M1848" s="3" t="str">
        <f t="shared" si="297"/>
        <v>2199/12/31</v>
      </c>
      <c r="N1848" t="str">
        <f t="shared" si="298"/>
        <v/>
      </c>
      <c r="O1848" t="str">
        <f t="shared" si="305"/>
        <v/>
      </c>
      <c r="Q1848">
        <v>15</v>
      </c>
      <c r="R1848" s="21">
        <v>100000000</v>
      </c>
      <c r="S1848" s="21" t="str" cm="1">
        <f t="array" ref="S1848">_xlfn.IFS(LEFT(G1848,1)="L","記載要",LEFT(G1848,1)="W","記載要",G1848="","")</f>
        <v/>
      </c>
      <c r="Z1848" s="8"/>
      <c r="AA1848" s="8">
        <v>1</v>
      </c>
      <c r="AB1848">
        <f t="shared" si="299"/>
        <v>0</v>
      </c>
      <c r="AC1848" s="8">
        <v>1</v>
      </c>
      <c r="AF1848">
        <v>0</v>
      </c>
      <c r="AG1848" s="8"/>
      <c r="AH1848" s="8"/>
      <c r="AK1848" cm="1">
        <f t="array" ref="AK1848">_xlfn.IFS(B1848="","",LEFT(G1848,1)="L",1,LEFT(G1848,1)="W",1,AND(LEFT(B1848,1)="H",G1848=""),0)</f>
        <v>0</v>
      </c>
      <c r="AS1848">
        <f t="shared" si="300"/>
        <v>1</v>
      </c>
      <c r="AT1848" t="s">
        <v>115</v>
      </c>
      <c r="AU1848" t="str">
        <f t="shared" si="301"/>
        <v>0</v>
      </c>
      <c r="BD1848" t="str">
        <f t="shared" si="302"/>
        <v>0</v>
      </c>
      <c r="BK1848" t="str">
        <f>IFERROR(VLOOKUP(B1848,'[1]model_S-フレーム'!$F$5:$R$7000,13,1),"")</f>
        <v>E369085_01</v>
      </c>
      <c r="BL1848" s="7">
        <f>IFERROR(VLOOKUP(B1848,'[1]model_S-フレーム'!$F$5:$V$7000,17,1),"")</f>
        <v>0</v>
      </c>
      <c r="BM1848" t="str" cm="1">
        <f t="array" ref="BM1848">_xlfn.IFS(LEFT(G1848,1)="L","外注品",LEFT(G1848,1)="W","内製品",G1848="","購買品")</f>
        <v>購買品</v>
      </c>
    </row>
    <row r="1849" spans="1:65" s="17" customFormat="1">
      <c r="A1849" t="str">
        <f t="shared" si="294"/>
        <v>WG01</v>
      </c>
      <c r="B1849" t="s">
        <v>1895</v>
      </c>
      <c r="C1849" t="s">
        <v>1935</v>
      </c>
      <c r="D1849" s="7"/>
      <c r="E1849" s="7"/>
      <c r="F1849"/>
      <c r="G1849"/>
      <c r="H1849">
        <v>27616</v>
      </c>
      <c r="I1849"/>
      <c r="J1849"/>
      <c r="K1849" t="str">
        <f t="shared" si="295"/>
        <v/>
      </c>
      <c r="L1849" s="3" t="str">
        <f t="shared" si="296"/>
        <v>2001/01/01</v>
      </c>
      <c r="M1849" s="3" t="str">
        <f t="shared" si="297"/>
        <v>2199/12/31</v>
      </c>
      <c r="N1849" t="str">
        <f t="shared" si="298"/>
        <v/>
      </c>
      <c r="O1849" t="str">
        <f t="shared" si="305"/>
        <v/>
      </c>
      <c r="P1849"/>
      <c r="Q1849">
        <v>15</v>
      </c>
      <c r="R1849" s="21">
        <v>100000000</v>
      </c>
      <c r="S1849" s="21" t="str" cm="1">
        <f t="array" ref="S1849">_xlfn.IFS(LEFT(G1849,1)="L","記載要",LEFT(G1849,1)="W","記載要",G1849="","")</f>
        <v/>
      </c>
      <c r="T1849"/>
      <c r="U1849"/>
      <c r="V1849"/>
      <c r="W1849"/>
      <c r="X1849"/>
      <c r="Y1849"/>
      <c r="Z1849" s="8"/>
      <c r="AA1849" s="8">
        <v>1</v>
      </c>
      <c r="AB1849">
        <f t="shared" si="299"/>
        <v>0</v>
      </c>
      <c r="AC1849" s="8">
        <v>1</v>
      </c>
      <c r="AD1849"/>
      <c r="AE1849"/>
      <c r="AF1849">
        <v>1</v>
      </c>
      <c r="AG1849" s="8"/>
      <c r="AH1849" s="8"/>
      <c r="AI1849"/>
      <c r="AJ1849"/>
      <c r="AK1849" cm="1">
        <f t="array" ref="AK1849">_xlfn.IFS(B1849="","",LEFT(G1849,1)="L",1,LEFT(G1849,1)="W",1,AND(LEFT(B1849,1)="H",G1849=""),0)</f>
        <v>0</v>
      </c>
      <c r="AL1849"/>
      <c r="AM1849"/>
      <c r="AN1849"/>
      <c r="AO1849"/>
      <c r="AP1849"/>
      <c r="AQ1849"/>
      <c r="AR1849"/>
      <c r="AS1849">
        <f t="shared" si="300"/>
        <v>1</v>
      </c>
      <c r="AT1849" t="s">
        <v>115</v>
      </c>
      <c r="AU1849" t="str">
        <f t="shared" si="301"/>
        <v>0</v>
      </c>
      <c r="AV1849"/>
      <c r="AW1849"/>
      <c r="AX1849"/>
      <c r="AY1849"/>
      <c r="AZ1849"/>
      <c r="BA1849"/>
      <c r="BB1849"/>
      <c r="BC1849"/>
      <c r="BD1849" t="str">
        <f t="shared" si="302"/>
        <v>0</v>
      </c>
      <c r="BE1849"/>
      <c r="BF1849"/>
      <c r="BG1849"/>
      <c r="BH1849"/>
      <c r="BI1849"/>
      <c r="BJ1849"/>
      <c r="BK1849" s="17" t="str">
        <f>IFERROR(VLOOKUP(B1849,'[1]model_S-フレーム'!$F$5:$R$7000,13,1),"")</f>
        <v>E369085_01</v>
      </c>
      <c r="BL1849" s="18">
        <f>IFERROR(VLOOKUP(B1849,'[1]model_S-フレーム'!$F$5:$V$7000,17,1),"")</f>
        <v>0</v>
      </c>
      <c r="BM1849" s="17" t="str" cm="1">
        <f t="array" ref="BM1849">_xlfn.IFS(LEFT(G1849,1)="L","外注品",LEFT(G1849,1)="W","内製品",G1849="","購買品")</f>
        <v>購買品</v>
      </c>
    </row>
    <row r="1850" spans="1:65" s="17" customFormat="1">
      <c r="A1850" t="str">
        <f t="shared" si="294"/>
        <v>WG01</v>
      </c>
      <c r="B1850" t="s">
        <v>1895</v>
      </c>
      <c r="C1850" t="s">
        <v>1935</v>
      </c>
      <c r="D1850" s="7"/>
      <c r="E1850" s="7"/>
      <c r="F1850"/>
      <c r="G1850"/>
      <c r="H1850">
        <v>43453</v>
      </c>
      <c r="I1850"/>
      <c r="J1850"/>
      <c r="K1850" t="str">
        <f t="shared" si="295"/>
        <v/>
      </c>
      <c r="L1850" s="3" t="str">
        <f t="shared" si="296"/>
        <v>2001/01/01</v>
      </c>
      <c r="M1850" s="3" t="str">
        <f t="shared" si="297"/>
        <v>2199/12/31</v>
      </c>
      <c r="N1850" t="str">
        <f t="shared" si="298"/>
        <v/>
      </c>
      <c r="O1850" t="str">
        <f t="shared" si="305"/>
        <v/>
      </c>
      <c r="P1850"/>
      <c r="Q1850">
        <v>15</v>
      </c>
      <c r="R1850" s="21">
        <v>100000000</v>
      </c>
      <c r="S1850" s="21" t="str" cm="1">
        <f t="array" ref="S1850">_xlfn.IFS(LEFT(G1850,1)="L","記載要",LEFT(G1850,1)="W","記載要",G1850="","")</f>
        <v/>
      </c>
      <c r="T1850"/>
      <c r="U1850"/>
      <c r="V1850"/>
      <c r="W1850"/>
      <c r="X1850"/>
      <c r="Y1850"/>
      <c r="Z1850" s="8"/>
      <c r="AA1850" s="8">
        <v>1</v>
      </c>
      <c r="AB1850">
        <f t="shared" si="299"/>
        <v>0</v>
      </c>
      <c r="AC1850" s="8">
        <v>1</v>
      </c>
      <c r="AD1850"/>
      <c r="AE1850"/>
      <c r="AF1850">
        <v>0</v>
      </c>
      <c r="AG1850" s="8"/>
      <c r="AH1850" s="8"/>
      <c r="AI1850"/>
      <c r="AJ1850"/>
      <c r="AK1850" cm="1">
        <f t="array" ref="AK1850">_xlfn.IFS(B1850="","",LEFT(G1850,1)="L",1,LEFT(G1850,1)="W",1,AND(LEFT(B1850,1)="H",G1850=""),0)</f>
        <v>0</v>
      </c>
      <c r="AL1850"/>
      <c r="AM1850"/>
      <c r="AN1850"/>
      <c r="AO1850"/>
      <c r="AP1850"/>
      <c r="AQ1850"/>
      <c r="AR1850"/>
      <c r="AS1850">
        <f t="shared" si="300"/>
        <v>1</v>
      </c>
      <c r="AT1850" t="s">
        <v>115</v>
      </c>
      <c r="AU1850" t="str">
        <f t="shared" si="301"/>
        <v>0</v>
      </c>
      <c r="AV1850"/>
      <c r="AW1850"/>
      <c r="AX1850"/>
      <c r="AY1850"/>
      <c r="AZ1850"/>
      <c r="BA1850"/>
      <c r="BB1850"/>
      <c r="BC1850"/>
      <c r="BD1850" t="str">
        <f t="shared" si="302"/>
        <v>0</v>
      </c>
      <c r="BE1850"/>
      <c r="BF1850"/>
      <c r="BG1850"/>
      <c r="BH1850"/>
      <c r="BI1850"/>
      <c r="BJ1850"/>
      <c r="BK1850" s="17" t="str">
        <f>IFERROR(VLOOKUP(B1850,'[1]model_S-フレーム'!$F$5:$R$7000,13,1),"")</f>
        <v>E369085_01</v>
      </c>
      <c r="BL1850" s="18">
        <f>IFERROR(VLOOKUP(B1850,'[1]model_S-フレーム'!$F$5:$V$7000,17,1),"")</f>
        <v>0</v>
      </c>
      <c r="BM1850" s="17" t="str" cm="1">
        <f t="array" ref="BM1850">_xlfn.IFS(LEFT(G1850,1)="L","外注品",LEFT(G1850,1)="W","内製品",G1850="","購買品")</f>
        <v>購買品</v>
      </c>
    </row>
    <row r="1851" spans="1:65" s="17" customFormat="1">
      <c r="A1851" t="str">
        <f t="shared" si="294"/>
        <v>WG01</v>
      </c>
      <c r="B1851" t="s">
        <v>1895</v>
      </c>
      <c r="C1851" t="s">
        <v>1935</v>
      </c>
      <c r="D1851" s="7"/>
      <c r="E1851" s="7"/>
      <c r="F1851"/>
      <c r="G1851"/>
      <c r="H1851">
        <v>47081</v>
      </c>
      <c r="I1851"/>
      <c r="J1851"/>
      <c r="K1851" t="str">
        <f t="shared" si="295"/>
        <v/>
      </c>
      <c r="L1851" s="3" t="str">
        <f t="shared" si="296"/>
        <v>2001/01/01</v>
      </c>
      <c r="M1851" s="3" t="str">
        <f t="shared" si="297"/>
        <v>2199/12/31</v>
      </c>
      <c r="N1851" t="str">
        <f t="shared" si="298"/>
        <v/>
      </c>
      <c r="O1851" t="str">
        <f t="shared" si="305"/>
        <v/>
      </c>
      <c r="P1851"/>
      <c r="Q1851">
        <v>15</v>
      </c>
      <c r="R1851" s="21">
        <v>100000000</v>
      </c>
      <c r="S1851" s="21" t="str" cm="1">
        <f t="array" ref="S1851">_xlfn.IFS(LEFT(G1851,1)="L","記載要",LEFT(G1851,1)="W","記載要",G1851="","")</f>
        <v/>
      </c>
      <c r="T1851"/>
      <c r="U1851"/>
      <c r="V1851"/>
      <c r="W1851"/>
      <c r="X1851"/>
      <c r="Y1851"/>
      <c r="Z1851" s="8"/>
      <c r="AA1851" s="8">
        <v>1</v>
      </c>
      <c r="AB1851">
        <f t="shared" si="299"/>
        <v>0</v>
      </c>
      <c r="AC1851" s="8">
        <v>1</v>
      </c>
      <c r="AD1851"/>
      <c r="AE1851"/>
      <c r="AF1851">
        <v>0</v>
      </c>
      <c r="AG1851" s="8"/>
      <c r="AH1851" s="8"/>
      <c r="AI1851"/>
      <c r="AJ1851"/>
      <c r="AK1851" cm="1">
        <f t="array" ref="AK1851">_xlfn.IFS(B1851="","",LEFT(G1851,1)="L",1,LEFT(G1851,1)="W",1,AND(LEFT(B1851,1)="H",G1851=""),0)</f>
        <v>0</v>
      </c>
      <c r="AL1851"/>
      <c r="AM1851"/>
      <c r="AN1851"/>
      <c r="AO1851"/>
      <c r="AP1851"/>
      <c r="AQ1851"/>
      <c r="AR1851"/>
      <c r="AS1851">
        <f t="shared" si="300"/>
        <v>1</v>
      </c>
      <c r="AT1851" t="s">
        <v>115</v>
      </c>
      <c r="AU1851" t="str">
        <f t="shared" si="301"/>
        <v>0</v>
      </c>
      <c r="AV1851"/>
      <c r="AW1851"/>
      <c r="AX1851"/>
      <c r="AY1851"/>
      <c r="AZ1851"/>
      <c r="BA1851"/>
      <c r="BB1851"/>
      <c r="BC1851"/>
      <c r="BD1851" t="str">
        <f t="shared" si="302"/>
        <v>0</v>
      </c>
      <c r="BE1851"/>
      <c r="BF1851"/>
      <c r="BG1851"/>
      <c r="BH1851"/>
      <c r="BI1851"/>
      <c r="BJ1851"/>
      <c r="BK1851" s="17" t="str">
        <f>IFERROR(VLOOKUP(B1851,'[1]model_S-フレーム'!$F$5:$R$7000,13,1),"")</f>
        <v>E369085_01</v>
      </c>
      <c r="BL1851" s="18">
        <f>IFERROR(VLOOKUP(B1851,'[1]model_S-フレーム'!$F$5:$V$7000,17,1),"")</f>
        <v>0</v>
      </c>
      <c r="BM1851" s="17" t="str" cm="1">
        <f t="array" ref="BM1851">_xlfn.IFS(LEFT(G1851,1)="L","外注品",LEFT(G1851,1)="W","内製品",G1851="","購買品")</f>
        <v>購買品</v>
      </c>
    </row>
    <row r="1852" spans="1:65">
      <c r="A1852" t="str">
        <f t="shared" si="294"/>
        <v>WG01</v>
      </c>
      <c r="B1852" t="s">
        <v>1895</v>
      </c>
      <c r="C1852" t="s">
        <v>1935</v>
      </c>
      <c r="D1852" s="7"/>
      <c r="E1852" s="7"/>
      <c r="H1852" s="19" t="s">
        <v>1937</v>
      </c>
      <c r="K1852" t="str">
        <f t="shared" si="295"/>
        <v/>
      </c>
      <c r="L1852" s="3" t="str">
        <f t="shared" si="296"/>
        <v>2001/01/01</v>
      </c>
      <c r="M1852" s="3" t="str">
        <f t="shared" si="297"/>
        <v>2199/12/31</v>
      </c>
      <c r="N1852" t="str">
        <f t="shared" si="298"/>
        <v/>
      </c>
      <c r="O1852" t="str">
        <f t="shared" si="305"/>
        <v/>
      </c>
      <c r="Q1852">
        <v>15</v>
      </c>
      <c r="R1852" s="21">
        <v>100000000</v>
      </c>
      <c r="S1852" s="21" t="str" cm="1">
        <f t="array" ref="S1852">_xlfn.IFS(LEFT(G1852,1)="L","記載要",LEFT(G1852,1)="W","記載要",G1852="","")</f>
        <v/>
      </c>
      <c r="Z1852" s="8"/>
      <c r="AA1852" s="8">
        <v>1</v>
      </c>
      <c r="AB1852">
        <f t="shared" si="299"/>
        <v>0</v>
      </c>
      <c r="AC1852" s="8">
        <v>1</v>
      </c>
      <c r="AF1852">
        <v>0</v>
      </c>
      <c r="AG1852" s="8"/>
      <c r="AH1852" s="8"/>
      <c r="AK1852" cm="1">
        <f t="array" ref="AK1852">_xlfn.IFS(B1852="","",LEFT(G1852,1)="L",1,LEFT(G1852,1)="W",1,AND(LEFT(B1852,1)="H",G1852=""),0)</f>
        <v>0</v>
      </c>
      <c r="AS1852">
        <f t="shared" si="300"/>
        <v>1</v>
      </c>
      <c r="AT1852" t="s">
        <v>115</v>
      </c>
      <c r="AU1852" t="str">
        <f t="shared" si="301"/>
        <v>0</v>
      </c>
      <c r="BD1852" t="str">
        <f t="shared" si="302"/>
        <v>0</v>
      </c>
      <c r="BK1852" t="str">
        <f>IFERROR(VLOOKUP(B1852,'[1]model_S-フレーム'!$F$5:$R$7000,13,1),"")</f>
        <v>E369085_01</v>
      </c>
      <c r="BL1852" s="7">
        <f>IFERROR(VLOOKUP(B1852,'[1]model_S-フレーム'!$F$5:$V$7000,17,1),"")</f>
        <v>0</v>
      </c>
      <c r="BM1852" t="str" cm="1">
        <f t="array" ref="BM1852">_xlfn.IFS(LEFT(G1852,1)="L","外注品",LEFT(G1852,1)="W","内製品",G1852="","購買品")</f>
        <v>購買品</v>
      </c>
    </row>
    <row r="1853" spans="1:65" s="17" customFormat="1">
      <c r="A1853" t="str">
        <f t="shared" si="294"/>
        <v>WG01</v>
      </c>
      <c r="B1853" t="s">
        <v>1896</v>
      </c>
      <c r="C1853" t="s">
        <v>1936</v>
      </c>
      <c r="D1853" s="7"/>
      <c r="E1853" s="7"/>
      <c r="F1853"/>
      <c r="G1853"/>
      <c r="H1853">
        <v>27616</v>
      </c>
      <c r="I1853"/>
      <c r="J1853"/>
      <c r="K1853" t="str">
        <f t="shared" si="295"/>
        <v/>
      </c>
      <c r="L1853" s="3" t="str">
        <f t="shared" si="296"/>
        <v>2001/01/01</v>
      </c>
      <c r="M1853" s="3" t="str">
        <f t="shared" si="297"/>
        <v>2199/12/31</v>
      </c>
      <c r="N1853" t="str">
        <f t="shared" si="298"/>
        <v/>
      </c>
      <c r="O1853" t="str">
        <f t="shared" si="305"/>
        <v/>
      </c>
      <c r="P1853"/>
      <c r="Q1853">
        <v>15</v>
      </c>
      <c r="R1853" s="21">
        <v>100000000</v>
      </c>
      <c r="S1853" s="21" t="str" cm="1">
        <f t="array" ref="S1853">_xlfn.IFS(LEFT(G1853,1)="L","記載要",LEFT(G1853,1)="W","記載要",G1853="","")</f>
        <v/>
      </c>
      <c r="T1853"/>
      <c r="U1853"/>
      <c r="V1853"/>
      <c r="W1853"/>
      <c r="X1853"/>
      <c r="Y1853"/>
      <c r="Z1853" s="8"/>
      <c r="AA1853" s="8">
        <v>1</v>
      </c>
      <c r="AB1853">
        <f t="shared" si="299"/>
        <v>0</v>
      </c>
      <c r="AC1853" s="8">
        <v>1</v>
      </c>
      <c r="AD1853"/>
      <c r="AE1853"/>
      <c r="AF1853">
        <v>1</v>
      </c>
      <c r="AG1853" s="8"/>
      <c r="AH1853" s="8"/>
      <c r="AI1853"/>
      <c r="AJ1853"/>
      <c r="AK1853" cm="1">
        <f t="array" ref="AK1853">_xlfn.IFS(B1853="","",LEFT(G1853,1)="L",1,LEFT(G1853,1)="W",1,AND(LEFT(B1853,1)="H",G1853=""),0)</f>
        <v>0</v>
      </c>
      <c r="AL1853"/>
      <c r="AM1853"/>
      <c r="AN1853"/>
      <c r="AO1853"/>
      <c r="AP1853"/>
      <c r="AQ1853"/>
      <c r="AR1853"/>
      <c r="AS1853">
        <f t="shared" si="300"/>
        <v>1</v>
      </c>
      <c r="AT1853" t="s">
        <v>115</v>
      </c>
      <c r="AU1853" t="str">
        <f t="shared" si="301"/>
        <v>0</v>
      </c>
      <c r="AV1853"/>
      <c r="AW1853"/>
      <c r="AX1853"/>
      <c r="AY1853"/>
      <c r="AZ1853"/>
      <c r="BA1853"/>
      <c r="BB1853"/>
      <c r="BC1853"/>
      <c r="BD1853" t="str">
        <f t="shared" si="302"/>
        <v>0</v>
      </c>
      <c r="BE1853"/>
      <c r="BF1853"/>
      <c r="BG1853"/>
      <c r="BH1853"/>
      <c r="BI1853"/>
      <c r="BJ1853"/>
      <c r="BK1853" s="17" t="str">
        <f>IFERROR(VLOOKUP(B1853,'[1]model_S-フレーム'!$F$5:$R$7000,13,1),"")</f>
        <v>E369086_02</v>
      </c>
      <c r="BL1853" s="18">
        <f>IFERROR(VLOOKUP(B1853,'[1]model_S-フレーム'!$F$5:$V$7000,17,1),"")</f>
        <v>0</v>
      </c>
      <c r="BM1853" s="17" t="str" cm="1">
        <f t="array" ref="BM1853">_xlfn.IFS(LEFT(G1853,1)="L","外注品",LEFT(G1853,1)="W","内製品",G1853="","購買品")</f>
        <v>購買品</v>
      </c>
    </row>
    <row r="1854" spans="1:65" s="17" customFormat="1">
      <c r="A1854" t="str">
        <f t="shared" si="294"/>
        <v>WG01</v>
      </c>
      <c r="B1854" t="s">
        <v>1896</v>
      </c>
      <c r="C1854" t="s">
        <v>1936</v>
      </c>
      <c r="D1854" s="7"/>
      <c r="E1854" s="7"/>
      <c r="F1854"/>
      <c r="G1854"/>
      <c r="H1854">
        <v>43453</v>
      </c>
      <c r="I1854"/>
      <c r="J1854"/>
      <c r="K1854" t="str">
        <f t="shared" si="295"/>
        <v/>
      </c>
      <c r="L1854" s="3" t="str">
        <f t="shared" si="296"/>
        <v>2001/01/01</v>
      </c>
      <c r="M1854" s="3" t="str">
        <f t="shared" si="297"/>
        <v>2199/12/31</v>
      </c>
      <c r="N1854" t="str">
        <f t="shared" si="298"/>
        <v/>
      </c>
      <c r="O1854" t="str">
        <f t="shared" si="305"/>
        <v/>
      </c>
      <c r="P1854"/>
      <c r="Q1854">
        <v>15</v>
      </c>
      <c r="R1854" s="21">
        <v>100000000</v>
      </c>
      <c r="S1854" s="21" t="str" cm="1">
        <f t="array" ref="S1854">_xlfn.IFS(LEFT(G1854,1)="L","記載要",LEFT(G1854,1)="W","記載要",G1854="","")</f>
        <v/>
      </c>
      <c r="T1854"/>
      <c r="U1854"/>
      <c r="V1854"/>
      <c r="W1854"/>
      <c r="X1854"/>
      <c r="Y1854"/>
      <c r="Z1854" s="8"/>
      <c r="AA1854" s="8">
        <v>1</v>
      </c>
      <c r="AB1854">
        <f t="shared" si="299"/>
        <v>0</v>
      </c>
      <c r="AC1854" s="8">
        <v>1</v>
      </c>
      <c r="AD1854"/>
      <c r="AE1854"/>
      <c r="AF1854">
        <v>0</v>
      </c>
      <c r="AG1854" s="8"/>
      <c r="AH1854" s="8"/>
      <c r="AI1854"/>
      <c r="AJ1854"/>
      <c r="AK1854" cm="1">
        <f t="array" ref="AK1854">_xlfn.IFS(B1854="","",LEFT(G1854,1)="L",1,LEFT(G1854,1)="W",1,AND(LEFT(B1854,1)="H",G1854=""),0)</f>
        <v>0</v>
      </c>
      <c r="AL1854"/>
      <c r="AM1854"/>
      <c r="AN1854"/>
      <c r="AO1854"/>
      <c r="AP1854"/>
      <c r="AQ1854"/>
      <c r="AR1854"/>
      <c r="AS1854">
        <f t="shared" si="300"/>
        <v>1</v>
      </c>
      <c r="AT1854" t="s">
        <v>115</v>
      </c>
      <c r="AU1854" t="str">
        <f t="shared" si="301"/>
        <v>0</v>
      </c>
      <c r="AV1854"/>
      <c r="AW1854"/>
      <c r="AX1854"/>
      <c r="AY1854"/>
      <c r="AZ1854"/>
      <c r="BA1854"/>
      <c r="BB1854"/>
      <c r="BC1854"/>
      <c r="BD1854" t="str">
        <f t="shared" si="302"/>
        <v>0</v>
      </c>
      <c r="BE1854"/>
      <c r="BF1854"/>
      <c r="BG1854"/>
      <c r="BH1854"/>
      <c r="BI1854"/>
      <c r="BJ1854"/>
      <c r="BK1854" s="17" t="str">
        <f>IFERROR(VLOOKUP(B1854,'[1]model_S-フレーム'!$F$5:$R$7000,13,1),"")</f>
        <v>E369086_02</v>
      </c>
      <c r="BL1854" s="18">
        <f>IFERROR(VLOOKUP(B1854,'[1]model_S-フレーム'!$F$5:$V$7000,17,1),"")</f>
        <v>0</v>
      </c>
      <c r="BM1854" s="17" t="str" cm="1">
        <f t="array" ref="BM1854">_xlfn.IFS(LEFT(G1854,1)="L","外注品",LEFT(G1854,1)="W","内製品",G1854="","購買品")</f>
        <v>購買品</v>
      </c>
    </row>
    <row r="1855" spans="1:65" s="17" customFormat="1">
      <c r="A1855" t="str">
        <f t="shared" si="294"/>
        <v>WG01</v>
      </c>
      <c r="B1855" t="s">
        <v>1896</v>
      </c>
      <c r="C1855" t="s">
        <v>1936</v>
      </c>
      <c r="D1855" s="7"/>
      <c r="E1855" s="7"/>
      <c r="F1855"/>
      <c r="G1855"/>
      <c r="H1855">
        <v>47081</v>
      </c>
      <c r="I1855"/>
      <c r="J1855"/>
      <c r="K1855" t="str">
        <f t="shared" si="295"/>
        <v/>
      </c>
      <c r="L1855" s="3" t="str">
        <f t="shared" si="296"/>
        <v>2001/01/01</v>
      </c>
      <c r="M1855" s="3" t="str">
        <f t="shared" si="297"/>
        <v>2199/12/31</v>
      </c>
      <c r="N1855" t="str">
        <f t="shared" si="298"/>
        <v/>
      </c>
      <c r="O1855" t="str">
        <f t="shared" si="305"/>
        <v/>
      </c>
      <c r="P1855"/>
      <c r="Q1855">
        <v>15</v>
      </c>
      <c r="R1855" s="21">
        <v>100000000</v>
      </c>
      <c r="S1855" s="21" t="str" cm="1">
        <f t="array" ref="S1855">_xlfn.IFS(LEFT(G1855,1)="L","記載要",LEFT(G1855,1)="W","記載要",G1855="","")</f>
        <v/>
      </c>
      <c r="T1855"/>
      <c r="U1855"/>
      <c r="V1855"/>
      <c r="W1855"/>
      <c r="X1855"/>
      <c r="Y1855"/>
      <c r="Z1855" s="8"/>
      <c r="AA1855" s="8">
        <v>1</v>
      </c>
      <c r="AB1855">
        <f t="shared" si="299"/>
        <v>0</v>
      </c>
      <c r="AC1855" s="8">
        <v>1</v>
      </c>
      <c r="AD1855"/>
      <c r="AE1855"/>
      <c r="AF1855">
        <v>0</v>
      </c>
      <c r="AG1855" s="8"/>
      <c r="AH1855" s="8"/>
      <c r="AI1855"/>
      <c r="AJ1855"/>
      <c r="AK1855" cm="1">
        <f t="array" ref="AK1855">_xlfn.IFS(B1855="","",LEFT(G1855,1)="L",1,LEFT(G1855,1)="W",1,AND(LEFT(B1855,1)="H",G1855=""),0)</f>
        <v>0</v>
      </c>
      <c r="AL1855"/>
      <c r="AM1855"/>
      <c r="AN1855"/>
      <c r="AO1855"/>
      <c r="AP1855"/>
      <c r="AQ1855"/>
      <c r="AR1855"/>
      <c r="AS1855">
        <f t="shared" si="300"/>
        <v>1</v>
      </c>
      <c r="AT1855" t="s">
        <v>115</v>
      </c>
      <c r="AU1855" t="str">
        <f t="shared" si="301"/>
        <v>0</v>
      </c>
      <c r="AV1855"/>
      <c r="AW1855"/>
      <c r="AX1855"/>
      <c r="AY1855"/>
      <c r="AZ1855"/>
      <c r="BA1855"/>
      <c r="BB1855"/>
      <c r="BC1855"/>
      <c r="BD1855" t="str">
        <f t="shared" si="302"/>
        <v>0</v>
      </c>
      <c r="BE1855"/>
      <c r="BF1855"/>
      <c r="BG1855"/>
      <c r="BH1855"/>
      <c r="BI1855"/>
      <c r="BJ1855"/>
      <c r="BK1855" s="17" t="str">
        <f>IFERROR(VLOOKUP(B1855,'[1]model_S-フレーム'!$F$5:$R$7000,13,1),"")</f>
        <v>E369086_02</v>
      </c>
      <c r="BL1855" s="18">
        <f>IFERROR(VLOOKUP(B1855,'[1]model_S-フレーム'!$F$5:$V$7000,17,1),"")</f>
        <v>0</v>
      </c>
      <c r="BM1855" s="17" t="str" cm="1">
        <f t="array" ref="BM1855">_xlfn.IFS(LEFT(G1855,1)="L","外注品",LEFT(G1855,1)="W","内製品",G1855="","購買品")</f>
        <v>購買品</v>
      </c>
    </row>
    <row r="1856" spans="1:65">
      <c r="A1856" t="str">
        <f t="shared" si="294"/>
        <v>WG01</v>
      </c>
      <c r="B1856" t="s">
        <v>1896</v>
      </c>
      <c r="C1856" t="s">
        <v>1936</v>
      </c>
      <c r="D1856" s="7"/>
      <c r="E1856" s="7"/>
      <c r="H1856" s="19" t="s">
        <v>1937</v>
      </c>
      <c r="K1856" t="str">
        <f t="shared" si="295"/>
        <v/>
      </c>
      <c r="L1856" s="3" t="str">
        <f t="shared" si="296"/>
        <v>2001/01/01</v>
      </c>
      <c r="M1856" s="3" t="str">
        <f t="shared" si="297"/>
        <v>2199/12/31</v>
      </c>
      <c r="N1856" t="str">
        <f t="shared" si="298"/>
        <v/>
      </c>
      <c r="O1856" t="str">
        <f t="shared" si="305"/>
        <v/>
      </c>
      <c r="Q1856">
        <v>15</v>
      </c>
      <c r="R1856" s="21">
        <v>100000000</v>
      </c>
      <c r="S1856" s="21" t="str" cm="1">
        <f t="array" ref="S1856">_xlfn.IFS(LEFT(G1856,1)="L","記載要",LEFT(G1856,1)="W","記載要",G1856="","")</f>
        <v/>
      </c>
      <c r="Z1856" s="8"/>
      <c r="AA1856" s="8">
        <v>1</v>
      </c>
      <c r="AB1856">
        <f t="shared" si="299"/>
        <v>0</v>
      </c>
      <c r="AC1856" s="8">
        <v>1</v>
      </c>
      <c r="AF1856">
        <v>0</v>
      </c>
      <c r="AG1856" s="8"/>
      <c r="AH1856" s="8"/>
      <c r="AK1856" cm="1">
        <f t="array" ref="AK1856">_xlfn.IFS(B1856="","",LEFT(G1856,1)="L",1,LEFT(G1856,1)="W",1,AND(LEFT(B1856,1)="H",G1856=""),0)</f>
        <v>0</v>
      </c>
      <c r="AS1856">
        <f t="shared" si="300"/>
        <v>1</v>
      </c>
      <c r="AT1856" t="s">
        <v>115</v>
      </c>
      <c r="AU1856" t="str">
        <f t="shared" si="301"/>
        <v>0</v>
      </c>
      <c r="BD1856" t="str">
        <f t="shared" si="302"/>
        <v>0</v>
      </c>
      <c r="BK1856" t="str">
        <f>IFERROR(VLOOKUP(B1856,'[1]model_S-フレーム'!$F$5:$R$7000,13,1),"")</f>
        <v>E369086_02</v>
      </c>
      <c r="BL1856" s="7">
        <f>IFERROR(VLOOKUP(B1856,'[1]model_S-フレーム'!$F$5:$V$7000,17,1),"")</f>
        <v>0</v>
      </c>
      <c r="BM1856" t="str" cm="1">
        <f t="array" ref="BM1856">_xlfn.IFS(LEFT(G1856,1)="L","外注品",LEFT(G1856,1)="W","内製品",G1856="","購買品")</f>
        <v>購買品</v>
      </c>
    </row>
    <row r="1857" spans="18:65">
      <c r="R1857" s="21" t="str">
        <f t="shared" si="304"/>
        <v/>
      </c>
      <c r="S1857" s="21" t="str" cm="1">
        <f t="array" ref="S1857">_xlfn.IFS(LEFT(G1857,1)="L","記載要",LEFT(G1857,1)="W","記載要",G1857="","")</f>
        <v/>
      </c>
      <c r="BM1857" t="str" cm="1">
        <f t="array" ref="BM1857">_xlfn.IFS(LEFT(G1857,1)="L","外注品",LEFT(G1857,1)="W","内製品",G1857="","購買品")</f>
        <v>購買品</v>
      </c>
    </row>
  </sheetData>
  <autoFilter ref="A2:BJ1857" xr:uid="{00000000-0001-0000-0000-000000000000}"/>
  <phoneticPr fontId="1"/>
  <conditionalFormatting sqref="H3:H1856 Q3:Q1856 O3:O1856">
    <cfRule type="expression" dxfId="1" priority="4">
      <formula>H3="記載要"</formula>
    </cfRule>
  </conditionalFormatting>
  <conditionalFormatting sqref="R3:S1857">
    <cfRule type="expression" dxfId="0" priority="1">
      <formula>R3="記載要"</formula>
    </cfRule>
  </conditionalFormatting>
  <pageMargins left="0.7" right="0.7" top="0.75" bottom="0.75" header="0.3" footer="0.3"/>
  <pageSetup paperSize="8" orientation="portrait" horizontalDpi="4294967293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3711-37C8-4B9A-9BD1-DA26809A06DE}">
  <sheetPr codeName="Sheet2"/>
  <dimension ref="A2:B60"/>
  <sheetViews>
    <sheetView topLeftCell="A34" workbookViewId="0">
      <selection activeCell="A2" sqref="A2:A60"/>
    </sheetView>
  </sheetViews>
  <sheetFormatPr defaultRowHeight="18.75"/>
  <sheetData>
    <row r="2" spans="1:2">
      <c r="A2">
        <v>1</v>
      </c>
      <c r="B2" t="s">
        <v>56</v>
      </c>
    </row>
    <row r="3" spans="1:2">
      <c r="A3">
        <v>2</v>
      </c>
      <c r="B3" t="s">
        <v>57</v>
      </c>
    </row>
    <row r="4" spans="1:2">
      <c r="A4">
        <v>3</v>
      </c>
      <c r="B4" t="s">
        <v>58</v>
      </c>
    </row>
    <row r="5" spans="1:2">
      <c r="A5">
        <v>4</v>
      </c>
      <c r="B5" t="s">
        <v>59</v>
      </c>
    </row>
    <row r="6" spans="1:2">
      <c r="A6">
        <v>5</v>
      </c>
      <c r="B6" t="s">
        <v>60</v>
      </c>
    </row>
    <row r="7" spans="1:2">
      <c r="A7">
        <v>6</v>
      </c>
      <c r="B7" t="s">
        <v>61</v>
      </c>
    </row>
    <row r="8" spans="1:2">
      <c r="A8">
        <v>7</v>
      </c>
      <c r="B8" t="s">
        <v>62</v>
      </c>
    </row>
    <row r="9" spans="1:2">
      <c r="A9">
        <v>8</v>
      </c>
      <c r="B9" t="s">
        <v>63</v>
      </c>
    </row>
    <row r="10" spans="1:2">
      <c r="A10">
        <v>9</v>
      </c>
      <c r="B10" t="s">
        <v>64</v>
      </c>
    </row>
    <row r="11" spans="1:2">
      <c r="A11">
        <v>10</v>
      </c>
      <c r="B11" t="s">
        <v>65</v>
      </c>
    </row>
    <row r="12" spans="1:2">
      <c r="A12">
        <v>11</v>
      </c>
      <c r="B12" t="s">
        <v>66</v>
      </c>
    </row>
    <row r="13" spans="1:2">
      <c r="A13">
        <v>12</v>
      </c>
      <c r="B13" t="s">
        <v>67</v>
      </c>
    </row>
    <row r="14" spans="1:2">
      <c r="A14">
        <v>13</v>
      </c>
      <c r="B14" t="s">
        <v>68</v>
      </c>
    </row>
    <row r="15" spans="1:2">
      <c r="A15">
        <v>14</v>
      </c>
      <c r="B15" t="s">
        <v>69</v>
      </c>
    </row>
    <row r="16" spans="1:2">
      <c r="A16">
        <v>15</v>
      </c>
      <c r="B16" t="s">
        <v>70</v>
      </c>
    </row>
    <row r="17" spans="1:2">
      <c r="A17">
        <v>16</v>
      </c>
      <c r="B17" t="s">
        <v>71</v>
      </c>
    </row>
    <row r="18" spans="1:2">
      <c r="A18">
        <v>17</v>
      </c>
      <c r="B18" t="s">
        <v>72</v>
      </c>
    </row>
    <row r="19" spans="1:2">
      <c r="A19">
        <v>18</v>
      </c>
      <c r="B19" t="s">
        <v>73</v>
      </c>
    </row>
    <row r="20" spans="1:2">
      <c r="A20">
        <v>19</v>
      </c>
      <c r="B20" t="s">
        <v>74</v>
      </c>
    </row>
    <row r="21" spans="1:2">
      <c r="A21">
        <v>20</v>
      </c>
      <c r="B21" t="s">
        <v>75</v>
      </c>
    </row>
    <row r="22" spans="1:2">
      <c r="A22">
        <v>21</v>
      </c>
      <c r="B22" t="s">
        <v>76</v>
      </c>
    </row>
    <row r="23" spans="1:2">
      <c r="A23">
        <v>22</v>
      </c>
      <c r="B23" t="s">
        <v>77</v>
      </c>
    </row>
    <row r="24" spans="1:2">
      <c r="A24">
        <v>23</v>
      </c>
      <c r="B24" t="s">
        <v>78</v>
      </c>
    </row>
    <row r="25" spans="1:2">
      <c r="A25">
        <v>24</v>
      </c>
      <c r="B25" t="s">
        <v>79</v>
      </c>
    </row>
    <row r="26" spans="1:2">
      <c r="A26">
        <v>25</v>
      </c>
      <c r="B26" t="s">
        <v>80</v>
      </c>
    </row>
    <row r="27" spans="1:2">
      <c r="A27">
        <v>26</v>
      </c>
      <c r="B27" t="s">
        <v>81</v>
      </c>
    </row>
    <row r="28" spans="1:2">
      <c r="A28">
        <v>27</v>
      </c>
      <c r="B28" t="s">
        <v>82</v>
      </c>
    </row>
    <row r="29" spans="1:2">
      <c r="A29">
        <v>28</v>
      </c>
      <c r="B29" t="s">
        <v>83</v>
      </c>
    </row>
    <row r="30" spans="1:2">
      <c r="A30">
        <v>29</v>
      </c>
      <c r="B30" t="s">
        <v>84</v>
      </c>
    </row>
    <row r="31" spans="1:2">
      <c r="A31">
        <v>30</v>
      </c>
      <c r="B31" t="s">
        <v>85</v>
      </c>
    </row>
    <row r="32" spans="1:2">
      <c r="A32">
        <v>31</v>
      </c>
      <c r="B32" t="s">
        <v>86</v>
      </c>
    </row>
    <row r="33" spans="1:2">
      <c r="A33">
        <v>32</v>
      </c>
      <c r="B33" t="s">
        <v>87</v>
      </c>
    </row>
    <row r="34" spans="1:2">
      <c r="A34">
        <v>33</v>
      </c>
      <c r="B34" t="s">
        <v>88</v>
      </c>
    </row>
    <row r="35" spans="1:2">
      <c r="A35">
        <v>34</v>
      </c>
      <c r="B35" t="s">
        <v>89</v>
      </c>
    </row>
    <row r="36" spans="1:2">
      <c r="A36">
        <v>35</v>
      </c>
      <c r="B36" t="s">
        <v>90</v>
      </c>
    </row>
    <row r="37" spans="1:2">
      <c r="A37">
        <v>36</v>
      </c>
      <c r="B37" t="s">
        <v>91</v>
      </c>
    </row>
    <row r="38" spans="1:2">
      <c r="A38">
        <v>37</v>
      </c>
      <c r="B38" t="s">
        <v>92</v>
      </c>
    </row>
    <row r="39" spans="1:2">
      <c r="A39">
        <v>38</v>
      </c>
      <c r="B39" t="s">
        <v>93</v>
      </c>
    </row>
    <row r="40" spans="1:2">
      <c r="A40">
        <v>39</v>
      </c>
      <c r="B40" t="s">
        <v>94</v>
      </c>
    </row>
    <row r="41" spans="1:2">
      <c r="A41">
        <v>40</v>
      </c>
      <c r="B41" t="s">
        <v>95</v>
      </c>
    </row>
    <row r="42" spans="1:2">
      <c r="A42">
        <v>41</v>
      </c>
      <c r="B42" t="s">
        <v>96</v>
      </c>
    </row>
    <row r="43" spans="1:2">
      <c r="A43">
        <v>42</v>
      </c>
      <c r="B43" t="s">
        <v>97</v>
      </c>
    </row>
    <row r="44" spans="1:2">
      <c r="A44">
        <v>43</v>
      </c>
      <c r="B44" t="s">
        <v>98</v>
      </c>
    </row>
    <row r="45" spans="1:2">
      <c r="A45">
        <v>44</v>
      </c>
      <c r="B45" t="s">
        <v>99</v>
      </c>
    </row>
    <row r="46" spans="1:2">
      <c r="A46">
        <v>45</v>
      </c>
      <c r="B46" t="s">
        <v>100</v>
      </c>
    </row>
    <row r="47" spans="1:2">
      <c r="A47">
        <v>46</v>
      </c>
      <c r="B47" t="s">
        <v>101</v>
      </c>
    </row>
    <row r="48" spans="1:2">
      <c r="A48">
        <v>47</v>
      </c>
      <c r="B48" t="s">
        <v>102</v>
      </c>
    </row>
    <row r="49" spans="1:2">
      <c r="A49">
        <v>48</v>
      </c>
      <c r="B49" t="s">
        <v>103</v>
      </c>
    </row>
    <row r="50" spans="1:2">
      <c r="A50">
        <v>49</v>
      </c>
      <c r="B50" t="s">
        <v>104</v>
      </c>
    </row>
    <row r="51" spans="1:2">
      <c r="A51">
        <v>50</v>
      </c>
      <c r="B51" t="s">
        <v>105</v>
      </c>
    </row>
    <row r="52" spans="1:2">
      <c r="A52">
        <v>51</v>
      </c>
      <c r="B52" t="s">
        <v>106</v>
      </c>
    </row>
    <row r="53" spans="1:2">
      <c r="A53">
        <v>52</v>
      </c>
      <c r="B53" t="s">
        <v>107</v>
      </c>
    </row>
    <row r="54" spans="1:2">
      <c r="A54">
        <v>53</v>
      </c>
      <c r="B54" t="s">
        <v>108</v>
      </c>
    </row>
    <row r="55" spans="1:2">
      <c r="A55">
        <v>54</v>
      </c>
      <c r="B55" t="s">
        <v>109</v>
      </c>
    </row>
    <row r="56" spans="1:2">
      <c r="A56">
        <v>55</v>
      </c>
      <c r="B56" t="s">
        <v>110</v>
      </c>
    </row>
    <row r="57" spans="1:2">
      <c r="A57">
        <v>56</v>
      </c>
      <c r="B57" t="s">
        <v>111</v>
      </c>
    </row>
    <row r="58" spans="1:2">
      <c r="A58">
        <v>57</v>
      </c>
      <c r="B58" t="s">
        <v>112</v>
      </c>
    </row>
    <row r="59" spans="1:2">
      <c r="A59">
        <v>58</v>
      </c>
      <c r="B59" t="s">
        <v>113</v>
      </c>
    </row>
    <row r="60" spans="1:2">
      <c r="A60">
        <v>59</v>
      </c>
      <c r="B60" t="s">
        <v>114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Sheet0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石井 徹</cp:lastModifiedBy>
  <cp:lastPrinted>2025-01-16T04:18:01Z</cp:lastPrinted>
  <dcterms:created xsi:type="dcterms:W3CDTF">2024-10-21T09:11:57Z</dcterms:created>
  <dcterms:modified xsi:type="dcterms:W3CDTF">2025-05-16T10:20:27Z</dcterms:modified>
</cp:coreProperties>
</file>